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mydrive.merck.com/personal/riling_merck_com/Documents/My Documents/Vacation_Trackers/2022/"/>
    </mc:Choice>
  </mc:AlternateContent>
  <xr:revisionPtr revIDLastSave="2172" documentId="8_{6C2923CF-121E-4661-80A3-EC007B4A9C93}" xr6:coauthVersionLast="46" xr6:coauthVersionMax="46" xr10:uidLastSave="{ED0ABF69-9433-44E0-BCEC-F37FB07A1C08}"/>
  <bookViews>
    <workbookView xWindow="-120" yWindow="-120" windowWidth="29040" windowHeight="15840" tabRatio="840" xr2:uid="{00000000-000D-0000-FFFF-FFFF00000000}"/>
  </bookViews>
  <sheets>
    <sheet name="Attendance" sheetId="1" r:id="rId1"/>
    <sheet name="Quick Ref Guide" sheetId="2" r:id="rId2"/>
  </sheets>
  <functionGroups builtInGroupCount="19"/>
  <definedNames>
    <definedName name="calendar">Attendance!$G$9:$AK$21</definedName>
    <definedName name="codes">Attendance!$H$30:$AC$30</definedName>
    <definedName name="fixed" localSheetId="0">Attendance!$J$35</definedName>
    <definedName name="_xlnm.Print_Area" localSheetId="0">Attendance!$A$1:$AW$31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10" i="1" l="1" a="1"/>
  <c r="AN10" i="1" s="1"/>
  <c r="AN9" i="1" a="1"/>
  <c r="AN9" i="1" s="1"/>
  <c r="AN21" i="1" a="1"/>
  <c r="AN21" i="1" s="1"/>
  <c r="AN20" i="1" a="1"/>
  <c r="AN20" i="1" s="1"/>
  <c r="AN19" i="1" a="1"/>
  <c r="AN19" i="1" s="1"/>
  <c r="AN18" i="1" a="1"/>
  <c r="AN18" i="1" s="1"/>
  <c r="AN17" i="1" a="1"/>
  <c r="AN17" i="1" s="1"/>
  <c r="AN16" i="1" a="1"/>
  <c r="AN16" i="1" s="1"/>
  <c r="AN15" i="1" a="1"/>
  <c r="AN15" i="1" s="1"/>
  <c r="AN14" i="1" a="1"/>
  <c r="AN14" i="1" s="1"/>
  <c r="AN13" i="1" a="1"/>
  <c r="AN13" i="1" s="1"/>
  <c r="AN12" i="1" a="1"/>
  <c r="AN12" i="1" s="1"/>
  <c r="AN11" i="1" a="1"/>
  <c r="AN11" i="1" s="1"/>
  <c r="AM9" i="1" a="1"/>
  <c r="AM9" i="1" s="1"/>
  <c r="C4" i="1"/>
  <c r="AR10" i="1" a="1"/>
  <c r="AR10" i="1" s="1"/>
  <c r="AS10" i="1" a="1"/>
  <c r="AS10" i="1" s="1"/>
  <c r="AT10" i="1" a="1"/>
  <c r="AT10" i="1" s="1"/>
  <c r="AU10" i="1" a="1"/>
  <c r="AU10" i="1" s="1"/>
  <c r="AR11" i="1" a="1"/>
  <c r="AR11" i="1" s="1"/>
  <c r="AS11" i="1" a="1"/>
  <c r="AS11" i="1" s="1"/>
  <c r="AT11" i="1" a="1"/>
  <c r="AT11" i="1" s="1"/>
  <c r="AU11" i="1" a="1"/>
  <c r="AU11" i="1" s="1"/>
  <c r="AR12" i="1" a="1"/>
  <c r="AR12" i="1" s="1"/>
  <c r="AS12" i="1" a="1"/>
  <c r="AS12" i="1" s="1"/>
  <c r="AT12" i="1" a="1"/>
  <c r="AT12" i="1" s="1"/>
  <c r="AU12" i="1" a="1"/>
  <c r="AU12" i="1" s="1"/>
  <c r="AR13" i="1" a="1"/>
  <c r="AR13" i="1" s="1"/>
  <c r="AS13" i="1" a="1"/>
  <c r="AS13" i="1" s="1"/>
  <c r="AT13" i="1" a="1"/>
  <c r="AT13" i="1" s="1"/>
  <c r="AU13" i="1" a="1"/>
  <c r="AU13" i="1" s="1"/>
  <c r="AR14" i="1" a="1"/>
  <c r="AR14" i="1" s="1"/>
  <c r="AS14" i="1" a="1"/>
  <c r="AS14" i="1" s="1"/>
  <c r="AT14" i="1" a="1"/>
  <c r="AT14" i="1" s="1"/>
  <c r="AU14" i="1" a="1"/>
  <c r="AU14" i="1" s="1"/>
  <c r="AR15" i="1" a="1"/>
  <c r="AR15" i="1" s="1"/>
  <c r="AS15" i="1" a="1"/>
  <c r="AS15" i="1" s="1"/>
  <c r="AT15" i="1" a="1"/>
  <c r="AT15" i="1" s="1"/>
  <c r="AU15" i="1" a="1"/>
  <c r="AU15" i="1" s="1"/>
  <c r="AR16" i="1" a="1"/>
  <c r="AR16" i="1" s="1"/>
  <c r="AS16" i="1" a="1"/>
  <c r="AS16" i="1" s="1"/>
  <c r="AT16" i="1" a="1"/>
  <c r="AT16" i="1" s="1"/>
  <c r="AU16" i="1" a="1"/>
  <c r="AU16" i="1" s="1"/>
  <c r="AR17" i="1" a="1"/>
  <c r="AR17" i="1" s="1"/>
  <c r="AS17" i="1" a="1"/>
  <c r="AS17" i="1" s="1"/>
  <c r="AT17" i="1" a="1"/>
  <c r="AT17" i="1" s="1"/>
  <c r="AU17" i="1" a="1"/>
  <c r="AU17" i="1" s="1"/>
  <c r="AR18" i="1" a="1"/>
  <c r="AR18" i="1" s="1"/>
  <c r="AS18" i="1" a="1"/>
  <c r="AS18" i="1" s="1"/>
  <c r="AT18" i="1" a="1"/>
  <c r="AT18" i="1" s="1"/>
  <c r="AU18" i="1" a="1"/>
  <c r="AU18" i="1" s="1"/>
  <c r="AR19" i="1" a="1"/>
  <c r="AR19" i="1" s="1"/>
  <c r="AS19" i="1" a="1"/>
  <c r="AS19" i="1" s="1"/>
  <c r="AT19" i="1" a="1"/>
  <c r="AT19" i="1" s="1"/>
  <c r="AU19" i="1" a="1"/>
  <c r="AU19" i="1" s="1"/>
  <c r="AR20" i="1" a="1"/>
  <c r="AR20" i="1" s="1"/>
  <c r="AS20" i="1" a="1"/>
  <c r="AS20" i="1" s="1"/>
  <c r="AT20" i="1" a="1"/>
  <c r="AT20" i="1" s="1"/>
  <c r="AU20" i="1" a="1"/>
  <c r="AU20" i="1" s="1"/>
  <c r="AR21" i="1" a="1"/>
  <c r="AR21" i="1" s="1"/>
  <c r="AS21" i="1" a="1"/>
  <c r="AS21" i="1" s="1"/>
  <c r="AT21" i="1" a="1"/>
  <c r="AT21" i="1" s="1"/>
  <c r="AU21" i="1" a="1"/>
  <c r="AU21" i="1" s="1"/>
  <c r="AU9" i="1" a="1"/>
  <c r="AU9" i="1" s="1"/>
  <c r="AT9" i="1" a="1"/>
  <c r="AT9" i="1" s="1"/>
  <c r="AS9" i="1" a="1"/>
  <c r="AS9" i="1" s="1"/>
  <c r="AR9" i="1" a="1"/>
  <c r="AR9" i="1" s="1"/>
  <c r="AM10" i="1" a="1"/>
  <c r="AM10" i="1" s="1"/>
  <c r="AO10" i="1" a="1"/>
  <c r="AO10" i="1" s="1"/>
  <c r="AP10" i="1" a="1"/>
  <c r="AP10" i="1" s="1"/>
  <c r="AQ10" i="1" a="1"/>
  <c r="AQ10" i="1" s="1"/>
  <c r="AM11" i="1" a="1"/>
  <c r="AM11" i="1" s="1"/>
  <c r="AO11" i="1" a="1"/>
  <c r="AO11" i="1" s="1"/>
  <c r="AP11" i="1" a="1"/>
  <c r="AP11" i="1" s="1"/>
  <c r="AQ11" i="1" a="1"/>
  <c r="AQ11" i="1" s="1"/>
  <c r="AM12" i="1" a="1"/>
  <c r="AM12" i="1" s="1"/>
  <c r="AO12" i="1" a="1"/>
  <c r="AO12" i="1" s="1"/>
  <c r="AP12" i="1" a="1"/>
  <c r="AP12" i="1" s="1"/>
  <c r="AQ12" i="1" a="1"/>
  <c r="AQ12" i="1" s="1"/>
  <c r="AM13" i="1" a="1"/>
  <c r="AM13" i="1" s="1"/>
  <c r="AO13" i="1" a="1"/>
  <c r="AO13" i="1" s="1"/>
  <c r="AP13" i="1" a="1"/>
  <c r="AP13" i="1" s="1"/>
  <c r="AQ13" i="1" a="1"/>
  <c r="AQ13" i="1" s="1"/>
  <c r="AM14" i="1" a="1"/>
  <c r="AM14" i="1" s="1"/>
  <c r="AO14" i="1" a="1"/>
  <c r="AO14" i="1" s="1"/>
  <c r="AP14" i="1" a="1"/>
  <c r="AP14" i="1" s="1"/>
  <c r="AQ14" i="1" a="1"/>
  <c r="AQ14" i="1" s="1"/>
  <c r="AM15" i="1" a="1"/>
  <c r="AM15" i="1" s="1"/>
  <c r="AO15" i="1" a="1"/>
  <c r="AO15" i="1" s="1"/>
  <c r="AP15" i="1" a="1"/>
  <c r="AP15" i="1" s="1"/>
  <c r="AQ15" i="1" a="1"/>
  <c r="AQ15" i="1" s="1"/>
  <c r="AM16" i="1" a="1"/>
  <c r="AM16" i="1" s="1"/>
  <c r="AO16" i="1" a="1"/>
  <c r="AO16" i="1" s="1"/>
  <c r="AP16" i="1" a="1"/>
  <c r="AP16" i="1" s="1"/>
  <c r="AQ16" i="1" a="1"/>
  <c r="AQ16" i="1" s="1"/>
  <c r="AM17" i="1" a="1"/>
  <c r="AM17" i="1" s="1"/>
  <c r="AO17" i="1" a="1"/>
  <c r="AO17" i="1" s="1"/>
  <c r="AP17" i="1" a="1"/>
  <c r="AP17" i="1" s="1"/>
  <c r="AQ17" i="1" a="1"/>
  <c r="AQ17" i="1" s="1"/>
  <c r="AM18" i="1" a="1"/>
  <c r="AM18" i="1" s="1"/>
  <c r="AO18" i="1" a="1"/>
  <c r="AO18" i="1" s="1"/>
  <c r="AP18" i="1" a="1"/>
  <c r="AP18" i="1" s="1"/>
  <c r="AQ18" i="1" a="1"/>
  <c r="AQ18" i="1" s="1"/>
  <c r="AM19" i="1" a="1"/>
  <c r="AM19" i="1" s="1"/>
  <c r="AO19" i="1" a="1"/>
  <c r="AO19" i="1" s="1"/>
  <c r="AP19" i="1" a="1"/>
  <c r="AP19" i="1" s="1"/>
  <c r="AQ19" i="1" a="1"/>
  <c r="AQ19" i="1" s="1"/>
  <c r="AM20" i="1" a="1"/>
  <c r="AM20" i="1" s="1"/>
  <c r="AO20" i="1" a="1"/>
  <c r="AO20" i="1" s="1"/>
  <c r="AP20" i="1" a="1"/>
  <c r="AP20" i="1" s="1"/>
  <c r="AQ20" i="1" a="1"/>
  <c r="AQ20" i="1" s="1"/>
  <c r="AM21" i="1" a="1"/>
  <c r="AM21" i="1" s="1"/>
  <c r="AO21" i="1" a="1"/>
  <c r="AO21" i="1" s="1"/>
  <c r="AP21" i="1" a="1"/>
  <c r="AP21" i="1" s="1"/>
  <c r="AQ21" i="1" a="1"/>
  <c r="AQ21" i="1" s="1"/>
  <c r="AP9" i="1" a="1"/>
  <c r="AP9" i="1" s="1"/>
  <c r="C6" i="1"/>
  <c r="AO9" i="1" a="1"/>
  <c r="AO9" i="1" s="1"/>
  <c r="AQ9" i="1" a="1"/>
  <c r="AQ9" i="1" s="1"/>
  <c r="AN25" i="1" l="1"/>
  <c r="AN26" i="1" s="1"/>
  <c r="AT25" i="1"/>
  <c r="AQ25" i="1"/>
  <c r="AM25" i="1"/>
  <c r="AR25" i="1"/>
  <c r="AR26" i="1" s="1"/>
  <c r="AU25" i="1"/>
  <c r="AO25" i="1"/>
  <c r="AO26" i="1" s="1"/>
  <c r="AS25" i="1"/>
  <c r="AP25" i="1"/>
  <c r="AP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Krotzer</author>
  </authors>
  <commentList>
    <comment ref="F21" authorId="0" shapeId="0" xr:uid="{00000000-0006-0000-0000-000001000000}">
      <text>
        <r>
          <rPr>
            <sz val="8"/>
            <color indexed="81"/>
            <rFont val="Tahoma"/>
            <family val="2"/>
          </rPr>
          <t>January of following year.  Remember to add to next years' attendance record.  Not included in YTD total.</t>
        </r>
      </text>
    </comment>
  </commentList>
</comments>
</file>

<file path=xl/sharedStrings.xml><?xml version="1.0" encoding="utf-8"?>
<sst xmlns="http://schemas.openxmlformats.org/spreadsheetml/2006/main" count="260" uniqueCount="100">
  <si>
    <t>H</t>
  </si>
  <si>
    <t>Name:</t>
  </si>
  <si>
    <r>
      <t>Department Name and Number</t>
    </r>
    <r>
      <rPr>
        <sz val="10"/>
        <rFont val="Arial"/>
        <family val="2"/>
      </rPr>
      <t>:</t>
    </r>
  </si>
  <si>
    <t>Fixed Merck Holiday</t>
  </si>
  <si>
    <t>Attendance Codes:</t>
  </si>
  <si>
    <t xml:space="preserve"> Jan </t>
  </si>
  <si>
    <t xml:space="preserve"> Feb</t>
  </si>
  <si>
    <t xml:space="preserve"> Mar</t>
  </si>
  <si>
    <t xml:space="preserve"> Apr</t>
  </si>
  <si>
    <t xml:space="preserve"> May</t>
  </si>
  <si>
    <t xml:space="preserve"> Jun</t>
  </si>
  <si>
    <t xml:space="preserve"> Jul</t>
  </si>
  <si>
    <t xml:space="preserve"> Aug</t>
  </si>
  <si>
    <t xml:space="preserve"> Sept</t>
  </si>
  <si>
    <t xml:space="preserve"> Oct</t>
  </si>
  <si>
    <t xml:space="preserve"> Nov</t>
  </si>
  <si>
    <t xml:space="preserve"> Dec</t>
  </si>
  <si>
    <t xml:space="preserve"> </t>
  </si>
  <si>
    <t>n/a</t>
  </si>
  <si>
    <t>Monthly
Totals</t>
  </si>
  <si>
    <t>S</t>
  </si>
  <si>
    <t>Sick (illness)</t>
  </si>
  <si>
    <t>V</t>
  </si>
  <si>
    <t>Vacation</t>
  </si>
  <si>
    <t>Your yearly allowance:</t>
  </si>
  <si>
    <t>we</t>
  </si>
  <si>
    <t>i</t>
  </si>
  <si>
    <t>½ H</t>
  </si>
  <si>
    <t>½ V</t>
  </si>
  <si>
    <t>½ S</t>
  </si>
  <si>
    <t>enter name</t>
  </si>
  <si>
    <t>enter dept name &amp; num</t>
  </si>
  <si>
    <t>Jan</t>
  </si>
  <si>
    <t>Notes:</t>
  </si>
  <si>
    <t>(change as needed per policy)</t>
  </si>
  <si>
    <t>STD* (editable)</t>
  </si>
  <si>
    <t>Volunteer*  (editable)</t>
  </si>
  <si>
    <t>Z1</t>
  </si>
  <si>
    <t>Z2</t>
  </si>
  <si>
    <t>Z3</t>
  </si>
  <si>
    <t>Highlights:</t>
  </si>
  <si>
    <t>½ Z2</t>
  </si>
  <si>
    <t>½ Z4</t>
  </si>
  <si>
    <t>½ Z1</t>
  </si>
  <si>
    <t>½ Z3</t>
  </si>
  <si>
    <r>
      <t>Shut-Down:</t>
    </r>
    <r>
      <rPr>
        <sz val="10"/>
        <color indexed="8"/>
        <rFont val="Arial"/>
        <family val="2"/>
      </rPr>
      <t xml:space="preserve">  4 vacation days pre-populated for shut-down, delete if not applicable to your area.</t>
    </r>
  </si>
  <si>
    <t>Time Reporting</t>
  </si>
  <si>
    <t>Jan2011     Removed 1/2 floating holiday option; its against Merck Policy</t>
  </si>
  <si>
    <t>Remaining</t>
  </si>
  <si>
    <t>Total used</t>
  </si>
  <si>
    <t>C</t>
  </si>
  <si>
    <t>Carry-over</t>
  </si>
  <si>
    <t>Z4</t>
  </si>
  <si>
    <t>½ C</t>
  </si>
  <si>
    <t>Use this text box for notes, comments, reminders, etc…                All text in this box can be deleted.</t>
  </si>
  <si>
    <t xml:space="preserve">                    Allow users to send name for inclusion in mailing list (opt-in or out)</t>
  </si>
  <si>
    <t xml:space="preserve">                     are formatted red to indicate policy non-compliance.  Title block unprotected for user edits year to year.</t>
  </si>
  <si>
    <t>Dec2012      Replaced personal (P) with Carry-over, (C) , added specific tracking of carry-over.  Carry-over days entered after April 30</t>
  </si>
  <si>
    <t>Carry-Over</t>
  </si>
  <si>
    <t xml:space="preserve">     To avoid having to do this each time, click YES to make it a trusted document:</t>
  </si>
  <si>
    <t>Overview:</t>
  </si>
  <si>
    <t>A good life/work balance includes utilizing vacation and floating holidays.  How do you easily keep track of the past and future vacation days?  Two simple forms are available to help individuals plan and log time out of the office on an "individual" and "group" level. </t>
  </si>
  <si>
    <t xml:space="preserve">The form is based on a manual spreadsheet that had been used in the past and has been modified to allow the use of drop downs to enter a code for each day or (½ day).   Codes included are holiday, vacation, floating holiday, carry-over,  sick, etc. each with a set color code.  Monthly and yearly totals are displayed. Copy the excel file to your home drive and rename the file as you want.  Copy the group schedule to a dept. share.   </t>
  </si>
  <si>
    <t>·  Both Forms:</t>
  </si>
  <si>
    <t>The "individual" form provides an easy way to visualize time taken (&amp; planned)  and vacation remaining.  The "group" calendar is helpful for use on a group level.  This form is intended provide an overview of a the group in terms of "out on vacation" or "out of the office" for other reasons (conference, etc.).    The number of FTEs is calculated  (group from only) and displayed on a daily, monthly basis to help in planning.  individual employees may be excluded from the FTE tally on a monthly basis.</t>
  </si>
  <si>
    <t xml:space="preserve">The forms are updated annually, but users could re-configure the form for any year by entering "we" for weekend and "i" for invalid dates and changing the year in the top of the form.  </t>
  </si>
  <si>
    <t>*Comments, suggestions send e-mail to:</t>
  </si>
  <si>
    <t>Dec2011    Added (4) user-editable attendance code.</t>
  </si>
  <si>
    <t>Holiday &amp; Vacation Policy</t>
  </si>
  <si>
    <t>Paid Time Off &amp; Leaves of Absence Policy</t>
  </si>
  <si>
    <t>Paid Time Off &amp; Leaves Guide (PDF)</t>
  </si>
  <si>
    <t>SD</t>
  </si>
  <si>
    <t>ShutDown, (year end)</t>
  </si>
  <si>
    <t>password=58370</t>
  </si>
  <si>
    <t>ryan.riling@merck.com</t>
  </si>
  <si>
    <t xml:space="preserve">Dec2013      Removed Floating holiday (per policy) replace with Shut-Down Days,  update links, add 2nd contact </t>
  </si>
  <si>
    <r>
      <t xml:space="preserve">Visual overview of key features, new items outlined in </t>
    </r>
    <r>
      <rPr>
        <b/>
        <sz val="18"/>
        <color indexed="10"/>
        <rFont val="Arial"/>
        <family val="2"/>
      </rPr>
      <t>red</t>
    </r>
    <r>
      <rPr>
        <b/>
        <sz val="18"/>
        <rFont val="Arial"/>
        <family val="2"/>
      </rPr>
      <t>:</t>
    </r>
  </si>
  <si>
    <t>Dec2014      Update links. Removed 2nd contact</t>
  </si>
  <si>
    <t>Version 1.0</t>
  </si>
  <si>
    <t>·       Links were updated</t>
  </si>
  <si>
    <t>Dec2015      Update links.</t>
  </si>
  <si>
    <r>
      <t>ADP:</t>
    </r>
    <r>
      <rPr>
        <sz val="10"/>
        <color indexed="8"/>
        <rFont val="Arial"/>
        <family val="2"/>
      </rPr>
      <t xml:space="preserve">            No link to ADP or other system.  Remember to enter your time in ADP and any other required systems.</t>
    </r>
  </si>
  <si>
    <t>Dec2017      Update links.</t>
  </si>
  <si>
    <t>The forms are not linked to any systems, so time must still be entered in systems like ADP. The sheets are password protected  (Available on request)</t>
  </si>
  <si>
    <t>In WIN10, upon opening, click "enable content", as shown here:</t>
  </si>
  <si>
    <t>2022     Attendance Tracking     2022</t>
  </si>
  <si>
    <r>
      <t xml:space="preserve">This is the quick reference guide sheet, </t>
    </r>
    <r>
      <rPr>
        <b/>
        <u/>
        <sz val="14"/>
        <rFont val="Arial"/>
        <family val="2"/>
      </rPr>
      <t>updated for 2022</t>
    </r>
    <r>
      <rPr>
        <b/>
        <sz val="14"/>
        <rFont val="Arial"/>
        <family val="2"/>
      </rPr>
      <t xml:space="preserve">. </t>
    </r>
  </si>
  <si>
    <t>Highlights  for 2022:</t>
  </si>
  <si>
    <t>·       Updated carry-over policy change for 2022</t>
  </si>
  <si>
    <t>·       Added Flex-Day</t>
  </si>
  <si>
    <t>·       Added new Holiday (Juneteenth)</t>
  </si>
  <si>
    <t>Flex Day</t>
  </si>
  <si>
    <r>
      <t>Carry over:</t>
    </r>
    <r>
      <rPr>
        <sz val="10"/>
        <color indexed="8"/>
        <rFont val="Arial"/>
        <family val="2"/>
      </rPr>
      <t xml:space="preserve">   Carry over days can be used up until 31DEC2022.</t>
    </r>
  </si>
  <si>
    <t xml:space="preserve">    Flex Day</t>
  </si>
  <si>
    <r>
      <t>Flex Day:</t>
    </r>
    <r>
      <rPr>
        <sz val="10"/>
        <color indexed="8"/>
        <rFont val="Arial"/>
        <family val="2"/>
      </rPr>
      <t xml:space="preserve">     Permitted to be used any day of the year in 2022.</t>
    </r>
  </si>
  <si>
    <t>WE</t>
  </si>
  <si>
    <t>I</t>
  </si>
  <si>
    <t>Other*  (editable)</t>
  </si>
  <si>
    <t xml:space="preserve">     Compatible WIN10 ONLY</t>
  </si>
  <si>
    <r>
      <t xml:space="preserve">  </t>
    </r>
    <r>
      <rPr>
        <sz val="12"/>
        <color indexed="10"/>
        <rFont val="Arial"/>
        <family val="2"/>
      </rPr>
      <t xml:space="preserve"> In WIN10, be sure to save as (*</t>
    </r>
    <r>
      <rPr>
        <b/>
        <sz val="12"/>
        <color indexed="10"/>
        <rFont val="Arial"/>
        <family val="2"/>
      </rPr>
      <t xml:space="preserve">.xlsm) </t>
    </r>
    <r>
      <rPr>
        <sz val="12"/>
        <color indexed="10"/>
        <rFont val="Arial"/>
        <family val="2"/>
      </rPr>
      <t xml:space="preserve">(macro enabled workbook). </t>
    </r>
    <r>
      <rPr>
        <sz val="12"/>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</si>
</sst>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0"/>
      <name val="Arial"/>
    </font>
    <font>
      <b/>
      <sz val="10"/>
      <name val="Arial"/>
      <family val="2"/>
    </font>
    <font>
      <b/>
      <sz val="12"/>
      <name val="Arial"/>
      <family val="2"/>
    </font>
    <font>
      <sz val="9"/>
      <name val="Arial"/>
      <family val="2"/>
    </font>
    <font>
      <sz val="9"/>
      <name val="Arial"/>
      <family val="2"/>
    </font>
    <font>
      <sz val="8"/>
      <name val="Arial"/>
      <family val="2"/>
    </font>
    <font>
      <b/>
      <sz val="8"/>
      <name val="Arial"/>
      <family val="2"/>
    </font>
    <font>
      <u/>
      <sz val="10"/>
      <color indexed="12"/>
      <name val="Arial"/>
      <family val="2"/>
    </font>
    <font>
      <sz val="10"/>
      <name val="Arial"/>
      <family val="2"/>
    </font>
    <font>
      <sz val="8"/>
      <color indexed="22"/>
      <name val="Arial"/>
      <family val="2"/>
    </font>
    <font>
      <sz val="8"/>
      <color indexed="8"/>
      <name val="Microsoft Sans Serif"/>
      <family val="2"/>
    </font>
    <font>
      <u/>
      <sz val="8"/>
      <color indexed="12"/>
      <name val="Arial"/>
      <family val="2"/>
    </font>
    <font>
      <i/>
      <sz val="10"/>
      <color indexed="8"/>
      <name val="Arial"/>
      <family val="2"/>
    </font>
    <font>
      <sz val="10"/>
      <color indexed="8"/>
      <name val="Arial"/>
      <family val="2"/>
    </font>
    <font>
      <sz val="10"/>
      <color indexed="8"/>
      <name val="Arial"/>
      <family val="2"/>
    </font>
    <font>
      <b/>
      <sz val="10"/>
      <color indexed="8"/>
      <name val="Arial"/>
      <family val="2"/>
    </font>
    <font>
      <sz val="8"/>
      <color indexed="8"/>
      <name val="Arial"/>
      <family val="2"/>
    </font>
    <font>
      <sz val="8"/>
      <color indexed="81"/>
      <name val="Tahoma"/>
      <family val="2"/>
    </font>
    <font>
      <b/>
      <sz val="10"/>
      <color indexed="23"/>
      <name val="Arial"/>
      <family val="2"/>
    </font>
    <font>
      <sz val="28"/>
      <name val="Arial"/>
      <family val="2"/>
    </font>
    <font>
      <sz val="28"/>
      <name val="Arial"/>
      <family val="2"/>
    </font>
    <font>
      <sz val="28"/>
      <color indexed="8"/>
      <name val="Merck Logo"/>
    </font>
    <font>
      <sz val="8"/>
      <color indexed="12"/>
      <name val="Arial"/>
      <family val="2"/>
    </font>
    <font>
      <sz val="9"/>
      <color indexed="8"/>
      <name val="Arial"/>
      <family val="2"/>
    </font>
    <font>
      <u/>
      <sz val="10"/>
      <color indexed="8"/>
      <name val="Arial"/>
      <family val="2"/>
    </font>
    <font>
      <b/>
      <sz val="20"/>
      <color indexed="8"/>
      <name val="Arial"/>
      <family val="2"/>
    </font>
    <font>
      <sz val="20"/>
      <color indexed="8"/>
      <name val="Arial"/>
      <family val="2"/>
    </font>
    <font>
      <b/>
      <sz val="16"/>
      <color indexed="8"/>
      <name val="Arial"/>
      <family val="2"/>
    </font>
    <font>
      <sz val="16"/>
      <name val="Arial"/>
      <family val="2"/>
    </font>
    <font>
      <sz val="10"/>
      <color indexed="63"/>
      <name val="Arial"/>
      <family val="2"/>
    </font>
    <font>
      <i/>
      <sz val="10"/>
      <color indexed="63"/>
      <name val="Arial"/>
      <family val="2"/>
    </font>
    <font>
      <u/>
      <sz val="10"/>
      <name val="Arial"/>
      <family val="2"/>
    </font>
    <font>
      <b/>
      <sz val="10"/>
      <color indexed="9"/>
      <name val="Arial"/>
      <family val="2"/>
    </font>
    <font>
      <b/>
      <sz val="18"/>
      <name val="Arial"/>
      <family val="2"/>
    </font>
    <font>
      <sz val="12"/>
      <name val="Arial"/>
      <family val="2"/>
    </font>
    <font>
      <b/>
      <sz val="14"/>
      <name val="Arial"/>
      <family val="2"/>
    </font>
    <font>
      <b/>
      <u/>
      <sz val="14"/>
      <name val="Arial"/>
      <family val="2"/>
    </font>
    <font>
      <sz val="12"/>
      <color indexed="10"/>
      <name val="Arial"/>
      <family val="2"/>
    </font>
    <font>
      <b/>
      <sz val="12"/>
      <color indexed="10"/>
      <name val="Arial"/>
      <family val="2"/>
    </font>
    <font>
      <sz val="10"/>
      <color indexed="22"/>
      <name val="Arial"/>
      <family val="2"/>
    </font>
    <font>
      <sz val="8.5"/>
      <color theme="0"/>
      <name val="MS Sans Serif"/>
      <family val="2"/>
    </font>
    <font>
      <sz val="10"/>
      <color theme="0"/>
      <name val="Arial"/>
      <family val="2"/>
    </font>
    <font>
      <sz val="10"/>
      <color rgb="FFFF0000"/>
      <name val="Arial"/>
      <family val="2"/>
    </font>
    <font>
      <b/>
      <sz val="18"/>
      <color indexed="10"/>
      <name val="Arial"/>
      <family val="2"/>
    </font>
    <font>
      <u/>
      <sz val="9"/>
      <color indexed="12"/>
      <name val="Arial"/>
      <family val="2"/>
    </font>
    <font>
      <sz val="8"/>
      <color indexed="22"/>
      <name val="Microsoft Sans Serif"/>
      <family val="2"/>
    </font>
  </fonts>
  <fills count="15">
    <fill>
      <patternFill patternType="none"/>
    </fill>
    <fill>
      <patternFill patternType="gray125"/>
    </fill>
    <fill>
      <patternFill patternType="solid">
        <fgColor indexed="44"/>
        <bgColor indexed="64"/>
      </patternFill>
    </fill>
    <fill>
      <patternFill patternType="solid">
        <fgColor indexed="41"/>
        <bgColor indexed="64"/>
      </patternFill>
    </fill>
    <fill>
      <patternFill patternType="solid">
        <fgColor indexed="65"/>
        <bgColor indexed="64"/>
      </patternFill>
    </fill>
    <fill>
      <patternFill patternType="solid">
        <fgColor indexed="47"/>
        <bgColor indexed="64"/>
      </patternFill>
    </fill>
    <fill>
      <patternFill patternType="solid">
        <fgColor indexed="42"/>
        <bgColor indexed="64"/>
      </patternFill>
    </fill>
    <fill>
      <patternFill patternType="solid">
        <fgColor indexed="49"/>
        <bgColor indexed="64"/>
      </patternFill>
    </fill>
    <fill>
      <patternFill patternType="solid">
        <fgColor indexed="48"/>
        <bgColor indexed="64"/>
      </patternFill>
    </fill>
    <fill>
      <patternFill patternType="solid">
        <fgColor indexed="46"/>
        <bgColor indexed="64"/>
      </patternFill>
    </fill>
    <fill>
      <patternFill patternType="solid">
        <fgColor indexed="50"/>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8"/>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style="medium">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236">
    <xf numFmtId="0" fontId="0" fillId="0" borderId="0" xfId="0"/>
    <xf numFmtId="0" fontId="0" fillId="0" borderId="0" xfId="0" applyProtection="1">
      <protection locked="0"/>
    </xf>
    <xf numFmtId="0" fontId="1" fillId="0" borderId="1" xfId="0" applyFont="1" applyBorder="1" applyProtection="1"/>
    <xf numFmtId="0" fontId="1" fillId="0" borderId="4" xfId="0" applyFont="1" applyBorder="1" applyProtection="1"/>
    <xf numFmtId="0" fontId="1" fillId="0" borderId="5" xfId="0" applyFont="1" applyBorder="1" applyProtection="1"/>
    <xf numFmtId="0" fontId="0" fillId="0" borderId="5" xfId="0" applyBorder="1" applyProtection="1"/>
    <xf numFmtId="0" fontId="0" fillId="0" borderId="2" xfId="0" applyBorder="1" applyProtection="1">
      <protection locked="0"/>
    </xf>
    <xf numFmtId="0" fontId="1" fillId="0" borderId="0" xfId="0" applyFont="1" applyBorder="1" applyProtection="1"/>
    <xf numFmtId="0" fontId="0" fillId="0" borderId="0" xfId="0" applyBorder="1" applyProtection="1"/>
    <xf numFmtId="0" fontId="0" fillId="0" borderId="3" xfId="0" applyBorder="1" applyProtection="1">
      <protection locked="0"/>
    </xf>
    <xf numFmtId="0" fontId="0" fillId="0" borderId="0" xfId="0" applyBorder="1" applyProtection="1">
      <protection locked="0"/>
    </xf>
    <xf numFmtId="0" fontId="0" fillId="0" borderId="0" xfId="0" applyFill="1" applyBorder="1" applyProtection="1"/>
    <xf numFmtId="0" fontId="0" fillId="0" borderId="4" xfId="0" applyBorder="1" applyProtection="1">
      <protection locked="0"/>
    </xf>
    <xf numFmtId="0" fontId="0" fillId="3" borderId="6" xfId="0" applyFill="1" applyBorder="1" applyProtection="1"/>
    <xf numFmtId="0" fontId="8" fillId="0" borderId="2" xfId="0" applyFont="1" applyBorder="1" applyProtection="1">
      <protection locked="0"/>
    </xf>
    <xf numFmtId="0" fontId="0" fillId="0" borderId="0" xfId="0" applyNumberFormat="1" applyBorder="1" applyAlignment="1" applyProtection="1"/>
    <xf numFmtId="0" fontId="10" fillId="4" borderId="1" xfId="0" applyFont="1" applyFill="1" applyBorder="1" applyAlignment="1" applyProtection="1">
      <alignment horizontal="center"/>
      <protection locked="0"/>
    </xf>
    <xf numFmtId="0" fontId="0" fillId="3" borderId="8" xfId="0" applyNumberFormat="1" applyFill="1" applyBorder="1" applyAlignment="1" applyProtection="1">
      <alignment horizontal="center"/>
    </xf>
    <xf numFmtId="0" fontId="0" fillId="5" borderId="8" xfId="0" applyNumberFormat="1" applyFill="1" applyBorder="1" applyAlignment="1" applyProtection="1">
      <alignment horizontal="center"/>
      <protection locked="0"/>
    </xf>
    <xf numFmtId="0" fontId="0" fillId="0" borderId="0" xfId="0" applyNumberFormat="1" applyAlignment="1" applyProtection="1">
      <protection locked="0"/>
    </xf>
    <xf numFmtId="0" fontId="0" fillId="0" borderId="0" xfId="0" applyNumberFormat="1" applyBorder="1" applyAlignment="1" applyProtection="1">
      <protection locked="0"/>
    </xf>
    <xf numFmtId="0" fontId="5" fillId="0" borderId="9" xfId="0" applyNumberFormat="1" applyFont="1" applyBorder="1" applyAlignment="1" applyProtection="1">
      <alignment horizontal="center" shrinkToFit="1"/>
    </xf>
    <xf numFmtId="0" fontId="5" fillId="0" borderId="10" xfId="0" applyNumberFormat="1" applyFont="1" applyBorder="1" applyAlignment="1" applyProtection="1">
      <alignment horizontal="center" shrinkToFit="1"/>
    </xf>
    <xf numFmtId="0" fontId="5" fillId="0" borderId="11" xfId="0" applyNumberFormat="1" applyFont="1" applyBorder="1" applyAlignment="1" applyProtection="1">
      <alignment horizontal="center" shrinkToFit="1"/>
    </xf>
    <xf numFmtId="0" fontId="5" fillId="0" borderId="0" xfId="0" applyNumberFormat="1" applyFont="1" applyBorder="1" applyAlignment="1" applyProtection="1">
      <alignment horizontal="center" shrinkToFit="1"/>
    </xf>
    <xf numFmtId="0" fontId="5" fillId="0" borderId="12" xfId="0" applyNumberFormat="1" applyFont="1" applyBorder="1" applyAlignment="1" applyProtection="1">
      <alignment horizontal="center" shrinkToFit="1"/>
    </xf>
    <xf numFmtId="0" fontId="0" fillId="0" borderId="0" xfId="0" applyNumberFormat="1" applyBorder="1" applyAlignment="1" applyProtection="1">
      <alignment horizontal="center" shrinkToFit="1"/>
    </xf>
    <xf numFmtId="0" fontId="14" fillId="4" borderId="0" xfId="0" applyFont="1" applyFill="1" applyBorder="1" applyProtection="1">
      <protection locked="0"/>
    </xf>
    <xf numFmtId="0" fontId="14" fillId="4" borderId="2" xfId="0" applyFont="1" applyFill="1" applyBorder="1" applyProtection="1">
      <protection locked="0"/>
    </xf>
    <xf numFmtId="0" fontId="14" fillId="4" borderId="0" xfId="0" applyFont="1" applyFill="1" applyBorder="1" applyProtection="1"/>
    <xf numFmtId="0" fontId="16" fillId="4" borderId="0" xfId="0" applyNumberFormat="1" applyFont="1" applyFill="1" applyBorder="1" applyAlignment="1" applyProtection="1">
      <alignment horizontal="center" shrinkToFit="1"/>
    </xf>
    <xf numFmtId="0" fontId="14" fillId="4" borderId="3" xfId="0" applyFont="1" applyFill="1" applyBorder="1" applyProtection="1">
      <protection locked="0"/>
    </xf>
    <xf numFmtId="0" fontId="14" fillId="4" borderId="0" xfId="0" applyFont="1" applyFill="1" applyProtection="1">
      <protection locked="0"/>
    </xf>
    <xf numFmtId="0" fontId="15" fillId="4" borderId="13" xfId="0" applyFont="1" applyFill="1" applyBorder="1" applyProtection="1"/>
    <xf numFmtId="0" fontId="16" fillId="4" borderId="6" xfId="0" applyNumberFormat="1" applyFont="1" applyFill="1" applyBorder="1" applyAlignment="1" applyProtection="1">
      <alignment horizontal="center" shrinkToFit="1"/>
    </xf>
    <xf numFmtId="0" fontId="16" fillId="4" borderId="13" xfId="0" applyNumberFormat="1" applyFont="1" applyFill="1" applyBorder="1" applyAlignment="1" applyProtection="1">
      <alignment horizontal="center" shrinkToFit="1"/>
    </xf>
    <xf numFmtId="0" fontId="16" fillId="4" borderId="7" xfId="0" applyNumberFormat="1" applyFont="1" applyFill="1" applyBorder="1" applyAlignment="1" applyProtection="1">
      <alignment horizontal="center" shrinkToFit="1"/>
    </xf>
    <xf numFmtId="16" fontId="18" fillId="4" borderId="1" xfId="0" applyNumberFormat="1" applyFont="1" applyFill="1" applyBorder="1" applyProtection="1"/>
    <xf numFmtId="0" fontId="19" fillId="0" borderId="0" xfId="0" applyFont="1" applyBorder="1" applyProtection="1">
      <protection locked="0"/>
    </xf>
    <xf numFmtId="0" fontId="19" fillId="0" borderId="6" xfId="0" applyFont="1" applyBorder="1" applyProtection="1">
      <protection locked="0"/>
    </xf>
    <xf numFmtId="0" fontId="19" fillId="0" borderId="13" xfId="0" applyFont="1" applyBorder="1" applyProtection="1"/>
    <xf numFmtId="0" fontId="20" fillId="0" borderId="13" xfId="0" applyFont="1" applyBorder="1" applyProtection="1"/>
    <xf numFmtId="0" fontId="21" fillId="4" borderId="13" xfId="0" applyFont="1" applyFill="1" applyBorder="1" applyAlignment="1" applyProtection="1">
      <alignment horizontal="left"/>
    </xf>
    <xf numFmtId="0" fontId="19" fillId="0" borderId="13" xfId="0" applyNumberFormat="1" applyFont="1" applyBorder="1" applyAlignment="1" applyProtection="1"/>
    <xf numFmtId="0" fontId="19" fillId="0" borderId="13" xfId="0" applyNumberFormat="1" applyFont="1" applyBorder="1" applyAlignment="1" applyProtection="1">
      <protection locked="0"/>
    </xf>
    <xf numFmtId="0" fontId="19" fillId="0" borderId="7" xfId="0" applyFont="1" applyBorder="1" applyProtection="1">
      <protection locked="0"/>
    </xf>
    <xf numFmtId="0" fontId="19" fillId="0" borderId="0" xfId="0" applyFont="1" applyProtection="1">
      <protection locked="0"/>
    </xf>
    <xf numFmtId="0" fontId="0" fillId="0" borderId="0" xfId="0" applyBorder="1" applyAlignment="1"/>
    <xf numFmtId="0" fontId="14" fillId="4" borderId="0" xfId="0" applyFont="1" applyFill="1" applyBorder="1" applyAlignment="1" applyProtection="1"/>
    <xf numFmtId="0" fontId="0" fillId="0" borderId="0" xfId="0" applyProtection="1"/>
    <xf numFmtId="0" fontId="0" fillId="0" borderId="0" xfId="0" applyNumberFormat="1" applyAlignment="1" applyProtection="1"/>
    <xf numFmtId="0" fontId="14" fillId="4" borderId="5" xfId="0" applyFont="1" applyFill="1" applyBorder="1" applyProtection="1"/>
    <xf numFmtId="0" fontId="14" fillId="4" borderId="13" xfId="0" applyFont="1" applyFill="1" applyBorder="1" applyProtection="1"/>
    <xf numFmtId="0" fontId="0" fillId="0" borderId="5" xfId="0" applyNumberFormat="1" applyBorder="1" applyAlignment="1" applyProtection="1"/>
    <xf numFmtId="0" fontId="0" fillId="5" borderId="2" xfId="0" applyFill="1" applyBorder="1" applyProtection="1"/>
    <xf numFmtId="0" fontId="0" fillId="5" borderId="3" xfId="0" applyFill="1" applyBorder="1" applyProtection="1"/>
    <xf numFmtId="0" fontId="9" fillId="0" borderId="0" xfId="0" applyFont="1" applyBorder="1" applyProtection="1"/>
    <xf numFmtId="0" fontId="15" fillId="4" borderId="0" xfId="0" applyFont="1" applyFill="1" applyBorder="1" applyAlignment="1" applyProtection="1"/>
    <xf numFmtId="0" fontId="14" fillId="4" borderId="3" xfId="0" applyFont="1" applyFill="1" applyBorder="1" applyProtection="1"/>
    <xf numFmtId="0" fontId="23" fillId="4" borderId="0" xfId="0" applyFont="1" applyFill="1" applyBorder="1" applyAlignment="1" applyProtection="1"/>
    <xf numFmtId="0" fontId="13" fillId="4" borderId="0" xfId="0" applyFont="1" applyFill="1" applyAlignment="1">
      <alignment horizontal="left" indent="1"/>
    </xf>
    <xf numFmtId="0" fontId="13" fillId="4" borderId="0" xfId="0" applyFont="1" applyFill="1" applyAlignment="1">
      <alignment horizontal="left" indent="2"/>
    </xf>
    <xf numFmtId="0" fontId="24" fillId="4" borderId="0" xfId="1" applyFont="1" applyFill="1" applyBorder="1" applyAlignment="1" applyProtection="1"/>
    <xf numFmtId="0" fontId="13" fillId="4" borderId="0" xfId="0" applyFont="1" applyFill="1" applyBorder="1" applyAlignment="1">
      <alignment horizontal="left" indent="1"/>
    </xf>
    <xf numFmtId="0" fontId="25" fillId="4" borderId="0" xfId="0" applyFont="1" applyFill="1" applyBorder="1" applyAlignment="1" applyProtection="1"/>
    <xf numFmtId="0" fontId="5" fillId="0" borderId="0" xfId="0" applyFont="1" applyBorder="1" applyProtection="1">
      <protection locked="0"/>
    </xf>
    <xf numFmtId="0" fontId="15" fillId="4" borderId="0" xfId="0" applyFont="1" applyFill="1" applyBorder="1" applyProtection="1"/>
    <xf numFmtId="0" fontId="0" fillId="0" borderId="0" xfId="0" applyBorder="1" applyAlignment="1" applyProtection="1"/>
    <xf numFmtId="0" fontId="11" fillId="4" borderId="0" xfId="1" applyFont="1" applyFill="1" applyBorder="1" applyAlignment="1" applyProtection="1">
      <alignment horizontal="center"/>
    </xf>
    <xf numFmtId="0" fontId="9" fillId="0" borderId="0" xfId="0" applyNumberFormat="1" applyFont="1" applyFill="1" applyBorder="1" applyAlignment="1" applyProtection="1">
      <alignment horizontal="center" shrinkToFit="1"/>
    </xf>
    <xf numFmtId="16" fontId="18" fillId="0" borderId="0" xfId="0" applyNumberFormat="1" applyFont="1" applyFill="1" applyBorder="1" applyProtection="1"/>
    <xf numFmtId="0" fontId="0" fillId="0" borderId="10" xfId="0" applyBorder="1" applyProtection="1">
      <protection locked="0"/>
    </xf>
    <xf numFmtId="0" fontId="5" fillId="0" borderId="3" xfId="0" applyNumberFormat="1" applyFont="1" applyBorder="1" applyAlignment="1" applyProtection="1">
      <alignment horizontal="center" shrinkToFit="1"/>
    </xf>
    <xf numFmtId="0" fontId="5" fillId="0" borderId="15" xfId="0" applyNumberFormat="1" applyFont="1" applyBorder="1" applyAlignment="1" applyProtection="1">
      <alignment horizontal="center" shrinkToFit="1"/>
    </xf>
    <xf numFmtId="0" fontId="5" fillId="0" borderId="16" xfId="0" applyNumberFormat="1" applyFont="1" applyBorder="1" applyAlignment="1" applyProtection="1">
      <alignment horizontal="center" shrinkToFit="1"/>
    </xf>
    <xf numFmtId="0" fontId="5" fillId="0" borderId="17" xfId="0" applyNumberFormat="1" applyFont="1" applyBorder="1" applyAlignment="1" applyProtection="1">
      <alignment horizontal="center" shrinkToFit="1"/>
    </xf>
    <xf numFmtId="0" fontId="29" fillId="6" borderId="2" xfId="0" applyFont="1" applyFill="1" applyBorder="1" applyProtection="1"/>
    <xf numFmtId="0" fontId="30" fillId="6" borderId="3" xfId="0" applyFont="1" applyFill="1" applyBorder="1" applyProtection="1">
      <protection locked="0"/>
    </xf>
    <xf numFmtId="0" fontId="29" fillId="7" borderId="2" xfId="0" applyFont="1" applyFill="1" applyBorder="1" applyProtection="1"/>
    <xf numFmtId="0" fontId="30" fillId="7" borderId="3" xfId="0" applyFont="1" applyFill="1" applyBorder="1" applyProtection="1">
      <protection locked="0"/>
    </xf>
    <xf numFmtId="0" fontId="29" fillId="8" borderId="4" xfId="0" applyFont="1" applyFill="1" applyBorder="1" applyProtection="1"/>
    <xf numFmtId="0" fontId="30" fillId="8" borderId="14" xfId="0" applyFont="1" applyFill="1" applyBorder="1" applyProtection="1">
      <protection locked="0"/>
    </xf>
    <xf numFmtId="0" fontId="0" fillId="0" borderId="0" xfId="0" applyFill="1" applyBorder="1" applyAlignment="1"/>
    <xf numFmtId="0" fontId="0" fillId="0" borderId="0" xfId="0" applyFill="1" applyBorder="1" applyProtection="1">
      <protection locked="0"/>
    </xf>
    <xf numFmtId="0" fontId="24" fillId="0" borderId="0" xfId="1" applyFont="1" applyFill="1" applyBorder="1" applyAlignment="1" applyProtection="1"/>
    <xf numFmtId="0" fontId="31" fillId="4" borderId="5" xfId="1" applyFont="1" applyFill="1" applyBorder="1" applyAlignment="1" applyProtection="1"/>
    <xf numFmtId="0" fontId="0" fillId="0" borderId="0" xfId="0" applyBorder="1" applyAlignment="1" applyProtection="1">
      <alignment shrinkToFit="1"/>
    </xf>
    <xf numFmtId="0" fontId="0" fillId="0" borderId="16" xfId="0" applyNumberFormat="1" applyBorder="1" applyAlignment="1" applyProtection="1"/>
    <xf numFmtId="0" fontId="7" fillId="0" borderId="0" xfId="1" applyBorder="1" applyAlignment="1" applyProtection="1"/>
    <xf numFmtId="0" fontId="0" fillId="0" borderId="12" xfId="0" applyBorder="1" applyProtection="1"/>
    <xf numFmtId="0" fontId="26" fillId="4" borderId="0" xfId="0" applyFont="1" applyFill="1" applyBorder="1" applyAlignment="1"/>
    <xf numFmtId="0" fontId="0" fillId="0" borderId="0" xfId="0" applyBorder="1"/>
    <xf numFmtId="0" fontId="0" fillId="0" borderId="11" xfId="0" applyBorder="1" applyProtection="1"/>
    <xf numFmtId="0" fontId="0" fillId="0" borderId="0" xfId="0" applyBorder="1" applyAlignment="1" applyProtection="1">
      <alignment horizontal="left"/>
    </xf>
    <xf numFmtId="0" fontId="15" fillId="4" borderId="0" xfId="0" applyFont="1" applyFill="1" applyBorder="1" applyAlignment="1" applyProtection="1">
      <alignment horizontal="center"/>
    </xf>
    <xf numFmtId="0" fontId="12" fillId="4" borderId="0" xfId="0" applyFont="1" applyFill="1" applyBorder="1" applyAlignment="1" applyProtection="1"/>
    <xf numFmtId="0" fontId="13" fillId="4" borderId="0" xfId="0" applyFont="1" applyFill="1" applyBorder="1" applyAlignment="1" applyProtection="1">
      <alignment horizontal="left"/>
    </xf>
    <xf numFmtId="0" fontId="13" fillId="4" borderId="0" xfId="0" applyFont="1" applyFill="1" applyBorder="1" applyAlignment="1" applyProtection="1">
      <alignment horizontal="left" indent="1"/>
    </xf>
    <xf numFmtId="0" fontId="14" fillId="4" borderId="0" xfId="0" applyFont="1" applyFill="1" applyBorder="1" applyAlignment="1" applyProtection="1">
      <alignment horizontal="center"/>
    </xf>
    <xf numFmtId="0" fontId="0" fillId="0" borderId="15" xfId="0" applyBorder="1" applyProtection="1"/>
    <xf numFmtId="0" fontId="0" fillId="0" borderId="16" xfId="0" applyBorder="1" applyProtection="1"/>
    <xf numFmtId="0" fontId="13" fillId="4" borderId="16" xfId="0" applyFont="1" applyFill="1" applyBorder="1" applyAlignment="1" applyProtection="1">
      <alignment horizontal="left" indent="1"/>
    </xf>
    <xf numFmtId="0" fontId="14" fillId="4" borderId="16" xfId="0" applyFont="1" applyFill="1" applyBorder="1" applyProtection="1"/>
    <xf numFmtId="0" fontId="0" fillId="0" borderId="17" xfId="0" applyBorder="1" applyProtection="1"/>
    <xf numFmtId="0" fontId="1" fillId="0" borderId="18" xfId="0" applyFont="1" applyBorder="1" applyProtection="1"/>
    <xf numFmtId="0" fontId="15" fillId="4" borderId="19" xfId="0" applyFont="1" applyFill="1" applyBorder="1" applyProtection="1"/>
    <xf numFmtId="0" fontId="0" fillId="0" borderId="19" xfId="0" applyBorder="1" applyProtection="1"/>
    <xf numFmtId="0" fontId="9" fillId="0" borderId="20" xfId="0" applyNumberFormat="1" applyFont="1" applyBorder="1" applyAlignment="1" applyProtection="1">
      <alignment horizontal="center" shrinkToFit="1"/>
    </xf>
    <xf numFmtId="0" fontId="16" fillId="5" borderId="21" xfId="0" applyNumberFormat="1" applyFont="1" applyFill="1" applyBorder="1" applyAlignment="1" applyProtection="1">
      <alignment horizontal="center" shrinkToFit="1"/>
    </xf>
    <xf numFmtId="0" fontId="9" fillId="0" borderId="21" xfId="0" applyNumberFormat="1" applyFont="1" applyBorder="1" applyAlignment="1" applyProtection="1">
      <alignment horizontal="center" shrinkToFit="1"/>
    </xf>
    <xf numFmtId="0" fontId="9" fillId="0" borderId="22" xfId="0" applyNumberFormat="1" applyFont="1" applyBorder="1" applyAlignment="1" applyProtection="1">
      <alignment horizontal="center" shrinkToFit="1"/>
    </xf>
    <xf numFmtId="0" fontId="0" fillId="7" borderId="1" xfId="0" applyNumberFormat="1" applyFill="1" applyBorder="1" applyAlignment="1" applyProtection="1">
      <alignment horizontal="center"/>
    </xf>
    <xf numFmtId="0" fontId="29" fillId="0" borderId="0" xfId="0" applyFont="1" applyFill="1" applyBorder="1" applyProtection="1"/>
    <xf numFmtId="0" fontId="30" fillId="0" borderId="0" xfId="0" applyFont="1" applyFill="1" applyBorder="1" applyProtection="1">
      <protection locked="0"/>
    </xf>
    <xf numFmtId="0" fontId="4" fillId="0" borderId="0" xfId="0" applyFont="1" applyFill="1" applyBorder="1" applyProtection="1"/>
    <xf numFmtId="17" fontId="14" fillId="4" borderId="0" xfId="0" applyNumberFormat="1" applyFont="1" applyFill="1" applyBorder="1" applyProtection="1"/>
    <xf numFmtId="0" fontId="0" fillId="9" borderId="8" xfId="0" applyNumberFormat="1" applyFill="1" applyBorder="1" applyAlignment="1" applyProtection="1">
      <alignment horizontal="center"/>
      <protection locked="0"/>
    </xf>
    <xf numFmtId="0" fontId="0" fillId="10" borderId="9" xfId="0" applyNumberFormat="1" applyFill="1" applyBorder="1" applyAlignment="1" applyProtection="1">
      <alignment horizontal="center"/>
    </xf>
    <xf numFmtId="0" fontId="0" fillId="11" borderId="1" xfId="0" applyNumberFormat="1" applyFill="1" applyBorder="1" applyAlignment="1" applyProtection="1">
      <alignment horizontal="center"/>
    </xf>
    <xf numFmtId="0" fontId="0" fillId="8" borderId="1" xfId="0" applyNumberFormat="1" applyFill="1" applyBorder="1" applyAlignment="1" applyProtection="1">
      <alignment horizontal="center"/>
    </xf>
    <xf numFmtId="0" fontId="13" fillId="4" borderId="5" xfId="0" applyFont="1" applyFill="1" applyBorder="1" applyProtection="1"/>
    <xf numFmtId="0" fontId="32" fillId="0" borderId="0" xfId="0" applyFont="1" applyAlignment="1" applyProtection="1">
      <alignment shrinkToFit="1"/>
    </xf>
    <xf numFmtId="0" fontId="16" fillId="9" borderId="21" xfId="0" applyNumberFormat="1" applyFont="1" applyFill="1" applyBorder="1" applyAlignment="1" applyProtection="1">
      <alignment horizontal="center" shrinkToFit="1"/>
    </xf>
    <xf numFmtId="0" fontId="29" fillId="9" borderId="2" xfId="0" applyFont="1" applyFill="1" applyBorder="1" applyProtection="1"/>
    <xf numFmtId="0" fontId="0" fillId="10" borderId="2" xfId="0" applyFill="1" applyBorder="1" applyProtection="1"/>
    <xf numFmtId="0" fontId="30" fillId="9" borderId="3" xfId="0" applyFont="1" applyFill="1" applyBorder="1" applyProtection="1"/>
    <xf numFmtId="0" fontId="8" fillId="0" borderId="0" xfId="0" applyFont="1"/>
    <xf numFmtId="0" fontId="13" fillId="5" borderId="23" xfId="0" applyFont="1" applyFill="1" applyBorder="1" applyAlignment="1" applyProtection="1">
      <alignment horizontal="left" indent="1"/>
    </xf>
    <xf numFmtId="0" fontId="13" fillId="12" borderId="25" xfId="0" applyFont="1" applyFill="1" applyBorder="1" applyAlignment="1" applyProtection="1">
      <alignment horizontal="center"/>
      <protection locked="0"/>
    </xf>
    <xf numFmtId="0" fontId="22" fillId="4" borderId="0" xfId="0" applyFont="1" applyFill="1" applyBorder="1" applyAlignment="1" applyProtection="1">
      <alignment horizontal="center"/>
    </xf>
    <xf numFmtId="0" fontId="31" fillId="0" borderId="0" xfId="1" applyFont="1" applyAlignment="1" applyProtection="1"/>
    <xf numFmtId="0" fontId="34" fillId="0" borderId="0" xfId="0" applyFont="1"/>
    <xf numFmtId="0" fontId="35" fillId="0" borderId="0" xfId="0" applyFont="1" applyAlignment="1">
      <alignment horizontal="left" indent="1"/>
    </xf>
    <xf numFmtId="0" fontId="8" fillId="0" borderId="0" xfId="0" applyFont="1" applyAlignment="1">
      <alignment horizontal="left" indent="1"/>
    </xf>
    <xf numFmtId="0" fontId="2" fillId="0" borderId="0" xfId="0" applyFont="1" applyAlignment="1">
      <alignment horizontal="left" indent="1"/>
    </xf>
    <xf numFmtId="0" fontId="34" fillId="0" borderId="0" xfId="0" applyFont="1" applyAlignment="1">
      <alignment horizontal="left" indent="1"/>
    </xf>
    <xf numFmtId="0" fontId="2" fillId="0" borderId="0" xfId="0" applyFont="1" applyAlignment="1">
      <alignment horizontal="left" wrapText="1" indent="1"/>
    </xf>
    <xf numFmtId="0" fontId="0" fillId="0" borderId="0" xfId="0" applyAlignment="1">
      <alignment horizontal="left" wrapText="1" indent="1"/>
    </xf>
    <xf numFmtId="0" fontId="8" fillId="0" borderId="0" xfId="0" applyFont="1" applyAlignment="1">
      <alignment horizontal="left" wrapText="1" indent="1"/>
    </xf>
    <xf numFmtId="0" fontId="1" fillId="0" borderId="0" xfId="0" applyFont="1" applyAlignment="1">
      <alignment horizontal="left" wrapText="1" indent="1"/>
    </xf>
    <xf numFmtId="0" fontId="33" fillId="0" borderId="0" xfId="0" applyFont="1" applyAlignment="1">
      <alignment horizontal="left" indent="1"/>
    </xf>
    <xf numFmtId="0" fontId="13" fillId="4" borderId="11" xfId="0" applyFont="1" applyFill="1" applyBorder="1" applyAlignment="1" applyProtection="1">
      <alignment horizontal="left" indent="1"/>
    </xf>
    <xf numFmtId="0" fontId="13" fillId="4" borderId="0" xfId="0" applyFont="1" applyFill="1" applyBorder="1" applyProtection="1"/>
    <xf numFmtId="0" fontId="22" fillId="4" borderId="11" xfId="0" applyFont="1" applyFill="1" applyBorder="1" applyAlignment="1" applyProtection="1">
      <alignment horizontal="center"/>
    </xf>
    <xf numFmtId="0" fontId="13" fillId="4" borderId="11" xfId="0" applyFont="1" applyFill="1" applyBorder="1" applyProtection="1"/>
    <xf numFmtId="0" fontId="13" fillId="4" borderId="0" xfId="0" applyNumberFormat="1" applyFont="1" applyFill="1" applyBorder="1" applyAlignment="1" applyProtection="1"/>
    <xf numFmtId="0" fontId="39" fillId="0" borderId="0" xfId="0" applyFont="1" applyBorder="1" applyProtection="1"/>
    <xf numFmtId="0" fontId="40" fillId="0" borderId="5" xfId="0" applyFont="1" applyFill="1" applyBorder="1" applyProtection="1"/>
    <xf numFmtId="0" fontId="40" fillId="0" borderId="5" xfId="0" applyFont="1" applyFill="1" applyBorder="1" applyProtection="1">
      <protection locked="0"/>
    </xf>
    <xf numFmtId="0" fontId="41" fillId="0" borderId="5" xfId="0" applyFont="1" applyFill="1" applyBorder="1" applyProtection="1">
      <protection locked="0"/>
    </xf>
    <xf numFmtId="0" fontId="40" fillId="0" borderId="5" xfId="0" applyFont="1" applyBorder="1" applyProtection="1"/>
    <xf numFmtId="0" fontId="3" fillId="3" borderId="7" xfId="0" applyFont="1" applyFill="1" applyBorder="1" applyProtection="1"/>
    <xf numFmtId="0" fontId="3" fillId="2" borderId="3" xfId="0" applyFont="1" applyFill="1" applyBorder="1" applyProtection="1"/>
    <xf numFmtId="0" fontId="3" fillId="10" borderId="3" xfId="0" applyFont="1" applyFill="1" applyBorder="1" applyProtection="1"/>
    <xf numFmtId="0" fontId="8" fillId="2" borderId="2" xfId="0" applyFont="1" applyFill="1" applyBorder="1" applyProtection="1"/>
    <xf numFmtId="0" fontId="42" fillId="0" borderId="5" xfId="0" applyFont="1" applyBorder="1" applyProtection="1">
      <protection locked="0"/>
    </xf>
    <xf numFmtId="0" fontId="42" fillId="0" borderId="5" xfId="0" applyNumberFormat="1" applyFont="1" applyBorder="1" applyAlignment="1" applyProtection="1"/>
    <xf numFmtId="0" fontId="8" fillId="2" borderId="3" xfId="0" applyFont="1" applyFill="1" applyBorder="1" applyProtection="1"/>
    <xf numFmtId="0" fontId="1" fillId="4" borderId="1" xfId="0" applyFont="1" applyFill="1" applyBorder="1" applyProtection="1"/>
    <xf numFmtId="0" fontId="8" fillId="0" borderId="14" xfId="0" applyFont="1" applyBorder="1" applyProtection="1"/>
    <xf numFmtId="0" fontId="41" fillId="0" borderId="0" xfId="0" applyFont="1" applyProtection="1">
      <protection locked="0"/>
    </xf>
    <xf numFmtId="0" fontId="3" fillId="2" borderId="7" xfId="0" applyFont="1" applyFill="1" applyBorder="1" applyProtection="1">
      <protection locked="0"/>
    </xf>
    <xf numFmtId="0" fontId="3" fillId="0" borderId="0" xfId="0" applyFont="1" applyBorder="1" applyAlignment="1" applyProtection="1">
      <alignment horizontal="center"/>
    </xf>
    <xf numFmtId="0" fontId="4" fillId="0" borderId="0" xfId="0" applyFont="1" applyBorder="1" applyAlignment="1" applyProtection="1">
      <alignment horizontal="center"/>
    </xf>
    <xf numFmtId="0" fontId="8" fillId="0" borderId="0" xfId="0" applyNumberFormat="1" applyFont="1" applyBorder="1" applyAlignment="1" applyProtection="1"/>
    <xf numFmtId="0" fontId="13" fillId="12" borderId="24" xfId="0" applyFont="1" applyFill="1" applyBorder="1" applyAlignment="1" applyProtection="1">
      <alignment horizontal="center"/>
      <protection locked="0"/>
    </xf>
    <xf numFmtId="0" fontId="8" fillId="0" borderId="0" xfId="0" applyFont="1" applyBorder="1" applyAlignment="1" applyProtection="1"/>
    <xf numFmtId="17" fontId="8" fillId="0" borderId="0" xfId="0" applyNumberFormat="1" applyFont="1" applyBorder="1" applyProtection="1"/>
    <xf numFmtId="17" fontId="41" fillId="0" borderId="0" xfId="0" applyNumberFormat="1" applyFont="1" applyProtection="1">
      <protection locked="0"/>
    </xf>
    <xf numFmtId="0" fontId="41" fillId="0" borderId="0" xfId="0" applyFont="1" applyBorder="1" applyProtection="1"/>
    <xf numFmtId="0" fontId="41" fillId="4" borderId="0" xfId="0" applyFont="1" applyFill="1" applyBorder="1" applyProtection="1"/>
    <xf numFmtId="0" fontId="41" fillId="4" borderId="0" xfId="0" applyFont="1" applyFill="1" applyBorder="1" applyAlignment="1" applyProtection="1">
      <alignment horizontal="left" indent="1"/>
    </xf>
    <xf numFmtId="0" fontId="41" fillId="0" borderId="0" xfId="0" applyFont="1" applyBorder="1" applyAlignment="1" applyProtection="1">
      <protection locked="0"/>
    </xf>
    <xf numFmtId="0" fontId="41" fillId="4" borderId="0" xfId="0" applyFont="1" applyFill="1" applyProtection="1">
      <protection locked="0"/>
    </xf>
    <xf numFmtId="0" fontId="41" fillId="4" borderId="0" xfId="0" applyFont="1" applyFill="1" applyAlignment="1">
      <alignment horizontal="left" indent="1"/>
    </xf>
    <xf numFmtId="0" fontId="41" fillId="0" borderId="0" xfId="0" applyFont="1" applyBorder="1" applyAlignment="1" applyProtection="1"/>
    <xf numFmtId="0" fontId="41" fillId="4" borderId="0" xfId="0" applyFont="1" applyFill="1" applyAlignment="1">
      <alignment horizontal="left" indent="2"/>
    </xf>
    <xf numFmtId="0" fontId="0" fillId="0" borderId="0" xfId="0" applyNumberFormat="1" applyBorder="1" applyAlignment="1" applyProtection="1"/>
    <xf numFmtId="0" fontId="0" fillId="0" borderId="0" xfId="0" applyBorder="1" applyAlignment="1" applyProtection="1">
      <alignment horizontal="left" indent="1"/>
    </xf>
    <xf numFmtId="0" fontId="0" fillId="0" borderId="15" xfId="0" applyBorder="1" applyAlignment="1" applyProtection="1">
      <alignment horizontal="left" indent="1"/>
    </xf>
    <xf numFmtId="0" fontId="0" fillId="0" borderId="29" xfId="0" applyBorder="1" applyProtection="1"/>
    <xf numFmtId="0" fontId="8" fillId="11" borderId="4" xfId="0" applyFont="1" applyFill="1" applyBorder="1" applyProtection="1"/>
    <xf numFmtId="0" fontId="0" fillId="6" borderId="28" xfId="0" applyNumberFormat="1" applyFill="1" applyBorder="1" applyAlignment="1" applyProtection="1">
      <alignment horizontal="center"/>
    </xf>
    <xf numFmtId="0" fontId="5" fillId="0" borderId="29" xfId="0" applyNumberFormat="1" applyFont="1" applyBorder="1" applyAlignment="1" applyProtection="1">
      <alignment horizontal="center" shrinkToFit="1"/>
    </xf>
    <xf numFmtId="0" fontId="8" fillId="11" borderId="14" xfId="0" applyFont="1" applyFill="1" applyBorder="1" applyProtection="1"/>
    <xf numFmtId="0" fontId="8" fillId="11" borderId="14" xfId="0" applyFont="1" applyFill="1" applyBorder="1" applyAlignment="1" applyProtection="1">
      <alignment horizontal="left"/>
    </xf>
    <xf numFmtId="0" fontId="0" fillId="12" borderId="25" xfId="0" applyFill="1" applyBorder="1" applyAlignment="1" applyProtection="1">
      <alignment horizontal="center"/>
      <protection locked="0"/>
    </xf>
    <xf numFmtId="0" fontId="12" fillId="9" borderId="23" xfId="0" applyFont="1" applyFill="1" applyBorder="1" applyAlignment="1" applyProtection="1">
      <alignment horizontal="left" indent="1"/>
    </xf>
    <xf numFmtId="0" fontId="13" fillId="12" borderId="30" xfId="0" applyFont="1" applyFill="1" applyBorder="1" applyAlignment="1" applyProtection="1">
      <alignment horizontal="center"/>
      <protection locked="0"/>
    </xf>
    <xf numFmtId="0" fontId="16" fillId="4" borderId="31" xfId="0" applyNumberFormat="1" applyFont="1" applyFill="1" applyBorder="1" applyAlignment="1" applyProtection="1">
      <alignment horizontal="center" shrinkToFit="1"/>
    </xf>
    <xf numFmtId="0" fontId="5" fillId="11" borderId="22" xfId="0" applyNumberFormat="1" applyFont="1" applyFill="1" applyBorder="1" applyAlignment="1" applyProtection="1">
      <alignment horizontal="center"/>
    </xf>
    <xf numFmtId="0" fontId="10" fillId="3" borderId="1" xfId="0" applyFont="1" applyFill="1" applyBorder="1" applyAlignment="1" applyProtection="1">
      <alignment horizontal="center"/>
      <protection locked="0"/>
    </xf>
    <xf numFmtId="0" fontId="45" fillId="13" borderId="1" xfId="0" applyFont="1" applyFill="1" applyBorder="1" applyAlignment="1" applyProtection="1">
      <alignment horizontal="center"/>
      <protection locked="0"/>
    </xf>
    <xf numFmtId="0" fontId="10" fillId="2" borderId="1" xfId="0" applyFont="1" applyFill="1" applyBorder="1" applyAlignment="1" applyProtection="1">
      <alignment horizontal="center"/>
      <protection locked="0"/>
    </xf>
    <xf numFmtId="0" fontId="10" fillId="14" borderId="1" xfId="0" applyFont="1" applyFill="1" applyBorder="1" applyAlignment="1" applyProtection="1">
      <alignment horizontal="center"/>
      <protection locked="0"/>
    </xf>
    <xf numFmtId="0" fontId="12" fillId="4" borderId="26" xfId="0" applyFont="1" applyFill="1" applyBorder="1" applyAlignment="1" applyProtection="1">
      <alignment horizontal="center" shrinkToFit="1"/>
      <protection locked="0"/>
    </xf>
    <xf numFmtId="0" fontId="0" fillId="0" borderId="27" xfId="0" applyBorder="1" applyAlignment="1">
      <alignment shrinkToFit="1"/>
    </xf>
    <xf numFmtId="0" fontId="0" fillId="0" borderId="28" xfId="0" applyBorder="1" applyAlignment="1">
      <alignment shrinkToFit="1"/>
    </xf>
    <xf numFmtId="0" fontId="2" fillId="0" borderId="0" xfId="0" applyFont="1" applyBorder="1" applyAlignment="1" applyProtection="1"/>
    <xf numFmtId="0" fontId="0" fillId="0" borderId="0" xfId="0" applyBorder="1" applyAlignment="1" applyProtection="1"/>
    <xf numFmtId="0" fontId="13" fillId="4" borderId="27" xfId="0" applyFont="1" applyFill="1" applyBorder="1" applyAlignment="1">
      <alignment horizontal="center" shrinkToFit="1"/>
    </xf>
    <xf numFmtId="0" fontId="13" fillId="4" borderId="28" xfId="0" applyFont="1" applyFill="1" applyBorder="1" applyAlignment="1">
      <alignment horizontal="center" shrinkToFit="1"/>
    </xf>
    <xf numFmtId="0" fontId="27" fillId="4" borderId="0" xfId="0" applyFont="1" applyFill="1" applyBorder="1" applyAlignment="1" applyProtection="1">
      <alignment horizontal="center"/>
      <protection locked="0"/>
    </xf>
    <xf numFmtId="0" fontId="28" fillId="0" borderId="0" xfId="0" applyFont="1" applyBorder="1" applyAlignment="1" applyProtection="1">
      <alignment horizontal="center"/>
      <protection locked="0"/>
    </xf>
    <xf numFmtId="0" fontId="14" fillId="4" borderId="2" xfId="0" applyFont="1" applyFill="1" applyBorder="1" applyAlignment="1" applyProtection="1">
      <protection locked="0"/>
    </xf>
    <xf numFmtId="0" fontId="0" fillId="0" borderId="0" xfId="0" applyBorder="1" applyAlignment="1" applyProtection="1">
      <protection locked="0"/>
    </xf>
    <xf numFmtId="0" fontId="0" fillId="0" borderId="3" xfId="0" applyBorder="1" applyAlignment="1" applyProtection="1">
      <protection locked="0"/>
    </xf>
    <xf numFmtId="0" fontId="7" fillId="0" borderId="0" xfId="1" applyFill="1" applyBorder="1" applyAlignment="1" applyProtection="1"/>
    <xf numFmtId="0" fontId="0" fillId="0" borderId="0" xfId="0" applyBorder="1" applyAlignment="1"/>
    <xf numFmtId="0" fontId="7" fillId="0" borderId="0" xfId="1" applyFont="1" applyFill="1" applyBorder="1" applyAlignment="1" applyProtection="1"/>
    <xf numFmtId="0" fontId="0" fillId="0" borderId="0" xfId="0" applyFill="1" applyBorder="1"/>
    <xf numFmtId="0" fontId="7" fillId="0" borderId="0" xfId="1" applyNumberFormat="1" applyBorder="1" applyAlignment="1" applyProtection="1">
      <alignment horizontal="left"/>
    </xf>
    <xf numFmtId="0" fontId="7" fillId="0" borderId="0" xfId="1" applyBorder="1" applyAlignment="1" applyProtection="1">
      <alignment horizontal="left"/>
    </xf>
    <xf numFmtId="0" fontId="7" fillId="0" borderId="0" xfId="1" applyBorder="1" applyAlignment="1" applyProtection="1"/>
    <xf numFmtId="0" fontId="14" fillId="4" borderId="4" xfId="0" applyFont="1" applyFill="1" applyBorder="1" applyAlignment="1" applyProtection="1">
      <protection locked="0"/>
    </xf>
    <xf numFmtId="0" fontId="0" fillId="0" borderId="5" xfId="0" applyBorder="1" applyAlignment="1"/>
    <xf numFmtId="0" fontId="0" fillId="0" borderId="14" xfId="0" applyBorder="1" applyAlignment="1"/>
    <xf numFmtId="0" fontId="7" fillId="4" borderId="0" xfId="1" applyFill="1" applyBorder="1" applyAlignment="1" applyProtection="1">
      <alignment horizontal="left"/>
    </xf>
    <xf numFmtId="0" fontId="7" fillId="0" borderId="0" xfId="1" applyAlignment="1" applyProtection="1"/>
    <xf numFmtId="0" fontId="7" fillId="4" borderId="16" xfId="1" applyFill="1" applyBorder="1" applyAlignment="1" applyProtection="1">
      <alignment horizontal="left"/>
    </xf>
    <xf numFmtId="0" fontId="0" fillId="0" borderId="16" xfId="0" applyBorder="1" applyAlignment="1">
      <alignment horizontal="left"/>
    </xf>
    <xf numFmtId="0" fontId="0" fillId="0" borderId="16" xfId="0" applyBorder="1" applyAlignment="1"/>
    <xf numFmtId="0" fontId="44" fillId="0" borderId="0" xfId="1" applyFont="1" applyFill="1" applyBorder="1" applyAlignment="1" applyProtection="1">
      <alignment vertical="center"/>
    </xf>
    <xf numFmtId="0" fontId="44" fillId="0" borderId="0" xfId="1" applyFont="1" applyBorder="1" applyAlignment="1" applyProtection="1"/>
    <xf numFmtId="0" fontId="7" fillId="0" borderId="5" xfId="1" applyFill="1" applyBorder="1" applyAlignment="1" applyProtection="1">
      <alignment vertical="center"/>
    </xf>
    <xf numFmtId="0" fontId="7" fillId="0" borderId="5" xfId="1" applyBorder="1" applyAlignment="1" applyProtection="1"/>
    <xf numFmtId="0" fontId="6" fillId="0" borderId="0" xfId="0" applyNumberFormat="1" applyFont="1" applyBorder="1" applyAlignment="1" applyProtection="1"/>
    <xf numFmtId="0" fontId="0" fillId="0" borderId="0" xfId="0" applyNumberFormat="1" applyBorder="1" applyAlignment="1" applyProtection="1"/>
    <xf numFmtId="0" fontId="0" fillId="0" borderId="16" xfId="0" applyNumberFormat="1" applyBorder="1" applyAlignment="1" applyProtection="1"/>
    <xf numFmtId="0" fontId="0" fillId="0" borderId="16" xfId="0" applyBorder="1" applyAlignment="1" applyProtection="1"/>
    <xf numFmtId="0" fontId="8" fillId="4" borderId="2" xfId="0" applyFont="1" applyFill="1" applyBorder="1" applyAlignment="1" applyProtection="1">
      <protection locked="0"/>
    </xf>
    <xf numFmtId="0" fontId="8" fillId="0" borderId="0" xfId="0" applyFont="1" applyBorder="1" applyAlignment="1" applyProtection="1">
      <protection locked="0"/>
    </xf>
    <xf numFmtId="0" fontId="8" fillId="0" borderId="3" xfId="0" applyFont="1" applyBorder="1" applyAlignment="1" applyProtection="1">
      <protection locked="0"/>
    </xf>
    <xf numFmtId="0" fontId="13" fillId="4" borderId="6" xfId="0" applyFont="1" applyFill="1" applyBorder="1" applyAlignment="1" applyProtection="1">
      <protection locked="0"/>
    </xf>
    <xf numFmtId="0" fontId="0" fillId="0" borderId="13" xfId="0" applyBorder="1" applyAlignment="1" applyProtection="1">
      <protection locked="0"/>
    </xf>
    <xf numFmtId="0" fontId="0" fillId="0" borderId="7" xfId="0" applyBorder="1" applyAlignment="1" applyProtection="1">
      <protection locked="0"/>
    </xf>
  </cellXfs>
  <cellStyles count="2">
    <cellStyle name="Hyperlink" xfId="1" builtinId="8"/>
    <cellStyle name="Normal" xfId="0" builtinId="0"/>
  </cellStyles>
  <dxfs count="5">
    <dxf>
      <font>
        <b/>
        <i/>
        <color rgb="FFFFFF00"/>
      </font>
      <fill>
        <patternFill>
          <bgColor rgb="FFFF0000"/>
        </patternFill>
      </fill>
    </dxf>
    <dxf>
      <font>
        <b val="0"/>
        <i/>
        <strike val="0"/>
        <condense val="0"/>
        <extend val="0"/>
      </font>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28575</xdr:colOff>
          <xdr:row>2</xdr:row>
          <xdr:rowOff>0</xdr:rowOff>
        </xdr:from>
        <xdr:to>
          <xdr:col>43</xdr:col>
          <xdr:colOff>142875</xdr:colOff>
          <xdr:row>5</xdr:row>
          <xdr:rowOff>123825</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16</xdr:col>
      <xdr:colOff>149629</xdr:colOff>
      <xdr:row>1</xdr:row>
      <xdr:rowOff>74815</xdr:rowOff>
    </xdr:from>
    <xdr:to>
      <xdr:col>24</xdr:col>
      <xdr:colOff>149629</xdr:colOff>
      <xdr:row>4</xdr:row>
      <xdr:rowOff>133004</xdr:rowOff>
    </xdr:to>
    <xdr:pic>
      <xdr:nvPicPr>
        <xdr:cNvPr id="1072" name="Picture 55">
          <a:extLst>
            <a:ext uri="{FF2B5EF4-FFF2-40B4-BE49-F238E27FC236}">
              <a16:creationId xmlns:a16="http://schemas.microsoft.com/office/drawing/2014/main" id="{00000000-0008-0000-0000-00003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19285" y="265315"/>
          <a:ext cx="2000250" cy="5939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35</xdr:row>
      <xdr:rowOff>0</xdr:rowOff>
    </xdr:from>
    <xdr:to>
      <xdr:col>1</xdr:col>
      <xdr:colOff>10000211</xdr:colOff>
      <xdr:row>69</xdr:row>
      <xdr:rowOff>56342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546" y="6927272"/>
          <a:ext cx="10000211" cy="5394960"/>
        </a:xfrm>
        <a:prstGeom prst="rect">
          <a:avLst/>
        </a:prstGeom>
      </xdr:spPr>
    </xdr:pic>
    <xdr:clientData/>
  </xdr:twoCellAnchor>
  <xdr:twoCellAnchor editAs="oneCell">
    <xdr:from>
      <xdr:col>1</xdr:col>
      <xdr:colOff>5497285</xdr:colOff>
      <xdr:row>0</xdr:row>
      <xdr:rowOff>1</xdr:rowOff>
    </xdr:from>
    <xdr:to>
      <xdr:col>1</xdr:col>
      <xdr:colOff>10681607</xdr:colOff>
      <xdr:row>5</xdr:row>
      <xdr:rowOff>189278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5646964" y="1"/>
          <a:ext cx="5184322" cy="118259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collaboration.merck.com/sites/hr/Pages/Manager/Paid-Time-Off-and-Leaves-of-Absence-Mgr-en-us.aspx" TargetMode="External"/><Relationship Id="rId13" Type="http://schemas.openxmlformats.org/officeDocument/2006/relationships/vmlDrawing" Target="../drawings/vmlDrawing1.vml"/><Relationship Id="rId3" Type="http://schemas.openxmlformats.org/officeDocument/2006/relationships/hyperlink" Target="http://humres.merck.com/polproc/us/b1.html" TargetMode="External"/><Relationship Id="rId7" Type="http://schemas.openxmlformats.org/officeDocument/2006/relationships/hyperlink" Target="https://collaboration.merck.com/sites/hr/Pages/Vacation-Holiday-Year-End-Shutdown-en-us.aspx" TargetMode="External"/><Relationship Id="rId12" Type="http://schemas.openxmlformats.org/officeDocument/2006/relationships/drawing" Target="../drawings/drawing1.xml"/><Relationship Id="rId2" Type="http://schemas.openxmlformats.org/officeDocument/2006/relationships/hyperlink" Target="https://collaboration.merck.com/sites/hr/Pages/Employee/Payroll-Time-Reporting-en-us.aspx" TargetMode="External"/><Relationship Id="rId16" Type="http://schemas.openxmlformats.org/officeDocument/2006/relationships/comments" Target="../comments1.xml"/><Relationship Id="rId1" Type="http://schemas.openxmlformats.org/officeDocument/2006/relationships/hyperlink" Target="http://hr.merck.com/polproc/us/b4_2007.html" TargetMode="External"/><Relationship Id="rId6" Type="http://schemas.openxmlformats.org/officeDocument/2006/relationships/hyperlink" Target="mailto:stevenkrotzer@gmail.com" TargetMode="External"/><Relationship Id="rId11" Type="http://schemas.openxmlformats.org/officeDocument/2006/relationships/printerSettings" Target="../printerSettings/printerSettings1.bin"/><Relationship Id="rId5" Type="http://schemas.openxmlformats.org/officeDocument/2006/relationships/hyperlink" Target="http://one.merck.com/sites/sa/Redirects/Merck%20LOA%20Brochure.htm" TargetMode="External"/><Relationship Id="rId15" Type="http://schemas.openxmlformats.org/officeDocument/2006/relationships/image" Target="../media/image1.emf"/><Relationship Id="rId10" Type="http://schemas.openxmlformats.org/officeDocument/2006/relationships/hyperlink" Target="https://collaboration.merck.com/sites/hr/MidasDocs/Policy+(US)+Paid+Time+Off+and+Leaves+of+Absence.pdf" TargetMode="External"/><Relationship Id="rId4" Type="http://schemas.openxmlformats.org/officeDocument/2006/relationships/hyperlink" Target="http://one.merck.com/sites/sa/en-us/Pages/Employee-Leaves-of-Absence-Policy.aspx" TargetMode="External"/><Relationship Id="rId9" Type="http://schemas.openxmlformats.org/officeDocument/2006/relationships/hyperlink" Target="mailto:ryan.riling@merck.com" TargetMode="External"/><Relationship Id="rId1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Z12340"/>
  <sheetViews>
    <sheetView showGridLines="0" tabSelected="1" zoomScale="80" zoomScaleNormal="80" zoomScaleSheetLayoutView="85" zoomScalePageLayoutView="70" workbookViewId="0"/>
  </sheetViews>
  <sheetFormatPr defaultColWidth="9.140625" defaultRowHeight="12.75" x14ac:dyDescent="0.2"/>
  <cols>
    <col min="1" max="1" width="2.5703125" style="1" customWidth="1"/>
    <col min="2" max="2" width="1.85546875" style="1" customWidth="1"/>
    <col min="3" max="3" width="4" style="1" customWidth="1"/>
    <col min="4" max="4" width="19.5703125" style="1" customWidth="1"/>
    <col min="5" max="5" width="2" style="1" customWidth="1"/>
    <col min="6" max="6" width="5.7109375" style="1" customWidth="1"/>
    <col min="7" max="37" width="3.7109375" style="1" customWidth="1"/>
    <col min="38" max="38" width="0.7109375" style="1" customWidth="1"/>
    <col min="39" max="47" width="3.7109375" style="19" customWidth="1"/>
    <col min="48" max="48" width="2" style="1" customWidth="1"/>
    <col min="49" max="16384" width="9.140625" style="1"/>
  </cols>
  <sheetData>
    <row r="1" spans="1:52" ht="15" customHeight="1" thickBot="1" x14ac:dyDescent="0.25">
      <c r="A1" s="121" t="b">
        <v>0</v>
      </c>
      <c r="B1" s="160" t="s">
        <v>73</v>
      </c>
    </row>
    <row r="2" spans="1:52" s="46" customFormat="1" ht="14.25" customHeight="1" x14ac:dyDescent="0.8">
      <c r="A2" s="38"/>
      <c r="B2" s="39"/>
      <c r="C2" s="40"/>
      <c r="D2" s="40"/>
      <c r="E2" s="40"/>
      <c r="F2" s="40"/>
      <c r="G2" s="40"/>
      <c r="H2" s="40"/>
      <c r="I2" s="40"/>
      <c r="J2" s="40"/>
      <c r="K2" s="40"/>
      <c r="L2" s="40"/>
      <c r="M2" s="41" t="s">
        <v>17</v>
      </c>
      <c r="N2" s="40"/>
      <c r="O2" s="41"/>
      <c r="P2" s="41"/>
      <c r="Q2" s="41"/>
      <c r="R2" s="40"/>
      <c r="S2" s="42"/>
      <c r="T2" s="40"/>
      <c r="U2" s="40"/>
      <c r="V2" s="40"/>
      <c r="W2" s="40"/>
      <c r="X2" s="40"/>
      <c r="Y2" s="40"/>
      <c r="Z2" s="40"/>
      <c r="AA2" s="40"/>
      <c r="AB2" s="40"/>
      <c r="AC2" s="40"/>
      <c r="AD2" s="40"/>
      <c r="AE2" s="40"/>
      <c r="AF2" s="41"/>
      <c r="AG2" s="40"/>
      <c r="AH2" s="40"/>
      <c r="AI2" s="40"/>
      <c r="AJ2" s="40"/>
      <c r="AK2" s="40"/>
      <c r="AL2" s="40"/>
      <c r="AM2" s="43"/>
      <c r="AN2" s="43"/>
      <c r="AO2" s="43"/>
      <c r="AP2" s="44"/>
      <c r="AQ2" s="44"/>
      <c r="AR2" s="44"/>
      <c r="AS2" s="44"/>
      <c r="AT2" s="44"/>
      <c r="AU2" s="44"/>
      <c r="AV2" s="45"/>
    </row>
    <row r="3" spans="1:52" x14ac:dyDescent="0.2">
      <c r="A3" s="10"/>
      <c r="B3" s="6"/>
      <c r="C3" s="7" t="s">
        <v>1</v>
      </c>
      <c r="D3" s="7"/>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15"/>
      <c r="AN3" s="15"/>
      <c r="AO3" s="15"/>
      <c r="AP3" s="20"/>
      <c r="AQ3" s="20"/>
      <c r="AR3" s="20"/>
      <c r="AS3" s="20"/>
      <c r="AT3" s="20"/>
      <c r="AU3" s="20"/>
      <c r="AV3" s="9"/>
    </row>
    <row r="4" spans="1:52" ht="15" customHeight="1" x14ac:dyDescent="0.4">
      <c r="A4" s="10"/>
      <c r="B4" s="6"/>
      <c r="C4" s="195" t="str">
        <f>AE30</f>
        <v>enter name</v>
      </c>
      <c r="D4" s="196"/>
      <c r="E4" s="197"/>
      <c r="F4" s="86"/>
      <c r="G4" s="8"/>
      <c r="H4" s="8"/>
      <c r="I4" s="8"/>
      <c r="J4" s="8"/>
      <c r="K4" s="8"/>
      <c r="L4" s="8"/>
      <c r="M4" s="8"/>
      <c r="N4" s="8"/>
      <c r="O4" s="8"/>
      <c r="P4" s="8"/>
      <c r="Q4" s="8"/>
      <c r="R4" s="8"/>
      <c r="S4" s="8"/>
      <c r="T4" s="8"/>
      <c r="U4" s="8"/>
      <c r="V4" s="8"/>
      <c r="W4" s="8"/>
      <c r="X4" s="8"/>
      <c r="Y4" s="8"/>
      <c r="Z4" s="64"/>
      <c r="AA4" s="90"/>
      <c r="AB4" s="90"/>
      <c r="AC4" s="8"/>
      <c r="AD4" s="8"/>
      <c r="AE4" s="8"/>
      <c r="AF4" s="8"/>
      <c r="AG4" s="8"/>
      <c r="AH4" s="8"/>
      <c r="AI4" s="8"/>
      <c r="AJ4" s="8"/>
      <c r="AK4" s="8"/>
      <c r="AL4" s="8"/>
      <c r="AM4" s="15"/>
      <c r="AN4" s="15"/>
      <c r="AO4" s="15"/>
      <c r="AP4" s="20"/>
      <c r="AQ4" s="20"/>
      <c r="AR4" s="20"/>
      <c r="AS4" s="20"/>
      <c r="AT4" s="20"/>
      <c r="AU4" s="20"/>
      <c r="AV4" s="9"/>
    </row>
    <row r="5" spans="1:52" ht="15" customHeight="1" x14ac:dyDescent="0.2">
      <c r="A5" s="10"/>
      <c r="B5" s="6"/>
      <c r="C5" s="7" t="s">
        <v>2</v>
      </c>
      <c r="D5" s="8"/>
      <c r="E5" s="8"/>
      <c r="F5" s="8"/>
      <c r="G5" s="8"/>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8"/>
      <c r="AL5" s="8"/>
      <c r="AM5" s="15"/>
      <c r="AN5" s="15"/>
      <c r="AO5" s="15"/>
      <c r="AP5" s="20"/>
      <c r="AQ5" s="20"/>
      <c r="AR5" s="20"/>
      <c r="AS5" s="20"/>
      <c r="AT5" s="20"/>
      <c r="AU5" s="20"/>
      <c r="AV5" s="9"/>
    </row>
    <row r="6" spans="1:52" ht="20.25" x14ac:dyDescent="0.3">
      <c r="A6" s="10"/>
      <c r="B6" s="6"/>
      <c r="C6" s="195" t="str">
        <f>AG30</f>
        <v>enter dept name &amp; num</v>
      </c>
      <c r="D6" s="200"/>
      <c r="E6" s="201"/>
      <c r="F6" s="86"/>
      <c r="G6" s="8"/>
      <c r="H6" s="202" t="s">
        <v>85</v>
      </c>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8"/>
      <c r="AL6" s="8"/>
      <c r="AM6" s="226" t="s">
        <v>19</v>
      </c>
      <c r="AN6" s="227"/>
      <c r="AO6" s="227"/>
      <c r="AP6" s="199"/>
      <c r="AQ6" s="199"/>
      <c r="AR6" s="67"/>
      <c r="AS6" s="67"/>
      <c r="AT6" s="67"/>
      <c r="AU6" s="67"/>
      <c r="AV6" s="9"/>
      <c r="AY6" s="112"/>
      <c r="AZ6" s="113"/>
    </row>
    <row r="7" spans="1:52" ht="12.75" customHeight="1" x14ac:dyDescent="0.2">
      <c r="A7" s="10"/>
      <c r="B7" s="6"/>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228"/>
      <c r="AN7" s="228"/>
      <c r="AO7" s="228"/>
      <c r="AP7" s="229"/>
      <c r="AQ7" s="229"/>
      <c r="AR7" s="67"/>
      <c r="AS7" s="67"/>
      <c r="AT7" s="67"/>
      <c r="AU7" s="67"/>
      <c r="AV7" s="9"/>
      <c r="AY7" s="11"/>
      <c r="AZ7" s="114"/>
    </row>
    <row r="8" spans="1:52" ht="15.75" x14ac:dyDescent="0.25">
      <c r="A8" s="10"/>
      <c r="B8" s="6"/>
      <c r="C8" s="198" t="s">
        <v>4</v>
      </c>
      <c r="D8" s="199"/>
      <c r="E8" s="8"/>
      <c r="F8" s="8"/>
      <c r="G8" s="162">
        <v>1</v>
      </c>
      <c r="H8" s="162">
        <v>2</v>
      </c>
      <c r="I8" s="163">
        <v>3</v>
      </c>
      <c r="J8" s="162">
        <v>4</v>
      </c>
      <c r="K8" s="162">
        <v>5</v>
      </c>
      <c r="L8" s="162">
        <v>6</v>
      </c>
      <c r="M8" s="162">
        <v>7</v>
      </c>
      <c r="N8" s="162">
        <v>8</v>
      </c>
      <c r="O8" s="162">
        <v>9</v>
      </c>
      <c r="P8" s="162">
        <v>10</v>
      </c>
      <c r="Q8" s="162">
        <v>11</v>
      </c>
      <c r="R8" s="162">
        <v>12</v>
      </c>
      <c r="S8" s="162">
        <v>13</v>
      </c>
      <c r="T8" s="162">
        <v>14</v>
      </c>
      <c r="U8" s="162">
        <v>15</v>
      </c>
      <c r="V8" s="162">
        <v>16</v>
      </c>
      <c r="W8" s="162">
        <v>17</v>
      </c>
      <c r="X8" s="162">
        <v>18</v>
      </c>
      <c r="Y8" s="162">
        <v>19</v>
      </c>
      <c r="Z8" s="162">
        <v>20</v>
      </c>
      <c r="AA8" s="162">
        <v>21</v>
      </c>
      <c r="AB8" s="162">
        <v>22</v>
      </c>
      <c r="AC8" s="162">
        <v>23</v>
      </c>
      <c r="AD8" s="163">
        <v>24</v>
      </c>
      <c r="AE8" s="162">
        <v>25</v>
      </c>
      <c r="AF8" s="162">
        <v>26</v>
      </c>
      <c r="AG8" s="162">
        <v>27</v>
      </c>
      <c r="AH8" s="162">
        <v>28</v>
      </c>
      <c r="AI8" s="162">
        <v>29</v>
      </c>
      <c r="AJ8" s="162">
        <v>30</v>
      </c>
      <c r="AK8" s="162">
        <v>31</v>
      </c>
      <c r="AL8" s="8"/>
      <c r="AM8" s="17" t="s">
        <v>0</v>
      </c>
      <c r="AN8" s="157" t="s">
        <v>71</v>
      </c>
      <c r="AO8" s="18" t="s">
        <v>22</v>
      </c>
      <c r="AP8" s="116" t="s">
        <v>50</v>
      </c>
      <c r="AQ8" s="117" t="s">
        <v>20</v>
      </c>
      <c r="AR8" s="118" t="s">
        <v>37</v>
      </c>
      <c r="AS8" s="182" t="s">
        <v>38</v>
      </c>
      <c r="AT8" s="111" t="s">
        <v>39</v>
      </c>
      <c r="AU8" s="119" t="s">
        <v>52</v>
      </c>
      <c r="AV8" s="9"/>
    </row>
    <row r="9" spans="1:52" ht="12.75" customHeight="1" thickBot="1" x14ac:dyDescent="0.25">
      <c r="A9" s="10"/>
      <c r="B9" s="6"/>
      <c r="C9" s="8"/>
      <c r="D9" s="8"/>
      <c r="E9" s="11"/>
      <c r="F9" s="2" t="s">
        <v>5</v>
      </c>
      <c r="G9" s="192" t="s">
        <v>95</v>
      </c>
      <c r="H9" s="192" t="s">
        <v>95</v>
      </c>
      <c r="I9" s="191" t="s">
        <v>0</v>
      </c>
      <c r="J9" s="16"/>
      <c r="K9" s="16"/>
      <c r="L9" s="16"/>
      <c r="M9" s="16"/>
      <c r="N9" s="192" t="s">
        <v>95</v>
      </c>
      <c r="O9" s="192" t="s">
        <v>95</v>
      </c>
      <c r="P9" s="16"/>
      <c r="Q9" s="16"/>
      <c r="R9" s="16"/>
      <c r="S9" s="16"/>
      <c r="T9" s="16"/>
      <c r="U9" s="192" t="s">
        <v>95</v>
      </c>
      <c r="V9" s="192" t="s">
        <v>95</v>
      </c>
      <c r="W9" s="191" t="s">
        <v>0</v>
      </c>
      <c r="X9" s="16"/>
      <c r="Y9" s="16"/>
      <c r="Z9" s="16"/>
      <c r="AA9" s="16"/>
      <c r="AB9" s="192" t="s">
        <v>95</v>
      </c>
      <c r="AC9" s="192" t="s">
        <v>95</v>
      </c>
      <c r="AD9" s="16"/>
      <c r="AE9" s="16"/>
      <c r="AF9" s="16"/>
      <c r="AG9" s="16"/>
      <c r="AH9" s="16"/>
      <c r="AI9" s="192" t="s">
        <v>95</v>
      </c>
      <c r="AJ9" s="192" t="s">
        <v>95</v>
      </c>
      <c r="AK9" s="16"/>
      <c r="AL9" s="8"/>
      <c r="AM9" s="21">
        <f t="array" ref="AM9">SUM(IF(($G9:$AK9="H"),1,0),IF(($G9:$AK9="½ H"),0.5,0))</f>
        <v>2</v>
      </c>
      <c r="AN9" s="22">
        <f t="array" ref="AN9">SUM(IF(($G9:$AK9="SD"),1,0),IF(($G9:$AK9="½ SD"),0.5,0))</f>
        <v>0</v>
      </c>
      <c r="AO9" s="22">
        <f t="array" ref="AO9">SUM(IF(($G9:$AK9="V"),1,0),IF(($G9:$AK9="½ V"),0.5,0))</f>
        <v>0</v>
      </c>
      <c r="AP9" s="22">
        <f t="array" ref="AP9">SUM(IF(($G9:$AK9="C"),1,0),IF(($G9:$AK9="½ C"),0.5,0))</f>
        <v>0</v>
      </c>
      <c r="AQ9" s="22">
        <f t="array" ref="AQ9">SUM(IF(($G9:$AK9="S"),1,0),IF(($G9:$AK9="½ S"),0.5,0))</f>
        <v>0</v>
      </c>
      <c r="AR9" s="183">
        <f t="array" ref="AR9">SUM(IF(($G9:$AK9="Z1"),1,0),IF(($G9:$AK9="½ Z1"),0.5,0))</f>
        <v>0</v>
      </c>
      <c r="AS9" s="24">
        <f t="array" ref="AS9">SUM(IF(($G9:$AK9="Z2"),1,0),IF(($G9:$AK9="½ Z2"),0.5,0))</f>
        <v>0</v>
      </c>
      <c r="AT9" s="24">
        <f t="array" ref="AT9">SUM(IF(($G9:$AK9="Z3"),1,0),IF(($G9:$AK9="½ Z3"),0.5,0))</f>
        <v>0</v>
      </c>
      <c r="AU9" s="25">
        <f t="array" ref="AU9">SUM(IF(($G9:$AK9="Z4"),1,0),IF(($G9:$AK9="½ Z4"),0.5,0))</f>
        <v>0</v>
      </c>
      <c r="AV9" s="72"/>
    </row>
    <row r="10" spans="1:52" x14ac:dyDescent="0.2">
      <c r="A10" s="10"/>
      <c r="B10" s="14"/>
      <c r="C10" s="13" t="s">
        <v>0</v>
      </c>
      <c r="D10" s="151" t="s">
        <v>3</v>
      </c>
      <c r="E10" s="8"/>
      <c r="F10" s="2" t="s">
        <v>6</v>
      </c>
      <c r="G10" s="16"/>
      <c r="H10" s="16"/>
      <c r="I10" s="16"/>
      <c r="J10" s="16"/>
      <c r="K10" s="192" t="s">
        <v>95</v>
      </c>
      <c r="L10" s="192" t="s">
        <v>95</v>
      </c>
      <c r="M10" s="16"/>
      <c r="N10" s="16"/>
      <c r="O10" s="16"/>
      <c r="P10" s="16"/>
      <c r="Q10" s="16"/>
      <c r="R10" s="192" t="s">
        <v>95</v>
      </c>
      <c r="S10" s="192" t="s">
        <v>95</v>
      </c>
      <c r="T10" s="16"/>
      <c r="U10" s="16"/>
      <c r="V10" s="16"/>
      <c r="W10" s="16"/>
      <c r="X10" s="16"/>
      <c r="Y10" s="192" t="s">
        <v>95</v>
      </c>
      <c r="Z10" s="192" t="s">
        <v>95</v>
      </c>
      <c r="AA10" s="191" t="s">
        <v>0</v>
      </c>
      <c r="AB10" s="16"/>
      <c r="AC10" s="16"/>
      <c r="AD10" s="16"/>
      <c r="AE10" s="16"/>
      <c r="AF10" s="192" t="s">
        <v>95</v>
      </c>
      <c r="AG10" s="192" t="s">
        <v>95</v>
      </c>
      <c r="AH10" s="16"/>
      <c r="AI10" s="194" t="s">
        <v>96</v>
      </c>
      <c r="AJ10" s="194" t="s">
        <v>96</v>
      </c>
      <c r="AK10" s="194" t="s">
        <v>96</v>
      </c>
      <c r="AL10" s="8"/>
      <c r="AM10" s="23">
        <f t="array" ref="AM10">SUM(IF(($G10:$AK10="H"),1,0),IF(($G10:$AK10="½ H"),0.5,0))</f>
        <v>1</v>
      </c>
      <c r="AN10" s="24">
        <f t="array" ref="AN10">SUM(IF(($G10:$AK10="SD"),1,0),IF(($G10:$AK10="½ SD"),0.5,0))</f>
        <v>0</v>
      </c>
      <c r="AO10" s="24">
        <f t="array" ref="AO10">SUM(IF(($G10:$AK10="V"),1,0),IF(($G10:$AK10="½ V"),0.5,0))</f>
        <v>0</v>
      </c>
      <c r="AP10" s="24">
        <f t="array" ref="AP10">SUM(IF(($G10:$AK10="C"),1,0),IF(($G10:$AK10="½ C"),0.5,0))</f>
        <v>0</v>
      </c>
      <c r="AQ10" s="24">
        <f t="array" ref="AQ10">SUM(IF(($G10:$AK10="S"),1,0),IF(($G10:$AK10="½ S"),0.5,0))</f>
        <v>0</v>
      </c>
      <c r="AR10" s="25">
        <f t="array" ref="AR10">SUM(IF(($G10:$AK10="Z1"),1,0),IF(($G10:$AK10="½ Z1"),0.5,0))</f>
        <v>0</v>
      </c>
      <c r="AS10" s="24">
        <f t="array" ref="AS10">SUM(IF(($G10:$AK10="Z2"),1,0),IF(($G10:$AK10="½ Z2"),0.5,0))</f>
        <v>0</v>
      </c>
      <c r="AT10" s="24">
        <f t="array" ref="AT10">SUM(IF(($G10:$AK10="Z3"),1,0),IF(($G10:$AK10="½ Z3"),0.5,0))</f>
        <v>0</v>
      </c>
      <c r="AU10" s="25">
        <f t="array" ref="AU10">SUM(IF(($G10:$AK10="Z4"),1,0),IF(($G10:$AK10="½ Z4"),0.5,0))</f>
        <v>0</v>
      </c>
      <c r="AV10" s="9"/>
    </row>
    <row r="11" spans="1:52" x14ac:dyDescent="0.2">
      <c r="A11" s="10"/>
      <c r="B11" s="6"/>
      <c r="C11" s="154" t="s">
        <v>71</v>
      </c>
      <c r="D11" s="152" t="s">
        <v>72</v>
      </c>
      <c r="E11" s="8"/>
      <c r="F11" s="2" t="s">
        <v>7</v>
      </c>
      <c r="G11" s="16"/>
      <c r="H11" s="16"/>
      <c r="I11" s="16"/>
      <c r="J11" s="16"/>
      <c r="K11" s="192" t="s">
        <v>95</v>
      </c>
      <c r="L11" s="192" t="s">
        <v>95</v>
      </c>
      <c r="M11" s="16"/>
      <c r="N11" s="16"/>
      <c r="O11" s="16"/>
      <c r="P11" s="16"/>
      <c r="Q11" s="16"/>
      <c r="R11" s="192" t="s">
        <v>95</v>
      </c>
      <c r="S11" s="192" t="s">
        <v>95</v>
      </c>
      <c r="T11" s="16"/>
      <c r="U11" s="16"/>
      <c r="V11" s="16"/>
      <c r="W11" s="16"/>
      <c r="X11" s="16"/>
      <c r="Y11" s="192" t="s">
        <v>95</v>
      </c>
      <c r="Z11" s="192" t="s">
        <v>95</v>
      </c>
      <c r="AA11" s="16"/>
      <c r="AB11" s="16"/>
      <c r="AC11" s="16"/>
      <c r="AD11" s="16"/>
      <c r="AE11" s="16"/>
      <c r="AF11" s="192" t="s">
        <v>95</v>
      </c>
      <c r="AG11" s="192" t="s">
        <v>95</v>
      </c>
      <c r="AH11" s="16"/>
      <c r="AI11" s="16"/>
      <c r="AJ11" s="16"/>
      <c r="AK11" s="16"/>
      <c r="AL11" s="8"/>
      <c r="AM11" s="23">
        <f t="array" ref="AM11">SUM(IF(($G11:$AK11="H"),1,0),IF(($G11:$AK11="½ H"),0.5,0))</f>
        <v>0</v>
      </c>
      <c r="AN11" s="24">
        <f t="array" ref="AN11">SUM(IF(($G11:$AK11="SD"),1,0),IF(($G11:$AK11="½ SD"),0.5,0))</f>
        <v>0</v>
      </c>
      <c r="AO11" s="24">
        <f t="array" ref="AO11">SUM(IF(($G11:$AK11="V"),1,0),IF(($G11:$AK11="½ V"),0.5,0))</f>
        <v>0</v>
      </c>
      <c r="AP11" s="24">
        <f t="array" ref="AP11">SUM(IF(($G11:$AK11="C"),1,0),IF(($G11:$AK11="½ C"),0.5,0))</f>
        <v>0</v>
      </c>
      <c r="AQ11" s="24">
        <f t="array" ref="AQ11">SUM(IF(($G11:$AK11="S"),1,0),IF(($G11:$AK11="½ S"),0.5,0))</f>
        <v>0</v>
      </c>
      <c r="AR11" s="25">
        <f t="array" ref="AR11">SUM(IF(($G11:$AK11="Z1"),1,0),IF(($G11:$AK11="½ Z1"),0.5,0))</f>
        <v>0</v>
      </c>
      <c r="AS11" s="24">
        <f t="array" ref="AS11">SUM(IF(($G11:$AK11="Z2"),1,0),IF(($G11:$AK11="½ Z2"),0.5,0))</f>
        <v>0</v>
      </c>
      <c r="AT11" s="24">
        <f t="array" ref="AT11">SUM(IF(($G11:$AK11="Z3"),1,0),IF(($G11:$AK11="½ Z3"),0.5,0))</f>
        <v>0</v>
      </c>
      <c r="AU11" s="25">
        <f t="array" ref="AU11">SUM(IF(($G11:$AK11="Z4"),1,0),IF(($G11:$AK11="½ Z4"),0.5,0))</f>
        <v>0</v>
      </c>
      <c r="AV11" s="9"/>
    </row>
    <row r="12" spans="1:52" x14ac:dyDescent="0.2">
      <c r="A12" s="10"/>
      <c r="B12" s="6"/>
      <c r="C12" s="54" t="s">
        <v>22</v>
      </c>
      <c r="D12" s="55" t="s">
        <v>23</v>
      </c>
      <c r="E12" s="8"/>
      <c r="F12" s="2" t="s">
        <v>8</v>
      </c>
      <c r="G12" s="16"/>
      <c r="H12" s="192" t="s">
        <v>95</v>
      </c>
      <c r="I12" s="192" t="s">
        <v>95</v>
      </c>
      <c r="J12" s="16"/>
      <c r="K12" s="16"/>
      <c r="L12" s="16"/>
      <c r="M12" s="16"/>
      <c r="N12" s="16"/>
      <c r="O12" s="192" t="s">
        <v>95</v>
      </c>
      <c r="P12" s="192" t="s">
        <v>95</v>
      </c>
      <c r="Q12" s="16"/>
      <c r="R12" s="16"/>
      <c r="S12" s="16"/>
      <c r="T12" s="16"/>
      <c r="U12" s="16"/>
      <c r="V12" s="192" t="s">
        <v>95</v>
      </c>
      <c r="W12" s="192" t="s">
        <v>95</v>
      </c>
      <c r="X12" s="16"/>
      <c r="Y12" s="16"/>
      <c r="Z12" s="16"/>
      <c r="AA12" s="16"/>
      <c r="AB12" s="16"/>
      <c r="AC12" s="192" t="s">
        <v>95</v>
      </c>
      <c r="AD12" s="192" t="s">
        <v>95</v>
      </c>
      <c r="AE12" s="16"/>
      <c r="AF12" s="16"/>
      <c r="AG12" s="16"/>
      <c r="AH12" s="16"/>
      <c r="AI12" s="16"/>
      <c r="AJ12" s="192" t="s">
        <v>95</v>
      </c>
      <c r="AK12" s="194" t="s">
        <v>96</v>
      </c>
      <c r="AL12" s="8"/>
      <c r="AM12" s="23">
        <f t="array" ref="AM12">SUM(IF(($G12:$AK12="H"),1,0),IF(($G12:$AK12="½ H"),0.5,0))</f>
        <v>0</v>
      </c>
      <c r="AN12" s="24">
        <f t="array" ref="AN12">SUM(IF(($G12:$AK12="SD"),1,0),IF(($G12:$AK12="½ SD"),0.5,0))</f>
        <v>0</v>
      </c>
      <c r="AO12" s="24">
        <f t="array" ref="AO12">SUM(IF(($G12:$AK12="V"),1,0),IF(($G12:$AK12="½ V"),0.5,0))</f>
        <v>0</v>
      </c>
      <c r="AP12" s="24">
        <f t="array" ref="AP12">SUM(IF(($G12:$AK12="C"),1,0),IF(($G12:$AK12="½ C"),0.5,0))</f>
        <v>0</v>
      </c>
      <c r="AQ12" s="24">
        <f t="array" ref="AQ12">SUM(IF(($G12:$AK12="S"),1,0),IF(($G12:$AK12="½ S"),0.5,0))</f>
        <v>0</v>
      </c>
      <c r="AR12" s="25">
        <f t="array" ref="AR12">SUM(IF(($G12:$AK12="Z1"),1,0),IF(($G12:$AK12="½ Z1"),0.5,0))</f>
        <v>0</v>
      </c>
      <c r="AS12" s="24">
        <f t="array" ref="AS12">SUM(IF(($G12:$AK12="Z2"),1,0),IF(($G12:$AK12="½ Z2"),0.5,0))</f>
        <v>0</v>
      </c>
      <c r="AT12" s="24">
        <f t="array" ref="AT12">SUM(IF(($G12:$AK12="Z3"),1,0),IF(($G12:$AK12="½ Z3"),0.5,0))</f>
        <v>0</v>
      </c>
      <c r="AU12" s="25">
        <f t="array" ref="AU12">SUM(IF(($G12:$AK12="Z4"),1,0),IF(($G12:$AK12="½ Z4"),0.5,0))</f>
        <v>0</v>
      </c>
      <c r="AV12" s="9"/>
    </row>
    <row r="13" spans="1:52" x14ac:dyDescent="0.2">
      <c r="A13" s="10"/>
      <c r="B13" s="6"/>
      <c r="C13" s="123" t="s">
        <v>50</v>
      </c>
      <c r="D13" s="125" t="s">
        <v>51</v>
      </c>
      <c r="E13" s="8"/>
      <c r="F13" s="2" t="s">
        <v>9</v>
      </c>
      <c r="G13" s="192" t="s">
        <v>95</v>
      </c>
      <c r="H13" s="16"/>
      <c r="I13" s="16"/>
      <c r="J13" s="16"/>
      <c r="K13" s="16"/>
      <c r="L13" s="16"/>
      <c r="M13" s="192" t="s">
        <v>95</v>
      </c>
      <c r="N13" s="192" t="s">
        <v>95</v>
      </c>
      <c r="O13" s="16"/>
      <c r="P13" s="16"/>
      <c r="Q13" s="16"/>
      <c r="R13" s="16"/>
      <c r="S13" s="16"/>
      <c r="T13" s="192" t="s">
        <v>95</v>
      </c>
      <c r="U13" s="192" t="s">
        <v>95</v>
      </c>
      <c r="V13" s="16"/>
      <c r="W13" s="16"/>
      <c r="X13" s="16"/>
      <c r="Y13" s="16"/>
      <c r="Z13" s="16"/>
      <c r="AA13" s="192" t="s">
        <v>95</v>
      </c>
      <c r="AB13" s="192" t="s">
        <v>95</v>
      </c>
      <c r="AC13" s="16"/>
      <c r="AD13" s="16"/>
      <c r="AE13" s="16"/>
      <c r="AF13" s="16"/>
      <c r="AG13" s="16"/>
      <c r="AH13" s="192" t="s">
        <v>95</v>
      </c>
      <c r="AI13" s="192" t="s">
        <v>95</v>
      </c>
      <c r="AJ13" s="191" t="s">
        <v>0</v>
      </c>
      <c r="AK13" s="16"/>
      <c r="AL13" s="8"/>
      <c r="AM13" s="23">
        <f t="array" ref="AM13">SUM(IF(($G13:$AK13="H"),1,0),IF(($G13:$AK13="½ H"),0.5,0))</f>
        <v>1</v>
      </c>
      <c r="AN13" s="24">
        <f t="array" ref="AN13">SUM(IF(($G13:$AK13="SD"),1,0),IF(($G13:$AK13="½ SD"),0.5,0))</f>
        <v>0</v>
      </c>
      <c r="AO13" s="24">
        <f t="array" ref="AO13">SUM(IF(($G13:$AK13="V"),1,0),IF(($G13:$AK13="½ V"),0.5,0))</f>
        <v>0</v>
      </c>
      <c r="AP13" s="24">
        <f t="array" ref="AP13">SUM(IF(($G13:$AK13="C"),1,0),IF(($G13:$AK13="½ C"),0.5,0))</f>
        <v>0</v>
      </c>
      <c r="AQ13" s="24">
        <f t="array" ref="AQ13">SUM(IF(($G13:$AK13="S"),1,0),IF(($G13:$AK13="½ S"),0.5,0))</f>
        <v>0</v>
      </c>
      <c r="AR13" s="25">
        <f t="array" ref="AR13">SUM(IF(($G13:$AK13="Z1"),1,0),IF(($G13:$AK13="½ Z1"),0.5,0))</f>
        <v>0</v>
      </c>
      <c r="AS13" s="24">
        <f t="array" ref="AS13">SUM(IF(($G13:$AK13="Z2"),1,0),IF(($G13:$AK13="½ Z2"),0.5,0))</f>
        <v>0</v>
      </c>
      <c r="AT13" s="24">
        <f t="array" ref="AT13">SUM(IF(($G13:$AK13="Z3"),1,0),IF(($G13:$AK13="½ Z3"),0.5,0))</f>
        <v>0</v>
      </c>
      <c r="AU13" s="25">
        <f t="array" ref="AU13">SUM(IF(($G13:$AK13="Z4"),1,0),IF(($G13:$AK13="½ Z4"),0.5,0))</f>
        <v>0</v>
      </c>
      <c r="AV13" s="9"/>
    </row>
    <row r="14" spans="1:52" x14ac:dyDescent="0.2">
      <c r="A14" s="10"/>
      <c r="B14" s="6"/>
      <c r="C14" s="124" t="s">
        <v>20</v>
      </c>
      <c r="D14" s="153" t="s">
        <v>21</v>
      </c>
      <c r="E14" s="8"/>
      <c r="F14" s="2" t="s">
        <v>10</v>
      </c>
      <c r="G14" s="16"/>
      <c r="H14" s="16"/>
      <c r="I14" s="16"/>
      <c r="J14" s="192" t="s">
        <v>95</v>
      </c>
      <c r="K14" s="192" t="s">
        <v>95</v>
      </c>
      <c r="L14" s="16"/>
      <c r="M14" s="16"/>
      <c r="N14" s="16"/>
      <c r="O14" s="16"/>
      <c r="P14" s="16"/>
      <c r="Q14" s="192" t="s">
        <v>95</v>
      </c>
      <c r="R14" s="192" t="s">
        <v>95</v>
      </c>
      <c r="S14" s="16"/>
      <c r="T14" s="16"/>
      <c r="U14" s="16"/>
      <c r="V14" s="16"/>
      <c r="W14" s="16"/>
      <c r="X14" s="192" t="s">
        <v>95</v>
      </c>
      <c r="Y14" s="192" t="s">
        <v>95</v>
      </c>
      <c r="Z14" s="191" t="s">
        <v>0</v>
      </c>
      <c r="AA14" s="16"/>
      <c r="AB14" s="16"/>
      <c r="AC14" s="16"/>
      <c r="AD14" s="16"/>
      <c r="AE14" s="192" t="s">
        <v>95</v>
      </c>
      <c r="AF14" s="192" t="s">
        <v>95</v>
      </c>
      <c r="AG14" s="16"/>
      <c r="AH14" s="16"/>
      <c r="AI14" s="16"/>
      <c r="AJ14" s="16"/>
      <c r="AK14" s="194" t="s">
        <v>96</v>
      </c>
      <c r="AL14" s="8"/>
      <c r="AM14" s="23">
        <f t="array" ref="AM14">SUM(IF(($G14:$AK14="H"),1,0),IF(($G14:$AK14="½ H"),0.5,0))</f>
        <v>1</v>
      </c>
      <c r="AN14" s="24">
        <f t="array" ref="AN14">SUM(IF(($G14:$AK14="SD"),1,0),IF(($G14:$AK14="½ SD"),0.5,0))</f>
        <v>0</v>
      </c>
      <c r="AO14" s="24">
        <f t="array" ref="AO14">SUM(IF(($G14:$AK14="V"),1,0),IF(($G14:$AK14="½ V"),0.5,0))</f>
        <v>0</v>
      </c>
      <c r="AP14" s="24">
        <f t="array" ref="AP14">SUM(IF(($G14:$AK14="C"),1,0),IF(($G14:$AK14="½ C"),0.5,0))</f>
        <v>0</v>
      </c>
      <c r="AQ14" s="24">
        <f t="array" ref="AQ14">SUM(IF(($G14:$AK14="S"),1,0),IF(($G14:$AK14="½ S"),0.5,0))</f>
        <v>0</v>
      </c>
      <c r="AR14" s="25">
        <f t="array" ref="AR14">SUM(IF(($G14:$AK14="Z1"),1,0),IF(($G14:$AK14="½ Z1"),0.5,0))</f>
        <v>0</v>
      </c>
      <c r="AS14" s="24">
        <f t="array" ref="AS14">SUM(IF(($G14:$AK14="Z2"),1,0),IF(($G14:$AK14="½ Z2"),0.5,0))</f>
        <v>0</v>
      </c>
      <c r="AT14" s="24">
        <f t="array" ref="AT14">SUM(IF(($G14:$AK14="Z3"),1,0),IF(($G14:$AK14="½ Z3"),0.5,0))</f>
        <v>0</v>
      </c>
      <c r="AU14" s="25">
        <f t="array" ref="AU14">SUM(IF(($G14:$AK14="Z4"),1,0),IF(($G14:$AK14="½ Z4"),0.5,0))</f>
        <v>0</v>
      </c>
      <c r="AV14" s="9"/>
    </row>
    <row r="15" spans="1:52" ht="13.5" thickBot="1" x14ac:dyDescent="0.25">
      <c r="A15" s="10"/>
      <c r="B15" s="6"/>
      <c r="C15" s="181" t="s">
        <v>37</v>
      </c>
      <c r="D15" s="184" t="s">
        <v>91</v>
      </c>
      <c r="E15" s="8"/>
      <c r="F15" s="2" t="s">
        <v>11</v>
      </c>
      <c r="G15" s="16"/>
      <c r="H15" s="192" t="s">
        <v>95</v>
      </c>
      <c r="I15" s="192" t="s">
        <v>95</v>
      </c>
      <c r="J15" s="191" t="s">
        <v>0</v>
      </c>
      <c r="K15" s="16"/>
      <c r="L15" s="16"/>
      <c r="M15" s="16"/>
      <c r="N15" s="16"/>
      <c r="O15" s="192" t="s">
        <v>95</v>
      </c>
      <c r="P15" s="192" t="s">
        <v>95</v>
      </c>
      <c r="Q15" s="16"/>
      <c r="R15" s="16"/>
      <c r="S15" s="16"/>
      <c r="T15" s="16"/>
      <c r="U15" s="16"/>
      <c r="V15" s="192" t="s">
        <v>95</v>
      </c>
      <c r="W15" s="192" t="s">
        <v>95</v>
      </c>
      <c r="X15" s="16"/>
      <c r="Y15" s="16"/>
      <c r="Z15" s="16"/>
      <c r="AA15" s="16"/>
      <c r="AB15" s="16"/>
      <c r="AC15" s="192" t="s">
        <v>95</v>
      </c>
      <c r="AD15" s="192" t="s">
        <v>95</v>
      </c>
      <c r="AE15" s="16"/>
      <c r="AF15" s="16"/>
      <c r="AG15" s="16"/>
      <c r="AH15" s="16"/>
      <c r="AI15" s="16"/>
      <c r="AJ15" s="192" t="s">
        <v>95</v>
      </c>
      <c r="AK15" s="192" t="s">
        <v>95</v>
      </c>
      <c r="AL15" s="8"/>
      <c r="AM15" s="23">
        <f t="array" ref="AM15">SUM(IF(($G15:$AK15="H"),1,0),IF(($G15:$AK15="½ H"),0.5,0))</f>
        <v>1</v>
      </c>
      <c r="AN15" s="24">
        <f t="array" ref="AN15">SUM(IF(($G15:$AK15="SD"),1,0),IF(($G15:$AK15="½ SD"),0.5,0))</f>
        <v>0</v>
      </c>
      <c r="AO15" s="24">
        <f t="array" ref="AO15">SUM(IF(($G15:$AK15="V"),1,0),IF(($G15:$AK15="½ V"),0.5,0))</f>
        <v>0</v>
      </c>
      <c r="AP15" s="24">
        <f t="array" ref="AP15">SUM(IF(($G15:$AK15="C"),1,0),IF(($G15:$AK15="½ C"),0.5,0))</f>
        <v>0</v>
      </c>
      <c r="AQ15" s="24">
        <f t="array" ref="AQ15">SUM(IF(($G15:$AK15="S"),1,0),IF(($G15:$AK15="½ S"),0.5,0))</f>
        <v>0</v>
      </c>
      <c r="AR15" s="25">
        <f t="array" ref="AR15">SUM(IF(($G15:$AK15="Z1"),1,0),IF(($G15:$AK15="½ Z1"),0.5,0))</f>
        <v>0</v>
      </c>
      <c r="AS15" s="24">
        <f t="array" ref="AS15">SUM(IF(($G15:$AK15="Z2"),1,0),IF(($G15:$AK15="½ Z2"),0.5,0))</f>
        <v>0</v>
      </c>
      <c r="AT15" s="24">
        <f t="array" ref="AT15">SUM(IF(($G15:$AK15="Z3"),1,0),IF(($G15:$AK15="½ Z3"),0.5,0))</f>
        <v>0</v>
      </c>
      <c r="AU15" s="25">
        <f t="array" ref="AU15">SUM(IF(($G15:$AK15="Z4"),1,0),IF(($G15:$AK15="½ Z4"),0.5,0))</f>
        <v>0</v>
      </c>
      <c r="AV15" s="9"/>
    </row>
    <row r="16" spans="1:52" x14ac:dyDescent="0.2">
      <c r="A16" s="10"/>
      <c r="B16" s="6"/>
      <c r="C16" s="76" t="s">
        <v>38</v>
      </c>
      <c r="D16" s="77" t="s">
        <v>35</v>
      </c>
      <c r="E16" s="8"/>
      <c r="F16" s="2" t="s">
        <v>12</v>
      </c>
      <c r="G16" s="16"/>
      <c r="H16" s="16"/>
      <c r="I16" s="16"/>
      <c r="J16" s="16"/>
      <c r="K16" s="16"/>
      <c r="L16" s="192" t="s">
        <v>95</v>
      </c>
      <c r="M16" s="192" t="s">
        <v>95</v>
      </c>
      <c r="N16" s="16"/>
      <c r="O16" s="16"/>
      <c r="P16" s="16"/>
      <c r="Q16" s="16"/>
      <c r="R16" s="16"/>
      <c r="S16" s="192" t="s">
        <v>95</v>
      </c>
      <c r="T16" s="192" t="s">
        <v>95</v>
      </c>
      <c r="U16" s="16"/>
      <c r="V16" s="16"/>
      <c r="W16" s="16"/>
      <c r="X16" s="16"/>
      <c r="Y16" s="16"/>
      <c r="Z16" s="192" t="s">
        <v>95</v>
      </c>
      <c r="AA16" s="192" t="s">
        <v>95</v>
      </c>
      <c r="AB16" s="16"/>
      <c r="AC16" s="16"/>
      <c r="AD16" s="16"/>
      <c r="AE16" s="16"/>
      <c r="AF16" s="16"/>
      <c r="AG16" s="192" t="s">
        <v>95</v>
      </c>
      <c r="AH16" s="192" t="s">
        <v>95</v>
      </c>
      <c r="AI16" s="16"/>
      <c r="AJ16" s="16"/>
      <c r="AK16" s="16"/>
      <c r="AL16" s="8"/>
      <c r="AM16" s="23">
        <f t="array" ref="AM16">SUM(IF(($G16:$AK16="H"),1,0),IF(($G16:$AK16="½ H"),0.5,0))</f>
        <v>0</v>
      </c>
      <c r="AN16" s="24">
        <f t="array" ref="AN16">SUM(IF(($G16:$AK16="SD"),1,0),IF(($G16:$AK16="½ SD"),0.5,0))</f>
        <v>0</v>
      </c>
      <c r="AO16" s="24">
        <f t="array" ref="AO16">SUM(IF(($G16:$AK16="V"),1,0),IF(($G16:$AK16="½ V"),0.5,0))</f>
        <v>0</v>
      </c>
      <c r="AP16" s="24">
        <f t="array" ref="AP16">SUM(IF(($G16:$AK16="C"),1,0),IF(($G16:$AK16="½ C"),0.5,0))</f>
        <v>0</v>
      </c>
      <c r="AQ16" s="24">
        <f t="array" ref="AQ16">SUM(IF(($G16:$AK16="S"),1,0),IF(($G16:$AK16="½ S"),0.5,0))</f>
        <v>0</v>
      </c>
      <c r="AR16" s="25">
        <f t="array" ref="AR16">SUM(IF(($G16:$AK16="Z1"),1,0),IF(($G16:$AK16="½ Z1"),0.5,0))</f>
        <v>0</v>
      </c>
      <c r="AS16" s="24">
        <f t="array" ref="AS16">SUM(IF(($G16:$AK16="Z2"),1,0),IF(($G16:$AK16="½ Z2"),0.5,0))</f>
        <v>0</v>
      </c>
      <c r="AT16" s="24">
        <f t="array" ref="AT16">SUM(IF(($G16:$AK16="Z3"),1,0),IF(($G16:$AK16="½ Z3"),0.5,0))</f>
        <v>0</v>
      </c>
      <c r="AU16" s="25">
        <f t="array" ref="AU16">SUM(IF(($G16:$AK16="Z4"),1,0),IF(($G16:$AK16="½ Z4"),0.5,0))</f>
        <v>0</v>
      </c>
      <c r="AV16" s="9"/>
    </row>
    <row r="17" spans="1:49" x14ac:dyDescent="0.2">
      <c r="A17" s="10"/>
      <c r="B17" s="6"/>
      <c r="C17" s="78" t="s">
        <v>39</v>
      </c>
      <c r="D17" s="79" t="s">
        <v>36</v>
      </c>
      <c r="E17" s="8"/>
      <c r="F17" s="2" t="s">
        <v>13</v>
      </c>
      <c r="G17" s="16"/>
      <c r="H17" s="16"/>
      <c r="I17" s="192" t="s">
        <v>95</v>
      </c>
      <c r="J17" s="192" t="s">
        <v>95</v>
      </c>
      <c r="K17" s="191" t="s">
        <v>0</v>
      </c>
      <c r="L17" s="16"/>
      <c r="M17" s="16"/>
      <c r="N17" s="16"/>
      <c r="O17" s="16"/>
      <c r="P17" s="192" t="s">
        <v>95</v>
      </c>
      <c r="Q17" s="192" t="s">
        <v>95</v>
      </c>
      <c r="R17" s="16"/>
      <c r="S17" s="16"/>
      <c r="T17" s="16"/>
      <c r="U17" s="16"/>
      <c r="V17" s="16"/>
      <c r="W17" s="192" t="s">
        <v>95</v>
      </c>
      <c r="X17" s="192" t="s">
        <v>95</v>
      </c>
      <c r="Y17" s="16"/>
      <c r="Z17" s="16"/>
      <c r="AA17" s="16"/>
      <c r="AB17" s="16"/>
      <c r="AC17" s="16"/>
      <c r="AD17" s="192" t="s">
        <v>95</v>
      </c>
      <c r="AE17" s="192" t="s">
        <v>95</v>
      </c>
      <c r="AF17" s="16"/>
      <c r="AG17" s="16"/>
      <c r="AH17" s="16"/>
      <c r="AI17" s="16"/>
      <c r="AJ17" s="16"/>
      <c r="AK17" s="194" t="s">
        <v>96</v>
      </c>
      <c r="AL17" s="8"/>
      <c r="AM17" s="23">
        <f t="array" ref="AM17">SUM(IF(($G17:$AK17="H"),1,0),IF(($G17:$AK17="½ H"),0.5,0))</f>
        <v>1</v>
      </c>
      <c r="AN17" s="24">
        <f t="array" ref="AN17">SUM(IF(($G17:$AK17="SD"),1,0),IF(($G17:$AK17="½ SD"),0.5,0))</f>
        <v>0</v>
      </c>
      <c r="AO17" s="24">
        <f t="array" ref="AO17">SUM(IF(($G17:$AK17="V"),1,0),IF(($G17:$AK17="½ V"),0.5,0))</f>
        <v>0</v>
      </c>
      <c r="AP17" s="24">
        <f t="array" ref="AP17">SUM(IF(($G17:$AK17="C"),1,0),IF(($G17:$AK17="½ C"),0.5,0))</f>
        <v>0</v>
      </c>
      <c r="AQ17" s="24">
        <f t="array" ref="AQ17">SUM(IF(($G17:$AK17="S"),1,0),IF(($G17:$AK17="½ S"),0.5,0))</f>
        <v>0</v>
      </c>
      <c r="AR17" s="25">
        <f t="array" ref="AR17">SUM(IF(($G17:$AK17="Z1"),1,0),IF(($G17:$AK17="½ Z1"),0.5,0))</f>
        <v>0</v>
      </c>
      <c r="AS17" s="24">
        <f t="array" ref="AS17">SUM(IF(($G17:$AK17="Z2"),1,0),IF(($G17:$AK17="½ Z2"),0.5,0))</f>
        <v>0</v>
      </c>
      <c r="AT17" s="24">
        <f t="array" ref="AT17">SUM(IF(($G17:$AK17="Z3"),1,0),IF(($G17:$AK17="½ Z3"),0.5,0))</f>
        <v>0</v>
      </c>
      <c r="AU17" s="25">
        <f t="array" ref="AU17">SUM(IF(($G17:$AK17="Z4"),1,0),IF(($G17:$AK17="½ Z4"),0.5,0))</f>
        <v>0</v>
      </c>
      <c r="AV17" s="9"/>
    </row>
    <row r="18" spans="1:49" ht="13.5" thickBot="1" x14ac:dyDescent="0.25">
      <c r="A18" s="10"/>
      <c r="B18" s="6"/>
      <c r="C18" s="80" t="s">
        <v>52</v>
      </c>
      <c r="D18" s="81" t="s">
        <v>97</v>
      </c>
      <c r="E18" s="8"/>
      <c r="F18" s="2" t="s">
        <v>14</v>
      </c>
      <c r="G18" s="192" t="s">
        <v>95</v>
      </c>
      <c r="H18" s="192" t="s">
        <v>95</v>
      </c>
      <c r="I18" s="16"/>
      <c r="J18" s="16"/>
      <c r="K18" s="16"/>
      <c r="L18" s="16"/>
      <c r="M18" s="16"/>
      <c r="N18" s="192" t="s">
        <v>95</v>
      </c>
      <c r="O18" s="192" t="s">
        <v>95</v>
      </c>
      <c r="P18" s="16"/>
      <c r="Q18" s="16"/>
      <c r="R18" s="16"/>
      <c r="S18" s="16"/>
      <c r="T18" s="16"/>
      <c r="U18" s="192" t="s">
        <v>95</v>
      </c>
      <c r="V18" s="192" t="s">
        <v>95</v>
      </c>
      <c r="W18" s="16"/>
      <c r="X18" s="16"/>
      <c r="Y18" s="16"/>
      <c r="Z18" s="16"/>
      <c r="AA18" s="16"/>
      <c r="AB18" s="192" t="s">
        <v>95</v>
      </c>
      <c r="AC18" s="192" t="s">
        <v>95</v>
      </c>
      <c r="AD18" s="16"/>
      <c r="AE18" s="16"/>
      <c r="AF18" s="16"/>
      <c r="AG18" s="16"/>
      <c r="AH18" s="16"/>
      <c r="AI18" s="192" t="s">
        <v>95</v>
      </c>
      <c r="AJ18" s="192" t="s">
        <v>95</v>
      </c>
      <c r="AK18" s="16"/>
      <c r="AL18" s="8"/>
      <c r="AM18" s="23">
        <f t="array" ref="AM18">SUM(IF(($G18:$AK18="H"),1,0),IF(($G18:$AK18="½ H"),0.5,0))</f>
        <v>0</v>
      </c>
      <c r="AN18" s="24">
        <f t="array" ref="AN18">SUM(IF(($G18:$AK18="SD"),1,0),IF(($G18:$AK18="½ SD"),0.5,0))</f>
        <v>0</v>
      </c>
      <c r="AO18" s="24">
        <f t="array" ref="AO18">SUM(IF(($G18:$AK18="V"),1,0),IF(($G18:$AK18="½ V"),0.5,0))</f>
        <v>0</v>
      </c>
      <c r="AP18" s="24">
        <f t="array" ref="AP18">SUM(IF(($G18:$AK18="C"),1,0),IF(($G18:$AK18="½ C"),0.5,0))</f>
        <v>0</v>
      </c>
      <c r="AQ18" s="24">
        <f t="array" ref="AQ18">SUM(IF(($G18:$AK18="S"),1,0),IF(($G18:$AK18="½ S"),0.5,0))</f>
        <v>0</v>
      </c>
      <c r="AR18" s="25">
        <f t="array" ref="AR18">SUM(IF(($G18:$AK18="Z1"),1,0),IF(($G18:$AK18="½ Z1"),0.5,0))</f>
        <v>0</v>
      </c>
      <c r="AS18" s="24">
        <f t="array" ref="AS18">SUM(IF(($G18:$AK18="Z2"),1,0),IF(($G18:$AK18="½ Z2"),0.5,0))</f>
        <v>0</v>
      </c>
      <c r="AT18" s="24">
        <f t="array" ref="AT18">SUM(IF(($G18:$AK18="Z3"),1,0),IF(($G18:$AK18="½ Z3"),0.5,0))</f>
        <v>0</v>
      </c>
      <c r="AU18" s="25">
        <f t="array" ref="AU18">SUM(IF(($G18:$AK18="Z4"),1,0),IF(($G18:$AK18="½ Z4"),0.5,0))</f>
        <v>0</v>
      </c>
      <c r="AV18" s="9"/>
    </row>
    <row r="19" spans="1:49" x14ac:dyDescent="0.2">
      <c r="A19" s="10"/>
      <c r="B19" s="6"/>
      <c r="C19" s="56"/>
      <c r="D19" s="56"/>
      <c r="E19" s="8"/>
      <c r="F19" s="2" t="s">
        <v>15</v>
      </c>
      <c r="G19" s="16"/>
      <c r="H19" s="16"/>
      <c r="I19" s="16"/>
      <c r="J19" s="16"/>
      <c r="K19" s="192" t="s">
        <v>95</v>
      </c>
      <c r="L19" s="192" t="s">
        <v>95</v>
      </c>
      <c r="M19" s="16"/>
      <c r="N19" s="16"/>
      <c r="O19" s="16"/>
      <c r="P19" s="16"/>
      <c r="Q19" s="16"/>
      <c r="R19" s="192" t="s">
        <v>95</v>
      </c>
      <c r="S19" s="192" t="s">
        <v>95</v>
      </c>
      <c r="T19" s="16"/>
      <c r="U19" s="16"/>
      <c r="V19" s="16"/>
      <c r="W19" s="16"/>
      <c r="X19" s="16"/>
      <c r="Y19" s="192" t="s">
        <v>95</v>
      </c>
      <c r="Z19" s="192" t="s">
        <v>95</v>
      </c>
      <c r="AA19" s="16"/>
      <c r="AB19" s="16"/>
      <c r="AC19" s="16"/>
      <c r="AD19" s="191" t="s">
        <v>0</v>
      </c>
      <c r="AE19" s="191" t="s">
        <v>0</v>
      </c>
      <c r="AF19" s="192" t="s">
        <v>95</v>
      </c>
      <c r="AG19" s="192" t="s">
        <v>95</v>
      </c>
      <c r="AH19" s="16"/>
      <c r="AI19" s="16"/>
      <c r="AJ19" s="16"/>
      <c r="AK19" s="194" t="s">
        <v>96</v>
      </c>
      <c r="AL19" s="11"/>
      <c r="AM19" s="23">
        <f t="array" ref="AM19">SUM(IF(($G19:$AK19="H"),1,0),IF(($G19:$AK19="½ H"),0.5,0))</f>
        <v>2</v>
      </c>
      <c r="AN19" s="24">
        <f t="array" ref="AN19">SUM(IF(($G19:$AK19="SD"),1,0),IF(($G19:$AK19="½ SD"),0.5,0))</f>
        <v>0</v>
      </c>
      <c r="AO19" s="24">
        <f t="array" ref="AO19">SUM(IF(($G19:$AK19="V"),1,0),IF(($G19:$AK19="½ V"),0.5,0))</f>
        <v>0</v>
      </c>
      <c r="AP19" s="24">
        <f t="array" ref="AP19">SUM(IF(($G19:$AK19="C"),1,0),IF(($G19:$AK19="½ C"),0.5,0))</f>
        <v>0</v>
      </c>
      <c r="AQ19" s="24">
        <f t="array" ref="AQ19">SUM(IF(($G19:$AK19="S"),1,0),IF(($G19:$AK19="½ S"),0.5,0))</f>
        <v>0</v>
      </c>
      <c r="AR19" s="25">
        <f t="array" ref="AR19">SUM(IF(($G19:$AK19="Z1"),1,0),IF(($G19:$AK19="½ Z1"),0.5,0))</f>
        <v>0</v>
      </c>
      <c r="AS19" s="24">
        <f t="array" ref="AS19">SUM(IF(($G19:$AK19="Z2"),1,0),IF(($G19:$AK19="½ Z2"),0.5,0))</f>
        <v>0</v>
      </c>
      <c r="AT19" s="24">
        <f t="array" ref="AT19">SUM(IF(($G19:$AK19="Z3"),1,0),IF(($G19:$AK19="½ Z3"),0.5,0))</f>
        <v>0</v>
      </c>
      <c r="AU19" s="25">
        <f t="array" ref="AU19">SUM(IF(($G19:$AK19="Z4"),1,0),IF(($G19:$AK19="½ Z4"),0.5,0))</f>
        <v>0</v>
      </c>
      <c r="AV19" s="9"/>
    </row>
    <row r="20" spans="1:49" x14ac:dyDescent="0.2">
      <c r="A20" s="27"/>
      <c r="B20" s="28"/>
      <c r="C20" s="57" t="s">
        <v>24</v>
      </c>
      <c r="D20" s="29"/>
      <c r="E20" s="8"/>
      <c r="F20" s="158" t="s">
        <v>16</v>
      </c>
      <c r="G20" s="16"/>
      <c r="H20" s="16"/>
      <c r="I20" s="192" t="s">
        <v>95</v>
      </c>
      <c r="J20" s="192" t="s">
        <v>95</v>
      </c>
      <c r="K20" s="16"/>
      <c r="L20" s="16"/>
      <c r="M20" s="16"/>
      <c r="N20" s="16"/>
      <c r="O20" s="16"/>
      <c r="P20" s="192" t="s">
        <v>95</v>
      </c>
      <c r="Q20" s="192" t="s">
        <v>95</v>
      </c>
      <c r="R20" s="16"/>
      <c r="S20" s="16"/>
      <c r="T20" s="16"/>
      <c r="U20" s="16"/>
      <c r="V20" s="16"/>
      <c r="W20" s="192" t="s">
        <v>95</v>
      </c>
      <c r="X20" s="192" t="s">
        <v>95</v>
      </c>
      <c r="Y20" s="16"/>
      <c r="Z20" s="16"/>
      <c r="AA20" s="16"/>
      <c r="AB20" s="16"/>
      <c r="AC20" s="191" t="s">
        <v>0</v>
      </c>
      <c r="AD20" s="192" t="s">
        <v>95</v>
      </c>
      <c r="AE20" s="192" t="s">
        <v>95</v>
      </c>
      <c r="AF20" s="191" t="s">
        <v>0</v>
      </c>
      <c r="AG20" s="193" t="s">
        <v>71</v>
      </c>
      <c r="AH20" s="193" t="s">
        <v>71</v>
      </c>
      <c r="AI20" s="193" t="s">
        <v>71</v>
      </c>
      <c r="AJ20" s="193" t="s">
        <v>71</v>
      </c>
      <c r="AK20" s="192" t="s">
        <v>95</v>
      </c>
      <c r="AL20" s="29"/>
      <c r="AM20" s="23">
        <f t="array" ref="AM20">SUM(IF(($G20:$AK20="H"),1,0),IF(($G20:$AK20="½ H"),0.5,0))</f>
        <v>2</v>
      </c>
      <c r="AN20" s="24">
        <f t="array" ref="AN20">SUM(IF(($G20:$AK20="SD"),1,0),IF(($G20:$AK20="½ SD"),0.5,0))</f>
        <v>4</v>
      </c>
      <c r="AO20" s="24">
        <f t="array" ref="AO20">SUM(IF(($G20:$AK20="V"),1,0),IF(($G20:$AK20="½ V"),0.5,0))</f>
        <v>0</v>
      </c>
      <c r="AP20" s="24">
        <f t="array" ref="AP20">SUM(IF(($G20:$AK20="C"),1,0),IF(($G20:$AK20="½ C"),0.5,0))</f>
        <v>0</v>
      </c>
      <c r="AQ20" s="24">
        <f t="array" ref="AQ20">SUM(IF(($G20:$AK20="S"),1,0),IF(($G20:$AK20="½ S"),0.5,0))</f>
        <v>0</v>
      </c>
      <c r="AR20" s="25">
        <f t="array" ref="AR20">SUM(IF(($G20:$AK20="Z1"),1,0),IF(($G20:$AK20="½ Z1"),0.5,0))</f>
        <v>0</v>
      </c>
      <c r="AS20" s="24">
        <f t="array" ref="AS20">SUM(IF(($G20:$AK20="Z2"),1,0),IF(($G20:$AK20="½ Z2"),0.5,0))</f>
        <v>0</v>
      </c>
      <c r="AT20" s="24">
        <f t="array" ref="AT20">SUM(IF(($G20:$AK20="Z3"),1,0),IF(($G20:$AK20="½ Z3"),0.5,0))</f>
        <v>0</v>
      </c>
      <c r="AU20" s="25">
        <f t="array" ref="AU20">SUM(IF(($G20:$AK20="Z4"),1,0),IF(($G20:$AK20="½ Z4"),0.5,0))</f>
        <v>0</v>
      </c>
      <c r="AV20" s="31"/>
      <c r="AW20" s="32"/>
    </row>
    <row r="21" spans="1:49" ht="13.5" thickBot="1" x14ac:dyDescent="0.25">
      <c r="A21" s="10"/>
      <c r="B21" s="6"/>
      <c r="C21" s="59" t="s">
        <v>34</v>
      </c>
      <c r="D21" s="29"/>
      <c r="E21" s="8"/>
      <c r="F21" s="37" t="s">
        <v>32</v>
      </c>
      <c r="G21" s="192" t="s">
        <v>95</v>
      </c>
      <c r="H21" s="191" t="s">
        <v>0</v>
      </c>
      <c r="I21" s="16"/>
      <c r="J21" s="16"/>
      <c r="K21" s="16"/>
      <c r="L21" s="16"/>
      <c r="M21" s="192" t="s">
        <v>95</v>
      </c>
      <c r="N21" s="192" t="s">
        <v>95</v>
      </c>
      <c r="O21" s="16"/>
      <c r="P21" s="16"/>
      <c r="Q21" s="16"/>
      <c r="R21" s="16"/>
      <c r="S21" s="16"/>
      <c r="T21" s="192" t="s">
        <v>95</v>
      </c>
      <c r="U21" s="192" t="s">
        <v>95</v>
      </c>
      <c r="V21" s="191" t="s">
        <v>0</v>
      </c>
      <c r="W21" s="16"/>
      <c r="X21" s="16"/>
      <c r="Y21" s="16"/>
      <c r="Z21" s="16"/>
      <c r="AA21" s="192" t="s">
        <v>95</v>
      </c>
      <c r="AB21" s="192" t="s">
        <v>95</v>
      </c>
      <c r="AC21" s="16"/>
      <c r="AD21" s="16"/>
      <c r="AE21" s="16"/>
      <c r="AF21" s="16"/>
      <c r="AG21" s="16"/>
      <c r="AH21" s="192" t="s">
        <v>95</v>
      </c>
      <c r="AI21" s="192" t="s">
        <v>95</v>
      </c>
      <c r="AJ21" s="16"/>
      <c r="AK21" s="16"/>
      <c r="AL21" s="8"/>
      <c r="AM21" s="73">
        <f t="array" ref="AM21">SUM(IF(($G21:$AK21="H"),1,0),IF(($G21:$AK21="½ H"),0.5,0))</f>
        <v>2</v>
      </c>
      <c r="AN21" s="74">
        <f t="array" ref="AN21">SUM(IF(($G21:$AK21="SD"),1,0),IF(($G21:$AK21="½ SD"),0.5,0))</f>
        <v>0</v>
      </c>
      <c r="AO21" s="74">
        <f t="array" ref="AO21">SUM(IF(($G21:$AK21="V"),1,0),IF(($G21:$AK21="½ V"),0.5,0))</f>
        <v>0</v>
      </c>
      <c r="AP21" s="74">
        <f t="array" ref="AP21">SUM(IF(($G21:$AK21="C"),1,0),IF(($G21:$AK21="½ C"),0.5,0))</f>
        <v>0</v>
      </c>
      <c r="AQ21" s="74">
        <f t="array" ref="AQ21">SUM(IF(($G21:$AK21="S"),1,0),IF(($G21:$AK21="½ S"),0.5,0))</f>
        <v>0</v>
      </c>
      <c r="AR21" s="75">
        <f t="array" ref="AR21">SUM(IF(($G21:$AK21="Z1"),1,0),IF(($G21:$AK21="½ Z1"),0.5,0))</f>
        <v>0</v>
      </c>
      <c r="AS21" s="74">
        <f t="array" ref="AS21">SUM(IF(($G21:$AK21="Z2"),1,0),IF(($G21:$AK21="½ Z2"),0.5,0))</f>
        <v>0</v>
      </c>
      <c r="AT21" s="74">
        <f t="array" ref="AT21">SUM(IF(($G21:$AK21="Z3"),1,0),IF(($G21:$AK21="½ Z3"),0.5,0))</f>
        <v>0</v>
      </c>
      <c r="AU21" s="75">
        <f t="array" ref="AU21">SUM(IF(($G21:$AK21="Z4"),1,0),IF(($G21:$AK21="½ Z4"),0.5,0))</f>
        <v>0</v>
      </c>
      <c r="AV21" s="9"/>
    </row>
    <row r="22" spans="1:49" x14ac:dyDescent="0.2">
      <c r="A22" s="10"/>
      <c r="B22" s="6"/>
      <c r="C22" s="165">
        <v>4</v>
      </c>
      <c r="D22" s="161" t="s">
        <v>72</v>
      </c>
      <c r="E22" s="29"/>
      <c r="F22" s="70"/>
      <c r="G22" s="8"/>
      <c r="H22" s="69"/>
      <c r="I22" s="69"/>
      <c r="J22" s="69"/>
      <c r="K22" s="69"/>
      <c r="L22" s="69"/>
      <c r="M22" s="71"/>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9"/>
    </row>
    <row r="23" spans="1:49" ht="13.5" thickBot="1" x14ac:dyDescent="0.25">
      <c r="A23" s="10"/>
      <c r="B23" s="6"/>
      <c r="C23" s="128">
        <v>15</v>
      </c>
      <c r="D23" s="127" t="s">
        <v>23</v>
      </c>
      <c r="E23" s="8"/>
      <c r="F23" s="7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9"/>
    </row>
    <row r="24" spans="1:49" ht="13.5" thickBot="1" x14ac:dyDescent="0.25">
      <c r="A24" s="10"/>
      <c r="B24" s="6"/>
      <c r="C24" s="186">
        <v>0</v>
      </c>
      <c r="D24" s="187" t="s">
        <v>58</v>
      </c>
      <c r="E24" s="91"/>
      <c r="F24" s="91"/>
      <c r="G24" s="48" t="s">
        <v>33</v>
      </c>
      <c r="H24" s="47"/>
      <c r="I24" s="233" t="s">
        <v>54</v>
      </c>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5"/>
      <c r="AH24" s="8"/>
      <c r="AI24" s="8"/>
      <c r="AJ24" s="8"/>
      <c r="AK24" s="8"/>
      <c r="AL24" s="8"/>
      <c r="AM24" s="26"/>
      <c r="AN24" s="26"/>
      <c r="AO24" s="26"/>
      <c r="AP24" s="26"/>
      <c r="AQ24" s="26"/>
      <c r="AR24" s="26"/>
      <c r="AS24" s="26"/>
      <c r="AT24" s="26"/>
      <c r="AU24" s="26"/>
      <c r="AV24" s="9"/>
    </row>
    <row r="25" spans="1:49" ht="13.5" thickBot="1" x14ac:dyDescent="0.25">
      <c r="A25" s="27"/>
      <c r="B25" s="6"/>
      <c r="C25" s="188">
        <v>1</v>
      </c>
      <c r="D25" s="185" t="s">
        <v>93</v>
      </c>
      <c r="E25" s="29"/>
      <c r="F25" s="8"/>
      <c r="G25" s="8"/>
      <c r="H25" s="29"/>
      <c r="I25" s="204"/>
      <c r="J25" s="205"/>
      <c r="K25" s="205"/>
      <c r="L25" s="205"/>
      <c r="M25" s="205"/>
      <c r="N25" s="205"/>
      <c r="O25" s="205"/>
      <c r="P25" s="205"/>
      <c r="Q25" s="205"/>
      <c r="R25" s="205"/>
      <c r="S25" s="205"/>
      <c r="T25" s="205"/>
      <c r="U25" s="205"/>
      <c r="V25" s="205"/>
      <c r="W25" s="205"/>
      <c r="X25" s="205"/>
      <c r="Y25" s="205"/>
      <c r="Z25" s="205"/>
      <c r="AA25" s="205"/>
      <c r="AB25" s="205"/>
      <c r="AC25" s="205"/>
      <c r="AD25" s="205"/>
      <c r="AE25" s="205"/>
      <c r="AF25" s="205"/>
      <c r="AG25" s="206"/>
      <c r="AH25" s="8"/>
      <c r="AI25" s="104" t="s">
        <v>49</v>
      </c>
      <c r="AJ25" s="105"/>
      <c r="AK25" s="106"/>
      <c r="AL25" s="106"/>
      <c r="AM25" s="34">
        <f t="shared" ref="AM25:AU25" si="0">SUM(AM9:AM20)</f>
        <v>11</v>
      </c>
      <c r="AN25" s="35">
        <f t="shared" si="0"/>
        <v>4</v>
      </c>
      <c r="AO25" s="35">
        <f t="shared" si="0"/>
        <v>0</v>
      </c>
      <c r="AP25" s="35">
        <f t="shared" si="0"/>
        <v>0</v>
      </c>
      <c r="AQ25" s="35">
        <f t="shared" si="0"/>
        <v>0</v>
      </c>
      <c r="AR25" s="189">
        <f t="shared" si="0"/>
        <v>0</v>
      </c>
      <c r="AS25" s="35">
        <f t="shared" si="0"/>
        <v>0</v>
      </c>
      <c r="AT25" s="35">
        <f t="shared" si="0"/>
        <v>0</v>
      </c>
      <c r="AU25" s="36">
        <f t="shared" si="0"/>
        <v>0</v>
      </c>
      <c r="AV25" s="9"/>
      <c r="AW25" s="32"/>
    </row>
    <row r="26" spans="1:49" ht="13.5" thickBot="1" x14ac:dyDescent="0.25">
      <c r="A26" s="27"/>
      <c r="B26" s="6"/>
      <c r="C26" s="207"/>
      <c r="D26" s="208"/>
      <c r="E26" s="208"/>
      <c r="F26" s="82"/>
      <c r="G26" s="83"/>
      <c r="H26" s="10"/>
      <c r="I26" s="230"/>
      <c r="J26" s="231"/>
      <c r="K26" s="231"/>
      <c r="L26" s="231"/>
      <c r="M26" s="231"/>
      <c r="N26" s="231"/>
      <c r="O26" s="231"/>
      <c r="P26" s="231"/>
      <c r="Q26" s="231"/>
      <c r="R26" s="231"/>
      <c r="S26" s="231"/>
      <c r="T26" s="231"/>
      <c r="U26" s="231"/>
      <c r="V26" s="231"/>
      <c r="W26" s="231"/>
      <c r="X26" s="231"/>
      <c r="Y26" s="231"/>
      <c r="Z26" s="231"/>
      <c r="AA26" s="231"/>
      <c r="AB26" s="231"/>
      <c r="AC26" s="231"/>
      <c r="AD26" s="231"/>
      <c r="AE26" s="231"/>
      <c r="AF26" s="231"/>
      <c r="AG26" s="232"/>
      <c r="AH26" s="8"/>
      <c r="AI26" s="3" t="s">
        <v>48</v>
      </c>
      <c r="AJ26" s="4"/>
      <c r="AK26" s="5"/>
      <c r="AL26" s="5"/>
      <c r="AM26" s="107" t="s">
        <v>18</v>
      </c>
      <c r="AN26" s="109">
        <f>C22-AN25</f>
        <v>0</v>
      </c>
      <c r="AO26" s="108">
        <f>C23-AO25</f>
        <v>15</v>
      </c>
      <c r="AP26" s="122">
        <f>C24-AP25</f>
        <v>0</v>
      </c>
      <c r="AQ26" s="109" t="s">
        <v>18</v>
      </c>
      <c r="AR26" s="190">
        <f>C25-AR25</f>
        <v>1</v>
      </c>
      <c r="AS26" s="109" t="s">
        <v>18</v>
      </c>
      <c r="AT26" s="109" t="s">
        <v>18</v>
      </c>
      <c r="AU26" s="110" t="s">
        <v>18</v>
      </c>
      <c r="AV26" s="9"/>
      <c r="AW26" s="32"/>
    </row>
    <row r="27" spans="1:49" x14ac:dyDescent="0.2">
      <c r="A27" s="27"/>
      <c r="B27" s="28"/>
      <c r="C27" s="207" t="s">
        <v>68</v>
      </c>
      <c r="D27" s="207"/>
      <c r="E27" s="213"/>
      <c r="F27" s="209"/>
      <c r="G27" s="210"/>
      <c r="H27" s="48"/>
      <c r="I27" s="204"/>
      <c r="J27" s="205"/>
      <c r="K27" s="205"/>
      <c r="L27" s="205"/>
      <c r="M27" s="205"/>
      <c r="N27" s="205"/>
      <c r="O27" s="205"/>
      <c r="P27" s="205"/>
      <c r="Q27" s="205"/>
      <c r="R27" s="205"/>
      <c r="S27" s="205"/>
      <c r="T27" s="205"/>
      <c r="U27" s="205"/>
      <c r="V27" s="205"/>
      <c r="W27" s="205"/>
      <c r="X27" s="205"/>
      <c r="Y27" s="205"/>
      <c r="Z27" s="205"/>
      <c r="AA27" s="205"/>
      <c r="AB27" s="205"/>
      <c r="AC27" s="205"/>
      <c r="AD27" s="205"/>
      <c r="AE27" s="205"/>
      <c r="AF27" s="205"/>
      <c r="AG27" s="206"/>
      <c r="AH27" s="29"/>
      <c r="AI27" s="33"/>
      <c r="AJ27" s="33"/>
      <c r="AK27" s="52"/>
      <c r="AL27" s="52"/>
      <c r="AM27" s="30"/>
      <c r="AN27" s="30"/>
      <c r="AO27" s="30"/>
      <c r="AP27" s="30"/>
      <c r="AQ27" s="30"/>
      <c r="AR27" s="30"/>
      <c r="AS27" s="30"/>
      <c r="AT27" s="30"/>
      <c r="AU27" s="30"/>
      <c r="AV27" s="58"/>
      <c r="AW27" s="32"/>
    </row>
    <row r="28" spans="1:49" x14ac:dyDescent="0.2">
      <c r="A28" s="10"/>
      <c r="B28" s="28"/>
      <c r="C28" s="207" t="s">
        <v>46</v>
      </c>
      <c r="D28" s="207"/>
      <c r="E28" s="207"/>
      <c r="F28" s="84"/>
      <c r="G28" s="84"/>
      <c r="H28" s="62"/>
      <c r="I28" s="204"/>
      <c r="J28" s="205"/>
      <c r="K28" s="205"/>
      <c r="L28" s="205"/>
      <c r="M28" s="205"/>
      <c r="N28" s="205"/>
      <c r="O28" s="205"/>
      <c r="P28" s="205"/>
      <c r="Q28" s="205"/>
      <c r="R28" s="205"/>
      <c r="S28" s="205"/>
      <c r="T28" s="205"/>
      <c r="U28" s="205"/>
      <c r="V28" s="205"/>
      <c r="W28" s="205"/>
      <c r="X28" s="205"/>
      <c r="Y28" s="205"/>
      <c r="Z28" s="205"/>
      <c r="AA28" s="205"/>
      <c r="AB28" s="205"/>
      <c r="AC28" s="205"/>
      <c r="AD28" s="205"/>
      <c r="AE28" s="205"/>
      <c r="AF28" s="205"/>
      <c r="AG28" s="206"/>
      <c r="AH28" s="29"/>
      <c r="AI28" s="66"/>
      <c r="AJ28" s="66"/>
      <c r="AK28" s="29"/>
      <c r="AL28" s="29"/>
      <c r="AM28" s="30"/>
      <c r="AN28" s="30"/>
      <c r="AO28" s="30"/>
      <c r="AP28" s="30"/>
      <c r="AQ28" s="30"/>
      <c r="AR28" s="30"/>
      <c r="AS28" s="30"/>
      <c r="AT28" s="30"/>
      <c r="AU28" s="30"/>
      <c r="AV28" s="58"/>
    </row>
    <row r="29" spans="1:49" ht="13.5" thickBot="1" x14ac:dyDescent="0.25">
      <c r="B29" s="28"/>
      <c r="C29" s="222" t="s">
        <v>69</v>
      </c>
      <c r="D29" s="222"/>
      <c r="E29" s="222"/>
      <c r="F29" s="223"/>
      <c r="G29" s="223"/>
      <c r="H29" s="62"/>
      <c r="I29" s="214"/>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6"/>
      <c r="AH29" s="29"/>
      <c r="AI29" s="66"/>
      <c r="AJ29" s="66"/>
      <c r="AK29" s="29"/>
      <c r="AL29" s="29"/>
      <c r="AM29" s="30"/>
      <c r="AN29" s="30"/>
      <c r="AO29" s="30"/>
      <c r="AP29" s="30"/>
      <c r="AQ29" s="30"/>
      <c r="AR29" s="30"/>
      <c r="AS29" s="30"/>
      <c r="AT29" s="30"/>
      <c r="AU29" s="30"/>
      <c r="AV29" s="58"/>
      <c r="AW29" s="49"/>
    </row>
    <row r="30" spans="1:49" ht="13.5" thickBot="1" x14ac:dyDescent="0.25">
      <c r="B30" s="12"/>
      <c r="C30" s="224" t="s">
        <v>70</v>
      </c>
      <c r="D30" s="224"/>
      <c r="E30" s="224"/>
      <c r="F30" s="225"/>
      <c r="G30" s="225"/>
      <c r="H30" s="85"/>
      <c r="I30" s="147" t="s">
        <v>0</v>
      </c>
      <c r="J30" s="147" t="s">
        <v>22</v>
      </c>
      <c r="K30" s="147" t="s">
        <v>50</v>
      </c>
      <c r="L30" s="147" t="s">
        <v>20</v>
      </c>
      <c r="M30" s="147" t="s">
        <v>37</v>
      </c>
      <c r="N30" s="148" t="s">
        <v>38</v>
      </c>
      <c r="O30" s="148" t="s">
        <v>39</v>
      </c>
      <c r="P30" s="148" t="s">
        <v>52</v>
      </c>
      <c r="Q30" s="147" t="s">
        <v>27</v>
      </c>
      <c r="R30" s="147" t="s">
        <v>28</v>
      </c>
      <c r="S30" s="147" t="s">
        <v>53</v>
      </c>
      <c r="T30" s="147" t="s">
        <v>29</v>
      </c>
      <c r="U30" s="147" t="s">
        <v>43</v>
      </c>
      <c r="V30" s="147" t="s">
        <v>41</v>
      </c>
      <c r="W30" s="147" t="s">
        <v>44</v>
      </c>
      <c r="X30" s="147" t="s">
        <v>42</v>
      </c>
      <c r="Y30" s="147"/>
      <c r="Z30" s="149" t="s">
        <v>71</v>
      </c>
      <c r="AA30" s="147" t="s">
        <v>25</v>
      </c>
      <c r="AB30" s="147" t="s">
        <v>26</v>
      </c>
      <c r="AC30" s="147"/>
      <c r="AD30" s="147"/>
      <c r="AE30" s="147" t="s">
        <v>30</v>
      </c>
      <c r="AF30" s="147"/>
      <c r="AG30" s="147" t="s">
        <v>31</v>
      </c>
      <c r="AH30" s="150"/>
      <c r="AI30" s="150"/>
      <c r="AJ30" s="150"/>
      <c r="AK30" s="150"/>
      <c r="AL30" s="155"/>
      <c r="AM30" s="156"/>
      <c r="AN30" s="53"/>
      <c r="AO30" s="120" t="s">
        <v>78</v>
      </c>
      <c r="AP30" s="51"/>
      <c r="AQ30" s="51"/>
      <c r="AR30" s="51"/>
      <c r="AS30" s="51"/>
      <c r="AT30" s="51"/>
      <c r="AU30" s="51"/>
      <c r="AV30" s="159"/>
      <c r="AW30" s="50"/>
    </row>
    <row r="31" spans="1:49" x14ac:dyDescent="0.2">
      <c r="B31" s="92"/>
      <c r="C31" s="8"/>
      <c r="D31" s="93"/>
      <c r="E31" s="7"/>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144"/>
      <c r="AL31" s="142"/>
      <c r="AM31" s="145"/>
      <c r="AN31" s="145"/>
      <c r="AO31" s="145"/>
      <c r="AP31" s="145"/>
      <c r="AQ31" s="145"/>
      <c r="AR31" s="145"/>
      <c r="AS31" s="142"/>
      <c r="AT31" s="8"/>
      <c r="AU31" s="8"/>
      <c r="AV31" s="89"/>
      <c r="AW31" s="50"/>
    </row>
    <row r="32" spans="1:49" x14ac:dyDescent="0.2">
      <c r="B32" s="92"/>
      <c r="C32" s="8"/>
      <c r="D32" s="8"/>
      <c r="E32" s="94" t="s">
        <v>40</v>
      </c>
      <c r="F32" s="67"/>
      <c r="G32" s="62"/>
      <c r="H32" s="62"/>
      <c r="I32" s="62"/>
      <c r="J32" s="67"/>
      <c r="K32" s="67"/>
      <c r="L32" s="67"/>
      <c r="M32" s="67"/>
      <c r="N32" s="88"/>
      <c r="O32" s="67"/>
      <c r="P32" s="67"/>
      <c r="Q32" s="67"/>
      <c r="R32" s="67"/>
      <c r="S32" s="67"/>
      <c r="T32" s="67"/>
      <c r="U32" s="67"/>
      <c r="V32" s="67"/>
      <c r="W32" s="67"/>
      <c r="X32" s="67"/>
      <c r="Y32" s="67"/>
      <c r="Z32" s="67"/>
      <c r="AA32" s="67"/>
      <c r="AB32" s="48"/>
      <c r="AC32" s="48"/>
      <c r="AD32" s="48"/>
      <c r="AE32" s="48"/>
      <c r="AF32" s="48"/>
      <c r="AG32" s="8"/>
      <c r="AK32" s="141" t="s">
        <v>66</v>
      </c>
      <c r="AL32" s="142"/>
      <c r="AM32" s="8"/>
      <c r="AN32" s="8"/>
      <c r="AO32" s="8"/>
      <c r="AP32" s="8"/>
      <c r="AQ32" s="8"/>
      <c r="AR32" s="8"/>
      <c r="AS32" s="15"/>
      <c r="AT32" s="8"/>
      <c r="AU32" s="8"/>
      <c r="AV32" s="89"/>
    </row>
    <row r="33" spans="2:48" x14ac:dyDescent="0.2">
      <c r="B33" s="92"/>
      <c r="C33" s="8"/>
      <c r="D33" s="57"/>
      <c r="E33" s="95" t="s">
        <v>45</v>
      </c>
      <c r="F33" s="62"/>
      <c r="G33" s="67"/>
      <c r="H33" s="8"/>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8"/>
      <c r="AI33" s="129"/>
      <c r="AJ33" s="129"/>
      <c r="AK33" s="143"/>
      <c r="AL33" s="129"/>
      <c r="AM33" s="217" t="s">
        <v>74</v>
      </c>
      <c r="AN33" s="212"/>
      <c r="AO33" s="212"/>
      <c r="AP33" s="212"/>
      <c r="AQ33" s="212"/>
      <c r="AR33" s="212"/>
      <c r="AS33" s="218"/>
      <c r="AT33" s="8"/>
      <c r="AU33" s="8"/>
      <c r="AV33" s="89"/>
    </row>
    <row r="34" spans="2:48" x14ac:dyDescent="0.2">
      <c r="B34" s="92"/>
      <c r="C34" s="8"/>
      <c r="D34" s="96"/>
      <c r="E34" s="95" t="s">
        <v>92</v>
      </c>
      <c r="F34" s="48"/>
      <c r="G34" s="48"/>
      <c r="H34" s="8"/>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8"/>
      <c r="AH34" s="68"/>
      <c r="AI34" s="8"/>
      <c r="AJ34" s="8"/>
      <c r="AK34" s="179"/>
      <c r="AL34" s="100"/>
      <c r="AM34" s="219"/>
      <c r="AN34" s="220"/>
      <c r="AO34" s="220"/>
      <c r="AP34" s="220"/>
      <c r="AQ34" s="220"/>
      <c r="AR34" s="220"/>
      <c r="AS34" s="221"/>
      <c r="AT34" s="100"/>
      <c r="AU34" s="100"/>
      <c r="AV34" s="103"/>
    </row>
    <row r="35" spans="2:48" x14ac:dyDescent="0.2">
      <c r="B35" s="92"/>
      <c r="C35" s="8"/>
      <c r="D35" s="62"/>
      <c r="E35" s="95" t="s">
        <v>94</v>
      </c>
      <c r="F35" s="48"/>
      <c r="G35" s="48"/>
      <c r="H35" s="8"/>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8"/>
      <c r="AH35" s="8"/>
      <c r="AI35" s="8"/>
      <c r="AJ35" s="8"/>
      <c r="AK35" s="178"/>
      <c r="AL35" s="8"/>
      <c r="AM35" s="8"/>
      <c r="AN35" s="8"/>
      <c r="AO35" s="20"/>
      <c r="AP35" s="211"/>
      <c r="AQ35" s="212"/>
      <c r="AR35" s="212"/>
      <c r="AS35" s="212"/>
      <c r="AT35" s="212"/>
      <c r="AU35" s="213"/>
      <c r="AV35" s="180"/>
    </row>
    <row r="36" spans="2:48" x14ac:dyDescent="0.2">
      <c r="B36" s="92"/>
      <c r="C36" s="8"/>
      <c r="D36" s="48"/>
      <c r="E36" s="95" t="s">
        <v>81</v>
      </c>
      <c r="F36" s="8"/>
      <c r="G36" s="48"/>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8"/>
      <c r="AH36" s="8"/>
      <c r="AI36" s="8"/>
      <c r="AJ36" s="8"/>
      <c r="AK36" s="8"/>
      <c r="AL36" s="8"/>
      <c r="AM36" s="20"/>
      <c r="AN36" s="177"/>
      <c r="AO36" s="164"/>
      <c r="AP36" s="211"/>
      <c r="AQ36" s="212"/>
      <c r="AR36" s="212"/>
      <c r="AS36" s="212"/>
      <c r="AT36" s="212"/>
      <c r="AU36" s="213"/>
      <c r="AV36" s="89"/>
    </row>
    <row r="37" spans="2:48" x14ac:dyDescent="0.2">
      <c r="B37" s="92"/>
      <c r="C37" s="8"/>
      <c r="D37" s="97"/>
      <c r="E37" s="98"/>
      <c r="F37" s="29"/>
      <c r="G37" s="166"/>
      <c r="H37" s="29"/>
      <c r="I37" s="29"/>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177"/>
      <c r="AN37" s="177"/>
      <c r="AO37" s="177"/>
      <c r="AP37" s="177"/>
      <c r="AQ37" s="177"/>
      <c r="AR37" s="177"/>
      <c r="AS37" s="8"/>
      <c r="AT37" s="8"/>
      <c r="AU37" s="8"/>
      <c r="AV37" s="89"/>
    </row>
    <row r="38" spans="2:48" x14ac:dyDescent="0.2">
      <c r="B38" s="92"/>
      <c r="C38" s="8"/>
      <c r="D38" s="97"/>
      <c r="E38" s="115"/>
      <c r="I38" s="29"/>
      <c r="J38" s="8"/>
      <c r="K38" s="8"/>
      <c r="L38" s="97"/>
      <c r="M38" s="29"/>
      <c r="N38" s="29"/>
      <c r="O38" s="29"/>
      <c r="P38" s="29"/>
      <c r="Q38" s="29"/>
      <c r="R38" s="8"/>
      <c r="S38" s="8"/>
      <c r="T38" s="8"/>
      <c r="U38" s="8"/>
      <c r="V38" s="8"/>
      <c r="W38" s="8"/>
      <c r="X38" s="8"/>
      <c r="Y38" s="8"/>
      <c r="Z38" s="8"/>
      <c r="AA38" s="8"/>
      <c r="AB38" s="8"/>
      <c r="AC38" s="8"/>
      <c r="AD38" s="8"/>
      <c r="AE38" s="8"/>
      <c r="AF38" s="8"/>
      <c r="AG38" s="8"/>
      <c r="AH38" s="8"/>
      <c r="AI38" s="8"/>
      <c r="AJ38" s="8"/>
      <c r="AK38" s="8"/>
      <c r="AL38" s="8"/>
      <c r="AM38" s="15"/>
      <c r="AN38" s="15"/>
      <c r="AO38" s="15"/>
      <c r="AP38" s="15"/>
      <c r="AQ38" s="15"/>
      <c r="AR38" s="15"/>
      <c r="AS38" s="15"/>
      <c r="AT38" s="15"/>
      <c r="AU38" s="15"/>
      <c r="AV38" s="89"/>
    </row>
    <row r="39" spans="2:48" x14ac:dyDescent="0.2">
      <c r="B39" s="92"/>
      <c r="C39" s="8"/>
      <c r="D39" s="97"/>
      <c r="E39" s="29"/>
      <c r="F39" s="167"/>
      <c r="G39" s="29"/>
      <c r="H39" s="29"/>
      <c r="I39" s="29"/>
      <c r="J39" s="8"/>
      <c r="K39" s="8"/>
      <c r="L39" s="97"/>
      <c r="M39" s="8"/>
      <c r="N39" s="29"/>
      <c r="O39" s="29"/>
      <c r="P39" s="29"/>
      <c r="Q39" s="29"/>
      <c r="R39" s="8"/>
      <c r="S39" s="8"/>
      <c r="T39" s="8"/>
      <c r="U39" s="8"/>
      <c r="V39" s="8"/>
      <c r="W39" s="8"/>
      <c r="X39" s="8"/>
      <c r="Y39" s="8"/>
      <c r="Z39" s="8"/>
      <c r="AA39" s="8"/>
      <c r="AB39" s="8"/>
      <c r="AC39" s="8"/>
      <c r="AD39" s="8"/>
      <c r="AE39" s="8"/>
      <c r="AF39" s="8"/>
      <c r="AG39" s="8"/>
      <c r="AH39" s="8"/>
      <c r="AI39" s="8"/>
      <c r="AJ39" s="8"/>
      <c r="AK39" s="8"/>
      <c r="AL39" s="8"/>
      <c r="AM39" s="15"/>
      <c r="AN39" s="15"/>
      <c r="AO39" s="15"/>
      <c r="AP39" s="15"/>
      <c r="AQ39" s="15"/>
      <c r="AR39" s="15"/>
      <c r="AS39" s="15"/>
      <c r="AT39" s="15"/>
      <c r="AU39" s="15"/>
      <c r="AV39" s="89"/>
    </row>
    <row r="40" spans="2:48" x14ac:dyDescent="0.2">
      <c r="B40" s="99"/>
      <c r="C40" s="100"/>
      <c r="D40" s="101"/>
      <c r="E40" s="102"/>
      <c r="F40" s="102"/>
      <c r="G40" s="102"/>
      <c r="H40" s="102"/>
      <c r="I40" s="102"/>
      <c r="J40" s="100"/>
      <c r="K40" s="100"/>
      <c r="L40" s="101"/>
      <c r="M40" s="100"/>
      <c r="N40" s="102"/>
      <c r="O40" s="102"/>
      <c r="P40" s="102"/>
      <c r="Q40" s="102"/>
      <c r="R40" s="100"/>
      <c r="S40" s="100"/>
      <c r="T40" s="100"/>
      <c r="U40" s="100"/>
      <c r="V40" s="100"/>
      <c r="W40" s="100"/>
      <c r="X40" s="100"/>
      <c r="Y40" s="100"/>
      <c r="Z40" s="100"/>
      <c r="AA40" s="100"/>
      <c r="AB40" s="100"/>
      <c r="AC40" s="100"/>
      <c r="AD40" s="100"/>
      <c r="AE40" s="100"/>
      <c r="AF40" s="100"/>
      <c r="AG40" s="100"/>
      <c r="AH40" s="100"/>
      <c r="AI40" s="100"/>
      <c r="AJ40" s="100"/>
      <c r="AK40" s="100"/>
      <c r="AL40" s="100"/>
      <c r="AM40" s="87"/>
      <c r="AN40" s="87"/>
      <c r="AO40" s="87"/>
      <c r="AP40" s="87"/>
      <c r="AQ40" s="87"/>
      <c r="AR40" s="87"/>
      <c r="AS40" s="87"/>
      <c r="AT40" s="87"/>
      <c r="AU40" s="87"/>
      <c r="AV40" s="103"/>
    </row>
    <row r="41" spans="2:48" x14ac:dyDescent="0.2">
      <c r="C41" s="10"/>
      <c r="D41" s="63"/>
      <c r="E41" s="27"/>
      <c r="F41" s="27"/>
      <c r="G41" s="27"/>
      <c r="H41" s="27"/>
      <c r="I41" s="27"/>
      <c r="J41" s="10"/>
      <c r="K41" s="10"/>
      <c r="L41" s="63"/>
      <c r="N41" s="27"/>
      <c r="O41" s="27"/>
      <c r="P41" s="27"/>
      <c r="Q41" s="27"/>
      <c r="R41" s="10"/>
      <c r="S41" s="10"/>
      <c r="T41" s="10"/>
      <c r="U41" s="10"/>
      <c r="V41" s="10"/>
      <c r="W41" s="65"/>
      <c r="X41" s="10"/>
      <c r="Y41" s="10"/>
      <c r="Z41" s="10"/>
      <c r="AA41" s="10"/>
      <c r="AB41" s="10"/>
      <c r="AC41" s="10"/>
      <c r="AD41" s="10"/>
      <c r="AE41" s="10"/>
      <c r="AF41" s="10"/>
      <c r="AG41" s="10"/>
      <c r="AH41" s="10"/>
    </row>
    <row r="42" spans="2:48" x14ac:dyDescent="0.2">
      <c r="D42" s="60"/>
      <c r="E42" s="32"/>
      <c r="F42" s="168" t="s">
        <v>82</v>
      </c>
      <c r="G42" s="169"/>
      <c r="H42" s="170"/>
      <c r="I42" s="170"/>
      <c r="J42" s="170"/>
      <c r="K42" s="169"/>
      <c r="L42" s="169"/>
      <c r="M42" s="171"/>
      <c r="N42" s="170"/>
      <c r="O42" s="170"/>
      <c r="P42" s="170"/>
      <c r="Q42" s="170"/>
      <c r="R42" s="170"/>
      <c r="S42" s="8"/>
      <c r="T42" s="8"/>
      <c r="U42" s="8"/>
      <c r="V42" s="8"/>
      <c r="W42" s="8"/>
      <c r="X42" s="8"/>
      <c r="Y42" s="8"/>
      <c r="Z42" s="8"/>
      <c r="AA42" s="8"/>
      <c r="AB42" s="8"/>
      <c r="AC42" s="8"/>
      <c r="AD42" s="8"/>
      <c r="AE42" s="8"/>
    </row>
    <row r="43" spans="2:48" x14ac:dyDescent="0.2">
      <c r="D43" s="60"/>
      <c r="E43" s="32"/>
      <c r="F43" s="172" t="s">
        <v>80</v>
      </c>
      <c r="G43" s="170"/>
      <c r="H43" s="170"/>
      <c r="I43" s="170"/>
      <c r="J43" s="170"/>
      <c r="K43" s="169"/>
      <c r="L43" s="169"/>
      <c r="M43" s="171"/>
      <c r="N43" s="169"/>
      <c r="O43" s="170"/>
      <c r="P43" s="170"/>
      <c r="Q43" s="170"/>
      <c r="R43" s="170"/>
      <c r="S43" s="8"/>
      <c r="T43" s="8"/>
      <c r="U43" s="8"/>
      <c r="V43" s="8"/>
      <c r="W43" s="8"/>
      <c r="X43" s="8"/>
      <c r="Y43" s="8"/>
      <c r="Z43" s="8"/>
      <c r="AA43" s="8"/>
      <c r="AB43" s="8"/>
      <c r="AC43" s="8"/>
      <c r="AD43" s="8"/>
      <c r="AE43" s="8"/>
    </row>
    <row r="44" spans="2:48" x14ac:dyDescent="0.2">
      <c r="D44" s="61"/>
      <c r="E44" s="32"/>
      <c r="F44" s="172" t="s">
        <v>77</v>
      </c>
      <c r="G44" s="173"/>
      <c r="H44" s="173"/>
      <c r="I44" s="173"/>
      <c r="J44" s="160"/>
      <c r="K44" s="160"/>
      <c r="L44" s="174"/>
      <c r="M44" s="173"/>
      <c r="N44" s="173"/>
      <c r="O44" s="173"/>
      <c r="P44" s="173"/>
      <c r="Q44" s="173"/>
      <c r="R44" s="160"/>
    </row>
    <row r="45" spans="2:48" x14ac:dyDescent="0.2">
      <c r="D45" s="61"/>
      <c r="E45" s="32"/>
      <c r="F45" s="175" t="s">
        <v>75</v>
      </c>
      <c r="G45" s="173"/>
      <c r="H45" s="173"/>
      <c r="I45" s="173"/>
      <c r="J45" s="160"/>
      <c r="K45" s="160"/>
      <c r="L45" s="174"/>
      <c r="M45" s="173"/>
      <c r="N45" s="173"/>
      <c r="O45" s="173"/>
      <c r="P45" s="173"/>
      <c r="Q45" s="173"/>
      <c r="R45" s="160"/>
    </row>
    <row r="46" spans="2:48" x14ac:dyDescent="0.2">
      <c r="D46" s="61"/>
      <c r="E46" s="32"/>
      <c r="F46" s="175" t="s">
        <v>57</v>
      </c>
      <c r="G46" s="169"/>
      <c r="H46" s="170"/>
      <c r="I46" s="170"/>
      <c r="J46" s="170"/>
      <c r="K46" s="169"/>
      <c r="L46" s="169"/>
      <c r="M46" s="171"/>
      <c r="N46" s="170"/>
      <c r="O46" s="170"/>
      <c r="P46" s="170"/>
      <c r="Q46" s="170"/>
      <c r="R46" s="170"/>
      <c r="S46" s="146"/>
      <c r="T46" s="146"/>
      <c r="U46" s="146"/>
      <c r="V46" s="146"/>
      <c r="W46" s="8"/>
      <c r="X46" s="8"/>
      <c r="Y46" s="8"/>
      <c r="Z46" s="8"/>
      <c r="AA46" s="8"/>
      <c r="AB46" s="8"/>
      <c r="AC46" s="8"/>
      <c r="AD46" s="8"/>
      <c r="AE46" s="8"/>
    </row>
    <row r="47" spans="2:48" x14ac:dyDescent="0.2">
      <c r="F47" s="169" t="s">
        <v>56</v>
      </c>
      <c r="G47" s="169"/>
      <c r="H47" s="170"/>
      <c r="I47" s="170"/>
      <c r="J47" s="170"/>
      <c r="K47" s="169"/>
      <c r="L47" s="169"/>
      <c r="M47" s="171"/>
      <c r="N47" s="170"/>
      <c r="O47" s="170"/>
      <c r="P47" s="170"/>
      <c r="Q47" s="170"/>
      <c r="R47" s="170"/>
      <c r="S47" s="146"/>
      <c r="T47" s="146"/>
      <c r="U47" s="146"/>
      <c r="V47" s="146"/>
      <c r="W47" s="8"/>
      <c r="X47" s="8"/>
      <c r="Y47" s="8"/>
      <c r="Z47" s="8"/>
      <c r="AA47" s="8"/>
      <c r="AB47" s="8"/>
      <c r="AC47" s="8"/>
      <c r="AD47" s="8"/>
      <c r="AE47" s="8"/>
    </row>
    <row r="48" spans="2:48" x14ac:dyDescent="0.2">
      <c r="F48" s="170" t="s">
        <v>55</v>
      </c>
      <c r="G48" s="169"/>
      <c r="H48" s="170"/>
      <c r="I48" s="170"/>
      <c r="J48" s="170"/>
      <c r="K48" s="169"/>
      <c r="L48" s="169"/>
      <c r="M48" s="171"/>
      <c r="N48" s="170"/>
      <c r="O48" s="170"/>
      <c r="P48" s="170"/>
      <c r="Q48" s="170"/>
      <c r="R48" s="170"/>
      <c r="S48" s="146"/>
      <c r="T48" s="146"/>
      <c r="U48" s="146"/>
      <c r="V48" s="146"/>
      <c r="W48" s="8"/>
      <c r="X48" s="8"/>
      <c r="Y48" s="8"/>
      <c r="Z48" s="8"/>
      <c r="AA48" s="8"/>
      <c r="AB48" s="8"/>
      <c r="AC48" s="8"/>
      <c r="AD48" s="8"/>
      <c r="AE48" s="8"/>
    </row>
    <row r="49" spans="6:18" x14ac:dyDescent="0.2">
      <c r="F49" s="170" t="s">
        <v>47</v>
      </c>
      <c r="G49" s="160"/>
      <c r="H49" s="160"/>
      <c r="I49" s="160"/>
      <c r="J49" s="160"/>
      <c r="K49" s="160"/>
      <c r="L49" s="176"/>
      <c r="M49" s="173"/>
      <c r="N49" s="173"/>
      <c r="O49" s="173"/>
      <c r="P49" s="173"/>
      <c r="Q49" s="173"/>
      <c r="R49" s="160"/>
    </row>
    <row r="50" spans="6:18" x14ac:dyDescent="0.2">
      <c r="F50" s="170" t="s">
        <v>67</v>
      </c>
      <c r="G50" s="160"/>
      <c r="H50" s="160"/>
      <c r="I50" s="160"/>
      <c r="J50" s="160"/>
      <c r="K50" s="160"/>
      <c r="L50" s="176"/>
      <c r="M50" s="173"/>
      <c r="N50" s="173"/>
      <c r="O50" s="173"/>
      <c r="P50" s="173"/>
      <c r="Q50" s="173"/>
      <c r="R50" s="160"/>
    </row>
    <row r="11893" spans="39:47" x14ac:dyDescent="0.2">
      <c r="AM11893" s="1"/>
      <c r="AN11893" s="1"/>
      <c r="AO11893" s="1"/>
      <c r="AP11893" s="1"/>
      <c r="AQ11893" s="1"/>
      <c r="AR11893" s="1"/>
      <c r="AS11893" s="1"/>
      <c r="AT11893" s="1"/>
      <c r="AU11893" s="1"/>
    </row>
    <row r="11894" spans="39:47" x14ac:dyDescent="0.2">
      <c r="AM11894" s="1"/>
      <c r="AN11894" s="1"/>
      <c r="AO11894" s="1"/>
      <c r="AP11894" s="1"/>
      <c r="AQ11894" s="1"/>
      <c r="AR11894" s="1"/>
      <c r="AS11894" s="1"/>
      <c r="AT11894" s="1"/>
      <c r="AU11894" s="1"/>
    </row>
    <row r="11895" spans="39:47" x14ac:dyDescent="0.2">
      <c r="AM11895" s="1"/>
      <c r="AN11895" s="1"/>
      <c r="AO11895" s="1"/>
      <c r="AP11895" s="1"/>
      <c r="AQ11895" s="1"/>
      <c r="AR11895" s="1"/>
      <c r="AS11895" s="1"/>
      <c r="AT11895" s="1"/>
      <c r="AU11895" s="1"/>
    </row>
    <row r="11896" spans="39:47" x14ac:dyDescent="0.2">
      <c r="AM11896" s="1"/>
      <c r="AN11896" s="1"/>
      <c r="AO11896" s="1"/>
      <c r="AP11896" s="1"/>
      <c r="AQ11896" s="1"/>
      <c r="AR11896" s="1"/>
      <c r="AS11896" s="1"/>
      <c r="AT11896" s="1"/>
      <c r="AU11896" s="1"/>
    </row>
    <row r="11897" spans="39:47" x14ac:dyDescent="0.2">
      <c r="AM11897" s="1"/>
      <c r="AN11897" s="1"/>
      <c r="AO11897" s="1"/>
      <c r="AP11897" s="1"/>
      <c r="AQ11897" s="1"/>
      <c r="AR11897" s="1"/>
      <c r="AS11897" s="1"/>
      <c r="AT11897" s="1"/>
      <c r="AU11897" s="1"/>
    </row>
    <row r="11898" spans="39:47" x14ac:dyDescent="0.2">
      <c r="AM11898" s="1"/>
      <c r="AN11898" s="1"/>
      <c r="AO11898" s="1"/>
      <c r="AP11898" s="1"/>
      <c r="AQ11898" s="1"/>
      <c r="AR11898" s="1"/>
      <c r="AS11898" s="1"/>
      <c r="AT11898" s="1"/>
      <c r="AU11898" s="1"/>
    </row>
    <row r="11899" spans="39:47" x14ac:dyDescent="0.2">
      <c r="AM11899" s="1"/>
      <c r="AN11899" s="1"/>
      <c r="AO11899" s="1"/>
      <c r="AP11899" s="1"/>
      <c r="AQ11899" s="1"/>
      <c r="AR11899" s="1"/>
      <c r="AS11899" s="1"/>
      <c r="AT11899" s="1"/>
      <c r="AU11899" s="1"/>
    </row>
    <row r="11900" spans="39:47" x14ac:dyDescent="0.2">
      <c r="AM11900" s="1"/>
      <c r="AN11900" s="1"/>
      <c r="AO11900" s="1"/>
      <c r="AP11900" s="1"/>
      <c r="AQ11900" s="1"/>
      <c r="AR11900" s="1"/>
      <c r="AS11900" s="1"/>
      <c r="AT11900" s="1"/>
      <c r="AU11900" s="1"/>
    </row>
    <row r="11901" spans="39:47" x14ac:dyDescent="0.2">
      <c r="AM11901" s="1"/>
      <c r="AN11901" s="1"/>
      <c r="AO11901" s="1"/>
      <c r="AP11901" s="1"/>
      <c r="AQ11901" s="1"/>
      <c r="AR11901" s="1"/>
      <c r="AS11901" s="1"/>
      <c r="AT11901" s="1"/>
      <c r="AU11901" s="1"/>
    </row>
    <row r="11902" spans="39:47" x14ac:dyDescent="0.2">
      <c r="AM11902" s="1"/>
      <c r="AN11902" s="1"/>
      <c r="AO11902" s="1"/>
      <c r="AP11902" s="1"/>
      <c r="AQ11902" s="1"/>
      <c r="AR11902" s="1"/>
      <c r="AS11902" s="1"/>
      <c r="AT11902" s="1"/>
      <c r="AU11902" s="1"/>
    </row>
    <row r="11903" spans="39:47" x14ac:dyDescent="0.2">
      <c r="AM11903" s="1"/>
      <c r="AN11903" s="1"/>
      <c r="AO11903" s="1"/>
      <c r="AP11903" s="1"/>
      <c r="AQ11903" s="1"/>
      <c r="AR11903" s="1"/>
      <c r="AS11903" s="1"/>
      <c r="AT11903" s="1"/>
      <c r="AU11903" s="1"/>
    </row>
    <row r="11904" spans="39:47" x14ac:dyDescent="0.2">
      <c r="AM11904" s="1"/>
      <c r="AN11904" s="1"/>
      <c r="AO11904" s="1"/>
      <c r="AP11904" s="1"/>
      <c r="AQ11904" s="1"/>
      <c r="AR11904" s="1"/>
      <c r="AS11904" s="1"/>
      <c r="AT11904" s="1"/>
      <c r="AU11904" s="1"/>
    </row>
    <row r="11905" spans="39:47" x14ac:dyDescent="0.2">
      <c r="AM11905" s="1"/>
      <c r="AN11905" s="1"/>
      <c r="AO11905" s="1"/>
      <c r="AP11905" s="1"/>
      <c r="AQ11905" s="1"/>
      <c r="AR11905" s="1"/>
      <c r="AS11905" s="1"/>
      <c r="AT11905" s="1"/>
      <c r="AU11905" s="1"/>
    </row>
    <row r="11906" spans="39:47" x14ac:dyDescent="0.2">
      <c r="AM11906" s="1"/>
      <c r="AN11906" s="1"/>
      <c r="AO11906" s="1"/>
      <c r="AP11906" s="1"/>
      <c r="AQ11906" s="1"/>
      <c r="AR11906" s="1"/>
      <c r="AS11906" s="1"/>
      <c r="AT11906" s="1"/>
      <c r="AU11906" s="1"/>
    </row>
    <row r="11907" spans="39:47" x14ac:dyDescent="0.2">
      <c r="AM11907" s="1"/>
      <c r="AN11907" s="1"/>
      <c r="AO11907" s="1"/>
      <c r="AP11907" s="1"/>
      <c r="AQ11907" s="1"/>
      <c r="AR11907" s="1"/>
      <c r="AS11907" s="1"/>
      <c r="AT11907" s="1"/>
      <c r="AU11907" s="1"/>
    </row>
    <row r="11908" spans="39:47" x14ac:dyDescent="0.2">
      <c r="AM11908" s="1"/>
      <c r="AN11908" s="1"/>
      <c r="AO11908" s="1"/>
      <c r="AP11908" s="1"/>
      <c r="AQ11908" s="1"/>
      <c r="AR11908" s="1"/>
      <c r="AS11908" s="1"/>
      <c r="AT11908" s="1"/>
      <c r="AU11908" s="1"/>
    </row>
    <row r="11909" spans="39:47" x14ac:dyDescent="0.2">
      <c r="AM11909" s="1"/>
      <c r="AN11909" s="1"/>
      <c r="AO11909" s="1"/>
      <c r="AP11909" s="1"/>
      <c r="AQ11909" s="1"/>
      <c r="AR11909" s="1"/>
      <c r="AS11909" s="1"/>
      <c r="AT11909" s="1"/>
      <c r="AU11909" s="1"/>
    </row>
    <row r="11910" spans="39:47" x14ac:dyDescent="0.2">
      <c r="AM11910" s="1"/>
      <c r="AN11910" s="1"/>
      <c r="AO11910" s="1"/>
      <c r="AP11910" s="1"/>
      <c r="AQ11910" s="1"/>
      <c r="AR11910" s="1"/>
      <c r="AS11910" s="1"/>
      <c r="AT11910" s="1"/>
      <c r="AU11910" s="1"/>
    </row>
    <row r="11911" spans="39:47" x14ac:dyDescent="0.2">
      <c r="AM11911" s="1"/>
      <c r="AN11911" s="1"/>
      <c r="AO11911" s="1"/>
      <c r="AP11911" s="1"/>
      <c r="AQ11911" s="1"/>
      <c r="AR11911" s="1"/>
      <c r="AS11911" s="1"/>
      <c r="AT11911" s="1"/>
      <c r="AU11911" s="1"/>
    </row>
    <row r="11912" spans="39:47" x14ac:dyDescent="0.2">
      <c r="AM11912" s="1"/>
      <c r="AN11912" s="1"/>
      <c r="AO11912" s="1"/>
      <c r="AP11912" s="1"/>
      <c r="AQ11912" s="1"/>
      <c r="AR11912" s="1"/>
      <c r="AS11912" s="1"/>
      <c r="AT11912" s="1"/>
      <c r="AU11912" s="1"/>
    </row>
    <row r="11913" spans="39:47" x14ac:dyDescent="0.2">
      <c r="AM11913" s="1"/>
      <c r="AN11913" s="1"/>
      <c r="AO11913" s="1"/>
      <c r="AP11913" s="1"/>
      <c r="AQ11913" s="1"/>
      <c r="AR11913" s="1"/>
      <c r="AS11913" s="1"/>
      <c r="AT11913" s="1"/>
      <c r="AU11913" s="1"/>
    </row>
    <row r="11914" spans="39:47" x14ac:dyDescent="0.2">
      <c r="AM11914" s="1"/>
      <c r="AN11914" s="1"/>
      <c r="AO11914" s="1"/>
      <c r="AP11914" s="1"/>
      <c r="AQ11914" s="1"/>
      <c r="AR11914" s="1"/>
      <c r="AS11914" s="1"/>
      <c r="AT11914" s="1"/>
      <c r="AU11914" s="1"/>
    </row>
    <row r="11915" spans="39:47" x14ac:dyDescent="0.2">
      <c r="AM11915" s="1"/>
      <c r="AN11915" s="1"/>
      <c r="AO11915" s="1"/>
      <c r="AP11915" s="1"/>
      <c r="AQ11915" s="1"/>
      <c r="AR11915" s="1"/>
      <c r="AS11915" s="1"/>
      <c r="AT11915" s="1"/>
      <c r="AU11915" s="1"/>
    </row>
    <row r="11916" spans="39:47" x14ac:dyDescent="0.2">
      <c r="AM11916" s="1"/>
      <c r="AN11916" s="1"/>
      <c r="AO11916" s="1"/>
      <c r="AP11916" s="1"/>
      <c r="AQ11916" s="1"/>
      <c r="AR11916" s="1"/>
      <c r="AS11916" s="1"/>
      <c r="AT11916" s="1"/>
      <c r="AU11916" s="1"/>
    </row>
    <row r="11917" spans="39:47" x14ac:dyDescent="0.2">
      <c r="AM11917" s="1"/>
      <c r="AN11917" s="1"/>
      <c r="AO11917" s="1"/>
      <c r="AP11917" s="1"/>
      <c r="AQ11917" s="1"/>
      <c r="AR11917" s="1"/>
      <c r="AS11917" s="1"/>
      <c r="AT11917" s="1"/>
      <c r="AU11917" s="1"/>
    </row>
    <row r="11918" spans="39:47" x14ac:dyDescent="0.2">
      <c r="AM11918" s="1"/>
      <c r="AN11918" s="1"/>
      <c r="AO11918" s="1"/>
      <c r="AP11918" s="1"/>
      <c r="AQ11918" s="1"/>
      <c r="AR11918" s="1"/>
      <c r="AS11918" s="1"/>
      <c r="AT11918" s="1"/>
      <c r="AU11918" s="1"/>
    </row>
    <row r="11919" spans="39:47" x14ac:dyDescent="0.2">
      <c r="AM11919" s="1"/>
      <c r="AN11919" s="1"/>
      <c r="AO11919" s="1"/>
      <c r="AP11919" s="1"/>
      <c r="AQ11919" s="1"/>
      <c r="AR11919" s="1"/>
      <c r="AS11919" s="1"/>
      <c r="AT11919" s="1"/>
      <c r="AU11919" s="1"/>
    </row>
    <row r="11920" spans="39:47" x14ac:dyDescent="0.2">
      <c r="AM11920" s="1"/>
      <c r="AN11920" s="1"/>
      <c r="AO11920" s="1"/>
      <c r="AP11920" s="1"/>
      <c r="AQ11920" s="1"/>
      <c r="AR11920" s="1"/>
      <c r="AS11920" s="1"/>
      <c r="AT11920" s="1"/>
      <c r="AU11920" s="1"/>
    </row>
    <row r="11921" spans="39:47" x14ac:dyDescent="0.2">
      <c r="AM11921" s="1"/>
      <c r="AN11921" s="1"/>
      <c r="AO11921" s="1"/>
      <c r="AP11921" s="1"/>
      <c r="AQ11921" s="1"/>
      <c r="AR11921" s="1"/>
      <c r="AS11921" s="1"/>
      <c r="AT11921" s="1"/>
      <c r="AU11921" s="1"/>
    </row>
    <row r="11922" spans="39:47" x14ac:dyDescent="0.2">
      <c r="AM11922" s="1"/>
      <c r="AN11922" s="1"/>
      <c r="AO11922" s="1"/>
      <c r="AP11922" s="1"/>
      <c r="AQ11922" s="1"/>
      <c r="AR11922" s="1"/>
      <c r="AS11922" s="1"/>
      <c r="AT11922" s="1"/>
      <c r="AU11922" s="1"/>
    </row>
    <row r="11923" spans="39:47" x14ac:dyDescent="0.2">
      <c r="AM11923" s="1"/>
      <c r="AN11923" s="1"/>
      <c r="AO11923" s="1"/>
      <c r="AP11923" s="1"/>
      <c r="AQ11923" s="1"/>
      <c r="AR11923" s="1"/>
      <c r="AS11923" s="1"/>
      <c r="AT11923" s="1"/>
      <c r="AU11923" s="1"/>
    </row>
    <row r="11924" spans="39:47" x14ac:dyDescent="0.2">
      <c r="AM11924" s="1"/>
      <c r="AN11924" s="1"/>
      <c r="AO11924" s="1"/>
      <c r="AP11924" s="1"/>
      <c r="AQ11924" s="1"/>
      <c r="AR11924" s="1"/>
      <c r="AS11924" s="1"/>
      <c r="AT11924" s="1"/>
      <c r="AU11924" s="1"/>
    </row>
    <row r="11925" spans="39:47" x14ac:dyDescent="0.2">
      <c r="AM11925" s="1"/>
      <c r="AN11925" s="1"/>
      <c r="AO11925" s="1"/>
      <c r="AP11925" s="1"/>
      <c r="AQ11925" s="1"/>
      <c r="AR11925" s="1"/>
      <c r="AS11925" s="1"/>
      <c r="AT11925" s="1"/>
      <c r="AU11925" s="1"/>
    </row>
    <row r="11926" spans="39:47" x14ac:dyDescent="0.2">
      <c r="AM11926" s="1"/>
      <c r="AN11926" s="1"/>
      <c r="AO11926" s="1"/>
      <c r="AP11926" s="1"/>
      <c r="AQ11926" s="1"/>
      <c r="AR11926" s="1"/>
      <c r="AS11926" s="1"/>
      <c r="AT11926" s="1"/>
      <c r="AU11926" s="1"/>
    </row>
    <row r="11927" spans="39:47" x14ac:dyDescent="0.2">
      <c r="AM11927" s="1"/>
      <c r="AN11927" s="1"/>
      <c r="AO11927" s="1"/>
      <c r="AP11927" s="1"/>
      <c r="AQ11927" s="1"/>
      <c r="AR11927" s="1"/>
      <c r="AS11927" s="1"/>
      <c r="AT11927" s="1"/>
      <c r="AU11927" s="1"/>
    </row>
    <row r="11928" spans="39:47" x14ac:dyDescent="0.2">
      <c r="AM11928" s="1"/>
      <c r="AN11928" s="1"/>
      <c r="AO11928" s="1"/>
      <c r="AP11928" s="1"/>
      <c r="AQ11928" s="1"/>
      <c r="AR11928" s="1"/>
      <c r="AS11928" s="1"/>
      <c r="AT11928" s="1"/>
      <c r="AU11928" s="1"/>
    </row>
    <row r="11929" spans="39:47" x14ac:dyDescent="0.2">
      <c r="AM11929" s="1"/>
      <c r="AN11929" s="1"/>
      <c r="AO11929" s="1"/>
      <c r="AP11929" s="1"/>
      <c r="AQ11929" s="1"/>
      <c r="AR11929" s="1"/>
      <c r="AS11929" s="1"/>
      <c r="AT11929" s="1"/>
      <c r="AU11929" s="1"/>
    </row>
    <row r="11930" spans="39:47" x14ac:dyDescent="0.2">
      <c r="AM11930" s="1"/>
      <c r="AN11930" s="1"/>
      <c r="AO11930" s="1"/>
      <c r="AP11930" s="1"/>
      <c r="AQ11930" s="1"/>
      <c r="AR11930" s="1"/>
      <c r="AS11930" s="1"/>
      <c r="AT11930" s="1"/>
      <c r="AU11930" s="1"/>
    </row>
    <row r="11931" spans="39:47" x14ac:dyDescent="0.2">
      <c r="AM11931" s="1"/>
      <c r="AN11931" s="1"/>
      <c r="AO11931" s="1"/>
      <c r="AP11931" s="1"/>
      <c r="AQ11931" s="1"/>
      <c r="AR11931" s="1"/>
      <c r="AS11931" s="1"/>
      <c r="AT11931" s="1"/>
      <c r="AU11931" s="1"/>
    </row>
    <row r="11932" spans="39:47" x14ac:dyDescent="0.2">
      <c r="AM11932" s="1"/>
      <c r="AN11932" s="1"/>
      <c r="AO11932" s="1"/>
      <c r="AP11932" s="1"/>
      <c r="AQ11932" s="1"/>
      <c r="AR11932" s="1"/>
      <c r="AS11932" s="1"/>
      <c r="AT11932" s="1"/>
      <c r="AU11932" s="1"/>
    </row>
    <row r="11933" spans="39:47" x14ac:dyDescent="0.2">
      <c r="AM11933" s="1"/>
      <c r="AN11933" s="1"/>
      <c r="AO11933" s="1"/>
      <c r="AP11933" s="1"/>
      <c r="AQ11933" s="1"/>
      <c r="AR11933" s="1"/>
      <c r="AS11933" s="1"/>
      <c r="AT11933" s="1"/>
      <c r="AU11933" s="1"/>
    </row>
    <row r="11934" spans="39:47" x14ac:dyDescent="0.2">
      <c r="AM11934" s="1"/>
      <c r="AN11934" s="1"/>
      <c r="AO11934" s="1"/>
      <c r="AP11934" s="1"/>
      <c r="AQ11934" s="1"/>
      <c r="AR11934" s="1"/>
      <c r="AS11934" s="1"/>
      <c r="AT11934" s="1"/>
      <c r="AU11934" s="1"/>
    </row>
    <row r="11935" spans="39:47" x14ac:dyDescent="0.2">
      <c r="AM11935" s="1"/>
      <c r="AN11935" s="1"/>
      <c r="AO11935" s="1"/>
      <c r="AP11935" s="1"/>
      <c r="AQ11935" s="1"/>
      <c r="AR11935" s="1"/>
      <c r="AS11935" s="1"/>
      <c r="AT11935" s="1"/>
      <c r="AU11935" s="1"/>
    </row>
    <row r="11936" spans="39:47" x14ac:dyDescent="0.2">
      <c r="AM11936" s="1"/>
      <c r="AN11936" s="1"/>
      <c r="AO11936" s="1"/>
      <c r="AP11936" s="1"/>
      <c r="AQ11936" s="1"/>
      <c r="AR11936" s="1"/>
      <c r="AS11936" s="1"/>
      <c r="AT11936" s="1"/>
      <c r="AU11936" s="1"/>
    </row>
    <row r="11937" spans="39:47" x14ac:dyDescent="0.2">
      <c r="AM11937" s="1"/>
      <c r="AN11937" s="1"/>
      <c r="AO11937" s="1"/>
      <c r="AP11937" s="1"/>
      <c r="AQ11937" s="1"/>
      <c r="AR11937" s="1"/>
      <c r="AS11937" s="1"/>
      <c r="AT11937" s="1"/>
      <c r="AU11937" s="1"/>
    </row>
    <row r="11938" spans="39:47" x14ac:dyDescent="0.2">
      <c r="AM11938" s="1"/>
      <c r="AN11938" s="1"/>
      <c r="AO11938" s="1"/>
      <c r="AP11938" s="1"/>
      <c r="AQ11938" s="1"/>
      <c r="AR11938" s="1"/>
      <c r="AS11938" s="1"/>
      <c r="AT11938" s="1"/>
      <c r="AU11938" s="1"/>
    </row>
    <row r="11939" spans="39:47" x14ac:dyDescent="0.2">
      <c r="AM11939" s="1"/>
      <c r="AN11939" s="1"/>
      <c r="AO11939" s="1"/>
      <c r="AP11939" s="1"/>
      <c r="AQ11939" s="1"/>
      <c r="AR11939" s="1"/>
      <c r="AS11939" s="1"/>
      <c r="AT11939" s="1"/>
      <c r="AU11939" s="1"/>
    </row>
    <row r="11940" spans="39:47" x14ac:dyDescent="0.2">
      <c r="AM11940" s="1"/>
      <c r="AN11940" s="1"/>
      <c r="AO11940" s="1"/>
      <c r="AP11940" s="1"/>
      <c r="AQ11940" s="1"/>
      <c r="AR11940" s="1"/>
      <c r="AS11940" s="1"/>
      <c r="AT11940" s="1"/>
      <c r="AU11940" s="1"/>
    </row>
    <row r="11941" spans="39:47" x14ac:dyDescent="0.2">
      <c r="AM11941" s="1"/>
      <c r="AN11941" s="1"/>
      <c r="AO11941" s="1"/>
      <c r="AP11941" s="1"/>
      <c r="AQ11941" s="1"/>
      <c r="AR11941" s="1"/>
      <c r="AS11941" s="1"/>
      <c r="AT11941" s="1"/>
      <c r="AU11941" s="1"/>
    </row>
    <row r="11942" spans="39:47" x14ac:dyDescent="0.2">
      <c r="AM11942" s="1"/>
      <c r="AN11942" s="1"/>
      <c r="AO11942" s="1"/>
      <c r="AP11942" s="1"/>
      <c r="AQ11942" s="1"/>
      <c r="AR11942" s="1"/>
      <c r="AS11942" s="1"/>
      <c r="AT11942" s="1"/>
      <c r="AU11942" s="1"/>
    </row>
    <row r="11943" spans="39:47" x14ac:dyDescent="0.2">
      <c r="AM11943" s="1"/>
      <c r="AN11943" s="1"/>
      <c r="AO11943" s="1"/>
      <c r="AP11943" s="1"/>
      <c r="AQ11943" s="1"/>
      <c r="AR11943" s="1"/>
      <c r="AS11943" s="1"/>
      <c r="AT11943" s="1"/>
      <c r="AU11943" s="1"/>
    </row>
    <row r="11944" spans="39:47" x14ac:dyDescent="0.2">
      <c r="AM11944" s="1"/>
      <c r="AN11944" s="1"/>
      <c r="AO11944" s="1"/>
      <c r="AP11944" s="1"/>
      <c r="AQ11944" s="1"/>
      <c r="AR11944" s="1"/>
      <c r="AS11944" s="1"/>
      <c r="AT11944" s="1"/>
      <c r="AU11944" s="1"/>
    </row>
    <row r="11945" spans="39:47" x14ac:dyDescent="0.2">
      <c r="AM11945" s="1"/>
      <c r="AN11945" s="1"/>
      <c r="AO11945" s="1"/>
      <c r="AP11945" s="1"/>
      <c r="AQ11945" s="1"/>
      <c r="AR11945" s="1"/>
      <c r="AS11945" s="1"/>
      <c r="AT11945" s="1"/>
      <c r="AU11945" s="1"/>
    </row>
    <row r="11946" spans="39:47" x14ac:dyDescent="0.2">
      <c r="AM11946" s="1"/>
      <c r="AN11946" s="1"/>
      <c r="AO11946" s="1"/>
      <c r="AP11946" s="1"/>
      <c r="AQ11946" s="1"/>
      <c r="AR11946" s="1"/>
      <c r="AS11946" s="1"/>
      <c r="AT11946" s="1"/>
      <c r="AU11946" s="1"/>
    </row>
    <row r="11947" spans="39:47" x14ac:dyDescent="0.2">
      <c r="AM11947" s="1"/>
      <c r="AN11947" s="1"/>
      <c r="AO11947" s="1"/>
      <c r="AP11947" s="1"/>
      <c r="AQ11947" s="1"/>
      <c r="AR11947" s="1"/>
      <c r="AS11947" s="1"/>
      <c r="AT11947" s="1"/>
      <c r="AU11947" s="1"/>
    </row>
    <row r="11948" spans="39:47" x14ac:dyDescent="0.2">
      <c r="AM11948" s="1"/>
      <c r="AN11948" s="1"/>
      <c r="AO11948" s="1"/>
      <c r="AP11948" s="1"/>
      <c r="AQ11948" s="1"/>
      <c r="AR11948" s="1"/>
      <c r="AS11948" s="1"/>
      <c r="AT11948" s="1"/>
      <c r="AU11948" s="1"/>
    </row>
    <row r="11949" spans="39:47" x14ac:dyDescent="0.2">
      <c r="AM11949" s="1"/>
      <c r="AN11949" s="1"/>
      <c r="AO11949" s="1"/>
      <c r="AP11949" s="1"/>
      <c r="AQ11949" s="1"/>
      <c r="AR11949" s="1"/>
      <c r="AS11949" s="1"/>
      <c r="AT11949" s="1"/>
      <c r="AU11949" s="1"/>
    </row>
    <row r="11950" spans="39:47" x14ac:dyDescent="0.2">
      <c r="AM11950" s="1"/>
      <c r="AN11950" s="1"/>
      <c r="AO11950" s="1"/>
      <c r="AP11950" s="1"/>
      <c r="AQ11950" s="1"/>
      <c r="AR11950" s="1"/>
      <c r="AS11950" s="1"/>
      <c r="AT11950" s="1"/>
      <c r="AU11950" s="1"/>
    </row>
    <row r="11951" spans="39:47" x14ac:dyDescent="0.2">
      <c r="AM11951" s="1"/>
      <c r="AN11951" s="1"/>
      <c r="AO11951" s="1"/>
      <c r="AP11951" s="1"/>
      <c r="AQ11951" s="1"/>
      <c r="AR11951" s="1"/>
      <c r="AS11951" s="1"/>
      <c r="AT11951" s="1"/>
      <c r="AU11951" s="1"/>
    </row>
    <row r="11952" spans="39:47" x14ac:dyDescent="0.2">
      <c r="AM11952" s="1"/>
      <c r="AN11952" s="1"/>
      <c r="AO11952" s="1"/>
      <c r="AP11952" s="1"/>
      <c r="AQ11952" s="1"/>
      <c r="AR11952" s="1"/>
      <c r="AS11952" s="1"/>
      <c r="AT11952" s="1"/>
      <c r="AU11952" s="1"/>
    </row>
    <row r="11953" spans="39:47" x14ac:dyDescent="0.2">
      <c r="AM11953" s="1"/>
      <c r="AN11953" s="1"/>
      <c r="AO11953" s="1"/>
      <c r="AP11953" s="1"/>
      <c r="AQ11953" s="1"/>
      <c r="AR11953" s="1"/>
      <c r="AS11953" s="1"/>
      <c r="AT11953" s="1"/>
      <c r="AU11953" s="1"/>
    </row>
    <row r="11954" spans="39:47" x14ac:dyDescent="0.2">
      <c r="AM11954" s="1"/>
      <c r="AN11954" s="1"/>
      <c r="AO11954" s="1"/>
      <c r="AP11954" s="1"/>
      <c r="AQ11954" s="1"/>
      <c r="AR11954" s="1"/>
      <c r="AS11954" s="1"/>
      <c r="AT11954" s="1"/>
      <c r="AU11954" s="1"/>
    </row>
    <row r="11955" spans="39:47" x14ac:dyDescent="0.2">
      <c r="AM11955" s="1"/>
      <c r="AN11955" s="1"/>
      <c r="AO11955" s="1"/>
      <c r="AP11955" s="1"/>
      <c r="AQ11955" s="1"/>
      <c r="AR11955" s="1"/>
      <c r="AS11955" s="1"/>
      <c r="AT11955" s="1"/>
      <c r="AU11955" s="1"/>
    </row>
    <row r="11956" spans="39:47" x14ac:dyDescent="0.2">
      <c r="AM11956" s="1"/>
      <c r="AN11956" s="1"/>
      <c r="AO11956" s="1"/>
      <c r="AP11956" s="1"/>
      <c r="AQ11956" s="1"/>
      <c r="AR11956" s="1"/>
      <c r="AS11956" s="1"/>
      <c r="AT11956" s="1"/>
      <c r="AU11956" s="1"/>
    </row>
    <row r="11957" spans="39:47" x14ac:dyDescent="0.2">
      <c r="AM11957" s="1"/>
      <c r="AN11957" s="1"/>
      <c r="AO11957" s="1"/>
      <c r="AP11957" s="1"/>
      <c r="AQ11957" s="1"/>
      <c r="AR11957" s="1"/>
      <c r="AS11957" s="1"/>
      <c r="AT11957" s="1"/>
      <c r="AU11957" s="1"/>
    </row>
    <row r="11958" spans="39:47" x14ac:dyDescent="0.2">
      <c r="AM11958" s="1"/>
      <c r="AN11958" s="1"/>
      <c r="AO11958" s="1"/>
      <c r="AP11958" s="1"/>
      <c r="AQ11958" s="1"/>
      <c r="AR11958" s="1"/>
      <c r="AS11958" s="1"/>
      <c r="AT11958" s="1"/>
      <c r="AU11958" s="1"/>
    </row>
    <row r="11959" spans="39:47" x14ac:dyDescent="0.2">
      <c r="AM11959" s="1"/>
      <c r="AN11959" s="1"/>
      <c r="AO11959" s="1"/>
      <c r="AP11959" s="1"/>
      <c r="AQ11959" s="1"/>
      <c r="AR11959" s="1"/>
      <c r="AS11959" s="1"/>
      <c r="AT11959" s="1"/>
      <c r="AU11959" s="1"/>
    </row>
    <row r="11960" spans="39:47" x14ac:dyDescent="0.2">
      <c r="AM11960" s="1"/>
      <c r="AN11960" s="1"/>
      <c r="AO11960" s="1"/>
      <c r="AP11960" s="1"/>
      <c r="AQ11960" s="1"/>
      <c r="AR11960" s="1"/>
      <c r="AS11960" s="1"/>
      <c r="AT11960" s="1"/>
      <c r="AU11960" s="1"/>
    </row>
    <row r="11961" spans="39:47" x14ac:dyDescent="0.2">
      <c r="AM11961" s="1"/>
      <c r="AN11961" s="1"/>
      <c r="AO11961" s="1"/>
      <c r="AP11961" s="1"/>
      <c r="AQ11961" s="1"/>
      <c r="AR11961" s="1"/>
      <c r="AS11961" s="1"/>
      <c r="AT11961" s="1"/>
      <c r="AU11961" s="1"/>
    </row>
    <row r="11962" spans="39:47" x14ac:dyDescent="0.2">
      <c r="AM11962" s="1"/>
      <c r="AN11962" s="1"/>
      <c r="AO11962" s="1"/>
      <c r="AP11962" s="1"/>
      <c r="AQ11962" s="1"/>
      <c r="AR11962" s="1"/>
      <c r="AS11962" s="1"/>
      <c r="AT11962" s="1"/>
      <c r="AU11962" s="1"/>
    </row>
    <row r="11963" spans="39:47" x14ac:dyDescent="0.2">
      <c r="AM11963" s="1"/>
      <c r="AN11963" s="1"/>
      <c r="AO11963" s="1"/>
      <c r="AP11963" s="1"/>
      <c r="AQ11963" s="1"/>
      <c r="AR11963" s="1"/>
      <c r="AS11963" s="1"/>
      <c r="AT11963" s="1"/>
      <c r="AU11963" s="1"/>
    </row>
    <row r="11964" spans="39:47" x14ac:dyDescent="0.2">
      <c r="AM11964" s="1"/>
      <c r="AN11964" s="1"/>
      <c r="AO11964" s="1"/>
      <c r="AP11964" s="1"/>
      <c r="AQ11964" s="1"/>
      <c r="AR11964" s="1"/>
      <c r="AS11964" s="1"/>
      <c r="AT11964" s="1"/>
      <c r="AU11964" s="1"/>
    </row>
    <row r="11965" spans="39:47" x14ac:dyDescent="0.2">
      <c r="AM11965" s="1"/>
      <c r="AN11965" s="1"/>
      <c r="AO11965" s="1"/>
      <c r="AP11965" s="1"/>
      <c r="AQ11965" s="1"/>
      <c r="AR11965" s="1"/>
      <c r="AS11965" s="1"/>
      <c r="AT11965" s="1"/>
      <c r="AU11965" s="1"/>
    </row>
    <row r="11966" spans="39:47" x14ac:dyDescent="0.2">
      <c r="AM11966" s="1"/>
      <c r="AN11966" s="1"/>
      <c r="AO11966" s="1"/>
      <c r="AP11966" s="1"/>
      <c r="AQ11966" s="1"/>
      <c r="AR11966" s="1"/>
      <c r="AS11966" s="1"/>
      <c r="AT11966" s="1"/>
      <c r="AU11966" s="1"/>
    </row>
    <row r="11967" spans="39:47" x14ac:dyDescent="0.2">
      <c r="AM11967" s="1"/>
      <c r="AN11967" s="1"/>
      <c r="AO11967" s="1"/>
      <c r="AP11967" s="1"/>
      <c r="AQ11967" s="1"/>
      <c r="AR11967" s="1"/>
      <c r="AS11967" s="1"/>
      <c r="AT11967" s="1"/>
      <c r="AU11967" s="1"/>
    </row>
    <row r="11968" spans="39:47" x14ac:dyDescent="0.2">
      <c r="AM11968" s="1"/>
      <c r="AN11968" s="1"/>
      <c r="AO11968" s="1"/>
      <c r="AP11968" s="1"/>
      <c r="AQ11968" s="1"/>
      <c r="AR11968" s="1"/>
      <c r="AS11968" s="1"/>
      <c r="AT11968" s="1"/>
      <c r="AU11968" s="1"/>
    </row>
    <row r="11969" spans="39:47" x14ac:dyDescent="0.2">
      <c r="AM11969" s="1"/>
      <c r="AN11969" s="1"/>
      <c r="AO11969" s="1"/>
      <c r="AP11969" s="1"/>
      <c r="AQ11969" s="1"/>
      <c r="AR11969" s="1"/>
      <c r="AS11969" s="1"/>
      <c r="AT11969" s="1"/>
      <c r="AU11969" s="1"/>
    </row>
    <row r="11970" spans="39:47" x14ac:dyDescent="0.2">
      <c r="AM11970" s="1"/>
      <c r="AN11970" s="1"/>
      <c r="AO11970" s="1"/>
      <c r="AP11970" s="1"/>
      <c r="AQ11970" s="1"/>
      <c r="AR11970" s="1"/>
      <c r="AS11970" s="1"/>
      <c r="AT11970" s="1"/>
      <c r="AU11970" s="1"/>
    </row>
    <row r="11971" spans="39:47" x14ac:dyDescent="0.2">
      <c r="AM11971" s="1"/>
      <c r="AN11971" s="1"/>
      <c r="AO11971" s="1"/>
      <c r="AP11971" s="1"/>
      <c r="AQ11971" s="1"/>
      <c r="AR11971" s="1"/>
      <c r="AS11971" s="1"/>
      <c r="AT11971" s="1"/>
      <c r="AU11971" s="1"/>
    </row>
    <row r="11972" spans="39:47" x14ac:dyDescent="0.2">
      <c r="AM11972" s="1"/>
      <c r="AN11972" s="1"/>
      <c r="AO11972" s="1"/>
      <c r="AP11972" s="1"/>
      <c r="AQ11972" s="1"/>
      <c r="AR11972" s="1"/>
      <c r="AS11972" s="1"/>
      <c r="AT11972" s="1"/>
      <c r="AU11972" s="1"/>
    </row>
    <row r="11973" spans="39:47" x14ac:dyDescent="0.2">
      <c r="AM11973" s="1"/>
      <c r="AN11973" s="1"/>
      <c r="AO11973" s="1"/>
      <c r="AP11973" s="1"/>
      <c r="AQ11973" s="1"/>
      <c r="AR11973" s="1"/>
      <c r="AS11973" s="1"/>
      <c r="AT11973" s="1"/>
      <c r="AU11973" s="1"/>
    </row>
    <row r="11974" spans="39:47" x14ac:dyDescent="0.2">
      <c r="AM11974" s="1"/>
      <c r="AN11974" s="1"/>
      <c r="AO11974" s="1"/>
      <c r="AP11974" s="1"/>
      <c r="AQ11974" s="1"/>
      <c r="AR11974" s="1"/>
      <c r="AS11974" s="1"/>
      <c r="AT11974" s="1"/>
      <c r="AU11974" s="1"/>
    </row>
    <row r="11975" spans="39:47" x14ac:dyDescent="0.2">
      <c r="AM11975" s="1"/>
      <c r="AN11975" s="1"/>
      <c r="AO11975" s="1"/>
      <c r="AP11975" s="1"/>
      <c r="AQ11975" s="1"/>
      <c r="AR11975" s="1"/>
      <c r="AS11975" s="1"/>
      <c r="AT11975" s="1"/>
      <c r="AU11975" s="1"/>
    </row>
    <row r="11976" spans="39:47" x14ac:dyDescent="0.2">
      <c r="AM11976" s="1"/>
      <c r="AN11976" s="1"/>
      <c r="AO11976" s="1"/>
      <c r="AP11976" s="1"/>
      <c r="AQ11976" s="1"/>
      <c r="AR11976" s="1"/>
      <c r="AS11976" s="1"/>
      <c r="AT11976" s="1"/>
      <c r="AU11976" s="1"/>
    </row>
    <row r="11977" spans="39:47" x14ac:dyDescent="0.2">
      <c r="AM11977" s="1"/>
      <c r="AN11977" s="1"/>
      <c r="AO11977" s="1"/>
      <c r="AP11977" s="1"/>
      <c r="AQ11977" s="1"/>
      <c r="AR11977" s="1"/>
      <c r="AS11977" s="1"/>
      <c r="AT11977" s="1"/>
      <c r="AU11977" s="1"/>
    </row>
    <row r="11978" spans="39:47" x14ac:dyDescent="0.2">
      <c r="AM11978" s="1"/>
      <c r="AN11978" s="1"/>
      <c r="AO11978" s="1"/>
      <c r="AP11978" s="1"/>
      <c r="AQ11978" s="1"/>
      <c r="AR11978" s="1"/>
      <c r="AS11978" s="1"/>
      <c r="AT11978" s="1"/>
      <c r="AU11978" s="1"/>
    </row>
    <row r="11979" spans="39:47" x14ac:dyDescent="0.2">
      <c r="AM11979" s="1"/>
      <c r="AN11979" s="1"/>
      <c r="AO11979" s="1"/>
      <c r="AP11979" s="1"/>
      <c r="AQ11979" s="1"/>
      <c r="AR11979" s="1"/>
      <c r="AS11979" s="1"/>
      <c r="AT11979" s="1"/>
      <c r="AU11979" s="1"/>
    </row>
    <row r="11980" spans="39:47" x14ac:dyDescent="0.2">
      <c r="AM11980" s="1"/>
      <c r="AN11980" s="1"/>
      <c r="AO11980" s="1"/>
      <c r="AP11980" s="1"/>
      <c r="AQ11980" s="1"/>
      <c r="AR11980" s="1"/>
      <c r="AS11980" s="1"/>
      <c r="AT11980" s="1"/>
      <c r="AU11980" s="1"/>
    </row>
    <row r="11981" spans="39:47" x14ac:dyDescent="0.2">
      <c r="AM11981" s="1"/>
      <c r="AN11981" s="1"/>
      <c r="AO11981" s="1"/>
      <c r="AP11981" s="1"/>
      <c r="AQ11981" s="1"/>
      <c r="AR11981" s="1"/>
      <c r="AS11981" s="1"/>
      <c r="AT11981" s="1"/>
      <c r="AU11981" s="1"/>
    </row>
    <row r="11982" spans="39:47" x14ac:dyDescent="0.2">
      <c r="AM11982" s="1"/>
      <c r="AN11982" s="1"/>
      <c r="AO11982" s="1"/>
      <c r="AP11982" s="1"/>
      <c r="AQ11982" s="1"/>
      <c r="AR11982" s="1"/>
      <c r="AS11982" s="1"/>
      <c r="AT11982" s="1"/>
      <c r="AU11982" s="1"/>
    </row>
    <row r="11983" spans="39:47" x14ac:dyDescent="0.2">
      <c r="AM11983" s="1"/>
      <c r="AN11983" s="1"/>
      <c r="AO11983" s="1"/>
      <c r="AP11983" s="1"/>
      <c r="AQ11983" s="1"/>
      <c r="AR11983" s="1"/>
      <c r="AS11983" s="1"/>
      <c r="AT11983" s="1"/>
      <c r="AU11983" s="1"/>
    </row>
    <row r="11984" spans="39:47" x14ac:dyDescent="0.2">
      <c r="AM11984" s="1"/>
      <c r="AN11984" s="1"/>
      <c r="AO11984" s="1"/>
      <c r="AP11984" s="1"/>
      <c r="AQ11984" s="1"/>
      <c r="AR11984" s="1"/>
      <c r="AS11984" s="1"/>
      <c r="AT11984" s="1"/>
      <c r="AU11984" s="1"/>
    </row>
    <row r="11985" spans="39:47" x14ac:dyDescent="0.2">
      <c r="AM11985" s="1"/>
      <c r="AN11985" s="1"/>
      <c r="AO11985" s="1"/>
      <c r="AP11985" s="1"/>
      <c r="AQ11985" s="1"/>
      <c r="AR11985" s="1"/>
      <c r="AS11985" s="1"/>
      <c r="AT11985" s="1"/>
      <c r="AU11985" s="1"/>
    </row>
    <row r="11986" spans="39:47" x14ac:dyDescent="0.2">
      <c r="AM11986" s="1"/>
      <c r="AN11986" s="1"/>
      <c r="AO11986" s="1"/>
      <c r="AP11986" s="1"/>
      <c r="AQ11986" s="1"/>
      <c r="AR11986" s="1"/>
      <c r="AS11986" s="1"/>
      <c r="AT11986" s="1"/>
      <c r="AU11986" s="1"/>
    </row>
    <row r="11987" spans="39:47" x14ac:dyDescent="0.2">
      <c r="AM11987" s="1"/>
      <c r="AN11987" s="1"/>
      <c r="AO11987" s="1"/>
      <c r="AP11987" s="1"/>
      <c r="AQ11987" s="1"/>
      <c r="AR11987" s="1"/>
      <c r="AS11987" s="1"/>
      <c r="AT11987" s="1"/>
      <c r="AU11987" s="1"/>
    </row>
    <row r="11988" spans="39:47" x14ac:dyDescent="0.2">
      <c r="AM11988" s="1"/>
      <c r="AN11988" s="1"/>
      <c r="AO11988" s="1"/>
      <c r="AP11988" s="1"/>
      <c r="AQ11988" s="1"/>
      <c r="AR11988" s="1"/>
      <c r="AS11988" s="1"/>
      <c r="AT11988" s="1"/>
      <c r="AU11988" s="1"/>
    </row>
    <row r="11989" spans="39:47" x14ac:dyDescent="0.2">
      <c r="AM11989" s="1"/>
      <c r="AN11989" s="1"/>
      <c r="AO11989" s="1"/>
      <c r="AP11989" s="1"/>
      <c r="AQ11989" s="1"/>
      <c r="AR11989" s="1"/>
      <c r="AS11989" s="1"/>
      <c r="AT11989" s="1"/>
      <c r="AU11989" s="1"/>
    </row>
    <row r="11990" spans="39:47" x14ac:dyDescent="0.2">
      <c r="AM11990" s="1"/>
      <c r="AN11990" s="1"/>
      <c r="AO11990" s="1"/>
      <c r="AP11990" s="1"/>
      <c r="AQ11990" s="1"/>
      <c r="AR11990" s="1"/>
      <c r="AS11990" s="1"/>
      <c r="AT11990" s="1"/>
      <c r="AU11990" s="1"/>
    </row>
    <row r="11991" spans="39:47" x14ac:dyDescent="0.2">
      <c r="AM11991" s="1"/>
      <c r="AN11991" s="1"/>
      <c r="AO11991" s="1"/>
      <c r="AP11991" s="1"/>
      <c r="AQ11991" s="1"/>
      <c r="AR11991" s="1"/>
      <c r="AS11991" s="1"/>
      <c r="AT11991" s="1"/>
      <c r="AU11991" s="1"/>
    </row>
    <row r="11992" spans="39:47" x14ac:dyDescent="0.2">
      <c r="AM11992" s="1"/>
      <c r="AN11992" s="1"/>
      <c r="AO11992" s="1"/>
      <c r="AP11992" s="1"/>
      <c r="AQ11992" s="1"/>
      <c r="AR11992" s="1"/>
      <c r="AS11992" s="1"/>
      <c r="AT11992" s="1"/>
      <c r="AU11992" s="1"/>
    </row>
    <row r="11993" spans="39:47" x14ac:dyDescent="0.2">
      <c r="AM11993" s="1"/>
      <c r="AN11993" s="1"/>
      <c r="AO11993" s="1"/>
      <c r="AP11993" s="1"/>
      <c r="AQ11993" s="1"/>
      <c r="AR11993" s="1"/>
      <c r="AS11993" s="1"/>
      <c r="AT11993" s="1"/>
      <c r="AU11993" s="1"/>
    </row>
    <row r="11994" spans="39:47" x14ac:dyDescent="0.2">
      <c r="AM11994" s="1"/>
      <c r="AN11994" s="1"/>
      <c r="AO11994" s="1"/>
      <c r="AP11994" s="1"/>
      <c r="AQ11994" s="1"/>
      <c r="AR11994" s="1"/>
      <c r="AS11994" s="1"/>
      <c r="AT11994" s="1"/>
      <c r="AU11994" s="1"/>
    </row>
    <row r="11995" spans="39:47" x14ac:dyDescent="0.2">
      <c r="AM11995" s="1"/>
      <c r="AN11995" s="1"/>
      <c r="AO11995" s="1"/>
      <c r="AP11995" s="1"/>
      <c r="AQ11995" s="1"/>
      <c r="AR11995" s="1"/>
      <c r="AS11995" s="1"/>
      <c r="AT11995" s="1"/>
      <c r="AU11995" s="1"/>
    </row>
    <row r="11996" spans="39:47" x14ac:dyDescent="0.2">
      <c r="AM11996" s="1"/>
      <c r="AN11996" s="1"/>
      <c r="AO11996" s="1"/>
      <c r="AP11996" s="1"/>
      <c r="AQ11996" s="1"/>
      <c r="AR11996" s="1"/>
      <c r="AS11996" s="1"/>
      <c r="AT11996" s="1"/>
      <c r="AU11996" s="1"/>
    </row>
    <row r="11997" spans="39:47" x14ac:dyDescent="0.2">
      <c r="AM11997" s="1"/>
      <c r="AN11997" s="1"/>
      <c r="AO11997" s="1"/>
      <c r="AP11997" s="1"/>
      <c r="AQ11997" s="1"/>
      <c r="AR11997" s="1"/>
      <c r="AS11997" s="1"/>
      <c r="AT11997" s="1"/>
      <c r="AU11997" s="1"/>
    </row>
    <row r="11998" spans="39:47" x14ac:dyDescent="0.2">
      <c r="AM11998" s="1"/>
      <c r="AN11998" s="1"/>
      <c r="AO11998" s="1"/>
      <c r="AP11998" s="1"/>
      <c r="AQ11998" s="1"/>
      <c r="AR11998" s="1"/>
      <c r="AS11998" s="1"/>
      <c r="AT11998" s="1"/>
      <c r="AU11998" s="1"/>
    </row>
    <row r="11999" spans="39:47" x14ac:dyDescent="0.2">
      <c r="AM11999" s="1"/>
      <c r="AN11999" s="1"/>
      <c r="AO11999" s="1"/>
      <c r="AP11999" s="1"/>
      <c r="AQ11999" s="1"/>
      <c r="AR11999" s="1"/>
      <c r="AS11999" s="1"/>
      <c r="AT11999" s="1"/>
      <c r="AU11999" s="1"/>
    </row>
    <row r="12000" spans="39:47" x14ac:dyDescent="0.2">
      <c r="AM12000" s="1"/>
      <c r="AN12000" s="1"/>
      <c r="AO12000" s="1"/>
      <c r="AP12000" s="1"/>
      <c r="AQ12000" s="1"/>
      <c r="AR12000" s="1"/>
      <c r="AS12000" s="1"/>
      <c r="AT12000" s="1"/>
      <c r="AU12000" s="1"/>
    </row>
    <row r="12001" spans="39:47" x14ac:dyDescent="0.2">
      <c r="AM12001" s="1"/>
      <c r="AN12001" s="1"/>
      <c r="AO12001" s="1"/>
      <c r="AP12001" s="1"/>
      <c r="AQ12001" s="1"/>
      <c r="AR12001" s="1"/>
      <c r="AS12001" s="1"/>
      <c r="AT12001" s="1"/>
      <c r="AU12001" s="1"/>
    </row>
    <row r="12002" spans="39:47" x14ac:dyDescent="0.2">
      <c r="AM12002" s="1"/>
      <c r="AN12002" s="1"/>
      <c r="AO12002" s="1"/>
      <c r="AP12002" s="1"/>
      <c r="AQ12002" s="1"/>
      <c r="AR12002" s="1"/>
      <c r="AS12002" s="1"/>
      <c r="AT12002" s="1"/>
      <c r="AU12002" s="1"/>
    </row>
    <row r="12003" spans="39:47" x14ac:dyDescent="0.2">
      <c r="AM12003" s="1"/>
      <c r="AN12003" s="1"/>
      <c r="AO12003" s="1"/>
      <c r="AP12003" s="1"/>
      <c r="AQ12003" s="1"/>
      <c r="AR12003" s="1"/>
      <c r="AS12003" s="1"/>
      <c r="AT12003" s="1"/>
      <c r="AU12003" s="1"/>
    </row>
    <row r="12004" spans="39:47" x14ac:dyDescent="0.2">
      <c r="AM12004" s="1"/>
      <c r="AN12004" s="1"/>
      <c r="AO12004" s="1"/>
      <c r="AP12004" s="1"/>
      <c r="AQ12004" s="1"/>
      <c r="AR12004" s="1"/>
      <c r="AS12004" s="1"/>
      <c r="AT12004" s="1"/>
      <c r="AU12004" s="1"/>
    </row>
    <row r="12005" spans="39:47" x14ac:dyDescent="0.2">
      <c r="AM12005" s="1"/>
      <c r="AN12005" s="1"/>
      <c r="AO12005" s="1"/>
      <c r="AP12005" s="1"/>
      <c r="AQ12005" s="1"/>
      <c r="AR12005" s="1"/>
      <c r="AS12005" s="1"/>
      <c r="AT12005" s="1"/>
      <c r="AU12005" s="1"/>
    </row>
    <row r="12006" spans="39:47" x14ac:dyDescent="0.2">
      <c r="AM12006" s="1"/>
      <c r="AN12006" s="1"/>
      <c r="AO12006" s="1"/>
      <c r="AP12006" s="1"/>
      <c r="AQ12006" s="1"/>
      <c r="AR12006" s="1"/>
      <c r="AS12006" s="1"/>
      <c r="AT12006" s="1"/>
      <c r="AU12006" s="1"/>
    </row>
    <row r="12007" spans="39:47" x14ac:dyDescent="0.2">
      <c r="AM12007" s="1"/>
      <c r="AN12007" s="1"/>
      <c r="AO12007" s="1"/>
      <c r="AP12007" s="1"/>
      <c r="AQ12007" s="1"/>
      <c r="AR12007" s="1"/>
      <c r="AS12007" s="1"/>
      <c r="AT12007" s="1"/>
      <c r="AU12007" s="1"/>
    </row>
    <row r="12008" spans="39:47" x14ac:dyDescent="0.2">
      <c r="AM12008" s="1"/>
      <c r="AN12008" s="1"/>
      <c r="AO12008" s="1"/>
      <c r="AP12008" s="1"/>
      <c r="AQ12008" s="1"/>
      <c r="AR12008" s="1"/>
      <c r="AS12008" s="1"/>
      <c r="AT12008" s="1"/>
      <c r="AU12008" s="1"/>
    </row>
    <row r="12009" spans="39:47" x14ac:dyDescent="0.2">
      <c r="AM12009" s="1"/>
      <c r="AN12009" s="1"/>
      <c r="AO12009" s="1"/>
      <c r="AP12009" s="1"/>
      <c r="AQ12009" s="1"/>
      <c r="AR12009" s="1"/>
      <c r="AS12009" s="1"/>
      <c r="AT12009" s="1"/>
      <c r="AU12009" s="1"/>
    </row>
    <row r="12010" spans="39:47" x14ac:dyDescent="0.2">
      <c r="AM12010" s="1"/>
      <c r="AN12010" s="1"/>
      <c r="AO12010" s="1"/>
      <c r="AP12010" s="1"/>
      <c r="AQ12010" s="1"/>
      <c r="AR12010" s="1"/>
      <c r="AS12010" s="1"/>
      <c r="AT12010" s="1"/>
      <c r="AU12010" s="1"/>
    </row>
    <row r="12011" spans="39:47" x14ac:dyDescent="0.2">
      <c r="AM12011" s="1"/>
      <c r="AN12011" s="1"/>
      <c r="AO12011" s="1"/>
      <c r="AP12011" s="1"/>
      <c r="AQ12011" s="1"/>
      <c r="AR12011" s="1"/>
      <c r="AS12011" s="1"/>
      <c r="AT12011" s="1"/>
      <c r="AU12011" s="1"/>
    </row>
    <row r="12012" spans="39:47" x14ac:dyDescent="0.2">
      <c r="AM12012" s="1"/>
      <c r="AN12012" s="1"/>
      <c r="AO12012" s="1"/>
      <c r="AP12012" s="1"/>
      <c r="AQ12012" s="1"/>
      <c r="AR12012" s="1"/>
      <c r="AS12012" s="1"/>
      <c r="AT12012" s="1"/>
      <c r="AU12012" s="1"/>
    </row>
    <row r="12013" spans="39:47" x14ac:dyDescent="0.2">
      <c r="AM12013" s="1"/>
      <c r="AN12013" s="1"/>
      <c r="AO12013" s="1"/>
      <c r="AP12013" s="1"/>
      <c r="AQ12013" s="1"/>
      <c r="AR12013" s="1"/>
      <c r="AS12013" s="1"/>
      <c r="AT12013" s="1"/>
      <c r="AU12013" s="1"/>
    </row>
    <row r="12014" spans="39:47" x14ac:dyDescent="0.2">
      <c r="AM12014" s="1"/>
      <c r="AN12014" s="1"/>
      <c r="AO12014" s="1"/>
      <c r="AP12014" s="1"/>
      <c r="AQ12014" s="1"/>
      <c r="AR12014" s="1"/>
      <c r="AS12014" s="1"/>
      <c r="AT12014" s="1"/>
      <c r="AU12014" s="1"/>
    </row>
    <row r="12015" spans="39:47" x14ac:dyDescent="0.2">
      <c r="AM12015" s="1"/>
      <c r="AN12015" s="1"/>
      <c r="AO12015" s="1"/>
      <c r="AP12015" s="1"/>
      <c r="AQ12015" s="1"/>
      <c r="AR12015" s="1"/>
      <c r="AS12015" s="1"/>
      <c r="AT12015" s="1"/>
      <c r="AU12015" s="1"/>
    </row>
    <row r="12016" spans="39:47" x14ac:dyDescent="0.2">
      <c r="AM12016" s="1"/>
      <c r="AN12016" s="1"/>
      <c r="AO12016" s="1"/>
      <c r="AP12016" s="1"/>
      <c r="AQ12016" s="1"/>
      <c r="AR12016" s="1"/>
      <c r="AS12016" s="1"/>
      <c r="AT12016" s="1"/>
      <c r="AU12016" s="1"/>
    </row>
    <row r="12017" spans="39:47" x14ac:dyDescent="0.2">
      <c r="AM12017" s="1"/>
      <c r="AN12017" s="1"/>
      <c r="AO12017" s="1"/>
      <c r="AP12017" s="1"/>
      <c r="AQ12017" s="1"/>
      <c r="AR12017" s="1"/>
      <c r="AS12017" s="1"/>
      <c r="AT12017" s="1"/>
      <c r="AU12017" s="1"/>
    </row>
    <row r="12018" spans="39:47" x14ac:dyDescent="0.2">
      <c r="AM12018" s="1"/>
      <c r="AN12018" s="1"/>
      <c r="AO12018" s="1"/>
      <c r="AP12018" s="1"/>
      <c r="AQ12018" s="1"/>
      <c r="AR12018" s="1"/>
      <c r="AS12018" s="1"/>
      <c r="AT12018" s="1"/>
      <c r="AU12018" s="1"/>
    </row>
    <row r="12019" spans="39:47" x14ac:dyDescent="0.2">
      <c r="AM12019" s="1"/>
      <c r="AN12019" s="1"/>
      <c r="AO12019" s="1"/>
      <c r="AP12019" s="1"/>
      <c r="AQ12019" s="1"/>
      <c r="AR12019" s="1"/>
      <c r="AS12019" s="1"/>
      <c r="AT12019" s="1"/>
      <c r="AU12019" s="1"/>
    </row>
    <row r="12020" spans="39:47" x14ac:dyDescent="0.2">
      <c r="AM12020" s="1"/>
      <c r="AN12020" s="1"/>
      <c r="AO12020" s="1"/>
      <c r="AP12020" s="1"/>
      <c r="AQ12020" s="1"/>
      <c r="AR12020" s="1"/>
      <c r="AS12020" s="1"/>
      <c r="AT12020" s="1"/>
      <c r="AU12020" s="1"/>
    </row>
    <row r="12021" spans="39:47" x14ac:dyDescent="0.2">
      <c r="AM12021" s="1"/>
      <c r="AN12021" s="1"/>
      <c r="AO12021" s="1"/>
      <c r="AP12021" s="1"/>
      <c r="AQ12021" s="1"/>
      <c r="AR12021" s="1"/>
      <c r="AS12021" s="1"/>
      <c r="AT12021" s="1"/>
      <c r="AU12021" s="1"/>
    </row>
    <row r="12022" spans="39:47" x14ac:dyDescent="0.2">
      <c r="AM12022" s="1"/>
      <c r="AN12022" s="1"/>
      <c r="AO12022" s="1"/>
      <c r="AP12022" s="1"/>
      <c r="AQ12022" s="1"/>
      <c r="AR12022" s="1"/>
      <c r="AS12022" s="1"/>
      <c r="AT12022" s="1"/>
      <c r="AU12022" s="1"/>
    </row>
    <row r="12023" spans="39:47" x14ac:dyDescent="0.2">
      <c r="AM12023" s="1"/>
      <c r="AN12023" s="1"/>
      <c r="AO12023" s="1"/>
      <c r="AP12023" s="1"/>
      <c r="AQ12023" s="1"/>
      <c r="AR12023" s="1"/>
      <c r="AS12023" s="1"/>
      <c r="AT12023" s="1"/>
      <c r="AU12023" s="1"/>
    </row>
    <row r="12024" spans="39:47" x14ac:dyDescent="0.2">
      <c r="AM12024" s="1"/>
      <c r="AN12024" s="1"/>
      <c r="AO12024" s="1"/>
      <c r="AP12024" s="1"/>
      <c r="AQ12024" s="1"/>
      <c r="AR12024" s="1"/>
      <c r="AS12024" s="1"/>
      <c r="AT12024" s="1"/>
      <c r="AU12024" s="1"/>
    </row>
    <row r="12025" spans="39:47" x14ac:dyDescent="0.2">
      <c r="AM12025" s="1"/>
      <c r="AN12025" s="1"/>
      <c r="AO12025" s="1"/>
      <c r="AP12025" s="1"/>
      <c r="AQ12025" s="1"/>
      <c r="AR12025" s="1"/>
      <c r="AS12025" s="1"/>
      <c r="AT12025" s="1"/>
      <c r="AU12025" s="1"/>
    </row>
    <row r="12026" spans="39:47" x14ac:dyDescent="0.2">
      <c r="AM12026" s="1"/>
      <c r="AN12026" s="1"/>
      <c r="AO12026" s="1"/>
      <c r="AP12026" s="1"/>
      <c r="AQ12026" s="1"/>
      <c r="AR12026" s="1"/>
      <c r="AS12026" s="1"/>
      <c r="AT12026" s="1"/>
      <c r="AU12026" s="1"/>
    </row>
    <row r="12027" spans="39:47" x14ac:dyDescent="0.2">
      <c r="AM12027" s="1"/>
      <c r="AN12027" s="1"/>
      <c r="AO12027" s="1"/>
      <c r="AP12027" s="1"/>
      <c r="AQ12027" s="1"/>
      <c r="AR12027" s="1"/>
      <c r="AS12027" s="1"/>
      <c r="AT12027" s="1"/>
      <c r="AU12027" s="1"/>
    </row>
    <row r="12028" spans="39:47" x14ac:dyDescent="0.2">
      <c r="AM12028" s="1"/>
      <c r="AN12028" s="1"/>
      <c r="AO12028" s="1"/>
      <c r="AP12028" s="1"/>
      <c r="AQ12028" s="1"/>
      <c r="AR12028" s="1"/>
      <c r="AS12028" s="1"/>
      <c r="AT12028" s="1"/>
      <c r="AU12028" s="1"/>
    </row>
    <row r="12029" spans="39:47" x14ac:dyDescent="0.2">
      <c r="AM12029" s="1"/>
      <c r="AN12029" s="1"/>
      <c r="AO12029" s="1"/>
      <c r="AP12029" s="1"/>
      <c r="AQ12029" s="1"/>
      <c r="AR12029" s="1"/>
      <c r="AS12029" s="1"/>
      <c r="AT12029" s="1"/>
      <c r="AU12029" s="1"/>
    </row>
    <row r="12030" spans="39:47" x14ac:dyDescent="0.2">
      <c r="AM12030" s="1"/>
      <c r="AN12030" s="1"/>
      <c r="AO12030" s="1"/>
      <c r="AP12030" s="1"/>
      <c r="AQ12030" s="1"/>
      <c r="AR12030" s="1"/>
      <c r="AS12030" s="1"/>
      <c r="AT12030" s="1"/>
      <c r="AU12030" s="1"/>
    </row>
    <row r="12031" spans="39:47" x14ac:dyDescent="0.2">
      <c r="AM12031" s="1"/>
      <c r="AN12031" s="1"/>
      <c r="AO12031" s="1"/>
      <c r="AP12031" s="1"/>
      <c r="AQ12031" s="1"/>
      <c r="AR12031" s="1"/>
      <c r="AS12031" s="1"/>
      <c r="AT12031" s="1"/>
      <c r="AU12031" s="1"/>
    </row>
    <row r="12032" spans="39:47" x14ac:dyDescent="0.2">
      <c r="AM12032" s="1"/>
      <c r="AN12032" s="1"/>
      <c r="AO12032" s="1"/>
      <c r="AP12032" s="1"/>
      <c r="AQ12032" s="1"/>
      <c r="AR12032" s="1"/>
      <c r="AS12032" s="1"/>
      <c r="AT12032" s="1"/>
      <c r="AU12032" s="1"/>
    </row>
    <row r="12033" spans="39:47" x14ac:dyDescent="0.2">
      <c r="AM12033" s="1"/>
      <c r="AN12033" s="1"/>
      <c r="AO12033" s="1"/>
      <c r="AP12033" s="1"/>
      <c r="AQ12033" s="1"/>
      <c r="AR12033" s="1"/>
      <c r="AS12033" s="1"/>
      <c r="AT12033" s="1"/>
      <c r="AU12033" s="1"/>
    </row>
    <row r="12034" spans="39:47" x14ac:dyDescent="0.2">
      <c r="AM12034" s="1"/>
      <c r="AN12034" s="1"/>
      <c r="AO12034" s="1"/>
      <c r="AP12034" s="1"/>
      <c r="AQ12034" s="1"/>
      <c r="AR12034" s="1"/>
      <c r="AS12034" s="1"/>
      <c r="AT12034" s="1"/>
      <c r="AU12034" s="1"/>
    </row>
    <row r="12035" spans="39:47" x14ac:dyDescent="0.2">
      <c r="AM12035" s="1"/>
      <c r="AN12035" s="1"/>
      <c r="AO12035" s="1"/>
      <c r="AP12035" s="1"/>
      <c r="AQ12035" s="1"/>
      <c r="AR12035" s="1"/>
      <c r="AS12035" s="1"/>
      <c r="AT12035" s="1"/>
      <c r="AU12035" s="1"/>
    </row>
    <row r="12036" spans="39:47" x14ac:dyDescent="0.2">
      <c r="AM12036" s="1"/>
      <c r="AN12036" s="1"/>
      <c r="AO12036" s="1"/>
      <c r="AP12036" s="1"/>
      <c r="AQ12036" s="1"/>
      <c r="AR12036" s="1"/>
      <c r="AS12036" s="1"/>
      <c r="AT12036" s="1"/>
      <c r="AU12036" s="1"/>
    </row>
    <row r="12037" spans="39:47" x14ac:dyDescent="0.2">
      <c r="AM12037" s="1"/>
      <c r="AN12037" s="1"/>
      <c r="AO12037" s="1"/>
      <c r="AP12037" s="1"/>
      <c r="AQ12037" s="1"/>
      <c r="AR12037" s="1"/>
      <c r="AS12037" s="1"/>
      <c r="AT12037" s="1"/>
      <c r="AU12037" s="1"/>
    </row>
    <row r="12038" spans="39:47" x14ac:dyDescent="0.2">
      <c r="AM12038" s="1"/>
      <c r="AN12038" s="1"/>
      <c r="AO12038" s="1"/>
      <c r="AP12038" s="1"/>
      <c r="AQ12038" s="1"/>
      <c r="AR12038" s="1"/>
      <c r="AS12038" s="1"/>
      <c r="AT12038" s="1"/>
      <c r="AU12038" s="1"/>
    </row>
    <row r="12039" spans="39:47" x14ac:dyDescent="0.2">
      <c r="AM12039" s="1"/>
      <c r="AN12039" s="1"/>
      <c r="AO12039" s="1"/>
      <c r="AP12039" s="1"/>
      <c r="AQ12039" s="1"/>
      <c r="AR12039" s="1"/>
      <c r="AS12039" s="1"/>
      <c r="AT12039" s="1"/>
      <c r="AU12039" s="1"/>
    </row>
    <row r="12040" spans="39:47" x14ac:dyDescent="0.2">
      <c r="AM12040" s="1"/>
      <c r="AN12040" s="1"/>
      <c r="AO12040" s="1"/>
      <c r="AP12040" s="1"/>
      <c r="AQ12040" s="1"/>
      <c r="AR12040" s="1"/>
      <c r="AS12040" s="1"/>
      <c r="AT12040" s="1"/>
      <c r="AU12040" s="1"/>
    </row>
    <row r="12041" spans="39:47" x14ac:dyDescent="0.2">
      <c r="AM12041" s="1"/>
      <c r="AN12041" s="1"/>
      <c r="AO12041" s="1"/>
      <c r="AP12041" s="1"/>
      <c r="AQ12041" s="1"/>
      <c r="AR12041" s="1"/>
      <c r="AS12041" s="1"/>
      <c r="AT12041" s="1"/>
      <c r="AU12041" s="1"/>
    </row>
    <row r="12042" spans="39:47" x14ac:dyDescent="0.2">
      <c r="AM12042" s="1"/>
      <c r="AN12042" s="1"/>
      <c r="AO12042" s="1"/>
      <c r="AP12042" s="1"/>
      <c r="AQ12042" s="1"/>
      <c r="AR12042" s="1"/>
      <c r="AS12042" s="1"/>
      <c r="AT12042" s="1"/>
      <c r="AU12042" s="1"/>
    </row>
    <row r="12043" spans="39:47" x14ac:dyDescent="0.2">
      <c r="AM12043" s="1"/>
      <c r="AN12043" s="1"/>
      <c r="AO12043" s="1"/>
      <c r="AP12043" s="1"/>
      <c r="AQ12043" s="1"/>
      <c r="AR12043" s="1"/>
      <c r="AS12043" s="1"/>
      <c r="AT12043" s="1"/>
      <c r="AU12043" s="1"/>
    </row>
    <row r="12044" spans="39:47" x14ac:dyDescent="0.2">
      <c r="AM12044" s="1"/>
      <c r="AN12044" s="1"/>
      <c r="AO12044" s="1"/>
      <c r="AP12044" s="1"/>
      <c r="AQ12044" s="1"/>
      <c r="AR12044" s="1"/>
      <c r="AS12044" s="1"/>
      <c r="AT12044" s="1"/>
      <c r="AU12044" s="1"/>
    </row>
    <row r="12045" spans="39:47" x14ac:dyDescent="0.2">
      <c r="AM12045" s="1"/>
      <c r="AN12045" s="1"/>
      <c r="AO12045" s="1"/>
      <c r="AP12045" s="1"/>
      <c r="AQ12045" s="1"/>
      <c r="AR12045" s="1"/>
      <c r="AS12045" s="1"/>
      <c r="AT12045" s="1"/>
      <c r="AU12045" s="1"/>
    </row>
    <row r="12046" spans="39:47" x14ac:dyDescent="0.2">
      <c r="AM12046" s="1"/>
      <c r="AN12046" s="1"/>
      <c r="AO12046" s="1"/>
      <c r="AP12046" s="1"/>
      <c r="AQ12046" s="1"/>
      <c r="AR12046" s="1"/>
      <c r="AS12046" s="1"/>
      <c r="AT12046" s="1"/>
      <c r="AU12046" s="1"/>
    </row>
    <row r="12047" spans="39:47" x14ac:dyDescent="0.2">
      <c r="AM12047" s="1"/>
      <c r="AN12047" s="1"/>
      <c r="AO12047" s="1"/>
      <c r="AP12047" s="1"/>
      <c r="AQ12047" s="1"/>
      <c r="AR12047" s="1"/>
      <c r="AS12047" s="1"/>
      <c r="AT12047" s="1"/>
      <c r="AU12047" s="1"/>
    </row>
    <row r="12048" spans="39:47" x14ac:dyDescent="0.2">
      <c r="AM12048" s="1"/>
      <c r="AN12048" s="1"/>
      <c r="AO12048" s="1"/>
      <c r="AP12048" s="1"/>
      <c r="AQ12048" s="1"/>
      <c r="AR12048" s="1"/>
      <c r="AS12048" s="1"/>
      <c r="AT12048" s="1"/>
      <c r="AU12048" s="1"/>
    </row>
    <row r="12049" spans="39:47" x14ac:dyDescent="0.2">
      <c r="AM12049" s="1"/>
      <c r="AN12049" s="1"/>
      <c r="AO12049" s="1"/>
      <c r="AP12049" s="1"/>
      <c r="AQ12049" s="1"/>
      <c r="AR12049" s="1"/>
      <c r="AS12049" s="1"/>
      <c r="AT12049" s="1"/>
      <c r="AU12049" s="1"/>
    </row>
    <row r="12050" spans="39:47" x14ac:dyDescent="0.2">
      <c r="AM12050" s="1"/>
      <c r="AN12050" s="1"/>
      <c r="AO12050" s="1"/>
      <c r="AP12050" s="1"/>
      <c r="AQ12050" s="1"/>
      <c r="AR12050" s="1"/>
      <c r="AS12050" s="1"/>
      <c r="AT12050" s="1"/>
      <c r="AU12050" s="1"/>
    </row>
    <row r="12051" spans="39:47" x14ac:dyDescent="0.2">
      <c r="AM12051" s="1"/>
      <c r="AN12051" s="1"/>
      <c r="AO12051" s="1"/>
      <c r="AP12051" s="1"/>
      <c r="AQ12051" s="1"/>
      <c r="AR12051" s="1"/>
      <c r="AS12051" s="1"/>
      <c r="AT12051" s="1"/>
      <c r="AU12051" s="1"/>
    </row>
    <row r="12052" spans="39:47" x14ac:dyDescent="0.2">
      <c r="AM12052" s="1"/>
      <c r="AN12052" s="1"/>
      <c r="AO12052" s="1"/>
      <c r="AP12052" s="1"/>
      <c r="AQ12052" s="1"/>
      <c r="AR12052" s="1"/>
      <c r="AS12052" s="1"/>
      <c r="AT12052" s="1"/>
      <c r="AU12052" s="1"/>
    </row>
    <row r="12053" spans="39:47" x14ac:dyDescent="0.2">
      <c r="AM12053" s="1"/>
      <c r="AN12053" s="1"/>
      <c r="AO12053" s="1"/>
      <c r="AP12053" s="1"/>
      <c r="AQ12053" s="1"/>
      <c r="AR12053" s="1"/>
      <c r="AS12053" s="1"/>
      <c r="AT12053" s="1"/>
      <c r="AU12053" s="1"/>
    </row>
    <row r="12054" spans="39:47" x14ac:dyDescent="0.2">
      <c r="AM12054" s="1"/>
      <c r="AN12054" s="1"/>
      <c r="AO12054" s="1"/>
      <c r="AP12054" s="1"/>
      <c r="AQ12054" s="1"/>
      <c r="AR12054" s="1"/>
      <c r="AS12054" s="1"/>
      <c r="AT12054" s="1"/>
      <c r="AU12054" s="1"/>
    </row>
    <row r="12055" spans="39:47" x14ac:dyDescent="0.2">
      <c r="AM12055" s="1"/>
      <c r="AN12055" s="1"/>
      <c r="AO12055" s="1"/>
      <c r="AP12055" s="1"/>
      <c r="AQ12055" s="1"/>
      <c r="AR12055" s="1"/>
      <c r="AS12055" s="1"/>
      <c r="AT12055" s="1"/>
      <c r="AU12055" s="1"/>
    </row>
    <row r="12056" spans="39:47" x14ac:dyDescent="0.2">
      <c r="AM12056" s="1"/>
      <c r="AN12056" s="1"/>
      <c r="AO12056" s="1"/>
      <c r="AP12056" s="1"/>
      <c r="AQ12056" s="1"/>
      <c r="AR12056" s="1"/>
      <c r="AS12056" s="1"/>
      <c r="AT12056" s="1"/>
      <c r="AU12056" s="1"/>
    </row>
    <row r="12057" spans="39:47" x14ac:dyDescent="0.2">
      <c r="AM12057" s="1"/>
      <c r="AN12057" s="1"/>
      <c r="AO12057" s="1"/>
      <c r="AP12057" s="1"/>
      <c r="AQ12057" s="1"/>
      <c r="AR12057" s="1"/>
      <c r="AS12057" s="1"/>
      <c r="AT12057" s="1"/>
      <c r="AU12057" s="1"/>
    </row>
    <row r="12058" spans="39:47" x14ac:dyDescent="0.2">
      <c r="AM12058" s="1"/>
      <c r="AN12058" s="1"/>
      <c r="AO12058" s="1"/>
      <c r="AP12058" s="1"/>
      <c r="AQ12058" s="1"/>
      <c r="AR12058" s="1"/>
      <c r="AS12058" s="1"/>
      <c r="AT12058" s="1"/>
      <c r="AU12058" s="1"/>
    </row>
    <row r="12059" spans="39:47" x14ac:dyDescent="0.2">
      <c r="AM12059" s="1"/>
      <c r="AN12059" s="1"/>
      <c r="AO12059" s="1"/>
      <c r="AP12059" s="1"/>
      <c r="AQ12059" s="1"/>
      <c r="AR12059" s="1"/>
      <c r="AS12059" s="1"/>
      <c r="AT12059" s="1"/>
      <c r="AU12059" s="1"/>
    </row>
    <row r="12060" spans="39:47" x14ac:dyDescent="0.2">
      <c r="AM12060" s="1"/>
      <c r="AN12060" s="1"/>
      <c r="AO12060" s="1"/>
      <c r="AP12060" s="1"/>
      <c r="AQ12060" s="1"/>
      <c r="AR12060" s="1"/>
      <c r="AS12060" s="1"/>
      <c r="AT12060" s="1"/>
      <c r="AU12060" s="1"/>
    </row>
    <row r="12061" spans="39:47" x14ac:dyDescent="0.2">
      <c r="AM12061" s="1"/>
      <c r="AN12061" s="1"/>
      <c r="AO12061" s="1"/>
      <c r="AP12061" s="1"/>
      <c r="AQ12061" s="1"/>
      <c r="AR12061" s="1"/>
      <c r="AS12061" s="1"/>
      <c r="AT12061" s="1"/>
      <c r="AU12061" s="1"/>
    </row>
    <row r="12062" spans="39:47" x14ac:dyDescent="0.2">
      <c r="AM12062" s="1"/>
      <c r="AN12062" s="1"/>
      <c r="AO12062" s="1"/>
      <c r="AP12062" s="1"/>
      <c r="AQ12062" s="1"/>
      <c r="AR12062" s="1"/>
      <c r="AS12062" s="1"/>
      <c r="AT12062" s="1"/>
      <c r="AU12062" s="1"/>
    </row>
    <row r="12063" spans="39:47" x14ac:dyDescent="0.2">
      <c r="AM12063" s="1"/>
      <c r="AN12063" s="1"/>
      <c r="AO12063" s="1"/>
      <c r="AP12063" s="1"/>
      <c r="AQ12063" s="1"/>
      <c r="AR12063" s="1"/>
      <c r="AS12063" s="1"/>
      <c r="AT12063" s="1"/>
      <c r="AU12063" s="1"/>
    </row>
    <row r="12064" spans="39:47" x14ac:dyDescent="0.2">
      <c r="AM12064" s="1"/>
      <c r="AN12064" s="1"/>
      <c r="AO12064" s="1"/>
      <c r="AP12064" s="1"/>
      <c r="AQ12064" s="1"/>
      <c r="AR12064" s="1"/>
      <c r="AS12064" s="1"/>
      <c r="AT12064" s="1"/>
      <c r="AU12064" s="1"/>
    </row>
    <row r="12065" spans="39:47" x14ac:dyDescent="0.2">
      <c r="AM12065" s="1"/>
      <c r="AN12065" s="1"/>
      <c r="AO12065" s="1"/>
      <c r="AP12065" s="1"/>
      <c r="AQ12065" s="1"/>
      <c r="AR12065" s="1"/>
      <c r="AS12065" s="1"/>
      <c r="AT12065" s="1"/>
      <c r="AU12065" s="1"/>
    </row>
    <row r="12066" spans="39:47" x14ac:dyDescent="0.2">
      <c r="AM12066" s="1"/>
      <c r="AN12066" s="1"/>
      <c r="AO12066" s="1"/>
      <c r="AP12066" s="1"/>
      <c r="AQ12066" s="1"/>
      <c r="AR12066" s="1"/>
      <c r="AS12066" s="1"/>
      <c r="AT12066" s="1"/>
      <c r="AU12066" s="1"/>
    </row>
    <row r="12067" spans="39:47" x14ac:dyDescent="0.2">
      <c r="AM12067" s="1"/>
      <c r="AN12067" s="1"/>
      <c r="AO12067" s="1"/>
      <c r="AP12067" s="1"/>
      <c r="AQ12067" s="1"/>
      <c r="AR12067" s="1"/>
      <c r="AS12067" s="1"/>
      <c r="AT12067" s="1"/>
      <c r="AU12067" s="1"/>
    </row>
    <row r="12068" spans="39:47" x14ac:dyDescent="0.2">
      <c r="AM12068" s="1"/>
      <c r="AN12068" s="1"/>
      <c r="AO12068" s="1"/>
      <c r="AP12068" s="1"/>
      <c r="AQ12068" s="1"/>
      <c r="AR12068" s="1"/>
      <c r="AS12068" s="1"/>
      <c r="AT12068" s="1"/>
      <c r="AU12068" s="1"/>
    </row>
    <row r="12069" spans="39:47" x14ac:dyDescent="0.2">
      <c r="AM12069" s="1"/>
      <c r="AN12069" s="1"/>
      <c r="AO12069" s="1"/>
      <c r="AP12069" s="1"/>
      <c r="AQ12069" s="1"/>
      <c r="AR12069" s="1"/>
      <c r="AS12069" s="1"/>
      <c r="AT12069" s="1"/>
      <c r="AU12069" s="1"/>
    </row>
    <row r="12070" spans="39:47" x14ac:dyDescent="0.2">
      <c r="AM12070" s="1"/>
      <c r="AN12070" s="1"/>
      <c r="AO12070" s="1"/>
      <c r="AP12070" s="1"/>
      <c r="AQ12070" s="1"/>
      <c r="AR12070" s="1"/>
      <c r="AS12070" s="1"/>
      <c r="AT12070" s="1"/>
      <c r="AU12070" s="1"/>
    </row>
    <row r="12071" spans="39:47" x14ac:dyDescent="0.2">
      <c r="AM12071" s="1"/>
      <c r="AN12071" s="1"/>
      <c r="AO12071" s="1"/>
      <c r="AP12071" s="1"/>
      <c r="AQ12071" s="1"/>
      <c r="AR12071" s="1"/>
      <c r="AS12071" s="1"/>
      <c r="AT12071" s="1"/>
      <c r="AU12071" s="1"/>
    </row>
    <row r="12072" spans="39:47" x14ac:dyDescent="0.2">
      <c r="AM12072" s="1"/>
      <c r="AN12072" s="1"/>
      <c r="AO12072" s="1"/>
      <c r="AP12072" s="1"/>
      <c r="AQ12072" s="1"/>
      <c r="AR12072" s="1"/>
      <c r="AS12072" s="1"/>
      <c r="AT12072" s="1"/>
      <c r="AU12072" s="1"/>
    </row>
    <row r="12073" spans="39:47" x14ac:dyDescent="0.2">
      <c r="AM12073" s="1"/>
      <c r="AN12073" s="1"/>
      <c r="AO12073" s="1"/>
      <c r="AP12073" s="1"/>
      <c r="AQ12073" s="1"/>
      <c r="AR12073" s="1"/>
      <c r="AS12073" s="1"/>
      <c r="AT12073" s="1"/>
      <c r="AU12073" s="1"/>
    </row>
    <row r="12074" spans="39:47" x14ac:dyDescent="0.2">
      <c r="AM12074" s="1"/>
      <c r="AN12074" s="1"/>
      <c r="AO12074" s="1"/>
      <c r="AP12074" s="1"/>
      <c r="AQ12074" s="1"/>
      <c r="AR12074" s="1"/>
      <c r="AS12074" s="1"/>
      <c r="AT12074" s="1"/>
      <c r="AU12074" s="1"/>
    </row>
    <row r="12075" spans="39:47" x14ac:dyDescent="0.2">
      <c r="AM12075" s="1"/>
      <c r="AN12075" s="1"/>
      <c r="AO12075" s="1"/>
      <c r="AP12075" s="1"/>
      <c r="AQ12075" s="1"/>
      <c r="AR12075" s="1"/>
      <c r="AS12075" s="1"/>
      <c r="AT12075" s="1"/>
      <c r="AU12075" s="1"/>
    </row>
    <row r="12076" spans="39:47" x14ac:dyDescent="0.2">
      <c r="AM12076" s="1"/>
      <c r="AN12076" s="1"/>
      <c r="AO12076" s="1"/>
      <c r="AP12076" s="1"/>
      <c r="AQ12076" s="1"/>
      <c r="AR12076" s="1"/>
      <c r="AS12076" s="1"/>
      <c r="AT12076" s="1"/>
      <c r="AU12076" s="1"/>
    </row>
    <row r="12077" spans="39:47" x14ac:dyDescent="0.2">
      <c r="AM12077" s="1"/>
      <c r="AN12077" s="1"/>
      <c r="AO12077" s="1"/>
      <c r="AP12077" s="1"/>
      <c r="AQ12077" s="1"/>
      <c r="AR12077" s="1"/>
      <c r="AS12077" s="1"/>
      <c r="AT12077" s="1"/>
      <c r="AU12077" s="1"/>
    </row>
    <row r="12078" spans="39:47" x14ac:dyDescent="0.2">
      <c r="AM12078" s="1"/>
      <c r="AN12078" s="1"/>
      <c r="AO12078" s="1"/>
      <c r="AP12078" s="1"/>
      <c r="AQ12078" s="1"/>
      <c r="AR12078" s="1"/>
      <c r="AS12078" s="1"/>
      <c r="AT12078" s="1"/>
      <c r="AU12078" s="1"/>
    </row>
    <row r="12079" spans="39:47" x14ac:dyDescent="0.2">
      <c r="AM12079" s="1"/>
      <c r="AN12079" s="1"/>
      <c r="AO12079" s="1"/>
      <c r="AP12079" s="1"/>
      <c r="AQ12079" s="1"/>
      <c r="AR12079" s="1"/>
      <c r="AS12079" s="1"/>
      <c r="AT12079" s="1"/>
      <c r="AU12079" s="1"/>
    </row>
    <row r="12080" spans="39:47" x14ac:dyDescent="0.2">
      <c r="AM12080" s="1"/>
      <c r="AN12080" s="1"/>
      <c r="AO12080" s="1"/>
      <c r="AP12080" s="1"/>
      <c r="AQ12080" s="1"/>
      <c r="AR12080" s="1"/>
      <c r="AS12080" s="1"/>
      <c r="AT12080" s="1"/>
      <c r="AU12080" s="1"/>
    </row>
    <row r="12081" spans="39:47" x14ac:dyDescent="0.2">
      <c r="AM12081" s="1"/>
      <c r="AN12081" s="1"/>
      <c r="AO12081" s="1"/>
      <c r="AP12081" s="1"/>
      <c r="AQ12081" s="1"/>
      <c r="AR12081" s="1"/>
      <c r="AS12081" s="1"/>
      <c r="AT12081" s="1"/>
      <c r="AU12081" s="1"/>
    </row>
    <row r="12082" spans="39:47" x14ac:dyDescent="0.2">
      <c r="AM12082" s="1"/>
      <c r="AN12082" s="1"/>
      <c r="AO12082" s="1"/>
      <c r="AP12082" s="1"/>
      <c r="AQ12082" s="1"/>
      <c r="AR12082" s="1"/>
      <c r="AS12082" s="1"/>
      <c r="AT12082" s="1"/>
      <c r="AU12082" s="1"/>
    </row>
    <row r="12083" spans="39:47" x14ac:dyDescent="0.2">
      <c r="AM12083" s="1"/>
      <c r="AN12083" s="1"/>
      <c r="AO12083" s="1"/>
      <c r="AP12083" s="1"/>
      <c r="AQ12083" s="1"/>
      <c r="AR12083" s="1"/>
      <c r="AS12083" s="1"/>
      <c r="AT12083" s="1"/>
      <c r="AU12083" s="1"/>
    </row>
    <row r="12084" spans="39:47" x14ac:dyDescent="0.2">
      <c r="AM12084" s="1"/>
      <c r="AN12084" s="1"/>
      <c r="AO12084" s="1"/>
      <c r="AP12084" s="1"/>
      <c r="AQ12084" s="1"/>
      <c r="AR12084" s="1"/>
      <c r="AS12084" s="1"/>
      <c r="AT12084" s="1"/>
      <c r="AU12084" s="1"/>
    </row>
    <row r="12085" spans="39:47" x14ac:dyDescent="0.2">
      <c r="AM12085" s="1"/>
      <c r="AN12085" s="1"/>
      <c r="AO12085" s="1"/>
      <c r="AP12085" s="1"/>
      <c r="AQ12085" s="1"/>
      <c r="AR12085" s="1"/>
      <c r="AS12085" s="1"/>
      <c r="AT12085" s="1"/>
      <c r="AU12085" s="1"/>
    </row>
    <row r="12086" spans="39:47" x14ac:dyDescent="0.2">
      <c r="AM12086" s="1"/>
      <c r="AN12086" s="1"/>
      <c r="AO12086" s="1"/>
      <c r="AP12086" s="1"/>
      <c r="AQ12086" s="1"/>
      <c r="AR12086" s="1"/>
      <c r="AS12086" s="1"/>
      <c r="AT12086" s="1"/>
      <c r="AU12086" s="1"/>
    </row>
    <row r="12087" spans="39:47" x14ac:dyDescent="0.2">
      <c r="AM12087" s="1"/>
      <c r="AN12087" s="1"/>
      <c r="AO12087" s="1"/>
      <c r="AP12087" s="1"/>
      <c r="AQ12087" s="1"/>
      <c r="AR12087" s="1"/>
      <c r="AS12087" s="1"/>
      <c r="AT12087" s="1"/>
      <c r="AU12087" s="1"/>
    </row>
    <row r="12088" spans="39:47" x14ac:dyDescent="0.2">
      <c r="AM12088" s="1"/>
      <c r="AN12088" s="1"/>
      <c r="AO12088" s="1"/>
      <c r="AP12088" s="1"/>
      <c r="AQ12088" s="1"/>
      <c r="AR12088" s="1"/>
      <c r="AS12088" s="1"/>
      <c r="AT12088" s="1"/>
      <c r="AU12088" s="1"/>
    </row>
    <row r="12089" spans="39:47" x14ac:dyDescent="0.2">
      <c r="AM12089" s="1"/>
      <c r="AN12089" s="1"/>
      <c r="AO12089" s="1"/>
      <c r="AP12089" s="1"/>
      <c r="AQ12089" s="1"/>
      <c r="AR12089" s="1"/>
      <c r="AS12089" s="1"/>
      <c r="AT12089" s="1"/>
      <c r="AU12089" s="1"/>
    </row>
    <row r="12090" spans="39:47" x14ac:dyDescent="0.2">
      <c r="AM12090" s="1"/>
      <c r="AN12090" s="1"/>
      <c r="AO12090" s="1"/>
      <c r="AP12090" s="1"/>
      <c r="AQ12090" s="1"/>
      <c r="AR12090" s="1"/>
      <c r="AS12090" s="1"/>
      <c r="AT12090" s="1"/>
      <c r="AU12090" s="1"/>
    </row>
    <row r="12091" spans="39:47" x14ac:dyDescent="0.2">
      <c r="AM12091" s="1"/>
      <c r="AN12091" s="1"/>
      <c r="AO12091" s="1"/>
      <c r="AP12091" s="1"/>
      <c r="AQ12091" s="1"/>
      <c r="AR12091" s="1"/>
      <c r="AS12091" s="1"/>
      <c r="AT12091" s="1"/>
      <c r="AU12091" s="1"/>
    </row>
    <row r="12092" spans="39:47" x14ac:dyDescent="0.2">
      <c r="AM12092" s="1"/>
      <c r="AN12092" s="1"/>
      <c r="AO12092" s="1"/>
      <c r="AP12092" s="1"/>
      <c r="AQ12092" s="1"/>
      <c r="AR12092" s="1"/>
      <c r="AS12092" s="1"/>
      <c r="AT12092" s="1"/>
      <c r="AU12092" s="1"/>
    </row>
    <row r="12093" spans="39:47" x14ac:dyDescent="0.2">
      <c r="AM12093" s="1"/>
      <c r="AN12093" s="1"/>
      <c r="AO12093" s="1"/>
      <c r="AP12093" s="1"/>
      <c r="AQ12093" s="1"/>
      <c r="AR12093" s="1"/>
      <c r="AS12093" s="1"/>
      <c r="AT12093" s="1"/>
      <c r="AU12093" s="1"/>
    </row>
    <row r="12094" spans="39:47" x14ac:dyDescent="0.2">
      <c r="AM12094" s="1"/>
      <c r="AN12094" s="1"/>
      <c r="AO12094" s="1"/>
      <c r="AP12094" s="1"/>
      <c r="AQ12094" s="1"/>
      <c r="AR12094" s="1"/>
      <c r="AS12094" s="1"/>
      <c r="AT12094" s="1"/>
      <c r="AU12094" s="1"/>
    </row>
    <row r="12095" spans="39:47" x14ac:dyDescent="0.2">
      <c r="AM12095" s="1"/>
      <c r="AN12095" s="1"/>
      <c r="AO12095" s="1"/>
      <c r="AP12095" s="1"/>
      <c r="AQ12095" s="1"/>
      <c r="AR12095" s="1"/>
      <c r="AS12095" s="1"/>
      <c r="AT12095" s="1"/>
      <c r="AU12095" s="1"/>
    </row>
    <row r="12096" spans="39:47" x14ac:dyDescent="0.2">
      <c r="AM12096" s="1"/>
      <c r="AN12096" s="1"/>
      <c r="AO12096" s="1"/>
      <c r="AP12096" s="1"/>
      <c r="AQ12096" s="1"/>
      <c r="AR12096" s="1"/>
      <c r="AS12096" s="1"/>
      <c r="AT12096" s="1"/>
      <c r="AU12096" s="1"/>
    </row>
    <row r="12097" spans="39:47" x14ac:dyDescent="0.2">
      <c r="AM12097" s="1"/>
      <c r="AN12097" s="1"/>
      <c r="AO12097" s="1"/>
      <c r="AP12097" s="1"/>
      <c r="AQ12097" s="1"/>
      <c r="AR12097" s="1"/>
      <c r="AS12097" s="1"/>
      <c r="AT12097" s="1"/>
      <c r="AU12097" s="1"/>
    </row>
    <row r="12098" spans="39:47" x14ac:dyDescent="0.2">
      <c r="AM12098" s="1"/>
      <c r="AN12098" s="1"/>
      <c r="AO12098" s="1"/>
      <c r="AP12098" s="1"/>
      <c r="AQ12098" s="1"/>
      <c r="AR12098" s="1"/>
      <c r="AS12098" s="1"/>
      <c r="AT12098" s="1"/>
      <c r="AU12098" s="1"/>
    </row>
    <row r="12099" spans="39:47" x14ac:dyDescent="0.2">
      <c r="AM12099" s="1"/>
      <c r="AN12099" s="1"/>
      <c r="AO12099" s="1"/>
      <c r="AP12099" s="1"/>
      <c r="AQ12099" s="1"/>
      <c r="AR12099" s="1"/>
      <c r="AS12099" s="1"/>
      <c r="AT12099" s="1"/>
      <c r="AU12099" s="1"/>
    </row>
    <row r="12100" spans="39:47" x14ac:dyDescent="0.2">
      <c r="AM12100" s="1"/>
      <c r="AN12100" s="1"/>
      <c r="AO12100" s="1"/>
      <c r="AP12100" s="1"/>
      <c r="AQ12100" s="1"/>
      <c r="AR12100" s="1"/>
      <c r="AS12100" s="1"/>
      <c r="AT12100" s="1"/>
      <c r="AU12100" s="1"/>
    </row>
    <row r="12101" spans="39:47" x14ac:dyDescent="0.2">
      <c r="AM12101" s="1"/>
      <c r="AN12101" s="1"/>
      <c r="AO12101" s="1"/>
      <c r="AP12101" s="1"/>
      <c r="AQ12101" s="1"/>
      <c r="AR12101" s="1"/>
      <c r="AS12101" s="1"/>
      <c r="AT12101" s="1"/>
      <c r="AU12101" s="1"/>
    </row>
    <row r="12102" spans="39:47" x14ac:dyDescent="0.2">
      <c r="AM12102" s="1"/>
      <c r="AN12102" s="1"/>
      <c r="AO12102" s="1"/>
      <c r="AP12102" s="1"/>
      <c r="AQ12102" s="1"/>
      <c r="AR12102" s="1"/>
      <c r="AS12102" s="1"/>
      <c r="AT12102" s="1"/>
      <c r="AU12102" s="1"/>
    </row>
    <row r="12103" spans="39:47" x14ac:dyDescent="0.2">
      <c r="AM12103" s="1"/>
      <c r="AN12103" s="1"/>
      <c r="AO12103" s="1"/>
      <c r="AP12103" s="1"/>
      <c r="AQ12103" s="1"/>
      <c r="AR12103" s="1"/>
      <c r="AS12103" s="1"/>
      <c r="AT12103" s="1"/>
      <c r="AU12103" s="1"/>
    </row>
    <row r="12104" spans="39:47" x14ac:dyDescent="0.2">
      <c r="AM12104" s="1"/>
      <c r="AN12104" s="1"/>
      <c r="AO12104" s="1"/>
      <c r="AP12104" s="1"/>
      <c r="AQ12104" s="1"/>
      <c r="AR12104" s="1"/>
      <c r="AS12104" s="1"/>
      <c r="AT12104" s="1"/>
      <c r="AU12104" s="1"/>
    </row>
    <row r="12105" spans="39:47" x14ac:dyDescent="0.2">
      <c r="AM12105" s="1"/>
      <c r="AN12105" s="1"/>
      <c r="AO12105" s="1"/>
      <c r="AP12105" s="1"/>
      <c r="AQ12105" s="1"/>
      <c r="AR12105" s="1"/>
      <c r="AS12105" s="1"/>
      <c r="AT12105" s="1"/>
      <c r="AU12105" s="1"/>
    </row>
    <row r="12106" spans="39:47" x14ac:dyDescent="0.2">
      <c r="AM12106" s="1"/>
      <c r="AN12106" s="1"/>
      <c r="AO12106" s="1"/>
      <c r="AP12106" s="1"/>
      <c r="AQ12106" s="1"/>
      <c r="AR12106" s="1"/>
      <c r="AS12106" s="1"/>
      <c r="AT12106" s="1"/>
      <c r="AU12106" s="1"/>
    </row>
    <row r="12107" spans="39:47" x14ac:dyDescent="0.2">
      <c r="AM12107" s="1"/>
      <c r="AN12107" s="1"/>
      <c r="AO12107" s="1"/>
      <c r="AP12107" s="1"/>
      <c r="AQ12107" s="1"/>
      <c r="AR12107" s="1"/>
      <c r="AS12107" s="1"/>
      <c r="AT12107" s="1"/>
      <c r="AU12107" s="1"/>
    </row>
    <row r="12108" spans="39:47" x14ac:dyDescent="0.2">
      <c r="AM12108" s="1"/>
      <c r="AN12108" s="1"/>
      <c r="AO12108" s="1"/>
      <c r="AP12108" s="1"/>
      <c r="AQ12108" s="1"/>
      <c r="AR12108" s="1"/>
      <c r="AS12108" s="1"/>
      <c r="AT12108" s="1"/>
      <c r="AU12108" s="1"/>
    </row>
    <row r="12109" spans="39:47" x14ac:dyDescent="0.2">
      <c r="AM12109" s="1"/>
      <c r="AN12109" s="1"/>
      <c r="AO12109" s="1"/>
      <c r="AP12109" s="1"/>
      <c r="AQ12109" s="1"/>
      <c r="AR12109" s="1"/>
      <c r="AS12109" s="1"/>
      <c r="AT12109" s="1"/>
      <c r="AU12109" s="1"/>
    </row>
    <row r="12110" spans="39:47" x14ac:dyDescent="0.2">
      <c r="AM12110" s="1"/>
      <c r="AN12110" s="1"/>
      <c r="AO12110" s="1"/>
      <c r="AP12110" s="1"/>
      <c r="AQ12110" s="1"/>
      <c r="AR12110" s="1"/>
      <c r="AS12110" s="1"/>
      <c r="AT12110" s="1"/>
      <c r="AU12110" s="1"/>
    </row>
    <row r="12111" spans="39:47" x14ac:dyDescent="0.2">
      <c r="AM12111" s="1"/>
      <c r="AN12111" s="1"/>
      <c r="AO12111" s="1"/>
      <c r="AP12111" s="1"/>
      <c r="AQ12111" s="1"/>
      <c r="AR12111" s="1"/>
      <c r="AS12111" s="1"/>
      <c r="AT12111" s="1"/>
      <c r="AU12111" s="1"/>
    </row>
    <row r="12112" spans="39:47" x14ac:dyDescent="0.2">
      <c r="AM12112" s="1"/>
      <c r="AN12112" s="1"/>
      <c r="AO12112" s="1"/>
      <c r="AP12112" s="1"/>
      <c r="AQ12112" s="1"/>
      <c r="AR12112" s="1"/>
      <c r="AS12112" s="1"/>
      <c r="AT12112" s="1"/>
      <c r="AU12112" s="1"/>
    </row>
    <row r="12113" spans="39:47" x14ac:dyDescent="0.2">
      <c r="AM12113" s="1"/>
      <c r="AN12113" s="1"/>
      <c r="AO12113" s="1"/>
      <c r="AP12113" s="1"/>
      <c r="AQ12113" s="1"/>
      <c r="AR12113" s="1"/>
      <c r="AS12113" s="1"/>
      <c r="AT12113" s="1"/>
      <c r="AU12113" s="1"/>
    </row>
    <row r="12114" spans="39:47" x14ac:dyDescent="0.2">
      <c r="AM12114" s="1"/>
      <c r="AN12114" s="1"/>
      <c r="AO12114" s="1"/>
      <c r="AP12114" s="1"/>
      <c r="AQ12114" s="1"/>
      <c r="AR12114" s="1"/>
      <c r="AS12114" s="1"/>
      <c r="AT12114" s="1"/>
      <c r="AU12114" s="1"/>
    </row>
    <row r="12115" spans="39:47" x14ac:dyDescent="0.2">
      <c r="AM12115" s="1"/>
      <c r="AN12115" s="1"/>
      <c r="AO12115" s="1"/>
      <c r="AP12115" s="1"/>
      <c r="AQ12115" s="1"/>
      <c r="AR12115" s="1"/>
      <c r="AS12115" s="1"/>
      <c r="AT12115" s="1"/>
      <c r="AU12115" s="1"/>
    </row>
    <row r="12116" spans="39:47" x14ac:dyDescent="0.2">
      <c r="AM12116" s="1"/>
      <c r="AN12116" s="1"/>
      <c r="AO12116" s="1"/>
      <c r="AP12116" s="1"/>
      <c r="AQ12116" s="1"/>
      <c r="AR12116" s="1"/>
      <c r="AS12116" s="1"/>
      <c r="AT12116" s="1"/>
      <c r="AU12116" s="1"/>
    </row>
    <row r="12117" spans="39:47" x14ac:dyDescent="0.2">
      <c r="AM12117" s="1"/>
      <c r="AN12117" s="1"/>
      <c r="AO12117" s="1"/>
      <c r="AP12117" s="1"/>
      <c r="AQ12117" s="1"/>
      <c r="AR12117" s="1"/>
      <c r="AS12117" s="1"/>
      <c r="AT12117" s="1"/>
      <c r="AU12117" s="1"/>
    </row>
    <row r="12118" spans="39:47" x14ac:dyDescent="0.2">
      <c r="AM12118" s="1"/>
      <c r="AN12118" s="1"/>
      <c r="AO12118" s="1"/>
      <c r="AP12118" s="1"/>
      <c r="AQ12118" s="1"/>
      <c r="AR12118" s="1"/>
      <c r="AS12118" s="1"/>
      <c r="AT12118" s="1"/>
      <c r="AU12118" s="1"/>
    </row>
    <row r="12119" spans="39:47" x14ac:dyDescent="0.2">
      <c r="AM12119" s="1"/>
      <c r="AN12119" s="1"/>
      <c r="AO12119" s="1"/>
      <c r="AP12119" s="1"/>
      <c r="AQ12119" s="1"/>
      <c r="AR12119" s="1"/>
      <c r="AS12119" s="1"/>
      <c r="AT12119" s="1"/>
      <c r="AU12119" s="1"/>
    </row>
    <row r="12120" spans="39:47" x14ac:dyDescent="0.2">
      <c r="AM12120" s="1"/>
      <c r="AN12120" s="1"/>
      <c r="AO12120" s="1"/>
      <c r="AP12120" s="1"/>
      <c r="AQ12120" s="1"/>
      <c r="AR12120" s="1"/>
      <c r="AS12120" s="1"/>
      <c r="AT12120" s="1"/>
      <c r="AU12120" s="1"/>
    </row>
    <row r="12121" spans="39:47" x14ac:dyDescent="0.2">
      <c r="AM12121" s="1"/>
      <c r="AN12121" s="1"/>
      <c r="AO12121" s="1"/>
      <c r="AP12121" s="1"/>
      <c r="AQ12121" s="1"/>
      <c r="AR12121" s="1"/>
      <c r="AS12121" s="1"/>
      <c r="AT12121" s="1"/>
      <c r="AU12121" s="1"/>
    </row>
    <row r="12122" spans="39:47" x14ac:dyDescent="0.2">
      <c r="AM12122" s="1"/>
      <c r="AN12122" s="1"/>
      <c r="AO12122" s="1"/>
      <c r="AP12122" s="1"/>
      <c r="AQ12122" s="1"/>
      <c r="AR12122" s="1"/>
      <c r="AS12122" s="1"/>
      <c r="AT12122" s="1"/>
      <c r="AU12122" s="1"/>
    </row>
    <row r="12123" spans="39:47" x14ac:dyDescent="0.2">
      <c r="AM12123" s="1"/>
      <c r="AN12123" s="1"/>
      <c r="AO12123" s="1"/>
      <c r="AP12123" s="1"/>
      <c r="AQ12123" s="1"/>
      <c r="AR12123" s="1"/>
      <c r="AS12123" s="1"/>
      <c r="AT12123" s="1"/>
      <c r="AU12123" s="1"/>
    </row>
    <row r="12124" spans="39:47" x14ac:dyDescent="0.2">
      <c r="AM12124" s="1"/>
      <c r="AN12124" s="1"/>
      <c r="AO12124" s="1"/>
      <c r="AP12124" s="1"/>
      <c r="AQ12124" s="1"/>
      <c r="AR12124" s="1"/>
      <c r="AS12124" s="1"/>
      <c r="AT12124" s="1"/>
      <c r="AU12124" s="1"/>
    </row>
    <row r="12125" spans="39:47" x14ac:dyDescent="0.2">
      <c r="AM12125" s="1"/>
      <c r="AN12125" s="1"/>
      <c r="AO12125" s="1"/>
      <c r="AP12125" s="1"/>
      <c r="AQ12125" s="1"/>
      <c r="AR12125" s="1"/>
      <c r="AS12125" s="1"/>
      <c r="AT12125" s="1"/>
      <c r="AU12125" s="1"/>
    </row>
    <row r="12126" spans="39:47" x14ac:dyDescent="0.2">
      <c r="AM12126" s="1"/>
      <c r="AN12126" s="1"/>
      <c r="AO12126" s="1"/>
      <c r="AP12126" s="1"/>
      <c r="AQ12126" s="1"/>
      <c r="AR12126" s="1"/>
      <c r="AS12126" s="1"/>
      <c r="AT12126" s="1"/>
      <c r="AU12126" s="1"/>
    </row>
    <row r="12127" spans="39:47" x14ac:dyDescent="0.2">
      <c r="AM12127" s="1"/>
      <c r="AN12127" s="1"/>
      <c r="AO12127" s="1"/>
      <c r="AP12127" s="1"/>
      <c r="AQ12127" s="1"/>
      <c r="AR12127" s="1"/>
      <c r="AS12127" s="1"/>
      <c r="AT12127" s="1"/>
      <c r="AU12127" s="1"/>
    </row>
    <row r="12128" spans="39:47" x14ac:dyDescent="0.2">
      <c r="AM12128" s="1"/>
      <c r="AN12128" s="1"/>
      <c r="AO12128" s="1"/>
      <c r="AP12128" s="1"/>
      <c r="AQ12128" s="1"/>
      <c r="AR12128" s="1"/>
      <c r="AS12128" s="1"/>
      <c r="AT12128" s="1"/>
      <c r="AU12128" s="1"/>
    </row>
    <row r="12129" spans="39:47" x14ac:dyDescent="0.2">
      <c r="AM12129" s="1"/>
      <c r="AN12129" s="1"/>
      <c r="AO12129" s="1"/>
      <c r="AP12129" s="1"/>
      <c r="AQ12129" s="1"/>
      <c r="AR12129" s="1"/>
      <c r="AS12129" s="1"/>
      <c r="AT12129" s="1"/>
      <c r="AU12129" s="1"/>
    </row>
    <row r="12130" spans="39:47" x14ac:dyDescent="0.2">
      <c r="AM12130" s="1"/>
      <c r="AN12130" s="1"/>
      <c r="AO12130" s="1"/>
      <c r="AP12130" s="1"/>
      <c r="AQ12130" s="1"/>
      <c r="AR12130" s="1"/>
      <c r="AS12130" s="1"/>
      <c r="AT12130" s="1"/>
      <c r="AU12130" s="1"/>
    </row>
    <row r="12131" spans="39:47" x14ac:dyDescent="0.2">
      <c r="AM12131" s="1"/>
      <c r="AN12131" s="1"/>
      <c r="AO12131" s="1"/>
      <c r="AP12131" s="1"/>
      <c r="AQ12131" s="1"/>
      <c r="AR12131" s="1"/>
      <c r="AS12131" s="1"/>
      <c r="AT12131" s="1"/>
      <c r="AU12131" s="1"/>
    </row>
    <row r="12132" spans="39:47" x14ac:dyDescent="0.2">
      <c r="AM12132" s="1"/>
      <c r="AN12132" s="1"/>
      <c r="AO12132" s="1"/>
      <c r="AP12132" s="1"/>
      <c r="AQ12132" s="1"/>
      <c r="AR12132" s="1"/>
      <c r="AS12132" s="1"/>
      <c r="AT12132" s="1"/>
      <c r="AU12132" s="1"/>
    </row>
    <row r="12133" spans="39:47" x14ac:dyDescent="0.2">
      <c r="AM12133" s="1"/>
      <c r="AN12133" s="1"/>
      <c r="AO12133" s="1"/>
      <c r="AP12133" s="1"/>
      <c r="AQ12133" s="1"/>
      <c r="AR12133" s="1"/>
      <c r="AS12133" s="1"/>
      <c r="AT12133" s="1"/>
      <c r="AU12133" s="1"/>
    </row>
    <row r="12134" spans="39:47" x14ac:dyDescent="0.2">
      <c r="AM12134" s="1"/>
      <c r="AN12134" s="1"/>
      <c r="AO12134" s="1"/>
      <c r="AP12134" s="1"/>
      <c r="AQ12134" s="1"/>
      <c r="AR12134" s="1"/>
      <c r="AS12134" s="1"/>
      <c r="AT12134" s="1"/>
      <c r="AU12134" s="1"/>
    </row>
    <row r="12135" spans="39:47" x14ac:dyDescent="0.2">
      <c r="AM12135" s="1"/>
      <c r="AN12135" s="1"/>
      <c r="AO12135" s="1"/>
      <c r="AP12135" s="1"/>
      <c r="AQ12135" s="1"/>
      <c r="AR12135" s="1"/>
      <c r="AS12135" s="1"/>
      <c r="AT12135" s="1"/>
      <c r="AU12135" s="1"/>
    </row>
    <row r="12136" spans="39:47" x14ac:dyDescent="0.2">
      <c r="AM12136" s="1"/>
      <c r="AN12136" s="1"/>
      <c r="AO12136" s="1"/>
      <c r="AP12136" s="1"/>
      <c r="AQ12136" s="1"/>
      <c r="AR12136" s="1"/>
      <c r="AS12136" s="1"/>
      <c r="AT12136" s="1"/>
      <c r="AU12136" s="1"/>
    </row>
    <row r="12137" spans="39:47" x14ac:dyDescent="0.2">
      <c r="AM12137" s="1"/>
      <c r="AN12137" s="1"/>
      <c r="AO12137" s="1"/>
      <c r="AP12137" s="1"/>
      <c r="AQ12137" s="1"/>
      <c r="AR12137" s="1"/>
      <c r="AS12137" s="1"/>
      <c r="AT12137" s="1"/>
      <c r="AU12137" s="1"/>
    </row>
    <row r="12138" spans="39:47" x14ac:dyDescent="0.2">
      <c r="AM12138" s="1"/>
      <c r="AN12138" s="1"/>
      <c r="AO12138" s="1"/>
      <c r="AP12138" s="1"/>
      <c r="AQ12138" s="1"/>
      <c r="AR12138" s="1"/>
      <c r="AS12138" s="1"/>
      <c r="AT12138" s="1"/>
      <c r="AU12138" s="1"/>
    </row>
    <row r="12139" spans="39:47" x14ac:dyDescent="0.2">
      <c r="AM12139" s="1"/>
      <c r="AN12139" s="1"/>
      <c r="AO12139" s="1"/>
      <c r="AP12139" s="1"/>
      <c r="AQ12139" s="1"/>
      <c r="AR12139" s="1"/>
      <c r="AS12139" s="1"/>
      <c r="AT12139" s="1"/>
      <c r="AU12139" s="1"/>
    </row>
    <row r="12140" spans="39:47" x14ac:dyDescent="0.2">
      <c r="AM12140" s="1"/>
      <c r="AN12140" s="1"/>
      <c r="AO12140" s="1"/>
      <c r="AP12140" s="1"/>
      <c r="AQ12140" s="1"/>
      <c r="AR12140" s="1"/>
      <c r="AS12140" s="1"/>
      <c r="AT12140" s="1"/>
      <c r="AU12140" s="1"/>
    </row>
    <row r="12141" spans="39:47" x14ac:dyDescent="0.2">
      <c r="AM12141" s="1"/>
      <c r="AN12141" s="1"/>
      <c r="AO12141" s="1"/>
      <c r="AP12141" s="1"/>
      <c r="AQ12141" s="1"/>
      <c r="AR12141" s="1"/>
      <c r="AS12141" s="1"/>
      <c r="AT12141" s="1"/>
      <c r="AU12141" s="1"/>
    </row>
    <row r="12142" spans="39:47" x14ac:dyDescent="0.2">
      <c r="AM12142" s="1"/>
      <c r="AN12142" s="1"/>
      <c r="AO12142" s="1"/>
      <c r="AP12142" s="1"/>
      <c r="AQ12142" s="1"/>
      <c r="AR12142" s="1"/>
      <c r="AS12142" s="1"/>
      <c r="AT12142" s="1"/>
      <c r="AU12142" s="1"/>
    </row>
    <row r="12143" spans="39:47" x14ac:dyDescent="0.2">
      <c r="AM12143" s="1"/>
      <c r="AN12143" s="1"/>
      <c r="AO12143" s="1"/>
      <c r="AP12143" s="1"/>
      <c r="AQ12143" s="1"/>
      <c r="AR12143" s="1"/>
      <c r="AS12143" s="1"/>
      <c r="AT12143" s="1"/>
      <c r="AU12143" s="1"/>
    </row>
    <row r="12144" spans="39:47" x14ac:dyDescent="0.2">
      <c r="AM12144" s="1"/>
      <c r="AN12144" s="1"/>
      <c r="AO12144" s="1"/>
      <c r="AP12144" s="1"/>
      <c r="AQ12144" s="1"/>
      <c r="AR12144" s="1"/>
      <c r="AS12144" s="1"/>
      <c r="AT12144" s="1"/>
      <c r="AU12144" s="1"/>
    </row>
    <row r="12145" spans="39:47" x14ac:dyDescent="0.2">
      <c r="AM12145" s="1"/>
      <c r="AN12145" s="1"/>
      <c r="AO12145" s="1"/>
      <c r="AP12145" s="1"/>
      <c r="AQ12145" s="1"/>
      <c r="AR12145" s="1"/>
      <c r="AS12145" s="1"/>
      <c r="AT12145" s="1"/>
      <c r="AU12145" s="1"/>
    </row>
    <row r="12146" spans="39:47" x14ac:dyDescent="0.2">
      <c r="AM12146" s="1"/>
      <c r="AN12146" s="1"/>
      <c r="AO12146" s="1"/>
      <c r="AP12146" s="1"/>
      <c r="AQ12146" s="1"/>
      <c r="AR12146" s="1"/>
      <c r="AS12146" s="1"/>
      <c r="AT12146" s="1"/>
      <c r="AU12146" s="1"/>
    </row>
    <row r="12147" spans="39:47" x14ac:dyDescent="0.2">
      <c r="AM12147" s="1"/>
      <c r="AN12147" s="1"/>
      <c r="AO12147" s="1"/>
      <c r="AP12147" s="1"/>
      <c r="AQ12147" s="1"/>
      <c r="AR12147" s="1"/>
      <c r="AS12147" s="1"/>
      <c r="AT12147" s="1"/>
      <c r="AU12147" s="1"/>
    </row>
    <row r="12148" spans="39:47" x14ac:dyDescent="0.2">
      <c r="AM12148" s="1"/>
      <c r="AN12148" s="1"/>
      <c r="AO12148" s="1"/>
      <c r="AP12148" s="1"/>
      <c r="AQ12148" s="1"/>
      <c r="AR12148" s="1"/>
      <c r="AS12148" s="1"/>
      <c r="AT12148" s="1"/>
      <c r="AU12148" s="1"/>
    </row>
    <row r="12149" spans="39:47" x14ac:dyDescent="0.2">
      <c r="AM12149" s="1"/>
      <c r="AN12149" s="1"/>
      <c r="AO12149" s="1"/>
      <c r="AP12149" s="1"/>
      <c r="AQ12149" s="1"/>
      <c r="AR12149" s="1"/>
      <c r="AS12149" s="1"/>
      <c r="AT12149" s="1"/>
      <c r="AU12149" s="1"/>
    </row>
    <row r="12150" spans="39:47" x14ac:dyDescent="0.2">
      <c r="AM12150" s="1"/>
      <c r="AN12150" s="1"/>
      <c r="AO12150" s="1"/>
      <c r="AP12150" s="1"/>
      <c r="AQ12150" s="1"/>
      <c r="AR12150" s="1"/>
      <c r="AS12150" s="1"/>
      <c r="AT12150" s="1"/>
      <c r="AU12150" s="1"/>
    </row>
    <row r="12151" spans="39:47" x14ac:dyDescent="0.2">
      <c r="AM12151" s="1"/>
      <c r="AN12151" s="1"/>
      <c r="AO12151" s="1"/>
      <c r="AP12151" s="1"/>
      <c r="AQ12151" s="1"/>
      <c r="AR12151" s="1"/>
      <c r="AS12151" s="1"/>
      <c r="AT12151" s="1"/>
      <c r="AU12151" s="1"/>
    </row>
    <row r="12152" spans="39:47" x14ac:dyDescent="0.2">
      <c r="AM12152" s="1"/>
      <c r="AN12152" s="1"/>
      <c r="AO12152" s="1"/>
      <c r="AP12152" s="1"/>
      <c r="AQ12152" s="1"/>
      <c r="AR12152" s="1"/>
      <c r="AS12152" s="1"/>
      <c r="AT12152" s="1"/>
      <c r="AU12152" s="1"/>
    </row>
    <row r="12153" spans="39:47" x14ac:dyDescent="0.2">
      <c r="AM12153" s="1"/>
      <c r="AN12153" s="1"/>
      <c r="AO12153" s="1"/>
      <c r="AP12153" s="1"/>
      <c r="AQ12153" s="1"/>
      <c r="AR12153" s="1"/>
      <c r="AS12153" s="1"/>
      <c r="AT12153" s="1"/>
      <c r="AU12153" s="1"/>
    </row>
    <row r="12154" spans="39:47" x14ac:dyDescent="0.2">
      <c r="AM12154" s="1"/>
      <c r="AN12154" s="1"/>
      <c r="AO12154" s="1"/>
      <c r="AP12154" s="1"/>
      <c r="AQ12154" s="1"/>
      <c r="AR12154" s="1"/>
      <c r="AS12154" s="1"/>
      <c r="AT12154" s="1"/>
      <c r="AU12154" s="1"/>
    </row>
    <row r="12155" spans="39:47" x14ac:dyDescent="0.2">
      <c r="AM12155" s="1"/>
      <c r="AN12155" s="1"/>
      <c r="AO12155" s="1"/>
      <c r="AP12155" s="1"/>
      <c r="AQ12155" s="1"/>
      <c r="AR12155" s="1"/>
      <c r="AS12155" s="1"/>
      <c r="AT12155" s="1"/>
      <c r="AU12155" s="1"/>
    </row>
    <row r="12156" spans="39:47" x14ac:dyDescent="0.2">
      <c r="AM12156" s="1"/>
      <c r="AN12156" s="1"/>
      <c r="AO12156" s="1"/>
      <c r="AP12156" s="1"/>
      <c r="AQ12156" s="1"/>
      <c r="AR12156" s="1"/>
      <c r="AS12156" s="1"/>
      <c r="AT12156" s="1"/>
      <c r="AU12156" s="1"/>
    </row>
    <row r="12157" spans="39:47" x14ac:dyDescent="0.2">
      <c r="AM12157" s="1"/>
      <c r="AN12157" s="1"/>
      <c r="AO12157" s="1"/>
      <c r="AP12157" s="1"/>
      <c r="AQ12157" s="1"/>
      <c r="AR12157" s="1"/>
      <c r="AS12157" s="1"/>
      <c r="AT12157" s="1"/>
      <c r="AU12157" s="1"/>
    </row>
    <row r="12158" spans="39:47" x14ac:dyDescent="0.2">
      <c r="AM12158" s="1"/>
      <c r="AN12158" s="1"/>
      <c r="AO12158" s="1"/>
      <c r="AP12158" s="1"/>
      <c r="AQ12158" s="1"/>
      <c r="AR12158" s="1"/>
      <c r="AS12158" s="1"/>
      <c r="AT12158" s="1"/>
      <c r="AU12158" s="1"/>
    </row>
    <row r="12159" spans="39:47" x14ac:dyDescent="0.2">
      <c r="AM12159" s="1"/>
      <c r="AN12159" s="1"/>
      <c r="AO12159" s="1"/>
      <c r="AP12159" s="1"/>
      <c r="AQ12159" s="1"/>
      <c r="AR12159" s="1"/>
      <c r="AS12159" s="1"/>
      <c r="AT12159" s="1"/>
      <c r="AU12159" s="1"/>
    </row>
    <row r="12160" spans="39:47" x14ac:dyDescent="0.2">
      <c r="AM12160" s="1"/>
      <c r="AN12160" s="1"/>
      <c r="AO12160" s="1"/>
      <c r="AP12160" s="1"/>
      <c r="AQ12160" s="1"/>
      <c r="AR12160" s="1"/>
      <c r="AS12160" s="1"/>
      <c r="AT12160" s="1"/>
      <c r="AU12160" s="1"/>
    </row>
    <row r="12161" spans="39:47" x14ac:dyDescent="0.2">
      <c r="AM12161" s="1"/>
      <c r="AN12161" s="1"/>
      <c r="AO12161" s="1"/>
      <c r="AP12161" s="1"/>
      <c r="AQ12161" s="1"/>
      <c r="AR12161" s="1"/>
      <c r="AS12161" s="1"/>
      <c r="AT12161" s="1"/>
      <c r="AU12161" s="1"/>
    </row>
    <row r="12162" spans="39:47" x14ac:dyDescent="0.2">
      <c r="AM12162" s="1"/>
      <c r="AN12162" s="1"/>
      <c r="AO12162" s="1"/>
      <c r="AP12162" s="1"/>
      <c r="AQ12162" s="1"/>
      <c r="AR12162" s="1"/>
      <c r="AS12162" s="1"/>
      <c r="AT12162" s="1"/>
      <c r="AU12162" s="1"/>
    </row>
    <row r="12163" spans="39:47" x14ac:dyDescent="0.2">
      <c r="AM12163" s="1"/>
      <c r="AN12163" s="1"/>
      <c r="AO12163" s="1"/>
      <c r="AP12163" s="1"/>
      <c r="AQ12163" s="1"/>
      <c r="AR12163" s="1"/>
      <c r="AS12163" s="1"/>
      <c r="AT12163" s="1"/>
      <c r="AU12163" s="1"/>
    </row>
    <row r="12164" spans="39:47" x14ac:dyDescent="0.2">
      <c r="AM12164" s="1"/>
      <c r="AN12164" s="1"/>
      <c r="AO12164" s="1"/>
      <c r="AP12164" s="1"/>
      <c r="AQ12164" s="1"/>
      <c r="AR12164" s="1"/>
      <c r="AS12164" s="1"/>
      <c r="AT12164" s="1"/>
      <c r="AU12164" s="1"/>
    </row>
    <row r="12165" spans="39:47" x14ac:dyDescent="0.2">
      <c r="AM12165" s="1"/>
      <c r="AN12165" s="1"/>
      <c r="AO12165" s="1"/>
      <c r="AP12165" s="1"/>
      <c r="AQ12165" s="1"/>
      <c r="AR12165" s="1"/>
      <c r="AS12165" s="1"/>
      <c r="AT12165" s="1"/>
      <c r="AU12165" s="1"/>
    </row>
    <row r="12166" spans="39:47" x14ac:dyDescent="0.2">
      <c r="AM12166" s="1"/>
      <c r="AN12166" s="1"/>
      <c r="AO12166" s="1"/>
      <c r="AP12166" s="1"/>
      <c r="AQ12166" s="1"/>
      <c r="AR12166" s="1"/>
      <c r="AS12166" s="1"/>
      <c r="AT12166" s="1"/>
      <c r="AU12166" s="1"/>
    </row>
    <row r="12167" spans="39:47" x14ac:dyDescent="0.2">
      <c r="AM12167" s="1"/>
      <c r="AN12167" s="1"/>
      <c r="AO12167" s="1"/>
      <c r="AP12167" s="1"/>
      <c r="AQ12167" s="1"/>
      <c r="AR12167" s="1"/>
      <c r="AS12167" s="1"/>
      <c r="AT12167" s="1"/>
      <c r="AU12167" s="1"/>
    </row>
    <row r="12168" spans="39:47" x14ac:dyDescent="0.2">
      <c r="AM12168" s="1"/>
      <c r="AN12168" s="1"/>
      <c r="AO12168" s="1"/>
      <c r="AP12168" s="1"/>
      <c r="AQ12168" s="1"/>
      <c r="AR12168" s="1"/>
      <c r="AS12168" s="1"/>
      <c r="AT12168" s="1"/>
      <c r="AU12168" s="1"/>
    </row>
    <row r="12169" spans="39:47" x14ac:dyDescent="0.2">
      <c r="AM12169" s="1"/>
      <c r="AN12169" s="1"/>
      <c r="AO12169" s="1"/>
      <c r="AP12169" s="1"/>
      <c r="AQ12169" s="1"/>
      <c r="AR12169" s="1"/>
      <c r="AS12169" s="1"/>
      <c r="AT12169" s="1"/>
      <c r="AU12169" s="1"/>
    </row>
    <row r="12170" spans="39:47" x14ac:dyDescent="0.2">
      <c r="AM12170" s="1"/>
      <c r="AN12170" s="1"/>
      <c r="AO12170" s="1"/>
      <c r="AP12170" s="1"/>
      <c r="AQ12170" s="1"/>
      <c r="AR12170" s="1"/>
      <c r="AS12170" s="1"/>
      <c r="AT12170" s="1"/>
      <c r="AU12170" s="1"/>
    </row>
    <row r="12171" spans="39:47" x14ac:dyDescent="0.2">
      <c r="AM12171" s="1"/>
      <c r="AN12171" s="1"/>
      <c r="AO12171" s="1"/>
      <c r="AP12171" s="1"/>
      <c r="AQ12171" s="1"/>
      <c r="AR12171" s="1"/>
      <c r="AS12171" s="1"/>
      <c r="AT12171" s="1"/>
      <c r="AU12171" s="1"/>
    </row>
    <row r="12172" spans="39:47" x14ac:dyDescent="0.2">
      <c r="AM12172" s="1"/>
      <c r="AN12172" s="1"/>
      <c r="AO12172" s="1"/>
      <c r="AP12172" s="1"/>
      <c r="AQ12172" s="1"/>
      <c r="AR12172" s="1"/>
      <c r="AS12172" s="1"/>
      <c r="AT12172" s="1"/>
      <c r="AU12172" s="1"/>
    </row>
    <row r="12173" spans="39:47" x14ac:dyDescent="0.2">
      <c r="AM12173" s="1"/>
      <c r="AN12173" s="1"/>
      <c r="AO12173" s="1"/>
      <c r="AP12173" s="1"/>
      <c r="AQ12173" s="1"/>
      <c r="AR12173" s="1"/>
      <c r="AS12173" s="1"/>
      <c r="AT12173" s="1"/>
      <c r="AU12173" s="1"/>
    </row>
    <row r="12174" spans="39:47" x14ac:dyDescent="0.2">
      <c r="AM12174" s="1"/>
      <c r="AN12174" s="1"/>
      <c r="AO12174" s="1"/>
      <c r="AP12174" s="1"/>
      <c r="AQ12174" s="1"/>
      <c r="AR12174" s="1"/>
      <c r="AS12174" s="1"/>
      <c r="AT12174" s="1"/>
      <c r="AU12174" s="1"/>
    </row>
    <row r="12175" spans="39:47" x14ac:dyDescent="0.2">
      <c r="AM12175" s="1"/>
      <c r="AN12175" s="1"/>
      <c r="AO12175" s="1"/>
      <c r="AP12175" s="1"/>
      <c r="AQ12175" s="1"/>
      <c r="AR12175" s="1"/>
      <c r="AS12175" s="1"/>
      <c r="AT12175" s="1"/>
      <c r="AU12175" s="1"/>
    </row>
    <row r="12176" spans="39:47" x14ac:dyDescent="0.2">
      <c r="AM12176" s="1"/>
      <c r="AN12176" s="1"/>
      <c r="AO12176" s="1"/>
      <c r="AP12176" s="1"/>
      <c r="AQ12176" s="1"/>
      <c r="AR12176" s="1"/>
      <c r="AS12176" s="1"/>
      <c r="AT12176" s="1"/>
      <c r="AU12176" s="1"/>
    </row>
    <row r="12177" spans="39:47" x14ac:dyDescent="0.2">
      <c r="AM12177" s="1"/>
      <c r="AN12177" s="1"/>
      <c r="AO12177" s="1"/>
      <c r="AP12177" s="1"/>
      <c r="AQ12177" s="1"/>
      <c r="AR12177" s="1"/>
      <c r="AS12177" s="1"/>
      <c r="AT12177" s="1"/>
      <c r="AU12177" s="1"/>
    </row>
    <row r="12178" spans="39:47" x14ac:dyDescent="0.2">
      <c r="AM12178" s="1"/>
      <c r="AN12178" s="1"/>
      <c r="AO12178" s="1"/>
      <c r="AP12178" s="1"/>
      <c r="AQ12178" s="1"/>
      <c r="AR12178" s="1"/>
      <c r="AS12178" s="1"/>
      <c r="AT12178" s="1"/>
      <c r="AU12178" s="1"/>
    </row>
    <row r="12179" spans="39:47" x14ac:dyDescent="0.2">
      <c r="AM12179" s="1"/>
      <c r="AN12179" s="1"/>
      <c r="AO12179" s="1"/>
      <c r="AP12179" s="1"/>
      <c r="AQ12179" s="1"/>
      <c r="AR12179" s="1"/>
      <c r="AS12179" s="1"/>
      <c r="AT12179" s="1"/>
      <c r="AU12179" s="1"/>
    </row>
    <row r="12180" spans="39:47" x14ac:dyDescent="0.2">
      <c r="AM12180" s="1"/>
      <c r="AN12180" s="1"/>
      <c r="AO12180" s="1"/>
      <c r="AP12180" s="1"/>
      <c r="AQ12180" s="1"/>
      <c r="AR12180" s="1"/>
      <c r="AS12180" s="1"/>
      <c r="AT12180" s="1"/>
      <c r="AU12180" s="1"/>
    </row>
    <row r="12181" spans="39:47" x14ac:dyDescent="0.2">
      <c r="AM12181" s="1"/>
      <c r="AN12181" s="1"/>
      <c r="AO12181" s="1"/>
      <c r="AP12181" s="1"/>
      <c r="AQ12181" s="1"/>
      <c r="AR12181" s="1"/>
      <c r="AS12181" s="1"/>
      <c r="AT12181" s="1"/>
      <c r="AU12181" s="1"/>
    </row>
    <row r="12182" spans="39:47" x14ac:dyDescent="0.2">
      <c r="AM12182" s="1"/>
      <c r="AN12182" s="1"/>
      <c r="AO12182" s="1"/>
      <c r="AP12182" s="1"/>
      <c r="AQ12182" s="1"/>
      <c r="AR12182" s="1"/>
      <c r="AS12182" s="1"/>
      <c r="AT12182" s="1"/>
      <c r="AU12182" s="1"/>
    </row>
    <row r="12183" spans="39:47" x14ac:dyDescent="0.2">
      <c r="AM12183" s="1"/>
      <c r="AN12183" s="1"/>
      <c r="AO12183" s="1"/>
      <c r="AP12183" s="1"/>
      <c r="AQ12183" s="1"/>
      <c r="AR12183" s="1"/>
      <c r="AS12183" s="1"/>
      <c r="AT12183" s="1"/>
      <c r="AU12183" s="1"/>
    </row>
    <row r="12184" spans="39:47" x14ac:dyDescent="0.2">
      <c r="AM12184" s="1"/>
      <c r="AN12184" s="1"/>
      <c r="AO12184" s="1"/>
      <c r="AP12184" s="1"/>
      <c r="AQ12184" s="1"/>
      <c r="AR12184" s="1"/>
      <c r="AS12184" s="1"/>
      <c r="AT12184" s="1"/>
      <c r="AU12184" s="1"/>
    </row>
    <row r="12185" spans="39:47" x14ac:dyDescent="0.2">
      <c r="AM12185" s="1"/>
      <c r="AN12185" s="1"/>
      <c r="AO12185" s="1"/>
      <c r="AP12185" s="1"/>
      <c r="AQ12185" s="1"/>
      <c r="AR12185" s="1"/>
      <c r="AS12185" s="1"/>
      <c r="AT12185" s="1"/>
      <c r="AU12185" s="1"/>
    </row>
    <row r="12186" spans="39:47" x14ac:dyDescent="0.2">
      <c r="AM12186" s="1"/>
      <c r="AN12186" s="1"/>
      <c r="AO12186" s="1"/>
      <c r="AP12186" s="1"/>
      <c r="AQ12186" s="1"/>
      <c r="AR12186" s="1"/>
      <c r="AS12186" s="1"/>
      <c r="AT12186" s="1"/>
      <c r="AU12186" s="1"/>
    </row>
    <row r="12187" spans="39:47" x14ac:dyDescent="0.2">
      <c r="AM12187" s="1"/>
      <c r="AN12187" s="1"/>
      <c r="AO12187" s="1"/>
      <c r="AP12187" s="1"/>
      <c r="AQ12187" s="1"/>
      <c r="AR12187" s="1"/>
      <c r="AS12187" s="1"/>
      <c r="AT12187" s="1"/>
      <c r="AU12187" s="1"/>
    </row>
    <row r="12188" spans="39:47" x14ac:dyDescent="0.2">
      <c r="AM12188" s="1"/>
      <c r="AN12188" s="1"/>
      <c r="AO12188" s="1"/>
      <c r="AP12188" s="1"/>
      <c r="AQ12188" s="1"/>
      <c r="AR12188" s="1"/>
      <c r="AS12188" s="1"/>
      <c r="AT12188" s="1"/>
      <c r="AU12188" s="1"/>
    </row>
    <row r="12189" spans="39:47" x14ac:dyDescent="0.2">
      <c r="AM12189" s="1"/>
      <c r="AN12189" s="1"/>
      <c r="AO12189" s="1"/>
      <c r="AP12189" s="1"/>
      <c r="AQ12189" s="1"/>
      <c r="AR12189" s="1"/>
      <c r="AS12189" s="1"/>
      <c r="AT12189" s="1"/>
      <c r="AU12189" s="1"/>
    </row>
    <row r="12190" spans="39:47" x14ac:dyDescent="0.2">
      <c r="AM12190" s="1"/>
      <c r="AN12190" s="1"/>
      <c r="AO12190" s="1"/>
      <c r="AP12190" s="1"/>
      <c r="AQ12190" s="1"/>
      <c r="AR12190" s="1"/>
      <c r="AS12190" s="1"/>
      <c r="AT12190" s="1"/>
      <c r="AU12190" s="1"/>
    </row>
    <row r="12191" spans="39:47" x14ac:dyDescent="0.2">
      <c r="AM12191" s="1"/>
      <c r="AN12191" s="1"/>
      <c r="AO12191" s="1"/>
      <c r="AP12191" s="1"/>
      <c r="AQ12191" s="1"/>
      <c r="AR12191" s="1"/>
      <c r="AS12191" s="1"/>
      <c r="AT12191" s="1"/>
      <c r="AU12191" s="1"/>
    </row>
    <row r="12192" spans="39:47" x14ac:dyDescent="0.2">
      <c r="AM12192" s="1"/>
      <c r="AN12192" s="1"/>
      <c r="AO12192" s="1"/>
      <c r="AP12192" s="1"/>
      <c r="AQ12192" s="1"/>
      <c r="AR12192" s="1"/>
      <c r="AS12192" s="1"/>
      <c r="AT12192" s="1"/>
      <c r="AU12192" s="1"/>
    </row>
    <row r="12193" spans="39:47" x14ac:dyDescent="0.2">
      <c r="AM12193" s="1"/>
      <c r="AN12193" s="1"/>
      <c r="AO12193" s="1"/>
      <c r="AP12193" s="1"/>
      <c r="AQ12193" s="1"/>
      <c r="AR12193" s="1"/>
      <c r="AS12193" s="1"/>
      <c r="AT12193" s="1"/>
      <c r="AU12193" s="1"/>
    </row>
    <row r="12194" spans="39:47" x14ac:dyDescent="0.2">
      <c r="AM12194" s="1"/>
      <c r="AN12194" s="1"/>
      <c r="AO12194" s="1"/>
      <c r="AP12194" s="1"/>
      <c r="AQ12194" s="1"/>
      <c r="AR12194" s="1"/>
      <c r="AS12194" s="1"/>
      <c r="AT12194" s="1"/>
      <c r="AU12194" s="1"/>
    </row>
    <row r="12195" spans="39:47" x14ac:dyDescent="0.2">
      <c r="AM12195" s="1"/>
      <c r="AN12195" s="1"/>
      <c r="AO12195" s="1"/>
      <c r="AP12195" s="1"/>
      <c r="AQ12195" s="1"/>
      <c r="AR12195" s="1"/>
      <c r="AS12195" s="1"/>
      <c r="AT12195" s="1"/>
      <c r="AU12195" s="1"/>
    </row>
    <row r="12196" spans="39:47" x14ac:dyDescent="0.2">
      <c r="AM12196" s="1"/>
      <c r="AN12196" s="1"/>
      <c r="AO12196" s="1"/>
      <c r="AP12196" s="1"/>
      <c r="AQ12196" s="1"/>
      <c r="AR12196" s="1"/>
      <c r="AS12196" s="1"/>
      <c r="AT12196" s="1"/>
      <c r="AU12196" s="1"/>
    </row>
    <row r="12197" spans="39:47" x14ac:dyDescent="0.2">
      <c r="AM12197" s="1"/>
      <c r="AN12197" s="1"/>
      <c r="AO12197" s="1"/>
      <c r="AP12197" s="1"/>
      <c r="AQ12197" s="1"/>
      <c r="AR12197" s="1"/>
      <c r="AS12197" s="1"/>
      <c r="AT12197" s="1"/>
      <c r="AU12197" s="1"/>
    </row>
    <row r="12198" spans="39:47" x14ac:dyDescent="0.2">
      <c r="AM12198" s="1"/>
      <c r="AN12198" s="1"/>
      <c r="AO12198" s="1"/>
      <c r="AP12198" s="1"/>
      <c r="AQ12198" s="1"/>
      <c r="AR12198" s="1"/>
      <c r="AS12198" s="1"/>
      <c r="AT12198" s="1"/>
      <c r="AU12198" s="1"/>
    </row>
    <row r="12199" spans="39:47" x14ac:dyDescent="0.2">
      <c r="AM12199" s="1"/>
      <c r="AN12199" s="1"/>
      <c r="AO12199" s="1"/>
      <c r="AP12199" s="1"/>
      <c r="AQ12199" s="1"/>
      <c r="AR12199" s="1"/>
      <c r="AS12199" s="1"/>
      <c r="AT12199" s="1"/>
      <c r="AU12199" s="1"/>
    </row>
    <row r="12200" spans="39:47" x14ac:dyDescent="0.2">
      <c r="AM12200" s="1"/>
      <c r="AN12200" s="1"/>
      <c r="AO12200" s="1"/>
      <c r="AP12200" s="1"/>
      <c r="AQ12200" s="1"/>
      <c r="AR12200" s="1"/>
      <c r="AS12200" s="1"/>
      <c r="AT12200" s="1"/>
      <c r="AU12200" s="1"/>
    </row>
    <row r="12201" spans="39:47" x14ac:dyDescent="0.2">
      <c r="AM12201" s="1"/>
      <c r="AN12201" s="1"/>
      <c r="AO12201" s="1"/>
      <c r="AP12201" s="1"/>
      <c r="AQ12201" s="1"/>
      <c r="AR12201" s="1"/>
      <c r="AS12201" s="1"/>
      <c r="AT12201" s="1"/>
      <c r="AU12201" s="1"/>
    </row>
    <row r="12202" spans="39:47" x14ac:dyDescent="0.2">
      <c r="AM12202" s="1"/>
      <c r="AN12202" s="1"/>
      <c r="AO12202" s="1"/>
      <c r="AP12202" s="1"/>
      <c r="AQ12202" s="1"/>
      <c r="AR12202" s="1"/>
      <c r="AS12202" s="1"/>
      <c r="AT12202" s="1"/>
      <c r="AU12202" s="1"/>
    </row>
    <row r="12203" spans="39:47" x14ac:dyDescent="0.2">
      <c r="AM12203" s="1"/>
      <c r="AN12203" s="1"/>
      <c r="AO12203" s="1"/>
      <c r="AP12203" s="1"/>
      <c r="AQ12203" s="1"/>
      <c r="AR12203" s="1"/>
      <c r="AS12203" s="1"/>
      <c r="AT12203" s="1"/>
      <c r="AU12203" s="1"/>
    </row>
    <row r="12204" spans="39:47" x14ac:dyDescent="0.2">
      <c r="AM12204" s="1"/>
      <c r="AN12204" s="1"/>
      <c r="AO12204" s="1"/>
      <c r="AP12204" s="1"/>
      <c r="AQ12204" s="1"/>
      <c r="AR12204" s="1"/>
      <c r="AS12204" s="1"/>
      <c r="AT12204" s="1"/>
      <c r="AU12204" s="1"/>
    </row>
    <row r="12205" spans="39:47" x14ac:dyDescent="0.2">
      <c r="AM12205" s="1"/>
      <c r="AN12205" s="1"/>
      <c r="AO12205" s="1"/>
      <c r="AP12205" s="1"/>
      <c r="AQ12205" s="1"/>
      <c r="AR12205" s="1"/>
      <c r="AS12205" s="1"/>
      <c r="AT12205" s="1"/>
      <c r="AU12205" s="1"/>
    </row>
    <row r="12206" spans="39:47" x14ac:dyDescent="0.2">
      <c r="AM12206" s="1"/>
      <c r="AN12206" s="1"/>
      <c r="AO12206" s="1"/>
      <c r="AP12206" s="1"/>
      <c r="AQ12206" s="1"/>
      <c r="AR12206" s="1"/>
      <c r="AS12206" s="1"/>
      <c r="AT12206" s="1"/>
      <c r="AU12206" s="1"/>
    </row>
    <row r="12207" spans="39:47" x14ac:dyDescent="0.2">
      <c r="AM12207" s="1"/>
      <c r="AN12207" s="1"/>
      <c r="AO12207" s="1"/>
      <c r="AP12207" s="1"/>
      <c r="AQ12207" s="1"/>
      <c r="AR12207" s="1"/>
      <c r="AS12207" s="1"/>
      <c r="AT12207" s="1"/>
      <c r="AU12207" s="1"/>
    </row>
    <row r="12208" spans="39:47" x14ac:dyDescent="0.2">
      <c r="AM12208" s="1"/>
      <c r="AN12208" s="1"/>
      <c r="AO12208" s="1"/>
      <c r="AP12208" s="1"/>
      <c r="AQ12208" s="1"/>
      <c r="AR12208" s="1"/>
      <c r="AS12208" s="1"/>
      <c r="AT12208" s="1"/>
      <c r="AU12208" s="1"/>
    </row>
    <row r="12209" spans="39:47" x14ac:dyDescent="0.2">
      <c r="AM12209" s="1"/>
      <c r="AN12209" s="1"/>
      <c r="AO12209" s="1"/>
      <c r="AP12209" s="1"/>
      <c r="AQ12209" s="1"/>
      <c r="AR12209" s="1"/>
      <c r="AS12209" s="1"/>
      <c r="AT12209" s="1"/>
      <c r="AU12209" s="1"/>
    </row>
    <row r="12210" spans="39:47" x14ac:dyDescent="0.2">
      <c r="AM12210" s="1"/>
      <c r="AN12210" s="1"/>
      <c r="AO12210" s="1"/>
      <c r="AP12210" s="1"/>
      <c r="AQ12210" s="1"/>
      <c r="AR12210" s="1"/>
      <c r="AS12210" s="1"/>
      <c r="AT12210" s="1"/>
      <c r="AU12210" s="1"/>
    </row>
    <row r="12211" spans="39:47" x14ac:dyDescent="0.2">
      <c r="AM12211" s="1"/>
      <c r="AN12211" s="1"/>
      <c r="AO12211" s="1"/>
      <c r="AP12211" s="1"/>
      <c r="AQ12211" s="1"/>
      <c r="AR12211" s="1"/>
      <c r="AS12211" s="1"/>
      <c r="AT12211" s="1"/>
      <c r="AU12211" s="1"/>
    </row>
    <row r="12212" spans="39:47" x14ac:dyDescent="0.2">
      <c r="AM12212" s="1"/>
      <c r="AN12212" s="1"/>
      <c r="AO12212" s="1"/>
      <c r="AP12212" s="1"/>
      <c r="AQ12212" s="1"/>
      <c r="AR12212" s="1"/>
      <c r="AS12212" s="1"/>
      <c r="AT12212" s="1"/>
      <c r="AU12212" s="1"/>
    </row>
    <row r="12213" spans="39:47" x14ac:dyDescent="0.2">
      <c r="AM12213" s="1"/>
      <c r="AN12213" s="1"/>
      <c r="AO12213" s="1"/>
      <c r="AP12213" s="1"/>
      <c r="AQ12213" s="1"/>
      <c r="AR12213" s="1"/>
      <c r="AS12213" s="1"/>
      <c r="AT12213" s="1"/>
      <c r="AU12213" s="1"/>
    </row>
    <row r="12214" spans="39:47" x14ac:dyDescent="0.2">
      <c r="AM12214" s="1"/>
      <c r="AN12214" s="1"/>
      <c r="AO12214" s="1"/>
      <c r="AP12214" s="1"/>
      <c r="AQ12214" s="1"/>
      <c r="AR12214" s="1"/>
      <c r="AS12214" s="1"/>
      <c r="AT12214" s="1"/>
      <c r="AU12214" s="1"/>
    </row>
    <row r="12215" spans="39:47" x14ac:dyDescent="0.2">
      <c r="AM12215" s="1"/>
      <c r="AN12215" s="1"/>
      <c r="AO12215" s="1"/>
      <c r="AP12215" s="1"/>
      <c r="AQ12215" s="1"/>
      <c r="AR12215" s="1"/>
      <c r="AS12215" s="1"/>
      <c r="AT12215" s="1"/>
      <c r="AU12215" s="1"/>
    </row>
    <row r="12216" spans="39:47" x14ac:dyDescent="0.2">
      <c r="AM12216" s="1"/>
      <c r="AN12216" s="1"/>
      <c r="AO12216" s="1"/>
      <c r="AP12216" s="1"/>
      <c r="AQ12216" s="1"/>
      <c r="AR12216" s="1"/>
      <c r="AS12216" s="1"/>
      <c r="AT12216" s="1"/>
      <c r="AU12216" s="1"/>
    </row>
    <row r="12217" spans="39:47" x14ac:dyDescent="0.2">
      <c r="AM12217" s="1"/>
      <c r="AN12217" s="1"/>
      <c r="AO12217" s="1"/>
      <c r="AP12217" s="1"/>
      <c r="AQ12217" s="1"/>
      <c r="AR12217" s="1"/>
      <c r="AS12217" s="1"/>
      <c r="AT12217" s="1"/>
      <c r="AU12217" s="1"/>
    </row>
    <row r="12218" spans="39:47" x14ac:dyDescent="0.2">
      <c r="AM12218" s="1"/>
      <c r="AN12218" s="1"/>
      <c r="AO12218" s="1"/>
      <c r="AP12218" s="1"/>
      <c r="AQ12218" s="1"/>
      <c r="AR12218" s="1"/>
      <c r="AS12218" s="1"/>
      <c r="AT12218" s="1"/>
      <c r="AU12218" s="1"/>
    </row>
    <row r="12219" spans="39:47" x14ac:dyDescent="0.2">
      <c r="AM12219" s="1"/>
      <c r="AN12219" s="1"/>
      <c r="AO12219" s="1"/>
      <c r="AP12219" s="1"/>
      <c r="AQ12219" s="1"/>
      <c r="AR12219" s="1"/>
      <c r="AS12219" s="1"/>
      <c r="AT12219" s="1"/>
      <c r="AU12219" s="1"/>
    </row>
    <row r="12220" spans="39:47" x14ac:dyDescent="0.2">
      <c r="AM12220" s="1"/>
      <c r="AN12220" s="1"/>
      <c r="AO12220" s="1"/>
      <c r="AP12220" s="1"/>
      <c r="AQ12220" s="1"/>
      <c r="AR12220" s="1"/>
      <c r="AS12220" s="1"/>
      <c r="AT12220" s="1"/>
      <c r="AU12220" s="1"/>
    </row>
    <row r="12221" spans="39:47" x14ac:dyDescent="0.2">
      <c r="AM12221" s="1"/>
      <c r="AN12221" s="1"/>
      <c r="AO12221" s="1"/>
      <c r="AP12221" s="1"/>
      <c r="AQ12221" s="1"/>
      <c r="AR12221" s="1"/>
      <c r="AS12221" s="1"/>
      <c r="AT12221" s="1"/>
      <c r="AU12221" s="1"/>
    </row>
    <row r="12222" spans="39:47" x14ac:dyDescent="0.2">
      <c r="AM12222" s="1"/>
      <c r="AN12222" s="1"/>
      <c r="AO12222" s="1"/>
      <c r="AP12222" s="1"/>
      <c r="AQ12222" s="1"/>
      <c r="AR12222" s="1"/>
      <c r="AS12222" s="1"/>
      <c r="AT12222" s="1"/>
      <c r="AU12222" s="1"/>
    </row>
    <row r="12223" spans="39:47" x14ac:dyDescent="0.2">
      <c r="AM12223" s="1"/>
      <c r="AN12223" s="1"/>
      <c r="AO12223" s="1"/>
      <c r="AP12223" s="1"/>
      <c r="AQ12223" s="1"/>
      <c r="AR12223" s="1"/>
      <c r="AS12223" s="1"/>
      <c r="AT12223" s="1"/>
      <c r="AU12223" s="1"/>
    </row>
    <row r="12224" spans="39:47" x14ac:dyDescent="0.2">
      <c r="AM12224" s="1"/>
      <c r="AN12224" s="1"/>
      <c r="AO12224" s="1"/>
      <c r="AP12224" s="1"/>
      <c r="AQ12224" s="1"/>
      <c r="AR12224" s="1"/>
      <c r="AS12224" s="1"/>
      <c r="AT12224" s="1"/>
      <c r="AU12224" s="1"/>
    </row>
    <row r="12225" spans="39:47" x14ac:dyDescent="0.2">
      <c r="AM12225" s="1"/>
      <c r="AN12225" s="1"/>
      <c r="AO12225" s="1"/>
      <c r="AP12225" s="1"/>
      <c r="AQ12225" s="1"/>
      <c r="AR12225" s="1"/>
      <c r="AS12225" s="1"/>
      <c r="AT12225" s="1"/>
      <c r="AU12225" s="1"/>
    </row>
    <row r="12226" spans="39:47" x14ac:dyDescent="0.2">
      <c r="AM12226" s="1"/>
      <c r="AN12226" s="1"/>
      <c r="AO12226" s="1"/>
      <c r="AP12226" s="1"/>
      <c r="AQ12226" s="1"/>
      <c r="AR12226" s="1"/>
      <c r="AS12226" s="1"/>
      <c r="AT12226" s="1"/>
      <c r="AU12226" s="1"/>
    </row>
    <row r="12227" spans="39:47" x14ac:dyDescent="0.2">
      <c r="AM12227" s="1"/>
      <c r="AN12227" s="1"/>
      <c r="AO12227" s="1"/>
      <c r="AP12227" s="1"/>
      <c r="AQ12227" s="1"/>
      <c r="AR12227" s="1"/>
      <c r="AS12227" s="1"/>
      <c r="AT12227" s="1"/>
      <c r="AU12227" s="1"/>
    </row>
    <row r="12228" spans="39:47" x14ac:dyDescent="0.2">
      <c r="AM12228" s="1"/>
      <c r="AN12228" s="1"/>
      <c r="AO12228" s="1"/>
      <c r="AP12228" s="1"/>
      <c r="AQ12228" s="1"/>
      <c r="AR12228" s="1"/>
      <c r="AS12228" s="1"/>
      <c r="AT12228" s="1"/>
      <c r="AU12228" s="1"/>
    </row>
    <row r="12229" spans="39:47" x14ac:dyDescent="0.2">
      <c r="AM12229" s="1"/>
      <c r="AN12229" s="1"/>
      <c r="AO12229" s="1"/>
      <c r="AP12229" s="1"/>
      <c r="AQ12229" s="1"/>
      <c r="AR12229" s="1"/>
      <c r="AS12229" s="1"/>
      <c r="AT12229" s="1"/>
      <c r="AU12229" s="1"/>
    </row>
    <row r="12230" spans="39:47" x14ac:dyDescent="0.2">
      <c r="AM12230" s="1"/>
      <c r="AN12230" s="1"/>
      <c r="AO12230" s="1"/>
      <c r="AP12230" s="1"/>
      <c r="AQ12230" s="1"/>
      <c r="AR12230" s="1"/>
      <c r="AS12230" s="1"/>
      <c r="AT12230" s="1"/>
      <c r="AU12230" s="1"/>
    </row>
    <row r="12231" spans="39:47" x14ac:dyDescent="0.2">
      <c r="AM12231" s="1"/>
      <c r="AN12231" s="1"/>
      <c r="AO12231" s="1"/>
      <c r="AP12231" s="1"/>
      <c r="AQ12231" s="1"/>
      <c r="AR12231" s="1"/>
      <c r="AS12231" s="1"/>
      <c r="AT12231" s="1"/>
      <c r="AU12231" s="1"/>
    </row>
    <row r="12232" spans="39:47" x14ac:dyDescent="0.2">
      <c r="AM12232" s="1"/>
      <c r="AN12232" s="1"/>
      <c r="AO12232" s="1"/>
      <c r="AP12232" s="1"/>
      <c r="AQ12232" s="1"/>
      <c r="AR12232" s="1"/>
      <c r="AS12232" s="1"/>
      <c r="AT12232" s="1"/>
      <c r="AU12232" s="1"/>
    </row>
    <row r="12233" spans="39:47" x14ac:dyDescent="0.2">
      <c r="AM12233" s="1"/>
      <c r="AN12233" s="1"/>
      <c r="AO12233" s="1"/>
      <c r="AP12233" s="1"/>
      <c r="AQ12233" s="1"/>
      <c r="AR12233" s="1"/>
      <c r="AS12233" s="1"/>
      <c r="AT12233" s="1"/>
      <c r="AU12233" s="1"/>
    </row>
    <row r="12234" spans="39:47" x14ac:dyDescent="0.2">
      <c r="AM12234" s="1"/>
      <c r="AN12234" s="1"/>
      <c r="AO12234" s="1"/>
      <c r="AP12234" s="1"/>
      <c r="AQ12234" s="1"/>
      <c r="AR12234" s="1"/>
      <c r="AS12234" s="1"/>
      <c r="AT12234" s="1"/>
      <c r="AU12234" s="1"/>
    </row>
    <row r="12235" spans="39:47" x14ac:dyDescent="0.2">
      <c r="AM12235" s="1"/>
      <c r="AN12235" s="1"/>
      <c r="AO12235" s="1"/>
      <c r="AP12235" s="1"/>
      <c r="AQ12235" s="1"/>
      <c r="AR12235" s="1"/>
      <c r="AS12235" s="1"/>
      <c r="AT12235" s="1"/>
      <c r="AU12235" s="1"/>
    </row>
    <row r="12236" spans="39:47" x14ac:dyDescent="0.2">
      <c r="AM12236" s="1"/>
      <c r="AN12236" s="1"/>
      <c r="AO12236" s="1"/>
      <c r="AP12236" s="1"/>
      <c r="AQ12236" s="1"/>
      <c r="AR12236" s="1"/>
      <c r="AS12236" s="1"/>
      <c r="AT12236" s="1"/>
      <c r="AU12236" s="1"/>
    </row>
    <row r="12237" spans="39:47" x14ac:dyDescent="0.2">
      <c r="AM12237" s="1"/>
      <c r="AN12237" s="1"/>
      <c r="AO12237" s="1"/>
      <c r="AP12237" s="1"/>
      <c r="AQ12237" s="1"/>
      <c r="AR12237" s="1"/>
      <c r="AS12237" s="1"/>
      <c r="AT12237" s="1"/>
      <c r="AU12237" s="1"/>
    </row>
    <row r="12238" spans="39:47" x14ac:dyDescent="0.2">
      <c r="AM12238" s="1"/>
      <c r="AN12238" s="1"/>
      <c r="AO12238" s="1"/>
      <c r="AP12238" s="1"/>
      <c r="AQ12238" s="1"/>
      <c r="AR12238" s="1"/>
      <c r="AS12238" s="1"/>
      <c r="AT12238" s="1"/>
      <c r="AU12238" s="1"/>
    </row>
    <row r="12239" spans="39:47" x14ac:dyDescent="0.2">
      <c r="AM12239" s="1"/>
      <c r="AN12239" s="1"/>
      <c r="AO12239" s="1"/>
      <c r="AP12239" s="1"/>
      <c r="AQ12239" s="1"/>
      <c r="AR12239" s="1"/>
      <c r="AS12239" s="1"/>
      <c r="AT12239" s="1"/>
      <c r="AU12239" s="1"/>
    </row>
    <row r="12240" spans="39:47" x14ac:dyDescent="0.2">
      <c r="AM12240" s="1"/>
      <c r="AN12240" s="1"/>
      <c r="AO12240" s="1"/>
      <c r="AP12240" s="1"/>
      <c r="AQ12240" s="1"/>
      <c r="AR12240" s="1"/>
      <c r="AS12240" s="1"/>
      <c r="AT12240" s="1"/>
      <c r="AU12240" s="1"/>
    </row>
    <row r="12241" spans="39:47" x14ac:dyDescent="0.2">
      <c r="AM12241" s="1"/>
      <c r="AN12241" s="1"/>
      <c r="AO12241" s="1"/>
      <c r="AP12241" s="1"/>
      <c r="AQ12241" s="1"/>
      <c r="AR12241" s="1"/>
      <c r="AS12241" s="1"/>
      <c r="AT12241" s="1"/>
      <c r="AU12241" s="1"/>
    </row>
    <row r="12242" spans="39:47" x14ac:dyDescent="0.2">
      <c r="AM12242" s="1"/>
      <c r="AN12242" s="1"/>
      <c r="AO12242" s="1"/>
      <c r="AP12242" s="1"/>
      <c r="AQ12242" s="1"/>
      <c r="AR12242" s="1"/>
      <c r="AS12242" s="1"/>
      <c r="AT12242" s="1"/>
      <c r="AU12242" s="1"/>
    </row>
    <row r="12243" spans="39:47" x14ac:dyDescent="0.2">
      <c r="AM12243" s="1"/>
      <c r="AN12243" s="1"/>
      <c r="AO12243" s="1"/>
      <c r="AP12243" s="1"/>
      <c r="AQ12243" s="1"/>
      <c r="AR12243" s="1"/>
      <c r="AS12243" s="1"/>
      <c r="AT12243" s="1"/>
      <c r="AU12243" s="1"/>
    </row>
    <row r="12244" spans="39:47" x14ac:dyDescent="0.2">
      <c r="AM12244" s="1"/>
      <c r="AN12244" s="1"/>
      <c r="AO12244" s="1"/>
      <c r="AP12244" s="1"/>
      <c r="AQ12244" s="1"/>
      <c r="AR12244" s="1"/>
      <c r="AS12244" s="1"/>
      <c r="AT12244" s="1"/>
      <c r="AU12244" s="1"/>
    </row>
    <row r="12245" spans="39:47" x14ac:dyDescent="0.2">
      <c r="AM12245" s="1"/>
      <c r="AN12245" s="1"/>
      <c r="AO12245" s="1"/>
      <c r="AP12245" s="1"/>
      <c r="AQ12245" s="1"/>
      <c r="AR12245" s="1"/>
      <c r="AS12245" s="1"/>
      <c r="AT12245" s="1"/>
      <c r="AU12245" s="1"/>
    </row>
    <row r="12246" spans="39:47" x14ac:dyDescent="0.2">
      <c r="AM12246" s="1"/>
      <c r="AN12246" s="1"/>
      <c r="AO12246" s="1"/>
      <c r="AP12246" s="1"/>
      <c r="AQ12246" s="1"/>
      <c r="AR12246" s="1"/>
      <c r="AS12246" s="1"/>
      <c r="AT12246" s="1"/>
      <c r="AU12246" s="1"/>
    </row>
    <row r="12247" spans="39:47" x14ac:dyDescent="0.2">
      <c r="AM12247" s="1"/>
      <c r="AN12247" s="1"/>
      <c r="AO12247" s="1"/>
      <c r="AP12247" s="1"/>
      <c r="AQ12247" s="1"/>
      <c r="AR12247" s="1"/>
      <c r="AS12247" s="1"/>
      <c r="AT12247" s="1"/>
      <c r="AU12247" s="1"/>
    </row>
    <row r="12248" spans="39:47" x14ac:dyDescent="0.2">
      <c r="AM12248" s="1"/>
      <c r="AN12248" s="1"/>
      <c r="AO12248" s="1"/>
      <c r="AP12248" s="1"/>
      <c r="AQ12248" s="1"/>
      <c r="AR12248" s="1"/>
      <c r="AS12248" s="1"/>
      <c r="AT12248" s="1"/>
      <c r="AU12248" s="1"/>
    </row>
    <row r="12249" spans="39:47" x14ac:dyDescent="0.2">
      <c r="AM12249" s="1"/>
      <c r="AN12249" s="1"/>
      <c r="AO12249" s="1"/>
      <c r="AP12249" s="1"/>
      <c r="AQ12249" s="1"/>
      <c r="AR12249" s="1"/>
      <c r="AS12249" s="1"/>
      <c r="AT12249" s="1"/>
      <c r="AU12249" s="1"/>
    </row>
    <row r="12250" spans="39:47" x14ac:dyDescent="0.2">
      <c r="AM12250" s="1"/>
      <c r="AN12250" s="1"/>
      <c r="AO12250" s="1"/>
      <c r="AP12250" s="1"/>
      <c r="AQ12250" s="1"/>
      <c r="AR12250" s="1"/>
      <c r="AS12250" s="1"/>
      <c r="AT12250" s="1"/>
      <c r="AU12250" s="1"/>
    </row>
    <row r="12251" spans="39:47" x14ac:dyDescent="0.2">
      <c r="AM12251" s="1"/>
      <c r="AN12251" s="1"/>
      <c r="AO12251" s="1"/>
      <c r="AP12251" s="1"/>
      <c r="AQ12251" s="1"/>
      <c r="AR12251" s="1"/>
      <c r="AS12251" s="1"/>
      <c r="AT12251" s="1"/>
      <c r="AU12251" s="1"/>
    </row>
    <row r="12252" spans="39:47" x14ac:dyDescent="0.2">
      <c r="AM12252" s="1"/>
      <c r="AN12252" s="1"/>
      <c r="AO12252" s="1"/>
      <c r="AP12252" s="1"/>
      <c r="AQ12252" s="1"/>
      <c r="AR12252" s="1"/>
      <c r="AS12252" s="1"/>
      <c r="AT12252" s="1"/>
      <c r="AU12252" s="1"/>
    </row>
    <row r="12253" spans="39:47" x14ac:dyDescent="0.2">
      <c r="AM12253" s="1"/>
      <c r="AN12253" s="1"/>
      <c r="AO12253" s="1"/>
      <c r="AP12253" s="1"/>
      <c r="AQ12253" s="1"/>
      <c r="AR12253" s="1"/>
      <c r="AS12253" s="1"/>
      <c r="AT12253" s="1"/>
      <c r="AU12253" s="1"/>
    </row>
    <row r="12254" spans="39:47" x14ac:dyDescent="0.2">
      <c r="AM12254" s="1"/>
      <c r="AN12254" s="1"/>
      <c r="AO12254" s="1"/>
      <c r="AP12254" s="1"/>
      <c r="AQ12254" s="1"/>
      <c r="AR12254" s="1"/>
      <c r="AS12254" s="1"/>
      <c r="AT12254" s="1"/>
      <c r="AU12254" s="1"/>
    </row>
    <row r="12255" spans="39:47" x14ac:dyDescent="0.2">
      <c r="AM12255" s="1"/>
      <c r="AN12255" s="1"/>
      <c r="AO12255" s="1"/>
      <c r="AP12255" s="1"/>
      <c r="AQ12255" s="1"/>
      <c r="AR12255" s="1"/>
      <c r="AS12255" s="1"/>
      <c r="AT12255" s="1"/>
      <c r="AU12255" s="1"/>
    </row>
    <row r="12256" spans="39:47" x14ac:dyDescent="0.2">
      <c r="AM12256" s="1"/>
      <c r="AN12256" s="1"/>
      <c r="AO12256" s="1"/>
      <c r="AP12256" s="1"/>
      <c r="AQ12256" s="1"/>
      <c r="AR12256" s="1"/>
      <c r="AS12256" s="1"/>
      <c r="AT12256" s="1"/>
      <c r="AU12256" s="1"/>
    </row>
    <row r="12257" spans="39:47" x14ac:dyDescent="0.2">
      <c r="AM12257" s="1"/>
      <c r="AN12257" s="1"/>
      <c r="AO12257" s="1"/>
      <c r="AP12257" s="1"/>
      <c r="AQ12257" s="1"/>
      <c r="AR12257" s="1"/>
      <c r="AS12257" s="1"/>
      <c r="AT12257" s="1"/>
      <c r="AU12257" s="1"/>
    </row>
    <row r="12258" spans="39:47" x14ac:dyDescent="0.2">
      <c r="AM12258" s="1"/>
      <c r="AN12258" s="1"/>
      <c r="AO12258" s="1"/>
      <c r="AP12258" s="1"/>
      <c r="AQ12258" s="1"/>
      <c r="AR12258" s="1"/>
      <c r="AS12258" s="1"/>
      <c r="AT12258" s="1"/>
      <c r="AU12258" s="1"/>
    </row>
    <row r="12259" spans="39:47" x14ac:dyDescent="0.2">
      <c r="AM12259" s="1"/>
      <c r="AN12259" s="1"/>
      <c r="AO12259" s="1"/>
      <c r="AP12259" s="1"/>
      <c r="AQ12259" s="1"/>
      <c r="AR12259" s="1"/>
      <c r="AS12259" s="1"/>
      <c r="AT12259" s="1"/>
      <c r="AU12259" s="1"/>
    </row>
    <row r="12260" spans="39:47" x14ac:dyDescent="0.2">
      <c r="AM12260" s="1"/>
      <c r="AN12260" s="1"/>
      <c r="AO12260" s="1"/>
      <c r="AP12260" s="1"/>
      <c r="AQ12260" s="1"/>
      <c r="AR12260" s="1"/>
      <c r="AS12260" s="1"/>
      <c r="AT12260" s="1"/>
      <c r="AU12260" s="1"/>
    </row>
    <row r="12261" spans="39:47" x14ac:dyDescent="0.2">
      <c r="AM12261" s="1"/>
      <c r="AN12261" s="1"/>
      <c r="AO12261" s="1"/>
      <c r="AP12261" s="1"/>
      <c r="AQ12261" s="1"/>
      <c r="AR12261" s="1"/>
      <c r="AS12261" s="1"/>
      <c r="AT12261" s="1"/>
      <c r="AU12261" s="1"/>
    </row>
    <row r="12262" spans="39:47" x14ac:dyDescent="0.2">
      <c r="AM12262" s="1"/>
      <c r="AN12262" s="1"/>
      <c r="AO12262" s="1"/>
      <c r="AP12262" s="1"/>
      <c r="AQ12262" s="1"/>
      <c r="AR12262" s="1"/>
      <c r="AS12262" s="1"/>
      <c r="AT12262" s="1"/>
      <c r="AU12262" s="1"/>
    </row>
    <row r="12263" spans="39:47" x14ac:dyDescent="0.2">
      <c r="AM12263" s="1"/>
      <c r="AN12263" s="1"/>
      <c r="AO12263" s="1"/>
      <c r="AP12263" s="1"/>
      <c r="AQ12263" s="1"/>
      <c r="AR12263" s="1"/>
      <c r="AS12263" s="1"/>
      <c r="AT12263" s="1"/>
      <c r="AU12263" s="1"/>
    </row>
    <row r="12264" spans="39:47" x14ac:dyDescent="0.2">
      <c r="AM12264" s="1"/>
      <c r="AN12264" s="1"/>
      <c r="AO12264" s="1"/>
      <c r="AP12264" s="1"/>
      <c r="AQ12264" s="1"/>
      <c r="AR12264" s="1"/>
      <c r="AS12264" s="1"/>
      <c r="AT12264" s="1"/>
      <c r="AU12264" s="1"/>
    </row>
    <row r="12265" spans="39:47" x14ac:dyDescent="0.2">
      <c r="AM12265" s="1"/>
      <c r="AN12265" s="1"/>
      <c r="AO12265" s="1"/>
      <c r="AP12265" s="1"/>
      <c r="AQ12265" s="1"/>
      <c r="AR12265" s="1"/>
      <c r="AS12265" s="1"/>
      <c r="AT12265" s="1"/>
      <c r="AU12265" s="1"/>
    </row>
    <row r="12266" spans="39:47" x14ac:dyDescent="0.2">
      <c r="AM12266" s="1"/>
      <c r="AN12266" s="1"/>
      <c r="AO12266" s="1"/>
      <c r="AP12266" s="1"/>
      <c r="AQ12266" s="1"/>
      <c r="AR12266" s="1"/>
      <c r="AS12266" s="1"/>
      <c r="AT12266" s="1"/>
      <c r="AU12266" s="1"/>
    </row>
    <row r="12267" spans="39:47" x14ac:dyDescent="0.2">
      <c r="AM12267" s="1"/>
      <c r="AN12267" s="1"/>
      <c r="AO12267" s="1"/>
      <c r="AP12267" s="1"/>
      <c r="AQ12267" s="1"/>
      <c r="AR12267" s="1"/>
      <c r="AS12267" s="1"/>
      <c r="AT12267" s="1"/>
      <c r="AU12267" s="1"/>
    </row>
    <row r="12268" spans="39:47" x14ac:dyDescent="0.2">
      <c r="AM12268" s="1"/>
      <c r="AN12268" s="1"/>
      <c r="AO12268" s="1"/>
      <c r="AP12268" s="1"/>
      <c r="AQ12268" s="1"/>
      <c r="AR12268" s="1"/>
      <c r="AS12268" s="1"/>
      <c r="AT12268" s="1"/>
      <c r="AU12268" s="1"/>
    </row>
    <row r="12269" spans="39:47" x14ac:dyDescent="0.2">
      <c r="AM12269" s="1"/>
      <c r="AN12269" s="1"/>
      <c r="AO12269" s="1"/>
      <c r="AP12269" s="1"/>
      <c r="AQ12269" s="1"/>
      <c r="AR12269" s="1"/>
      <c r="AS12269" s="1"/>
      <c r="AT12269" s="1"/>
      <c r="AU12269" s="1"/>
    </row>
    <row r="12270" spans="39:47" x14ac:dyDescent="0.2">
      <c r="AM12270" s="1"/>
      <c r="AN12270" s="1"/>
      <c r="AO12270" s="1"/>
      <c r="AP12270" s="1"/>
      <c r="AQ12270" s="1"/>
      <c r="AR12270" s="1"/>
      <c r="AS12270" s="1"/>
      <c r="AT12270" s="1"/>
      <c r="AU12270" s="1"/>
    </row>
    <row r="12271" spans="39:47" x14ac:dyDescent="0.2">
      <c r="AM12271" s="1"/>
      <c r="AN12271" s="1"/>
      <c r="AO12271" s="1"/>
      <c r="AP12271" s="1"/>
      <c r="AQ12271" s="1"/>
      <c r="AR12271" s="1"/>
      <c r="AS12271" s="1"/>
      <c r="AT12271" s="1"/>
      <c r="AU12271" s="1"/>
    </row>
    <row r="12272" spans="39:47" x14ac:dyDescent="0.2">
      <c r="AM12272" s="1"/>
      <c r="AN12272" s="1"/>
      <c r="AO12272" s="1"/>
      <c r="AP12272" s="1"/>
      <c r="AQ12272" s="1"/>
      <c r="AR12272" s="1"/>
      <c r="AS12272" s="1"/>
      <c r="AT12272" s="1"/>
      <c r="AU12272" s="1"/>
    </row>
    <row r="12273" spans="39:47" x14ac:dyDescent="0.2">
      <c r="AM12273" s="1"/>
      <c r="AN12273" s="1"/>
      <c r="AO12273" s="1"/>
      <c r="AP12273" s="1"/>
      <c r="AQ12273" s="1"/>
      <c r="AR12273" s="1"/>
      <c r="AS12273" s="1"/>
      <c r="AT12273" s="1"/>
      <c r="AU12273" s="1"/>
    </row>
    <row r="12274" spans="39:47" x14ac:dyDescent="0.2">
      <c r="AM12274" s="1"/>
      <c r="AN12274" s="1"/>
      <c r="AO12274" s="1"/>
      <c r="AP12274" s="1"/>
      <c r="AQ12274" s="1"/>
      <c r="AR12274" s="1"/>
      <c r="AS12274" s="1"/>
      <c r="AT12274" s="1"/>
      <c r="AU12274" s="1"/>
    </row>
    <row r="12275" spans="39:47" x14ac:dyDescent="0.2">
      <c r="AM12275" s="1"/>
      <c r="AN12275" s="1"/>
      <c r="AO12275" s="1"/>
      <c r="AP12275" s="1"/>
      <c r="AQ12275" s="1"/>
      <c r="AR12275" s="1"/>
      <c r="AS12275" s="1"/>
      <c r="AT12275" s="1"/>
      <c r="AU12275" s="1"/>
    </row>
    <row r="12276" spans="39:47" x14ac:dyDescent="0.2">
      <c r="AM12276" s="1"/>
      <c r="AN12276" s="1"/>
      <c r="AO12276" s="1"/>
      <c r="AP12276" s="1"/>
      <c r="AQ12276" s="1"/>
      <c r="AR12276" s="1"/>
      <c r="AS12276" s="1"/>
      <c r="AT12276" s="1"/>
      <c r="AU12276" s="1"/>
    </row>
    <row r="12277" spans="39:47" x14ac:dyDescent="0.2">
      <c r="AM12277" s="1"/>
      <c r="AN12277" s="1"/>
      <c r="AO12277" s="1"/>
      <c r="AP12277" s="1"/>
      <c r="AQ12277" s="1"/>
      <c r="AR12277" s="1"/>
      <c r="AS12277" s="1"/>
      <c r="AT12277" s="1"/>
      <c r="AU12277" s="1"/>
    </row>
    <row r="12278" spans="39:47" x14ac:dyDescent="0.2">
      <c r="AM12278" s="1"/>
      <c r="AN12278" s="1"/>
      <c r="AO12278" s="1"/>
      <c r="AP12278" s="1"/>
      <c r="AQ12278" s="1"/>
      <c r="AR12278" s="1"/>
      <c r="AS12278" s="1"/>
      <c r="AT12278" s="1"/>
      <c r="AU12278" s="1"/>
    </row>
    <row r="12279" spans="39:47" x14ac:dyDescent="0.2">
      <c r="AM12279" s="1"/>
      <c r="AN12279" s="1"/>
      <c r="AO12279" s="1"/>
      <c r="AP12279" s="1"/>
      <c r="AQ12279" s="1"/>
      <c r="AR12279" s="1"/>
      <c r="AS12279" s="1"/>
      <c r="AT12279" s="1"/>
      <c r="AU12279" s="1"/>
    </row>
    <row r="12280" spans="39:47" x14ac:dyDescent="0.2">
      <c r="AM12280" s="1"/>
      <c r="AN12280" s="1"/>
      <c r="AO12280" s="1"/>
      <c r="AP12280" s="1"/>
      <c r="AQ12280" s="1"/>
      <c r="AR12280" s="1"/>
      <c r="AS12280" s="1"/>
      <c r="AT12280" s="1"/>
      <c r="AU12280" s="1"/>
    </row>
    <row r="12281" spans="39:47" x14ac:dyDescent="0.2">
      <c r="AM12281" s="1"/>
      <c r="AN12281" s="1"/>
      <c r="AO12281" s="1"/>
      <c r="AP12281" s="1"/>
      <c r="AQ12281" s="1"/>
      <c r="AR12281" s="1"/>
      <c r="AS12281" s="1"/>
      <c r="AT12281" s="1"/>
      <c r="AU12281" s="1"/>
    </row>
    <row r="12282" spans="39:47" x14ac:dyDescent="0.2">
      <c r="AM12282" s="1"/>
      <c r="AN12282" s="1"/>
      <c r="AO12282" s="1"/>
      <c r="AP12282" s="1"/>
      <c r="AQ12282" s="1"/>
      <c r="AR12282" s="1"/>
      <c r="AS12282" s="1"/>
      <c r="AT12282" s="1"/>
      <c r="AU12282" s="1"/>
    </row>
    <row r="12283" spans="39:47" x14ac:dyDescent="0.2">
      <c r="AM12283" s="1"/>
      <c r="AN12283" s="1"/>
      <c r="AO12283" s="1"/>
      <c r="AP12283" s="1"/>
      <c r="AQ12283" s="1"/>
      <c r="AR12283" s="1"/>
      <c r="AS12283" s="1"/>
      <c r="AT12283" s="1"/>
      <c r="AU12283" s="1"/>
    </row>
    <row r="12284" spans="39:47" x14ac:dyDescent="0.2">
      <c r="AM12284" s="1"/>
      <c r="AN12284" s="1"/>
      <c r="AO12284" s="1"/>
      <c r="AP12284" s="1"/>
      <c r="AQ12284" s="1"/>
      <c r="AR12284" s="1"/>
      <c r="AS12284" s="1"/>
      <c r="AT12284" s="1"/>
      <c r="AU12284" s="1"/>
    </row>
    <row r="12285" spans="39:47" x14ac:dyDescent="0.2">
      <c r="AM12285" s="1"/>
      <c r="AN12285" s="1"/>
      <c r="AO12285" s="1"/>
      <c r="AP12285" s="1"/>
      <c r="AQ12285" s="1"/>
      <c r="AR12285" s="1"/>
      <c r="AS12285" s="1"/>
      <c r="AT12285" s="1"/>
      <c r="AU12285" s="1"/>
    </row>
    <row r="12286" spans="39:47" x14ac:dyDescent="0.2">
      <c r="AM12286" s="1"/>
      <c r="AN12286" s="1"/>
      <c r="AO12286" s="1"/>
      <c r="AP12286" s="1"/>
      <c r="AQ12286" s="1"/>
      <c r="AR12286" s="1"/>
      <c r="AS12286" s="1"/>
      <c r="AT12286" s="1"/>
      <c r="AU12286" s="1"/>
    </row>
    <row r="12287" spans="39:47" x14ac:dyDescent="0.2">
      <c r="AM12287" s="1"/>
      <c r="AN12287" s="1"/>
      <c r="AO12287" s="1"/>
      <c r="AP12287" s="1"/>
      <c r="AQ12287" s="1"/>
      <c r="AR12287" s="1"/>
      <c r="AS12287" s="1"/>
      <c r="AT12287" s="1"/>
      <c r="AU12287" s="1"/>
    </row>
    <row r="12288" spans="39:47" x14ac:dyDescent="0.2">
      <c r="AM12288" s="1"/>
      <c r="AN12288" s="1"/>
      <c r="AO12288" s="1"/>
      <c r="AP12288" s="1"/>
      <c r="AQ12288" s="1"/>
      <c r="AR12288" s="1"/>
      <c r="AS12288" s="1"/>
      <c r="AT12288" s="1"/>
      <c r="AU12288" s="1"/>
    </row>
    <row r="12289" spans="39:47" x14ac:dyDescent="0.2">
      <c r="AM12289" s="1"/>
      <c r="AN12289" s="1"/>
      <c r="AO12289" s="1"/>
      <c r="AP12289" s="1"/>
      <c r="AQ12289" s="1"/>
      <c r="AR12289" s="1"/>
      <c r="AS12289" s="1"/>
      <c r="AT12289" s="1"/>
      <c r="AU12289" s="1"/>
    </row>
    <row r="12290" spans="39:47" x14ac:dyDescent="0.2">
      <c r="AM12290" s="1"/>
      <c r="AN12290" s="1"/>
      <c r="AO12290" s="1"/>
      <c r="AP12290" s="1"/>
      <c r="AQ12290" s="1"/>
      <c r="AR12290" s="1"/>
      <c r="AS12290" s="1"/>
      <c r="AT12290" s="1"/>
      <c r="AU12290" s="1"/>
    </row>
    <row r="12291" spans="39:47" x14ac:dyDescent="0.2">
      <c r="AM12291" s="1"/>
      <c r="AN12291" s="1"/>
      <c r="AO12291" s="1"/>
      <c r="AP12291" s="1"/>
      <c r="AQ12291" s="1"/>
      <c r="AR12291" s="1"/>
      <c r="AS12291" s="1"/>
      <c r="AT12291" s="1"/>
      <c r="AU12291" s="1"/>
    </row>
    <row r="12292" spans="39:47" x14ac:dyDescent="0.2">
      <c r="AM12292" s="1"/>
      <c r="AN12292" s="1"/>
      <c r="AO12292" s="1"/>
      <c r="AP12292" s="1"/>
      <c r="AQ12292" s="1"/>
      <c r="AR12292" s="1"/>
      <c r="AS12292" s="1"/>
      <c r="AT12292" s="1"/>
      <c r="AU12292" s="1"/>
    </row>
    <row r="12293" spans="39:47" x14ac:dyDescent="0.2">
      <c r="AM12293" s="1"/>
      <c r="AN12293" s="1"/>
      <c r="AO12293" s="1"/>
      <c r="AP12293" s="1"/>
      <c r="AQ12293" s="1"/>
      <c r="AR12293" s="1"/>
      <c r="AS12293" s="1"/>
      <c r="AT12293" s="1"/>
      <c r="AU12293" s="1"/>
    </row>
    <row r="12294" spans="39:47" x14ac:dyDescent="0.2">
      <c r="AM12294" s="1"/>
      <c r="AN12294" s="1"/>
      <c r="AO12294" s="1"/>
      <c r="AP12294" s="1"/>
      <c r="AQ12294" s="1"/>
      <c r="AR12294" s="1"/>
      <c r="AS12294" s="1"/>
      <c r="AT12294" s="1"/>
      <c r="AU12294" s="1"/>
    </row>
    <row r="12295" spans="39:47" x14ac:dyDescent="0.2">
      <c r="AM12295" s="1"/>
      <c r="AN12295" s="1"/>
      <c r="AO12295" s="1"/>
      <c r="AP12295" s="1"/>
      <c r="AQ12295" s="1"/>
      <c r="AR12295" s="1"/>
      <c r="AS12295" s="1"/>
      <c r="AT12295" s="1"/>
      <c r="AU12295" s="1"/>
    </row>
    <row r="12296" spans="39:47" x14ac:dyDescent="0.2">
      <c r="AM12296" s="1"/>
      <c r="AN12296" s="1"/>
      <c r="AO12296" s="1"/>
      <c r="AP12296" s="1"/>
      <c r="AQ12296" s="1"/>
      <c r="AR12296" s="1"/>
      <c r="AS12296" s="1"/>
      <c r="AT12296" s="1"/>
      <c r="AU12296" s="1"/>
    </row>
    <row r="12297" spans="39:47" x14ac:dyDescent="0.2">
      <c r="AM12297" s="1"/>
      <c r="AN12297" s="1"/>
      <c r="AO12297" s="1"/>
      <c r="AP12297" s="1"/>
      <c r="AQ12297" s="1"/>
      <c r="AR12297" s="1"/>
      <c r="AS12297" s="1"/>
      <c r="AT12297" s="1"/>
      <c r="AU12297" s="1"/>
    </row>
    <row r="12298" spans="39:47" x14ac:dyDescent="0.2">
      <c r="AM12298" s="1"/>
      <c r="AN12298" s="1"/>
      <c r="AO12298" s="1"/>
      <c r="AP12298" s="1"/>
      <c r="AQ12298" s="1"/>
      <c r="AR12298" s="1"/>
      <c r="AS12298" s="1"/>
      <c r="AT12298" s="1"/>
      <c r="AU12298" s="1"/>
    </row>
    <row r="12299" spans="39:47" x14ac:dyDescent="0.2">
      <c r="AM12299" s="1"/>
      <c r="AN12299" s="1"/>
      <c r="AO12299" s="1"/>
      <c r="AP12299" s="1"/>
      <c r="AQ12299" s="1"/>
      <c r="AR12299" s="1"/>
      <c r="AS12299" s="1"/>
      <c r="AT12299" s="1"/>
      <c r="AU12299" s="1"/>
    </row>
    <row r="12300" spans="39:47" x14ac:dyDescent="0.2">
      <c r="AM12300" s="1"/>
      <c r="AN12300" s="1"/>
      <c r="AO12300" s="1"/>
      <c r="AP12300" s="1"/>
      <c r="AQ12300" s="1"/>
      <c r="AR12300" s="1"/>
      <c r="AS12300" s="1"/>
      <c r="AT12300" s="1"/>
      <c r="AU12300" s="1"/>
    </row>
    <row r="12301" spans="39:47" x14ac:dyDescent="0.2">
      <c r="AM12301" s="1"/>
      <c r="AN12301" s="1"/>
      <c r="AO12301" s="1"/>
      <c r="AP12301" s="1"/>
      <c r="AQ12301" s="1"/>
      <c r="AR12301" s="1"/>
      <c r="AS12301" s="1"/>
      <c r="AT12301" s="1"/>
      <c r="AU12301" s="1"/>
    </row>
    <row r="12302" spans="39:47" x14ac:dyDescent="0.2">
      <c r="AM12302" s="1"/>
      <c r="AN12302" s="1"/>
      <c r="AO12302" s="1"/>
      <c r="AP12302" s="1"/>
      <c r="AQ12302" s="1"/>
      <c r="AR12302" s="1"/>
      <c r="AS12302" s="1"/>
      <c r="AT12302" s="1"/>
      <c r="AU12302" s="1"/>
    </row>
    <row r="12303" spans="39:47" x14ac:dyDescent="0.2">
      <c r="AM12303" s="1"/>
      <c r="AN12303" s="1"/>
      <c r="AO12303" s="1"/>
      <c r="AP12303" s="1"/>
      <c r="AQ12303" s="1"/>
      <c r="AR12303" s="1"/>
      <c r="AS12303" s="1"/>
      <c r="AT12303" s="1"/>
      <c r="AU12303" s="1"/>
    </row>
    <row r="12304" spans="39:47" x14ac:dyDescent="0.2">
      <c r="AM12304" s="1"/>
      <c r="AN12304" s="1"/>
      <c r="AO12304" s="1"/>
      <c r="AP12304" s="1"/>
      <c r="AQ12304" s="1"/>
      <c r="AR12304" s="1"/>
      <c r="AS12304" s="1"/>
      <c r="AT12304" s="1"/>
      <c r="AU12304" s="1"/>
    </row>
    <row r="12305" spans="39:47" x14ac:dyDescent="0.2">
      <c r="AM12305" s="1"/>
      <c r="AN12305" s="1"/>
      <c r="AO12305" s="1"/>
      <c r="AP12305" s="1"/>
      <c r="AQ12305" s="1"/>
      <c r="AR12305" s="1"/>
      <c r="AS12305" s="1"/>
      <c r="AT12305" s="1"/>
      <c r="AU12305" s="1"/>
    </row>
    <row r="12306" spans="39:47" x14ac:dyDescent="0.2">
      <c r="AM12306" s="1"/>
      <c r="AN12306" s="1"/>
      <c r="AO12306" s="1"/>
      <c r="AP12306" s="1"/>
      <c r="AQ12306" s="1"/>
      <c r="AR12306" s="1"/>
      <c r="AS12306" s="1"/>
      <c r="AT12306" s="1"/>
      <c r="AU12306" s="1"/>
    </row>
    <row r="12307" spans="39:47" x14ac:dyDescent="0.2">
      <c r="AM12307" s="1"/>
      <c r="AN12307" s="1"/>
      <c r="AO12307" s="1"/>
      <c r="AP12307" s="1"/>
      <c r="AQ12307" s="1"/>
      <c r="AR12307" s="1"/>
      <c r="AS12307" s="1"/>
      <c r="AT12307" s="1"/>
      <c r="AU12307" s="1"/>
    </row>
    <row r="12308" spans="39:47" x14ac:dyDescent="0.2">
      <c r="AM12308" s="1"/>
      <c r="AN12308" s="1"/>
      <c r="AO12308" s="1"/>
      <c r="AP12308" s="1"/>
      <c r="AQ12308" s="1"/>
      <c r="AR12308" s="1"/>
      <c r="AS12308" s="1"/>
      <c r="AT12308" s="1"/>
      <c r="AU12308" s="1"/>
    </row>
    <row r="12309" spans="39:47" x14ac:dyDescent="0.2">
      <c r="AM12309" s="1"/>
      <c r="AN12309" s="1"/>
      <c r="AO12309" s="1"/>
      <c r="AP12309" s="1"/>
      <c r="AQ12309" s="1"/>
      <c r="AR12309" s="1"/>
      <c r="AS12309" s="1"/>
      <c r="AT12309" s="1"/>
      <c r="AU12309" s="1"/>
    </row>
    <row r="12310" spans="39:47" x14ac:dyDescent="0.2">
      <c r="AM12310" s="1"/>
      <c r="AN12310" s="1"/>
      <c r="AO12310" s="1"/>
      <c r="AP12310" s="1"/>
      <c r="AQ12310" s="1"/>
      <c r="AR12310" s="1"/>
      <c r="AS12310" s="1"/>
      <c r="AT12310" s="1"/>
      <c r="AU12310" s="1"/>
    </row>
    <row r="12311" spans="39:47" x14ac:dyDescent="0.2">
      <c r="AM12311" s="1"/>
      <c r="AN12311" s="1"/>
      <c r="AO12311" s="1"/>
      <c r="AP12311" s="1"/>
      <c r="AQ12311" s="1"/>
      <c r="AR12311" s="1"/>
      <c r="AS12311" s="1"/>
      <c r="AT12311" s="1"/>
      <c r="AU12311" s="1"/>
    </row>
    <row r="12312" spans="39:47" x14ac:dyDescent="0.2">
      <c r="AM12312" s="1"/>
      <c r="AN12312" s="1"/>
      <c r="AO12312" s="1"/>
      <c r="AP12312" s="1"/>
      <c r="AQ12312" s="1"/>
      <c r="AR12312" s="1"/>
      <c r="AS12312" s="1"/>
      <c r="AT12312" s="1"/>
      <c r="AU12312" s="1"/>
    </row>
    <row r="12313" spans="39:47" x14ac:dyDescent="0.2">
      <c r="AM12313" s="1"/>
      <c r="AN12313" s="1"/>
      <c r="AO12313" s="1"/>
      <c r="AP12313" s="1"/>
      <c r="AQ12313" s="1"/>
      <c r="AR12313" s="1"/>
      <c r="AS12313" s="1"/>
      <c r="AT12313" s="1"/>
      <c r="AU12313" s="1"/>
    </row>
    <row r="12314" spans="39:47" x14ac:dyDescent="0.2">
      <c r="AM12314" s="1"/>
      <c r="AN12314" s="1"/>
      <c r="AO12314" s="1"/>
      <c r="AP12314" s="1"/>
      <c r="AQ12314" s="1"/>
      <c r="AR12314" s="1"/>
      <c r="AS12314" s="1"/>
      <c r="AT12314" s="1"/>
      <c r="AU12314" s="1"/>
    </row>
    <row r="12315" spans="39:47" x14ac:dyDescent="0.2">
      <c r="AM12315" s="1"/>
      <c r="AN12315" s="1"/>
      <c r="AO12315" s="1"/>
      <c r="AP12315" s="1"/>
      <c r="AQ12315" s="1"/>
      <c r="AR12315" s="1"/>
      <c r="AS12315" s="1"/>
      <c r="AT12315" s="1"/>
      <c r="AU12315" s="1"/>
    </row>
    <row r="12316" spans="39:47" x14ac:dyDescent="0.2">
      <c r="AM12316" s="1"/>
      <c r="AN12316" s="1"/>
      <c r="AO12316" s="1"/>
      <c r="AP12316" s="1"/>
      <c r="AQ12316" s="1"/>
      <c r="AR12316" s="1"/>
      <c r="AS12316" s="1"/>
      <c r="AT12316" s="1"/>
      <c r="AU12316" s="1"/>
    </row>
    <row r="12317" spans="39:47" x14ac:dyDescent="0.2">
      <c r="AM12317" s="1"/>
      <c r="AN12317" s="1"/>
      <c r="AO12317" s="1"/>
      <c r="AP12317" s="1"/>
      <c r="AQ12317" s="1"/>
      <c r="AR12317" s="1"/>
      <c r="AS12317" s="1"/>
      <c r="AT12317" s="1"/>
      <c r="AU12317" s="1"/>
    </row>
    <row r="12318" spans="39:47" x14ac:dyDescent="0.2">
      <c r="AM12318" s="1"/>
      <c r="AN12318" s="1"/>
      <c r="AO12318" s="1"/>
      <c r="AP12318" s="1"/>
      <c r="AQ12318" s="1"/>
      <c r="AR12318" s="1"/>
      <c r="AS12318" s="1"/>
      <c r="AT12318" s="1"/>
      <c r="AU12318" s="1"/>
    </row>
    <row r="12319" spans="39:47" x14ac:dyDescent="0.2">
      <c r="AM12319" s="1"/>
      <c r="AN12319" s="1"/>
      <c r="AO12319" s="1"/>
      <c r="AP12319" s="1"/>
      <c r="AQ12319" s="1"/>
      <c r="AR12319" s="1"/>
      <c r="AS12319" s="1"/>
      <c r="AT12319" s="1"/>
      <c r="AU12319" s="1"/>
    </row>
    <row r="12320" spans="39:47" x14ac:dyDescent="0.2">
      <c r="AM12320" s="1"/>
      <c r="AN12320" s="1"/>
      <c r="AO12320" s="1"/>
      <c r="AP12320" s="1"/>
      <c r="AQ12320" s="1"/>
      <c r="AR12320" s="1"/>
      <c r="AS12320" s="1"/>
      <c r="AT12320" s="1"/>
      <c r="AU12320" s="1"/>
    </row>
    <row r="12321" spans="39:47" x14ac:dyDescent="0.2">
      <c r="AM12321" s="1"/>
      <c r="AN12321" s="1"/>
      <c r="AO12321" s="1"/>
      <c r="AP12321" s="1"/>
      <c r="AQ12321" s="1"/>
      <c r="AR12321" s="1"/>
      <c r="AS12321" s="1"/>
      <c r="AT12321" s="1"/>
      <c r="AU12321" s="1"/>
    </row>
    <row r="12322" spans="39:47" x14ac:dyDescent="0.2">
      <c r="AM12322" s="1"/>
      <c r="AN12322" s="1"/>
      <c r="AO12322" s="1"/>
      <c r="AP12322" s="1"/>
      <c r="AQ12322" s="1"/>
      <c r="AR12322" s="1"/>
      <c r="AS12322" s="1"/>
      <c r="AT12322" s="1"/>
      <c r="AU12322" s="1"/>
    </row>
    <row r="12323" spans="39:47" x14ac:dyDescent="0.2">
      <c r="AM12323" s="1"/>
      <c r="AN12323" s="1"/>
      <c r="AO12323" s="1"/>
      <c r="AP12323" s="1"/>
      <c r="AQ12323" s="1"/>
      <c r="AR12323" s="1"/>
      <c r="AS12323" s="1"/>
      <c r="AT12323" s="1"/>
      <c r="AU12323" s="1"/>
    </row>
    <row r="12324" spans="39:47" x14ac:dyDescent="0.2">
      <c r="AM12324" s="1"/>
      <c r="AN12324" s="1"/>
      <c r="AO12324" s="1"/>
      <c r="AP12324" s="1"/>
      <c r="AQ12324" s="1"/>
      <c r="AR12324" s="1"/>
      <c r="AS12324" s="1"/>
      <c r="AT12324" s="1"/>
      <c r="AU12324" s="1"/>
    </row>
    <row r="12325" spans="39:47" x14ac:dyDescent="0.2">
      <c r="AM12325" s="1"/>
      <c r="AN12325" s="1"/>
      <c r="AO12325" s="1"/>
      <c r="AP12325" s="1"/>
      <c r="AQ12325" s="1"/>
      <c r="AR12325" s="1"/>
      <c r="AS12325" s="1"/>
      <c r="AT12325" s="1"/>
      <c r="AU12325" s="1"/>
    </row>
    <row r="12326" spans="39:47" x14ac:dyDescent="0.2">
      <c r="AM12326" s="1"/>
      <c r="AN12326" s="1"/>
      <c r="AO12326" s="1"/>
      <c r="AP12326" s="1"/>
      <c r="AQ12326" s="1"/>
      <c r="AR12326" s="1"/>
      <c r="AS12326" s="1"/>
      <c r="AT12326" s="1"/>
      <c r="AU12326" s="1"/>
    </row>
    <row r="12327" spans="39:47" x14ac:dyDescent="0.2">
      <c r="AM12327" s="1"/>
      <c r="AN12327" s="1"/>
      <c r="AO12327" s="1"/>
      <c r="AP12327" s="1"/>
      <c r="AQ12327" s="1"/>
      <c r="AR12327" s="1"/>
      <c r="AS12327" s="1"/>
      <c r="AT12327" s="1"/>
      <c r="AU12327" s="1"/>
    </row>
    <row r="12328" spans="39:47" x14ac:dyDescent="0.2">
      <c r="AM12328" s="1"/>
      <c r="AN12328" s="1"/>
      <c r="AO12328" s="1"/>
      <c r="AP12328" s="1"/>
      <c r="AQ12328" s="1"/>
      <c r="AR12328" s="1"/>
      <c r="AS12328" s="1"/>
      <c r="AT12328" s="1"/>
      <c r="AU12328" s="1"/>
    </row>
    <row r="12329" spans="39:47" x14ac:dyDescent="0.2">
      <c r="AM12329" s="1"/>
      <c r="AN12329" s="1"/>
      <c r="AO12329" s="1"/>
      <c r="AP12329" s="1"/>
      <c r="AQ12329" s="1"/>
      <c r="AR12329" s="1"/>
      <c r="AS12329" s="1"/>
      <c r="AT12329" s="1"/>
      <c r="AU12329" s="1"/>
    </row>
    <row r="12330" spans="39:47" x14ac:dyDescent="0.2">
      <c r="AM12330" s="1"/>
      <c r="AN12330" s="1"/>
      <c r="AO12330" s="1"/>
      <c r="AP12330" s="1"/>
      <c r="AQ12330" s="1"/>
      <c r="AR12330" s="1"/>
      <c r="AS12330" s="1"/>
      <c r="AT12330" s="1"/>
      <c r="AU12330" s="1"/>
    </row>
    <row r="12331" spans="39:47" x14ac:dyDescent="0.2">
      <c r="AM12331" s="1"/>
      <c r="AN12331" s="1"/>
      <c r="AO12331" s="1"/>
      <c r="AP12331" s="1"/>
      <c r="AQ12331" s="1"/>
      <c r="AR12331" s="1"/>
      <c r="AS12331" s="1"/>
      <c r="AT12331" s="1"/>
      <c r="AU12331" s="1"/>
    </row>
    <row r="12332" spans="39:47" x14ac:dyDescent="0.2">
      <c r="AM12332" s="1"/>
      <c r="AN12332" s="1"/>
      <c r="AO12332" s="1"/>
      <c r="AP12332" s="1"/>
      <c r="AQ12332" s="1"/>
      <c r="AR12332" s="1"/>
      <c r="AS12332" s="1"/>
      <c r="AT12332" s="1"/>
      <c r="AU12332" s="1"/>
    </row>
    <row r="12333" spans="39:47" x14ac:dyDescent="0.2">
      <c r="AM12333" s="1"/>
      <c r="AN12333" s="1"/>
      <c r="AO12333" s="1"/>
      <c r="AP12333" s="1"/>
      <c r="AQ12333" s="1"/>
      <c r="AR12333" s="1"/>
      <c r="AS12333" s="1"/>
      <c r="AT12333" s="1"/>
      <c r="AU12333" s="1"/>
    </row>
    <row r="12334" spans="39:47" x14ac:dyDescent="0.2">
      <c r="AM12334" s="1"/>
      <c r="AN12334" s="1"/>
      <c r="AO12334" s="1"/>
      <c r="AP12334" s="1"/>
      <c r="AQ12334" s="1"/>
      <c r="AR12334" s="1"/>
      <c r="AS12334" s="1"/>
      <c r="AT12334" s="1"/>
      <c r="AU12334" s="1"/>
    </row>
    <row r="12335" spans="39:47" x14ac:dyDescent="0.2">
      <c r="AM12335" s="1"/>
      <c r="AN12335" s="1"/>
      <c r="AO12335" s="1"/>
      <c r="AP12335" s="1"/>
      <c r="AQ12335" s="1"/>
      <c r="AR12335" s="1"/>
      <c r="AS12335" s="1"/>
      <c r="AT12335" s="1"/>
      <c r="AU12335" s="1"/>
    </row>
    <row r="12336" spans="39:47" x14ac:dyDescent="0.2">
      <c r="AM12336" s="1"/>
      <c r="AN12336" s="1"/>
      <c r="AO12336" s="1"/>
      <c r="AP12336" s="1"/>
      <c r="AQ12336" s="1"/>
      <c r="AR12336" s="1"/>
      <c r="AS12336" s="1"/>
      <c r="AT12336" s="1"/>
      <c r="AU12336" s="1"/>
    </row>
    <row r="12337" spans="39:47" x14ac:dyDescent="0.2">
      <c r="AM12337" s="1"/>
      <c r="AN12337" s="1"/>
      <c r="AO12337" s="1"/>
      <c r="AP12337" s="1"/>
      <c r="AQ12337" s="1"/>
      <c r="AR12337" s="1"/>
      <c r="AS12337" s="1"/>
      <c r="AT12337" s="1"/>
      <c r="AU12337" s="1"/>
    </row>
    <row r="12338" spans="39:47" x14ac:dyDescent="0.2">
      <c r="AM12338" s="1"/>
      <c r="AN12338" s="1"/>
      <c r="AO12338" s="1"/>
      <c r="AP12338" s="1"/>
      <c r="AQ12338" s="1"/>
      <c r="AR12338" s="1"/>
      <c r="AS12338" s="1"/>
      <c r="AT12338" s="1"/>
      <c r="AU12338" s="1"/>
    </row>
    <row r="12339" spans="39:47" x14ac:dyDescent="0.2">
      <c r="AM12339" s="1"/>
      <c r="AN12339" s="1"/>
      <c r="AO12339" s="1"/>
      <c r="AP12339" s="1"/>
      <c r="AQ12339" s="1"/>
      <c r="AR12339" s="1"/>
      <c r="AS12339" s="1"/>
      <c r="AT12339" s="1"/>
      <c r="AU12339" s="1"/>
    </row>
    <row r="12340" spans="39:47" x14ac:dyDescent="0.2">
      <c r="AM12340" s="1"/>
      <c r="AN12340" s="1"/>
      <c r="AO12340" s="1"/>
      <c r="AP12340" s="1"/>
      <c r="AQ12340" s="1"/>
      <c r="AR12340" s="1"/>
      <c r="AS12340" s="1"/>
      <c r="AT12340" s="1"/>
      <c r="AU12340" s="1"/>
    </row>
  </sheetData>
  <sheetProtection algorithmName="SHA-512" hashValue="iGdm+JrEqOb0fItZcMwbdEZe57w1dhuwNmo9qcYTR7NNG1RWM512thcHlYbcfnvSSqPU4Hv9ZshjkRjDsRdKvw==" saltValue="jxX9I1zegRjKh8BBfYlJfQ==" spinCount="100000" sheet="1" objects="1" scenarios="1"/>
  <dataConsolidate/>
  <mergeCells count="21">
    <mergeCell ref="C29:G29"/>
    <mergeCell ref="C30:G30"/>
    <mergeCell ref="C28:E28"/>
    <mergeCell ref="C27:E27"/>
    <mergeCell ref="AM6:AQ7"/>
    <mergeCell ref="I26:AG26"/>
    <mergeCell ref="I24:AG24"/>
    <mergeCell ref="AP36:AU36"/>
    <mergeCell ref="AP35:AU35"/>
    <mergeCell ref="I28:AG28"/>
    <mergeCell ref="I29:AG29"/>
    <mergeCell ref="AM33:AS33"/>
    <mergeCell ref="AM34:AS34"/>
    <mergeCell ref="C4:E4"/>
    <mergeCell ref="C8:D8"/>
    <mergeCell ref="C6:E6"/>
    <mergeCell ref="H6:AJ6"/>
    <mergeCell ref="I27:AG27"/>
    <mergeCell ref="C26:E26"/>
    <mergeCell ref="I25:AG25"/>
    <mergeCell ref="F27:G27"/>
  </mergeCells>
  <phoneticPr fontId="5" type="noConversion"/>
  <conditionalFormatting sqref="C4:E4">
    <cfRule type="cellIs" dxfId="4" priority="9" stopIfTrue="1" operator="equal">
      <formula>"enter name"</formula>
    </cfRule>
    <cfRule type="cellIs" dxfId="3" priority="10" stopIfTrue="1" operator="notEqual">
      <formula>"enter name"</formula>
    </cfRule>
  </conditionalFormatting>
  <conditionalFormatting sqref="C6:E6">
    <cfRule type="cellIs" dxfId="2" priority="11" stopIfTrue="1" operator="equal">
      <formula>"enter dept name &amp; num"</formula>
    </cfRule>
    <cfRule type="cellIs" dxfId="1" priority="12" stopIfTrue="1" operator="notEqual">
      <formula>"enter dept name &amp; num"</formula>
    </cfRule>
  </conditionalFormatting>
  <conditionalFormatting sqref="C24">
    <cfRule type="cellIs" dxfId="0" priority="1" operator="greaterThan">
      <formula>5</formula>
    </cfRule>
  </conditionalFormatting>
  <dataValidations xWindow="179" yWindow="533" count="6">
    <dataValidation allowBlank="1" showInputMessage="1" showErrorMessage="1" promptTitle="Carry Over" prompt="Carry over days can be used up until 31DEC2022._x000a_" sqref="C24" xr:uid="{00000000-0002-0000-0000-000000000000}"/>
    <dataValidation type="list" allowBlank="1" showInputMessage="1" showErrorMessage="1" sqref="G9:AK21" xr:uid="{00000000-0002-0000-0000-000001000000}">
      <formula1>$H$30:$AC$30</formula1>
    </dataValidation>
    <dataValidation allowBlank="1" showInputMessage="1" showErrorMessage="1" promptTitle="User-Defined Codes" prompt="Z1-Z4, User editable fields, STD, LTD, Short term and Long Term disability and volunteering shown as examples.  All are editable so you can create your own definitions." sqref="AZ6" xr:uid="{00000000-0002-0000-0000-000002000000}"/>
    <dataValidation allowBlank="1" showInputMessage="1" showErrorMessage="1" promptTitle="User-Defined Codes" prompt="Z2-Z4, User editable fields, STD and volunteering shown as examples.  All are editable so you can create your own definitions." sqref="D16:D18" xr:uid="{00000000-0002-0000-0000-000003000000}"/>
    <dataValidation allowBlank="1" showErrorMessage="1" sqref="D15 D25" xr:uid="{6F73A0BA-E5B4-4D70-B2F4-3C8643B46E66}"/>
    <dataValidation allowBlank="1" showInputMessage="1" showErrorMessage="1" promptTitle="Flex Day" prompt="Permitted to be used any day of the year." sqref="C25" xr:uid="{07410C1F-7711-479C-9DEA-F0B4CBAC391C}"/>
  </dataValidations>
  <hyperlinks>
    <hyperlink ref="C27:D27" r:id="rId1" display="Holiday Policy" xr:uid="{00000000-0004-0000-0000-000000000000}"/>
    <hyperlink ref="C28:E28" r:id="rId2" display="Time Reporting" xr:uid="{00000000-0004-0000-0000-000003000000}"/>
    <hyperlink ref="C29:D29" r:id="rId3" display="Absence from Work policy" xr:uid="{00000000-0004-0000-0000-000004000000}"/>
    <hyperlink ref="C29:E29" r:id="rId4" display="Absence from Work policy" xr:uid="{00000000-0004-0000-0000-000005000000}"/>
    <hyperlink ref="C30:E30" r:id="rId5" display="Paid Time Off &amp; Leaves Guide (PDF)" xr:uid="{00000000-0004-0000-0000-000006000000}"/>
    <hyperlink ref="AM33" r:id="rId6" display="stevenkrotzer@gmail.com" xr:uid="{00000000-0004-0000-0000-000007000000}"/>
    <hyperlink ref="C27:E27" r:id="rId7" display="Holiday &amp; Vacation Policy" xr:uid="{00000000-0004-0000-0000-00000A000000}"/>
    <hyperlink ref="C29:G29" r:id="rId8" display="Paid Time Off &amp; Leaves of Absence Policy" xr:uid="{00000000-0004-0000-0000-00000B000000}"/>
    <hyperlink ref="AM33:AS33" r:id="rId9" display="ryan.riling@merck.com" xr:uid="{00000000-0004-0000-0000-00000C000000}"/>
    <hyperlink ref="C30:G30" r:id="rId10" display="Paid Time Off &amp; Leaves Guide (PDF)" xr:uid="{AAC24C5F-5574-4C5B-A508-C31A23D53C65}"/>
  </hyperlinks>
  <pageMargins left="0.5" right="0.5" top="1" bottom="1" header="0.5" footer="0.5"/>
  <pageSetup scale="66" orientation="landscape" r:id="rId11"/>
  <headerFooter alignWithMargins="0">
    <oddHeader>&amp;L&amp;"Calibri"&amp;12&amp;K00B294Proprietary&amp;1#</oddHeader>
  </headerFooter>
  <ignoredErrors>
    <ignoredError sqref="AM20 AO20:AU20" formula="1"/>
  </ignoredErrors>
  <drawing r:id="rId12"/>
  <legacyDrawing r:id="rId13"/>
  <controls>
    <mc:AlternateContent xmlns:mc="http://schemas.openxmlformats.org/markup-compatibility/2006">
      <mc:Choice Requires="x14">
        <control shapeId="1028" r:id="rId14" name="CommandButton1">
          <controlPr defaultSize="0" autoFill="0" autoLine="0" r:id="rId15">
            <anchor moveWithCells="1">
              <from>
                <xdr:col>38</xdr:col>
                <xdr:colOff>28575</xdr:colOff>
                <xdr:row>2</xdr:row>
                <xdr:rowOff>0</xdr:rowOff>
              </from>
              <to>
                <xdr:col>43</xdr:col>
                <xdr:colOff>142875</xdr:colOff>
                <xdr:row>5</xdr:row>
                <xdr:rowOff>123825</xdr:rowOff>
              </to>
            </anchor>
          </controlPr>
        </control>
      </mc:Choice>
      <mc:Fallback>
        <control shapeId="1028" r:id="rId1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6"/>
  </sheetPr>
  <dimension ref="B1:P35"/>
  <sheetViews>
    <sheetView showGridLines="0" zoomScale="70" zoomScaleNormal="70" workbookViewId="0"/>
  </sheetViews>
  <sheetFormatPr defaultRowHeight="12.75" x14ac:dyDescent="0.2"/>
  <cols>
    <col min="1" max="1" width="2.140625" customWidth="1"/>
    <col min="2" max="2" width="175.42578125" customWidth="1"/>
  </cols>
  <sheetData>
    <row r="1" spans="2:6" x14ac:dyDescent="0.2">
      <c r="C1" s="126"/>
      <c r="D1" s="126"/>
      <c r="E1" s="126"/>
      <c r="F1" s="126"/>
    </row>
    <row r="2" spans="2:6" s="131" customFormat="1" ht="18" x14ac:dyDescent="0.25">
      <c r="B2" s="132" t="s">
        <v>86</v>
      </c>
    </row>
    <row r="3" spans="2:6" s="131" customFormat="1" ht="15" x14ac:dyDescent="0.2">
      <c r="B3" s="133"/>
    </row>
    <row r="4" spans="2:6" ht="17.25" customHeight="1" x14ac:dyDescent="0.25">
      <c r="B4" s="134" t="s">
        <v>84</v>
      </c>
      <c r="C4" s="126"/>
      <c r="D4" s="126"/>
      <c r="E4" s="126"/>
      <c r="F4" s="126"/>
    </row>
    <row r="5" spans="2:6" ht="15" x14ac:dyDescent="0.2">
      <c r="B5" s="135" t="s">
        <v>59</v>
      </c>
      <c r="C5" s="126"/>
      <c r="D5" s="126"/>
      <c r="E5" s="126"/>
      <c r="F5" s="126"/>
    </row>
    <row r="6" spans="2:6" ht="15" x14ac:dyDescent="0.2">
      <c r="B6" s="135" t="s">
        <v>98</v>
      </c>
      <c r="C6" s="126"/>
      <c r="D6" s="126"/>
      <c r="E6" s="126"/>
      <c r="F6" s="126"/>
    </row>
    <row r="7" spans="2:6" s="131" customFormat="1" ht="15" x14ac:dyDescent="0.2">
      <c r="B7" s="133"/>
    </row>
    <row r="8" spans="2:6" ht="15.75" x14ac:dyDescent="0.25">
      <c r="B8" s="131" t="s">
        <v>99</v>
      </c>
    </row>
    <row r="9" spans="2:6" x14ac:dyDescent="0.2">
      <c r="B9" s="133"/>
    </row>
    <row r="10" spans="2:6" ht="15.75" x14ac:dyDescent="0.25">
      <c r="B10" s="136" t="s">
        <v>60</v>
      </c>
    </row>
    <row r="11" spans="2:6" ht="25.5" x14ac:dyDescent="0.2">
      <c r="B11" s="137" t="s">
        <v>61</v>
      </c>
    </row>
    <row r="12" spans="2:6" x14ac:dyDescent="0.2">
      <c r="B12" s="137"/>
    </row>
    <row r="13" spans="2:6" ht="38.25" x14ac:dyDescent="0.2">
      <c r="B13" s="138" t="s">
        <v>64</v>
      </c>
    </row>
    <row r="14" spans="2:6" x14ac:dyDescent="0.2">
      <c r="B14" s="137"/>
    </row>
    <row r="15" spans="2:6" ht="38.25" x14ac:dyDescent="0.2">
      <c r="B15" s="137" t="s">
        <v>62</v>
      </c>
    </row>
    <row r="16" spans="2:6" x14ac:dyDescent="0.2">
      <c r="B16" s="137"/>
    </row>
    <row r="17" spans="2:16" x14ac:dyDescent="0.2">
      <c r="B17" s="137" t="s">
        <v>83</v>
      </c>
    </row>
    <row r="18" spans="2:16" x14ac:dyDescent="0.2">
      <c r="B18" s="137"/>
    </row>
    <row r="19" spans="2:16" x14ac:dyDescent="0.2">
      <c r="B19" s="138" t="s">
        <v>65</v>
      </c>
    </row>
    <row r="20" spans="2:16" x14ac:dyDescent="0.2">
      <c r="B20" s="138"/>
    </row>
    <row r="21" spans="2:16" x14ac:dyDescent="0.2">
      <c r="B21" s="139" t="s">
        <v>87</v>
      </c>
    </row>
    <row r="22" spans="2:16" x14ac:dyDescent="0.2">
      <c r="B22" s="138"/>
    </row>
    <row r="23" spans="2:16" x14ac:dyDescent="0.2">
      <c r="B23" s="138" t="s">
        <v>63</v>
      </c>
    </row>
    <row r="24" spans="2:16" x14ac:dyDescent="0.2">
      <c r="B24" s="138" t="s">
        <v>79</v>
      </c>
    </row>
    <row r="25" spans="2:16" x14ac:dyDescent="0.2">
      <c r="B25" s="138" t="s">
        <v>88</v>
      </c>
    </row>
    <row r="26" spans="2:16" x14ac:dyDescent="0.2">
      <c r="B26" s="138" t="s">
        <v>89</v>
      </c>
    </row>
    <row r="27" spans="2:16" x14ac:dyDescent="0.2">
      <c r="B27" s="138" t="s">
        <v>90</v>
      </c>
    </row>
    <row r="28" spans="2:16" x14ac:dyDescent="0.2">
      <c r="B28" s="138"/>
      <c r="C28" s="126"/>
      <c r="D28" s="126"/>
      <c r="E28" s="126"/>
      <c r="F28" s="126"/>
    </row>
    <row r="29" spans="2:16" x14ac:dyDescent="0.2">
      <c r="B29" s="137"/>
      <c r="C29" s="126"/>
      <c r="D29" s="126"/>
      <c r="E29" s="126"/>
      <c r="F29" s="126"/>
      <c r="G29" s="126"/>
      <c r="H29" s="126"/>
      <c r="I29" s="126"/>
      <c r="J29" s="126"/>
      <c r="K29" s="126"/>
      <c r="L29" s="126"/>
      <c r="M29" s="126"/>
      <c r="N29" s="126"/>
      <c r="O29" s="126"/>
      <c r="P29" s="126"/>
    </row>
    <row r="30" spans="2:16" x14ac:dyDescent="0.2">
      <c r="B30" s="138"/>
      <c r="C30" s="126"/>
      <c r="D30" s="126"/>
      <c r="E30" s="126"/>
      <c r="F30" s="126"/>
      <c r="G30" s="126"/>
      <c r="H30" s="126"/>
      <c r="I30" s="126"/>
      <c r="J30" s="126"/>
      <c r="K30" s="126"/>
      <c r="L30" s="126"/>
      <c r="M30" s="126"/>
      <c r="N30" s="126"/>
      <c r="O30" s="126"/>
      <c r="P30" s="126"/>
    </row>
    <row r="31" spans="2:16" x14ac:dyDescent="0.2">
      <c r="B31" s="137"/>
      <c r="C31" s="130"/>
      <c r="D31" s="126"/>
      <c r="E31" s="126"/>
      <c r="F31" s="126"/>
      <c r="G31" s="126"/>
      <c r="H31" s="126"/>
      <c r="I31" s="126"/>
      <c r="J31" s="126"/>
      <c r="K31" s="130"/>
      <c r="L31" s="126"/>
      <c r="M31" s="126"/>
      <c r="N31" s="126"/>
      <c r="O31" s="126"/>
      <c r="P31" s="126"/>
    </row>
    <row r="32" spans="2:16" x14ac:dyDescent="0.2">
      <c r="B32" s="137"/>
    </row>
    <row r="33" spans="2:2" x14ac:dyDescent="0.2">
      <c r="B33" s="137"/>
    </row>
    <row r="34" spans="2:2" x14ac:dyDescent="0.2">
      <c r="B34" s="133"/>
    </row>
    <row r="35" spans="2:2" ht="23.25" x14ac:dyDescent="0.35">
      <c r="B35" s="140" t="s">
        <v>76</v>
      </c>
    </row>
  </sheetData>
  <phoneticPr fontId="5" type="noConversion"/>
  <pageMargins left="0.75" right="0.75" top="1" bottom="1" header="0.5" footer="0.5"/>
  <pageSetup orientation="portrait" r:id="rId1"/>
  <headerFooter alignWithMargins="0">
    <oddHeader>&amp;L&amp;"Calibri"&amp;12&amp;K00B294Proprietary&amp;1#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D4E5FA9A985349A92F32E61B3D5FE6" ma:contentTypeVersion="6" ma:contentTypeDescription="Create a new document." ma:contentTypeScope="" ma:versionID="93c9c20651816bc1ad5cb75b19dce64d">
  <xsd:schema xmlns:xsd="http://www.w3.org/2001/XMLSchema" xmlns:xs="http://www.w3.org/2001/XMLSchema" xmlns:p="http://schemas.microsoft.com/office/2006/metadata/properties" xmlns:ns1="http://schemas.microsoft.com/sharepoint/v3" xmlns:ns2="6b83d671-2f6b-4467-81c5-00145978ca6a" xmlns:ns3="d353fcf7-205b-40c5-a3af-4cf3a5e9c355" xmlns:ns4="88a0a090-ac65-4436-8289-125f786a40be" targetNamespace="http://schemas.microsoft.com/office/2006/metadata/properties" ma:root="true" ma:fieldsID="c794064e773245046f72bce9dd8de127" ns1:_="" ns2:_="" ns3:_="" ns4:_="">
    <xsd:import namespace="http://schemas.microsoft.com/sharepoint/v3"/>
    <xsd:import namespace="6b83d671-2f6b-4467-81c5-00145978ca6a"/>
    <xsd:import namespace="d353fcf7-205b-40c5-a3af-4cf3a5e9c355"/>
    <xsd:import namespace="88a0a090-ac65-4436-8289-125f786a40be"/>
    <xsd:element name="properties">
      <xsd:complexType>
        <xsd:sequence>
          <xsd:element name="documentManagement">
            <xsd:complexType>
              <xsd:all>
                <xsd:element ref="ns2:TaxKeywordTaxHTField" minOccurs="0"/>
                <xsd:element ref="ns3:TaxCatchAll" minOccurs="0"/>
                <xsd:element ref="ns4:NGTagNote"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2" nillable="true" ma:displayName="Rating (0-5)" ma:decimals="2" ma:description="Average value of all the ratings that have been submitted" ma:internalName="AverageRating" ma:readOnly="true">
      <xsd:simpleType>
        <xsd:restriction base="dms:Number"/>
      </xsd:simpleType>
    </xsd:element>
    <xsd:element name="RatingCount" ma:index="13"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6b83d671-2f6b-4467-81c5-00145978ca6a"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58d2a889-b29a-49b5-b5fb-ff07b77a57d2"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353fcf7-205b-40c5-a3af-4cf3a5e9c355"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7f58c25f-6415-4b31-bffa-406c0802fc71}" ma:internalName="TaxCatchAll" ma:showField="CatchAllData" ma:web="6b83d671-2f6b-4467-81c5-00145978ca6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8a0a090-ac65-4436-8289-125f786a40be" elementFormDefault="qualified">
    <xsd:import namespace="http://schemas.microsoft.com/office/2006/documentManagement/types"/>
    <xsd:import namespace="http://schemas.microsoft.com/office/infopath/2007/PartnerControls"/>
    <xsd:element name="NGTagNote" ma:index="11"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6b83d671-2f6b-4467-81c5-00145978ca6a">
      <Terms xmlns="http://schemas.microsoft.com/office/infopath/2007/PartnerControls"/>
    </TaxKeywordTaxHTField>
    <NGTagNote xmlns="88a0a090-ac65-4436-8289-125f786a40be" xsi:nil="true"/>
    <TaxCatchAll xmlns="d353fcf7-205b-40c5-a3af-4cf3a5e9c355"/>
  </documentManagement>
</p:properties>
</file>

<file path=customXml/item3.xml><?xml version="1.0" encoding="utf-8"?>
<sisl xmlns:xsi="http://www.w3.org/2001/XMLSchema-instance" xmlns:xsd="http://www.w3.org/2001/XMLSchema" xmlns="http://www.boldonjames.com/2008/01/sie/internal/label" sislVersion="0" policy="a10f9ac0-5937-4b4f-b459-96aedd9ed2c5" origin="userSelected">
  <element uid="9920fcc9-9f43-4d43-9e3e-b98a219cfd55" value=""/>
</sis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170198-05D1-4321-9AC3-0E33905030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b83d671-2f6b-4467-81c5-00145978ca6a"/>
    <ds:schemaRef ds:uri="d353fcf7-205b-40c5-a3af-4cf3a5e9c355"/>
    <ds:schemaRef ds:uri="88a0a090-ac65-4436-8289-125f786a40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1B14F84-D9E8-46F6-9F2C-621B6A97D47F}">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88a0a090-ac65-4436-8289-125f786a40be"/>
    <ds:schemaRef ds:uri="http://purl.org/dc/elements/1.1/"/>
    <ds:schemaRef ds:uri="http://schemas.microsoft.com/office/2006/metadata/properties"/>
    <ds:schemaRef ds:uri="6b83d671-2f6b-4467-81c5-00145978ca6a"/>
    <ds:schemaRef ds:uri="http://schemas.microsoft.com/sharepoint/v3"/>
    <ds:schemaRef ds:uri="d353fcf7-205b-40c5-a3af-4cf3a5e9c355"/>
    <ds:schemaRef ds:uri="http://www.w3.org/XML/1998/namespace"/>
  </ds:schemaRefs>
</ds:datastoreItem>
</file>

<file path=customXml/itemProps3.xml><?xml version="1.0" encoding="utf-8"?>
<ds:datastoreItem xmlns:ds="http://schemas.openxmlformats.org/officeDocument/2006/customXml" ds:itemID="{40F50A2A-EFA8-4787-AC7F-0B92FB019737}">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883C1933-D09D-4E41-B90F-3CE5DF3C7A8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Attendance</vt:lpstr>
      <vt:lpstr>Quick Ref Guide</vt:lpstr>
      <vt:lpstr>calendar</vt:lpstr>
      <vt:lpstr>codes</vt:lpstr>
      <vt:lpstr>Attendance!fixed</vt:lpstr>
      <vt:lpstr>Attendance!Print_Area</vt:lpstr>
    </vt:vector>
  </TitlesOfParts>
  <Company>Merck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Riling</dc:creator>
  <cp:lastModifiedBy>Ryan</cp:lastModifiedBy>
  <cp:lastPrinted>2013-11-28T11:30:51Z</cp:lastPrinted>
  <dcterms:created xsi:type="dcterms:W3CDTF">2000-08-14T17:11:16Z</dcterms:created>
  <dcterms:modified xsi:type="dcterms:W3CDTF">2021-12-22T18:30:20Z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1723130593</vt:i4>
  </property>
  <property fmtid="{D5CDD505-2E9C-101B-9397-08002B2CF9AE}" pid="3" name="_EmailSubject">
    <vt:lpwstr>Vacation Tracker</vt:lpwstr>
  </property>
  <property fmtid="{D5CDD505-2E9C-101B-9397-08002B2CF9AE}" pid="4" name="_AuthorEmail">
    <vt:lpwstr>ryan_riling@merck.com</vt:lpwstr>
  </property>
  <property fmtid="{D5CDD505-2E9C-101B-9397-08002B2CF9AE}" pid="5" name="_NewReviewCycle">
    <vt:lpwstr/>
  </property>
  <property fmtid="{D5CDD505-2E9C-101B-9397-08002B2CF9AE}" pid="6" name="_PreviousAdHocReviewCycleID">
    <vt:i4>-136162130</vt:i4>
  </property>
  <property fmtid="{D5CDD505-2E9C-101B-9397-08002B2CF9AE}" pid="7" name="_Author">
    <vt:lpwstr>Krotzer, Steven C</vt:lpwstr>
  </property>
  <property fmtid="{D5CDD505-2E9C-101B-9397-08002B2CF9AE}" pid="8" name="_AuthorEmailDisplayName">
    <vt:lpwstr>Riling, Ryan J</vt:lpwstr>
  </property>
  <property fmtid="{D5CDD505-2E9C-101B-9397-08002B2CF9AE}" pid="9" name="_ReviewingToolsShownOnce">
    <vt:lpwstr/>
  </property>
  <property fmtid="{D5CDD505-2E9C-101B-9397-08002B2CF9AE}" pid="10" name="ContentTypeId">
    <vt:lpwstr>0x0101001FD4E5FA9A985349A92F32E61B3D5FE6</vt:lpwstr>
  </property>
  <property fmtid="{D5CDD505-2E9C-101B-9397-08002B2CF9AE}" pid="11" name="TaxKeyword">
    <vt:lpwstr/>
  </property>
  <property fmtid="{D5CDD505-2E9C-101B-9397-08002B2CF9AE}" pid="12" name="docIndexRef">
    <vt:lpwstr>1fdbca81-8ba0-4077-b574-c5ca2003786f</vt:lpwstr>
  </property>
  <property fmtid="{D5CDD505-2E9C-101B-9397-08002B2CF9AE}" pid="13" name="bjSaver">
    <vt:lpwstr>ox0cr926USfXD7PyJSsKZ44Y+bPVlXB9</vt:lpwstr>
  </property>
  <property fmtid="{D5CDD505-2E9C-101B-9397-08002B2CF9AE}" pid="14" name="bjDocumentSecurityLabel">
    <vt:lpwstr>Not Classified</vt:lpwstr>
  </property>
  <property fmtid="{D5CDD505-2E9C-101B-9397-08002B2CF9AE}" pid="15" name="bjDocumentLabelXML">
    <vt:lpwstr>&lt;?xml version="1.0" encoding="us-ascii"?&gt;&lt;sisl xmlns:xsi="http://www.w3.org/2001/XMLSchema-instance" xmlns:xsd="http://www.w3.org/2001/XMLSchema" sislVersion="0" policy="a10f9ac0-5937-4b4f-b459-96aedd9ed2c5" origin="userSelected" xmlns="http://www.boldonj</vt:lpwstr>
  </property>
  <property fmtid="{D5CDD505-2E9C-101B-9397-08002B2CF9AE}" pid="16" name="bjDocumentLabelXML-0">
    <vt:lpwstr>ames.com/2008/01/sie/internal/label"&gt;&lt;element uid="9920fcc9-9f43-4d43-9e3e-b98a219cfd55" value="" /&gt;&lt;/sisl&gt;</vt:lpwstr>
  </property>
  <property fmtid="{D5CDD505-2E9C-101B-9397-08002B2CF9AE}" pid="17" name="MSIP_Label_927fd646-07cb-4c4e-a107-4e4d6b30ba1b_Enabled">
    <vt:lpwstr>true</vt:lpwstr>
  </property>
  <property fmtid="{D5CDD505-2E9C-101B-9397-08002B2CF9AE}" pid="18" name="MSIP_Label_927fd646-07cb-4c4e-a107-4e4d6b30ba1b_SetDate">
    <vt:lpwstr>2021-12-17T13:07:06Z</vt:lpwstr>
  </property>
  <property fmtid="{D5CDD505-2E9C-101B-9397-08002B2CF9AE}" pid="19" name="MSIP_Label_927fd646-07cb-4c4e-a107-4e4d6b30ba1b_Method">
    <vt:lpwstr>Privileged</vt:lpwstr>
  </property>
  <property fmtid="{D5CDD505-2E9C-101B-9397-08002B2CF9AE}" pid="20" name="MSIP_Label_927fd646-07cb-4c4e-a107-4e4d6b30ba1b_Name">
    <vt:lpwstr>927fd646-07cb-4c4e-a107-4e4d6b30ba1b</vt:lpwstr>
  </property>
  <property fmtid="{D5CDD505-2E9C-101B-9397-08002B2CF9AE}" pid="21" name="MSIP_Label_927fd646-07cb-4c4e-a107-4e4d6b30ba1b_SiteId">
    <vt:lpwstr>a00de4ec-48a8-43a6-be74-e31274e2060d</vt:lpwstr>
  </property>
  <property fmtid="{D5CDD505-2E9C-101B-9397-08002B2CF9AE}" pid="22" name="MSIP_Label_927fd646-07cb-4c4e-a107-4e4d6b30ba1b_ActionId">
    <vt:lpwstr>59bdb925-d9e7-48b8-b317-cfb24655e6fe</vt:lpwstr>
  </property>
  <property fmtid="{D5CDD505-2E9C-101B-9397-08002B2CF9AE}" pid="23" name="MSIP_Label_927fd646-07cb-4c4e-a107-4e4d6b30ba1b_ContentBits">
    <vt:lpwstr>1</vt:lpwstr>
  </property>
  <property fmtid="{D5CDD505-2E9C-101B-9397-08002B2CF9AE}" pid="24" name="MerckAIPLabel">
    <vt:lpwstr>Proprietary</vt:lpwstr>
  </property>
  <property fmtid="{D5CDD505-2E9C-101B-9397-08002B2CF9AE}" pid="25" name="MerckAIPDataExchange">
    <vt:lpwstr>!MRKMIP@Proprietary</vt:lpwstr>
  </property>
</Properties>
</file>