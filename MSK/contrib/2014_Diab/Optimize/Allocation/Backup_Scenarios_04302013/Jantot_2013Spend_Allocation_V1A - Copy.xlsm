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5" windowWidth="15570" windowHeight="7410" tabRatio="906"/>
  </bookViews>
  <sheets>
    <sheet name="Charts - Idvl" sheetId="35" r:id="rId1"/>
    <sheet name="Chart - Combined" sheetId="36" r:id="rId2"/>
    <sheet name="JJ_Notes_1" sheetId="24" r:id="rId3"/>
    <sheet name="JJ_Optim_Scenario" sheetId="23" r:id="rId4"/>
    <sheet name="JANSample" sheetId="25" r:id="rId5"/>
    <sheet name="JMTSample" sheetId="26" r:id="rId6"/>
    <sheet name="TOTSample" sheetId="27" r:id="rId7"/>
    <sheet name="JJVCH" sheetId="29" r:id="rId8"/>
    <sheet name="JJMMF" sheetId="30" r:id="rId9"/>
    <sheet name="JJHCC" sheetId="31" r:id="rId10"/>
    <sheet name="JJMCM" sheetId="32" r:id="rId11"/>
    <sheet name="JJHCC_ACQ" sheetId="33" r:id="rId12"/>
    <sheet name="JJHCC_ADH" sheetId="34" r:id="rId13"/>
    <sheet name="Fn.Templates ==&gt;" sheetId="3" r:id="rId14"/>
    <sheet name="FT_SCurveEst" sheetId="2" r:id="rId15"/>
    <sheet name="FT_Equation" sheetId="4" r:id="rId16"/>
    <sheet name="FT_Interpolate" sheetId="5" r:id="rId17"/>
    <sheet name="FT_SCurve3Est" sheetId="13" r:id="rId18"/>
  </sheets>
  <functionGroups builtInGroupCount="17"/>
  <externalReferences>
    <externalReference r:id="rId19"/>
  </externalReferences>
  <definedNames>
    <definedName name="solver_adj" localSheetId="3" hidden="1">JJ_Optim_Scenario!$I$17:$I$24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JJ_Optim_Scenario!$I$17:$I$24</definedName>
    <definedName name="solver_lhs2" localSheetId="3" hidden="1">JJ_Optim_Scenario!$I$17:$I$24</definedName>
    <definedName name="solver_lhs3" localSheetId="3" hidden="1">JJ_Optim_Scenario!$I$25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3</definedName>
    <definedName name="solver_nwt" localSheetId="3" hidden="1">1</definedName>
    <definedName name="solver_opt" localSheetId="3" hidden="1">JJ_Optim_Scenario!$B$9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2</definedName>
    <definedName name="solver_rhs1" localSheetId="3" hidden="1">JJ_Optim_Scenario!$H$17:$H$24</definedName>
    <definedName name="solver_rhs2" localSheetId="3" hidden="1">JJ_Optim_Scenario!$G$17:$G$24</definedName>
    <definedName name="solver_rhs3" localSheetId="3" hidden="1">JJ_Optim_Scenario!$B$12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B9" i="29" l="1"/>
  <c r="J45" i="23" l="1"/>
  <c r="J44" i="23"/>
  <c r="J43" i="23"/>
  <c r="E23" i="34" l="1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22" i="34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22" i="33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22" i="32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22" i="31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30" i="30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23" i="29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23" i="26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D9" i="29"/>
  <c r="C9" i="29"/>
  <c r="D9" i="26"/>
  <c r="D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G9" i="25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H42" i="23" l="1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H24" i="23"/>
  <c r="G24" i="23"/>
  <c r="K23" i="23"/>
  <c r="H23" i="23"/>
  <c r="G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H9" i="33"/>
  <c r="I9" i="33" s="1"/>
  <c r="F23" i="23" s="1"/>
  <c r="F40" i="23" s="1"/>
  <c r="G40" i="23" s="1"/>
  <c r="E9" i="33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J9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B23" i="29"/>
  <c r="A23" i="29"/>
  <c r="C23" i="29" s="1"/>
  <c r="I9" i="29"/>
  <c r="F19" i="23" s="1"/>
  <c r="F36" i="23" s="1"/>
  <c r="G36" i="23" s="1"/>
  <c r="H9" i="29"/>
  <c r="F9" i="29"/>
  <c r="J19" i="23" s="1"/>
  <c r="I36" i="23" s="1"/>
  <c r="J36" i="23" s="1"/>
  <c r="E9" i="29"/>
  <c r="A24" i="27"/>
  <c r="A25" i="27" s="1"/>
  <c r="B23" i="27"/>
  <c r="A23" i="27"/>
  <c r="C23" i="27" s="1"/>
  <c r="I9" i="27"/>
  <c r="H9" i="27"/>
  <c r="F9" i="27"/>
  <c r="E9" i="27"/>
  <c r="A23" i="26"/>
  <c r="B23" i="26" s="1"/>
  <c r="I9" i="26"/>
  <c r="F18" i="23" s="1"/>
  <c r="H9" i="26"/>
  <c r="F9" i="26"/>
  <c r="J18" i="23" s="1"/>
  <c r="I35" i="23" s="1"/>
  <c r="J35" i="23" s="1"/>
  <c r="E9" i="26"/>
  <c r="B24" i="25"/>
  <c r="C24" i="25"/>
  <c r="B25" i="25"/>
  <c r="C25" i="25"/>
  <c r="B26" i="25"/>
  <c r="C26" i="25"/>
  <c r="B27" i="25"/>
  <c r="C27" i="25"/>
  <c r="B28" i="25"/>
  <c r="C28" i="25"/>
  <c r="B29" i="25"/>
  <c r="C29" i="25"/>
  <c r="B30" i="25"/>
  <c r="C30" i="25"/>
  <c r="B31" i="25"/>
  <c r="C31" i="25"/>
  <c r="B32" i="25"/>
  <c r="C32" i="25"/>
  <c r="B33" i="25"/>
  <c r="C33" i="25"/>
  <c r="B34" i="25"/>
  <c r="C34" i="25"/>
  <c r="B35" i="25"/>
  <c r="C35" i="25"/>
  <c r="B36" i="25"/>
  <c r="C36" i="25"/>
  <c r="B37" i="25"/>
  <c r="C37" i="25"/>
  <c r="B38" i="25"/>
  <c r="C38" i="25"/>
  <c r="B39" i="25"/>
  <c r="C39" i="25"/>
  <c r="B40" i="25"/>
  <c r="C40" i="25"/>
  <c r="B41" i="25"/>
  <c r="C41" i="25"/>
  <c r="B42" i="25"/>
  <c r="C42" i="25"/>
  <c r="B43" i="25"/>
  <c r="C43" i="25"/>
  <c r="C23" i="25"/>
  <c r="B23" i="25"/>
  <c r="I9" i="25"/>
  <c r="H9" i="25"/>
  <c r="F9" i="25"/>
  <c r="J17" i="23" s="1"/>
  <c r="I34" i="23" s="1"/>
  <c r="J34" i="23" s="1"/>
  <c r="E9" i="25"/>
  <c r="A24" i="25"/>
  <c r="A25" i="25" s="1"/>
  <c r="A23" i="25"/>
  <c r="K22" i="23"/>
  <c r="H22" i="23"/>
  <c r="G22" i="23"/>
  <c r="K21" i="23"/>
  <c r="H21" i="23"/>
  <c r="G21" i="23"/>
  <c r="K20" i="23"/>
  <c r="H20" i="23"/>
  <c r="C9" i="30" s="1"/>
  <c r="G20" i="23"/>
  <c r="B9" i="30" s="1"/>
  <c r="K19" i="23"/>
  <c r="H19" i="23"/>
  <c r="G19" i="23"/>
  <c r="K18" i="23"/>
  <c r="H18" i="23"/>
  <c r="C9" i="26" s="1"/>
  <c r="G18" i="23"/>
  <c r="B9" i="26" s="1"/>
  <c r="K17" i="23"/>
  <c r="H17" i="23"/>
  <c r="C9" i="25" s="1"/>
  <c r="G17" i="23"/>
  <c r="B9" i="25" s="1"/>
  <c r="H14" i="30" a="1"/>
  <c r="J9" i="25" l="1"/>
  <c r="F17" i="23"/>
  <c r="F34" i="23" s="1"/>
  <c r="G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I39" i="23" s="1"/>
  <c r="J39" i="23" s="1"/>
  <c r="B42" i="32"/>
  <c r="B38" i="32"/>
  <c r="B34" i="32"/>
  <c r="B30" i="32"/>
  <c r="B26" i="32"/>
  <c r="B22" i="32"/>
  <c r="C22" i="32" s="1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C22" i="34" s="1"/>
  <c r="E9" i="34"/>
  <c r="F9" i="34" s="1"/>
  <c r="J24" i="23" s="1"/>
  <c r="I41" i="23" s="1"/>
  <c r="J41" i="23" s="1"/>
  <c r="H9" i="34"/>
  <c r="I9" i="34" s="1"/>
  <c r="C22" i="33"/>
  <c r="F9" i="33"/>
  <c r="J23" i="23" s="1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C24" i="29"/>
  <c r="A26" i="29"/>
  <c r="C25" i="29"/>
  <c r="B25" i="29"/>
  <c r="B24" i="29"/>
  <c r="C24" i="27"/>
  <c r="A26" i="27"/>
  <c r="C25" i="27"/>
  <c r="B25" i="27"/>
  <c r="B24" i="27"/>
  <c r="C23" i="26"/>
  <c r="A24" i="26"/>
  <c r="A26" i="25"/>
  <c r="B32" i="30"/>
  <c r="B31" i="30"/>
  <c r="E9" i="30"/>
  <c r="B30" i="30"/>
  <c r="H9" i="30"/>
  <c r="L21" i="23" l="1"/>
  <c r="N21" i="23" s="1"/>
  <c r="I40" i="23"/>
  <c r="J40" i="23" s="1"/>
  <c r="L40" i="23" s="1"/>
  <c r="N40" i="23" s="1"/>
  <c r="L23" i="23"/>
  <c r="N23" i="23" s="1"/>
  <c r="F22" i="23"/>
  <c r="J9" i="32"/>
  <c r="J9" i="34"/>
  <c r="F24" i="23"/>
  <c r="L35" i="23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B26" i="29"/>
  <c r="A27" i="29"/>
  <c r="C26" i="29"/>
  <c r="B26" i="27"/>
  <c r="A27" i="27"/>
  <c r="C26" i="27"/>
  <c r="C24" i="26"/>
  <c r="B24" i="26"/>
  <c r="A25" i="26"/>
  <c r="A27" i="25"/>
  <c r="B33" i="30"/>
  <c r="N35" i="23" l="1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F37" i="23" s="1"/>
  <c r="G37" i="23" s="1"/>
  <c r="C33" i="30"/>
  <c r="A34" i="30"/>
  <c r="C27" i="29"/>
  <c r="B27" i="29"/>
  <c r="A28" i="29"/>
  <c r="C27" i="27"/>
  <c r="B27" i="27"/>
  <c r="A28" i="27"/>
  <c r="A26" i="26"/>
  <c r="C25" i="26"/>
  <c r="B25" i="26"/>
  <c r="A28" i="25"/>
  <c r="B34" i="30"/>
  <c r="G43" i="23" l="1"/>
  <c r="G44" i="23"/>
  <c r="G45" i="23"/>
  <c r="F25" i="23"/>
  <c r="L20" i="23"/>
  <c r="C34" i="30"/>
  <c r="A35" i="30"/>
  <c r="A29" i="29"/>
  <c r="C28" i="29"/>
  <c r="B28" i="29"/>
  <c r="A29" i="27"/>
  <c r="C28" i="27"/>
  <c r="B28" i="27"/>
  <c r="A27" i="26"/>
  <c r="C26" i="26"/>
  <c r="B26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N20" i="23" l="1"/>
  <c r="L37" i="23"/>
  <c r="G42" i="23"/>
  <c r="C35" i="30"/>
  <c r="A36" i="30"/>
  <c r="A30" i="29"/>
  <c r="C29" i="29"/>
  <c r="B29" i="29"/>
  <c r="A30" i="27"/>
  <c r="C29" i="27"/>
  <c r="B29" i="27"/>
  <c r="B27" i="26"/>
  <c r="A28" i="26"/>
  <c r="C27" i="26"/>
  <c r="A30" i="25"/>
  <c r="N12" i="13"/>
  <c r="O12" i="13"/>
  <c r="B36" i="30"/>
  <c r="N37" i="23" l="1"/>
  <c r="L43" i="23"/>
  <c r="L44" i="23"/>
  <c r="L45" i="23"/>
  <c r="L42" i="23"/>
  <c r="C36" i="30"/>
  <c r="A37" i="30"/>
  <c r="B30" i="29"/>
  <c r="A31" i="29"/>
  <c r="C30" i="29"/>
  <c r="B30" i="27"/>
  <c r="A31" i="27"/>
  <c r="C30" i="27"/>
  <c r="C28" i="26"/>
  <c r="B28" i="26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M44" i="23" l="1"/>
  <c r="M43" i="23"/>
  <c r="M45" i="23"/>
  <c r="N42" i="23"/>
  <c r="C37" i="30"/>
  <c r="A38" i="30"/>
  <c r="C31" i="29"/>
  <c r="B31" i="29"/>
  <c r="A32" i="29"/>
  <c r="C31" i="27"/>
  <c r="B31" i="27"/>
  <c r="A32" i="27"/>
  <c r="A30" i="26"/>
  <c r="C29" i="26"/>
  <c r="B29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3" i="23" l="1"/>
  <c r="N44" i="23"/>
  <c r="N45" i="23"/>
  <c r="B9" i="23"/>
  <c r="J25" i="23"/>
  <c r="L18" i="23"/>
  <c r="C38" i="30"/>
  <c r="A39" i="30"/>
  <c r="A33" i="29"/>
  <c r="C32" i="29"/>
  <c r="B32" i="29"/>
  <c r="A33" i="27"/>
  <c r="C32" i="27"/>
  <c r="B32" i="27"/>
  <c r="A31" i="26"/>
  <c r="C30" i="26"/>
  <c r="B30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N18" i="23" l="1"/>
  <c r="L25" i="23"/>
  <c r="N25" i="23" s="1"/>
  <c r="C39" i="30"/>
  <c r="A40" i="30"/>
  <c r="A34" i="29"/>
  <c r="C33" i="29"/>
  <c r="B33" i="29"/>
  <c r="A34" i="27"/>
  <c r="C33" i="27"/>
  <c r="B33" i="27"/>
  <c r="B31" i="26"/>
  <c r="A32" i="26"/>
  <c r="C31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B34" i="29"/>
  <c r="A35" i="29"/>
  <c r="C34" i="29"/>
  <c r="B34" i="27"/>
  <c r="A35" i="27"/>
  <c r="C34" i="27"/>
  <c r="C32" i="26"/>
  <c r="B32" i="26"/>
  <c r="A33" i="26"/>
  <c r="A35" i="25"/>
  <c r="B41" i="30"/>
  <c r="C41" i="30" l="1"/>
  <c r="A42" i="30"/>
  <c r="C35" i="29"/>
  <c r="B35" i="29"/>
  <c r="A36" i="29"/>
  <c r="C35" i="27"/>
  <c r="B35" i="27"/>
  <c r="A36" i="27"/>
  <c r="A34" i="26"/>
  <c r="C33" i="26"/>
  <c r="B33" i="26"/>
  <c r="A36" i="25"/>
  <c r="B42" i="30"/>
  <c r="C42" i="30" l="1"/>
  <c r="A43" i="30"/>
  <c r="A37" i="29"/>
  <c r="C36" i="29"/>
  <c r="B36" i="29"/>
  <c r="A37" i="27"/>
  <c r="C36" i="27"/>
  <c r="B36" i="27"/>
  <c r="A35" i="26"/>
  <c r="C34" i="26"/>
  <c r="B34" i="26"/>
  <c r="A37" i="25"/>
  <c r="B43" i="30"/>
  <c r="C43" i="30" l="1"/>
  <c r="A44" i="30"/>
  <c r="A38" i="29"/>
  <c r="C37" i="29"/>
  <c r="B37" i="29"/>
  <c r="A38" i="27"/>
  <c r="C37" i="27"/>
  <c r="B37" i="27"/>
  <c r="B35" i="26"/>
  <c r="A36" i="26"/>
  <c r="C35" i="26"/>
  <c r="A38" i="25"/>
  <c r="B44" i="30"/>
  <c r="C44" i="30" l="1"/>
  <c r="A45" i="30"/>
  <c r="B38" i="29"/>
  <c r="A39" i="29"/>
  <c r="C38" i="29"/>
  <c r="B38" i="27"/>
  <c r="A39" i="27"/>
  <c r="C38" i="27"/>
  <c r="C36" i="26"/>
  <c r="B36" i="26"/>
  <c r="A37" i="26"/>
  <c r="A39" i="25"/>
  <c r="B45" i="30"/>
  <c r="C45" i="30" l="1"/>
  <c r="A46" i="30"/>
  <c r="C39" i="29"/>
  <c r="B39" i="29"/>
  <c r="A40" i="29"/>
  <c r="C39" i="27"/>
  <c r="B39" i="27"/>
  <c r="A40" i="27"/>
  <c r="A38" i="26"/>
  <c r="C37" i="26"/>
  <c r="B37" i="26"/>
  <c r="A40" i="25"/>
  <c r="B46" i="30"/>
  <c r="C46" i="30" l="1"/>
  <c r="A47" i="30"/>
  <c r="A41" i="29"/>
  <c r="C40" i="29"/>
  <c r="B40" i="29"/>
  <c r="A41" i="27"/>
  <c r="C40" i="27"/>
  <c r="B40" i="27"/>
  <c r="A39" i="26"/>
  <c r="C38" i="26"/>
  <c r="B38" i="26"/>
  <c r="A41" i="25"/>
  <c r="B47" i="30"/>
  <c r="C47" i="30" l="1"/>
  <c r="A48" i="30"/>
  <c r="A42" i="29"/>
  <c r="C41" i="29"/>
  <c r="B41" i="29"/>
  <c r="A42" i="27"/>
  <c r="C41" i="27"/>
  <c r="B41" i="27"/>
  <c r="B39" i="26"/>
  <c r="A40" i="26"/>
  <c r="C39" i="26"/>
  <c r="A42" i="25"/>
  <c r="B48" i="30"/>
  <c r="C48" i="30" l="1"/>
  <c r="A49" i="30"/>
  <c r="B42" i="29"/>
  <c r="A43" i="29"/>
  <c r="C42" i="29"/>
  <c r="B42" i="27"/>
  <c r="A43" i="27"/>
  <c r="C42" i="27"/>
  <c r="C40" i="26"/>
  <c r="B40" i="26"/>
  <c r="A41" i="26"/>
  <c r="A43" i="25"/>
  <c r="B49" i="30"/>
  <c r="C49" i="30" l="1"/>
  <c r="A50" i="30"/>
  <c r="C43" i="29"/>
  <c r="B43" i="29"/>
  <c r="C43" i="27"/>
  <c r="B43" i="27"/>
  <c r="A42" i="26"/>
  <c r="C41" i="26"/>
  <c r="B41" i="26"/>
  <c r="B50" i="30"/>
  <c r="C50" i="30" l="1"/>
  <c r="A43" i="26"/>
  <c r="C42" i="26"/>
  <c r="B42" i="26"/>
  <c r="B43" i="26" l="1"/>
  <c r="C43" i="26"/>
</calcChain>
</file>

<file path=xl/sharedStrings.xml><?xml version="1.0" encoding="utf-8"?>
<sst xmlns="http://schemas.openxmlformats.org/spreadsheetml/2006/main" count="1036" uniqueCount="274">
  <si>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</si>
  <si>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</si>
  <si>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</si>
  <si>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</si>
  <si>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</si>
  <si>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</si>
  <si>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</si>
  <si>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</si>
  <si>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</si>
  <si>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</si>
  <si>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</si>
  <si>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</si>
  <si>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</si>
  <si>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</si>
  <si>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</si>
  <si>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</si>
  <si>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</si>
  <si>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</si>
  <si>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</si>
  <si>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</si>
  <si>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</si>
  <si>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</si>
  <si>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</si>
  <si>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</si>
  <si>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</si>
  <si>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</si>
  <si>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</si>
  <si>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</si>
  <si>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</si>
  <si>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</si>
  <si>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</si>
  <si>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</si>
  <si>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</si>
  <si>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</si>
  <si>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</si>
  <si>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</si>
  <si>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</si>
  <si>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</si>
  <si>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</si>
  <si>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</si>
  <si>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</si>
  <si>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</si>
  <si>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</si>
  <si>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</si>
  <si>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</si>
  <si>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</si>
  <si>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</si>
  <si>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</si>
  <si>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</si>
  <si>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</si>
  <si>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</si>
  <si>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</si>
  <si>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</si>
  <si>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</si>
  <si>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</si>
  <si>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</si>
  <si>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</si>
  <si>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</si>
  <si>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</si>
  <si>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</si>
  <si>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</si>
  <si>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</si>
  <si>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</si>
  <si>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</si>
  <si>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</si>
  <si>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</si>
  <si>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</si>
  <si>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</si>
  <si>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</si>
  <si>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</si>
  <si>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</si>
  <si>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</si>
  <si>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</si>
  <si>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</si>
  <si>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</si>
  <si>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</si>
  <si>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</si>
  <si>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</si>
  <si>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</si>
  <si>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</si>
  <si>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</si>
  <si>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</si>
  <si>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</si>
  <si>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</si>
  <si>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</si>
  <si>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</si>
  <si>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</si>
  <si>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</si>
  <si>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</si>
  <si>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</si>
  <si>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</si>
  <si>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</si>
  <si>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</si>
  <si>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</si>
  <si>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</si>
  <si>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</si>
  <si>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</si>
  <si>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</si>
  <si>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</si>
  <si>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</si>
  <si>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</si>
  <si>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</si>
  <si>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</si>
  <si>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</si>
  <si>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</si>
  <si>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</si>
  <si>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</si>
  <si>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</si>
  <si>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</si>
  <si>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</si>
  <si>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</si>
  <si>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</si>
  <si>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</si>
  <si>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</si>
  <si>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</si>
  <si>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</si>
  <si>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</si>
  <si>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</si>
  <si>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</si>
  <si>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</si>
  <si>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</si>
  <si>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</si>
  <si>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</si>
  <si>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</si>
  <si>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</si>
  <si>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</si>
  <si>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</si>
  <si>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</si>
  <si>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</si>
  <si>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</si>
  <si>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</si>
  <si>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</si>
  <si>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</si>
  <si>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</si>
  <si>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</si>
  <si>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</si>
  <si>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</si>
  <si>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</si>
  <si>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</si>
  <si>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</si>
  <si>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</si>
  <si>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</si>
  <si>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</si>
  <si>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</si>
  <si>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</si>
  <si>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</si>
  <si>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</si>
  <si>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</si>
  <si>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</si>
  <si>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</si>
  <si>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</si>
  <si>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</si>
  <si>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</si>
  <si>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</si>
  <si>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</si>
  <si>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</si>
  <si>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</si>
  <si>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</si>
  <si>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</si>
  <si>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</si>
  <si>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</si>
  <si>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</si>
  <si>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</si>
  <si>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</si>
  <si>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</si>
  <si>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</si>
  <si>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</si>
  <si>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</si>
  <si>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</si>
  <si>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</si>
  <si>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</si>
  <si>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</si>
  <si>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</si>
  <si>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</si>
  <si>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</si>
  <si>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</si>
  <si>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</si>
  <si>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</si>
  <si>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</si>
  <si>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</si>
  <si>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</si>
  <si>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</si>
  <si>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</si>
  <si>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</si>
  <si>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</si>
  <si>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</si>
  <si>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</si>
  <si>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</si>
  <si>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</si>
  <si>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</si>
  <si>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</si>
  <si>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</si>
  <si>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</si>
  <si>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</si>
  <si>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</si>
  <si>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</si>
  <si>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</si>
  <si>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</si>
  <si>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</si>
  <si>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</si>
  <si>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</si>
  <si>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</si>
  <si>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</si>
  <si>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</si>
  <si>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</si>
  <si>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</si>
  <si>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</si>
  <si>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</si>
  <si>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</si>
  <si>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</si>
  <si>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</si>
  <si>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</si>
  <si>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</si>
  <si>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</si>
  <si>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</si>
  <si>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</si>
  <si>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</si>
  <si>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</si>
  <si>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</si>
  <si>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</si>
  <si>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</si>
  <si>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</si>
  <si>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</si>
  <si>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</si>
  <si>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</si>
  <si>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</si>
  <si>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</si>
  <si>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</si>
  <si>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</si>
  <si>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</si>
  <si>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</si>
  <si>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</si>
  <si>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</si>
  <si>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</si>
  <si>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</si>
  <si>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</si>
  <si>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</si>
  <si>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</si>
  <si>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</si>
  <si>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</si>
  <si>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</si>
  <si>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</si>
  <si>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</si>
  <si>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</si>
  <si>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</si>
  <si>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</si>
  <si>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</si>
  <si>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</si>
  <si>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</si>
  <si>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</si>
  <si>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</si>
  <si>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</si>
  <si>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</si>
  <si>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</si>
  <si>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</si>
  <si>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</si>
  <si>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</si>
  <si>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</si>
  <si>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</si>
  <si>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</si>
  <si>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</si>
  <si>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</si>
  <si>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</si>
  <si>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</si>
  <si>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</si>
  <si>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</si>
  <si>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</si>
  <si>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</si>
  <si>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</si>
  <si>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</si>
  <si>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</si>
  <si>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</si>
  <si>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</si>
  <si>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1A.</t>
    </r>
    <r>
      <rPr>
        <sz val="10"/>
        <color rgb="FF0000FF"/>
        <rFont val="Calibri"/>
        <family val="2"/>
        <scheme val="minor"/>
      </rPr>
      <t xml:space="preserve"> Local constraints can vary by + or - 30%. Global budget remains at currently planned level.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</si>
</sst>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399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36" fillId="0" borderId="0" xfId="0" applyFont="1"/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82240"/>
        <c:axId val="181484544"/>
      </c:scatterChart>
      <c:valAx>
        <c:axId val="181482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81484544"/>
        <c:crosses val="autoZero"/>
        <c:crossBetween val="midCat"/>
        <c:dispUnits>
          <c:builtInUnit val="thousands"/>
        </c:dispUnits>
      </c:valAx>
      <c:valAx>
        <c:axId val="181484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814822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019392"/>
        <c:axId val="147033088"/>
      </c:scatterChart>
      <c:valAx>
        <c:axId val="3530193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7033088"/>
        <c:crosses val="autoZero"/>
        <c:crossBetween val="midCat"/>
        <c:dispUnits>
          <c:builtInUnit val="thousands"/>
        </c:dispUnits>
      </c:valAx>
      <c:valAx>
        <c:axId val="147033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530193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071360"/>
        <c:axId val="147073664"/>
      </c:scatterChart>
      <c:valAx>
        <c:axId val="1470713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7073664"/>
        <c:crosses val="autoZero"/>
        <c:crossBetween val="midCat"/>
        <c:dispUnits>
          <c:builtInUnit val="thousands"/>
        </c:dispUnits>
      </c:valAx>
      <c:valAx>
        <c:axId val="1470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470713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11936"/>
        <c:axId val="147114240"/>
      </c:scatterChart>
      <c:valAx>
        <c:axId val="147111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7114240"/>
        <c:crosses val="autoZero"/>
        <c:crossBetween val="midCat"/>
        <c:dispUnits>
          <c:builtInUnit val="thousands"/>
        </c:dispUnits>
      </c:valAx>
      <c:valAx>
        <c:axId val="147114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471119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39200"/>
        <c:axId val="147141760"/>
      </c:scatterChart>
      <c:valAx>
        <c:axId val="147139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47141760"/>
        <c:crosses val="autoZero"/>
        <c:crossBetween val="midCat"/>
        <c:dispUnits>
          <c:builtInUnit val="thousands"/>
        </c:dispUnits>
      </c:valAx>
      <c:valAx>
        <c:axId val="147141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71392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84256"/>
        <c:axId val="147190912"/>
      </c:scatterChart>
      <c:valAx>
        <c:axId val="1471842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47190912"/>
        <c:crosses val="autoZero"/>
        <c:crossBetween val="midCat"/>
        <c:dispUnits>
          <c:builtInUnit val="thousands"/>
        </c:dispUnits>
      </c:valAx>
      <c:valAx>
        <c:axId val="147190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71842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24832"/>
        <c:axId val="147235584"/>
      </c:scatterChart>
      <c:valAx>
        <c:axId val="147224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47235584"/>
        <c:crosses val="autoZero"/>
        <c:crossBetween val="midCat"/>
        <c:dispUnits>
          <c:builtInUnit val="thousands"/>
        </c:dispUnits>
      </c:valAx>
      <c:valAx>
        <c:axId val="14723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72248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65408"/>
        <c:axId val="147280256"/>
      </c:scatterChart>
      <c:valAx>
        <c:axId val="147265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47280256"/>
        <c:crosses val="autoZero"/>
        <c:crossBetween val="midCat"/>
        <c:dispUnits>
          <c:builtInUnit val="thousands"/>
        </c:dispUnits>
      </c:valAx>
      <c:valAx>
        <c:axId val="147280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72654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75424"/>
        <c:axId val="148378368"/>
      </c:scatterChart>
      <c:valAx>
        <c:axId val="148375424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8378368"/>
        <c:crosses val="autoZero"/>
        <c:crossBetween val="midCat"/>
        <c:dispUnits>
          <c:builtInUnit val="thousands"/>
        </c:dispUnits>
      </c:valAx>
      <c:valAx>
        <c:axId val="148378368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483754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6224"/>
        <c:axId val="148611456"/>
      </c:scatterChart>
      <c:valAx>
        <c:axId val="148596224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8611456"/>
        <c:crosses val="autoZero"/>
        <c:crossBetween val="midCat"/>
        <c:dispUnits>
          <c:builtInUnit val="thousands"/>
        </c:dispUnits>
      </c:valAx>
      <c:valAx>
        <c:axId val="148611456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485962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180098106.97091594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1888"/>
        <c:axId val="148904576"/>
      </c:scatterChart>
      <c:valAx>
        <c:axId val="148901888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8904576"/>
        <c:crosses val="autoZero"/>
        <c:crossBetween val="midCat"/>
        <c:dispUnits>
          <c:builtInUnit val="millions"/>
        </c:dispUnits>
      </c:valAx>
      <c:valAx>
        <c:axId val="14890457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4890188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290119357.05120552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335738945.32641333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10219207.32487056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1901902.9763230849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180098106.97091594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26553983.007285006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1909653.9769871365</c:v>
                </c:pt>
                <c:pt idx="2">
                  <c:v>3788343.14421607</c:v>
                </c:pt>
                <c:pt idx="3">
                  <c:v>5636549.5066546611</c:v>
                </c:pt>
                <c:pt idx="4">
                  <c:v>7454748.2262433972</c:v>
                </c:pt>
                <c:pt idx="5">
                  <c:v>9243407.6970640887</c:v>
                </c:pt>
                <c:pt idx="6">
                  <c:v>11002989.620446093</c:v>
                </c:pt>
                <c:pt idx="7">
                  <c:v>12733949.08000382</c:v>
                </c:pt>
                <c:pt idx="8">
                  <c:v>14436734.616533669</c:v>
                </c:pt>
                <c:pt idx="9">
                  <c:v>16111788.302787062</c:v>
                </c:pt>
                <c:pt idx="10">
                  <c:v>17759545.818042524</c:v>
                </c:pt>
                <c:pt idx="11">
                  <c:v>19380436.522485144</c:v>
                </c:pt>
                <c:pt idx="12">
                  <c:v>20974883.531352777</c:v>
                </c:pt>
                <c:pt idx="13">
                  <c:v>22543303.788810521</c:v>
                </c:pt>
                <c:pt idx="14">
                  <c:v>24086108.141557589</c:v>
                </c:pt>
                <c:pt idx="15">
                  <c:v>25603701.412116595</c:v>
                </c:pt>
                <c:pt idx="16">
                  <c:v>27096482.471801117</c:v>
                </c:pt>
                <c:pt idx="17">
                  <c:v>28564844.313325085</c:v>
                </c:pt>
                <c:pt idx="18">
                  <c:v>30009174.123051897</c:v>
                </c:pt>
                <c:pt idx="19">
                  <c:v>31429853.352851003</c:v>
                </c:pt>
                <c:pt idx="20">
                  <c:v>32827257.791541122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8857160.0557257067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6272419.0706931856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7126753.0854003569</c:v>
                </c:pt>
                <c:pt idx="2">
                  <c:v>14083785.478268811</c:v>
                </c:pt>
                <c:pt idx="3">
                  <c:v>20873536.930621438</c:v>
                </c:pt>
                <c:pt idx="4">
                  <c:v>27498504.08301406</c:v>
                </c:pt>
                <c:pt idx="5">
                  <c:v>33961234.049799822</c:v>
                </c:pt>
                <c:pt idx="6">
                  <c:v>40264318.242423229</c:v>
                </c:pt>
                <c:pt idx="7">
                  <c:v>46410386.434896983</c:v>
                </c:pt>
                <c:pt idx="8">
                  <c:v>52402101.074315935</c:v>
                </c:pt>
                <c:pt idx="9">
                  <c:v>58242151.838048339</c:v>
                </c:pt>
                <c:pt idx="10">
                  <c:v>63933250.438135833</c:v>
                </c:pt>
                <c:pt idx="11">
                  <c:v>69478125.672399044</c:v>
                </c:pt>
                <c:pt idx="12">
                  <c:v>74879518.720811337</c:v>
                </c:pt>
                <c:pt idx="13">
                  <c:v>80140178.6848436</c:v>
                </c:pt>
                <c:pt idx="14">
                  <c:v>85262858.366719171</c:v>
                </c:pt>
                <c:pt idx="15">
                  <c:v>90250310.284813449</c:v>
                </c:pt>
                <c:pt idx="16">
                  <c:v>95105282.920833573</c:v>
                </c:pt>
                <c:pt idx="17">
                  <c:v>99830517.19385469</c:v>
                </c:pt>
                <c:pt idx="18">
                  <c:v>104428743.15583892</c:v>
                </c:pt>
                <c:pt idx="19">
                  <c:v>108902676.90282662</c:v>
                </c:pt>
                <c:pt idx="20">
                  <c:v>113255017.69568314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30077004.13086943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50112"/>
        <c:axId val="149052800"/>
      </c:scatterChart>
      <c:valAx>
        <c:axId val="149050112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49052800"/>
        <c:crosses val="autoZero"/>
        <c:crossBetween val="midCat"/>
        <c:dispUnits>
          <c:builtInUnit val="millions"/>
        </c:dispUnits>
      </c:valAx>
      <c:valAx>
        <c:axId val="149052800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149050112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2992018.0561720924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6656"/>
        <c:axId val="149448960"/>
      </c:scatterChart>
      <c:valAx>
        <c:axId val="1494466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49448960"/>
        <c:crosses val="autoZero"/>
        <c:crossBetween val="midCat"/>
        <c:dispUnits>
          <c:builtInUnit val="thousands"/>
        </c:dispUnits>
      </c:valAx>
      <c:valAx>
        <c:axId val="149448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94466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4194049.3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7788948.7000000002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259498.53045724996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8784"/>
        <c:axId val="149895040"/>
      </c:scatterChart>
      <c:valAx>
        <c:axId val="149478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49895040"/>
        <c:crosses val="autoZero"/>
        <c:crossBetween val="midCat"/>
        <c:dispUnits>
          <c:builtInUnit val="thousands"/>
        </c:dispUnits>
      </c:valAx>
      <c:valAx>
        <c:axId val="149895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94787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3462495.5631605955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46368"/>
        <c:axId val="149948672"/>
      </c:scatterChart>
      <c:valAx>
        <c:axId val="149946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49948672"/>
        <c:crosses val="autoZero"/>
        <c:crossBetween val="midCat"/>
        <c:dispUnits>
          <c:builtInUnit val="thousands"/>
        </c:dispUnits>
      </c:valAx>
      <c:valAx>
        <c:axId val="149948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99463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10927304.5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20293565.5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300303.17113274895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86688"/>
        <c:axId val="150001536"/>
      </c:scatterChart>
      <c:valAx>
        <c:axId val="149986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0001536"/>
        <c:crosses val="autoZero"/>
        <c:crossBetween val="midCat"/>
        <c:dispUnits>
          <c:builtInUnit val="thousands"/>
        </c:dispUnits>
      </c:valAx>
      <c:valAx>
        <c:axId val="150001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499866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02144"/>
        <c:axId val="151304448"/>
      </c:scatterChart>
      <c:valAx>
        <c:axId val="1513021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1304448"/>
        <c:crosses val="autoZero"/>
        <c:crossBetween val="midCat"/>
        <c:dispUnits>
          <c:builtInUnit val="thousands"/>
        </c:dispUnits>
      </c:valAx>
      <c:valAx>
        <c:axId val="151304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130214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58848"/>
        <c:axId val="151402368"/>
      </c:scatterChart>
      <c:valAx>
        <c:axId val="151358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1402368"/>
        <c:crosses val="autoZero"/>
        <c:crossBetween val="midCat"/>
        <c:dispUnits>
          <c:builtInUnit val="thousands"/>
        </c:dispUnits>
      </c:valAx>
      <c:valAx>
        <c:axId val="151402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13588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105391.28842196563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63296"/>
        <c:axId val="151865600"/>
      </c:scatterChart>
      <c:valAx>
        <c:axId val="1518632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1865600"/>
        <c:crosses val="autoZero"/>
        <c:crossBetween val="midCat"/>
        <c:dispUnits>
          <c:builtInUnit val="thousands"/>
        </c:dispUnits>
      </c:valAx>
      <c:valAx>
        <c:axId val="15186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18632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4946130.8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2663301.1999999997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9140.6147807429006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99520"/>
        <c:axId val="151922560"/>
      </c:scatterChart>
      <c:valAx>
        <c:axId val="151899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1922560"/>
        <c:crosses val="autoZero"/>
        <c:crossBetween val="midCat"/>
        <c:dispUnits>
          <c:builtInUnit val="thousands"/>
        </c:dispUnits>
      </c:valAx>
      <c:valAx>
        <c:axId val="15192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1899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19614.437671739863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92672"/>
        <c:axId val="152094976"/>
      </c:scatterChart>
      <c:valAx>
        <c:axId val="1520926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152094976"/>
        <c:crosses val="autoZero"/>
        <c:crossBetween val="midCat"/>
        <c:dispUnits>
          <c:builtInUnit val="thousands"/>
        </c:dispUnits>
      </c:valAx>
      <c:valAx>
        <c:axId val="152094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15209267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5772000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3108000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1701.1654528829024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41184"/>
        <c:axId val="152172416"/>
      </c:scatterChart>
      <c:valAx>
        <c:axId val="152141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52172416"/>
        <c:crosses val="autoZero"/>
        <c:crossBetween val="midCat"/>
        <c:dispUnits>
          <c:builtInUnit val="thousands"/>
        </c:dispUnits>
      </c:valAx>
      <c:valAx>
        <c:axId val="152172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14118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1857362.40910077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280064"/>
        <c:axId val="152307200"/>
      </c:scatterChart>
      <c:valAx>
        <c:axId val="1522800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2307200"/>
        <c:crosses val="autoZero"/>
        <c:crossBetween val="midCat"/>
        <c:dispUnits>
          <c:builtInUnit val="thousands"/>
        </c:dispUnits>
      </c:valAx>
      <c:valAx>
        <c:axId val="152307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2800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16067799.999999998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29840200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27437329.475603875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161089.54111888725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37024"/>
        <c:axId val="152368256"/>
      </c:scatterChart>
      <c:valAx>
        <c:axId val="152337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2368256"/>
        <c:crosses val="autoZero"/>
        <c:crossBetween val="midCat"/>
        <c:dispUnits>
          <c:builtInUnit val="thousands"/>
        </c:dispUnits>
      </c:valAx>
      <c:valAx>
        <c:axId val="152368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3370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273852.79434167809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76288"/>
        <c:axId val="152646784"/>
      </c:scatterChart>
      <c:valAx>
        <c:axId val="152476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2646784"/>
        <c:crosses val="autoZero"/>
        <c:crossBetween val="midCat"/>
        <c:dispUnits>
          <c:builtInUnit val="thousands"/>
        </c:dispUnits>
      </c:valAx>
      <c:valAx>
        <c:axId val="152646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4762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10164679.200000001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5473288.7999999998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23751.326482365839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84800"/>
        <c:axId val="152711936"/>
      </c:scatterChart>
      <c:valAx>
        <c:axId val="152684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2711936"/>
        <c:crosses val="autoZero"/>
        <c:crossBetween val="midCat"/>
        <c:dispUnits>
          <c:builtInUnit val="thousands"/>
        </c:dispUnits>
      </c:valAx>
      <c:valAx>
        <c:axId val="152711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26848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91344.414528190871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19694.374199160717</c:v>
                </c:pt>
                <c:pt idx="2">
                  <c:v>39069.406487308843</c:v>
                </c:pt>
                <c:pt idx="3">
                  <c:v>58130.06781013259</c:v>
                </c:pt>
                <c:pt idx="4">
                  <c:v>76881.258540774928</c:v>
                </c:pt>
                <c:pt idx="5">
                  <c:v>95327.809255052722</c:v>
                </c:pt>
                <c:pt idx="6">
                  <c:v>113474.48150603171</c:v>
                </c:pt>
                <c:pt idx="7">
                  <c:v>131325.9685978927</c:v>
                </c:pt>
                <c:pt idx="8">
                  <c:v>148886.89635834811</c:v>
                </c:pt>
                <c:pt idx="9">
                  <c:v>166161.82390978068</c:v>
                </c:pt>
                <c:pt idx="10">
                  <c:v>183155.24443830978</c:v>
                </c:pt>
                <c:pt idx="11">
                  <c:v>199871.58596087093</c:v>
                </c:pt>
                <c:pt idx="12">
                  <c:v>216315.21208989044</c:v>
                </c:pt>
                <c:pt idx="13">
                  <c:v>232490.4227951568</c:v>
                </c:pt>
                <c:pt idx="14">
                  <c:v>248401.45516293292</c:v>
                </c:pt>
                <c:pt idx="15">
                  <c:v>264052.48415179277</c:v>
                </c:pt>
                <c:pt idx="16">
                  <c:v>279447.62334514031</c:v>
                </c:pt>
                <c:pt idx="17">
                  <c:v>294590.92570003413</c:v>
                </c:pt>
                <c:pt idx="18">
                  <c:v>309486.3842922973</c:v>
                </c:pt>
                <c:pt idx="19">
                  <c:v>324137.93305757787</c:v>
                </c:pt>
                <c:pt idx="20">
                  <c:v>338549.44752814772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64687.828161978912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0640"/>
        <c:axId val="153387776"/>
      </c:scatterChart>
      <c:valAx>
        <c:axId val="1533606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3387776"/>
        <c:crosses val="autoZero"/>
        <c:crossBetween val="midCat"/>
        <c:dispUnits>
          <c:builtInUnit val="thousands"/>
        </c:dispUnits>
      </c:valAx>
      <c:valAx>
        <c:axId val="153387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33606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4782666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7922.3256312394515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1708.0983693981543</c:v>
                </c:pt>
                <c:pt idx="2">
                  <c:v>3388.5001289946958</c:v>
                </c:pt>
                <c:pt idx="3">
                  <c:v>5041.6364102456719</c:v>
                </c:pt>
                <c:pt idx="4">
                  <c:v>6667.9322238313034</c:v>
                </c:pt>
                <c:pt idx="5">
                  <c:v>8267.8065268909559</c:v>
                </c:pt>
                <c:pt idx="6">
                  <c:v>9841.6722902022302</c:v>
                </c:pt>
                <c:pt idx="7">
                  <c:v>11389.936565298587</c:v>
                </c:pt>
                <c:pt idx="8">
                  <c:v>12913.000551461242</c:v>
                </c:pt>
                <c:pt idx="9">
                  <c:v>14411.259662600234</c:v>
                </c:pt>
                <c:pt idx="10">
                  <c:v>15885.103593955748</c:v>
                </c:pt>
                <c:pt idx="11">
                  <c:v>17334.916388627142</c:v>
                </c:pt>
                <c:pt idx="12">
                  <c:v>18761.07650389336</c:v>
                </c:pt>
                <c:pt idx="13">
                  <c:v>20163.956877290271</c:v>
                </c:pt>
                <c:pt idx="14">
                  <c:v>21543.92499244865</c:v>
                </c:pt>
                <c:pt idx="15">
                  <c:v>22901.342944648117</c:v>
                </c:pt>
                <c:pt idx="16">
                  <c:v>24236.567506083287</c:v>
                </c:pt>
                <c:pt idx="17">
                  <c:v>25549.950190809555</c:v>
                </c:pt>
                <c:pt idx="18">
                  <c:v>26841.837319366634</c:v>
                </c:pt>
                <c:pt idx="19">
                  <c:v>28112.570083050989</c:v>
                </c:pt>
                <c:pt idx="20">
                  <c:v>29362.484607818536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6217465.7999999998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3347866.1999999997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5610.3927287058905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33984"/>
        <c:axId val="153473408"/>
      </c:scatterChart>
      <c:valAx>
        <c:axId val="153433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3473408"/>
        <c:crosses val="autoZero"/>
        <c:crossBetween val="midCat"/>
        <c:dispUnits>
          <c:builtInUnit val="thousands"/>
        </c:dispUnits>
      </c:valAx>
      <c:valAx>
        <c:axId val="15347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34339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0</c:v>
                </c:pt>
                <c:pt idx="1">
                  <c:v>61226.401077322662</c:v>
                </c:pt>
                <c:pt idx="2">
                  <c:v>120994.72060368396</c:v>
                </c:pt>
                <c:pt idx="3">
                  <c:v>179325.91864795052</c:v>
                </c:pt>
                <c:pt idx="4">
                  <c:v>236241.44401214831</c:v>
                </c:pt>
                <c:pt idx="5">
                  <c:v>291763.17912199162</c:v>
                </c:pt>
                <c:pt idx="6">
                  <c:v>345913.38696239889</c:v>
                </c:pt>
                <c:pt idx="7">
                  <c:v>398714.66009361669</c:v>
                </c:pt>
                <c:pt idx="8">
                  <c:v>450189.87177247368</c:v>
                </c:pt>
                <c:pt idx="9">
                  <c:v>500362.12919285521</c:v>
                </c:pt>
                <c:pt idx="10">
                  <c:v>549254.72884996422</c:v>
                </c:pt>
                <c:pt idx="11">
                  <c:v>596891.11402404681</c:v>
                </c:pt>
                <c:pt idx="12">
                  <c:v>643294.8343712315</c:v>
                </c:pt>
                <c:pt idx="13">
                  <c:v>688489.50760174915</c:v>
                </c:pt>
                <c:pt idx="14">
                  <c:v>732498.78321923688</c:v>
                </c:pt>
                <c:pt idx="15">
                  <c:v>775346.30828877538</c:v>
                </c:pt>
                <c:pt idx="16">
                  <c:v>817055.69519616477</c:v>
                </c:pt>
                <c:pt idx="17">
                  <c:v>857650.49135614</c:v>
                </c:pt>
                <c:pt idx="18">
                  <c:v>897154.15082335845</c:v>
                </c:pt>
                <c:pt idx="19">
                  <c:v>935590.00775624253</c:v>
                </c:pt>
                <c:pt idx="20">
                  <c:v>972981.25168112665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20410000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10990000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258393.506278947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69152"/>
        <c:axId val="153596288"/>
      </c:scatterChart>
      <c:valAx>
        <c:axId val="1535691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3596288"/>
        <c:crosses val="autoZero"/>
        <c:crossBetween val="midCat"/>
        <c:dispUnits>
          <c:builtInUnit val="thousands"/>
        </c:dispUnits>
      </c:valAx>
      <c:valAx>
        <c:axId val="153596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35691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21472"/>
        <c:axId val="153834240"/>
      </c:scatterChart>
      <c:valAx>
        <c:axId val="153721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3834240"/>
        <c:crosses val="autoZero"/>
        <c:crossBetween val="midCat"/>
      </c:valAx>
      <c:valAx>
        <c:axId val="15383424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37214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876736"/>
        <c:axId val="153960832"/>
      </c:scatterChart>
      <c:valAx>
        <c:axId val="153876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960832"/>
        <c:crosses val="autoZero"/>
        <c:crossBetween val="midCat"/>
      </c:valAx>
      <c:valAx>
        <c:axId val="1539608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87673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89344"/>
        <c:axId val="154112000"/>
      </c:scatterChart>
      <c:valAx>
        <c:axId val="154089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4112000"/>
        <c:crosses val="autoZero"/>
        <c:crossBetween val="midCat"/>
      </c:valAx>
      <c:valAx>
        <c:axId val="15411200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40893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58592"/>
        <c:axId val="154206208"/>
      </c:scatterChart>
      <c:valAx>
        <c:axId val="154158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154206208"/>
        <c:crosses val="autoZero"/>
        <c:crossBetween val="midCat"/>
        <c:dispUnits>
          <c:builtInUnit val="millions"/>
        </c:dispUnits>
      </c:valAx>
      <c:valAx>
        <c:axId val="15420620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541585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10</xdr:col>
      <xdr:colOff>297180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10</xdr:col>
      <xdr:colOff>320040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abSelected="1" workbookViewId="0">
      <selection activeCell="U10" sqref="U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J1" workbookViewId="0">
      <selection activeCell="W21" sqref="W21"/>
    </sheetView>
  </sheetViews>
  <sheetFormatPr defaultColWidth="8.85546875" defaultRowHeight="15" x14ac:dyDescent="0.25"/>
  <cols>
    <col min="1" max="16384" width="8.85546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workbookViewId="0"/>
  </sheetViews>
  <sheetFormatPr defaultRowHeight="15" x14ac:dyDescent="0.25"/>
  <cols>
    <col min="1" max="1" width="24.28515625" customWidth="1"/>
    <col min="2" max="2" width="18.7109375" customWidth="1"/>
    <col min="3" max="3" width="16.140625" customWidth="1"/>
    <col min="4" max="4" width="13.28515625" customWidth="1"/>
    <col min="5" max="5" width="13.7109375" customWidth="1"/>
    <col min="7" max="7" width="10.85546875" customWidth="1"/>
    <col min="9" max="9" width="9.85546875" bestFit="1" customWidth="1"/>
    <col min="14" max="14" width="13.7109375" customWidth="1"/>
    <col min="26" max="26" width="17.28515625" customWidth="1"/>
  </cols>
  <sheetData>
    <row r="2" spans="1:9" s="181" customFormat="1" ht="14.45" x14ac:dyDescent="0.3"/>
    <row r="3" spans="1:9" s="181" customFormat="1" ht="43.15" x14ac:dyDescent="0.3">
      <c r="A3" s="169" t="s">
        <v>187</v>
      </c>
      <c r="B3" s="173">
        <v>11.53</v>
      </c>
    </row>
    <row r="4" spans="1:9" s="181" customFormat="1" ht="14.45" x14ac:dyDescent="0.3"/>
    <row r="5" spans="1:9" ht="14.45" x14ac:dyDescent="0.3">
      <c r="A5" s="159" t="s">
        <v>175</v>
      </c>
    </row>
    <row r="6" spans="1:9" s="178" customFormat="1" ht="45.6" customHeight="1" x14ac:dyDescent="0.3">
      <c r="D6" s="313" t="s">
        <v>191</v>
      </c>
      <c r="E6" s="313"/>
      <c r="F6" s="313" t="s">
        <v>183</v>
      </c>
      <c r="G6" s="313"/>
      <c r="H6" s="313"/>
      <c r="I6" s="313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ht="14.45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ht="14.45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ht="14.45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ht="14.45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ht="14.45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ht="14.45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ht="14.45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ht="14.45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ht="14.45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thickBot="1" x14ac:dyDescent="0.35">
      <c r="A19" s="159" t="s">
        <v>192</v>
      </c>
    </row>
    <row r="20" spans="1:38" thickTop="1" x14ac:dyDescent="0.3">
      <c r="A20" s="189" t="s">
        <v>193</v>
      </c>
      <c r="B20" s="187"/>
      <c r="C20" s="314" t="s">
        <v>194</v>
      </c>
      <c r="D20" s="314"/>
      <c r="E20" s="314"/>
      <c r="F20" s="314" t="s">
        <v>195</v>
      </c>
      <c r="G20" s="314"/>
      <c r="H20" s="314"/>
      <c r="I20" s="314" t="s">
        <v>196</v>
      </c>
      <c r="J20" s="314"/>
      <c r="K20" s="192" t="s">
        <v>197</v>
      </c>
      <c r="L20" s="187"/>
      <c r="M20" s="189" t="s">
        <v>198</v>
      </c>
      <c r="N20" s="187"/>
      <c r="O20" s="314" t="s">
        <v>194</v>
      </c>
      <c r="P20" s="314"/>
      <c r="Q20" s="314"/>
      <c r="R20" s="314" t="s">
        <v>195</v>
      </c>
      <c r="S20" s="314"/>
      <c r="T20" s="314"/>
      <c r="U20" s="314" t="s">
        <v>196</v>
      </c>
      <c r="V20" s="314"/>
      <c r="W20" s="192" t="s">
        <v>197</v>
      </c>
      <c r="X20" s="187"/>
      <c r="Y20" s="189" t="s">
        <v>199</v>
      </c>
      <c r="Z20" s="187"/>
      <c r="AA20" s="303" t="s">
        <v>200</v>
      </c>
      <c r="AB20" s="304"/>
      <c r="AC20" s="305"/>
      <c r="AD20" s="303" t="s">
        <v>201</v>
      </c>
      <c r="AE20" s="305"/>
      <c r="AF20" s="212"/>
      <c r="AG20" s="306" t="s">
        <v>202</v>
      </c>
      <c r="AH20" s="307"/>
      <c r="AI20" s="307"/>
      <c r="AJ20" s="307"/>
      <c r="AK20" s="307"/>
      <c r="AL20" s="308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25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09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25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10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25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10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25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10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25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10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25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10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25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10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25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10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.75" thickBot="1" x14ac:dyDescent="0.3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11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.75" thickTop="1" x14ac:dyDescent="0.25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12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25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10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25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10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25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10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25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10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25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10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25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10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25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10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.75" thickBot="1" x14ac:dyDescent="0.3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11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25">
      <c r="A42" s="159" t="s">
        <v>222</v>
      </c>
    </row>
    <row r="43" spans="1:38" x14ac:dyDescent="0.25">
      <c r="A43" s="253" t="s">
        <v>223</v>
      </c>
      <c r="B43" s="248"/>
      <c r="C43" s="248"/>
      <c r="D43" s="248"/>
      <c r="E43" s="248"/>
      <c r="F43" s="248"/>
    </row>
    <row r="44" spans="1:38" ht="38.25" x14ac:dyDescent="0.25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25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ht="22.5" x14ac:dyDescent="0.25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25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ht="22.5" x14ac:dyDescent="0.25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25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25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25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25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25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.75" thickBot="1" x14ac:dyDescent="0.3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</row>
    <row r="55" spans="1:7" ht="15.75" thickTop="1" x14ac:dyDescent="0.25">
      <c r="A55" s="260"/>
      <c r="B55" s="248"/>
      <c r="C55" s="248"/>
      <c r="D55" s="248"/>
      <c r="E55" s="248"/>
      <c r="F55" s="248"/>
    </row>
    <row r="56" spans="1:7" ht="38.25" x14ac:dyDescent="0.25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25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ht="22.5" x14ac:dyDescent="0.25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25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ht="22.5" x14ac:dyDescent="0.25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25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25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25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25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25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.75" thickBot="1" x14ac:dyDescent="0.3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D6:E6"/>
    <mergeCell ref="F6:I6"/>
    <mergeCell ref="U20:V20"/>
    <mergeCell ref="C20:E20"/>
    <mergeCell ref="F20:H20"/>
    <mergeCell ref="I20:J20"/>
    <mergeCell ref="O20:Q20"/>
    <mergeCell ref="R20:T20"/>
    <mergeCell ref="AA20:AC20"/>
    <mergeCell ref="AD20:AE20"/>
    <mergeCell ref="AG20:AL20"/>
    <mergeCell ref="Y22:Y30"/>
    <mergeCell ref="Y31:Y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workbookViewId="0">
      <selection activeCell="B14" sqref="B14"/>
    </sheetView>
  </sheetViews>
  <sheetFormatPr defaultColWidth="8.85546875" defaultRowHeight="12.75" x14ac:dyDescent="0.2"/>
  <cols>
    <col min="1" max="1" width="14.140625" style="1" customWidth="1"/>
    <col min="2" max="2" width="14.28515625" style="1" customWidth="1"/>
    <col min="3" max="3" width="13.8554687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9" width="12.28515625" style="1" customWidth="1"/>
    <col min="10" max="10" width="14.7109375" style="1" customWidth="1"/>
    <col min="11" max="11" width="13.85546875" style="1" customWidth="1"/>
    <col min="12" max="12" width="13.5703125" style="1" customWidth="1"/>
    <col min="13" max="13" width="11.28515625" style="1" customWidth="1"/>
    <col min="14" max="14" width="10.5703125" style="1" customWidth="1"/>
    <col min="15" max="16384" width="8.85546875" style="1"/>
  </cols>
  <sheetData>
    <row r="1" spans="1:14" ht="13.9" x14ac:dyDescent="0.3">
      <c r="A1" s="48" t="s">
        <v>0</v>
      </c>
      <c r="B1" s="1" t="s">
        <v>166</v>
      </c>
    </row>
    <row r="2" spans="1:14" ht="13.9" x14ac:dyDescent="0.3">
      <c r="A2" s="48" t="s">
        <v>76</v>
      </c>
      <c r="B2" s="1" t="s">
        <v>104</v>
      </c>
    </row>
    <row r="3" spans="1:14" ht="13.9" x14ac:dyDescent="0.3">
      <c r="A3" s="48" t="s">
        <v>77</v>
      </c>
      <c r="B3" s="1" t="s">
        <v>165</v>
      </c>
    </row>
    <row r="4" spans="1:14" ht="28.15" customHeight="1" x14ac:dyDescent="0.3">
      <c r="A4" s="49" t="s">
        <v>78</v>
      </c>
      <c r="B4" s="302" t="s">
        <v>273</v>
      </c>
    </row>
    <row r="5" spans="1:14" ht="13.9" x14ac:dyDescent="0.3">
      <c r="A5" s="48" t="s">
        <v>79</v>
      </c>
      <c r="B5" s="1" t="s">
        <v>167</v>
      </c>
      <c r="E5" s="327" t="s">
        <v>50</v>
      </c>
      <c r="F5" s="328"/>
      <c r="G5" s="328"/>
      <c r="H5" s="328"/>
      <c r="I5" s="329"/>
    </row>
    <row r="6" spans="1:14" ht="13.9" x14ac:dyDescent="0.3">
      <c r="A6" s="48" t="s">
        <v>80</v>
      </c>
      <c r="B6" s="1" t="s">
        <v>168</v>
      </c>
      <c r="E6" s="330" t="s">
        <v>51</v>
      </c>
      <c r="F6" s="331"/>
      <c r="G6" s="331"/>
      <c r="H6" s="331"/>
      <c r="I6" s="332"/>
    </row>
    <row r="7" spans="1:14" ht="14.45" thickBot="1" x14ac:dyDescent="0.35"/>
    <row r="8" spans="1:14" ht="14.45" thickBot="1" x14ac:dyDescent="0.35">
      <c r="A8" s="52" t="s">
        <v>81</v>
      </c>
    </row>
    <row r="9" spans="1:14" ht="14.45" thickBot="1" x14ac:dyDescent="0.35">
      <c r="A9" s="29" t="s">
        <v>83</v>
      </c>
      <c r="B9" s="66">
        <f>SUM(J17:J24)</f>
        <v>9033815.8833097667</v>
      </c>
    </row>
    <row r="10" spans="1:14" ht="14.45" thickBot="1" x14ac:dyDescent="0.35">
      <c r="A10" s="50"/>
    </row>
    <row r="11" spans="1:14" ht="25.5" x14ac:dyDescent="0.2">
      <c r="A11" s="333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3.5" thickBot="1" x14ac:dyDescent="0.25">
      <c r="A12" s="334"/>
      <c r="B12" s="80">
        <v>81102300</v>
      </c>
      <c r="C12" s="81">
        <f>1*B12 - 1</f>
        <v>81102299</v>
      </c>
      <c r="D12" s="82">
        <f>1*B12 + 1</f>
        <v>81102301</v>
      </c>
    </row>
    <row r="13" spans="1:14" ht="14.45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0.7</v>
      </c>
      <c r="H14" s="263">
        <v>1.3</v>
      </c>
      <c r="I14" s="63" t="s">
        <v>98</v>
      </c>
      <c r="J14" s="63" t="s">
        <v>99</v>
      </c>
    </row>
    <row r="15" spans="1:14" ht="27.6" customHeight="1" x14ac:dyDescent="0.2">
      <c r="A15" s="335" t="s">
        <v>2</v>
      </c>
      <c r="B15" s="320" t="s">
        <v>3</v>
      </c>
      <c r="C15" s="320" t="s">
        <v>38</v>
      </c>
      <c r="D15" s="320" t="s">
        <v>169</v>
      </c>
      <c r="E15" s="315" t="s">
        <v>86</v>
      </c>
      <c r="F15" s="317"/>
      <c r="G15" s="336" t="s">
        <v>241</v>
      </c>
      <c r="H15" s="337"/>
      <c r="I15" s="336" t="s">
        <v>89</v>
      </c>
      <c r="J15" s="337"/>
      <c r="K15" s="315" t="s">
        <v>90</v>
      </c>
      <c r="L15" s="316"/>
      <c r="M15" s="316"/>
      <c r="N15" s="317"/>
    </row>
    <row r="16" spans="1:14" ht="25.5" x14ac:dyDescent="0.2">
      <c r="A16" s="319"/>
      <c r="B16" s="319"/>
      <c r="C16" s="319"/>
      <c r="D16" s="319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ht="13.9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 t="shared" ref="G17:G24" si="0">E17*$G$14</f>
        <v>4194049.3</v>
      </c>
      <c r="H17" s="73">
        <f t="shared" ref="H17:H24" si="1">E17*$H$14</f>
        <v>7788948.7000000002</v>
      </c>
      <c r="I17" s="273">
        <v>7788948.7000000002</v>
      </c>
      <c r="J17" s="64">
        <f>JANSample!F9</f>
        <v>2992018.0561720924</v>
      </c>
      <c r="K17" s="58">
        <f>I17-E17</f>
        <v>1797449.7000000002</v>
      </c>
      <c r="L17" s="58">
        <f>J17-F17</f>
        <v>681252.77737739496</v>
      </c>
      <c r="M17" s="59">
        <f>K17/E17</f>
        <v>0.30000000000000004</v>
      </c>
      <c r="N17" s="59">
        <f>L17/F17</f>
        <v>0.29481695247417711</v>
      </c>
    </row>
    <row r="18" spans="1:14" ht="13.9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 t="shared" si="0"/>
        <v>10927304.5</v>
      </c>
      <c r="H18" s="74">
        <f t="shared" si="1"/>
        <v>20293565.5</v>
      </c>
      <c r="I18" s="274">
        <v>20293565.5</v>
      </c>
      <c r="J18" s="65">
        <f>JMTSample!F9</f>
        <v>3462495.5631605955</v>
      </c>
      <c r="K18" s="60">
        <f t="shared" ref="K18:L22" si="2">I18-E18</f>
        <v>4683130.5</v>
      </c>
      <c r="L18" s="60">
        <f t="shared" si="2"/>
        <v>799830.71474854182</v>
      </c>
      <c r="M18" s="61">
        <f t="shared" ref="M18:N25" si="3">K18/E18</f>
        <v>0.3</v>
      </c>
      <c r="N18" s="61">
        <f t="shared" si="3"/>
        <v>0.3003873038041347</v>
      </c>
    </row>
    <row r="19" spans="1:14" ht="13.9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 t="shared" si="0"/>
        <v>2663301.1999999997</v>
      </c>
      <c r="H19" s="74">
        <f t="shared" si="1"/>
        <v>4946130.8</v>
      </c>
      <c r="I19" s="274">
        <v>2663301.1999999997</v>
      </c>
      <c r="J19" s="65">
        <f>JJVCH!F9</f>
        <v>105391.28842196563</v>
      </c>
      <c r="K19" s="60">
        <f t="shared" si="2"/>
        <v>-1141414.8000000003</v>
      </c>
      <c r="L19" s="60">
        <f t="shared" si="2"/>
        <v>-45169.412639527683</v>
      </c>
      <c r="M19" s="61">
        <f t="shared" si="3"/>
        <v>-0.3000000000000001</v>
      </c>
      <c r="N19" s="61">
        <f t="shared" si="3"/>
        <v>-0.30000798562354725</v>
      </c>
    </row>
    <row r="20" spans="1:14" ht="13.9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 t="shared" si="0"/>
        <v>3108000</v>
      </c>
      <c r="H20" s="74">
        <f t="shared" si="1"/>
        <v>5772000</v>
      </c>
      <c r="I20" s="274">
        <v>3108000</v>
      </c>
      <c r="J20" s="65">
        <f>JJMMF!F9</f>
        <v>19614.437671739863</v>
      </c>
      <c r="K20" s="60">
        <f t="shared" si="2"/>
        <v>-1332000</v>
      </c>
      <c r="L20" s="60">
        <f t="shared" si="2"/>
        <v>-6074.7225203917951</v>
      </c>
      <c r="M20" s="61">
        <f t="shared" si="3"/>
        <v>-0.3</v>
      </c>
      <c r="N20" s="61">
        <f t="shared" si="3"/>
        <v>-0.23647026508295216</v>
      </c>
    </row>
    <row r="21" spans="1:14" ht="13.9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 t="shared" si="0"/>
        <v>16067799.999999998</v>
      </c>
      <c r="H21" s="74">
        <f t="shared" si="1"/>
        <v>29840200</v>
      </c>
      <c r="I21" s="274">
        <v>27437329.475603875</v>
      </c>
      <c r="J21" s="65">
        <f>JJHCC!F9</f>
        <v>1857362.40910077</v>
      </c>
      <c r="K21" s="60">
        <f t="shared" si="2"/>
        <v>4483329.4756038748</v>
      </c>
      <c r="L21" s="60">
        <f t="shared" si="2"/>
        <v>261470.39474040712</v>
      </c>
      <c r="M21" s="61">
        <f t="shared" si="3"/>
        <v>0.19531800451354339</v>
      </c>
      <c r="N21" s="61">
        <f t="shared" si="3"/>
        <v>0.1638396535527531</v>
      </c>
    </row>
    <row r="22" spans="1:14" ht="13.9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 t="shared" si="0"/>
        <v>5473288.7999999998</v>
      </c>
      <c r="H22" s="74">
        <f t="shared" si="1"/>
        <v>10164679.200000001</v>
      </c>
      <c r="I22" s="274">
        <v>5473288.7999999998</v>
      </c>
      <c r="J22" s="65">
        <f>JJMCM!F9</f>
        <v>273852.79434167809</v>
      </c>
      <c r="K22" s="60">
        <f t="shared" si="2"/>
        <v>-2345695.2000000002</v>
      </c>
      <c r="L22" s="60">
        <f t="shared" si="2"/>
        <v>-104430.44679358479</v>
      </c>
      <c r="M22" s="61">
        <f t="shared" si="3"/>
        <v>-0.30000000000000004</v>
      </c>
      <c r="N22" s="61">
        <f t="shared" si="3"/>
        <v>-0.27606416419659352</v>
      </c>
    </row>
    <row r="23" spans="1:14" ht="13.9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4782666</v>
      </c>
      <c r="F23" s="57">
        <f>JJHCC_ACQ!I9</f>
        <v>91344.414528190871</v>
      </c>
      <c r="G23" s="74">
        <f t="shared" si="0"/>
        <v>3347866.1999999997</v>
      </c>
      <c r="H23" s="74">
        <f t="shared" si="1"/>
        <v>6217465.7999999998</v>
      </c>
      <c r="I23" s="274">
        <v>3347866.1999999997</v>
      </c>
      <c r="J23" s="65">
        <f>JJHCC_ACQ!F9</f>
        <v>64687.828161978912</v>
      </c>
      <c r="K23" s="60">
        <f t="shared" ref="K23:K24" si="4">I23-E23</f>
        <v>-1434799.8000000003</v>
      </c>
      <c r="L23" s="60">
        <f t="shared" ref="L23:L24" si="5">J23-F23</f>
        <v>-26656.586366211959</v>
      </c>
      <c r="M23" s="61">
        <f t="shared" ref="M23:M24" si="6">K23/E23</f>
        <v>-0.30000000000000004</v>
      </c>
      <c r="N23" s="61">
        <f t="shared" ref="N23:N24" si="7">L23/F23</f>
        <v>-0.29182502842563141</v>
      </c>
    </row>
    <row r="24" spans="1:14" ht="13.9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 t="shared" si="0"/>
        <v>10990000</v>
      </c>
      <c r="H24" s="74">
        <f t="shared" si="1"/>
        <v>20410000</v>
      </c>
      <c r="I24" s="274">
        <v>10990000</v>
      </c>
      <c r="J24" s="65">
        <f>JJHCC_ADH!F9</f>
        <v>258393.506278947</v>
      </c>
      <c r="K24" s="60">
        <f t="shared" si="4"/>
        <v>-4710000</v>
      </c>
      <c r="L24" s="60">
        <f t="shared" si="5"/>
        <v>-102439.2308344543</v>
      </c>
      <c r="M24" s="61">
        <f t="shared" si="6"/>
        <v>-0.3</v>
      </c>
      <c r="N24" s="61">
        <f t="shared" si="7"/>
        <v>-0.28389672082957385</v>
      </c>
    </row>
    <row r="25" spans="1:14" ht="13.9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81102300</v>
      </c>
      <c r="F25" s="77">
        <f t="shared" si="8"/>
        <v>7576032.3955975948</v>
      </c>
      <c r="G25" s="76">
        <f t="shared" si="8"/>
        <v>56771610</v>
      </c>
      <c r="H25" s="76">
        <f t="shared" si="8"/>
        <v>105432990</v>
      </c>
      <c r="I25" s="83">
        <f t="shared" si="8"/>
        <v>81102299.87560387</v>
      </c>
      <c r="J25" s="275">
        <f t="shared" si="8"/>
        <v>9033815.8833097667</v>
      </c>
      <c r="K25" s="76">
        <f>SUM(K17:K24)</f>
        <v>-0.12439612485468388</v>
      </c>
      <c r="L25" s="275">
        <f>SUM(L17:L24)</f>
        <v>1457783.4877121735</v>
      </c>
      <c r="M25" s="79">
        <f>K25/E25</f>
        <v>-1.5338174731750379E-9</v>
      </c>
      <c r="N25" s="79">
        <f t="shared" si="3"/>
        <v>0.19242044009200465</v>
      </c>
    </row>
    <row r="29" spans="1:14" s="256" customFormat="1" ht="13.9" x14ac:dyDescent="0.3"/>
    <row r="30" spans="1:14" ht="51" x14ac:dyDescent="0.2">
      <c r="A30" s="326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2">
      <c r="A31" s="326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9" customHeight="1" x14ac:dyDescent="0.2">
      <c r="A32" s="318" t="s">
        <v>2</v>
      </c>
      <c r="B32" s="320" t="s">
        <v>3</v>
      </c>
      <c r="C32" s="320" t="str">
        <f t="shared" ref="C32:C42" si="9">D15</f>
        <v>Response Scaling Factor for Sensitivity Analysis</v>
      </c>
      <c r="D32" s="321" t="s">
        <v>86</v>
      </c>
      <c r="E32" s="322"/>
      <c r="F32" s="322"/>
      <c r="G32" s="323"/>
      <c r="H32" s="324" t="s">
        <v>89</v>
      </c>
      <c r="I32" s="325"/>
      <c r="J32" s="325"/>
      <c r="K32" s="321" t="s">
        <v>251</v>
      </c>
      <c r="L32" s="322"/>
      <c r="M32" s="322"/>
      <c r="N32" s="323"/>
    </row>
    <row r="33" spans="1:14" ht="74.45" customHeight="1" x14ac:dyDescent="0.2">
      <c r="A33" s="319"/>
      <c r="B33" s="319"/>
      <c r="C33" s="319">
        <f t="shared" si="9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2">
      <c r="A34" s="54" t="s">
        <v>13</v>
      </c>
      <c r="B34" s="54" t="s">
        <v>93</v>
      </c>
      <c r="C34" s="153">
        <f t="shared" si="9"/>
        <v>1</v>
      </c>
      <c r="D34" s="266">
        <f t="shared" ref="D34:D41" si="10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11">I17</f>
        <v>7788948.7000000002</v>
      </c>
      <c r="I34" s="268">
        <f>J17/$D$31</f>
        <v>259498.53045725002</v>
      </c>
      <c r="J34" s="279">
        <f>I34*$F$31</f>
        <v>290119357.05120552</v>
      </c>
      <c r="K34" s="266">
        <f>H34-D34</f>
        <v>1797449.7000000002</v>
      </c>
      <c r="L34" s="266">
        <f>J34-G34</f>
        <v>66057294.458623379</v>
      </c>
      <c r="M34" s="282">
        <f>K34/D34</f>
        <v>0.30000000000000004</v>
      </c>
      <c r="N34" s="283">
        <f>L34/G34</f>
        <v>0.29481695247417711</v>
      </c>
    </row>
    <row r="35" spans="1:14" x14ac:dyDescent="0.2">
      <c r="A35" s="55" t="s">
        <v>170</v>
      </c>
      <c r="B35" s="55" t="s">
        <v>93</v>
      </c>
      <c r="C35" s="154">
        <f t="shared" si="9"/>
        <v>1</v>
      </c>
      <c r="D35" s="267">
        <f t="shared" si="10"/>
        <v>15610435</v>
      </c>
      <c r="E35" s="265" t="s">
        <v>185</v>
      </c>
      <c r="F35" s="269">
        <f t="shared" ref="F35:F40" si="12">F18/$D$31</f>
        <v>230933.63819705584</v>
      </c>
      <c r="G35" s="271">
        <f t="shared" ref="G35:G40" si="13">F35*$F$31</f>
        <v>258183807.50430843</v>
      </c>
      <c r="H35" s="277">
        <f t="shared" si="11"/>
        <v>20293565.5</v>
      </c>
      <c r="I35" s="269">
        <f t="shared" ref="I35:I40" si="14">J18/$D$31</f>
        <v>300303.17113274895</v>
      </c>
      <c r="J35" s="280">
        <f t="shared" ref="J35:J40" si="15">I35*$F$31</f>
        <v>335738945.32641333</v>
      </c>
      <c r="K35" s="267">
        <f t="shared" ref="K35:K42" si="16">H35-D35</f>
        <v>4683130.5</v>
      </c>
      <c r="L35" s="267">
        <f t="shared" ref="L35:L42" si="17">J35-G35</f>
        <v>77555137.822104901</v>
      </c>
      <c r="M35" s="284">
        <f t="shared" ref="M35:M42" si="18">K35/D35</f>
        <v>0.3</v>
      </c>
      <c r="N35" s="285">
        <f t="shared" ref="N35:N42" si="19">L35/G35</f>
        <v>0.30038730380413459</v>
      </c>
    </row>
    <row r="36" spans="1:14" x14ac:dyDescent="0.2">
      <c r="A36" s="55" t="s">
        <v>104</v>
      </c>
      <c r="B36" s="55" t="s">
        <v>95</v>
      </c>
      <c r="C36" s="154">
        <f t="shared" si="9"/>
        <v>1</v>
      </c>
      <c r="D36" s="267">
        <f t="shared" si="10"/>
        <v>3804716</v>
      </c>
      <c r="E36" s="265" t="s">
        <v>185</v>
      </c>
      <c r="F36" s="269">
        <f t="shared" si="12"/>
        <v>13058.170083390574</v>
      </c>
      <c r="G36" s="271">
        <f t="shared" si="13"/>
        <v>14599034.153230662</v>
      </c>
      <c r="H36" s="277">
        <f t="shared" si="11"/>
        <v>2663301.1999999997</v>
      </c>
      <c r="I36" s="269">
        <f t="shared" si="14"/>
        <v>9140.6147807428988</v>
      </c>
      <c r="J36" s="280">
        <f t="shared" si="15"/>
        <v>10219207.32487056</v>
      </c>
      <c r="K36" s="267">
        <f t="shared" si="16"/>
        <v>-1141414.8000000003</v>
      </c>
      <c r="L36" s="267">
        <f t="shared" si="17"/>
        <v>-4379826.8283601012</v>
      </c>
      <c r="M36" s="284">
        <f t="shared" si="18"/>
        <v>-0.3000000000000001</v>
      </c>
      <c r="N36" s="285">
        <f t="shared" si="19"/>
        <v>-0.30000798562354736</v>
      </c>
    </row>
    <row r="37" spans="1:14" x14ac:dyDescent="0.2">
      <c r="A37" s="55" t="s">
        <v>104</v>
      </c>
      <c r="B37" s="55" t="s">
        <v>94</v>
      </c>
      <c r="C37" s="154">
        <f t="shared" si="9"/>
        <v>1</v>
      </c>
      <c r="D37" s="267">
        <f t="shared" si="10"/>
        <v>4440000</v>
      </c>
      <c r="E37" s="265" t="s">
        <v>185</v>
      </c>
      <c r="F37" s="269">
        <f>F20/$D$31</f>
        <v>2228.0277703496668</v>
      </c>
      <c r="G37" s="271">
        <f>F37*$F$31</f>
        <v>2490935.0472509274</v>
      </c>
      <c r="H37" s="277">
        <f t="shared" si="11"/>
        <v>3108000</v>
      </c>
      <c r="I37" s="269">
        <f t="shared" si="14"/>
        <v>1701.1654528829024</v>
      </c>
      <c r="J37" s="280">
        <f t="shared" si="15"/>
        <v>1901902.9763230849</v>
      </c>
      <c r="K37" s="267">
        <f t="shared" si="16"/>
        <v>-1332000</v>
      </c>
      <c r="L37" s="267">
        <f t="shared" si="17"/>
        <v>-589032.07092784252</v>
      </c>
      <c r="M37" s="284">
        <f t="shared" si="18"/>
        <v>-0.3</v>
      </c>
      <c r="N37" s="285">
        <f t="shared" si="19"/>
        <v>-0.23647026508295205</v>
      </c>
    </row>
    <row r="38" spans="1:14" x14ac:dyDescent="0.2">
      <c r="A38" s="55" t="s">
        <v>104</v>
      </c>
      <c r="B38" s="55" t="s">
        <v>108</v>
      </c>
      <c r="C38" s="154">
        <f t="shared" si="9"/>
        <v>1</v>
      </c>
      <c r="D38" s="267">
        <f t="shared" si="10"/>
        <v>22954000</v>
      </c>
      <c r="E38" s="265" t="s">
        <v>185</v>
      </c>
      <c r="F38" s="269">
        <f t="shared" si="12"/>
        <v>138412.14348311909</v>
      </c>
      <c r="G38" s="271">
        <f t="shared" si="13"/>
        <v>154744776.41412714</v>
      </c>
      <c r="H38" s="277">
        <f t="shared" si="11"/>
        <v>27437329.475603875</v>
      </c>
      <c r="I38" s="269">
        <f t="shared" si="14"/>
        <v>161089.54111888725</v>
      </c>
      <c r="J38" s="280">
        <f t="shared" si="15"/>
        <v>180098106.97091594</v>
      </c>
      <c r="K38" s="267">
        <f t="shared" si="16"/>
        <v>4483329.4756038748</v>
      </c>
      <c r="L38" s="267">
        <f t="shared" si="17"/>
        <v>25353330.556788802</v>
      </c>
      <c r="M38" s="284">
        <f t="shared" si="18"/>
        <v>0.19531800451354339</v>
      </c>
      <c r="N38" s="285">
        <f t="shared" si="19"/>
        <v>0.16383965355275293</v>
      </c>
    </row>
    <row r="39" spans="1:14" x14ac:dyDescent="0.2">
      <c r="A39" s="55" t="s">
        <v>104</v>
      </c>
      <c r="B39" s="55" t="s">
        <v>96</v>
      </c>
      <c r="C39" s="154">
        <f t="shared" si="9"/>
        <v>1</v>
      </c>
      <c r="D39" s="267">
        <f t="shared" si="10"/>
        <v>7818984</v>
      </c>
      <c r="E39" s="265" t="s">
        <v>185</v>
      </c>
      <c r="F39" s="269">
        <f t="shared" si="12"/>
        <v>32808.607210343704</v>
      </c>
      <c r="G39" s="271">
        <f t="shared" si="13"/>
        <v>36680022.861164257</v>
      </c>
      <c r="H39" s="277">
        <f t="shared" si="11"/>
        <v>5473288.7999999998</v>
      </c>
      <c r="I39" s="269">
        <f t="shared" si="14"/>
        <v>23751.326482365839</v>
      </c>
      <c r="J39" s="280">
        <f t="shared" si="15"/>
        <v>26553983.007285006</v>
      </c>
      <c r="K39" s="267">
        <f t="shared" si="16"/>
        <v>-2345695.2000000002</v>
      </c>
      <c r="L39" s="267">
        <f t="shared" si="17"/>
        <v>-10126039.853879251</v>
      </c>
      <c r="M39" s="284">
        <f t="shared" si="18"/>
        <v>-0.30000000000000004</v>
      </c>
      <c r="N39" s="285">
        <f t="shared" si="19"/>
        <v>-0.27606416419659346</v>
      </c>
    </row>
    <row r="40" spans="1:14" x14ac:dyDescent="0.2">
      <c r="A40" s="55" t="s">
        <v>104</v>
      </c>
      <c r="B40" s="55" t="s">
        <v>177</v>
      </c>
      <c r="C40" s="154">
        <f t="shared" si="9"/>
        <v>1</v>
      </c>
      <c r="D40" s="267">
        <f t="shared" si="10"/>
        <v>4782666</v>
      </c>
      <c r="E40" s="265" t="s">
        <v>185</v>
      </c>
      <c r="F40" s="269">
        <f t="shared" si="12"/>
        <v>7922.3256312394515</v>
      </c>
      <c r="G40" s="271">
        <f t="shared" si="13"/>
        <v>8857160.0557257067</v>
      </c>
      <c r="H40" s="277">
        <f t="shared" si="11"/>
        <v>3347866.1999999997</v>
      </c>
      <c r="I40" s="269">
        <f t="shared" si="14"/>
        <v>5610.3927287058905</v>
      </c>
      <c r="J40" s="280">
        <f t="shared" si="15"/>
        <v>6272419.0706931856</v>
      </c>
      <c r="K40" s="267">
        <f t="shared" si="16"/>
        <v>-1434799.8000000003</v>
      </c>
      <c r="L40" s="267">
        <f t="shared" si="17"/>
        <v>-2584740.9850325212</v>
      </c>
      <c r="M40" s="284">
        <f t="shared" si="18"/>
        <v>-0.30000000000000004</v>
      </c>
      <c r="N40" s="285">
        <f t="shared" si="19"/>
        <v>-0.29182502842563141</v>
      </c>
    </row>
    <row r="41" spans="1:14" x14ac:dyDescent="0.2">
      <c r="A41" s="55" t="s">
        <v>104</v>
      </c>
      <c r="B41" s="55" t="s">
        <v>172</v>
      </c>
      <c r="C41" s="154">
        <f t="shared" si="9"/>
        <v>1</v>
      </c>
      <c r="D41" s="267">
        <f t="shared" si="10"/>
        <v>15700000</v>
      </c>
      <c r="E41" s="287" t="s">
        <v>184</v>
      </c>
      <c r="F41" s="269">
        <f t="shared" ref="F41" si="20">F24</f>
        <v>360832.73711340129</v>
      </c>
      <c r="G41" s="271">
        <f>F41*$I$31</f>
        <v>42000930.599999905</v>
      </c>
      <c r="H41" s="277">
        <f t="shared" si="11"/>
        <v>10990000</v>
      </c>
      <c r="I41" s="269">
        <f>J24</f>
        <v>258393.506278947</v>
      </c>
      <c r="J41" s="280">
        <f>I41*$I$31</f>
        <v>30077004.13086943</v>
      </c>
      <c r="K41" s="267">
        <f t="shared" si="16"/>
        <v>-4710000</v>
      </c>
      <c r="L41" s="267">
        <f t="shared" si="17"/>
        <v>-11923926.469130475</v>
      </c>
      <c r="M41" s="284">
        <f t="shared" si="18"/>
        <v>-0.3</v>
      </c>
      <c r="N41" s="285">
        <f t="shared" si="19"/>
        <v>-0.28389672082957379</v>
      </c>
    </row>
    <row r="42" spans="1:14" x14ac:dyDescent="0.2">
      <c r="A42" s="75" t="s">
        <v>104</v>
      </c>
      <c r="B42" s="75" t="s">
        <v>103</v>
      </c>
      <c r="C42" s="75">
        <f t="shared" si="9"/>
        <v>0</v>
      </c>
      <c r="D42" s="76">
        <f>SUM(D34:D41)</f>
        <v>81102300</v>
      </c>
      <c r="E42" s="77"/>
      <c r="F42" s="77"/>
      <c r="G42" s="272">
        <f>SUM(G34:G41)</f>
        <v>741618729.22838914</v>
      </c>
      <c r="H42" s="278">
        <f>SUM(H34:H41)</f>
        <v>81102299.87560387</v>
      </c>
      <c r="I42" s="77"/>
      <c r="J42" s="281">
        <f>SUM(J34:J41)</f>
        <v>880980925.85857594</v>
      </c>
      <c r="K42" s="76">
        <f t="shared" si="16"/>
        <v>-0.12439613044261932</v>
      </c>
      <c r="L42" s="300">
        <f t="shared" si="17"/>
        <v>139362196.6301868</v>
      </c>
      <c r="M42" s="79">
        <f t="shared" si="18"/>
        <v>-1.5338175420748773E-9</v>
      </c>
      <c r="N42" s="286">
        <f t="shared" si="19"/>
        <v>0.18791623126236981</v>
      </c>
    </row>
    <row r="43" spans="1:14" x14ac:dyDescent="0.2">
      <c r="D43" s="288">
        <v>0.54</v>
      </c>
      <c r="E43" s="288">
        <v>0.34</v>
      </c>
      <c r="F43" s="185" t="s">
        <v>246</v>
      </c>
      <c r="G43" s="289">
        <f>SUM(G34:G40)*$E$43 + (G41*$D$43)</f>
        <v>260550554.05765232</v>
      </c>
      <c r="H43" s="256"/>
      <c r="I43" s="183"/>
      <c r="J43" s="289">
        <f>SUM(J34:J40)*$E$43 + (J41*$D$43)</f>
        <v>305548915.61808974</v>
      </c>
      <c r="K43" s="256"/>
      <c r="L43" s="289">
        <f>SUM(L34:L40)*$E$43 + (L41*$D$43)</f>
        <v>44998361.560437456</v>
      </c>
      <c r="M43" s="301">
        <f>L43/L42</f>
        <v>0.32288786090137234</v>
      </c>
      <c r="N43" s="290">
        <f>N42*(L43/L42)</f>
        <v>6.0675869940954176E-2</v>
      </c>
    </row>
    <row r="44" spans="1:14" x14ac:dyDescent="0.2">
      <c r="D44" s="288">
        <v>0.46</v>
      </c>
      <c r="E44" s="288">
        <v>0.39</v>
      </c>
      <c r="F44" s="185" t="s">
        <v>247</v>
      </c>
      <c r="G44" s="289">
        <f>SUM(G34:G40)*$E$44 + (G41*$D$44)</f>
        <v>292171369.54107177</v>
      </c>
      <c r="H44" s="256"/>
      <c r="I44" s="183"/>
      <c r="J44" s="289">
        <f>SUM(J34:J40)*$E$44 + (J41*$D$44)</f>
        <v>345687951.3740055</v>
      </c>
      <c r="K44" s="256"/>
      <c r="L44" s="289">
        <f>SUM(L34:L40)*$E$44 + (L41*$D$44)</f>
        <v>53516581.832933761</v>
      </c>
      <c r="M44" s="301">
        <f>L44/L42</f>
        <v>0.38401075131548051</v>
      </c>
      <c r="N44" s="290">
        <f>N42*(L44/L42)</f>
        <v>7.2161853151436223E-2</v>
      </c>
    </row>
    <row r="45" spans="1:14" x14ac:dyDescent="0.2">
      <c r="D45" s="288">
        <v>0</v>
      </c>
      <c r="E45" s="288">
        <v>0.27</v>
      </c>
      <c r="F45" s="185" t="s">
        <v>248</v>
      </c>
      <c r="G45" s="289">
        <f>SUM(G34:G40)*$E$45 + (G41*$D$45)</f>
        <v>188896805.62966511</v>
      </c>
      <c r="H45" s="256"/>
      <c r="I45" s="183"/>
      <c r="J45" s="289">
        <f>SUM(J34:J40)*$E$45 + (J41*$D$45)</f>
        <v>229744058.8664808</v>
      </c>
      <c r="K45" s="256"/>
      <c r="L45" s="289">
        <f>SUM(L34:L40)*$E$45 + (L41*$D$45)</f>
        <v>40847253.236815691</v>
      </c>
      <c r="M45" s="301">
        <f>L45/L42</f>
        <v>0.29310138778314793</v>
      </c>
      <c r="N45" s="290">
        <f>N42*(L45/L42)</f>
        <v>5.5078508169979556E-2</v>
      </c>
    </row>
    <row r="46" spans="1:14" x14ac:dyDescent="0.2">
      <c r="D46" s="1" t="s">
        <v>184</v>
      </c>
      <c r="E46" s="1" t="s">
        <v>271</v>
      </c>
    </row>
    <row r="47" spans="1:14" ht="25.5" x14ac:dyDescent="0.2">
      <c r="D47" s="186" t="s">
        <v>272</v>
      </c>
    </row>
  </sheetData>
  <mergeCells count="18"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  <mergeCell ref="A32:A33"/>
    <mergeCell ref="B32:B33"/>
    <mergeCell ref="C32:C33"/>
    <mergeCell ref="D32:G32"/>
    <mergeCell ref="H32:J32"/>
    <mergeCell ref="K32:N32"/>
    <mergeCell ref="A30:A31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D1" workbookViewId="0">
      <selection activeCell="D9" sqref="D9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5.425781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3" width="8.85546875" style="1"/>
    <col min="14" max="14" width="10.5703125" style="1" customWidth="1"/>
    <col min="15" max="16384" width="8.85546875" style="1"/>
  </cols>
  <sheetData>
    <row r="1" spans="1:14" ht="14.45" thickBot="1" x14ac:dyDescent="0.35">
      <c r="A1" s="6" t="s">
        <v>0</v>
      </c>
      <c r="B1" s="1" t="s">
        <v>139</v>
      </c>
    </row>
    <row r="2" spans="1:14" ht="16.149999999999999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49" t="s">
        <v>105</v>
      </c>
      <c r="I2" s="350"/>
      <c r="J2" s="350"/>
      <c r="K2" s="350"/>
      <c r="L2" s="350"/>
      <c r="M2" s="350"/>
      <c r="N2" s="351"/>
    </row>
    <row r="3" spans="1:14" ht="14.45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52" t="s">
        <v>136</v>
      </c>
      <c r="I3" s="353"/>
      <c r="J3" s="353"/>
      <c r="K3" s="353"/>
      <c r="L3" s="353"/>
      <c r="M3" s="353"/>
      <c r="N3" s="354"/>
    </row>
    <row r="4" spans="1:14" ht="18.600000000000001" customHeight="1" thickBot="1" x14ac:dyDescent="0.35">
      <c r="A4" s="29" t="s">
        <v>38</v>
      </c>
      <c r="B4" s="355" t="s">
        <v>131</v>
      </c>
      <c r="C4" s="356"/>
      <c r="D4" s="356"/>
      <c r="E4" s="356"/>
      <c r="F4" s="357"/>
    </row>
    <row r="6" spans="1:14" ht="14.45" thickBot="1" x14ac:dyDescent="0.35"/>
    <row r="7" spans="1:14" ht="27.6" customHeight="1" x14ac:dyDescent="0.2">
      <c r="A7" s="338" t="s">
        <v>8</v>
      </c>
      <c r="B7" s="341" t="s">
        <v>9</v>
      </c>
      <c r="C7" s="342"/>
      <c r="D7" s="358" t="s">
        <v>12</v>
      </c>
      <c r="E7" s="341"/>
      <c r="F7" s="342"/>
      <c r="G7" s="358" t="s">
        <v>143</v>
      </c>
      <c r="H7" s="341"/>
      <c r="I7" s="343"/>
      <c r="J7" s="1" t="s">
        <v>144</v>
      </c>
    </row>
    <row r="8" spans="1:14" ht="25.5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3.5" thickBot="1" x14ac:dyDescent="0.25">
      <c r="A9" s="340"/>
      <c r="B9" s="112">
        <f>JJ_Optim_Scenario!G17</f>
        <v>4194049.3</v>
      </c>
      <c r="C9" s="113">
        <f>JJ_Optim_Scenario!H17</f>
        <v>7788948.7000000002</v>
      </c>
      <c r="D9" s="114">
        <f>JJ_Optim_Scenario!I17</f>
        <v>7788948.7000000002</v>
      </c>
      <c r="E9" s="119">
        <f>$B$13*D9+$C$13*D9*D9</f>
        <v>259498.53045724996</v>
      </c>
      <c r="F9" s="85">
        <f>$E$13*D9+$F$13*D9*D9</f>
        <v>2992018.0561720924</v>
      </c>
      <c r="G9" s="120">
        <f>JJ_Optim_Scenario!E17</f>
        <v>5991499</v>
      </c>
      <c r="H9" s="121">
        <f>$B$13*G9+$C$13*G9*G9</f>
        <v>200413.29391107528</v>
      </c>
      <c r="I9" s="115">
        <f>$E$13*G9+$F$13*G9*G9</f>
        <v>2310765.2787946975</v>
      </c>
      <c r="J9" s="123">
        <f>G9/I9</f>
        <v>2.5928635223068546</v>
      </c>
      <c r="K9" s="1" t="s">
        <v>142</v>
      </c>
    </row>
    <row r="10" spans="1:14" ht="14.45" thickBot="1" x14ac:dyDescent="0.35"/>
    <row r="11" spans="1:14" ht="50.45" customHeight="1" x14ac:dyDescent="0.2">
      <c r="A11" s="338" t="s">
        <v>42</v>
      </c>
      <c r="B11" s="341" t="s">
        <v>138</v>
      </c>
      <c r="C11" s="341"/>
      <c r="D11" s="341" t="s">
        <v>125</v>
      </c>
      <c r="E11" s="341" t="s">
        <v>137</v>
      </c>
      <c r="F11" s="341"/>
      <c r="G11" s="343" t="s">
        <v>134</v>
      </c>
      <c r="I11" s="141"/>
      <c r="J11" s="32"/>
    </row>
    <row r="12" spans="1:14" ht="24.6" customHeight="1" x14ac:dyDescent="0.2">
      <c r="A12" s="339"/>
      <c r="B12" s="91" t="s">
        <v>43</v>
      </c>
      <c r="C12" s="91" t="s">
        <v>44</v>
      </c>
      <c r="D12" s="326"/>
      <c r="E12" s="91" t="s">
        <v>132</v>
      </c>
      <c r="F12" s="91" t="s">
        <v>133</v>
      </c>
      <c r="G12" s="344"/>
      <c r="H12" s="298" t="s">
        <v>267</v>
      </c>
      <c r="I12" s="298" t="s">
        <v>268</v>
      </c>
      <c r="J12" s="32"/>
    </row>
    <row r="13" spans="1:14" ht="13.5" thickBot="1" x14ac:dyDescent="0.25">
      <c r="A13" s="340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9" customHeight="1" x14ac:dyDescent="0.2">
      <c r="A14" s="345" t="s">
        <v>135</v>
      </c>
      <c r="B14" s="345"/>
      <c r="C14" s="345"/>
      <c r="D14" s="345"/>
      <c r="E14" s="345"/>
      <c r="F14" s="345"/>
      <c r="G14" s="345"/>
      <c r="H14" s="39"/>
      <c r="I14" s="39"/>
      <c r="J14" s="39"/>
    </row>
    <row r="15" spans="1:14" ht="30.6" customHeight="1" x14ac:dyDescent="0.2">
      <c r="A15" s="346"/>
      <c r="B15" s="346"/>
      <c r="C15" s="346"/>
      <c r="D15" s="346"/>
      <c r="E15" s="346"/>
      <c r="F15" s="346"/>
      <c r="G15" s="346"/>
      <c r="H15" s="39"/>
      <c r="I15" s="39"/>
      <c r="J15" s="39"/>
    </row>
    <row r="17" spans="1:4" ht="14.45" thickBot="1" x14ac:dyDescent="0.35"/>
    <row r="18" spans="1:4" ht="16.899999999999999" customHeight="1" x14ac:dyDescent="0.2">
      <c r="A18" s="347" t="s">
        <v>34</v>
      </c>
      <c r="B18" s="93" t="s">
        <v>32</v>
      </c>
      <c r="C18" s="93" t="s">
        <v>31</v>
      </c>
      <c r="D18" s="15" t="s">
        <v>33</v>
      </c>
    </row>
    <row r="19" spans="1:4" ht="23.45" customHeight="1" thickBot="1" x14ac:dyDescent="0.25">
      <c r="A19" s="348"/>
      <c r="B19" s="103">
        <v>0</v>
      </c>
      <c r="C19" s="103">
        <v>15000000</v>
      </c>
      <c r="D19" s="26">
        <v>20</v>
      </c>
    </row>
    <row r="21" spans="1:4" ht="13.9" x14ac:dyDescent="0.3">
      <c r="A21" s="326" t="s">
        <v>37</v>
      </c>
      <c r="B21" s="326"/>
      <c r="C21" s="32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ht="13.9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ht="13.9" x14ac:dyDescent="0.3">
      <c r="A24" s="122">
        <f>A23+(($C$19-$B$19)/$D$19)</f>
        <v>750000</v>
      </c>
      <c r="B24" s="116">
        <f t="shared" ref="B24:B43" si="0">$B$13*A24+$C$13*A24*A24</f>
        <v>25378.876892208733</v>
      </c>
      <c r="C24" s="116">
        <f t="shared" ref="C24:C43" si="1">$E$13*A24+$F$13*A24*A24</f>
        <v>292618.45056716667</v>
      </c>
      <c r="D24" s="299">
        <f t="shared" ref="D24:D43" si="2">B24*$I$13</f>
        <v>28373584.365489364</v>
      </c>
    </row>
    <row r="25" spans="1:4" ht="13.9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ht="13.9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ht="13.9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ht="13.9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2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2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2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2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2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2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2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2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2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2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2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2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2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2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2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9" sqref="D9"/>
    </sheetView>
  </sheetViews>
  <sheetFormatPr defaultColWidth="8.85546875" defaultRowHeight="12.75" x14ac:dyDescent="0.2"/>
  <cols>
    <col min="1" max="1" width="12.140625" style="1" customWidth="1"/>
    <col min="2" max="2" width="11.85546875" style="1" customWidth="1"/>
    <col min="3" max="3" width="11" style="1" customWidth="1"/>
    <col min="4" max="4" width="14.28515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3" width="8.85546875" style="1"/>
    <col min="14" max="14" width="10.5703125" style="1" customWidth="1"/>
    <col min="15" max="16384" width="8.85546875" style="1"/>
  </cols>
  <sheetData>
    <row r="1" spans="1:14" ht="14.45" thickBot="1" x14ac:dyDescent="0.35">
      <c r="A1" s="6" t="s">
        <v>0</v>
      </c>
      <c r="B1" s="1" t="s">
        <v>141</v>
      </c>
    </row>
    <row r="2" spans="1:14" ht="16.149999999999999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49" t="s">
        <v>105</v>
      </c>
      <c r="I2" s="350"/>
      <c r="J2" s="350"/>
      <c r="K2" s="350"/>
      <c r="L2" s="350"/>
      <c r="M2" s="350"/>
      <c r="N2" s="351"/>
    </row>
    <row r="3" spans="1:14" ht="14.45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52" t="s">
        <v>136</v>
      </c>
      <c r="I3" s="353"/>
      <c r="J3" s="353"/>
      <c r="K3" s="353"/>
      <c r="L3" s="353"/>
      <c r="M3" s="353"/>
      <c r="N3" s="354"/>
    </row>
    <row r="4" spans="1:14" ht="18.600000000000001" customHeight="1" thickBot="1" x14ac:dyDescent="0.35">
      <c r="A4" s="29" t="s">
        <v>38</v>
      </c>
      <c r="B4" s="355" t="s">
        <v>131</v>
      </c>
      <c r="C4" s="356"/>
      <c r="D4" s="356"/>
      <c r="E4" s="356"/>
      <c r="F4" s="357"/>
    </row>
    <row r="6" spans="1:14" ht="14.45" thickBot="1" x14ac:dyDescent="0.35"/>
    <row r="7" spans="1:14" ht="27.6" customHeight="1" x14ac:dyDescent="0.2">
      <c r="A7" s="338" t="s">
        <v>8</v>
      </c>
      <c r="B7" s="341" t="s">
        <v>9</v>
      </c>
      <c r="C7" s="342"/>
      <c r="D7" s="358" t="s">
        <v>12</v>
      </c>
      <c r="E7" s="341"/>
      <c r="F7" s="342"/>
      <c r="G7" s="358" t="s">
        <v>143</v>
      </c>
      <c r="H7" s="341"/>
      <c r="I7" s="343"/>
      <c r="J7" s="1" t="s">
        <v>144</v>
      </c>
    </row>
    <row r="8" spans="1:14" ht="25.5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3.5" thickBot="1" x14ac:dyDescent="0.25">
      <c r="A9" s="340"/>
      <c r="B9" s="112">
        <f>JJ_Optim_Scenario!G18</f>
        <v>10927304.5</v>
      </c>
      <c r="C9" s="113">
        <f>JJ_Optim_Scenario!H18</f>
        <v>20293565.5</v>
      </c>
      <c r="D9" s="114">
        <f>JJ_Optim_Scenario!I18</f>
        <v>20293565.5</v>
      </c>
      <c r="E9" s="119">
        <f>$B$13*D9+$C$13*D9*D9</f>
        <v>300303.17113274895</v>
      </c>
      <c r="F9" s="85">
        <f>$E$13*D9+$F$13*D9*D9</f>
        <v>3462495.5631605955</v>
      </c>
      <c r="G9" s="120">
        <f>JJ_Optim_Scenario!E18</f>
        <v>15610435</v>
      </c>
      <c r="H9" s="121">
        <f>$B$13*G9+$C$13*G9*G9</f>
        <v>230933.63819705584</v>
      </c>
      <c r="I9" s="115">
        <f>$E$13*G9+$F$13*G9*G9</f>
        <v>2662664.8484120537</v>
      </c>
      <c r="J9" s="123">
        <f>G9/I9</f>
        <v>5.862711189246995</v>
      </c>
      <c r="K9" s="1" t="s">
        <v>142</v>
      </c>
    </row>
    <row r="10" spans="1:14" ht="14.45" thickBot="1" x14ac:dyDescent="0.35"/>
    <row r="11" spans="1:14" ht="50.45" customHeight="1" x14ac:dyDescent="0.2">
      <c r="A11" s="338" t="s">
        <v>42</v>
      </c>
      <c r="B11" s="341" t="s">
        <v>138</v>
      </c>
      <c r="C11" s="341"/>
      <c r="D11" s="341" t="s">
        <v>125</v>
      </c>
      <c r="E11" s="341" t="s">
        <v>137</v>
      </c>
      <c r="F11" s="341"/>
      <c r="G11" s="343" t="s">
        <v>134</v>
      </c>
      <c r="J11" s="32"/>
    </row>
    <row r="12" spans="1:14" ht="24.6" customHeight="1" x14ac:dyDescent="0.2">
      <c r="A12" s="339"/>
      <c r="B12" s="91" t="s">
        <v>43</v>
      </c>
      <c r="C12" s="91" t="s">
        <v>44</v>
      </c>
      <c r="D12" s="326"/>
      <c r="E12" s="91" t="s">
        <v>132</v>
      </c>
      <c r="F12" s="91" t="s">
        <v>133</v>
      </c>
      <c r="G12" s="344"/>
      <c r="H12" s="298" t="s">
        <v>267</v>
      </c>
      <c r="I12" s="298" t="s">
        <v>268</v>
      </c>
      <c r="J12" s="32"/>
    </row>
    <row r="13" spans="1:14" ht="13.5" thickBot="1" x14ac:dyDescent="0.25">
      <c r="A13" s="340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9" customHeight="1" x14ac:dyDescent="0.2">
      <c r="A14" s="345" t="s">
        <v>135</v>
      </c>
      <c r="B14" s="345"/>
      <c r="C14" s="345"/>
      <c r="D14" s="345"/>
      <c r="E14" s="345"/>
      <c r="F14" s="345"/>
      <c r="G14" s="345"/>
      <c r="H14" s="39"/>
      <c r="I14" s="39"/>
      <c r="J14" s="39"/>
    </row>
    <row r="15" spans="1:14" ht="30.6" customHeight="1" x14ac:dyDescent="0.2">
      <c r="A15" s="346"/>
      <c r="B15" s="346"/>
      <c r="C15" s="346"/>
      <c r="D15" s="346"/>
      <c r="E15" s="346"/>
      <c r="F15" s="346"/>
      <c r="G15" s="346"/>
      <c r="H15" s="39"/>
      <c r="I15" s="39"/>
      <c r="J15" s="39"/>
    </row>
    <row r="17" spans="1:4" ht="14.45" thickBot="1" x14ac:dyDescent="0.35"/>
    <row r="18" spans="1:4" ht="16.899999999999999" customHeight="1" x14ac:dyDescent="0.2">
      <c r="A18" s="347" t="s">
        <v>34</v>
      </c>
      <c r="B18" s="93" t="s">
        <v>32</v>
      </c>
      <c r="C18" s="93" t="s">
        <v>31</v>
      </c>
      <c r="D18" s="15" t="s">
        <v>33</v>
      </c>
    </row>
    <row r="19" spans="1:4" ht="23.45" customHeight="1" thickBot="1" x14ac:dyDescent="0.25">
      <c r="A19" s="348"/>
      <c r="B19" s="103">
        <v>0</v>
      </c>
      <c r="C19" s="103">
        <v>40000000</v>
      </c>
      <c r="D19" s="26">
        <v>20</v>
      </c>
    </row>
    <row r="21" spans="1:4" ht="13.9" x14ac:dyDescent="0.3">
      <c r="A21" s="326" t="s">
        <v>37</v>
      </c>
      <c r="B21" s="326"/>
      <c r="C21" s="32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ht="13.9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ht="13.9" x14ac:dyDescent="0.3">
      <c r="A24" s="122">
        <f>A23+(($C$19-$B$19)/$D$19)</f>
        <v>2000000</v>
      </c>
      <c r="B24" s="116">
        <f t="shared" ref="B24:B43" si="0">$B$13*A24+$C$13*A24*A24</f>
        <v>29561.46752068662</v>
      </c>
      <c r="C24" s="116">
        <f t="shared" ref="C24:C43" si="1">$E$13*A24+$F$13*A24*A24</f>
        <v>340843.72051351675</v>
      </c>
      <c r="D24" s="299">
        <f t="shared" ref="D24:D43" si="2">B24*$I$13</f>
        <v>33049720.688127641</v>
      </c>
    </row>
    <row r="25" spans="1:4" ht="13.9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ht="13.9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ht="13.9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ht="13.9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2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2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2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2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2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2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2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2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2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2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2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2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2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2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2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9" sqref="D9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4.425781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3" width="8.85546875" style="1"/>
    <col min="14" max="14" width="10.5703125" style="1" customWidth="1"/>
    <col min="15" max="16384" width="8.85546875" style="1"/>
  </cols>
  <sheetData>
    <row r="1" spans="1:14" ht="14.45" thickBot="1" x14ac:dyDescent="0.35">
      <c r="A1" s="6" t="s">
        <v>0</v>
      </c>
      <c r="B1" s="1" t="s">
        <v>145</v>
      </c>
    </row>
    <row r="2" spans="1:14" ht="16.149999999999999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49" t="s">
        <v>105</v>
      </c>
      <c r="I2" s="350"/>
      <c r="J2" s="350"/>
      <c r="K2" s="350"/>
      <c r="L2" s="350"/>
      <c r="M2" s="350"/>
      <c r="N2" s="351"/>
    </row>
    <row r="3" spans="1:14" ht="14.45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52" t="s">
        <v>136</v>
      </c>
      <c r="I3" s="353"/>
      <c r="J3" s="353"/>
      <c r="K3" s="353"/>
      <c r="L3" s="353"/>
      <c r="M3" s="353"/>
      <c r="N3" s="354"/>
    </row>
    <row r="4" spans="1:14" ht="18.600000000000001" customHeight="1" thickBot="1" x14ac:dyDescent="0.35">
      <c r="A4" s="29" t="s">
        <v>38</v>
      </c>
      <c r="B4" s="355" t="s">
        <v>131</v>
      </c>
      <c r="C4" s="356"/>
      <c r="D4" s="356"/>
      <c r="E4" s="356"/>
      <c r="F4" s="357"/>
    </row>
    <row r="6" spans="1:14" ht="14.45" thickBot="1" x14ac:dyDescent="0.35"/>
    <row r="7" spans="1:14" ht="27.6" customHeight="1" x14ac:dyDescent="0.2">
      <c r="A7" s="338" t="s">
        <v>8</v>
      </c>
      <c r="B7" s="341" t="s">
        <v>9</v>
      </c>
      <c r="C7" s="342"/>
      <c r="D7" s="358" t="s">
        <v>12</v>
      </c>
      <c r="E7" s="341"/>
      <c r="F7" s="342"/>
      <c r="G7" s="358" t="s">
        <v>143</v>
      </c>
      <c r="H7" s="341"/>
      <c r="I7" s="343"/>
      <c r="J7" s="1" t="s">
        <v>144</v>
      </c>
    </row>
    <row r="8" spans="1:14" ht="25.5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3.5" thickBot="1" x14ac:dyDescent="0.25">
      <c r="A9" s="340"/>
      <c r="B9" s="112">
        <v>0</v>
      </c>
      <c r="C9" s="113">
        <v>50000000</v>
      </c>
      <c r="D9" s="114">
        <v>21601934</v>
      </c>
      <c r="E9" s="119">
        <f>$B$13*D9+$C$13*D9*D9</f>
        <v>402592.96987355122</v>
      </c>
      <c r="F9" s="85">
        <f>$E$13*D9+$F$13*D9*D9</f>
        <v>4641896.9426420452</v>
      </c>
      <c r="G9" s="120">
        <v>21601934</v>
      </c>
      <c r="H9" s="121">
        <f>$B$13*G9+$C$13*G9*G9</f>
        <v>402592.96987355122</v>
      </c>
      <c r="I9" s="115">
        <f>$E$13*G9+$F$13*G9*G9</f>
        <v>4641896.9426420452</v>
      </c>
      <c r="J9" s="123">
        <f>G9/I9</f>
        <v>4.6536866860522652</v>
      </c>
      <c r="K9" s="1" t="s">
        <v>142</v>
      </c>
    </row>
    <row r="10" spans="1:14" ht="14.45" thickBot="1" x14ac:dyDescent="0.35"/>
    <row r="11" spans="1:14" ht="50.45" customHeight="1" x14ac:dyDescent="0.2">
      <c r="A11" s="338" t="s">
        <v>42</v>
      </c>
      <c r="B11" s="341" t="s">
        <v>138</v>
      </c>
      <c r="C11" s="341"/>
      <c r="D11" s="341" t="s">
        <v>125</v>
      </c>
      <c r="E11" s="341" t="s">
        <v>137</v>
      </c>
      <c r="F11" s="341"/>
      <c r="G11" s="343" t="s">
        <v>134</v>
      </c>
      <c r="J11" s="32"/>
    </row>
    <row r="12" spans="1:14" ht="24.6" customHeight="1" x14ac:dyDescent="0.2">
      <c r="A12" s="339"/>
      <c r="B12" s="91" t="s">
        <v>43</v>
      </c>
      <c r="C12" s="91" t="s">
        <v>44</v>
      </c>
      <c r="D12" s="326"/>
      <c r="E12" s="91" t="s">
        <v>132</v>
      </c>
      <c r="F12" s="91" t="s">
        <v>133</v>
      </c>
      <c r="G12" s="344"/>
      <c r="H12" s="298" t="s">
        <v>267</v>
      </c>
      <c r="I12" s="298" t="s">
        <v>268</v>
      </c>
      <c r="J12" s="32"/>
    </row>
    <row r="13" spans="1:14" ht="13.5" thickBot="1" x14ac:dyDescent="0.25">
      <c r="A13" s="340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9" customHeight="1" x14ac:dyDescent="0.2">
      <c r="A14" s="345" t="s">
        <v>135</v>
      </c>
      <c r="B14" s="345"/>
      <c r="C14" s="345"/>
      <c r="D14" s="345"/>
      <c r="E14" s="345"/>
      <c r="F14" s="345"/>
      <c r="G14" s="345"/>
      <c r="H14" s="39"/>
      <c r="I14" s="39"/>
      <c r="J14" s="39"/>
    </row>
    <row r="15" spans="1:14" ht="30.6" customHeight="1" x14ac:dyDescent="0.2">
      <c r="A15" s="346"/>
      <c r="B15" s="346"/>
      <c r="C15" s="346"/>
      <c r="D15" s="346"/>
      <c r="E15" s="346"/>
      <c r="F15" s="346"/>
      <c r="G15" s="346"/>
      <c r="H15" s="39"/>
      <c r="I15" s="39"/>
      <c r="J15" s="39"/>
    </row>
    <row r="17" spans="1:4" ht="14.45" thickBot="1" x14ac:dyDescent="0.35"/>
    <row r="18" spans="1:4" ht="16.899999999999999" customHeight="1" x14ac:dyDescent="0.2">
      <c r="A18" s="347" t="s">
        <v>34</v>
      </c>
      <c r="B18" s="93" t="s">
        <v>32</v>
      </c>
      <c r="C18" s="93" t="s">
        <v>31</v>
      </c>
      <c r="D18" s="15" t="s">
        <v>33</v>
      </c>
    </row>
    <row r="19" spans="1:4" ht="23.45" customHeight="1" thickBot="1" x14ac:dyDescent="0.25">
      <c r="A19" s="348"/>
      <c r="B19" s="103">
        <v>0</v>
      </c>
      <c r="C19" s="103">
        <v>60000000</v>
      </c>
      <c r="D19" s="26">
        <v>20</v>
      </c>
    </row>
    <row r="21" spans="1:4" ht="13.9" x14ac:dyDescent="0.3">
      <c r="A21" s="326" t="s">
        <v>37</v>
      </c>
      <c r="B21" s="326"/>
      <c r="C21" s="32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ht="13.9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ht="13.9" x14ac:dyDescent="0.3">
      <c r="A24" s="122">
        <f>A23+(($C$19-$B$19)/$D$19)</f>
        <v>3000000</v>
      </c>
      <c r="B24" s="116">
        <f t="shared" ref="B24:B43" si="0">$B$13*A24+$C$13*A24*A24</f>
        <v>55854.365811933487</v>
      </c>
      <c r="C24" s="116">
        <f t="shared" ref="C24:C43" si="1">$E$13*A24+$F$13*A24*A24</f>
        <v>644000.83781159297</v>
      </c>
      <c r="D24" s="299">
        <f t="shared" ref="D24:D43" si="2">B24*$I$13</f>
        <v>62445180.977741636</v>
      </c>
    </row>
    <row r="25" spans="1:4" ht="13.9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ht="13.9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ht="13.9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ht="13.9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2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2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2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2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2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2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2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2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2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2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2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2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2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2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2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G9" sqref="G9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3" width="8.85546875" style="1"/>
    <col min="14" max="14" width="10.5703125" style="1" customWidth="1"/>
    <col min="15" max="16384" width="8.85546875" style="1"/>
  </cols>
  <sheetData>
    <row r="1" spans="1:14" ht="14.45" thickBot="1" x14ac:dyDescent="0.35">
      <c r="A1" s="6" t="s">
        <v>0</v>
      </c>
      <c r="B1" s="1" t="s">
        <v>145</v>
      </c>
    </row>
    <row r="2" spans="1:14" ht="16.149999999999999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49" t="s">
        <v>105</v>
      </c>
      <c r="I2" s="350"/>
      <c r="J2" s="350"/>
      <c r="K2" s="350"/>
      <c r="L2" s="350"/>
      <c r="M2" s="350"/>
      <c r="N2" s="351"/>
    </row>
    <row r="3" spans="1:14" ht="14.45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52" t="s">
        <v>136</v>
      </c>
      <c r="I3" s="353"/>
      <c r="J3" s="353"/>
      <c r="K3" s="353"/>
      <c r="L3" s="353"/>
      <c r="M3" s="353"/>
      <c r="N3" s="354"/>
    </row>
    <row r="4" spans="1:14" ht="18.600000000000001" customHeight="1" thickBot="1" x14ac:dyDescent="0.35">
      <c r="A4" s="29" t="s">
        <v>38</v>
      </c>
      <c r="B4" s="355" t="s">
        <v>131</v>
      </c>
      <c r="C4" s="356"/>
      <c r="D4" s="356"/>
      <c r="E4" s="356"/>
      <c r="F4" s="357"/>
    </row>
    <row r="6" spans="1:14" ht="14.45" thickBot="1" x14ac:dyDescent="0.35"/>
    <row r="7" spans="1:14" ht="27.6" customHeight="1" x14ac:dyDescent="0.2">
      <c r="A7" s="338" t="s">
        <v>8</v>
      </c>
      <c r="B7" s="341" t="s">
        <v>9</v>
      </c>
      <c r="C7" s="342"/>
      <c r="D7" s="358" t="s">
        <v>12</v>
      </c>
      <c r="E7" s="341"/>
      <c r="F7" s="342"/>
      <c r="G7" s="358" t="s">
        <v>143</v>
      </c>
      <c r="H7" s="341"/>
      <c r="I7" s="343"/>
      <c r="J7" s="1" t="s">
        <v>144</v>
      </c>
    </row>
    <row r="8" spans="1:14" ht="25.5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3.5" thickBot="1" x14ac:dyDescent="0.25">
      <c r="A9" s="340"/>
      <c r="B9" s="112">
        <f>JJ_Optim_Scenario!G19</f>
        <v>2663301.1999999997</v>
      </c>
      <c r="C9" s="113">
        <f>JJ_Optim_Scenario!H19</f>
        <v>4946130.8</v>
      </c>
      <c r="D9" s="114">
        <f>JJ_Optim_Scenario!I19</f>
        <v>2663301.1999999997</v>
      </c>
      <c r="E9" s="119">
        <f>$B$13*D9+$C$13*D9*D9</f>
        <v>9140.6147807429006</v>
      </c>
      <c r="F9" s="85">
        <f>$E$13*D9+$F$13*D9*D9</f>
        <v>105391.28842196563</v>
      </c>
      <c r="G9" s="120">
        <f>JJ_Optim_Scenario!E19</f>
        <v>3804716</v>
      </c>
      <c r="H9" s="121">
        <f>$B$13*G9+$C$13*G9*G9</f>
        <v>13058.170083390574</v>
      </c>
      <c r="I9" s="115">
        <f>$E$13*G9+$F$13*G9*G9</f>
        <v>150560.70106149331</v>
      </c>
      <c r="J9" s="123">
        <f>G9/I9</f>
        <v>25.270312725536826</v>
      </c>
      <c r="K9" s="1" t="s">
        <v>142</v>
      </c>
    </row>
    <row r="10" spans="1:14" ht="14.45" thickBot="1" x14ac:dyDescent="0.35"/>
    <row r="11" spans="1:14" ht="50.45" customHeight="1" x14ac:dyDescent="0.2">
      <c r="A11" s="338" t="s">
        <v>42</v>
      </c>
      <c r="B11" s="341" t="s">
        <v>138</v>
      </c>
      <c r="C11" s="341"/>
      <c r="D11" s="341" t="s">
        <v>125</v>
      </c>
      <c r="E11" s="341" t="s">
        <v>137</v>
      </c>
      <c r="F11" s="341"/>
      <c r="G11" s="343" t="s">
        <v>134</v>
      </c>
      <c r="J11" s="32"/>
    </row>
    <row r="12" spans="1:14" ht="24.6" customHeight="1" x14ac:dyDescent="0.2">
      <c r="A12" s="339"/>
      <c r="B12" s="91" t="s">
        <v>43</v>
      </c>
      <c r="C12" s="91" t="s">
        <v>44</v>
      </c>
      <c r="D12" s="326"/>
      <c r="E12" s="91" t="s">
        <v>132</v>
      </c>
      <c r="F12" s="91" t="s">
        <v>133</v>
      </c>
      <c r="G12" s="344"/>
      <c r="H12" s="298" t="s">
        <v>267</v>
      </c>
      <c r="I12" s="298" t="s">
        <v>268</v>
      </c>
      <c r="J12" s="32"/>
    </row>
    <row r="13" spans="1:14" ht="13.5" thickBot="1" x14ac:dyDescent="0.25">
      <c r="A13" s="340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9" customHeight="1" x14ac:dyDescent="0.2">
      <c r="A14" s="345" t="s">
        <v>135</v>
      </c>
      <c r="B14" s="345"/>
      <c r="C14" s="345"/>
      <c r="D14" s="345"/>
      <c r="E14" s="345"/>
      <c r="F14" s="345"/>
      <c r="G14" s="345"/>
      <c r="H14" s="39"/>
      <c r="I14" s="39"/>
      <c r="J14" s="39"/>
    </row>
    <row r="15" spans="1:14" ht="30.6" customHeight="1" x14ac:dyDescent="0.2">
      <c r="A15" s="346"/>
      <c r="B15" s="346"/>
      <c r="C15" s="346"/>
      <c r="D15" s="346"/>
      <c r="E15" s="346"/>
      <c r="F15" s="346"/>
      <c r="G15" s="346"/>
      <c r="H15" s="39"/>
      <c r="I15" s="39"/>
      <c r="J15" s="39"/>
    </row>
    <row r="17" spans="1:4" ht="14.45" thickBot="1" x14ac:dyDescent="0.35"/>
    <row r="18" spans="1:4" ht="16.899999999999999" customHeight="1" x14ac:dyDescent="0.2">
      <c r="A18" s="347" t="s">
        <v>34</v>
      </c>
      <c r="B18" s="93" t="s">
        <v>32</v>
      </c>
      <c r="C18" s="93" t="s">
        <v>31</v>
      </c>
      <c r="D18" s="15" t="s">
        <v>33</v>
      </c>
    </row>
    <row r="19" spans="1:4" ht="23.45" customHeight="1" thickBot="1" x14ac:dyDescent="0.25">
      <c r="A19" s="348"/>
      <c r="B19" s="103">
        <v>0</v>
      </c>
      <c r="C19" s="103">
        <v>10000000</v>
      </c>
      <c r="D19" s="26">
        <v>20</v>
      </c>
    </row>
    <row r="21" spans="1:4" ht="13.9" x14ac:dyDescent="0.3">
      <c r="A21" s="326" t="s">
        <v>37</v>
      </c>
      <c r="B21" s="326"/>
      <c r="C21" s="32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ht="13.9" x14ac:dyDescent="0.3">
      <c r="A23" s="122">
        <f>B19</f>
        <v>0</v>
      </c>
      <c r="B23" s="116">
        <f>$B$13*A23+$C$13*A23*A23</f>
        <v>0</v>
      </c>
      <c r="C23" s="116">
        <f>$E$13*A23+$F$13*A23*A23</f>
        <v>0</v>
      </c>
      <c r="D23" s="299">
        <f>B23*$I$13</f>
        <v>0</v>
      </c>
    </row>
    <row r="24" spans="1:4" ht="13.9" x14ac:dyDescent="0.3">
      <c r="A24" s="122">
        <f>A23+(($C$19-$B$19)/$D$19)</f>
        <v>500000</v>
      </c>
      <c r="B24" s="116">
        <f t="shared" ref="B24:B43" si="0">$B$13*A24+$C$13*A24*A24</f>
        <v>1715.9938848419392</v>
      </c>
      <c r="C24" s="116">
        <f t="shared" ref="C24:C43" si="1">$E$13*A24+$F$13*A24*A24</f>
        <v>19785.409492227558</v>
      </c>
      <c r="D24" s="299">
        <f t="shared" ref="D24:D43" si="2">B24*$I$13</f>
        <v>1918481.163253288</v>
      </c>
    </row>
    <row r="25" spans="1:4" ht="13.9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ht="13.9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ht="13.9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ht="13.9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2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2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2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2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2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2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2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2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2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2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2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2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2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2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2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D1" workbookViewId="0">
      <selection activeCell="Q12" sqref="Q12"/>
    </sheetView>
  </sheetViews>
  <sheetFormatPr defaultColWidth="8.85546875" defaultRowHeight="12.75" x14ac:dyDescent="0.2"/>
  <cols>
    <col min="1" max="1" width="13" style="1" customWidth="1"/>
    <col min="2" max="2" width="18.42578125" style="1" customWidth="1"/>
    <col min="3" max="3" width="11" style="1" customWidth="1"/>
    <col min="4" max="4" width="12.140625" style="1" customWidth="1"/>
    <col min="5" max="5" width="19.5703125" style="1" customWidth="1"/>
    <col min="6" max="6" width="19.28515625" style="1" customWidth="1"/>
    <col min="7" max="7" width="15.28515625" style="1" customWidth="1"/>
    <col min="8" max="10" width="10.28515625" style="1" customWidth="1"/>
    <col min="11" max="11" width="9" style="1" bestFit="1" customWidth="1"/>
    <col min="12" max="12" width="12.28515625" style="1" bestFit="1" customWidth="1"/>
    <col min="13" max="13" width="11.42578125" style="1" bestFit="1" customWidth="1"/>
    <col min="14" max="15" width="12.28515625" style="1" bestFit="1" customWidth="1"/>
    <col min="16" max="16" width="8.85546875" style="1"/>
    <col min="17" max="17" width="14.28515625" style="1" customWidth="1"/>
    <col min="18" max="16384" width="8.85546875" style="1"/>
  </cols>
  <sheetData>
    <row r="1" spans="1:25" ht="14.45" thickBot="1" x14ac:dyDescent="0.35">
      <c r="A1" s="6" t="s">
        <v>0</v>
      </c>
      <c r="B1" s="1" t="s">
        <v>157</v>
      </c>
    </row>
    <row r="2" spans="1:25" ht="13.9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27" t="s">
        <v>105</v>
      </c>
      <c r="N2" s="328"/>
      <c r="O2" s="328"/>
      <c r="P2" s="328"/>
      <c r="Q2" s="328"/>
      <c r="R2" s="328"/>
      <c r="S2" s="329"/>
    </row>
    <row r="3" spans="1:25" ht="14.45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30" t="s">
        <v>72</v>
      </c>
      <c r="N3" s="331"/>
      <c r="O3" s="331"/>
      <c r="P3" s="331"/>
      <c r="Q3" s="331"/>
      <c r="R3" s="331"/>
      <c r="S3" s="332"/>
    </row>
    <row r="4" spans="1:25" ht="15" customHeight="1" thickBot="1" x14ac:dyDescent="0.35">
      <c r="A4" s="29" t="s">
        <v>38</v>
      </c>
      <c r="B4" s="355" t="s">
        <v>57</v>
      </c>
      <c r="C4" s="356"/>
      <c r="D4" s="356"/>
      <c r="E4" s="356"/>
      <c r="F4" s="357"/>
    </row>
    <row r="6" spans="1:25" ht="14.45" thickBot="1" x14ac:dyDescent="0.35"/>
    <row r="7" spans="1:25" ht="27.6" customHeight="1" x14ac:dyDescent="0.2">
      <c r="A7" s="338" t="s">
        <v>8</v>
      </c>
      <c r="B7" s="341" t="s">
        <v>9</v>
      </c>
      <c r="C7" s="341"/>
      <c r="D7" s="341" t="s">
        <v>12</v>
      </c>
      <c r="E7" s="341"/>
      <c r="F7" s="341"/>
      <c r="G7" s="341" t="s">
        <v>143</v>
      </c>
      <c r="H7" s="341"/>
      <c r="I7" s="343"/>
      <c r="J7" s="359" t="s">
        <v>144</v>
      </c>
      <c r="K7" s="360"/>
      <c r="M7" s="370" t="s">
        <v>73</v>
      </c>
      <c r="N7" s="370"/>
      <c r="O7" s="370"/>
      <c r="P7" s="370"/>
      <c r="R7" s="47" t="s">
        <v>58</v>
      </c>
    </row>
    <row r="8" spans="1:25" ht="25.5" x14ac:dyDescent="0.2">
      <c r="A8" s="339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70"/>
      <c r="N8" s="370"/>
      <c r="O8" s="370"/>
      <c r="P8" s="370"/>
      <c r="R8" s="47" t="s">
        <v>59</v>
      </c>
    </row>
    <row r="9" spans="1:25" ht="13.5" thickBot="1" x14ac:dyDescent="0.25">
      <c r="A9" s="340"/>
      <c r="B9" s="112">
        <f>JJ_Optim_Scenario!G20</f>
        <v>3108000</v>
      </c>
      <c r="C9" s="112">
        <f>JJ_Optim_Scenario!H20</f>
        <v>5772000</v>
      </c>
      <c r="D9" s="117">
        <f>JJ_Optim_Scenario!I20</f>
        <v>3108000</v>
      </c>
      <c r="E9" s="118">
        <f>csplinePred($B$14:$B$20,$C$14:$C$20,$H$14:$O$20,D9)*$C$12</f>
        <v>1701.1654528829024</v>
      </c>
      <c r="F9" s="118">
        <f>E9*$C$11</f>
        <v>19614.437671739863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5" thickBot="1" x14ac:dyDescent="0.35"/>
    <row r="11" spans="1:25" ht="27.6" customHeight="1" x14ac:dyDescent="0.2">
      <c r="A11" s="338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50000000000003" customHeight="1" thickBot="1" x14ac:dyDescent="0.25">
      <c r="A12" s="340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9" customHeight="1" x14ac:dyDescent="0.2">
      <c r="A13" s="338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61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9" customHeight="1" x14ac:dyDescent="0.25">
      <c r="A14" s="339"/>
      <c r="B14" s="125">
        <v>0</v>
      </c>
      <c r="C14" s="127">
        <v>0</v>
      </c>
      <c r="D14" s="133">
        <f>C14*$C$11</f>
        <v>0</v>
      </c>
      <c r="E14" s="130"/>
      <c r="G14" s="362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5" customHeight="1" x14ac:dyDescent="0.25">
      <c r="A15" s="339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62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5" customHeight="1" x14ac:dyDescent="0.25">
      <c r="A16" s="339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62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5" customHeight="1" x14ac:dyDescent="0.25">
      <c r="A17" s="339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62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5" customHeight="1" x14ac:dyDescent="0.25">
      <c r="A18" s="339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62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5" customHeight="1" x14ac:dyDescent="0.25">
      <c r="A19" s="339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62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">
      <c r="A20" s="340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63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5" customHeight="1" x14ac:dyDescent="0.2">
      <c r="A21" s="364" t="s">
        <v>74</v>
      </c>
      <c r="B21" s="365"/>
      <c r="C21" s="366"/>
      <c r="D21" s="33"/>
      <c r="G21" s="346" t="s">
        <v>75</v>
      </c>
      <c r="H21" s="346"/>
      <c r="I21" s="346"/>
      <c r="J21" s="346"/>
      <c r="K21" s="346"/>
      <c r="L21" s="346"/>
      <c r="M21" s="346"/>
      <c r="N21" s="346"/>
      <c r="O21" s="346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2">
      <c r="A22" s="367"/>
      <c r="B22" s="368"/>
      <c r="C22" s="369"/>
      <c r="D22" s="33"/>
      <c r="G22" s="346"/>
      <c r="H22" s="346"/>
      <c r="I22" s="346"/>
      <c r="J22" s="346"/>
      <c r="K22" s="346"/>
      <c r="L22" s="346"/>
      <c r="M22" s="346"/>
      <c r="N22" s="346"/>
      <c r="O22" s="346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5" thickBot="1" x14ac:dyDescent="0.35"/>
    <row r="25" spans="1:25" ht="16.899999999999999" customHeight="1" x14ac:dyDescent="0.2">
      <c r="A25" s="347" t="s">
        <v>34</v>
      </c>
      <c r="B25" s="93" t="s">
        <v>32</v>
      </c>
      <c r="C25" s="93" t="s">
        <v>31</v>
      </c>
      <c r="D25" s="15" t="s">
        <v>33</v>
      </c>
    </row>
    <row r="26" spans="1:25" ht="23.45" customHeight="1" thickBot="1" x14ac:dyDescent="0.25">
      <c r="A26" s="348"/>
      <c r="B26" s="103">
        <v>0</v>
      </c>
      <c r="C26" s="103">
        <v>20000000</v>
      </c>
      <c r="D26" s="26">
        <v>20</v>
      </c>
    </row>
    <row r="28" spans="1:25" x14ac:dyDescent="0.2">
      <c r="A28" s="326" t="s">
        <v>37</v>
      </c>
      <c r="B28" s="326"/>
      <c r="C28" s="326"/>
    </row>
    <row r="29" spans="1:25" x14ac:dyDescent="0.2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2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2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2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2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2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2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2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2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2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2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2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2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2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2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2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2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2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2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2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2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2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18" workbookViewId="0">
      <selection activeCell="F17" sqref="F17"/>
    </sheetView>
  </sheetViews>
  <sheetFormatPr defaultColWidth="8.85546875" defaultRowHeight="12.75" x14ac:dyDescent="0.2"/>
  <cols>
    <col min="1" max="1" width="12.140625" style="1" customWidth="1"/>
    <col min="2" max="2" width="13.5703125" style="1" customWidth="1"/>
    <col min="3" max="3" width="12.5703125" style="1" customWidth="1"/>
    <col min="4" max="4" width="13.7109375" style="1" customWidth="1"/>
    <col min="5" max="5" width="14.7109375" style="1" customWidth="1"/>
    <col min="6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2.7109375" style="1" customWidth="1"/>
    <col min="15" max="15" width="9.7109375" style="1" bestFit="1" customWidth="1"/>
    <col min="16" max="16" width="8.85546875" style="1"/>
    <col min="17" max="18" width="10.28515625" style="1" customWidth="1"/>
    <col min="19" max="16384" width="8.85546875" style="1"/>
  </cols>
  <sheetData>
    <row r="1" spans="1:18" ht="14.45" thickBot="1" x14ac:dyDescent="0.35">
      <c r="A1" s="6" t="s">
        <v>0</v>
      </c>
      <c r="B1" s="1" t="s">
        <v>158</v>
      </c>
    </row>
    <row r="2" spans="1:18" ht="13.9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5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ht="13.9" x14ac:dyDescent="0.3">
      <c r="H5" s="1" t="s">
        <v>113</v>
      </c>
    </row>
    <row r="6" spans="1:18" ht="14.45" thickBot="1" x14ac:dyDescent="0.35">
      <c r="B6" s="78">
        <v>0.6</v>
      </c>
      <c r="C6" s="78">
        <v>1.3</v>
      </c>
    </row>
    <row r="7" spans="1:18" ht="27.6" customHeight="1" x14ac:dyDescent="0.2">
      <c r="A7" s="338" t="s">
        <v>8</v>
      </c>
      <c r="B7" s="341" t="s">
        <v>9</v>
      </c>
      <c r="C7" s="342"/>
      <c r="D7" s="376" t="s">
        <v>12</v>
      </c>
      <c r="E7" s="377"/>
      <c r="F7" s="378"/>
      <c r="G7" s="341" t="s">
        <v>143</v>
      </c>
      <c r="H7" s="341"/>
      <c r="I7" s="343"/>
      <c r="J7" s="1" t="s">
        <v>144</v>
      </c>
    </row>
    <row r="8" spans="1:18" ht="28.15" customHeight="1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5" customHeight="1" thickBot="1" x14ac:dyDescent="0.25">
      <c r="A9" s="340"/>
      <c r="B9" s="80">
        <f>JJ_Optim_Scenario!G21</f>
        <v>16067799.999999998</v>
      </c>
      <c r="C9" s="80">
        <f>JJ_Optim_Scenario!H21</f>
        <v>29840200</v>
      </c>
      <c r="D9" s="95">
        <f>JJ_Optim_Scenario!I21</f>
        <v>27437329.475603875</v>
      </c>
      <c r="E9" s="118">
        <f>((($R$12/(1+EXP($P$12+$Q$12*D9)))-1) - ($F$12-$C$12))*$I$12</f>
        <v>161089.54111888725</v>
      </c>
      <c r="F9" s="145">
        <f>E9*$G$12</f>
        <v>1857362.40910077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5" thickBot="1" x14ac:dyDescent="0.35"/>
    <row r="11" spans="1:18" ht="51.6" customHeight="1" x14ac:dyDescent="0.2">
      <c r="A11" s="33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4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25">
      <c r="A12" s="340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48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15" customHeight="1" x14ac:dyDescent="0.2">
      <c r="A13" s="371" t="s">
        <v>119</v>
      </c>
      <c r="B13" s="372"/>
      <c r="C13" s="372"/>
      <c r="D13" s="372"/>
      <c r="E13" s="372"/>
      <c r="F13" s="373"/>
      <c r="G13" s="298" t="s">
        <v>267</v>
      </c>
      <c r="H13" s="298" t="s">
        <v>268</v>
      </c>
      <c r="K13" s="371" t="s">
        <v>120</v>
      </c>
      <c r="L13" s="372"/>
      <c r="M13" s="372"/>
      <c r="N13" s="372"/>
      <c r="O13" s="372"/>
      <c r="P13" s="372"/>
      <c r="Q13" s="372"/>
      <c r="R13" s="373"/>
    </row>
    <row r="14" spans="1:18" ht="33.6" customHeight="1" thickBot="1" x14ac:dyDescent="0.25">
      <c r="A14" s="367"/>
      <c r="B14" s="368"/>
      <c r="C14" s="368"/>
      <c r="D14" s="368"/>
      <c r="E14" s="368"/>
      <c r="F14" s="369"/>
      <c r="G14" s="184">
        <f>JJ_Optim_Scenario!$I$31</f>
        <v>116.39999999999999</v>
      </c>
      <c r="H14" s="184">
        <f>JJ_Optim_Scenario!$F$31</f>
        <v>1118</v>
      </c>
      <c r="K14" s="367"/>
      <c r="L14" s="368"/>
      <c r="M14" s="368"/>
      <c r="N14" s="368"/>
      <c r="O14" s="368"/>
      <c r="P14" s="368"/>
      <c r="Q14" s="368"/>
      <c r="R14" s="369"/>
    </row>
    <row r="16" spans="1:18" ht="14.45" thickBot="1" x14ac:dyDescent="0.35"/>
    <row r="17" spans="1:8" ht="42.6" customHeight="1" x14ac:dyDescent="0.2">
      <c r="A17" s="34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5" customHeight="1" thickBot="1" x14ac:dyDescent="0.25">
      <c r="A18" s="348"/>
      <c r="B18" s="102">
        <v>0</v>
      </c>
      <c r="C18" s="103">
        <v>60000000</v>
      </c>
      <c r="D18" s="26">
        <v>20</v>
      </c>
    </row>
    <row r="20" spans="1:8" ht="13.9" x14ac:dyDescent="0.3">
      <c r="A20" s="326" t="s">
        <v>37</v>
      </c>
      <c r="B20" s="326"/>
      <c r="C20" s="326"/>
    </row>
    <row r="21" spans="1:8" ht="13.9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ht="13.9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ht="13.9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ht="13.9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ht="13.9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ht="13.9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ht="13.9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ht="13.9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ht="13.9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ht="13.9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ht="13.9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ht="13.9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ht="13.9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ht="13.9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ht="13.9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ht="13.9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ht="13.9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ht="13.9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ht="13.9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ht="13.9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ht="13.9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ht="13.9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22" workbookViewId="0">
      <selection activeCell="B45" sqref="B45"/>
    </sheetView>
  </sheetViews>
  <sheetFormatPr defaultColWidth="8.85546875" defaultRowHeight="12.75" x14ac:dyDescent="0.2"/>
  <cols>
    <col min="1" max="1" width="12.140625" style="1" customWidth="1"/>
    <col min="2" max="2" width="13.5703125" style="1" customWidth="1"/>
    <col min="3" max="3" width="12.5703125" style="1" customWidth="1"/>
    <col min="4" max="4" width="13.7109375" style="1" customWidth="1"/>
    <col min="5" max="5" width="13.140625" style="1" customWidth="1"/>
    <col min="6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" width="8.85546875" style="1"/>
    <col min="17" max="17" width="10.28515625" style="1" customWidth="1"/>
    <col min="18" max="18" width="11" style="1" customWidth="1"/>
    <col min="19" max="16384" width="8.85546875" style="1"/>
  </cols>
  <sheetData>
    <row r="1" spans="1:18" ht="14.45" thickBot="1" x14ac:dyDescent="0.35">
      <c r="A1" s="6" t="s">
        <v>0</v>
      </c>
      <c r="B1" s="1" t="s">
        <v>159</v>
      </c>
    </row>
    <row r="2" spans="1:18" ht="13.9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5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ht="13.9" x14ac:dyDescent="0.3">
      <c r="H5" s="1" t="s">
        <v>113</v>
      </c>
    </row>
    <row r="6" spans="1:18" ht="14.45" thickBot="1" x14ac:dyDescent="0.35">
      <c r="B6" s="78">
        <v>0.5</v>
      </c>
      <c r="C6" s="78">
        <v>2</v>
      </c>
    </row>
    <row r="7" spans="1:18" ht="27.6" customHeight="1" x14ac:dyDescent="0.2">
      <c r="A7" s="338" t="s">
        <v>8</v>
      </c>
      <c r="B7" s="341" t="s">
        <v>9</v>
      </c>
      <c r="C7" s="342"/>
      <c r="D7" s="376" t="s">
        <v>12</v>
      </c>
      <c r="E7" s="377"/>
      <c r="F7" s="378"/>
      <c r="G7" s="341" t="s">
        <v>143</v>
      </c>
      <c r="H7" s="341"/>
      <c r="I7" s="343"/>
      <c r="J7" s="1" t="s">
        <v>144</v>
      </c>
    </row>
    <row r="8" spans="1:18" ht="28.15" customHeight="1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5" customHeight="1" thickBot="1" x14ac:dyDescent="0.25">
      <c r="A9" s="340"/>
      <c r="B9" s="80">
        <f>JJ_Optim_Scenario!G22</f>
        <v>5473288.7999999998</v>
      </c>
      <c r="C9" s="80">
        <f>JJ_Optim_Scenario!H22</f>
        <v>10164679.200000001</v>
      </c>
      <c r="D9" s="95">
        <f>JJ_Optim_Scenario!I22</f>
        <v>5473288.7999999998</v>
      </c>
      <c r="E9" s="118">
        <f>((($R$12/(1+EXP($P$12+$Q$12*D9)))-1) - ($F$12-$C$12))*$I$12</f>
        <v>23751.326482365839</v>
      </c>
      <c r="F9" s="145">
        <f>E9*$G$12</f>
        <v>273852.79434167809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5" thickBot="1" x14ac:dyDescent="0.35"/>
    <row r="11" spans="1:18" ht="51.6" customHeight="1" x14ac:dyDescent="0.2">
      <c r="A11" s="33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4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25">
      <c r="A12" s="340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48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15" customHeight="1" x14ac:dyDescent="0.2">
      <c r="A13" s="371" t="s">
        <v>119</v>
      </c>
      <c r="B13" s="372"/>
      <c r="C13" s="372"/>
      <c r="D13" s="372"/>
      <c r="E13" s="372"/>
      <c r="F13" s="373"/>
      <c r="G13" s="298" t="s">
        <v>267</v>
      </c>
      <c r="H13" s="298" t="s">
        <v>268</v>
      </c>
      <c r="K13" s="371" t="s">
        <v>120</v>
      </c>
      <c r="L13" s="372"/>
      <c r="M13" s="372"/>
      <c r="N13" s="372"/>
      <c r="O13" s="372"/>
      <c r="P13" s="372"/>
      <c r="Q13" s="372"/>
      <c r="R13" s="373"/>
    </row>
    <row r="14" spans="1:18" ht="33.6" customHeight="1" thickBot="1" x14ac:dyDescent="0.25">
      <c r="A14" s="367"/>
      <c r="B14" s="368"/>
      <c r="C14" s="368"/>
      <c r="D14" s="368"/>
      <c r="E14" s="368"/>
      <c r="F14" s="369"/>
      <c r="G14" s="184">
        <f>JJ_Optim_Scenario!$I$31</f>
        <v>116.39999999999999</v>
      </c>
      <c r="H14" s="184">
        <f>JJ_Optim_Scenario!$F$31</f>
        <v>1118</v>
      </c>
      <c r="K14" s="367"/>
      <c r="L14" s="368"/>
      <c r="M14" s="368"/>
      <c r="N14" s="368"/>
      <c r="O14" s="368"/>
      <c r="P14" s="368"/>
      <c r="Q14" s="368"/>
      <c r="R14" s="369"/>
    </row>
    <row r="16" spans="1:18" ht="14.45" thickBot="1" x14ac:dyDescent="0.35"/>
    <row r="17" spans="1:8" ht="42.6" customHeight="1" x14ac:dyDescent="0.2">
      <c r="A17" s="34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5" customHeight="1" thickBot="1" x14ac:dyDescent="0.25">
      <c r="A18" s="348"/>
      <c r="B18" s="102">
        <v>0</v>
      </c>
      <c r="C18" s="103">
        <v>30000000</v>
      </c>
      <c r="D18" s="26">
        <v>20</v>
      </c>
    </row>
    <row r="20" spans="1:8" ht="13.9" x14ac:dyDescent="0.3">
      <c r="A20" s="326" t="s">
        <v>37</v>
      </c>
      <c r="B20" s="326"/>
      <c r="C20" s="326"/>
    </row>
    <row r="21" spans="1:8" ht="13.9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ht="13.9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ht="13.9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ht="13.9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ht="13.9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ht="13.9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ht="13.9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ht="13.9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ht="13.9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ht="13.9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ht="13.9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ht="13.9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ht="13.9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ht="13.9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ht="13.9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ht="13.9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ht="13.9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ht="13.9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ht="13.9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ht="13.9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ht="13.9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ht="13.9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13" workbookViewId="0">
      <selection activeCell="E21" sqref="E21:E22"/>
    </sheetView>
  </sheetViews>
  <sheetFormatPr defaultColWidth="8.85546875" defaultRowHeight="12.75" x14ac:dyDescent="0.2"/>
  <cols>
    <col min="1" max="1" width="12.140625" style="1" customWidth="1"/>
    <col min="2" max="2" width="13.5703125" style="1" customWidth="1"/>
    <col min="3" max="3" width="12.5703125" style="1" customWidth="1"/>
    <col min="4" max="4" width="13.7109375" style="1" customWidth="1"/>
    <col min="5" max="6" width="12.42578125" style="1" customWidth="1"/>
    <col min="7" max="7" width="12" style="1" customWidth="1"/>
    <col min="8" max="8" width="10.28515625" style="1" customWidth="1"/>
    <col min="9" max="9" width="18" style="1" customWidth="1"/>
    <col min="10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" width="8.85546875" style="1"/>
    <col min="17" max="17" width="10.28515625" style="1" customWidth="1"/>
    <col min="18" max="16384" width="8.85546875" style="1"/>
  </cols>
  <sheetData>
    <row r="1" spans="1:18" ht="14.45" thickBot="1" x14ac:dyDescent="0.35">
      <c r="A1" s="6" t="s">
        <v>0</v>
      </c>
      <c r="B1" s="1" t="s">
        <v>160</v>
      </c>
    </row>
    <row r="2" spans="1:18" ht="13.9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15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ht="13.9" x14ac:dyDescent="0.3">
      <c r="H5" s="1" t="s">
        <v>113</v>
      </c>
    </row>
    <row r="6" spans="1:18" ht="14.45" thickBot="1" x14ac:dyDescent="0.35">
      <c r="B6" s="78">
        <v>0.6</v>
      </c>
      <c r="C6" s="78">
        <v>1.3</v>
      </c>
    </row>
    <row r="7" spans="1:18" ht="27.6" customHeight="1" x14ac:dyDescent="0.2">
      <c r="A7" s="338" t="s">
        <v>8</v>
      </c>
      <c r="B7" s="341" t="s">
        <v>9</v>
      </c>
      <c r="C7" s="342"/>
      <c r="D7" s="376" t="s">
        <v>12</v>
      </c>
      <c r="E7" s="377"/>
      <c r="F7" s="378"/>
      <c r="G7" s="341" t="s">
        <v>143</v>
      </c>
      <c r="H7" s="341"/>
      <c r="I7" s="343"/>
      <c r="J7" s="1" t="s">
        <v>144</v>
      </c>
    </row>
    <row r="8" spans="1:18" ht="28.15" customHeight="1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5" customHeight="1" thickBot="1" x14ac:dyDescent="0.25">
      <c r="A9" s="340"/>
      <c r="B9" s="80">
        <f>JJ_Optim_Scenario!G23</f>
        <v>3347866.1999999997</v>
      </c>
      <c r="C9" s="80">
        <f>JJ_Optim_Scenario!H23</f>
        <v>6217465.7999999998</v>
      </c>
      <c r="D9" s="95">
        <f>JJ_Optim_Scenario!I23</f>
        <v>3347866.1999999997</v>
      </c>
      <c r="E9" s="118">
        <f>((($R$12/(1+EXP($P$12+$Q$12*D9)))-1) - ($F$12-$C$12))*$I$12</f>
        <v>5610.3927287058905</v>
      </c>
      <c r="F9" s="145">
        <f>E9*$G$12</f>
        <v>64687.828161978912</v>
      </c>
      <c r="G9" s="80">
        <f>JJ_Optim_Scenario!E23</f>
        <v>4782666</v>
      </c>
      <c r="H9" s="121">
        <f>((($R$12/(1+EXP($P$12+$Q$12*G9)))-1) - ($F$12-$C$12))*$I$12</f>
        <v>7922.3256312394515</v>
      </c>
      <c r="I9" s="146">
        <f>H9*$G$12</f>
        <v>91344.414528190871</v>
      </c>
      <c r="J9" s="123">
        <f>G9/I9</f>
        <v>52.358603694634937</v>
      </c>
      <c r="K9" s="1" t="s">
        <v>142</v>
      </c>
    </row>
    <row r="10" spans="1:18" ht="14.45" thickBot="1" x14ac:dyDescent="0.35"/>
    <row r="11" spans="1:18" ht="61.9" customHeight="1" x14ac:dyDescent="0.2">
      <c r="A11" s="33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4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25">
      <c r="A12" s="340"/>
      <c r="B12" s="80">
        <v>5685666</v>
      </c>
      <c r="C12" s="86">
        <v>9349.7307908118928</v>
      </c>
      <c r="D12" s="12">
        <v>0</v>
      </c>
      <c r="E12" s="86">
        <v>103300</v>
      </c>
      <c r="F12" s="97">
        <v>5165000</v>
      </c>
      <c r="G12" s="148">
        <v>11.53</v>
      </c>
      <c r="H12" s="98">
        <f>C12*G12</f>
        <v>107802.39601806112</v>
      </c>
      <c r="I12" s="297">
        <f>JJ_Optim_Scenario!D23</f>
        <v>1</v>
      </c>
      <c r="K12" s="348"/>
      <c r="L12" s="98">
        <f>F12-C12</f>
        <v>5155650.2692091884</v>
      </c>
      <c r="M12" s="98">
        <f>L12+E12</f>
        <v>5258950.2692091884</v>
      </c>
      <c r="N12" s="99">
        <f>B12</f>
        <v>5685666</v>
      </c>
      <c r="O12" s="98">
        <f>F12</f>
        <v>5165000</v>
      </c>
      <c r="P12" s="24">
        <f>LN((($M$12+1)/($L$12+1))-1)</f>
        <v>-3.9102113497285353</v>
      </c>
      <c r="Q12" s="100">
        <f>(LN((($M$12+1)/($O$12+1))-1)-$P$12)/$N$12</f>
        <v>-1.7004803681565007E-8</v>
      </c>
      <c r="R12" s="101">
        <f>M12+1</f>
        <v>5258951.2692091884</v>
      </c>
    </row>
    <row r="13" spans="1:18" ht="34.15" customHeight="1" x14ac:dyDescent="0.2">
      <c r="A13" s="371" t="s">
        <v>119</v>
      </c>
      <c r="B13" s="372"/>
      <c r="C13" s="372"/>
      <c r="D13" s="372"/>
      <c r="E13" s="372"/>
      <c r="F13" s="373"/>
      <c r="G13" s="298" t="s">
        <v>267</v>
      </c>
      <c r="H13" s="298" t="s">
        <v>268</v>
      </c>
      <c r="K13" s="371" t="s">
        <v>120</v>
      </c>
      <c r="L13" s="372"/>
      <c r="M13" s="372"/>
      <c r="N13" s="372"/>
      <c r="O13" s="372"/>
      <c r="P13" s="372"/>
      <c r="Q13" s="372"/>
      <c r="R13" s="373"/>
    </row>
    <row r="14" spans="1:18" ht="33.6" customHeight="1" thickBot="1" x14ac:dyDescent="0.25">
      <c r="A14" s="367"/>
      <c r="B14" s="368"/>
      <c r="C14" s="368"/>
      <c r="D14" s="368"/>
      <c r="E14" s="368"/>
      <c r="F14" s="369"/>
      <c r="G14" s="184">
        <f>JJ_Optim_Scenario!$I$31</f>
        <v>116.39999999999999</v>
      </c>
      <c r="H14" s="184">
        <f>JJ_Optim_Scenario!$F$31</f>
        <v>1118</v>
      </c>
      <c r="K14" s="367"/>
      <c r="L14" s="368"/>
      <c r="M14" s="368"/>
      <c r="N14" s="368"/>
      <c r="O14" s="368"/>
      <c r="P14" s="368"/>
      <c r="Q14" s="368"/>
      <c r="R14" s="369"/>
    </row>
    <row r="16" spans="1:18" ht="14.45" thickBot="1" x14ac:dyDescent="0.35"/>
    <row r="17" spans="1:8" ht="42.6" customHeight="1" x14ac:dyDescent="0.2">
      <c r="A17" s="34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5" customHeight="1" thickBot="1" x14ac:dyDescent="0.25">
      <c r="A18" s="348"/>
      <c r="B18" s="102">
        <v>0</v>
      </c>
      <c r="C18" s="103">
        <v>20000000</v>
      </c>
      <c r="D18" s="26">
        <v>20</v>
      </c>
    </row>
    <row r="20" spans="1:8" ht="13.9" x14ac:dyDescent="0.3">
      <c r="A20" s="326" t="s">
        <v>37</v>
      </c>
      <c r="B20" s="326"/>
      <c r="C20" s="326"/>
    </row>
    <row r="21" spans="1:8" ht="13.9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ht="13.9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ht="13.9" x14ac:dyDescent="0.3">
      <c r="A23" s="122">
        <f>A22+(($C$18-$B$18)/$D$18)</f>
        <v>1000000</v>
      </c>
      <c r="B23" s="106">
        <f t="shared" si="0"/>
        <v>1708.0983693981543</v>
      </c>
      <c r="C23" s="106">
        <f t="shared" ref="C23:C42" si="1">B23*$G$12</f>
        <v>19694.374199160717</v>
      </c>
      <c r="D23" s="1">
        <f>(B23-B22)/A23</f>
        <v>1.7080983693981543E-3</v>
      </c>
      <c r="E23" s="299">
        <f t="shared" ref="E23:E42" si="2">B23*$H$14</f>
        <v>1909653.9769871365</v>
      </c>
    </row>
    <row r="24" spans="1:8" ht="13.9" x14ac:dyDescent="0.3">
      <c r="A24" s="122">
        <f t="shared" ref="A24:A42" si="3">A23+(($C$18-$B$18)/$D$18)</f>
        <v>2000000</v>
      </c>
      <c r="B24" s="106">
        <f t="shared" si="0"/>
        <v>3388.5001289946958</v>
      </c>
      <c r="C24" s="106">
        <f t="shared" si="1"/>
        <v>39069.406487308843</v>
      </c>
      <c r="D24" s="1">
        <f t="shared" ref="D24:D42" si="4">(B24-B23)/A24</f>
        <v>8.4020087979827073E-4</v>
      </c>
      <c r="E24" s="299">
        <f t="shared" si="2"/>
        <v>3788343.14421607</v>
      </c>
    </row>
    <row r="25" spans="1:8" ht="13.9" x14ac:dyDescent="0.3">
      <c r="A25" s="122">
        <f t="shared" si="3"/>
        <v>3000000</v>
      </c>
      <c r="B25" s="106">
        <f t="shared" si="0"/>
        <v>5041.6364102456719</v>
      </c>
      <c r="C25" s="106">
        <f t="shared" si="1"/>
        <v>58130.06781013259</v>
      </c>
      <c r="D25" s="1">
        <f t="shared" si="4"/>
        <v>5.510454270836587E-4</v>
      </c>
      <c r="E25" s="299">
        <f t="shared" si="2"/>
        <v>5636549.5066546611</v>
      </c>
    </row>
    <row r="26" spans="1:8" ht="13.9" x14ac:dyDescent="0.3">
      <c r="A26" s="122">
        <f t="shared" si="3"/>
        <v>4000000</v>
      </c>
      <c r="B26" s="106">
        <f t="shared" si="0"/>
        <v>6667.9322238313034</v>
      </c>
      <c r="C26" s="106">
        <f t="shared" si="1"/>
        <v>76881.258540774928</v>
      </c>
      <c r="D26" s="1">
        <f t="shared" si="4"/>
        <v>4.0657395339640791E-4</v>
      </c>
      <c r="E26" s="299">
        <f t="shared" si="2"/>
        <v>7454748.2262433972</v>
      </c>
    </row>
    <row r="27" spans="1:8" ht="13.9" x14ac:dyDescent="0.3">
      <c r="A27" s="122">
        <f t="shared" si="3"/>
        <v>5000000</v>
      </c>
      <c r="B27" s="106">
        <f t="shared" si="0"/>
        <v>8267.8065268909559</v>
      </c>
      <c r="C27" s="106">
        <f t="shared" si="1"/>
        <v>95327.809255052722</v>
      </c>
      <c r="D27" s="1">
        <f t="shared" si="4"/>
        <v>3.1997486061193051E-4</v>
      </c>
      <c r="E27" s="299">
        <f t="shared" si="2"/>
        <v>9243407.6970640887</v>
      </c>
    </row>
    <row r="28" spans="1:8" ht="13.9" x14ac:dyDescent="0.3">
      <c r="A28" s="122">
        <f t="shared" si="3"/>
        <v>6000000</v>
      </c>
      <c r="B28" s="106">
        <f t="shared" si="0"/>
        <v>9841.6722902022302</v>
      </c>
      <c r="C28" s="106">
        <f t="shared" si="1"/>
        <v>113474.48150603171</v>
      </c>
      <c r="D28" s="1">
        <f t="shared" si="4"/>
        <v>2.6231096055187906E-4</v>
      </c>
      <c r="E28" s="299">
        <f t="shared" si="2"/>
        <v>11002989.620446093</v>
      </c>
    </row>
    <row r="29" spans="1:8" ht="13.9" x14ac:dyDescent="0.3">
      <c r="A29" s="122">
        <f t="shared" si="3"/>
        <v>7000000</v>
      </c>
      <c r="B29" s="106">
        <f t="shared" si="0"/>
        <v>11389.936565298587</v>
      </c>
      <c r="C29" s="106">
        <f t="shared" si="1"/>
        <v>131325.9685978927</v>
      </c>
      <c r="D29" s="1">
        <f t="shared" si="4"/>
        <v>2.2118061072805097E-4</v>
      </c>
      <c r="E29" s="299">
        <f t="shared" si="2"/>
        <v>12733949.08000382</v>
      </c>
    </row>
    <row r="30" spans="1:8" ht="13.9" x14ac:dyDescent="0.3">
      <c r="A30" s="122">
        <f t="shared" si="3"/>
        <v>8000000</v>
      </c>
      <c r="B30" s="106">
        <f t="shared" si="0"/>
        <v>12913.000551461242</v>
      </c>
      <c r="C30" s="106">
        <f t="shared" si="1"/>
        <v>148886.89635834811</v>
      </c>
      <c r="D30" s="1">
        <f t="shared" si="4"/>
        <v>1.9038299827033188E-4</v>
      </c>
      <c r="E30" s="299">
        <f t="shared" si="2"/>
        <v>14436734.616533669</v>
      </c>
    </row>
    <row r="31" spans="1:8" ht="13.9" x14ac:dyDescent="0.3">
      <c r="A31" s="122">
        <f t="shared" si="3"/>
        <v>9000000</v>
      </c>
      <c r="B31" s="106">
        <f t="shared" si="0"/>
        <v>14411.259662600234</v>
      </c>
      <c r="C31" s="106">
        <f t="shared" si="1"/>
        <v>166161.82390978068</v>
      </c>
      <c r="D31" s="1">
        <f t="shared" si="4"/>
        <v>1.6647323457099912E-4</v>
      </c>
      <c r="E31" s="299">
        <f t="shared" si="2"/>
        <v>16111788.302787062</v>
      </c>
    </row>
    <row r="32" spans="1:8" ht="13.9" x14ac:dyDescent="0.3">
      <c r="A32" s="122">
        <f t="shared" si="3"/>
        <v>10000000</v>
      </c>
      <c r="B32" s="106">
        <f t="shared" si="0"/>
        <v>15885.103593955748</v>
      </c>
      <c r="C32" s="106">
        <f t="shared" si="1"/>
        <v>183155.24443830978</v>
      </c>
      <c r="D32" s="1">
        <f t="shared" si="4"/>
        <v>1.4738439313555137E-4</v>
      </c>
      <c r="E32" s="299">
        <f t="shared" si="2"/>
        <v>17759545.818042524</v>
      </c>
    </row>
    <row r="33" spans="1:5" ht="13.9" x14ac:dyDescent="0.3">
      <c r="A33" s="122">
        <f t="shared" si="3"/>
        <v>11000000</v>
      </c>
      <c r="B33" s="106">
        <f t="shared" si="0"/>
        <v>17334.916388627142</v>
      </c>
      <c r="C33" s="106">
        <f t="shared" si="1"/>
        <v>199871.58596087093</v>
      </c>
      <c r="D33" s="1">
        <f t="shared" si="4"/>
        <v>1.3180116315194491E-4</v>
      </c>
      <c r="E33" s="299">
        <f t="shared" si="2"/>
        <v>19380436.522485144</v>
      </c>
    </row>
    <row r="34" spans="1:5" ht="13.9" x14ac:dyDescent="0.3">
      <c r="A34" s="122">
        <f>A33+(($C$18-$B$18)/$D$18)</f>
        <v>12000000</v>
      </c>
      <c r="B34" s="106">
        <f t="shared" si="0"/>
        <v>18761.07650389336</v>
      </c>
      <c r="C34" s="106">
        <f t="shared" si="1"/>
        <v>216315.21208989044</v>
      </c>
      <c r="D34" s="1">
        <f t="shared" si="4"/>
        <v>1.1884667627218489E-4</v>
      </c>
      <c r="E34" s="299">
        <f t="shared" si="2"/>
        <v>20974883.531352777</v>
      </c>
    </row>
    <row r="35" spans="1:5" ht="13.9" x14ac:dyDescent="0.3">
      <c r="A35" s="122">
        <f t="shared" si="3"/>
        <v>13000000</v>
      </c>
      <c r="B35" s="106">
        <f t="shared" si="0"/>
        <v>20163.956877290271</v>
      </c>
      <c r="C35" s="106">
        <f t="shared" si="1"/>
        <v>232490.4227951568</v>
      </c>
      <c r="D35" s="1">
        <f t="shared" si="4"/>
        <v>1.0791387487668544E-4</v>
      </c>
      <c r="E35" s="299">
        <f t="shared" si="2"/>
        <v>22543303.788810521</v>
      </c>
    </row>
    <row r="36" spans="1:5" ht="13.9" x14ac:dyDescent="0.3">
      <c r="A36" s="122">
        <f t="shared" si="3"/>
        <v>14000000</v>
      </c>
      <c r="B36" s="106">
        <f t="shared" si="0"/>
        <v>21543.92499244865</v>
      </c>
      <c r="C36" s="106">
        <f t="shared" si="1"/>
        <v>248401.45516293292</v>
      </c>
      <c r="D36" s="1">
        <f t="shared" si="4"/>
        <v>9.8569151082741367E-5</v>
      </c>
      <c r="E36" s="299">
        <f t="shared" si="2"/>
        <v>24086108.141557589</v>
      </c>
    </row>
    <row r="37" spans="1:5" ht="13.9" x14ac:dyDescent="0.3">
      <c r="A37" s="122">
        <f t="shared" si="3"/>
        <v>15000000</v>
      </c>
      <c r="B37" s="106">
        <f t="shared" si="0"/>
        <v>22901.342944648117</v>
      </c>
      <c r="C37" s="106">
        <f t="shared" si="1"/>
        <v>264052.48415179277</v>
      </c>
      <c r="D37" s="1">
        <f t="shared" si="4"/>
        <v>9.0494530146631108E-5</v>
      </c>
      <c r="E37" s="299">
        <f t="shared" si="2"/>
        <v>25603701.412116595</v>
      </c>
    </row>
    <row r="38" spans="1:5" ht="13.9" x14ac:dyDescent="0.3">
      <c r="A38" s="122">
        <f t="shared" si="3"/>
        <v>16000000</v>
      </c>
      <c r="B38" s="106">
        <f t="shared" si="0"/>
        <v>24236.567506083287</v>
      </c>
      <c r="C38" s="106">
        <f t="shared" si="1"/>
        <v>279447.62334514031</v>
      </c>
      <c r="D38" s="1">
        <f t="shared" si="4"/>
        <v>8.3451535089698161E-5</v>
      </c>
      <c r="E38" s="299">
        <f t="shared" si="2"/>
        <v>27096482.471801117</v>
      </c>
    </row>
    <row r="39" spans="1:5" ht="13.9" x14ac:dyDescent="0.3">
      <c r="A39" s="122">
        <f t="shared" si="3"/>
        <v>17000000</v>
      </c>
      <c r="B39" s="106">
        <f t="shared" si="0"/>
        <v>25549.950190809555</v>
      </c>
      <c r="C39" s="106">
        <f t="shared" si="1"/>
        <v>294590.92570003413</v>
      </c>
      <c r="D39" s="1">
        <f t="shared" si="4"/>
        <v>7.7257804983898125E-5</v>
      </c>
      <c r="E39" s="299">
        <f t="shared" si="2"/>
        <v>28564844.313325085</v>
      </c>
    </row>
    <row r="40" spans="1:5" ht="13.9" x14ac:dyDescent="0.3">
      <c r="A40" s="122">
        <f t="shared" si="3"/>
        <v>18000000</v>
      </c>
      <c r="B40" s="106">
        <f t="shared" si="0"/>
        <v>26841.837319366634</v>
      </c>
      <c r="C40" s="106">
        <f t="shared" si="1"/>
        <v>309486.3842922973</v>
      </c>
      <c r="D40" s="1">
        <f t="shared" si="4"/>
        <v>7.1771507142059915E-5</v>
      </c>
      <c r="E40" s="299">
        <f t="shared" si="2"/>
        <v>30009174.123051897</v>
      </c>
    </row>
    <row r="41" spans="1:5" ht="13.9" x14ac:dyDescent="0.3">
      <c r="A41" s="122">
        <f>A40+(($C$18-$B$18)/$D$18)</f>
        <v>19000000</v>
      </c>
      <c r="B41" s="106">
        <f t="shared" si="0"/>
        <v>28112.570083050989</v>
      </c>
      <c r="C41" s="106">
        <f t="shared" si="1"/>
        <v>324137.93305757787</v>
      </c>
      <c r="D41" s="1">
        <f t="shared" si="4"/>
        <v>6.6880671772860778E-5</v>
      </c>
      <c r="E41" s="299">
        <f t="shared" si="2"/>
        <v>31429853.352851003</v>
      </c>
    </row>
    <row r="42" spans="1:5" ht="13.9" x14ac:dyDescent="0.3">
      <c r="A42" s="122">
        <f t="shared" si="3"/>
        <v>20000000</v>
      </c>
      <c r="B42" s="106">
        <f t="shared" si="0"/>
        <v>29362.484607818536</v>
      </c>
      <c r="C42" s="106">
        <f t="shared" si="1"/>
        <v>338549.44752814772</v>
      </c>
      <c r="D42" s="1">
        <f t="shared" si="4"/>
        <v>6.2495726238377396E-5</v>
      </c>
      <c r="E42" s="299">
        <f t="shared" si="2"/>
        <v>32827257.791541122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C16" workbookViewId="0">
      <selection activeCell="E18" sqref="E18"/>
    </sheetView>
  </sheetViews>
  <sheetFormatPr defaultColWidth="8.85546875" defaultRowHeight="12.75" x14ac:dyDescent="0.2"/>
  <cols>
    <col min="1" max="1" width="12.140625" style="1" customWidth="1"/>
    <col min="2" max="2" width="13.5703125" style="1" customWidth="1"/>
    <col min="3" max="3" width="12.5703125" style="1" customWidth="1"/>
    <col min="4" max="4" width="13.7109375" style="1" customWidth="1"/>
    <col min="5" max="6" width="12.42578125" style="1" customWidth="1"/>
    <col min="7" max="7" width="12" style="1" customWidth="1"/>
    <col min="8" max="8" width="10.28515625" style="1" customWidth="1"/>
    <col min="9" max="9" width="18" style="1" customWidth="1"/>
    <col min="10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" width="8.85546875" style="1"/>
    <col min="17" max="17" width="10.28515625" style="1" customWidth="1"/>
    <col min="18" max="16384" width="8.85546875" style="1"/>
  </cols>
  <sheetData>
    <row r="1" spans="1:18" ht="14.45" thickBot="1" x14ac:dyDescent="0.35">
      <c r="A1" s="6" t="s">
        <v>0</v>
      </c>
      <c r="B1" s="1" t="s">
        <v>162</v>
      </c>
    </row>
    <row r="2" spans="1:18" ht="13.9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5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ht="13.9" x14ac:dyDescent="0.3">
      <c r="H5" s="1" t="s">
        <v>113</v>
      </c>
    </row>
    <row r="6" spans="1:18" ht="14.45" thickBot="1" x14ac:dyDescent="0.35">
      <c r="B6" s="78">
        <v>0.5</v>
      </c>
      <c r="C6" s="78">
        <v>1.5</v>
      </c>
    </row>
    <row r="7" spans="1:18" ht="27.6" customHeight="1" x14ac:dyDescent="0.2">
      <c r="A7" s="338" t="s">
        <v>8</v>
      </c>
      <c r="B7" s="341" t="s">
        <v>9</v>
      </c>
      <c r="C7" s="342"/>
      <c r="D7" s="376" t="s">
        <v>12</v>
      </c>
      <c r="E7" s="377"/>
      <c r="F7" s="378"/>
      <c r="G7" s="341" t="s">
        <v>143</v>
      </c>
      <c r="H7" s="341"/>
      <c r="I7" s="343"/>
      <c r="J7" s="1" t="s">
        <v>144</v>
      </c>
    </row>
    <row r="8" spans="1:18" ht="28.15" customHeight="1" x14ac:dyDescent="0.2">
      <c r="A8" s="339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5" customHeight="1" thickBot="1" x14ac:dyDescent="0.25">
      <c r="A9" s="340"/>
      <c r="B9" s="80">
        <f>JJ_Optim_Scenario!G24</f>
        <v>10990000</v>
      </c>
      <c r="C9" s="184">
        <f>JJ_Optim_Scenario!H24</f>
        <v>20410000</v>
      </c>
      <c r="D9" s="184">
        <f>JJ_Optim_Scenario!I24</f>
        <v>10990000</v>
      </c>
      <c r="E9" s="118">
        <f>((($R$12/(1+EXP($P$12+$Q$12*D9)))-1) - ($F$12-$C$12))*$I$12</f>
        <v>258393.506278947</v>
      </c>
      <c r="F9" s="145">
        <f>E9*$G$12</f>
        <v>258393.506278947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5" thickBot="1" x14ac:dyDescent="0.35"/>
    <row r="11" spans="1:18" ht="61.9" customHeight="1" x14ac:dyDescent="0.2">
      <c r="A11" s="338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47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25">
      <c r="A12" s="340"/>
      <c r="B12" s="80">
        <v>15700000</v>
      </c>
      <c r="C12" s="86">
        <v>360832.73711340211</v>
      </c>
      <c r="D12" s="12">
        <v>0</v>
      </c>
      <c r="E12" s="86">
        <v>2197350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48"/>
      <c r="L12" s="98">
        <f>F12-C12</f>
        <v>14288167.262886599</v>
      </c>
      <c r="M12" s="98">
        <f>L12+E12</f>
        <v>16485517.262886599</v>
      </c>
      <c r="N12" s="99">
        <f>B12</f>
        <v>15700000</v>
      </c>
      <c r="O12" s="98">
        <f>F12</f>
        <v>14649000</v>
      </c>
      <c r="P12" s="24">
        <f>LN((($M$12+1)/($L$12+1))-1)</f>
        <v>-1.8721797117208678</v>
      </c>
      <c r="Q12" s="100">
        <f>(LN((($M$12+1)/($O$12+1))-1)-$P$12)/$N$12</f>
        <v>-1.3014104724433269E-8</v>
      </c>
      <c r="R12" s="101">
        <f>M12+1</f>
        <v>16485518.262886599</v>
      </c>
    </row>
    <row r="13" spans="1:18" ht="34.15" customHeight="1" x14ac:dyDescent="0.2">
      <c r="A13" s="371" t="s">
        <v>119</v>
      </c>
      <c r="B13" s="372"/>
      <c r="C13" s="372"/>
      <c r="D13" s="372"/>
      <c r="E13" s="372"/>
      <c r="F13" s="373"/>
      <c r="G13" s="298" t="s">
        <v>267</v>
      </c>
      <c r="H13" s="298" t="s">
        <v>268</v>
      </c>
      <c r="K13" s="371" t="s">
        <v>120</v>
      </c>
      <c r="L13" s="372"/>
      <c r="M13" s="372"/>
      <c r="N13" s="372"/>
      <c r="O13" s="372"/>
      <c r="P13" s="372"/>
      <c r="Q13" s="372"/>
      <c r="R13" s="373"/>
    </row>
    <row r="14" spans="1:18" ht="33.6" customHeight="1" thickBot="1" x14ac:dyDescent="0.25">
      <c r="A14" s="367"/>
      <c r="B14" s="368"/>
      <c r="C14" s="368"/>
      <c r="D14" s="368"/>
      <c r="E14" s="368"/>
      <c r="F14" s="369"/>
      <c r="G14" s="184">
        <f>JJ_Optim_Scenario!$I$31</f>
        <v>116.39999999999999</v>
      </c>
      <c r="H14" s="184">
        <f>JJ_Optim_Scenario!$F$31</f>
        <v>1118</v>
      </c>
      <c r="K14" s="367"/>
      <c r="L14" s="368"/>
      <c r="M14" s="368"/>
      <c r="N14" s="368"/>
      <c r="O14" s="368"/>
      <c r="P14" s="368"/>
      <c r="Q14" s="368"/>
      <c r="R14" s="369"/>
    </row>
    <row r="16" spans="1:18" ht="14.45" thickBot="1" x14ac:dyDescent="0.35"/>
    <row r="17" spans="1:8" ht="42.6" customHeight="1" x14ac:dyDescent="0.2">
      <c r="A17" s="347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5" customHeight="1" thickBot="1" x14ac:dyDescent="0.25">
      <c r="A18" s="348"/>
      <c r="B18" s="102">
        <v>0</v>
      </c>
      <c r="C18" s="103">
        <v>50000000</v>
      </c>
      <c r="D18" s="26">
        <v>20</v>
      </c>
    </row>
    <row r="20" spans="1:8" ht="13.9" x14ac:dyDescent="0.3">
      <c r="A20" s="326" t="s">
        <v>37</v>
      </c>
      <c r="B20" s="326"/>
      <c r="C20" s="326"/>
    </row>
    <row r="21" spans="1:8" ht="13.9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ht="13.9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B22*$G$14</f>
        <v>0</v>
      </c>
    </row>
    <row r="23" spans="1:8" ht="13.9" x14ac:dyDescent="0.3">
      <c r="A23" s="122">
        <f>A22+(($C$18-$B$18)/$D$18)</f>
        <v>2500000</v>
      </c>
      <c r="B23" s="106">
        <f t="shared" si="0"/>
        <v>61226.401077322662</v>
      </c>
      <c r="C23" s="106">
        <f t="shared" ref="C23:C42" si="1">B23*$G$12</f>
        <v>61226.401077322662</v>
      </c>
      <c r="D23" s="1">
        <f>(B23-B22)/A23</f>
        <v>2.4490560430929065E-2</v>
      </c>
      <c r="E23" s="299">
        <f t="shared" ref="E23:E42" si="2">B23*$G$14</f>
        <v>7126753.0854003569</v>
      </c>
    </row>
    <row r="24" spans="1:8" ht="13.9" x14ac:dyDescent="0.3">
      <c r="A24" s="122">
        <f t="shared" ref="A24:A42" si="3">A23+(($C$18-$B$18)/$D$18)</f>
        <v>5000000</v>
      </c>
      <c r="B24" s="106">
        <f t="shared" si="0"/>
        <v>120994.72060368396</v>
      </c>
      <c r="C24" s="106">
        <f t="shared" si="1"/>
        <v>120994.72060368396</v>
      </c>
      <c r="D24" s="1">
        <f t="shared" ref="D24:D42" si="4">(B24-B23)/A24</f>
        <v>1.195366390527226E-2</v>
      </c>
      <c r="E24" s="299">
        <f t="shared" si="2"/>
        <v>14083785.478268811</v>
      </c>
    </row>
    <row r="25" spans="1:8" ht="13.9" x14ac:dyDescent="0.3">
      <c r="A25" s="122">
        <f t="shared" si="3"/>
        <v>7500000</v>
      </c>
      <c r="B25" s="106">
        <f t="shared" si="0"/>
        <v>179325.91864795052</v>
      </c>
      <c r="C25" s="106">
        <f t="shared" si="1"/>
        <v>179325.91864795052</v>
      </c>
      <c r="D25" s="1">
        <f t="shared" si="4"/>
        <v>7.7774930725688736E-3</v>
      </c>
      <c r="E25" s="299">
        <f t="shared" si="2"/>
        <v>20873536.930621438</v>
      </c>
    </row>
    <row r="26" spans="1:8" ht="13.9" x14ac:dyDescent="0.3">
      <c r="A26" s="122">
        <f t="shared" si="3"/>
        <v>10000000</v>
      </c>
      <c r="B26" s="106">
        <f t="shared" si="0"/>
        <v>236241.44401214831</v>
      </c>
      <c r="C26" s="106">
        <f t="shared" si="1"/>
        <v>236241.44401214831</v>
      </c>
      <c r="D26" s="1">
        <f t="shared" si="4"/>
        <v>5.6915525364197792E-3</v>
      </c>
      <c r="E26" s="299">
        <f t="shared" si="2"/>
        <v>27498504.08301406</v>
      </c>
    </row>
    <row r="27" spans="1:8" ht="13.9" x14ac:dyDescent="0.3">
      <c r="A27" s="122">
        <f t="shared" si="3"/>
        <v>12500000</v>
      </c>
      <c r="B27" s="106">
        <f t="shared" si="0"/>
        <v>291763.17912199162</v>
      </c>
      <c r="C27" s="106">
        <f t="shared" si="1"/>
        <v>291763.17912199162</v>
      </c>
      <c r="D27" s="1">
        <f t="shared" si="4"/>
        <v>4.4417388087874647E-3</v>
      </c>
      <c r="E27" s="299">
        <f t="shared" si="2"/>
        <v>33961234.049799822</v>
      </c>
    </row>
    <row r="28" spans="1:8" ht="13.9" x14ac:dyDescent="0.3">
      <c r="A28" s="122">
        <f t="shared" si="3"/>
        <v>15000000</v>
      </c>
      <c r="B28" s="106">
        <f t="shared" si="0"/>
        <v>345913.38696239889</v>
      </c>
      <c r="C28" s="106">
        <f t="shared" si="1"/>
        <v>345913.38696239889</v>
      </c>
      <c r="D28" s="1">
        <f t="shared" si="4"/>
        <v>3.6100138560271511E-3</v>
      </c>
      <c r="E28" s="299">
        <f t="shared" si="2"/>
        <v>40264318.242423229</v>
      </c>
    </row>
    <row r="29" spans="1:8" ht="13.9" x14ac:dyDescent="0.3">
      <c r="A29" s="122">
        <f t="shared" si="3"/>
        <v>17500000</v>
      </c>
      <c r="B29" s="106">
        <f t="shared" si="0"/>
        <v>398714.66009361669</v>
      </c>
      <c r="C29" s="106">
        <f t="shared" si="1"/>
        <v>398714.66009361669</v>
      </c>
      <c r="D29" s="1">
        <f t="shared" si="4"/>
        <v>3.0172156074981605E-3</v>
      </c>
      <c r="E29" s="299">
        <f t="shared" si="2"/>
        <v>46410386.434896983</v>
      </c>
    </row>
    <row r="30" spans="1:8" ht="13.9" x14ac:dyDescent="0.3">
      <c r="A30" s="122">
        <f t="shared" si="3"/>
        <v>20000000</v>
      </c>
      <c r="B30" s="106">
        <f t="shared" si="0"/>
        <v>450189.87177247368</v>
      </c>
      <c r="C30" s="106">
        <f t="shared" si="1"/>
        <v>450189.87177247368</v>
      </c>
      <c r="D30" s="1">
        <f t="shared" si="4"/>
        <v>2.5737605839428494E-3</v>
      </c>
      <c r="E30" s="299">
        <f t="shared" si="2"/>
        <v>52402101.074315935</v>
      </c>
    </row>
    <row r="31" spans="1:8" ht="13.9" x14ac:dyDescent="0.3">
      <c r="A31" s="122">
        <f t="shared" si="3"/>
        <v>22500000</v>
      </c>
      <c r="B31" s="106">
        <f t="shared" si="0"/>
        <v>500362.12919285521</v>
      </c>
      <c r="C31" s="106">
        <f t="shared" si="1"/>
        <v>500362.12919285521</v>
      </c>
      <c r="D31" s="1">
        <f t="shared" si="4"/>
        <v>2.2298781075725123E-3</v>
      </c>
      <c r="E31" s="299">
        <f t="shared" si="2"/>
        <v>58242151.838048339</v>
      </c>
    </row>
    <row r="32" spans="1:8" ht="13.9" x14ac:dyDescent="0.3">
      <c r="A32" s="122">
        <f t="shared" si="3"/>
        <v>25000000</v>
      </c>
      <c r="B32" s="106">
        <f t="shared" si="0"/>
        <v>549254.72884996422</v>
      </c>
      <c r="C32" s="106">
        <f t="shared" si="1"/>
        <v>549254.72884996422</v>
      </c>
      <c r="D32" s="1">
        <f t="shared" si="4"/>
        <v>1.9557039862843602E-3</v>
      </c>
      <c r="E32" s="299">
        <f t="shared" si="2"/>
        <v>63933250.438135833</v>
      </c>
    </row>
    <row r="33" spans="1:5" ht="13.9" x14ac:dyDescent="0.3">
      <c r="A33" s="122">
        <f t="shared" si="3"/>
        <v>27500000</v>
      </c>
      <c r="B33" s="106">
        <f t="shared" si="0"/>
        <v>596891.11402404681</v>
      </c>
      <c r="C33" s="106">
        <f t="shared" si="1"/>
        <v>596891.11402404681</v>
      </c>
      <c r="D33" s="1">
        <f t="shared" si="4"/>
        <v>1.732232188148458E-3</v>
      </c>
      <c r="E33" s="299">
        <f t="shared" si="2"/>
        <v>69478125.672399044</v>
      </c>
    </row>
    <row r="34" spans="1:5" ht="13.9" x14ac:dyDescent="0.3">
      <c r="A34" s="122">
        <f>A33+(($C$18-$B$18)/$D$18)</f>
        <v>30000000</v>
      </c>
      <c r="B34" s="106">
        <f t="shared" si="0"/>
        <v>643294.8343712315</v>
      </c>
      <c r="C34" s="106">
        <f t="shared" si="1"/>
        <v>643294.8343712315</v>
      </c>
      <c r="D34" s="1">
        <f t="shared" si="4"/>
        <v>1.5467906782394897E-3</v>
      </c>
      <c r="E34" s="299">
        <f t="shared" si="2"/>
        <v>74879518.720811337</v>
      </c>
    </row>
    <row r="35" spans="1:5" ht="13.9" x14ac:dyDescent="0.3">
      <c r="A35" s="122">
        <f t="shared" si="3"/>
        <v>32500000</v>
      </c>
      <c r="B35" s="106">
        <f t="shared" si="0"/>
        <v>688489.50760174915</v>
      </c>
      <c r="C35" s="106">
        <f t="shared" si="1"/>
        <v>688489.50760174915</v>
      </c>
      <c r="D35" s="1">
        <f t="shared" si="4"/>
        <v>1.390605330169774E-3</v>
      </c>
      <c r="E35" s="299">
        <f t="shared" si="2"/>
        <v>80140178.6848436</v>
      </c>
    </row>
    <row r="36" spans="1:5" ht="13.9" x14ac:dyDescent="0.3">
      <c r="A36" s="122">
        <f t="shared" si="3"/>
        <v>35000000</v>
      </c>
      <c r="B36" s="106">
        <f t="shared" si="0"/>
        <v>732498.78321923688</v>
      </c>
      <c r="C36" s="106">
        <f t="shared" si="1"/>
        <v>732498.78321923688</v>
      </c>
      <c r="D36" s="1">
        <f t="shared" si="4"/>
        <v>1.2574078747853636E-3</v>
      </c>
      <c r="E36" s="299">
        <f t="shared" si="2"/>
        <v>85262858.366719171</v>
      </c>
    </row>
    <row r="37" spans="1:5" ht="13.9" x14ac:dyDescent="0.3">
      <c r="A37" s="122">
        <f t="shared" si="3"/>
        <v>37500000</v>
      </c>
      <c r="B37" s="106">
        <f t="shared" si="0"/>
        <v>775346.30828877538</v>
      </c>
      <c r="C37" s="106">
        <f t="shared" si="1"/>
        <v>775346.30828877538</v>
      </c>
      <c r="D37" s="1">
        <f t="shared" si="4"/>
        <v>1.1426006685210269E-3</v>
      </c>
      <c r="E37" s="299">
        <f t="shared" si="2"/>
        <v>90250310.284813449</v>
      </c>
    </row>
    <row r="38" spans="1:5" ht="13.9" x14ac:dyDescent="0.3">
      <c r="A38" s="122">
        <f t="shared" si="3"/>
        <v>40000000</v>
      </c>
      <c r="B38" s="106">
        <f t="shared" si="0"/>
        <v>817055.69519616477</v>
      </c>
      <c r="C38" s="106">
        <f t="shared" si="1"/>
        <v>817055.69519616477</v>
      </c>
      <c r="D38" s="1">
        <f t="shared" si="4"/>
        <v>1.0427346726847348E-3</v>
      </c>
      <c r="E38" s="299">
        <f t="shared" si="2"/>
        <v>95105282.920833573</v>
      </c>
    </row>
    <row r="39" spans="1:5" ht="13.9" x14ac:dyDescent="0.3">
      <c r="A39" s="122">
        <f t="shared" si="3"/>
        <v>42500000</v>
      </c>
      <c r="B39" s="106">
        <f t="shared" si="0"/>
        <v>857650.49135614</v>
      </c>
      <c r="C39" s="106">
        <f t="shared" si="1"/>
        <v>857650.49135614</v>
      </c>
      <c r="D39" s="1">
        <f t="shared" si="4"/>
        <v>9.5517167435235834E-4</v>
      </c>
      <c r="E39" s="299">
        <f t="shared" si="2"/>
        <v>99830517.19385469</v>
      </c>
    </row>
    <row r="40" spans="1:5" ht="13.9" x14ac:dyDescent="0.3">
      <c r="A40" s="122">
        <f t="shared" si="3"/>
        <v>45000000</v>
      </c>
      <c r="B40" s="106">
        <f t="shared" si="0"/>
        <v>897154.15082335845</v>
      </c>
      <c r="C40" s="106">
        <f t="shared" si="1"/>
        <v>897154.15082335845</v>
      </c>
      <c r="D40" s="1">
        <f t="shared" si="4"/>
        <v>8.7785909927152095E-4</v>
      </c>
      <c r="E40" s="299">
        <f t="shared" si="2"/>
        <v>104428743.15583892</v>
      </c>
    </row>
    <row r="41" spans="1:5" ht="13.9" x14ac:dyDescent="0.3">
      <c r="A41" s="122">
        <f>A40+(($C$18-$B$18)/$D$18)</f>
        <v>47500000</v>
      </c>
      <c r="B41" s="106">
        <f t="shared" si="0"/>
        <v>935590.00775624253</v>
      </c>
      <c r="C41" s="106">
        <f t="shared" si="1"/>
        <v>935590.00775624253</v>
      </c>
      <c r="D41" s="1">
        <f t="shared" si="4"/>
        <v>8.0917593542913853E-4</v>
      </c>
      <c r="E41" s="299">
        <f t="shared" si="2"/>
        <v>108902676.90282662</v>
      </c>
    </row>
    <row r="42" spans="1:5" ht="13.9" x14ac:dyDescent="0.3">
      <c r="A42" s="122">
        <f t="shared" si="3"/>
        <v>50000000</v>
      </c>
      <c r="B42" s="106">
        <f t="shared" si="0"/>
        <v>972981.25168112665</v>
      </c>
      <c r="C42" s="106">
        <f t="shared" si="1"/>
        <v>972981.25168112665</v>
      </c>
      <c r="D42" s="1">
        <f t="shared" si="4"/>
        <v>7.4782487849768249E-4</v>
      </c>
      <c r="E42" s="299">
        <f t="shared" si="2"/>
        <v>113255017.69568314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0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4.45" thickBot="1" x14ac:dyDescent="0.35">
      <c r="A1" s="6" t="s">
        <v>0</v>
      </c>
      <c r="B1" s="1" t="s">
        <v>1</v>
      </c>
    </row>
    <row r="2" spans="1:12" ht="13.9" x14ac:dyDescent="0.3">
      <c r="A2" s="7" t="s">
        <v>2</v>
      </c>
      <c r="B2" s="8" t="s">
        <v>13</v>
      </c>
      <c r="C2" s="9" t="s">
        <v>4</v>
      </c>
      <c r="D2" s="10" t="s">
        <v>6</v>
      </c>
      <c r="F2" s="327" t="s">
        <v>105</v>
      </c>
      <c r="G2" s="328"/>
      <c r="H2" s="328"/>
      <c r="I2" s="328"/>
      <c r="J2" s="328"/>
      <c r="K2" s="328"/>
      <c r="L2" s="329"/>
    </row>
    <row r="3" spans="1:12" ht="14.45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30" t="s">
        <v>72</v>
      </c>
      <c r="G3" s="331"/>
      <c r="H3" s="331"/>
      <c r="I3" s="331"/>
      <c r="J3" s="331"/>
      <c r="K3" s="331"/>
      <c r="L3" s="332"/>
    </row>
    <row r="4" spans="1:12" ht="14.45" thickBot="1" x14ac:dyDescent="0.35">
      <c r="A4" s="29" t="s">
        <v>38</v>
      </c>
      <c r="B4" s="379" t="s">
        <v>39</v>
      </c>
      <c r="C4" s="379"/>
      <c r="D4" s="380"/>
    </row>
    <row r="6" spans="1:12" ht="14.45" thickBot="1" x14ac:dyDescent="0.35"/>
    <row r="7" spans="1:12" ht="27.6" customHeight="1" x14ac:dyDescent="0.2">
      <c r="A7" s="338" t="s">
        <v>8</v>
      </c>
      <c r="B7" s="341" t="s">
        <v>9</v>
      </c>
      <c r="C7" s="342"/>
      <c r="D7" s="376" t="s">
        <v>12</v>
      </c>
      <c r="E7" s="378"/>
      <c r="F7" s="377" t="s">
        <v>24</v>
      </c>
      <c r="G7" s="387"/>
    </row>
    <row r="8" spans="1:12" ht="25.5" x14ac:dyDescent="0.2">
      <c r="A8" s="33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34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5" thickBot="1" x14ac:dyDescent="0.35"/>
    <row r="11" spans="1:12" x14ac:dyDescent="0.2">
      <c r="A11" s="33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38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340"/>
      <c r="B12" s="12">
        <v>20</v>
      </c>
      <c r="C12" s="12">
        <v>30</v>
      </c>
      <c r="D12" s="12">
        <v>0</v>
      </c>
      <c r="E12" s="14">
        <v>70</v>
      </c>
      <c r="G12" s="34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371" t="s">
        <v>30</v>
      </c>
      <c r="B13" s="372"/>
      <c r="C13" s="372"/>
      <c r="D13" s="372"/>
      <c r="E13" s="373"/>
      <c r="G13" s="381" t="s">
        <v>29</v>
      </c>
      <c r="H13" s="382"/>
      <c r="I13" s="382"/>
      <c r="J13" s="383"/>
    </row>
    <row r="14" spans="1:12" ht="33.6" customHeight="1" x14ac:dyDescent="0.2">
      <c r="A14" s="367"/>
      <c r="B14" s="368"/>
      <c r="C14" s="368"/>
      <c r="D14" s="368"/>
      <c r="E14" s="369"/>
      <c r="G14" s="384"/>
      <c r="H14" s="385"/>
      <c r="I14" s="385"/>
      <c r="J14" s="386"/>
    </row>
    <row r="16" spans="1:12" ht="14.45" thickBot="1" x14ac:dyDescent="0.35"/>
    <row r="17" spans="1:4" ht="16.899999999999999" customHeight="1" x14ac:dyDescent="0.2">
      <c r="A17" s="347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348"/>
      <c r="B18" s="12">
        <v>0</v>
      </c>
      <c r="C18" s="12">
        <v>100</v>
      </c>
      <c r="D18" s="26">
        <v>20</v>
      </c>
    </row>
    <row r="20" spans="1:4" ht="13.9" x14ac:dyDescent="0.3">
      <c r="A20" s="326" t="s">
        <v>37</v>
      </c>
      <c r="B20" s="326"/>
    </row>
    <row r="21" spans="1:4" ht="13.9" x14ac:dyDescent="0.3">
      <c r="A21" s="3" t="s">
        <v>35</v>
      </c>
      <c r="B21" s="3" t="s">
        <v>36</v>
      </c>
    </row>
    <row r="22" spans="1:4" ht="13.9" x14ac:dyDescent="0.3">
      <c r="A22" s="2">
        <f>B18</f>
        <v>0</v>
      </c>
      <c r="B22" s="2">
        <f>($J$12/(1+EXP($H$12+$I$12*A22)))-1</f>
        <v>-1.4084507042253946E-2</v>
      </c>
    </row>
    <row r="23" spans="1:4" ht="13.9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ht="13.9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ht="13.9" x14ac:dyDescent="0.3">
      <c r="A25" s="2">
        <f t="shared" si="1"/>
        <v>15</v>
      </c>
      <c r="B25" s="2">
        <f t="shared" si="0"/>
        <v>14.549143800281053</v>
      </c>
    </row>
    <row r="26" spans="1:4" ht="13.9" x14ac:dyDescent="0.3">
      <c r="A26" s="2">
        <f t="shared" si="1"/>
        <v>20</v>
      </c>
      <c r="B26" s="2">
        <f t="shared" si="0"/>
        <v>29.563380281690133</v>
      </c>
    </row>
    <row r="27" spans="1:4" ht="13.9" x14ac:dyDescent="0.3">
      <c r="A27" s="2">
        <f t="shared" si="1"/>
        <v>25</v>
      </c>
      <c r="B27" s="2">
        <f t="shared" si="0"/>
        <v>46.443381393398674</v>
      </c>
    </row>
    <row r="28" spans="1:4" ht="13.9" x14ac:dyDescent="0.3">
      <c r="A28" s="2">
        <f t="shared" si="1"/>
        <v>30</v>
      </c>
      <c r="B28" s="2">
        <f t="shared" si="0"/>
        <v>58.565058904816425</v>
      </c>
    </row>
    <row r="29" spans="1:4" ht="13.9" x14ac:dyDescent="0.3">
      <c r="A29" s="2">
        <f t="shared" si="1"/>
        <v>35</v>
      </c>
      <c r="B29" s="2">
        <f t="shared" si="0"/>
        <v>64.755462936002587</v>
      </c>
    </row>
    <row r="30" spans="1:4" ht="13.9" x14ac:dyDescent="0.3">
      <c r="A30" s="2">
        <f t="shared" si="1"/>
        <v>40</v>
      </c>
      <c r="B30" s="2">
        <f t="shared" si="0"/>
        <v>67.373747640482065</v>
      </c>
    </row>
    <row r="31" spans="1:4" ht="13.9" x14ac:dyDescent="0.3">
      <c r="A31" s="2">
        <f t="shared" si="1"/>
        <v>45</v>
      </c>
      <c r="B31" s="2">
        <f t="shared" si="0"/>
        <v>68.391855033022836</v>
      </c>
    </row>
    <row r="32" spans="1:4" ht="13.9" x14ac:dyDescent="0.3">
      <c r="A32" s="2">
        <f t="shared" si="1"/>
        <v>50</v>
      </c>
      <c r="B32" s="2">
        <f t="shared" si="0"/>
        <v>68.774681657683672</v>
      </c>
    </row>
    <row r="33" spans="1:2" ht="13.9" x14ac:dyDescent="0.3">
      <c r="A33" s="2">
        <f t="shared" si="1"/>
        <v>55</v>
      </c>
      <c r="B33" s="2">
        <f t="shared" si="0"/>
        <v>68.91680823426843</v>
      </c>
    </row>
    <row r="34" spans="1:2" ht="13.9" x14ac:dyDescent="0.3">
      <c r="A34" s="2">
        <f>A33+(($C$18-$B$18)/$D$18)</f>
        <v>60</v>
      </c>
      <c r="B34" s="2">
        <f t="shared" si="0"/>
        <v>68.969323452015516</v>
      </c>
    </row>
    <row r="35" spans="1:2" ht="13.9" x14ac:dyDescent="0.3">
      <c r="A35" s="2">
        <f t="shared" si="1"/>
        <v>65</v>
      </c>
      <c r="B35" s="2">
        <f t="shared" si="0"/>
        <v>68.988693537060527</v>
      </c>
    </row>
    <row r="36" spans="1:2" ht="13.9" x14ac:dyDescent="0.3">
      <c r="A36" s="2">
        <f t="shared" si="1"/>
        <v>70</v>
      </c>
      <c r="B36" s="2">
        <f t="shared" si="0"/>
        <v>68.995833502451546</v>
      </c>
    </row>
    <row r="37" spans="1:2" ht="13.9" x14ac:dyDescent="0.3">
      <c r="A37" s="2">
        <f t="shared" si="1"/>
        <v>75</v>
      </c>
      <c r="B37" s="2">
        <f t="shared" si="0"/>
        <v>68.998464720255058</v>
      </c>
    </row>
    <row r="38" spans="1:2" ht="13.9" x14ac:dyDescent="0.3">
      <c r="A38" s="2">
        <f t="shared" si="1"/>
        <v>80</v>
      </c>
      <c r="B38" s="2">
        <f t="shared" si="0"/>
        <v>68.999434290332985</v>
      </c>
    </row>
    <row r="39" spans="1:2" ht="13.9" x14ac:dyDescent="0.3">
      <c r="A39" s="2">
        <f t="shared" si="1"/>
        <v>85</v>
      </c>
      <c r="B39" s="2">
        <f t="shared" si="0"/>
        <v>68.999791552888652</v>
      </c>
    </row>
    <row r="40" spans="1:2" ht="13.9" x14ac:dyDescent="0.3">
      <c r="A40" s="2">
        <f t="shared" si="1"/>
        <v>90</v>
      </c>
      <c r="B40" s="2">
        <f t="shared" si="0"/>
        <v>68.999923193714523</v>
      </c>
    </row>
    <row r="41" spans="1:2" ht="13.9" x14ac:dyDescent="0.3">
      <c r="A41" s="2">
        <f>A40+(($C$18-$B$18)/$D$18)</f>
        <v>95</v>
      </c>
      <c r="B41" s="2">
        <f t="shared" si="0"/>
        <v>68.999971699303273</v>
      </c>
    </row>
    <row r="42" spans="1:2" ht="13.9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topLeftCell="A19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4.45" thickBot="1" x14ac:dyDescent="0.35">
      <c r="A1" s="6" t="s">
        <v>0</v>
      </c>
      <c r="B1" s="1" t="s">
        <v>40</v>
      </c>
    </row>
    <row r="2" spans="1:12" ht="13.9" x14ac:dyDescent="0.3">
      <c r="A2" s="7" t="s">
        <v>2</v>
      </c>
      <c r="B2" s="8" t="s">
        <v>13</v>
      </c>
      <c r="C2" s="9" t="s">
        <v>4</v>
      </c>
      <c r="D2" s="10" t="s">
        <v>6</v>
      </c>
      <c r="F2" s="327" t="s">
        <v>105</v>
      </c>
      <c r="G2" s="328"/>
      <c r="H2" s="328"/>
      <c r="I2" s="328"/>
      <c r="J2" s="328"/>
      <c r="K2" s="328"/>
      <c r="L2" s="329"/>
    </row>
    <row r="3" spans="1:12" ht="14.45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30" t="s">
        <v>72</v>
      </c>
      <c r="G3" s="331"/>
      <c r="H3" s="331"/>
      <c r="I3" s="331"/>
      <c r="J3" s="331"/>
      <c r="K3" s="331"/>
      <c r="L3" s="332"/>
    </row>
    <row r="4" spans="1:12" ht="31.9" customHeight="1" thickBot="1" x14ac:dyDescent="0.35">
      <c r="A4" s="29" t="s">
        <v>38</v>
      </c>
      <c r="B4" s="391" t="s">
        <v>41</v>
      </c>
      <c r="C4" s="392"/>
      <c r="D4" s="393"/>
    </row>
    <row r="6" spans="1:12" ht="14.45" thickBot="1" x14ac:dyDescent="0.35"/>
    <row r="7" spans="1:12" ht="27.6" customHeight="1" x14ac:dyDescent="0.2">
      <c r="A7" s="338" t="s">
        <v>8</v>
      </c>
      <c r="B7" s="341" t="s">
        <v>9</v>
      </c>
      <c r="C7" s="342"/>
      <c r="D7" s="376" t="s">
        <v>12</v>
      </c>
      <c r="E7" s="378"/>
      <c r="F7" s="377" t="s">
        <v>24</v>
      </c>
      <c r="G7" s="387"/>
      <c r="H7" s="1" t="s">
        <v>54</v>
      </c>
    </row>
    <row r="8" spans="1:12" ht="25.5" x14ac:dyDescent="0.2">
      <c r="A8" s="33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34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5" thickBot="1" x14ac:dyDescent="0.35"/>
    <row r="11" spans="1:12" ht="27.6" customHeight="1" x14ac:dyDescent="0.2">
      <c r="A11" s="338" t="s">
        <v>42</v>
      </c>
      <c r="B11" s="335" t="s">
        <v>47</v>
      </c>
      <c r="C11" s="388" t="s">
        <v>46</v>
      </c>
      <c r="D11" s="377"/>
      <c r="E11" s="377"/>
      <c r="F11" s="3" t="s">
        <v>48</v>
      </c>
      <c r="G11" s="33"/>
      <c r="H11" s="32"/>
      <c r="I11" s="32"/>
      <c r="J11" s="32"/>
    </row>
    <row r="12" spans="1:12" x14ac:dyDescent="0.2">
      <c r="A12" s="389"/>
      <c r="B12" s="319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390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346" t="s">
        <v>52</v>
      </c>
      <c r="B14" s="346"/>
      <c r="C14" s="346"/>
      <c r="D14" s="346"/>
      <c r="E14" s="346"/>
      <c r="F14" s="346"/>
      <c r="G14" s="38"/>
      <c r="H14" s="39"/>
      <c r="I14" s="39"/>
      <c r="J14" s="39"/>
    </row>
    <row r="15" spans="1:12" ht="30.6" customHeight="1" x14ac:dyDescent="0.2">
      <c r="A15" s="346"/>
      <c r="B15" s="346"/>
      <c r="C15" s="346"/>
      <c r="D15" s="346"/>
      <c r="E15" s="346"/>
      <c r="F15" s="346"/>
      <c r="G15" s="38"/>
      <c r="H15" s="39"/>
      <c r="I15" s="39"/>
      <c r="J15" s="39"/>
    </row>
    <row r="17" spans="1:4" ht="14.45" thickBot="1" x14ac:dyDescent="0.35"/>
    <row r="18" spans="1:4" ht="16.899999999999999" customHeight="1" x14ac:dyDescent="0.2">
      <c r="A18" s="347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348"/>
      <c r="B19" s="12">
        <v>0</v>
      </c>
      <c r="C19" s="12">
        <v>20000000</v>
      </c>
      <c r="D19" s="26">
        <v>20</v>
      </c>
    </row>
    <row r="21" spans="1:4" ht="13.9" x14ac:dyDescent="0.3">
      <c r="A21" s="326" t="s">
        <v>37</v>
      </c>
      <c r="B21" s="326"/>
    </row>
    <row r="22" spans="1:4" ht="13.9" x14ac:dyDescent="0.3">
      <c r="A22" s="3" t="s">
        <v>35</v>
      </c>
      <c r="B22" s="3" t="s">
        <v>36</v>
      </c>
    </row>
    <row r="23" spans="1:4" ht="13.9" x14ac:dyDescent="0.3">
      <c r="A23" s="2">
        <f>B19</f>
        <v>0</v>
      </c>
      <c r="B23" s="36">
        <f t="shared" ref="B23:B43" si="0">$C$13*A23</f>
        <v>0</v>
      </c>
    </row>
    <row r="24" spans="1:4" ht="13.9" x14ac:dyDescent="0.3">
      <c r="A24" s="2">
        <f>A23+(($C$19-$B$19)/$D$19)</f>
        <v>1000000</v>
      </c>
      <c r="B24" s="36">
        <f t="shared" si="0"/>
        <v>10000</v>
      </c>
    </row>
    <row r="25" spans="1:4" ht="13.9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ht="13.9" x14ac:dyDescent="0.3">
      <c r="A26" s="2">
        <f t="shared" si="1"/>
        <v>3000000</v>
      </c>
      <c r="B26" s="36">
        <f t="shared" si="0"/>
        <v>30000</v>
      </c>
    </row>
    <row r="27" spans="1:4" ht="13.9" x14ac:dyDescent="0.3">
      <c r="A27" s="2">
        <f t="shared" si="1"/>
        <v>4000000</v>
      </c>
      <c r="B27" s="36">
        <f t="shared" si="0"/>
        <v>40000</v>
      </c>
    </row>
    <row r="28" spans="1:4" ht="13.9" x14ac:dyDescent="0.3">
      <c r="A28" s="2">
        <f t="shared" si="1"/>
        <v>5000000</v>
      </c>
      <c r="B28" s="36">
        <f t="shared" si="0"/>
        <v>50000</v>
      </c>
    </row>
    <row r="29" spans="1:4" ht="13.9" x14ac:dyDescent="0.3">
      <c r="A29" s="2">
        <f t="shared" si="1"/>
        <v>6000000</v>
      </c>
      <c r="B29" s="36">
        <f t="shared" si="0"/>
        <v>60000</v>
      </c>
    </row>
    <row r="30" spans="1:4" ht="13.9" x14ac:dyDescent="0.3">
      <c r="A30" s="2">
        <f t="shared" si="1"/>
        <v>7000000</v>
      </c>
      <c r="B30" s="36">
        <f t="shared" si="0"/>
        <v>70000</v>
      </c>
    </row>
    <row r="31" spans="1:4" ht="13.9" x14ac:dyDescent="0.3">
      <c r="A31" s="2">
        <f t="shared" si="1"/>
        <v>8000000</v>
      </c>
      <c r="B31" s="36">
        <f t="shared" si="0"/>
        <v>80000</v>
      </c>
    </row>
    <row r="32" spans="1:4" ht="13.9" x14ac:dyDescent="0.3">
      <c r="A32" s="2">
        <f t="shared" si="1"/>
        <v>9000000</v>
      </c>
      <c r="B32" s="36">
        <f t="shared" si="0"/>
        <v>90000</v>
      </c>
    </row>
    <row r="33" spans="1:2" ht="13.9" x14ac:dyDescent="0.3">
      <c r="A33" s="2">
        <f t="shared" si="1"/>
        <v>10000000</v>
      </c>
      <c r="B33" s="36">
        <f t="shared" si="0"/>
        <v>100000</v>
      </c>
    </row>
    <row r="34" spans="1:2" ht="13.9" x14ac:dyDescent="0.3">
      <c r="A34" s="2">
        <f t="shared" si="1"/>
        <v>11000000</v>
      </c>
      <c r="B34" s="36">
        <f t="shared" si="0"/>
        <v>110000</v>
      </c>
    </row>
    <row r="35" spans="1:2" ht="13.9" x14ac:dyDescent="0.3">
      <c r="A35" s="2">
        <f>A34+(($C$19-$B$19)/$D$19)</f>
        <v>12000000</v>
      </c>
      <c r="B35" s="36">
        <f t="shared" si="0"/>
        <v>120000</v>
      </c>
    </row>
    <row r="36" spans="1:2" ht="13.9" x14ac:dyDescent="0.3">
      <c r="A36" s="2">
        <f t="shared" si="1"/>
        <v>13000000</v>
      </c>
      <c r="B36" s="36">
        <f t="shared" si="0"/>
        <v>130000</v>
      </c>
    </row>
    <row r="37" spans="1:2" ht="13.9" x14ac:dyDescent="0.3">
      <c r="A37" s="2">
        <f t="shared" si="1"/>
        <v>14000000</v>
      </c>
      <c r="B37" s="36">
        <f t="shared" si="0"/>
        <v>140000</v>
      </c>
    </row>
    <row r="38" spans="1:2" ht="13.9" x14ac:dyDescent="0.3">
      <c r="A38" s="2">
        <f t="shared" si="1"/>
        <v>15000000</v>
      </c>
      <c r="B38" s="36">
        <f t="shared" si="0"/>
        <v>150000</v>
      </c>
    </row>
    <row r="39" spans="1:2" ht="13.9" x14ac:dyDescent="0.3">
      <c r="A39" s="2">
        <f t="shared" si="1"/>
        <v>16000000</v>
      </c>
      <c r="B39" s="36">
        <f t="shared" si="0"/>
        <v>160000</v>
      </c>
    </row>
    <row r="40" spans="1:2" ht="13.9" x14ac:dyDescent="0.3">
      <c r="A40" s="2">
        <f t="shared" si="1"/>
        <v>17000000</v>
      </c>
      <c r="B40" s="36">
        <f t="shared" si="0"/>
        <v>170000</v>
      </c>
    </row>
    <row r="41" spans="1:2" ht="13.9" x14ac:dyDescent="0.3">
      <c r="A41" s="2">
        <f t="shared" si="1"/>
        <v>18000000</v>
      </c>
      <c r="B41" s="36">
        <f t="shared" si="0"/>
        <v>180000</v>
      </c>
    </row>
    <row r="42" spans="1:2" ht="13.9" x14ac:dyDescent="0.3">
      <c r="A42" s="2">
        <f>A41+(($C$19-$B$19)/$D$19)</f>
        <v>19000000</v>
      </c>
      <c r="B42" s="36">
        <f t="shared" si="0"/>
        <v>190000</v>
      </c>
    </row>
    <row r="43" spans="1:2" ht="13.9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topLeftCell="A16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4.45" thickBot="1" x14ac:dyDescent="0.35">
      <c r="A1" s="6" t="s">
        <v>0</v>
      </c>
      <c r="B1" s="1" t="s">
        <v>55</v>
      </c>
    </row>
    <row r="2" spans="1:14" ht="13.9" x14ac:dyDescent="0.3">
      <c r="A2" s="7" t="s">
        <v>2</v>
      </c>
      <c r="B2" s="8" t="s">
        <v>13</v>
      </c>
      <c r="C2" s="9" t="s">
        <v>4</v>
      </c>
      <c r="D2" s="10" t="s">
        <v>6</v>
      </c>
      <c r="F2" s="327" t="s">
        <v>105</v>
      </c>
      <c r="G2" s="328"/>
      <c r="H2" s="328"/>
      <c r="I2" s="328"/>
      <c r="J2" s="328"/>
      <c r="K2" s="328"/>
      <c r="L2" s="329"/>
    </row>
    <row r="3" spans="1:14" ht="14.45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30" t="s">
        <v>72</v>
      </c>
      <c r="G3" s="331"/>
      <c r="H3" s="331"/>
      <c r="I3" s="331"/>
      <c r="J3" s="331"/>
      <c r="K3" s="331"/>
      <c r="L3" s="332"/>
    </row>
    <row r="4" spans="1:14" ht="14.45" thickBot="1" x14ac:dyDescent="0.35">
      <c r="A4" s="29" t="s">
        <v>38</v>
      </c>
      <c r="B4" s="379" t="s">
        <v>57</v>
      </c>
      <c r="C4" s="379"/>
      <c r="D4" s="380"/>
    </row>
    <row r="6" spans="1:14" ht="14.45" thickBot="1" x14ac:dyDescent="0.35"/>
    <row r="7" spans="1:14" ht="27.6" customHeight="1" x14ac:dyDescent="0.2">
      <c r="A7" s="338" t="s">
        <v>8</v>
      </c>
      <c r="B7" s="341" t="s">
        <v>9</v>
      </c>
      <c r="C7" s="342"/>
      <c r="D7" s="376" t="s">
        <v>12</v>
      </c>
      <c r="E7" s="378"/>
      <c r="F7" s="377" t="s">
        <v>24</v>
      </c>
      <c r="G7" s="387"/>
      <c r="I7" s="370" t="s">
        <v>73</v>
      </c>
      <c r="J7" s="370"/>
      <c r="K7" s="370"/>
      <c r="L7" s="370"/>
      <c r="N7" s="47" t="s">
        <v>58</v>
      </c>
    </row>
    <row r="8" spans="1:14" ht="25.5" x14ac:dyDescent="0.2">
      <c r="A8" s="33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70"/>
      <c r="J8" s="370"/>
      <c r="K8" s="370"/>
      <c r="L8" s="370"/>
      <c r="N8" s="47" t="s">
        <v>59</v>
      </c>
    </row>
    <row r="9" spans="1:14" ht="13.5" thickBot="1" x14ac:dyDescent="0.25">
      <c r="A9" s="34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5" thickBot="1" x14ac:dyDescent="0.35"/>
    <row r="11" spans="1:14" ht="13.9" customHeight="1" x14ac:dyDescent="0.2">
      <c r="A11" s="326" t="s">
        <v>60</v>
      </c>
      <c r="B11" s="3" t="s">
        <v>61</v>
      </c>
      <c r="C11" s="3" t="s">
        <v>62</v>
      </c>
      <c r="D11" s="32"/>
      <c r="E11" s="36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326"/>
      <c r="B12" s="41">
        <v>0</v>
      </c>
      <c r="C12" s="41">
        <v>0</v>
      </c>
      <c r="D12" s="32"/>
      <c r="E12" s="36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326"/>
      <c r="B13" s="41">
        <v>1</v>
      </c>
      <c r="C13" s="41">
        <v>0.75</v>
      </c>
      <c r="D13" s="32"/>
      <c r="E13" s="36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326"/>
      <c r="B14" s="41">
        <v>2</v>
      </c>
      <c r="C14" s="41">
        <v>0</v>
      </c>
      <c r="D14" s="32"/>
      <c r="E14" s="36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326"/>
      <c r="B15" s="41">
        <v>3</v>
      </c>
      <c r="C15" s="41">
        <v>-1</v>
      </c>
      <c r="D15" s="32"/>
      <c r="E15" s="36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326"/>
      <c r="B16" s="41">
        <v>4</v>
      </c>
      <c r="C16" s="41">
        <v>3</v>
      </c>
      <c r="D16" s="32"/>
      <c r="E16" s="36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326"/>
      <c r="B17" s="42">
        <v>5</v>
      </c>
      <c r="C17" s="42">
        <v>3</v>
      </c>
      <c r="D17" s="40"/>
      <c r="E17" s="36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2">
      <c r="A18" s="394" t="s">
        <v>74</v>
      </c>
      <c r="B18" s="395"/>
      <c r="C18" s="396"/>
      <c r="D18" s="33"/>
      <c r="E18" s="346" t="s">
        <v>75</v>
      </c>
      <c r="F18" s="346"/>
      <c r="G18" s="346"/>
      <c r="H18" s="346"/>
      <c r="I18" s="346"/>
      <c r="J18" s="346"/>
      <c r="K18" s="346"/>
      <c r="L18" s="346"/>
      <c r="M18" s="346"/>
    </row>
    <row r="19" spans="1:13" ht="35.450000000000003" customHeight="1" x14ac:dyDescent="0.2">
      <c r="A19" s="367"/>
      <c r="B19" s="368"/>
      <c r="C19" s="369"/>
      <c r="D19" s="33"/>
      <c r="E19" s="346"/>
      <c r="F19" s="346"/>
      <c r="G19" s="346"/>
      <c r="H19" s="346"/>
      <c r="I19" s="346"/>
      <c r="J19" s="346"/>
      <c r="K19" s="346"/>
      <c r="L19" s="346"/>
      <c r="M19" s="346"/>
    </row>
    <row r="21" spans="1:13" ht="14.45" thickBot="1" x14ac:dyDescent="0.35"/>
    <row r="22" spans="1:13" ht="16.899999999999999" customHeight="1" x14ac:dyDescent="0.2">
      <c r="A22" s="347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348"/>
      <c r="B23" s="12">
        <v>0</v>
      </c>
      <c r="C23" s="12">
        <v>5</v>
      </c>
      <c r="D23" s="26">
        <v>20</v>
      </c>
    </row>
    <row r="25" spans="1:13" ht="13.9" x14ac:dyDescent="0.3">
      <c r="A25" s="326" t="s">
        <v>37</v>
      </c>
      <c r="B25" s="326"/>
    </row>
    <row r="26" spans="1:13" ht="13.9" x14ac:dyDescent="0.3">
      <c r="A26" s="3" t="s">
        <v>35</v>
      </c>
      <c r="B26" s="3" t="s">
        <v>36</v>
      </c>
    </row>
    <row r="27" spans="1:13" ht="13.9" x14ac:dyDescent="0.3">
      <c r="A27" s="2">
        <f>B23</f>
        <v>0</v>
      </c>
      <c r="B27" s="36">
        <f>csplinePred($B$12:$B$17,$C$12:$C$17,$F$12:$M$17,A27)</f>
        <v>0</v>
      </c>
    </row>
    <row r="28" spans="1:13" ht="13.9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ht="13.9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ht="13.9" x14ac:dyDescent="0.3">
      <c r="A30" s="2">
        <f t="shared" si="1"/>
        <v>0.75</v>
      </c>
      <c r="B30" s="36">
        <f t="shared" si="0"/>
        <v>0.65081115430622016</v>
      </c>
    </row>
    <row r="31" spans="1:13" ht="13.9" x14ac:dyDescent="0.3">
      <c r="A31" s="2">
        <f t="shared" si="1"/>
        <v>1</v>
      </c>
      <c r="B31" s="36">
        <f t="shared" si="0"/>
        <v>0.75</v>
      </c>
    </row>
    <row r="32" spans="1:13" ht="13.9" x14ac:dyDescent="0.3">
      <c r="A32" s="2">
        <f t="shared" si="1"/>
        <v>1.25</v>
      </c>
      <c r="B32" s="36">
        <f t="shared" si="0"/>
        <v>0.75005607057416268</v>
      </c>
    </row>
    <row r="33" spans="1:2" ht="13.9" x14ac:dyDescent="0.3">
      <c r="A33" s="2">
        <f t="shared" si="1"/>
        <v>1.5</v>
      </c>
      <c r="B33" s="36">
        <f t="shared" si="0"/>
        <v>0.63471889952153115</v>
      </c>
    </row>
    <row r="34" spans="1:2" ht="13.9" x14ac:dyDescent="0.3">
      <c r="A34" s="2">
        <f t="shared" si="1"/>
        <v>1.75</v>
      </c>
      <c r="B34" s="36">
        <f t="shared" si="0"/>
        <v>0.389522278708134</v>
      </c>
    </row>
    <row r="35" spans="1:2" ht="13.9" x14ac:dyDescent="0.3">
      <c r="A35" s="2">
        <f t="shared" si="1"/>
        <v>2</v>
      </c>
      <c r="B35" s="36">
        <f t="shared" si="0"/>
        <v>0</v>
      </c>
    </row>
    <row r="36" spans="1:2" ht="13.9" x14ac:dyDescent="0.3">
      <c r="A36" s="2">
        <f t="shared" si="1"/>
        <v>2.25</v>
      </c>
      <c r="B36" s="36">
        <f t="shared" si="0"/>
        <v>-0.51252242822966498</v>
      </c>
    </row>
    <row r="37" spans="1:2" ht="13.9" x14ac:dyDescent="0.3">
      <c r="A37" s="2">
        <f t="shared" si="1"/>
        <v>2.5</v>
      </c>
      <c r="B37" s="36">
        <f t="shared" si="0"/>
        <v>-0.98355263157894723</v>
      </c>
    </row>
    <row r="38" spans="1:2" ht="13.9" x14ac:dyDescent="0.3">
      <c r="A38" s="2">
        <f t="shared" si="1"/>
        <v>2.75</v>
      </c>
      <c r="B38" s="36">
        <f t="shared" si="0"/>
        <v>-1.2128065191387558</v>
      </c>
    </row>
    <row r="39" spans="1:2" ht="13.9" x14ac:dyDescent="0.3">
      <c r="A39" s="2">
        <f>A38+(($C$23-$B$23)/$D$23)</f>
        <v>3</v>
      </c>
      <c r="B39" s="36">
        <f t="shared" si="0"/>
        <v>-1</v>
      </c>
    </row>
    <row r="40" spans="1:2" ht="13.9" x14ac:dyDescent="0.3">
      <c r="A40" s="2">
        <f t="shared" si="1"/>
        <v>3.25</v>
      </c>
      <c r="B40" s="36">
        <f t="shared" si="0"/>
        <v>-0.22731010765550241</v>
      </c>
    </row>
    <row r="41" spans="1:2" ht="13.9" x14ac:dyDescent="0.3">
      <c r="A41" s="2">
        <f t="shared" si="1"/>
        <v>3.5</v>
      </c>
      <c r="B41" s="36">
        <f t="shared" si="0"/>
        <v>0.89324162679425823</v>
      </c>
    </row>
    <row r="42" spans="1:2" ht="13.9" x14ac:dyDescent="0.3">
      <c r="A42" s="2">
        <f t="shared" si="1"/>
        <v>3.75</v>
      </c>
      <c r="B42" s="36">
        <f t="shared" si="0"/>
        <v>2.0671725478468899</v>
      </c>
    </row>
    <row r="43" spans="1:2" ht="13.9" x14ac:dyDescent="0.3">
      <c r="A43" s="2">
        <f t="shared" si="1"/>
        <v>4</v>
      </c>
      <c r="B43" s="36">
        <f t="shared" si="0"/>
        <v>3</v>
      </c>
    </row>
    <row r="44" spans="1:2" ht="13.9" x14ac:dyDescent="0.3">
      <c r="A44" s="2">
        <f t="shared" si="1"/>
        <v>4.25</v>
      </c>
      <c r="B44" s="36">
        <f t="shared" si="0"/>
        <v>3.4686378588516744</v>
      </c>
    </row>
    <row r="45" spans="1:2" ht="13.9" x14ac:dyDescent="0.3">
      <c r="A45" s="2">
        <f t="shared" si="1"/>
        <v>4.5</v>
      </c>
      <c r="B45" s="36">
        <f t="shared" si="0"/>
        <v>3.535586124401914</v>
      </c>
    </row>
    <row r="46" spans="1:2" ht="13.9" x14ac:dyDescent="0.3">
      <c r="A46" s="2">
        <f>A45+(($C$23-$B$23)/$D$23)</f>
        <v>4.75</v>
      </c>
      <c r="B46" s="36">
        <f t="shared" si="0"/>
        <v>3.3347413277511961</v>
      </c>
    </row>
    <row r="47" spans="1:2" ht="13.9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topLeftCell="A13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5703125" style="1" customWidth="1"/>
    <col min="3" max="3" width="12.5703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4.45" thickBot="1" x14ac:dyDescent="0.35">
      <c r="A1" s="6" t="s">
        <v>0</v>
      </c>
      <c r="B1" s="1" t="s">
        <v>1</v>
      </c>
    </row>
    <row r="2" spans="1:15" ht="13.9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5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397" t="s">
        <v>111</v>
      </c>
      <c r="C4" s="397"/>
      <c r="D4" s="397"/>
      <c r="E4" s="397"/>
      <c r="F4" s="398"/>
      <c r="H4" s="1" t="s">
        <v>112</v>
      </c>
    </row>
    <row r="5" spans="1:15" ht="13.9" x14ac:dyDescent="0.3">
      <c r="H5" s="1" t="s">
        <v>113</v>
      </c>
    </row>
    <row r="6" spans="1:15" ht="14.45" thickBot="1" x14ac:dyDescent="0.35">
      <c r="B6" s="78">
        <v>0.6</v>
      </c>
      <c r="C6" s="78">
        <v>1.3</v>
      </c>
    </row>
    <row r="7" spans="1:15" ht="27.6" customHeight="1" x14ac:dyDescent="0.2">
      <c r="A7" s="338" t="s">
        <v>8</v>
      </c>
      <c r="B7" s="341" t="s">
        <v>9</v>
      </c>
      <c r="C7" s="342"/>
      <c r="D7" s="376" t="s">
        <v>12</v>
      </c>
      <c r="E7" s="378"/>
      <c r="F7" s="377" t="s">
        <v>24</v>
      </c>
      <c r="G7" s="387"/>
    </row>
    <row r="8" spans="1:15" ht="25.5" x14ac:dyDescent="0.2">
      <c r="A8" s="339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3.5" thickBot="1" x14ac:dyDescent="0.25">
      <c r="A9" s="340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5" thickBot="1" x14ac:dyDescent="0.35"/>
    <row r="11" spans="1:15" ht="51.6" customHeight="1" x14ac:dyDescent="0.2">
      <c r="A11" s="338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47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25">
      <c r="A12" s="340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48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15" customHeight="1" x14ac:dyDescent="0.2">
      <c r="A13" s="371" t="s">
        <v>119</v>
      </c>
      <c r="B13" s="372"/>
      <c r="C13" s="372"/>
      <c r="D13" s="372"/>
      <c r="E13" s="372"/>
      <c r="F13" s="373"/>
      <c r="H13" s="371" t="s">
        <v>120</v>
      </c>
      <c r="I13" s="372"/>
      <c r="J13" s="372"/>
      <c r="K13" s="372"/>
      <c r="L13" s="372"/>
      <c r="M13" s="372"/>
      <c r="N13" s="372"/>
      <c r="O13" s="373"/>
    </row>
    <row r="14" spans="1:15" ht="33.6" customHeight="1" x14ac:dyDescent="0.2">
      <c r="A14" s="367"/>
      <c r="B14" s="368"/>
      <c r="C14" s="368"/>
      <c r="D14" s="368"/>
      <c r="E14" s="368"/>
      <c r="F14" s="369"/>
      <c r="H14" s="367"/>
      <c r="I14" s="368"/>
      <c r="J14" s="368"/>
      <c r="K14" s="368"/>
      <c r="L14" s="368"/>
      <c r="M14" s="368"/>
      <c r="N14" s="368"/>
      <c r="O14" s="369"/>
    </row>
    <row r="16" spans="1:15" ht="14.45" thickBot="1" x14ac:dyDescent="0.35"/>
    <row r="17" spans="1:4" ht="16.899999999999999" customHeight="1" x14ac:dyDescent="0.2">
      <c r="A17" s="347" t="s">
        <v>34</v>
      </c>
      <c r="B17" s="72" t="s">
        <v>32</v>
      </c>
      <c r="C17" s="72" t="s">
        <v>31</v>
      </c>
      <c r="D17" s="15" t="s">
        <v>33</v>
      </c>
    </row>
    <row r="18" spans="1:4" ht="23.45" customHeight="1" thickBot="1" x14ac:dyDescent="0.25">
      <c r="A18" s="348"/>
      <c r="B18" s="102">
        <v>0</v>
      </c>
      <c r="C18" s="103">
        <v>200000000</v>
      </c>
      <c r="D18" s="26">
        <v>20</v>
      </c>
    </row>
    <row r="20" spans="1:4" ht="13.9" x14ac:dyDescent="0.3">
      <c r="A20" s="326" t="s">
        <v>37</v>
      </c>
      <c r="B20" s="326"/>
    </row>
    <row r="21" spans="1:4" ht="13.9" x14ac:dyDescent="0.3">
      <c r="A21" s="71" t="s">
        <v>35</v>
      </c>
      <c r="B21" s="71" t="s">
        <v>36</v>
      </c>
    </row>
    <row r="22" spans="1:4" ht="13.9" x14ac:dyDescent="0.3">
      <c r="A22" s="2">
        <f>B18</f>
        <v>0</v>
      </c>
      <c r="B22" s="2">
        <f>(($O$12/(1+EXP($M$12+$N$12*A22)))-1) - ($F$12-$C$12)</f>
        <v>0</v>
      </c>
    </row>
    <row r="23" spans="1:4" ht="13.9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ht="13.9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ht="13.9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ht="13.9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ht="13.9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ht="13.9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ht="13.9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ht="13.9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ht="13.9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ht="13.9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ht="13.9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ht="13.9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ht="13.9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ht="13.9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ht="13.9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ht="13.9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ht="13.9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ht="13.9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ht="13.9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ht="13.9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Charts - Idvl</vt:lpstr>
      <vt:lpstr>Chart - Combined</vt:lpstr>
      <vt:lpstr>JJ_Notes_1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Jane Folske</cp:lastModifiedBy>
  <dcterms:created xsi:type="dcterms:W3CDTF">2013-03-17T16:17:06Z</dcterms:created>
  <dcterms:modified xsi:type="dcterms:W3CDTF">2013-04-22T20:31:29Z</dcterms:modified>
</cp:coreProperties>
</file>