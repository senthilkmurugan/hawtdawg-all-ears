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firstSheet="1" activeTab="3"/>
  </bookViews>
  <sheets>
    <sheet name="Charts - Idvl" sheetId="35" r:id="rId1"/>
    <sheet name="Chart - Combined" sheetId="36" r:id="rId2"/>
    <sheet name="JJ_Notes_1" sheetId="24" r:id="rId3"/>
    <sheet name="JJ_Optim_Scenario" sheetId="23" r:id="rId4"/>
    <sheet name="JANSample" sheetId="25" r:id="rId5"/>
    <sheet name="JMTSample" sheetId="26" r:id="rId6"/>
    <sheet name="TOTSample" sheetId="27" r:id="rId7"/>
    <sheet name="JJVCH" sheetId="29" r:id="rId8"/>
    <sheet name="JJMMF" sheetId="30" r:id="rId9"/>
    <sheet name="JJHCC" sheetId="31" r:id="rId10"/>
    <sheet name="JJMCM" sheetId="32" r:id="rId11"/>
    <sheet name="JJHCC_ACQ" sheetId="33" r:id="rId12"/>
    <sheet name="JJHCC_ADH" sheetId="34" r:id="rId13"/>
    <sheet name="Fn.Templates ==&gt;" sheetId="3" r:id="rId14"/>
    <sheet name="FT_SCurveEst" sheetId="2" r:id="rId15"/>
    <sheet name="FT_Equation" sheetId="4" r:id="rId16"/>
    <sheet name="FT_Interpolate" sheetId="5" r:id="rId17"/>
    <sheet name="FT_SCurve3Est" sheetId="13" r:id="rId18"/>
  </sheets>
  <functionGroups builtInGroupCount="17"/>
  <externalReferences>
    <externalReference r:id="rId19"/>
  </externalReferences>
  <definedNames>
    <definedName name="solver_adj" localSheetId="3" hidden="1">JJ_Optim_Scenario!$I$17:$I$24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JJ_Optim_Scenario!$I$17:$I$24</definedName>
    <definedName name="solver_lhs2" localSheetId="3" hidden="1">JJ_Optim_Scenario!$I$17:$I$24</definedName>
    <definedName name="solver_lhs3" localSheetId="3" hidden="1">JJ_Optim_Scenario!$I$25</definedName>
    <definedName name="solver_lhs4" localSheetId="3" hidden="1">JJ_Optim_Scenario!$I$25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JJ_Optim_Scenario!$B$9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el3" localSheetId="3" hidden="1">1</definedName>
    <definedName name="solver_rel4" localSheetId="3" hidden="1">3</definedName>
    <definedName name="solver_rhs1" localSheetId="3" hidden="1">JJ_Optim_Scenario!$H$17:$H$24</definedName>
    <definedName name="solver_rhs2" localSheetId="3" hidden="1">JJ_Optim_Scenario!$G$17:$G$24</definedName>
    <definedName name="solver_rhs3" localSheetId="3" hidden="1">JJ_Optim_Scenario!$D$12</definedName>
    <definedName name="solver_rhs4" localSheetId="3" hidden="1">JJ_Optim_Scenario!$C$12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45621"/>
</workbook>
</file>

<file path=xl/calcChain.xml><?xml version="1.0" encoding="utf-8"?>
<calcChain xmlns="http://schemas.openxmlformats.org/spreadsheetml/2006/main">
  <c r="L45" i="23" l="1"/>
  <c r="M45" i="23" s="1"/>
  <c r="J45" i="23"/>
  <c r="G45" i="23"/>
  <c r="N44" i="23"/>
  <c r="M44" i="23"/>
  <c r="L44" i="23"/>
  <c r="J44" i="23"/>
  <c r="G44" i="23"/>
  <c r="N43" i="23"/>
  <c r="L43" i="23"/>
  <c r="M43" i="23" s="1"/>
  <c r="J43" i="23"/>
  <c r="G43" i="23"/>
  <c r="N45" i="23" l="1"/>
  <c r="E12" i="23" l="1"/>
  <c r="D12" i="23"/>
  <c r="C12" i="23"/>
  <c r="E23" i="34" l="1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22" i="34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22" i="3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30" i="30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E25" i="23"/>
  <c r="H42" i="23" l="1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H24" i="23"/>
  <c r="G24" i="23"/>
  <c r="K23" i="23"/>
  <c r="H23" i="23"/>
  <c r="G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J17" i="23" s="1"/>
  <c r="I34" i="23" s="1"/>
  <c r="J34" i="23" s="1"/>
  <c r="E9" i="25"/>
  <c r="A24" i="25"/>
  <c r="A25" i="25" s="1"/>
  <c r="A23" i="25"/>
  <c r="K22" i="23"/>
  <c r="H22" i="23"/>
  <c r="G22" i="23"/>
  <c r="K21" i="23"/>
  <c r="H21" i="23"/>
  <c r="G21" i="23"/>
  <c r="K20" i="23"/>
  <c r="H20" i="23"/>
  <c r="G20" i="23"/>
  <c r="K19" i="23"/>
  <c r="H19" i="23"/>
  <c r="G19" i="23"/>
  <c r="K18" i="23"/>
  <c r="H18" i="23"/>
  <c r="G18" i="23"/>
  <c r="K17" i="23"/>
  <c r="H17" i="23"/>
  <c r="G17" i="23"/>
  <c r="H14" i="30" a="1"/>
  <c r="K25" i="23" l="1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C22" i="34" s="1"/>
  <c r="E9" i="34"/>
  <c r="F9" i="34" s="1"/>
  <c r="J24" i="23" s="1"/>
  <c r="I41" i="23" s="1"/>
  <c r="J41" i="23" s="1"/>
  <c r="H9" i="34"/>
  <c r="I9" i="34" s="1"/>
  <c r="C22" i="33"/>
  <c r="F9" i="33"/>
  <c r="J23" i="23" s="1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2" i="30"/>
  <c r="B31" i="30"/>
  <c r="H9" i="30"/>
  <c r="B30" i="30"/>
  <c r="E9" i="30"/>
  <c r="L21" i="23" l="1"/>
  <c r="N21" i="23" s="1"/>
  <c r="I40" i="23"/>
  <c r="J40" i="23" s="1"/>
  <c r="L40" i="23" s="1"/>
  <c r="N40" i="23" s="1"/>
  <c r="L23" i="23"/>
  <c r="N23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J42" i="23" l="1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F37" i="23" l="1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20" i="23" l="1"/>
  <c r="L37" i="23"/>
  <c r="N37" i="23" s="1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L42" i="23" l="1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N42" i="23" l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B9" i="23" l="1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39" i="30"/>
  <c r="B45" i="5"/>
  <c r="B27" i="5"/>
  <c r="B38" i="5"/>
  <c r="B36" i="5"/>
  <c r="B32" i="5"/>
  <c r="L25" i="23" l="1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C40" i="30" l="1"/>
  <c r="A41" i="30"/>
  <c r="B34" i="29"/>
  <c r="A35" i="29"/>
  <c r="C34" i="29"/>
  <c r="B34" i="27"/>
  <c r="A35" i="27"/>
  <c r="C34" i="27"/>
  <c r="C32" i="26"/>
  <c r="B32" i="26"/>
  <c r="A33" i="26"/>
  <c r="A35" i="25"/>
  <c r="B41" i="30"/>
  <c r="C41" i="30" l="1"/>
  <c r="A42" i="30"/>
  <c r="C35" i="29"/>
  <c r="B35" i="29"/>
  <c r="A36" i="29"/>
  <c r="C35" i="27"/>
  <c r="B35" i="27"/>
  <c r="A36" i="27"/>
  <c r="A34" i="26"/>
  <c r="C33" i="26"/>
  <c r="B33" i="26"/>
  <c r="A36" i="25"/>
  <c r="B42" i="30"/>
  <c r="C42" i="30" l="1"/>
  <c r="A43" i="30"/>
  <c r="A37" i="29"/>
  <c r="C36" i="29"/>
  <c r="B36" i="29"/>
  <c r="A37" i="27"/>
  <c r="C36" i="27"/>
  <c r="B36" i="27"/>
  <c r="A35" i="26"/>
  <c r="C34" i="26"/>
  <c r="B34" i="26"/>
  <c r="A37" i="25"/>
  <c r="B43" i="30"/>
  <c r="C43" i="30" l="1"/>
  <c r="A44" i="30"/>
  <c r="A38" i="29"/>
  <c r="C37" i="29"/>
  <c r="B37" i="29"/>
  <c r="A38" i="27"/>
  <c r="C37" i="27"/>
  <c r="B37" i="27"/>
  <c r="B35" i="26"/>
  <c r="A36" i="26"/>
  <c r="C35" i="26"/>
  <c r="A38" i="25"/>
  <c r="B44" i="30"/>
  <c r="C44" i="30" l="1"/>
  <c r="A45" i="30"/>
  <c r="B38" i="29"/>
  <c r="A39" i="29"/>
  <c r="C38" i="29"/>
  <c r="B38" i="27"/>
  <c r="A39" i="27"/>
  <c r="C38" i="27"/>
  <c r="C36" i="26"/>
  <c r="B36" i="26"/>
  <c r="A37" i="26"/>
  <c r="A39" i="25"/>
  <c r="B45" i="30"/>
  <c r="C45" i="30" l="1"/>
  <c r="A46" i="30"/>
  <c r="C39" i="29"/>
  <c r="B39" i="29"/>
  <c r="A40" i="29"/>
  <c r="C39" i="27"/>
  <c r="B39" i="27"/>
  <c r="A40" i="27"/>
  <c r="A38" i="26"/>
  <c r="C37" i="26"/>
  <c r="B37" i="26"/>
  <c r="A40" i="25"/>
  <c r="B46" i="30"/>
  <c r="C46" i="30" l="1"/>
  <c r="A47" i="30"/>
  <c r="A41" i="29"/>
  <c r="C40" i="29"/>
  <c r="B40" i="29"/>
  <c r="A41" i="27"/>
  <c r="C40" i="27"/>
  <c r="B40" i="27"/>
  <c r="A39" i="26"/>
  <c r="C38" i="26"/>
  <c r="B38" i="26"/>
  <c r="A41" i="25"/>
  <c r="B47" i="30"/>
  <c r="C47" i="30" l="1"/>
  <c r="A48" i="30"/>
  <c r="A42" i="29"/>
  <c r="C41" i="29"/>
  <c r="B41" i="29"/>
  <c r="A42" i="27"/>
  <c r="C41" i="27"/>
  <c r="B41" i="27"/>
  <c r="B39" i="26"/>
  <c r="A40" i="26"/>
  <c r="C39" i="26"/>
  <c r="A42" i="25"/>
  <c r="B48" i="30"/>
  <c r="C48" i="30" l="1"/>
  <c r="A49" i="30"/>
  <c r="B42" i="29"/>
  <c r="A43" i="29"/>
  <c r="C42" i="29"/>
  <c r="B42" i="27"/>
  <c r="A43" i="27"/>
  <c r="C42" i="27"/>
  <c r="C40" i="26"/>
  <c r="B40" i="26"/>
  <c r="A41" i="26"/>
  <c r="A43" i="25"/>
  <c r="B49" i="30"/>
  <c r="C49" i="30" l="1"/>
  <c r="A50" i="30"/>
  <c r="C43" i="29"/>
  <c r="B43" i="29"/>
  <c r="C43" i="27"/>
  <c r="B43" i="27"/>
  <c r="A42" i="26"/>
  <c r="C41" i="26"/>
  <c r="B41" i="26"/>
  <c r="B50" i="30"/>
  <c r="C50" i="30" l="1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<sst xmlns="http://schemas.openxmlformats.org/spreadsheetml/2006/main" count="1036" uniqueCount="274">
  <si>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</si>
  <si>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</si>
  <si>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</si>
  <si>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</si>
  <si>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</si>
  <si>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</si>
  <si>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</si>
  <si>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</si>
  <si>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</si>
  <si>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</si>
  <si>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</si>
  <si>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</si>
  <si>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</si>
  <si>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</si>
  <si>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</si>
  <si>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</si>
  <si>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</si>
  <si>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</si>
  <si>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</si>
  <si>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</si>
  <si>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</si>
  <si>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</si>
  <si>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</si>
  <si>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</si>
  <si>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</si>
  <si>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</si>
  <si>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</si>
  <si>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</si>
  <si>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</si>
  <si>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</si>
  <si>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</si>
  <si>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</si>
  <si>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</si>
  <si>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</si>
  <si>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</si>
  <si>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</si>
  <si>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</si>
  <si>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</si>
  <si>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</si>
  <si>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</si>
  <si>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</si>
  <si>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</si>
  <si>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</si>
  <si>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</si>
  <si>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</si>
  <si>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</si>
  <si>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</si>
  <si>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</si>
  <si>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</si>
  <si>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</si>
  <si>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</si>
  <si>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</si>
  <si>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</si>
  <si>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</si>
  <si>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</si>
  <si>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</si>
  <si>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</si>
  <si>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</si>
  <si>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</si>
  <si>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</si>
  <si>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</si>
  <si>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</si>
  <si>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</si>
  <si>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</si>
  <si>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</si>
  <si>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</si>
  <si>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</si>
  <si>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</si>
  <si>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</si>
  <si>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</si>
  <si>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</si>
  <si>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</si>
  <si>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</si>
  <si>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</si>
  <si>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</si>
  <si>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</si>
  <si>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</si>
  <si>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</si>
  <si>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</si>
  <si>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</si>
  <si>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</si>
  <si>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</si>
  <si>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</si>
  <si>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</si>
  <si>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</si>
  <si>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</si>
  <si>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</si>
  <si>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</si>
  <si>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</si>
  <si>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</si>
  <si>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</si>
  <si>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</si>
  <si>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</si>
  <si>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</si>
  <si>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</si>
  <si>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</si>
  <si>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</si>
  <si>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</si>
  <si>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</si>
  <si>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</si>
  <si>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</si>
  <si>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</si>
  <si>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</si>
  <si>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</si>
  <si>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</si>
  <si>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</si>
  <si>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</si>
  <si>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</si>
  <si>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</si>
  <si>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</si>
  <si>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</si>
  <si>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</si>
  <si>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</si>
  <si>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</si>
  <si>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</si>
  <si>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</si>
  <si>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</si>
  <si>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</si>
  <si>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</si>
  <si>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</si>
  <si>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</si>
  <si>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</si>
  <si>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</si>
  <si>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</si>
  <si>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</si>
  <si>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</si>
  <si>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</si>
  <si>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</si>
  <si>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</si>
  <si>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</si>
  <si>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</si>
  <si>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</si>
  <si>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</si>
  <si>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</si>
  <si>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</si>
  <si>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</si>
  <si>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</si>
  <si>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</si>
  <si>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</si>
  <si>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</si>
  <si>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</si>
  <si>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</si>
  <si>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</si>
  <si>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</si>
  <si>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</si>
  <si>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</si>
  <si>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</si>
  <si>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</si>
  <si>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</si>
  <si>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</si>
  <si>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</si>
  <si>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</si>
  <si>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</si>
  <si>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</si>
  <si>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</si>
  <si>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</si>
  <si>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</si>
  <si>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</si>
  <si>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</si>
  <si>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</si>
  <si>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</si>
  <si>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</si>
  <si>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</si>
  <si>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</si>
  <si>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</si>
  <si>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</si>
  <si>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</si>
  <si>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</si>
  <si>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</si>
  <si>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</si>
  <si>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</si>
  <si>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</si>
  <si>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</si>
  <si>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</si>
  <si>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</si>
  <si>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</si>
  <si>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</si>
  <si>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</si>
  <si>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</si>
  <si>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</si>
  <si>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</si>
  <si>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</si>
  <si>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</si>
  <si>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</si>
  <si>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</si>
  <si>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</si>
  <si>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</si>
  <si>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</si>
  <si>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</si>
  <si>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</si>
  <si>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</si>
  <si>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</si>
  <si>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</si>
  <si>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</si>
  <si>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</si>
  <si>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</si>
  <si>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</si>
  <si>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</si>
  <si>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</si>
  <si>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</si>
  <si>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</si>
  <si>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</si>
  <si>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</si>
  <si>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</si>
  <si>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</si>
  <si>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</si>
  <si>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</si>
  <si>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</si>
  <si>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</si>
  <si>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</si>
  <si>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</si>
  <si>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</si>
  <si>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</si>
  <si>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</si>
  <si>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</si>
  <si>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</si>
  <si>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</si>
  <si>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</si>
  <si>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</si>
  <si>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</si>
  <si>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</si>
  <si>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</si>
  <si>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</si>
  <si>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</si>
  <si>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</si>
  <si>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</si>
  <si>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</si>
  <si>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</si>
  <si>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</si>
  <si>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</si>
  <si>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</si>
  <si>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</si>
  <si>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</si>
  <si>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</si>
  <si>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</si>
  <si>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</si>
  <si>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</si>
  <si>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</si>
  <si>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</si>
  <si>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</si>
  <si>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</si>
  <si>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</si>
  <si>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</si>
  <si>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</si>
  <si>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</si>
  <si>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</si>
  <si>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</si>
  <si>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</si>
  <si>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</si>
  <si>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</si>
  <si>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</si>
  <si>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</si>
  <si>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</si>
  <si>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</si>
  <si>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</si>
  <si>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</si>
  <si>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</si>
  <si>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</si>
  <si>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</si>
  <si>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</si>
  <si>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</si>
  <si>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</si>
  <si>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</si>
  <si>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</si>
  <si>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</si>
  <si>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</si>
  <si>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</si>
  <si>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</si>
  <si>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</si>
  <si>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</si>
  <si>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</si>
  <si>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r>
      <rPr>
        <b/>
        <sz val="10"/>
        <color rgb="FF0000FF"/>
        <rFont val="Calibri"/>
        <family val="2"/>
        <scheme val="minor"/>
      </rPr>
      <t>CASE 1B.</t>
    </r>
    <r>
      <rPr>
        <sz val="10"/>
        <color rgb="FF0000FF"/>
        <rFont val="Calibri"/>
        <family val="2"/>
        <scheme val="minor"/>
      </rPr>
      <t xml:space="preserve"> Local constraints can vary by + or - 30%. Global budget varies from currently planned level to (Current Plan + 20%).</t>
    </r>
  </si>
  <si>
    <t>New Patient</t>
  </si>
  <si>
    <t>Equal Impact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</si>
</sst>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00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0" fontId="36" fillId="0" borderId="0" xfId="0" applyFont="1"/>
    <xf numFmtId="6" fontId="1" fillId="0" borderId="0" xfId="0" applyNumberFormat="1" applyFont="1"/>
    <xf numFmtId="164" fontId="5" fillId="5" borderId="2" xfId="0" applyNumberFormat="1" applyFont="1" applyFill="1" applyBorder="1"/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9" fontId="1" fillId="0" borderId="0" xfId="3" applyFont="1"/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31616"/>
        <c:axId val="300446464"/>
      </c:scatterChart>
      <c:valAx>
        <c:axId val="3004316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0446464"/>
        <c:crosses val="autoZero"/>
        <c:crossBetween val="midCat"/>
        <c:dispUnits>
          <c:builtInUnit val="thousands"/>
        </c:dispUnits>
      </c:valAx>
      <c:valAx>
        <c:axId val="300446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04316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847872"/>
        <c:axId val="302858624"/>
      </c:scatterChart>
      <c:valAx>
        <c:axId val="3028478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2858624"/>
        <c:crosses val="autoZero"/>
        <c:crossBetween val="midCat"/>
        <c:dispUnits>
          <c:builtInUnit val="thousands"/>
        </c:dispUnits>
      </c:valAx>
      <c:valAx>
        <c:axId val="302858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28478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05216"/>
        <c:axId val="302904064"/>
      </c:scatterChart>
      <c:valAx>
        <c:axId val="302905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2904064"/>
        <c:crosses val="autoZero"/>
        <c:crossBetween val="midCat"/>
        <c:dispUnits>
          <c:builtInUnit val="thousands"/>
        </c:dispUnits>
      </c:valAx>
      <c:valAx>
        <c:axId val="302904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29052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20128"/>
        <c:axId val="302722432"/>
      </c:scatterChart>
      <c:valAx>
        <c:axId val="302720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2722432"/>
        <c:crosses val="autoZero"/>
        <c:crossBetween val="midCat"/>
        <c:dispUnits>
          <c:builtInUnit val="thousands"/>
        </c:dispUnits>
      </c:valAx>
      <c:valAx>
        <c:axId val="302722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27201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72992"/>
        <c:axId val="302775296"/>
      </c:scatterChart>
      <c:valAx>
        <c:axId val="3027729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2775296"/>
        <c:crosses val="autoZero"/>
        <c:crossBetween val="midCat"/>
        <c:dispUnits>
          <c:builtInUnit val="thousands"/>
        </c:dispUnits>
      </c:valAx>
      <c:valAx>
        <c:axId val="302775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27729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55936"/>
        <c:axId val="303258240"/>
      </c:scatterChart>
      <c:valAx>
        <c:axId val="3032559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3258240"/>
        <c:crosses val="autoZero"/>
        <c:crossBetween val="midCat"/>
        <c:dispUnits>
          <c:builtInUnit val="thousands"/>
        </c:dispUnits>
      </c:valAx>
      <c:valAx>
        <c:axId val="303258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32559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664000"/>
        <c:axId val="305666304"/>
      </c:scatterChart>
      <c:valAx>
        <c:axId val="3056640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5666304"/>
        <c:crosses val="autoZero"/>
        <c:crossBetween val="midCat"/>
        <c:dispUnits>
          <c:builtInUnit val="thousands"/>
        </c:dispUnits>
      </c:valAx>
      <c:valAx>
        <c:axId val="305666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56640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17833369.550645731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405654.8890634235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992768"/>
        <c:axId val="303003520"/>
      </c:scatterChart>
      <c:valAx>
        <c:axId val="302992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3003520"/>
        <c:crosses val="autoZero"/>
        <c:crossBetween val="midCat"/>
        <c:dispUnits>
          <c:builtInUnit val="thousands"/>
        </c:dispUnits>
      </c:valAx>
      <c:valAx>
        <c:axId val="303003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29927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17833369.550645731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405654.8890634235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17833369.550645731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405654.8890634235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84544"/>
        <c:axId val="305907968"/>
      </c:scatterChart>
      <c:valAx>
        <c:axId val="305884544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5907968"/>
        <c:crosses val="autoZero"/>
        <c:crossBetween val="midCat"/>
        <c:dispUnits>
          <c:builtInUnit val="thousands"/>
        </c:dispUnits>
      </c:valAx>
      <c:valAx>
        <c:axId val="305907968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58845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17833369.550645731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405654.8890634235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17833369.550645731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405654.8890634235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71968"/>
        <c:axId val="306399488"/>
      </c:scatterChart>
      <c:valAx>
        <c:axId val="306371968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06399488"/>
        <c:crosses val="autoZero"/>
        <c:crossBetween val="midCat"/>
        <c:dispUnits>
          <c:builtInUnit val="thousands"/>
        </c:dispUnits>
      </c:valAx>
      <c:valAx>
        <c:axId val="306399488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063719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6426282051282051"/>
                  <c:y val="-8.650519031141869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18978960.909354392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193096548.23563734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46122419.208951771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17833369.550645731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47218229.086982489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722688"/>
        <c:axId val="306737920"/>
      </c:scatterChart>
      <c:valAx>
        <c:axId val="306722688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6737920"/>
        <c:crosses val="autoZero"/>
        <c:crossBetween val="midCat"/>
        <c:dispUnits>
          <c:builtInUnit val="millions"/>
        </c:dispUnits>
      </c:valAx>
      <c:valAx>
        <c:axId val="306737920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0672268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18978960.909354392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193096548.23563734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46122419.208951771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17833369.550645731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47218229.086982489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879104"/>
        <c:axId val="306882048"/>
      </c:scatterChart>
      <c:valAx>
        <c:axId val="306879104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06882048"/>
        <c:crosses val="autoZero"/>
        <c:crossBetween val="midCat"/>
        <c:dispUnits>
          <c:builtInUnit val="millions"/>
        </c:dispUnits>
      </c:valAx>
      <c:valAx>
        <c:axId val="306882048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0687910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38176"/>
        <c:axId val="298344832"/>
      </c:scatterChart>
      <c:valAx>
        <c:axId val="2983381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8344832"/>
        <c:crosses val="autoZero"/>
        <c:crossBetween val="midCat"/>
        <c:dispUnits>
          <c:builtInUnit val="thousands"/>
        </c:dispUnits>
      </c:valAx>
      <c:valAx>
        <c:axId val="298344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83381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259498.53045724996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61056"/>
        <c:axId val="298467328"/>
      </c:scatterChart>
      <c:valAx>
        <c:axId val="2984610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8467328"/>
        <c:crosses val="autoZero"/>
        <c:crossBetween val="midCat"/>
        <c:dispUnits>
          <c:builtInUnit val="thousands"/>
        </c:dispUnits>
      </c:valAx>
      <c:valAx>
        <c:axId val="298467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84610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53472"/>
        <c:axId val="307372416"/>
      </c:scatterChart>
      <c:valAx>
        <c:axId val="307353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7372416"/>
        <c:crosses val="autoZero"/>
        <c:crossBetween val="midCat"/>
        <c:dispUnits>
          <c:builtInUnit val="thousands"/>
        </c:dispUnits>
      </c:valAx>
      <c:valAx>
        <c:axId val="307372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73534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300303.17113274895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410432"/>
        <c:axId val="307429376"/>
      </c:scatterChart>
      <c:valAx>
        <c:axId val="3074104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7429376"/>
        <c:crosses val="autoZero"/>
        <c:crossBetween val="midCat"/>
        <c:dispUnits>
          <c:builtInUnit val="thousands"/>
        </c:dispUnits>
      </c:valAx>
      <c:valAx>
        <c:axId val="307429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74104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00928"/>
        <c:axId val="307507584"/>
      </c:scatterChart>
      <c:valAx>
        <c:axId val="3075009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7507584"/>
        <c:crosses val="autoZero"/>
        <c:crossBetween val="midCat"/>
        <c:dispUnits>
          <c:builtInUnit val="thousands"/>
        </c:dispUnits>
      </c:valAx>
      <c:valAx>
        <c:axId val="307507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75009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57888"/>
        <c:axId val="307572736"/>
      </c:scatterChart>
      <c:valAx>
        <c:axId val="307557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7572736"/>
        <c:crosses val="autoZero"/>
        <c:crossBetween val="midCat"/>
        <c:dispUnits>
          <c:builtInUnit val="thousands"/>
        </c:dispUnits>
      </c:valAx>
      <c:valAx>
        <c:axId val="30757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7557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195731.14426194644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67424"/>
        <c:axId val="310178176"/>
      </c:scatterChart>
      <c:valAx>
        <c:axId val="3101674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10178176"/>
        <c:crosses val="autoZero"/>
        <c:crossBetween val="midCat"/>
        <c:dispUnits>
          <c:builtInUnit val="thousands"/>
        </c:dispUnits>
      </c:valAx>
      <c:valAx>
        <c:axId val="310178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01674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16975.814766864394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03648"/>
        <c:axId val="307818496"/>
      </c:scatterChart>
      <c:valAx>
        <c:axId val="3078036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7818496"/>
        <c:crosses val="autoZero"/>
        <c:crossBetween val="midCat"/>
        <c:dispUnits>
          <c:builtInUnit val="thousands"/>
        </c:dispUnits>
      </c:valAx>
      <c:valAx>
        <c:axId val="307818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78036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35104"/>
        <c:axId val="310194560"/>
      </c:scatterChart>
      <c:valAx>
        <c:axId val="307935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10194560"/>
        <c:crosses val="autoZero"/>
        <c:crossBetween val="midCat"/>
        <c:dispUnits>
          <c:builtInUnit val="thousands"/>
        </c:dispUnits>
      </c:valAx>
      <c:valAx>
        <c:axId val="310194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79351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1701.1654528829024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244864"/>
        <c:axId val="310325248"/>
      </c:scatterChart>
      <c:valAx>
        <c:axId val="31024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10325248"/>
        <c:crosses val="autoZero"/>
        <c:crossBetween val="midCat"/>
        <c:dispUnits>
          <c:builtInUnit val="thousands"/>
        </c:dispUnits>
      </c:valAx>
      <c:valAx>
        <c:axId val="310325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024486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20608"/>
        <c:axId val="310422912"/>
      </c:scatterChart>
      <c:valAx>
        <c:axId val="310420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10422912"/>
        <c:crosses val="autoZero"/>
        <c:crossBetween val="midCat"/>
        <c:dispUnits>
          <c:builtInUnit val="thousands"/>
        </c:dispUnits>
      </c:valAx>
      <c:valAx>
        <c:axId val="310422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04206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172716.05387802981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559488"/>
        <c:axId val="310561792"/>
      </c:scatterChart>
      <c:valAx>
        <c:axId val="310559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10561792"/>
        <c:crosses val="autoZero"/>
        <c:crossBetween val="midCat"/>
        <c:dispUnits>
          <c:builtInUnit val="thousands"/>
        </c:dispUnits>
      </c:valAx>
      <c:valAx>
        <c:axId val="31056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05594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475663.23209232016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633216"/>
        <c:axId val="310635520"/>
      </c:scatterChart>
      <c:valAx>
        <c:axId val="310633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10635520"/>
        <c:crosses val="autoZero"/>
        <c:crossBetween val="midCat"/>
        <c:dispUnits>
          <c:builtInUnit val="thousands"/>
        </c:dispUnits>
      </c:valAx>
      <c:valAx>
        <c:axId val="310635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06332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41254.400008006953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698368"/>
        <c:axId val="310700672"/>
      </c:scatterChart>
      <c:valAx>
        <c:axId val="310698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10700672"/>
        <c:crosses val="autoZero"/>
        <c:crossBetween val="midCat"/>
        <c:dispUnits>
          <c:builtInUnit val="thousands"/>
        </c:dispUnits>
      </c:valAx>
      <c:valAx>
        <c:axId val="310700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06983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817152"/>
        <c:axId val="310819456"/>
      </c:scatterChart>
      <c:valAx>
        <c:axId val="310817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10819456"/>
        <c:crosses val="autoZero"/>
        <c:crossBetween val="midCat"/>
        <c:dispUnits>
          <c:builtInUnit val="thousands"/>
        </c:dispUnits>
      </c:valAx>
      <c:valAx>
        <c:axId val="310819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0817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5610.3927287058905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112896"/>
        <c:axId val="316115200"/>
      </c:scatterChart>
      <c:valAx>
        <c:axId val="3161128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16115200"/>
        <c:crosses val="autoZero"/>
        <c:crossBetween val="midCat"/>
        <c:dispUnits>
          <c:builtInUnit val="thousands"/>
        </c:dispUnits>
      </c:valAx>
      <c:valAx>
        <c:axId val="316115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61128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17833369.550645731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405654.8890634235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207104"/>
        <c:axId val="316209408"/>
      </c:scatterChart>
      <c:valAx>
        <c:axId val="316207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16209408"/>
        <c:crosses val="autoZero"/>
        <c:crossBetween val="midCat"/>
        <c:dispUnits>
          <c:builtInUnit val="thousands"/>
        </c:dispUnits>
      </c:valAx>
      <c:valAx>
        <c:axId val="316209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162071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318464"/>
        <c:axId val="316320384"/>
      </c:scatterChart>
      <c:valAx>
        <c:axId val="3163184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6320384"/>
        <c:crosses val="autoZero"/>
        <c:crossBetween val="midCat"/>
      </c:valAx>
      <c:valAx>
        <c:axId val="31632038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631846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923712"/>
        <c:axId val="317925632"/>
      </c:scatterChart>
      <c:valAx>
        <c:axId val="317923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925632"/>
        <c:crosses val="autoZero"/>
        <c:crossBetween val="midCat"/>
      </c:valAx>
      <c:valAx>
        <c:axId val="3179256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9237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356352"/>
        <c:axId val="320358272"/>
      </c:scatterChart>
      <c:valAx>
        <c:axId val="320356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0358272"/>
        <c:crosses val="autoZero"/>
        <c:crossBetween val="midCat"/>
      </c:valAx>
      <c:valAx>
        <c:axId val="32035827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035635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105856"/>
        <c:axId val="320116608"/>
      </c:scatterChart>
      <c:valAx>
        <c:axId val="320105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20116608"/>
        <c:crosses val="autoZero"/>
        <c:crossBetween val="midCat"/>
        <c:dispUnits>
          <c:builtInUnit val="millions"/>
        </c:dispUnits>
      </c:valAx>
      <c:valAx>
        <c:axId val="32011660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010585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F1" sqref="F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H28" workbookViewId="0">
      <selection activeCell="K7" sqref="K7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workbookViewId="0">
      <selection activeCell="G17" sqref="G17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03" t="s">
        <v>191</v>
      </c>
      <c r="E6" s="303"/>
      <c r="F6" s="303" t="s">
        <v>183</v>
      </c>
      <c r="G6" s="303"/>
      <c r="H6" s="303"/>
      <c r="I6" s="303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04" t="s">
        <v>194</v>
      </c>
      <c r="D20" s="304"/>
      <c r="E20" s="304"/>
      <c r="F20" s="304" t="s">
        <v>195</v>
      </c>
      <c r="G20" s="304"/>
      <c r="H20" s="304"/>
      <c r="I20" s="304" t="s">
        <v>196</v>
      </c>
      <c r="J20" s="304"/>
      <c r="K20" s="192" t="s">
        <v>197</v>
      </c>
      <c r="L20" s="187"/>
      <c r="M20" s="189" t="s">
        <v>198</v>
      </c>
      <c r="N20" s="187"/>
      <c r="O20" s="304" t="s">
        <v>194</v>
      </c>
      <c r="P20" s="304"/>
      <c r="Q20" s="304"/>
      <c r="R20" s="304" t="s">
        <v>195</v>
      </c>
      <c r="S20" s="304"/>
      <c r="T20" s="304"/>
      <c r="U20" s="304" t="s">
        <v>196</v>
      </c>
      <c r="V20" s="304"/>
      <c r="W20" s="192" t="s">
        <v>197</v>
      </c>
      <c r="X20" s="187"/>
      <c r="Y20" s="189" t="s">
        <v>199</v>
      </c>
      <c r="Z20" s="187"/>
      <c r="AA20" s="305" t="s">
        <v>200</v>
      </c>
      <c r="AB20" s="306"/>
      <c r="AC20" s="307"/>
      <c r="AD20" s="305" t="s">
        <v>201</v>
      </c>
      <c r="AE20" s="307"/>
      <c r="AF20" s="212"/>
      <c r="AG20" s="308" t="s">
        <v>202</v>
      </c>
      <c r="AH20" s="309"/>
      <c r="AI20" s="309"/>
      <c r="AJ20" s="309"/>
      <c r="AK20" s="309"/>
      <c r="AL20" s="310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11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12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12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12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12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12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12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12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13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14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12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12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12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12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12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12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12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13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AA20:AC20"/>
    <mergeCell ref="AD20:AE20"/>
    <mergeCell ref="AG20:AL20"/>
    <mergeCell ref="Y22:Y30"/>
    <mergeCell ref="Y31:Y39"/>
    <mergeCell ref="D6:E6"/>
    <mergeCell ref="F6:I6"/>
    <mergeCell ref="U20:V20"/>
    <mergeCell ref="C20:E20"/>
    <mergeCell ref="F20:H20"/>
    <mergeCell ref="I20:J20"/>
    <mergeCell ref="O20:Q20"/>
    <mergeCell ref="R20:T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abSelected="1" topLeftCell="A34" workbookViewId="0">
      <selection activeCell="D43" sqref="D43:N47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2.332031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8.2" customHeight="1" x14ac:dyDescent="0.3">
      <c r="A4" s="49" t="s">
        <v>78</v>
      </c>
      <c r="B4" s="300" t="s">
        <v>271</v>
      </c>
    </row>
    <row r="5" spans="1:14" x14ac:dyDescent="0.3">
      <c r="A5" s="48" t="s">
        <v>79</v>
      </c>
      <c r="B5" s="1" t="s">
        <v>167</v>
      </c>
      <c r="E5" s="315" t="s">
        <v>50</v>
      </c>
      <c r="F5" s="316"/>
      <c r="G5" s="316"/>
      <c r="H5" s="316"/>
      <c r="I5" s="317"/>
    </row>
    <row r="6" spans="1:14" x14ac:dyDescent="0.3">
      <c r="A6" s="48" t="s">
        <v>80</v>
      </c>
      <c r="B6" s="1" t="s">
        <v>168</v>
      </c>
      <c r="E6" s="318" t="s">
        <v>51</v>
      </c>
      <c r="F6" s="319"/>
      <c r="G6" s="319"/>
      <c r="H6" s="319"/>
      <c r="I6" s="320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9607281.2517977823</v>
      </c>
    </row>
    <row r="10" spans="1:14" ht="14.4" thickBot="1" x14ac:dyDescent="0.35">
      <c r="A10" s="50"/>
    </row>
    <row r="11" spans="1:14" ht="27.6" x14ac:dyDescent="0.3">
      <c r="A11" s="321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22"/>
      <c r="B12" s="80">
        <v>81102300</v>
      </c>
      <c r="C12" s="81">
        <f>1*B12</f>
        <v>81102300</v>
      </c>
      <c r="D12" s="82">
        <f>1.2*B12</f>
        <v>97322760</v>
      </c>
      <c r="E12" s="301">
        <f>D12-B12</f>
        <v>16220460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0.7</v>
      </c>
      <c r="H14" s="263">
        <v>1.3</v>
      </c>
      <c r="I14" s="63" t="s">
        <v>98</v>
      </c>
      <c r="J14" s="63" t="s">
        <v>99</v>
      </c>
    </row>
    <row r="15" spans="1:14" ht="27.6" customHeight="1" x14ac:dyDescent="0.3">
      <c r="A15" s="323" t="s">
        <v>2</v>
      </c>
      <c r="B15" s="325" t="s">
        <v>3</v>
      </c>
      <c r="C15" s="325" t="s">
        <v>38</v>
      </c>
      <c r="D15" s="325" t="s">
        <v>169</v>
      </c>
      <c r="E15" s="326" t="s">
        <v>86</v>
      </c>
      <c r="F15" s="327"/>
      <c r="G15" s="328" t="s">
        <v>241</v>
      </c>
      <c r="H15" s="329"/>
      <c r="I15" s="328" t="s">
        <v>89</v>
      </c>
      <c r="J15" s="329"/>
      <c r="K15" s="326" t="s">
        <v>90</v>
      </c>
      <c r="L15" s="330"/>
      <c r="M15" s="330"/>
      <c r="N15" s="327"/>
    </row>
    <row r="16" spans="1:14" ht="27.6" x14ac:dyDescent="0.3">
      <c r="A16" s="324"/>
      <c r="B16" s="324"/>
      <c r="C16" s="324"/>
      <c r="D16" s="324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 t="shared" ref="G17:G24" si="0">E17*$G$14</f>
        <v>4194049.3</v>
      </c>
      <c r="H17" s="73">
        <f t="shared" ref="H17:H24" si="1">E17*$H$14</f>
        <v>7788948.7000000002</v>
      </c>
      <c r="I17" s="273">
        <v>7788948.7000000002</v>
      </c>
      <c r="J17" s="64">
        <f>JANSample!F9</f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 t="shared" si="0"/>
        <v>10927304.5</v>
      </c>
      <c r="H18" s="74">
        <f t="shared" si="1"/>
        <v>20293565.5</v>
      </c>
      <c r="I18" s="274">
        <v>20293565.5</v>
      </c>
      <c r="J18" s="65">
        <f>JMTSample!F9</f>
        <v>3462495.5631605955</v>
      </c>
      <c r="K18" s="60">
        <f t="shared" ref="K18:L22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 t="shared" si="0"/>
        <v>2663301.1999999997</v>
      </c>
      <c r="H19" s="74">
        <f t="shared" si="1"/>
        <v>4946130.8</v>
      </c>
      <c r="I19" s="274">
        <v>4946130.8</v>
      </c>
      <c r="J19" s="65">
        <f>JJVCH!F9</f>
        <v>195731.14426194644</v>
      </c>
      <c r="K19" s="60">
        <f t="shared" si="2"/>
        <v>1141414.7999999998</v>
      </c>
      <c r="L19" s="60">
        <f t="shared" si="2"/>
        <v>45170.443200453126</v>
      </c>
      <c r="M19" s="61">
        <f t="shared" si="3"/>
        <v>0.29999999999999993</v>
      </c>
      <c r="N19" s="61">
        <f t="shared" si="3"/>
        <v>0.30001483044373062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 t="shared" si="0"/>
        <v>3108000</v>
      </c>
      <c r="H20" s="74">
        <f t="shared" si="1"/>
        <v>5772000</v>
      </c>
      <c r="I20" s="274">
        <v>3108000</v>
      </c>
      <c r="J20" s="65">
        <f>JJMMF!F9</f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 t="shared" si="0"/>
        <v>16067799.999999998</v>
      </c>
      <c r="H21" s="74">
        <f t="shared" si="1"/>
        <v>29840200</v>
      </c>
      <c r="I21" s="274">
        <v>29840200</v>
      </c>
      <c r="J21" s="65">
        <f>JJHCC!F9</f>
        <v>1991416.1012136836</v>
      </c>
      <c r="K21" s="60">
        <f t="shared" si="2"/>
        <v>6886200</v>
      </c>
      <c r="L21" s="60">
        <f t="shared" si="2"/>
        <v>395524.08685332071</v>
      </c>
      <c r="M21" s="61">
        <f t="shared" si="3"/>
        <v>0.3</v>
      </c>
      <c r="N21" s="61">
        <f t="shared" si="3"/>
        <v>0.24783887837915378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 t="shared" si="0"/>
        <v>5473288.7999999998</v>
      </c>
      <c r="H22" s="74">
        <f t="shared" si="1"/>
        <v>10164679.200000001</v>
      </c>
      <c r="I22" s="274">
        <v>10164679.200000001</v>
      </c>
      <c r="J22" s="65">
        <f>JJMCM!F9</f>
        <v>475663.23209232016</v>
      </c>
      <c r="K22" s="60">
        <f t="shared" si="2"/>
        <v>2345695.2000000011</v>
      </c>
      <c r="L22" s="60">
        <f t="shared" si="2"/>
        <v>97379.990957057278</v>
      </c>
      <c r="M22" s="61">
        <f t="shared" si="3"/>
        <v>0.30000000000000016</v>
      </c>
      <c r="N22" s="61">
        <f t="shared" si="3"/>
        <v>0.25742613039057965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4782666</v>
      </c>
      <c r="F23" s="57">
        <f>JJHCC_ACQ!I9</f>
        <v>91344.414528190871</v>
      </c>
      <c r="G23" s="74">
        <f t="shared" si="0"/>
        <v>3347866.1999999997</v>
      </c>
      <c r="H23" s="74">
        <f t="shared" si="1"/>
        <v>6217465.7999999998</v>
      </c>
      <c r="I23" s="274">
        <v>3347866.1999999997</v>
      </c>
      <c r="J23" s="65">
        <f>JJHCC_ACQ!F9</f>
        <v>64687.828161978912</v>
      </c>
      <c r="K23" s="60">
        <f t="shared" ref="K23:K24" si="4">I23-E23</f>
        <v>-1434799.8000000003</v>
      </c>
      <c r="L23" s="60">
        <f t="shared" ref="L23:L24" si="5">J23-F23</f>
        <v>-26656.586366211959</v>
      </c>
      <c r="M23" s="61">
        <f t="shared" ref="M23:M24" si="6">K23/E23</f>
        <v>-0.30000000000000004</v>
      </c>
      <c r="N23" s="61">
        <f t="shared" ref="N23:N24" si="7">L23/F23</f>
        <v>-0.29182502842563141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 t="shared" si="0"/>
        <v>10990000</v>
      </c>
      <c r="H24" s="74">
        <f t="shared" si="1"/>
        <v>20410000</v>
      </c>
      <c r="I24" s="274">
        <v>17833369.550645731</v>
      </c>
      <c r="J24" s="65">
        <f>JJHCC_ADH!F9</f>
        <v>405654.8890634235</v>
      </c>
      <c r="K24" s="60">
        <f t="shared" si="4"/>
        <v>2133369.5506457314</v>
      </c>
      <c r="L24" s="60">
        <f t="shared" si="5"/>
        <v>44822.151950022206</v>
      </c>
      <c r="M24" s="61">
        <f t="shared" si="6"/>
        <v>0.13588341086915487</v>
      </c>
      <c r="N24" s="61">
        <f t="shared" si="7"/>
        <v>0.12421864021704786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81102300</v>
      </c>
      <c r="F25" s="77">
        <f t="shared" si="8"/>
        <v>7576032.3955975948</v>
      </c>
      <c r="G25" s="76">
        <f t="shared" si="8"/>
        <v>56771610</v>
      </c>
      <c r="H25" s="76">
        <f t="shared" si="8"/>
        <v>105432990</v>
      </c>
      <c r="I25" s="83">
        <f t="shared" si="8"/>
        <v>97322759.950645745</v>
      </c>
      <c r="J25" s="275">
        <f t="shared" si="8"/>
        <v>9607281.2517977823</v>
      </c>
      <c r="K25" s="76">
        <f>SUM(K17:K24)</f>
        <v>16220459.950645732</v>
      </c>
      <c r="L25" s="275">
        <f>SUM(L17:L24)</f>
        <v>2031248.8562001865</v>
      </c>
      <c r="M25" s="79">
        <f>K25/E25</f>
        <v>0.1999999993914566</v>
      </c>
      <c r="N25" s="79">
        <f t="shared" si="3"/>
        <v>0.26811512281554367</v>
      </c>
    </row>
    <row r="29" spans="1:14" s="256" customFormat="1" x14ac:dyDescent="0.3"/>
    <row r="30" spans="1:14" ht="55.2" x14ac:dyDescent="0.3">
      <c r="A30" s="337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37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31" t="s">
        <v>2</v>
      </c>
      <c r="B32" s="325" t="s">
        <v>3</v>
      </c>
      <c r="C32" s="325" t="str">
        <f t="shared" ref="C32:C42" si="9">D15</f>
        <v>Response Scaling Factor for Sensitivity Analysis</v>
      </c>
      <c r="D32" s="332" t="s">
        <v>86</v>
      </c>
      <c r="E32" s="333"/>
      <c r="F32" s="333"/>
      <c r="G32" s="334"/>
      <c r="H32" s="335" t="s">
        <v>89</v>
      </c>
      <c r="I32" s="336"/>
      <c r="J32" s="336"/>
      <c r="K32" s="332" t="s">
        <v>251</v>
      </c>
      <c r="L32" s="333"/>
      <c r="M32" s="333"/>
      <c r="N32" s="334"/>
    </row>
    <row r="33" spans="1:14" ht="74.400000000000006" customHeight="1" x14ac:dyDescent="0.3">
      <c r="A33" s="324"/>
      <c r="B33" s="324"/>
      <c r="C33" s="324">
        <f t="shared" si="9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266">
        <f t="shared" ref="D34:D41" si="10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11">I17</f>
        <v>7788948.7000000002</v>
      </c>
      <c r="I34" s="268">
        <f>J17/$D$31</f>
        <v>259498.53045725002</v>
      </c>
      <c r="J34" s="279">
        <f>I34*$F$31</f>
        <v>290119357.05120552</v>
      </c>
      <c r="K34" s="266">
        <f>H34-D34</f>
        <v>1797449.7000000002</v>
      </c>
      <c r="L34" s="266">
        <f>J34-G34</f>
        <v>66057294.458623379</v>
      </c>
      <c r="M34" s="282">
        <f>K34/D34</f>
        <v>0.30000000000000004</v>
      </c>
      <c r="N34" s="283">
        <f>L34/G34</f>
        <v>0.29481695247417711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267">
        <f t="shared" si="10"/>
        <v>15610435</v>
      </c>
      <c r="E35" s="265" t="s">
        <v>185</v>
      </c>
      <c r="F35" s="269">
        <f t="shared" ref="F35:F40" si="12">F18/$D$31</f>
        <v>230933.63819705584</v>
      </c>
      <c r="G35" s="271">
        <f t="shared" ref="G35:G40" si="13">F35*$F$31</f>
        <v>258183807.50430843</v>
      </c>
      <c r="H35" s="277">
        <f t="shared" si="11"/>
        <v>20293565.5</v>
      </c>
      <c r="I35" s="269">
        <f t="shared" ref="I35:I40" si="14">J18/$D$31</f>
        <v>300303.17113274895</v>
      </c>
      <c r="J35" s="280">
        <f t="shared" ref="J35:J40" si="15">I35*$F$31</f>
        <v>335738945.32641333</v>
      </c>
      <c r="K35" s="267">
        <f t="shared" ref="K35:K42" si="16">H35-D35</f>
        <v>4683130.5</v>
      </c>
      <c r="L35" s="267">
        <f t="shared" ref="L35:L42" si="17">J35-G35</f>
        <v>77555137.822104901</v>
      </c>
      <c r="M35" s="284">
        <f t="shared" ref="M35:M42" si="18">K35/D35</f>
        <v>0.3</v>
      </c>
      <c r="N35" s="285">
        <f t="shared" ref="N35:N42" si="19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267">
        <f t="shared" si="10"/>
        <v>3804716</v>
      </c>
      <c r="E36" s="265" t="s">
        <v>185</v>
      </c>
      <c r="F36" s="269">
        <f t="shared" si="12"/>
        <v>13058.170083390574</v>
      </c>
      <c r="G36" s="271">
        <f t="shared" si="13"/>
        <v>14599034.153230662</v>
      </c>
      <c r="H36" s="277">
        <f t="shared" si="11"/>
        <v>4946130.8</v>
      </c>
      <c r="I36" s="269">
        <f t="shared" si="14"/>
        <v>16975.814766864394</v>
      </c>
      <c r="J36" s="280">
        <f t="shared" si="15"/>
        <v>18978960.909354392</v>
      </c>
      <c r="K36" s="267">
        <f t="shared" si="16"/>
        <v>1141414.7999999998</v>
      </c>
      <c r="L36" s="267">
        <f t="shared" si="17"/>
        <v>4379926.7561237309</v>
      </c>
      <c r="M36" s="284">
        <f t="shared" si="18"/>
        <v>0.29999999999999993</v>
      </c>
      <c r="N36" s="285">
        <f t="shared" si="19"/>
        <v>0.30001483044373073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267">
        <f t="shared" si="10"/>
        <v>4440000</v>
      </c>
      <c r="E37" s="265" t="s">
        <v>185</v>
      </c>
      <c r="F37" s="269">
        <f t="shared" si="12"/>
        <v>2228.0277703496668</v>
      </c>
      <c r="G37" s="271">
        <f t="shared" si="13"/>
        <v>2490935.0472509274</v>
      </c>
      <c r="H37" s="277">
        <f t="shared" si="11"/>
        <v>3108000</v>
      </c>
      <c r="I37" s="269">
        <f t="shared" si="14"/>
        <v>1701.1654528829024</v>
      </c>
      <c r="J37" s="280">
        <f t="shared" si="15"/>
        <v>1901902.9763230849</v>
      </c>
      <c r="K37" s="267">
        <f t="shared" si="16"/>
        <v>-1332000</v>
      </c>
      <c r="L37" s="267">
        <f t="shared" si="17"/>
        <v>-589032.07092784252</v>
      </c>
      <c r="M37" s="284">
        <f t="shared" si="18"/>
        <v>-0.3</v>
      </c>
      <c r="N37" s="285">
        <f t="shared" si="19"/>
        <v>-0.23647026508295205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267">
        <f t="shared" si="10"/>
        <v>22954000</v>
      </c>
      <c r="E38" s="265" t="s">
        <v>185</v>
      </c>
      <c r="F38" s="269">
        <f t="shared" si="12"/>
        <v>138412.14348311909</v>
      </c>
      <c r="G38" s="271">
        <f t="shared" si="13"/>
        <v>154744776.41412714</v>
      </c>
      <c r="H38" s="277">
        <f t="shared" si="11"/>
        <v>29840200</v>
      </c>
      <c r="I38" s="269">
        <f t="shared" si="14"/>
        <v>172716.05387802981</v>
      </c>
      <c r="J38" s="280">
        <f t="shared" si="15"/>
        <v>193096548.23563734</v>
      </c>
      <c r="K38" s="267">
        <f t="shared" si="16"/>
        <v>6886200</v>
      </c>
      <c r="L38" s="267">
        <f t="shared" si="17"/>
        <v>38351771.821510196</v>
      </c>
      <c r="M38" s="284">
        <f t="shared" si="18"/>
        <v>0.3</v>
      </c>
      <c r="N38" s="285">
        <f t="shared" si="19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267">
        <f t="shared" si="10"/>
        <v>7818984</v>
      </c>
      <c r="E39" s="265" t="s">
        <v>185</v>
      </c>
      <c r="F39" s="269">
        <f t="shared" si="12"/>
        <v>32808.607210343704</v>
      </c>
      <c r="G39" s="271">
        <f t="shared" si="13"/>
        <v>36680022.861164257</v>
      </c>
      <c r="H39" s="277">
        <f t="shared" si="11"/>
        <v>10164679.200000001</v>
      </c>
      <c r="I39" s="269">
        <f t="shared" si="14"/>
        <v>41254.400008006953</v>
      </c>
      <c r="J39" s="280">
        <f t="shared" si="15"/>
        <v>46122419.208951771</v>
      </c>
      <c r="K39" s="267">
        <f t="shared" si="16"/>
        <v>2345695.2000000011</v>
      </c>
      <c r="L39" s="267">
        <f t="shared" si="17"/>
        <v>9442396.3477875143</v>
      </c>
      <c r="M39" s="284">
        <f t="shared" si="18"/>
        <v>0.30000000000000016</v>
      </c>
      <c r="N39" s="285">
        <f t="shared" si="19"/>
        <v>0.25742613039057971</v>
      </c>
    </row>
    <row r="40" spans="1:14" x14ac:dyDescent="0.3">
      <c r="A40" s="55" t="s">
        <v>104</v>
      </c>
      <c r="B40" s="55" t="s">
        <v>177</v>
      </c>
      <c r="C40" s="154">
        <f t="shared" si="9"/>
        <v>1</v>
      </c>
      <c r="D40" s="267">
        <f t="shared" si="10"/>
        <v>4782666</v>
      </c>
      <c r="E40" s="265" t="s">
        <v>185</v>
      </c>
      <c r="F40" s="269">
        <f t="shared" si="12"/>
        <v>7922.3256312394515</v>
      </c>
      <c r="G40" s="271">
        <f t="shared" si="13"/>
        <v>8857160.0557257067</v>
      </c>
      <c r="H40" s="277">
        <f t="shared" si="11"/>
        <v>3347866.1999999997</v>
      </c>
      <c r="I40" s="269">
        <f t="shared" si="14"/>
        <v>5610.3927287058905</v>
      </c>
      <c r="J40" s="280">
        <f t="shared" si="15"/>
        <v>6272419.0706931856</v>
      </c>
      <c r="K40" s="267">
        <f t="shared" si="16"/>
        <v>-1434799.8000000003</v>
      </c>
      <c r="L40" s="267">
        <f t="shared" si="17"/>
        <v>-2584740.9850325212</v>
      </c>
      <c r="M40" s="284">
        <f t="shared" si="18"/>
        <v>-0.30000000000000004</v>
      </c>
      <c r="N40" s="285">
        <f t="shared" si="19"/>
        <v>-0.29182502842563141</v>
      </c>
    </row>
    <row r="41" spans="1:14" x14ac:dyDescent="0.3">
      <c r="A41" s="55" t="s">
        <v>104</v>
      </c>
      <c r="B41" s="55" t="s">
        <v>172</v>
      </c>
      <c r="C41" s="154">
        <f t="shared" si="9"/>
        <v>1</v>
      </c>
      <c r="D41" s="267">
        <f t="shared" si="10"/>
        <v>15700000</v>
      </c>
      <c r="E41" s="287" t="s">
        <v>184</v>
      </c>
      <c r="F41" s="269">
        <f t="shared" ref="F41" si="20">F24</f>
        <v>360832.73711340129</v>
      </c>
      <c r="G41" s="271">
        <f>F41*$I$31</f>
        <v>42000930.599999905</v>
      </c>
      <c r="H41" s="277">
        <f t="shared" si="11"/>
        <v>17833369.550645731</v>
      </c>
      <c r="I41" s="269">
        <f>J24</f>
        <v>405654.8890634235</v>
      </c>
      <c r="J41" s="280">
        <f>I41*$I$31</f>
        <v>47218229.086982489</v>
      </c>
      <c r="K41" s="267">
        <f t="shared" si="16"/>
        <v>2133369.5506457314</v>
      </c>
      <c r="L41" s="267">
        <f t="shared" si="17"/>
        <v>5217298.486982584</v>
      </c>
      <c r="M41" s="284">
        <f t="shared" si="18"/>
        <v>0.13588341086915487</v>
      </c>
      <c r="N41" s="285">
        <f t="shared" si="19"/>
        <v>0.12421864021704786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81102300</v>
      </c>
      <c r="E42" s="77"/>
      <c r="F42" s="77"/>
      <c r="G42" s="272">
        <f>SUM(G34:G41)</f>
        <v>741618729.22838914</v>
      </c>
      <c r="H42" s="278">
        <f>SUM(H34:H41)</f>
        <v>97322759.950645745</v>
      </c>
      <c r="I42" s="77"/>
      <c r="J42" s="281">
        <f>SUM(J34:J41)</f>
        <v>939448781.86556113</v>
      </c>
      <c r="K42" s="76">
        <f t="shared" si="16"/>
        <v>16220459.950645745</v>
      </c>
      <c r="L42" s="302">
        <f t="shared" si="17"/>
        <v>197830052.63717198</v>
      </c>
      <c r="M42" s="79">
        <f t="shared" si="18"/>
        <v>0.19999999939145677</v>
      </c>
      <c r="N42" s="286">
        <f t="shared" si="19"/>
        <v>0.26675439122607186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260550554.05765232</v>
      </c>
      <c r="H43" s="256"/>
      <c r="I43" s="183"/>
      <c r="J43" s="289">
        <f>SUM(J34:J40)*$E$43 + (J41*$D$43)</f>
        <v>328856231.65168732</v>
      </c>
      <c r="K43" s="256"/>
      <c r="L43" s="289">
        <f>SUM(L34:L40)*$E$43 + (L41*$D$43)</f>
        <v>68305677.594034985</v>
      </c>
      <c r="M43" s="399">
        <f>L43/L42</f>
        <v>0.34527452570267603</v>
      </c>
      <c r="N43" s="290">
        <f>N42*(L43/L42)</f>
        <v>9.2103495909688041E-2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292171369.54107177</v>
      </c>
      <c r="H44" s="256"/>
      <c r="I44" s="183"/>
      <c r="J44" s="289">
        <f>SUM(J34:J40)*$E$44 + (J41*$D$44)</f>
        <v>369690300.96365762</v>
      </c>
      <c r="K44" s="256"/>
      <c r="L44" s="289">
        <f>SUM(L34:L40)*$E$44 + (L41*$D$44)</f>
        <v>77518931.422585845</v>
      </c>
      <c r="M44" s="399">
        <f>L44/L42</f>
        <v>0.39184608399593657</v>
      </c>
      <c r="N44" s="290">
        <f>N42*(L44/L42)</f>
        <v>0.10452666359065628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188896805.62966511</v>
      </c>
      <c r="H45" s="256"/>
      <c r="I45" s="183"/>
      <c r="J45" s="289">
        <f>SUM(J34:J40)*$E$45 + (J41*$D$45)</f>
        <v>240902249.25021625</v>
      </c>
      <c r="K45" s="256"/>
      <c r="L45" s="289">
        <f>SUM(L34:L40)*$E$45 + (L41*$D$45)</f>
        <v>52005443.620551132</v>
      </c>
      <c r="M45" s="399">
        <f>L45/L42</f>
        <v>0.26287939030138729</v>
      </c>
      <c r="N45" s="290">
        <f>N42*(L45/L42)</f>
        <v>7.0124231725727501E-2</v>
      </c>
    </row>
    <row r="46" spans="1:14" x14ac:dyDescent="0.3">
      <c r="D46" s="256" t="s">
        <v>184</v>
      </c>
      <c r="E46" s="256" t="s">
        <v>272</v>
      </c>
      <c r="F46" s="256"/>
      <c r="G46" s="256"/>
      <c r="H46" s="256"/>
      <c r="I46" s="256"/>
      <c r="J46" s="256"/>
      <c r="K46" s="256"/>
      <c r="L46" s="256"/>
      <c r="M46" s="256"/>
      <c r="N46" s="256"/>
    </row>
    <row r="47" spans="1:14" ht="27.6" x14ac:dyDescent="0.3">
      <c r="D47" s="186" t="s">
        <v>273</v>
      </c>
      <c r="E47" s="256"/>
      <c r="F47" s="256"/>
      <c r="G47" s="256"/>
      <c r="H47" s="256"/>
      <c r="I47" s="256"/>
      <c r="J47" s="256"/>
      <c r="K47" s="256"/>
      <c r="L47" s="256"/>
      <c r="M47" s="256"/>
      <c r="N47" s="256"/>
    </row>
  </sheetData>
  <mergeCells count="18">
    <mergeCell ref="K15:N15"/>
    <mergeCell ref="A32:A33"/>
    <mergeCell ref="B32:B33"/>
    <mergeCell ref="C32:C33"/>
    <mergeCell ref="D32:G32"/>
    <mergeCell ref="H32:J32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f>JJ_Optim_Scenario!G17</f>
        <v>4194049.3</v>
      </c>
      <c r="C9" s="113">
        <f>JJ_Optim_Scenario!H17</f>
        <v>7788948.7000000002</v>
      </c>
      <c r="D9" s="114">
        <f>JJ_Optim_Scenario!I17</f>
        <v>7788948.7000000002</v>
      </c>
      <c r="E9" s="119">
        <f>$B$13*D9+$C$13*D9*D9</f>
        <v>259498.53045724996</v>
      </c>
      <c r="F9" s="85">
        <f>$E$13*D9+$F$13*D9*D9</f>
        <v>2992018.0561720924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I11" s="141"/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15000000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A7:A9"/>
    <mergeCell ref="B7:C7"/>
    <mergeCell ref="A21:C21"/>
    <mergeCell ref="B11:C11"/>
    <mergeCell ref="D11:D12"/>
    <mergeCell ref="E11:F11"/>
    <mergeCell ref="G11:G12"/>
    <mergeCell ref="A14:G15"/>
    <mergeCell ref="A11:A13"/>
    <mergeCell ref="A18:A19"/>
    <mergeCell ref="H2:N2"/>
    <mergeCell ref="H3:N3"/>
    <mergeCell ref="B4:F4"/>
    <mergeCell ref="D7:F7"/>
    <mergeCell ref="G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f>JJ_Optim_Scenario!G18</f>
        <v>10927304.5</v>
      </c>
      <c r="C9" s="113">
        <f>JJ_Optim_Scenario!H18</f>
        <v>20293565.5</v>
      </c>
      <c r="D9" s="114">
        <f>JJ_Optim_Scenario!I18</f>
        <v>20293565.5</v>
      </c>
      <c r="E9" s="119">
        <f>$B$13*D9+$C$13*D9*D9</f>
        <v>300303.17113274895</v>
      </c>
      <c r="F9" s="85">
        <f>$E$13*D9+$F$13*D9*D9</f>
        <v>3462495.5631605955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40000000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60000000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38" t="s">
        <v>105</v>
      </c>
      <c r="I2" s="339"/>
      <c r="J2" s="339"/>
      <c r="K2" s="339"/>
      <c r="L2" s="339"/>
      <c r="M2" s="339"/>
      <c r="N2" s="340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41" t="s">
        <v>136</v>
      </c>
      <c r="I3" s="342"/>
      <c r="J3" s="342"/>
      <c r="K3" s="342"/>
      <c r="L3" s="342"/>
      <c r="M3" s="342"/>
      <c r="N3" s="343"/>
    </row>
    <row r="4" spans="1:14" ht="18.600000000000001" customHeight="1" thickBot="1" x14ac:dyDescent="0.35">
      <c r="A4" s="29" t="s">
        <v>38</v>
      </c>
      <c r="B4" s="344" t="s">
        <v>131</v>
      </c>
      <c r="C4" s="345"/>
      <c r="D4" s="345"/>
      <c r="E4" s="345"/>
      <c r="F4" s="346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47" t="s">
        <v>12</v>
      </c>
      <c r="E7" s="348"/>
      <c r="F7" s="349"/>
      <c r="G7" s="347" t="s">
        <v>143</v>
      </c>
      <c r="H7" s="348"/>
      <c r="I7" s="350"/>
      <c r="J7" s="1" t="s">
        <v>144</v>
      </c>
    </row>
    <row r="8" spans="1:14" ht="27.6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6"/>
      <c r="B9" s="112">
        <f>JJ_Optim_Scenario!E19</f>
        <v>3804716</v>
      </c>
      <c r="C9" s="113">
        <f>JJ_Optim_Scenario!H19</f>
        <v>4946130.8</v>
      </c>
      <c r="D9" s="114">
        <f>JJ_Optim_Scenario!I19</f>
        <v>4946130.8</v>
      </c>
      <c r="E9" s="119">
        <f>$B$13*D9+$C$13*D9*D9</f>
        <v>16975.814766864394</v>
      </c>
      <c r="F9" s="85">
        <f>$E$13*D9+$F$13*D9*D9</f>
        <v>195731.14426194644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54" t="s">
        <v>42</v>
      </c>
      <c r="B11" s="348" t="s">
        <v>138</v>
      </c>
      <c r="C11" s="348"/>
      <c r="D11" s="348" t="s">
        <v>125</v>
      </c>
      <c r="E11" s="348" t="s">
        <v>137</v>
      </c>
      <c r="F11" s="348"/>
      <c r="G11" s="350" t="s">
        <v>134</v>
      </c>
      <c r="J11" s="32"/>
    </row>
    <row r="12" spans="1:14" ht="24.6" customHeight="1" x14ac:dyDescent="0.3">
      <c r="A12" s="355"/>
      <c r="B12" s="91" t="s">
        <v>43</v>
      </c>
      <c r="C12" s="91" t="s">
        <v>44</v>
      </c>
      <c r="D12" s="337"/>
      <c r="E12" s="91" t="s">
        <v>132</v>
      </c>
      <c r="F12" s="91" t="s">
        <v>133</v>
      </c>
      <c r="G12" s="351"/>
      <c r="H12" s="298" t="s">
        <v>267</v>
      </c>
      <c r="I12" s="298" t="s">
        <v>268</v>
      </c>
      <c r="J12" s="32"/>
    </row>
    <row r="13" spans="1:14" ht="14.4" thickBot="1" x14ac:dyDescent="0.35">
      <c r="A13" s="356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2" t="s">
        <v>135</v>
      </c>
      <c r="B14" s="352"/>
      <c r="C14" s="352"/>
      <c r="D14" s="352"/>
      <c r="E14" s="352"/>
      <c r="F14" s="352"/>
      <c r="G14" s="352"/>
      <c r="H14" s="39"/>
      <c r="I14" s="39"/>
      <c r="J14" s="39"/>
    </row>
    <row r="15" spans="1:14" ht="30.6" customHeight="1" x14ac:dyDescent="0.3">
      <c r="A15" s="353"/>
      <c r="B15" s="353"/>
      <c r="C15" s="353"/>
      <c r="D15" s="353"/>
      <c r="E15" s="353"/>
      <c r="F15" s="353"/>
      <c r="G15" s="353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58"/>
      <c r="B19" s="103">
        <v>0</v>
      </c>
      <c r="C19" s="103">
        <v>10000000</v>
      </c>
      <c r="D19" s="26">
        <v>20</v>
      </c>
    </row>
    <row r="21" spans="1:4" x14ac:dyDescent="0.3">
      <c r="A21" s="337" t="s">
        <v>37</v>
      </c>
      <c r="B21" s="337"/>
      <c r="C21" s="337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D29" sqref="D29:D30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15" t="s">
        <v>105</v>
      </c>
      <c r="N2" s="316"/>
      <c r="O2" s="316"/>
      <c r="P2" s="316"/>
      <c r="Q2" s="316"/>
      <c r="R2" s="316"/>
      <c r="S2" s="317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18" t="s">
        <v>72</v>
      </c>
      <c r="N3" s="319"/>
      <c r="O3" s="319"/>
      <c r="P3" s="319"/>
      <c r="Q3" s="319"/>
      <c r="R3" s="319"/>
      <c r="S3" s="320"/>
    </row>
    <row r="4" spans="1:25" ht="15" customHeight="1" thickBot="1" x14ac:dyDescent="0.35">
      <c r="A4" s="29" t="s">
        <v>38</v>
      </c>
      <c r="B4" s="344" t="s">
        <v>57</v>
      </c>
      <c r="C4" s="345"/>
      <c r="D4" s="345"/>
      <c r="E4" s="345"/>
      <c r="F4" s="346"/>
    </row>
    <row r="6" spans="1:25" ht="14.4" thickBot="1" x14ac:dyDescent="0.35"/>
    <row r="7" spans="1:25" ht="27.6" customHeight="1" x14ac:dyDescent="0.3">
      <c r="A7" s="354" t="s">
        <v>8</v>
      </c>
      <c r="B7" s="348" t="s">
        <v>9</v>
      </c>
      <c r="C7" s="348"/>
      <c r="D7" s="348" t="s">
        <v>12</v>
      </c>
      <c r="E7" s="348"/>
      <c r="F7" s="348"/>
      <c r="G7" s="348" t="s">
        <v>143</v>
      </c>
      <c r="H7" s="348"/>
      <c r="I7" s="350"/>
      <c r="J7" s="360" t="s">
        <v>144</v>
      </c>
      <c r="K7" s="361"/>
      <c r="M7" s="359" t="s">
        <v>73</v>
      </c>
      <c r="N7" s="359"/>
      <c r="O7" s="359"/>
      <c r="P7" s="359"/>
      <c r="R7" s="47" t="s">
        <v>58</v>
      </c>
    </row>
    <row r="8" spans="1:25" ht="27.6" x14ac:dyDescent="0.3">
      <c r="A8" s="355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59"/>
      <c r="N8" s="359"/>
      <c r="O8" s="359"/>
      <c r="P8" s="359"/>
      <c r="R8" s="47" t="s">
        <v>59</v>
      </c>
    </row>
    <row r="9" spans="1:25" ht="14.4" thickBot="1" x14ac:dyDescent="0.35">
      <c r="A9" s="356"/>
      <c r="B9" s="112">
        <f>JJ_Optim_Scenario!G20</f>
        <v>3108000</v>
      </c>
      <c r="C9" s="112">
        <f>JJ_Optim_Scenario!H20</f>
        <v>5772000</v>
      </c>
      <c r="D9" s="117">
        <f>JJ_Optim_Scenario!I20</f>
        <v>3108000</v>
      </c>
      <c r="E9" s="118">
        <f>csplinePred($B$14:$B$20,$C$14:$C$20,$H$14:$O$20,D9)*$C$12</f>
        <v>1701.1654528829024</v>
      </c>
      <c r="F9" s="118">
        <f>E9*$C$11</f>
        <v>19614.437671739863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54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56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54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62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55"/>
      <c r="B14" s="125">
        <v>0</v>
      </c>
      <c r="C14" s="127">
        <v>0</v>
      </c>
      <c r="D14" s="133">
        <f>C14*$C$11</f>
        <v>0</v>
      </c>
      <c r="E14" s="130"/>
      <c r="G14" s="363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55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63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55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63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55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63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55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63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55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63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56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64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65" t="s">
        <v>74</v>
      </c>
      <c r="B21" s="366"/>
      <c r="C21" s="367"/>
      <c r="D21" s="33"/>
      <c r="G21" s="353" t="s">
        <v>75</v>
      </c>
      <c r="H21" s="353"/>
      <c r="I21" s="353"/>
      <c r="J21" s="353"/>
      <c r="K21" s="353"/>
      <c r="L21" s="353"/>
      <c r="M21" s="353"/>
      <c r="N21" s="353"/>
      <c r="O21" s="353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68"/>
      <c r="B22" s="369"/>
      <c r="C22" s="370"/>
      <c r="D22" s="33"/>
      <c r="G22" s="353"/>
      <c r="H22" s="353"/>
      <c r="I22" s="353"/>
      <c r="J22" s="353"/>
      <c r="K22" s="353"/>
      <c r="L22" s="353"/>
      <c r="M22" s="353"/>
      <c r="N22" s="353"/>
      <c r="O22" s="353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57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58"/>
      <c r="B26" s="103">
        <v>0</v>
      </c>
      <c r="C26" s="103">
        <v>20000000</v>
      </c>
      <c r="D26" s="26">
        <v>20</v>
      </c>
    </row>
    <row r="28" spans="1:25" x14ac:dyDescent="0.3">
      <c r="A28" s="337" t="s">
        <v>37</v>
      </c>
      <c r="B28" s="337"/>
      <c r="C28" s="337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  <mergeCell ref="M2:S2"/>
    <mergeCell ref="M3:S3"/>
    <mergeCell ref="A7:A9"/>
    <mergeCell ref="B7:C7"/>
    <mergeCell ref="M7:P8"/>
    <mergeCell ref="B4:F4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JJ_Optim_Scenario!G21</f>
        <v>16067799.999999998</v>
      </c>
      <c r="C9" s="80">
        <f>JJ_Optim_Scenario!H21</f>
        <v>29840200</v>
      </c>
      <c r="D9" s="95">
        <f>JJ_Optim_Scenario!I21</f>
        <v>29840200</v>
      </c>
      <c r="E9" s="118">
        <f>((($R$12/(1+EXP($P$12+$Q$12*D9)))-1) - ($F$12-$C$12))*$I$12</f>
        <v>172716.05387802981</v>
      </c>
      <c r="F9" s="145">
        <f>E9*$G$12</f>
        <v>1991416.1012136836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58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60000000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G7:I7"/>
    <mergeCell ref="K13:R14"/>
    <mergeCell ref="K11:K12"/>
    <mergeCell ref="A13:F14"/>
    <mergeCell ref="A17:A18"/>
    <mergeCell ref="A20:C20"/>
    <mergeCell ref="B4:F4"/>
    <mergeCell ref="A7:A9"/>
    <mergeCell ref="B7:C7"/>
    <mergeCell ref="D7:F7"/>
    <mergeCell ref="A11:A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JJ_Optim_Scenario!G22</f>
        <v>5473288.7999999998</v>
      </c>
      <c r="C9" s="80">
        <f>JJ_Optim_Scenario!H22</f>
        <v>10164679.200000001</v>
      </c>
      <c r="D9" s="95">
        <f>JJ_Optim_Scenario!I22</f>
        <v>10164679.200000001</v>
      </c>
      <c r="E9" s="118">
        <f>((($R$12/(1+EXP($P$12+$Q$12*D9)))-1) - ($F$12-$C$12))*$I$12</f>
        <v>41254.400008006953</v>
      </c>
      <c r="F9" s="145">
        <f>E9*$G$12</f>
        <v>475663.23209232016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58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30000000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JJ_Optim_Scenario!G23</f>
        <v>3347866.1999999997</v>
      </c>
      <c r="C9" s="80">
        <f>JJ_Optim_Scenario!H23</f>
        <v>6217465.7999999998</v>
      </c>
      <c r="D9" s="95">
        <f>JJ_Optim_Scenario!I23</f>
        <v>3347866.1999999997</v>
      </c>
      <c r="E9" s="118">
        <f>((($R$12/(1+EXP($P$12+$Q$12*D9)))-1) - ($F$12-$C$12))*$I$12</f>
        <v>5610.3927287058905</v>
      </c>
      <c r="F9" s="145">
        <f>E9*$G$12</f>
        <v>64687.828161978912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" thickBot="1" x14ac:dyDescent="0.35"/>
    <row r="11" spans="1:18" ht="61.8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297">
        <f>JJ_Optim_Scenario!D23</f>
        <v>1</v>
      </c>
      <c r="K12" s="358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20000000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299">
        <f t="shared" ref="E23:E42" si="2">B23*$H$14</f>
        <v>1909653.9769871365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299">
        <f t="shared" si="2"/>
        <v>3788343.14421607</v>
      </c>
    </row>
    <row r="25" spans="1:8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299">
        <f t="shared" si="2"/>
        <v>5636549.5066546611</v>
      </c>
    </row>
    <row r="26" spans="1:8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299">
        <f t="shared" si="2"/>
        <v>7454748.2262433972</v>
      </c>
    </row>
    <row r="27" spans="1:8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299">
        <f t="shared" si="2"/>
        <v>9243407.6970640887</v>
      </c>
    </row>
    <row r="28" spans="1:8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299">
        <f t="shared" si="2"/>
        <v>11002989.620446093</v>
      </c>
    </row>
    <row r="29" spans="1:8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299">
        <f t="shared" si="2"/>
        <v>12733949.08000382</v>
      </c>
    </row>
    <row r="30" spans="1:8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299">
        <f t="shared" si="2"/>
        <v>14436734.616533669</v>
      </c>
    </row>
    <row r="31" spans="1:8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299">
        <f t="shared" si="2"/>
        <v>16111788.302787062</v>
      </c>
    </row>
    <row r="32" spans="1:8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299">
        <f t="shared" si="2"/>
        <v>17759545.818042524</v>
      </c>
    </row>
    <row r="33" spans="1:5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299">
        <f t="shared" si="2"/>
        <v>19380436.522485144</v>
      </c>
    </row>
    <row r="34" spans="1:5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299">
        <f t="shared" si="2"/>
        <v>20974883.531352777</v>
      </c>
    </row>
    <row r="35" spans="1:5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299">
        <f t="shared" si="2"/>
        <v>22543303.788810521</v>
      </c>
    </row>
    <row r="36" spans="1:5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299">
        <f t="shared" si="2"/>
        <v>24086108.141557589</v>
      </c>
    </row>
    <row r="37" spans="1:5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299">
        <f t="shared" si="2"/>
        <v>25603701.412116595</v>
      </c>
    </row>
    <row r="38" spans="1:5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299">
        <f t="shared" si="2"/>
        <v>27096482.471801117</v>
      </c>
    </row>
    <row r="39" spans="1:5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299">
        <f t="shared" si="2"/>
        <v>28564844.313325085</v>
      </c>
    </row>
    <row r="40" spans="1:5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299">
        <f t="shared" si="2"/>
        <v>30009174.123051897</v>
      </c>
    </row>
    <row r="41" spans="1:5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299">
        <f t="shared" si="2"/>
        <v>31429853.352851003</v>
      </c>
    </row>
    <row r="42" spans="1:5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299">
        <f t="shared" si="2"/>
        <v>32827257.791541122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8" sqref="E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71" t="s">
        <v>111</v>
      </c>
      <c r="C4" s="371"/>
      <c r="D4" s="371"/>
      <c r="E4" s="371"/>
      <c r="F4" s="3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54" t="s">
        <v>8</v>
      </c>
      <c r="B7" s="348" t="s">
        <v>9</v>
      </c>
      <c r="C7" s="349"/>
      <c r="D7" s="373" t="s">
        <v>12</v>
      </c>
      <c r="E7" s="374"/>
      <c r="F7" s="375"/>
      <c r="G7" s="348" t="s">
        <v>143</v>
      </c>
      <c r="H7" s="348"/>
      <c r="I7" s="350"/>
      <c r="J7" s="1" t="s">
        <v>144</v>
      </c>
    </row>
    <row r="8" spans="1:18" ht="28.2" customHeight="1" x14ac:dyDescent="0.3">
      <c r="A8" s="355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6"/>
      <c r="B9" s="80">
        <f>JJ_Optim_Scenario!G24</f>
        <v>10990000</v>
      </c>
      <c r="C9" s="184">
        <f>JJ_Optim_Scenario!H24</f>
        <v>20410000</v>
      </c>
      <c r="D9" s="184">
        <f>JJ_Optim_Scenario!I24</f>
        <v>17833369.550645731</v>
      </c>
      <c r="E9" s="118">
        <f>((($R$12/(1+EXP($P$12+$Q$12*D9)))-1) - ($F$12-$C$12))*$I$12</f>
        <v>405654.8890634235</v>
      </c>
      <c r="F9" s="145">
        <f>E9*$G$12</f>
        <v>405654.8890634235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54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5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6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58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200000000000003" customHeight="1" x14ac:dyDescent="0.3">
      <c r="A13" s="376" t="s">
        <v>119</v>
      </c>
      <c r="B13" s="377"/>
      <c r="C13" s="377"/>
      <c r="D13" s="377"/>
      <c r="E13" s="377"/>
      <c r="F13" s="378"/>
      <c r="G13" s="298" t="s">
        <v>267</v>
      </c>
      <c r="H13" s="298" t="s">
        <v>268</v>
      </c>
      <c r="K13" s="376" t="s">
        <v>120</v>
      </c>
      <c r="L13" s="377"/>
      <c r="M13" s="377"/>
      <c r="N13" s="377"/>
      <c r="O13" s="377"/>
      <c r="P13" s="377"/>
      <c r="Q13" s="377"/>
      <c r="R13" s="378"/>
    </row>
    <row r="14" spans="1:18" ht="33.6" customHeight="1" thickBot="1" x14ac:dyDescent="0.35">
      <c r="A14" s="368"/>
      <c r="B14" s="369"/>
      <c r="C14" s="369"/>
      <c r="D14" s="369"/>
      <c r="E14" s="369"/>
      <c r="F14" s="370"/>
      <c r="G14" s="184">
        <f>JJ_Optim_Scenario!$I$31</f>
        <v>116.39999999999999</v>
      </c>
      <c r="H14" s="184">
        <f>JJ_Optim_Scenario!$F$31</f>
        <v>1118</v>
      </c>
      <c r="K14" s="368"/>
      <c r="L14" s="369"/>
      <c r="M14" s="369"/>
      <c r="N14" s="369"/>
      <c r="O14" s="369"/>
      <c r="P14" s="369"/>
      <c r="Q14" s="369"/>
      <c r="R14" s="370"/>
    </row>
    <row r="16" spans="1:18" ht="14.4" thickBot="1" x14ac:dyDescent="0.35"/>
    <row r="17" spans="1:8" ht="42.6" customHeight="1" x14ac:dyDescent="0.3">
      <c r="A17" s="35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58"/>
      <c r="B18" s="102">
        <v>0</v>
      </c>
      <c r="C18" s="103">
        <v>50000000</v>
      </c>
      <c r="D18" s="26">
        <v>20</v>
      </c>
    </row>
    <row r="20" spans="1:8" x14ac:dyDescent="0.3">
      <c r="A20" s="337" t="s">
        <v>37</v>
      </c>
      <c r="B20" s="337"/>
      <c r="C20" s="337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B22*$G$14</f>
        <v>0</v>
      </c>
    </row>
    <row r="23" spans="1:8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299">
        <f t="shared" ref="E23:E42" si="2">B23*$G$14</f>
        <v>7126753.0854003569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299">
        <f t="shared" si="2"/>
        <v>14083785.478268811</v>
      </c>
    </row>
    <row r="25" spans="1:8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299">
        <f t="shared" si="2"/>
        <v>20873536.930621438</v>
      </c>
    </row>
    <row r="26" spans="1:8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299">
        <f t="shared" si="2"/>
        <v>27498504.08301406</v>
      </c>
    </row>
    <row r="27" spans="1:8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299">
        <f t="shared" si="2"/>
        <v>33961234.049799822</v>
      </c>
    </row>
    <row r="28" spans="1:8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299">
        <f t="shared" si="2"/>
        <v>40264318.242423229</v>
      </c>
    </row>
    <row r="29" spans="1:8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299">
        <f t="shared" si="2"/>
        <v>46410386.434896983</v>
      </c>
    </row>
    <row r="30" spans="1:8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299">
        <f t="shared" si="2"/>
        <v>52402101.074315935</v>
      </c>
    </row>
    <row r="31" spans="1:8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299">
        <f t="shared" si="2"/>
        <v>58242151.838048339</v>
      </c>
    </row>
    <row r="32" spans="1:8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299">
        <f t="shared" si="2"/>
        <v>63933250.438135833</v>
      </c>
    </row>
    <row r="33" spans="1:5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299">
        <f t="shared" si="2"/>
        <v>69478125.672399044</v>
      </c>
    </row>
    <row r="34" spans="1:5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299">
        <f t="shared" si="2"/>
        <v>74879518.720811337</v>
      </c>
    </row>
    <row r="35" spans="1:5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299">
        <f t="shared" si="2"/>
        <v>80140178.6848436</v>
      </c>
    </row>
    <row r="36" spans="1:5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299">
        <f t="shared" si="2"/>
        <v>85262858.366719171</v>
      </c>
    </row>
    <row r="37" spans="1:5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299">
        <f t="shared" si="2"/>
        <v>90250310.284813449</v>
      </c>
    </row>
    <row r="38" spans="1:5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299">
        <f t="shared" si="2"/>
        <v>95105282.920833573</v>
      </c>
    </row>
    <row r="39" spans="1:5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299">
        <f t="shared" si="2"/>
        <v>99830517.19385469</v>
      </c>
    </row>
    <row r="40" spans="1:5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299">
        <f t="shared" si="2"/>
        <v>104428743.15583892</v>
      </c>
    </row>
    <row r="41" spans="1:5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299">
        <f t="shared" si="2"/>
        <v>108902676.90282662</v>
      </c>
    </row>
    <row r="42" spans="1:5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299">
        <f t="shared" si="2"/>
        <v>113255017.69568314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15" t="s">
        <v>105</v>
      </c>
      <c r="G2" s="316"/>
      <c r="H2" s="316"/>
      <c r="I2" s="316"/>
      <c r="J2" s="316"/>
      <c r="K2" s="316"/>
      <c r="L2" s="317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18" t="s">
        <v>72</v>
      </c>
      <c r="G3" s="319"/>
      <c r="H3" s="319"/>
      <c r="I3" s="319"/>
      <c r="J3" s="319"/>
      <c r="K3" s="319"/>
      <c r="L3" s="320"/>
    </row>
    <row r="4" spans="1:12" ht="14.4" thickBot="1" x14ac:dyDescent="0.35">
      <c r="A4" s="29" t="s">
        <v>38</v>
      </c>
      <c r="B4" s="379" t="s">
        <v>39</v>
      </c>
      <c r="C4" s="379"/>
      <c r="D4" s="380"/>
    </row>
    <row r="6" spans="1:12" ht="14.4" thickBot="1" x14ac:dyDescent="0.35"/>
    <row r="7" spans="1:12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</row>
    <row r="8" spans="1:12" ht="27.6" x14ac:dyDescent="0.3">
      <c r="A8" s="35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54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54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56"/>
      <c r="B12" s="12">
        <v>20</v>
      </c>
      <c r="C12" s="12">
        <v>30</v>
      </c>
      <c r="D12" s="12">
        <v>0</v>
      </c>
      <c r="E12" s="14">
        <v>70</v>
      </c>
      <c r="G12" s="35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76" t="s">
        <v>30</v>
      </c>
      <c r="B13" s="377"/>
      <c r="C13" s="377"/>
      <c r="D13" s="377"/>
      <c r="E13" s="378"/>
      <c r="G13" s="381" t="s">
        <v>29</v>
      </c>
      <c r="H13" s="382"/>
      <c r="I13" s="382"/>
      <c r="J13" s="383"/>
    </row>
    <row r="14" spans="1:12" ht="33.6" customHeight="1" x14ac:dyDescent="0.3">
      <c r="A14" s="368"/>
      <c r="B14" s="369"/>
      <c r="C14" s="369"/>
      <c r="D14" s="369"/>
      <c r="E14" s="370"/>
      <c r="G14" s="384"/>
      <c r="H14" s="385"/>
      <c r="I14" s="385"/>
      <c r="J14" s="386"/>
    </row>
    <row r="16" spans="1:12" ht="14.4" thickBot="1" x14ac:dyDescent="0.35"/>
    <row r="17" spans="1:4" ht="16.8" customHeight="1" x14ac:dyDescent="0.3">
      <c r="A17" s="357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58"/>
      <c r="B18" s="12">
        <v>0</v>
      </c>
      <c r="C18" s="12">
        <v>100</v>
      </c>
      <c r="D18" s="26">
        <v>20</v>
      </c>
    </row>
    <row r="20" spans="1:4" x14ac:dyDescent="0.3">
      <c r="A20" s="337" t="s">
        <v>37</v>
      </c>
      <c r="B20" s="337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15" t="s">
        <v>105</v>
      </c>
      <c r="G2" s="316"/>
      <c r="H2" s="316"/>
      <c r="I2" s="316"/>
      <c r="J2" s="316"/>
      <c r="K2" s="316"/>
      <c r="L2" s="317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18" t="s">
        <v>72</v>
      </c>
      <c r="G3" s="319"/>
      <c r="H3" s="319"/>
      <c r="I3" s="319"/>
      <c r="J3" s="319"/>
      <c r="K3" s="319"/>
      <c r="L3" s="320"/>
    </row>
    <row r="4" spans="1:12" ht="31.8" customHeight="1" thickBot="1" x14ac:dyDescent="0.35">
      <c r="A4" s="29" t="s">
        <v>38</v>
      </c>
      <c r="B4" s="388" t="s">
        <v>41</v>
      </c>
      <c r="C4" s="389"/>
      <c r="D4" s="390"/>
    </row>
    <row r="6" spans="1:12" ht="14.4" thickBot="1" x14ac:dyDescent="0.35"/>
    <row r="7" spans="1:12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  <c r="H7" s="1" t="s">
        <v>54</v>
      </c>
    </row>
    <row r="8" spans="1:12" ht="27.6" x14ac:dyDescent="0.3">
      <c r="A8" s="35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54" t="s">
        <v>42</v>
      </c>
      <c r="B11" s="323" t="s">
        <v>47</v>
      </c>
      <c r="C11" s="391" t="s">
        <v>46</v>
      </c>
      <c r="D11" s="374"/>
      <c r="E11" s="374"/>
      <c r="F11" s="3" t="s">
        <v>48</v>
      </c>
      <c r="G11" s="33"/>
      <c r="H11" s="32"/>
      <c r="I11" s="32"/>
      <c r="J11" s="32"/>
    </row>
    <row r="12" spans="1:12" x14ac:dyDescent="0.3">
      <c r="A12" s="392"/>
      <c r="B12" s="32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39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53" t="s">
        <v>52</v>
      </c>
      <c r="B14" s="353"/>
      <c r="C14" s="353"/>
      <c r="D14" s="353"/>
      <c r="E14" s="353"/>
      <c r="F14" s="353"/>
      <c r="G14" s="38"/>
      <c r="H14" s="39"/>
      <c r="I14" s="39"/>
      <c r="J14" s="39"/>
    </row>
    <row r="15" spans="1:12" ht="30.6" customHeight="1" x14ac:dyDescent="0.3">
      <c r="A15" s="353"/>
      <c r="B15" s="353"/>
      <c r="C15" s="353"/>
      <c r="D15" s="353"/>
      <c r="E15" s="353"/>
      <c r="F15" s="353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57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58"/>
      <c r="B19" s="12">
        <v>0</v>
      </c>
      <c r="C19" s="12">
        <v>20000000</v>
      </c>
      <c r="D19" s="26">
        <v>20</v>
      </c>
    </row>
    <row r="21" spans="1:4" x14ac:dyDescent="0.3">
      <c r="A21" s="337" t="s">
        <v>37</v>
      </c>
      <c r="B21" s="337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15" t="s">
        <v>105</v>
      </c>
      <c r="G2" s="316"/>
      <c r="H2" s="316"/>
      <c r="I2" s="316"/>
      <c r="J2" s="316"/>
      <c r="K2" s="316"/>
      <c r="L2" s="317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18" t="s">
        <v>72</v>
      </c>
      <c r="G3" s="319"/>
      <c r="H3" s="319"/>
      <c r="I3" s="319"/>
      <c r="J3" s="319"/>
      <c r="K3" s="319"/>
      <c r="L3" s="320"/>
    </row>
    <row r="4" spans="1:14" ht="14.4" thickBot="1" x14ac:dyDescent="0.35">
      <c r="A4" s="29" t="s">
        <v>38</v>
      </c>
      <c r="B4" s="379" t="s">
        <v>57</v>
      </c>
      <c r="C4" s="379"/>
      <c r="D4" s="380"/>
    </row>
    <row r="6" spans="1:14" ht="14.4" thickBot="1" x14ac:dyDescent="0.35"/>
    <row r="7" spans="1:14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  <c r="I7" s="359" t="s">
        <v>73</v>
      </c>
      <c r="J7" s="359"/>
      <c r="K7" s="359"/>
      <c r="L7" s="359"/>
      <c r="N7" s="47" t="s">
        <v>58</v>
      </c>
    </row>
    <row r="8" spans="1:14" ht="27.6" x14ac:dyDescent="0.3">
      <c r="A8" s="35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59"/>
      <c r="J8" s="359"/>
      <c r="K8" s="359"/>
      <c r="L8" s="359"/>
      <c r="N8" s="47" t="s">
        <v>59</v>
      </c>
    </row>
    <row r="9" spans="1:14" ht="14.4" thickBot="1" x14ac:dyDescent="0.35">
      <c r="A9" s="35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37" t="s">
        <v>60</v>
      </c>
      <c r="B11" s="3" t="s">
        <v>61</v>
      </c>
      <c r="C11" s="3" t="s">
        <v>62</v>
      </c>
      <c r="D11" s="32"/>
      <c r="E11" s="36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37"/>
      <c r="B12" s="41">
        <v>0</v>
      </c>
      <c r="C12" s="41">
        <v>0</v>
      </c>
      <c r="D12" s="32"/>
      <c r="E12" s="36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37"/>
      <c r="B13" s="41">
        <v>1</v>
      </c>
      <c r="C13" s="41">
        <v>0.75</v>
      </c>
      <c r="D13" s="32"/>
      <c r="E13" s="36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37"/>
      <c r="B14" s="41">
        <v>2</v>
      </c>
      <c r="C14" s="41">
        <v>0</v>
      </c>
      <c r="D14" s="32"/>
      <c r="E14" s="36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37"/>
      <c r="B15" s="41">
        <v>3</v>
      </c>
      <c r="C15" s="41">
        <v>-1</v>
      </c>
      <c r="D15" s="32"/>
      <c r="E15" s="36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37"/>
      <c r="B16" s="41">
        <v>4</v>
      </c>
      <c r="C16" s="41">
        <v>3</v>
      </c>
      <c r="D16" s="32"/>
      <c r="E16" s="36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37"/>
      <c r="B17" s="42">
        <v>5</v>
      </c>
      <c r="C17" s="42">
        <v>3</v>
      </c>
      <c r="D17" s="40"/>
      <c r="E17" s="36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394" t="s">
        <v>74</v>
      </c>
      <c r="B18" s="395"/>
      <c r="C18" s="396"/>
      <c r="D18" s="33"/>
      <c r="E18" s="353" t="s">
        <v>75</v>
      </c>
      <c r="F18" s="353"/>
      <c r="G18" s="353"/>
      <c r="H18" s="353"/>
      <c r="I18" s="353"/>
      <c r="J18" s="353"/>
      <c r="K18" s="353"/>
      <c r="L18" s="353"/>
      <c r="M18" s="353"/>
    </row>
    <row r="19" spans="1:13" ht="35.4" customHeight="1" x14ac:dyDescent="0.3">
      <c r="A19" s="368"/>
      <c r="B19" s="369"/>
      <c r="C19" s="370"/>
      <c r="D19" s="33"/>
      <c r="E19" s="353"/>
      <c r="F19" s="353"/>
      <c r="G19" s="353"/>
      <c r="H19" s="353"/>
      <c r="I19" s="353"/>
      <c r="J19" s="353"/>
      <c r="K19" s="353"/>
      <c r="L19" s="353"/>
      <c r="M19" s="353"/>
    </row>
    <row r="21" spans="1:13" ht="14.4" thickBot="1" x14ac:dyDescent="0.35"/>
    <row r="22" spans="1:13" ht="16.8" customHeight="1" x14ac:dyDescent="0.3">
      <c r="A22" s="357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58"/>
      <c r="B23" s="12">
        <v>0</v>
      </c>
      <c r="C23" s="12">
        <v>5</v>
      </c>
      <c r="D23" s="26">
        <v>20</v>
      </c>
    </row>
    <row r="25" spans="1:13" x14ac:dyDescent="0.3">
      <c r="A25" s="337" t="s">
        <v>37</v>
      </c>
      <c r="B25" s="337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397" t="s">
        <v>111</v>
      </c>
      <c r="C4" s="397"/>
      <c r="D4" s="397"/>
      <c r="E4" s="397"/>
      <c r="F4" s="398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54" t="s">
        <v>8</v>
      </c>
      <c r="B7" s="348" t="s">
        <v>9</v>
      </c>
      <c r="C7" s="349"/>
      <c r="D7" s="373" t="s">
        <v>12</v>
      </c>
      <c r="E7" s="375"/>
      <c r="F7" s="374" t="s">
        <v>24</v>
      </c>
      <c r="G7" s="387"/>
    </row>
    <row r="8" spans="1:15" ht="27.6" x14ac:dyDescent="0.3">
      <c r="A8" s="355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56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54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57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56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58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76" t="s">
        <v>119</v>
      </c>
      <c r="B13" s="377"/>
      <c r="C13" s="377"/>
      <c r="D13" s="377"/>
      <c r="E13" s="377"/>
      <c r="F13" s="378"/>
      <c r="H13" s="376" t="s">
        <v>120</v>
      </c>
      <c r="I13" s="377"/>
      <c r="J13" s="377"/>
      <c r="K13" s="377"/>
      <c r="L13" s="377"/>
      <c r="M13" s="377"/>
      <c r="N13" s="377"/>
      <c r="O13" s="378"/>
    </row>
    <row r="14" spans="1:15" ht="33.6" customHeight="1" x14ac:dyDescent="0.3">
      <c r="A14" s="368"/>
      <c r="B14" s="369"/>
      <c r="C14" s="369"/>
      <c r="D14" s="369"/>
      <c r="E14" s="369"/>
      <c r="F14" s="370"/>
      <c r="H14" s="368"/>
      <c r="I14" s="369"/>
      <c r="J14" s="369"/>
      <c r="K14" s="369"/>
      <c r="L14" s="369"/>
      <c r="M14" s="369"/>
      <c r="N14" s="369"/>
      <c r="O14" s="370"/>
    </row>
    <row r="16" spans="1:15" ht="14.4" thickBot="1" x14ac:dyDescent="0.35"/>
    <row r="17" spans="1:4" ht="16.8" customHeight="1" x14ac:dyDescent="0.3">
      <c r="A17" s="357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58"/>
      <c r="B18" s="102">
        <v>0</v>
      </c>
      <c r="C18" s="103">
        <v>200000000</v>
      </c>
      <c r="D18" s="26">
        <v>20</v>
      </c>
    </row>
    <row r="20" spans="1:4" x14ac:dyDescent="0.3">
      <c r="A20" s="337" t="s">
        <v>37</v>
      </c>
      <c r="B20" s="337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Charts - Idvl</vt:lpstr>
      <vt:lpstr>Chart - Combined</vt:lpstr>
      <vt:lpstr>JJ_Notes_1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2013-04-17T18:01:04Z</dcterms:modified>
</cp:coreProperties>
</file>