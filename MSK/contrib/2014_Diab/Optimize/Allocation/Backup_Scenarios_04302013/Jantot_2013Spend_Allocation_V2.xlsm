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harts/chart30.xml" ContentType="application/vnd.openxmlformats-officedocument.drawingml.chart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activeTab="4"/>
  </bookViews>
  <sheets>
    <sheet name="Charts - Idvl" sheetId="35" r:id="rId1"/>
    <sheet name="Chart - Combined" sheetId="36" r:id="rId2"/>
    <sheet name="JJ_Notes_1" sheetId="24" r:id="rId3"/>
    <sheet name="Case Notes" sheetId="37" r:id="rId4"/>
    <sheet name="JJ_Optim_Scenario" sheetId="23" r:id="rId5"/>
    <sheet name="JANSample" sheetId="25" r:id="rId6"/>
    <sheet name="JMTSample" sheetId="26" r:id="rId7"/>
    <sheet name="TOTSample" sheetId="27" r:id="rId8"/>
    <sheet name="JJVCH" sheetId="29" r:id="rId9"/>
    <sheet name="JJMMF" sheetId="30" r:id="rId10"/>
    <sheet name="JJHCC" sheetId="31" r:id="rId11"/>
    <sheet name="JJMCM" sheetId="32" r:id="rId12"/>
    <sheet name="JJHCC_ACQ" sheetId="33" r:id="rId13"/>
    <sheet name="JJHCC_ADH" sheetId="34" r:id="rId14"/>
    <sheet name="Fn.Templates ==&gt;" sheetId="3" r:id="rId15"/>
    <sheet name="FT_SCurveEst" sheetId="2" r:id="rId16"/>
    <sheet name="FT_Equation" sheetId="4" r:id="rId17"/>
    <sheet name="FT_Interpolate" sheetId="5" r:id="rId18"/>
    <sheet name="FT_SCurve3Est" sheetId="13" r:id="rId19"/>
  </sheets>
  <functionGroups builtInGroupCount="17"/>
  <externalReferences>
    <externalReference r:id="rId20"/>
  </externalReferences>
  <definedNames>
    <definedName name="solver_adj" localSheetId="4" hidden="1">JJ_Optim_Scenario!$I$17:$I$24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JJ_Optim_Scenario!$I$17:$I$24</definedName>
    <definedName name="solver_lhs2" localSheetId="4" hidden="1">JJ_Optim_Scenario!$I$17:$I$24</definedName>
    <definedName name="solver_lhs3" localSheetId="4" hidden="1">JJ_Optim_Scenario!$I$25</definedName>
    <definedName name="solver_lhs4" localSheetId="4" hidden="1">JJ_Optim_Scenario!$I$25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4</definedName>
    <definedName name="solver_nwt" localSheetId="4" hidden="1">1</definedName>
    <definedName name="solver_opt" localSheetId="4" hidden="1">JJ_Optim_Scenario!$B$9</definedName>
    <definedName name="solver_pre" localSheetId="4" hidden="1">0.000001</definedName>
    <definedName name="solver_rbv" localSheetId="4" hidden="1">1</definedName>
    <definedName name="solver_rel1" localSheetId="4" hidden="1">1</definedName>
    <definedName name="solver_rel2" localSheetId="4" hidden="1">3</definedName>
    <definedName name="solver_rel3" localSheetId="4" hidden="1">1</definedName>
    <definedName name="solver_rel4" localSheetId="4" hidden="1">3</definedName>
    <definedName name="solver_rhs1" localSheetId="4" hidden="1">JJ_Optim_Scenario!$H$17:$H$24</definedName>
    <definedName name="solver_rhs2" localSheetId="4" hidden="1">JJ_Optim_Scenario!$G$17:$G$24</definedName>
    <definedName name="solver_rhs3" localSheetId="4" hidden="1">JJ_Optim_Scenario!$D$12</definedName>
    <definedName name="solver_rhs4" localSheetId="4" hidden="1">JJ_Optim_Scenario!$C$12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val" localSheetId="4" hidden="1">0</definedName>
    <definedName name="solver_ver" localSheetId="4" hidden="1">3</definedName>
  </definedNames>
  <calcPr calcId="145621"/>
</workbook>
</file>

<file path=xl/calcChain.xml><?xml version="1.0" encoding="utf-8"?>
<calcChain xmlns="http://schemas.openxmlformats.org/spreadsheetml/2006/main">
  <c r="L45" i="23" l="1"/>
  <c r="N45" i="23" s="1"/>
  <c r="J45" i="23"/>
  <c r="G45" i="23"/>
  <c r="L44" i="23"/>
  <c r="N44" i="23" s="1"/>
  <c r="J44" i="23"/>
  <c r="G44" i="23"/>
  <c r="N43" i="23"/>
  <c r="M43" i="23"/>
  <c r="L43" i="23"/>
  <c r="J43" i="23"/>
  <c r="G43" i="23"/>
  <c r="M44" i="23" l="1"/>
  <c r="M45" i="23"/>
  <c r="C31" i="37"/>
  <c r="C35" i="37"/>
  <c r="C34" i="37"/>
  <c r="C33" i="37"/>
  <c r="C32" i="37"/>
  <c r="C30" i="37"/>
  <c r="C36" i="37" s="1"/>
  <c r="C29" i="37"/>
  <c r="C28" i="37"/>
  <c r="F31" i="37"/>
  <c r="E31" i="37"/>
  <c r="F35" i="37"/>
  <c r="E35" i="37"/>
  <c r="F34" i="37"/>
  <c r="E34" i="37"/>
  <c r="F33" i="37"/>
  <c r="E33" i="37"/>
  <c r="F32" i="37"/>
  <c r="E32" i="37"/>
  <c r="F30" i="37"/>
  <c r="E30" i="37"/>
  <c r="F29" i="37"/>
  <c r="F28" i="37"/>
  <c r="E28" i="37"/>
  <c r="H24" i="23" l="1"/>
  <c r="H23" i="23"/>
  <c r="H20" i="23"/>
  <c r="H22" i="23"/>
  <c r="G22" i="23"/>
  <c r="H21" i="23"/>
  <c r="G20" i="23"/>
  <c r="B36" i="37"/>
  <c r="H19" i="23"/>
  <c r="H18" i="23"/>
  <c r="G21" i="23"/>
  <c r="G23" i="23"/>
  <c r="G24" i="23"/>
  <c r="G19" i="23"/>
  <c r="E29" i="37"/>
  <c r="G18" i="23" s="1"/>
  <c r="G54" i="24"/>
  <c r="H17" i="23" l="1"/>
  <c r="E36" i="37"/>
  <c r="G17" i="23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22" i="34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22" i="33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30" i="30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F36" i="37" l="1"/>
  <c r="D9" i="34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F17" i="23"/>
  <c r="G9" i="25"/>
  <c r="F34" i="23"/>
  <c r="G34" i="23" s="1"/>
  <c r="I31" i="23"/>
  <c r="H41" i="23"/>
  <c r="K41" i="23" s="1"/>
  <c r="M41" i="23" s="1"/>
  <c r="H40" i="23"/>
  <c r="K40" i="23" s="1"/>
  <c r="M40" i="23" s="1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E25" i="23"/>
  <c r="H42" i="23" l="1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B42" i="33"/>
  <c r="B41" i="33"/>
  <c r="B40" i="33"/>
  <c r="B39" i="33"/>
  <c r="B38" i="33"/>
  <c r="B37" i="33"/>
  <c r="B36" i="33"/>
  <c r="B35" i="33"/>
  <c r="B34" i="33"/>
  <c r="B33" i="33"/>
  <c r="B32" i="33"/>
  <c r="B31" i="33"/>
  <c r="B30" i="33"/>
  <c r="B29" i="33"/>
  <c r="B28" i="33"/>
  <c r="B27" i="33"/>
  <c r="B26" i="33"/>
  <c r="B25" i="33"/>
  <c r="B24" i="33"/>
  <c r="B23" i="33"/>
  <c r="B22" i="33"/>
  <c r="H9" i="33"/>
  <c r="I9" i="33" s="1"/>
  <c r="F23" i="23" s="1"/>
  <c r="F40" i="23" s="1"/>
  <c r="G40" i="23" s="1"/>
  <c r="E9" i="33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J9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J19" i="23" s="1"/>
  <c r="I36" i="23" s="1"/>
  <c r="J36" i="23" s="1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J18" i="23" s="1"/>
  <c r="I35" i="23" s="1"/>
  <c r="J35" i="23" s="1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J9" i="25" s="1"/>
  <c r="H9" i="25"/>
  <c r="F9" i="25"/>
  <c r="J17" i="23" s="1"/>
  <c r="I34" i="23" s="1"/>
  <c r="J34" i="23" s="1"/>
  <c r="E9" i="25"/>
  <c r="A24" i="25"/>
  <c r="A25" i="25" s="1"/>
  <c r="A23" i="25"/>
  <c r="K22" i="23"/>
  <c r="K21" i="23"/>
  <c r="K20" i="23"/>
  <c r="K19" i="23"/>
  <c r="K18" i="23"/>
  <c r="K17" i="23"/>
  <c r="H14" i="30" a="1"/>
  <c r="K25" i="23" l="1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J22" i="23" s="1"/>
  <c r="I39" i="23" s="1"/>
  <c r="J39" i="23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C22" i="34" s="1"/>
  <c r="E9" i="34"/>
  <c r="F9" i="34" s="1"/>
  <c r="J24" i="23" s="1"/>
  <c r="I41" i="23" s="1"/>
  <c r="J41" i="23" s="1"/>
  <c r="H9" i="34"/>
  <c r="I9" i="34" s="1"/>
  <c r="C22" i="33"/>
  <c r="F9" i="33"/>
  <c r="J23" i="23" s="1"/>
  <c r="C22" i="31"/>
  <c r="F9" i="31"/>
  <c r="J21" i="23" s="1"/>
  <c r="I38" i="23" s="1"/>
  <c r="J38" i="23" s="1"/>
  <c r="L38" i="23" s="1"/>
  <c r="N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B32" i="30"/>
  <c r="B31" i="30"/>
  <c r="H9" i="30"/>
  <c r="B30" i="30"/>
  <c r="E9" i="30"/>
  <c r="L21" i="23" l="1"/>
  <c r="N21" i="23" s="1"/>
  <c r="I40" i="23"/>
  <c r="J40" i="23" s="1"/>
  <c r="L40" i="23" s="1"/>
  <c r="N40" i="23" s="1"/>
  <c r="L23" i="23"/>
  <c r="N23" i="23" s="1"/>
  <c r="F22" i="23"/>
  <c r="J9" i="32"/>
  <c r="J9" i="34"/>
  <c r="F24" i="23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J42" i="23" l="1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F37" i="23" l="1"/>
  <c r="G37" i="23" s="1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N20" i="23" l="1"/>
  <c r="L37" i="23"/>
  <c r="N37" i="23" s="1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L42" i="23" l="1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N42" i="23" l="1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B9" i="23" l="1"/>
  <c r="J25" i="23"/>
  <c r="L18" i="23"/>
  <c r="N18" i="23" s="1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43" i="5"/>
  <c r="B44" i="5"/>
  <c r="B28" i="5"/>
  <c r="B31" i="5"/>
  <c r="B42" i="5"/>
  <c r="B47" i="5"/>
  <c r="B33" i="5"/>
  <c r="B40" i="5"/>
  <c r="B37" i="5"/>
  <c r="E9" i="5"/>
  <c r="B41" i="5"/>
  <c r="B29" i="5"/>
  <c r="B39" i="5"/>
  <c r="B34" i="5"/>
  <c r="B30" i="5"/>
  <c r="B35" i="5"/>
  <c r="B46" i="5"/>
  <c r="B39" i="30"/>
  <c r="B45" i="5"/>
  <c r="B27" i="5"/>
  <c r="B38" i="5"/>
  <c r="B36" i="5"/>
  <c r="B32" i="5"/>
  <c r="L25" i="23" l="1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C40" i="30" l="1"/>
  <c r="A41" i="30"/>
  <c r="B34" i="29"/>
  <c r="A35" i="29"/>
  <c r="C34" i="29"/>
  <c r="B34" i="27"/>
  <c r="A35" i="27"/>
  <c r="C34" i="27"/>
  <c r="C32" i="26"/>
  <c r="B32" i="26"/>
  <c r="A33" i="26"/>
  <c r="A35" i="25"/>
  <c r="B41" i="30"/>
  <c r="C41" i="30" l="1"/>
  <c r="A42" i="30"/>
  <c r="C35" i="29"/>
  <c r="B35" i="29"/>
  <c r="A36" i="29"/>
  <c r="C35" i="27"/>
  <c r="B35" i="27"/>
  <c r="A36" i="27"/>
  <c r="A34" i="26"/>
  <c r="C33" i="26"/>
  <c r="B33" i="26"/>
  <c r="A36" i="25"/>
  <c r="B42" i="30"/>
  <c r="C42" i="30" l="1"/>
  <c r="A43" i="30"/>
  <c r="A37" i="29"/>
  <c r="C36" i="29"/>
  <c r="B36" i="29"/>
  <c r="A37" i="27"/>
  <c r="C36" i="27"/>
  <c r="B36" i="27"/>
  <c r="A35" i="26"/>
  <c r="C34" i="26"/>
  <c r="B34" i="26"/>
  <c r="A37" i="25"/>
  <c r="B43" i="30"/>
  <c r="C43" i="30" l="1"/>
  <c r="A44" i="30"/>
  <c r="A38" i="29"/>
  <c r="C37" i="29"/>
  <c r="B37" i="29"/>
  <c r="A38" i="27"/>
  <c r="C37" i="27"/>
  <c r="B37" i="27"/>
  <c r="B35" i="26"/>
  <c r="A36" i="26"/>
  <c r="C35" i="26"/>
  <c r="A38" i="25"/>
  <c r="B44" i="30"/>
  <c r="C44" i="30" l="1"/>
  <c r="A45" i="30"/>
  <c r="B38" i="29"/>
  <c r="A39" i="29"/>
  <c r="C38" i="29"/>
  <c r="B38" i="27"/>
  <c r="A39" i="27"/>
  <c r="C38" i="27"/>
  <c r="C36" i="26"/>
  <c r="B36" i="26"/>
  <c r="A37" i="26"/>
  <c r="A39" i="25"/>
  <c r="B45" i="30"/>
  <c r="C45" i="30" l="1"/>
  <c r="A46" i="30"/>
  <c r="C39" i="29"/>
  <c r="B39" i="29"/>
  <c r="A40" i="29"/>
  <c r="C39" i="27"/>
  <c r="B39" i="27"/>
  <c r="A40" i="27"/>
  <c r="A38" i="26"/>
  <c r="C37" i="26"/>
  <c r="B37" i="26"/>
  <c r="A40" i="25"/>
  <c r="B46" i="30"/>
  <c r="C46" i="30" l="1"/>
  <c r="A47" i="30"/>
  <c r="A41" i="29"/>
  <c r="C40" i="29"/>
  <c r="B40" i="29"/>
  <c r="A41" i="27"/>
  <c r="C40" i="27"/>
  <c r="B40" i="27"/>
  <c r="A39" i="26"/>
  <c r="C38" i="26"/>
  <c r="B38" i="26"/>
  <c r="A41" i="25"/>
  <c r="B47" i="30"/>
  <c r="C47" i="30" l="1"/>
  <c r="A48" i="30"/>
  <c r="A42" i="29"/>
  <c r="C41" i="29"/>
  <c r="B41" i="29"/>
  <c r="A42" i="27"/>
  <c r="C41" i="27"/>
  <c r="B41" i="27"/>
  <c r="B39" i="26"/>
  <c r="A40" i="26"/>
  <c r="C39" i="26"/>
  <c r="A42" i="25"/>
  <c r="B48" i="30"/>
  <c r="C48" i="30" l="1"/>
  <c r="A49" i="30"/>
  <c r="B42" i="29"/>
  <c r="A43" i="29"/>
  <c r="C42" i="29"/>
  <c r="B42" i="27"/>
  <c r="A43" i="27"/>
  <c r="C42" i="27"/>
  <c r="C40" i="26"/>
  <c r="B40" i="26"/>
  <c r="A41" i="26"/>
  <c r="A43" i="25"/>
  <c r="B49" i="30"/>
  <c r="C49" i="30" l="1"/>
  <c r="A50" i="30"/>
  <c r="C43" i="29"/>
  <c r="B43" i="29"/>
  <c r="C43" i="27"/>
  <c r="B43" i="27"/>
  <c r="A42" i="26"/>
  <c r="C41" i="26"/>
  <c r="B41" i="26"/>
  <c r="B50" i="30"/>
  <c r="C50" i="30" l="1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<sst xmlns="http://schemas.openxmlformats.org/spreadsheetml/2006/main" count="1173" uniqueCount="290">
  <si>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</si>
  <si>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</si>
  <si>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</si>
  <si>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</si>
  <si>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</si>
  <si>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</si>
  <si>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</si>
  <si>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</si>
  <si>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</si>
  <si>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</si>
  <si>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</si>
  <si>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</si>
  <si>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</si>
  <si>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</si>
  <si>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</si>
  <si>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</si>
  <si>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</si>
  <si>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</si>
  <si>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</si>
  <si>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</si>
  <si>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</si>
  <si>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</si>
  <si>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</si>
  <si>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</si>
  <si>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</si>
  <si>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</si>
  <si>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</si>
  <si>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</si>
  <si>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</si>
  <si>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</si>
  <si>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</si>
  <si>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</si>
  <si>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</si>
  <si>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</si>
  <si>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</si>
  <si>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</si>
  <si>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</si>
  <si>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</si>
  <si>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</si>
  <si>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</si>
  <si>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</si>
  <si>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</si>
  <si>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</si>
  <si>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</si>
  <si>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</si>
  <si>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</si>
  <si>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</si>
  <si>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</si>
  <si>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</si>
  <si>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</si>
  <si>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</si>
  <si>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</si>
  <si>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</si>
  <si>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</si>
  <si>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</si>
  <si>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</si>
  <si>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</si>
  <si>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</si>
  <si>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</si>
  <si>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</si>
  <si>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</si>
  <si>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</si>
  <si>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</si>
  <si>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</si>
  <si>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</si>
  <si>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</si>
  <si>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</si>
  <si>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</si>
  <si>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</si>
  <si>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</si>
  <si>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</si>
  <si>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</si>
  <si>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</si>
  <si>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</si>
  <si>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</si>
  <si>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</si>
  <si>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</si>
  <si>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</si>
  <si>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</si>
  <si>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</si>
  <si>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</si>
  <si>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</si>
  <si>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</si>
  <si>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</si>
  <si>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</si>
  <si>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</si>
  <si>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</si>
  <si>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</si>
  <si>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</si>
  <si>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</si>
  <si>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</si>
  <si>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</si>
  <si>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</si>
  <si>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</si>
  <si>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</si>
  <si>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</si>
  <si>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</si>
  <si>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</si>
  <si>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</si>
  <si>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</si>
  <si>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</si>
  <si>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</si>
  <si>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</si>
  <si>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</si>
  <si>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</si>
  <si>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</si>
  <si>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</si>
  <si>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</si>
  <si>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</si>
  <si>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</si>
  <si>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</si>
  <si>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</si>
  <si>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</si>
  <si>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</si>
  <si>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</si>
  <si>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</si>
  <si>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</si>
  <si>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</si>
  <si>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</si>
  <si>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</si>
  <si>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</si>
  <si>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</si>
  <si>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</si>
  <si>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</si>
  <si>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</si>
  <si>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</si>
  <si>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</si>
  <si>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</si>
  <si>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</si>
  <si>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</si>
  <si>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</si>
  <si>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</si>
  <si>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</si>
  <si>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</si>
  <si>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</si>
  <si>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</si>
  <si>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</si>
  <si>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</si>
  <si>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</si>
  <si>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</si>
  <si>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</si>
  <si>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</si>
  <si>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</si>
  <si>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</si>
  <si>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</si>
  <si>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</si>
  <si>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</si>
  <si>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</si>
  <si>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</si>
  <si>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</si>
  <si>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</si>
  <si>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</si>
  <si>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</si>
  <si>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</si>
  <si>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</si>
  <si>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</si>
  <si>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</si>
  <si>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</si>
  <si>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</si>
  <si>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</si>
  <si>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</si>
  <si>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</si>
  <si>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</si>
  <si>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</si>
  <si>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</si>
  <si>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</si>
  <si>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</si>
  <si>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</si>
  <si>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</si>
  <si>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</si>
  <si>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</si>
  <si>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</si>
  <si>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</si>
  <si>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</si>
  <si>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</si>
  <si>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</si>
  <si>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</si>
  <si>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</si>
  <si>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</si>
  <si>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</si>
  <si>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</si>
  <si>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</si>
  <si>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</si>
  <si>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</si>
  <si>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</si>
  <si>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</si>
  <si>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</si>
  <si>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</si>
  <si>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</si>
  <si>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</si>
  <si>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</si>
  <si>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</si>
  <si>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</si>
  <si>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</si>
  <si>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</si>
  <si>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</si>
  <si>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</si>
  <si>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</si>
  <si>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</si>
  <si>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</si>
  <si>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</si>
  <si>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</si>
  <si>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</si>
  <si>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</si>
  <si>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</si>
  <si>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</si>
  <si>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</si>
  <si>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</si>
  <si>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</si>
  <si>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</si>
  <si>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</si>
  <si>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</si>
  <si>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</si>
  <si>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</si>
  <si>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</si>
  <si>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</si>
  <si>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</si>
  <si>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</si>
  <si>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</si>
  <si>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</si>
  <si>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</si>
  <si>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</si>
  <si>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Reference: Annualized 2012 Q1 Spend (Best Quarter in terms of NRx in 2012)</t>
  </si>
  <si>
    <t>Yearly projection based on 2012-Q1  vs. 2013</t>
  </si>
  <si>
    <t>Spend Category</t>
  </si>
  <si>
    <t>2012_Q1</t>
  </si>
  <si>
    <t>Yearly spend based on 2012 Q1 spend levels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</si>
  <si>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</si>
  <si>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</si>
  <si>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</si>
  <si>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</si>
  <si>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</si>
  <si>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</si>
  <si>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</si>
  <si>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</si>
  <si>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</si>
  <si>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</si>
  <si>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</si>
  <si>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</si>
  <si>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</si>
  <si>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</si>
  <si>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</si>
  <si>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</si>
  <si>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</si>
  <si>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</si>
  <si>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</si>
  <si>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</si>
  <si>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</si>
  <si>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</si>
  <si>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</si>
  <si>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</si>
  <si>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</si>
  <si>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</si>
  <si>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</si>
  <si>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</si>
  <si>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</si>
  <si>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</si>
  <si>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</si>
  <si>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</si>
  <si>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</si>
  <si>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</si>
  <si>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</si>
  <si>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</si>
  <si>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</si>
  <si>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</si>
  <si>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</si>
  <si>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</si>
  <si>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</si>
  <si>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</si>
  <si>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</si>
  <si>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</si>
  <si>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Current Spend</t>
  </si>
  <si>
    <t>Min. Constraint</t>
  </si>
  <si>
    <t>Max. Constraint</t>
  </si>
  <si>
    <t>Januvia Samples</t>
  </si>
  <si>
    <t>Janumet Samples</t>
  </si>
  <si>
    <t>Notes</t>
  </si>
  <si>
    <t>Change in spend to competitor levels</t>
  </si>
  <si>
    <t>110% to 140%</t>
  </si>
  <si>
    <t>Based on Indexes, roughly, sample spend for Tradjenta was 110% of Januvia and the Detail spend was 140% of Januvia.</t>
  </si>
  <si>
    <t>Janumet + XR leads DPP-4 combo market. Spend is distributed at + or -30% (i.e., like Case 1)</t>
  </si>
  <si>
    <t>&lt;-- Default</t>
  </si>
  <si>
    <t>70% to 130%</t>
  </si>
  <si>
    <t>Same as Case 1.</t>
  </si>
  <si>
    <t>170% to 270%</t>
  </si>
  <si>
    <t>Based on Indexes, roughly, Onglyza has 70% more spend and Tradjenta has 170% more spend than Januvia.</t>
  </si>
  <si>
    <t>Projected Spend to meet Competitors sampling and MMF levels</t>
  </si>
  <si>
    <r>
      <rPr>
        <b/>
        <sz val="10"/>
        <color rgb="FF0000FF"/>
        <rFont val="Calibri"/>
        <family val="2"/>
        <scheme val="minor"/>
      </rPr>
      <t>CASE 2.</t>
    </r>
    <r>
      <rPr>
        <sz val="10"/>
        <color rgb="FF0000FF"/>
        <rFont val="Calibri"/>
        <family val="2"/>
        <scheme val="minor"/>
      </rPr>
      <t xml:space="preserve"> Based on CSD Competitive promotions data, spends for Samples and Meetings are designed to be similar to Tradjenta's 2012 levels. Increase Januvia Sample spends by curr +10%(based on Tradjenta Samples) to curr +40% (based on Tradjenta details). Increase MMF spends from curr. +70% (Onglyza equivalent) to curr. +170% (Tradjenta MMF). Global spend ranges from curr level to additional max added for samples and meetings.</t>
    </r>
  </si>
  <si>
    <t>New Patient</t>
  </si>
  <si>
    <t>Equal Impact Distribution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</si>
</sst>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8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418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3" fontId="0" fillId="0" borderId="0" xfId="0" applyNumberFormat="1"/>
    <xf numFmtId="0" fontId="28" fillId="0" borderId="0" xfId="0" applyFont="1" applyAlignment="1">
      <alignment wrapText="1"/>
    </xf>
    <xf numFmtId="164" fontId="1" fillId="0" borderId="0" xfId="4" applyNumberFormat="1" applyFont="1" applyFill="1" applyBorder="1"/>
    <xf numFmtId="164" fontId="0" fillId="0" borderId="0" xfId="0" applyNumberFormat="1"/>
    <xf numFmtId="9" fontId="0" fillId="0" borderId="0" xfId="0" applyNumberFormat="1"/>
    <xf numFmtId="164" fontId="0" fillId="0" borderId="0" xfId="4" applyNumberFormat="1" applyFont="1"/>
    <xf numFmtId="164" fontId="51" fillId="0" borderId="0" xfId="4" applyNumberFormat="1" applyFont="1"/>
    <xf numFmtId="164" fontId="51" fillId="0" borderId="0" xfId="0" applyNumberFormat="1" applyFont="1"/>
    <xf numFmtId="9" fontId="0" fillId="0" borderId="0" xfId="3" applyFont="1"/>
    <xf numFmtId="0" fontId="28" fillId="42" borderId="0" xfId="0" applyFont="1" applyFill="1"/>
    <xf numFmtId="164" fontId="28" fillId="42" borderId="0" xfId="0" applyNumberFormat="1" applyFont="1" applyFill="1"/>
    <xf numFmtId="164" fontId="28" fillId="47" borderId="0" xfId="0" applyNumberFormat="1" applyFont="1" applyFill="1"/>
    <xf numFmtId="164" fontId="5" fillId="5" borderId="2" xfId="0" applyNumberFormat="1" applyFont="1" applyFill="1" applyBorder="1"/>
    <xf numFmtId="165" fontId="37" fillId="42" borderId="2" xfId="2" applyNumberFormat="1" applyFont="1" applyFill="1" applyBorder="1"/>
    <xf numFmtId="0" fontId="51" fillId="0" borderId="0" xfId="0" applyFont="1"/>
    <xf numFmtId="164" fontId="36" fillId="0" borderId="0" xfId="4" applyNumberFormat="1" applyFont="1" applyFill="1" applyBorder="1"/>
    <xf numFmtId="164" fontId="39" fillId="0" borderId="0" xfId="0" applyNumberFormat="1" applyFont="1"/>
    <xf numFmtId="0" fontId="52" fillId="0" borderId="12" xfId="0" applyFont="1" applyBorder="1"/>
    <xf numFmtId="0" fontId="52" fillId="0" borderId="37" xfId="0" applyFont="1" applyBorder="1"/>
    <xf numFmtId="9" fontId="1" fillId="0" borderId="0" xfId="3" applyFont="1"/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wrapText="1"/>
    </xf>
    <xf numFmtId="0" fontId="28" fillId="44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36" fillId="0" borderId="40" xfId="0" applyFont="1" applyBorder="1" applyAlignment="1">
      <alignment horizontal="left" wrapText="1"/>
    </xf>
    <xf numFmtId="0" fontId="36" fillId="0" borderId="0" xfId="0" applyFont="1" applyAlignment="1">
      <alignment horizontal="left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6590648.9000000004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3217873.9249121454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585728"/>
        <c:axId val="344584576"/>
      </c:scatterChart>
      <c:valAx>
        <c:axId val="3445857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4584576"/>
        <c:crosses val="autoZero"/>
        <c:crossBetween val="midCat"/>
        <c:dispUnits>
          <c:builtInUnit val="thousands"/>
        </c:dispUnits>
      </c:valAx>
      <c:valAx>
        <c:axId val="344584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45857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585920"/>
        <c:axId val="323600768"/>
      </c:scatterChart>
      <c:valAx>
        <c:axId val="3235859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23600768"/>
        <c:crosses val="autoZero"/>
        <c:crossBetween val="midCat"/>
        <c:dispUnits>
          <c:builtInUnit val="thousands"/>
        </c:dispUnits>
      </c:valAx>
      <c:valAx>
        <c:axId val="323600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35859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659264"/>
        <c:axId val="323665920"/>
      </c:scatterChart>
      <c:valAx>
        <c:axId val="3236592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23665920"/>
        <c:crosses val="autoZero"/>
        <c:crossBetween val="midCat"/>
        <c:dispUnits>
          <c:builtInUnit val="thousands"/>
        </c:dispUnits>
      </c:valAx>
      <c:valAx>
        <c:axId val="323665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36592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7548000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11988000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35975.386475934087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720320"/>
        <c:axId val="323722624"/>
      </c:scatterChart>
      <c:valAx>
        <c:axId val="3237203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23722624"/>
        <c:crosses val="autoZero"/>
        <c:crossBetween val="midCat"/>
        <c:dispUnits>
          <c:builtInUnit val="thousands"/>
        </c:dispUnits>
      </c:valAx>
      <c:valAx>
        <c:axId val="323722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37203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310976"/>
        <c:axId val="329313280"/>
      </c:scatterChart>
      <c:valAx>
        <c:axId val="3293109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29313280"/>
        <c:crosses val="autoZero"/>
        <c:crossBetween val="midCat"/>
        <c:dispUnits>
          <c:builtInUnit val="thousands"/>
        </c:dispUnits>
      </c:valAx>
      <c:valAx>
        <c:axId val="329313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93109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7975868.0909795146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385010.99333489314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9380224"/>
        <c:axId val="329382528"/>
      </c:scatterChart>
      <c:valAx>
        <c:axId val="3293802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29382528"/>
        <c:crosses val="autoZero"/>
        <c:crossBetween val="midCat"/>
        <c:dispUnits>
          <c:builtInUnit val="thousands"/>
        </c:dispUnits>
      </c:valAx>
      <c:valAx>
        <c:axId val="329382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93802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998976"/>
        <c:axId val="336001280"/>
      </c:scatterChart>
      <c:valAx>
        <c:axId val="3359989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36001280"/>
        <c:crosses val="autoZero"/>
        <c:crossBetween val="midCat"/>
        <c:dispUnits>
          <c:builtInUnit val="thousands"/>
        </c:dispUnits>
      </c:valAx>
      <c:valAx>
        <c:axId val="336001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359989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313728"/>
        <c:axId val="338302848"/>
      </c:scatterChart>
      <c:valAx>
        <c:axId val="3363137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38302848"/>
        <c:crosses val="autoZero"/>
        <c:crossBetween val="midCat"/>
        <c:dispUnits>
          <c:builtInUnit val="thousands"/>
        </c:dispUnits>
      </c:valAx>
      <c:valAx>
        <c:axId val="33830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363137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3217873.9249121454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35975.386475934087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7975868.0909795146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385010.99333489314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3217873.9249121454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35975.386475934087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7975868.0909795146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385010.99333489314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516800"/>
        <c:axId val="339536128"/>
      </c:scatterChart>
      <c:valAx>
        <c:axId val="339516800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39536128"/>
        <c:crosses val="autoZero"/>
        <c:crossBetween val="midCat"/>
        <c:dispUnits>
          <c:builtInUnit val="thousands"/>
        </c:dispUnits>
      </c:valAx>
      <c:valAx>
        <c:axId val="339536128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395168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3217873.9249121454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35975.386475934087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7975868.0909795146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385010.99333489314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3217873.9249121454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35975.386475934087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7975868.0909795146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385010.99333489314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125376"/>
        <c:axId val="343140608"/>
      </c:scatterChart>
      <c:valAx>
        <c:axId val="343125376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3140608"/>
        <c:crosses val="autoZero"/>
        <c:crossBetween val="midCat"/>
        <c:dispUnits>
          <c:builtInUnit val="thousands"/>
        </c:dispUnits>
      </c:valAx>
      <c:valAx>
        <c:axId val="343140608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31253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312019345.01750028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10219207.32487056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3488333.2246395759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193096548.23563734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7975868.0909795146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37332375.589627974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6272419.0706931856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30077004.13086943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467904"/>
        <c:axId val="343618304"/>
      </c:scatterChart>
      <c:valAx>
        <c:axId val="343467904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3618304"/>
        <c:crosses val="autoZero"/>
        <c:crossBetween val="midCat"/>
        <c:dispUnits>
          <c:builtInUnit val="millions"/>
        </c:dispUnits>
      </c:valAx>
      <c:valAx>
        <c:axId val="343618304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34346790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312019345.01750028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10219207.32487056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3488333.2246395759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193096548.23563734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7975868.0909795146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37332375.589627974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6272419.0706931856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30077004.13086943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062592"/>
        <c:axId val="344069632"/>
      </c:scatterChart>
      <c:valAx>
        <c:axId val="344062592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4069632"/>
        <c:crosses val="autoZero"/>
        <c:crossBetween val="midCat"/>
        <c:dispUnits>
          <c:builtInUnit val="millions"/>
        </c:dispUnits>
      </c:valAx>
      <c:valAx>
        <c:axId val="344069632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34406259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6590648.9000000004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3217873.9249121454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295296"/>
        <c:axId val="344314240"/>
      </c:scatterChart>
      <c:valAx>
        <c:axId val="3442952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4314240"/>
        <c:crosses val="autoZero"/>
        <c:crossBetween val="midCat"/>
        <c:dispUnits>
          <c:builtInUnit val="thousands"/>
        </c:dispUnits>
      </c:valAx>
      <c:valAx>
        <c:axId val="344314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42952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6590648.9000000004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8388098.5999999996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279087.0706775494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561152"/>
        <c:axId val="345669632"/>
      </c:scatterChart>
      <c:valAx>
        <c:axId val="344561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45669632"/>
        <c:crosses val="autoZero"/>
        <c:crossBetween val="midCat"/>
        <c:dispUnits>
          <c:builtInUnit val="thousands"/>
        </c:dispUnits>
      </c:valAx>
      <c:valAx>
        <c:axId val="345669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45611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88640"/>
        <c:axId val="336068992"/>
      </c:scatterChart>
      <c:valAx>
        <c:axId val="3458886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36068992"/>
        <c:crosses val="autoZero"/>
        <c:crossBetween val="midCat"/>
        <c:dispUnits>
          <c:builtInUnit val="thousands"/>
        </c:dispUnits>
      </c:valAx>
      <c:valAx>
        <c:axId val="336068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458886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300303.17113274895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119296"/>
        <c:axId val="336134144"/>
      </c:scatterChart>
      <c:valAx>
        <c:axId val="3361192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36134144"/>
        <c:crosses val="autoZero"/>
        <c:crossBetween val="midCat"/>
        <c:dispUnits>
          <c:builtInUnit val="thousands"/>
        </c:dispUnits>
      </c:valAx>
      <c:valAx>
        <c:axId val="33613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361192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511744"/>
        <c:axId val="338542976"/>
      </c:scatterChart>
      <c:valAx>
        <c:axId val="338511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38542976"/>
        <c:crosses val="autoZero"/>
        <c:crossBetween val="midCat"/>
        <c:dispUnits>
          <c:builtInUnit val="thousands"/>
        </c:dispUnits>
      </c:valAx>
      <c:valAx>
        <c:axId val="33854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385117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232"/>
        <c:axId val="338870272"/>
      </c:scatterChart>
      <c:valAx>
        <c:axId val="3388472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38870272"/>
        <c:crosses val="autoZero"/>
        <c:crossBetween val="midCat"/>
        <c:dispUnits>
          <c:builtInUnit val="thousands"/>
        </c:dispUnits>
      </c:valAx>
      <c:valAx>
        <c:axId val="338870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388472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990976"/>
        <c:axId val="339014016"/>
      </c:scatterChart>
      <c:valAx>
        <c:axId val="3389909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39014016"/>
        <c:crosses val="autoZero"/>
        <c:crossBetween val="midCat"/>
        <c:dispUnits>
          <c:builtInUnit val="thousands"/>
        </c:dispUnits>
      </c:valAx>
      <c:valAx>
        <c:axId val="339014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389909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9140.6147807429006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25760"/>
        <c:axId val="339136512"/>
      </c:scatterChart>
      <c:valAx>
        <c:axId val="3391257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39136512"/>
        <c:crosses val="autoZero"/>
        <c:crossBetween val="midCat"/>
        <c:dispUnits>
          <c:builtInUnit val="thousands"/>
        </c:dispUnits>
      </c:valAx>
      <c:valAx>
        <c:axId val="339136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391257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7548000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11988000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35975.386475934087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220352"/>
        <c:axId val="339251584"/>
      </c:scatterChart>
      <c:valAx>
        <c:axId val="3392203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39251584"/>
        <c:crosses val="autoZero"/>
        <c:crossBetween val="midCat"/>
        <c:dispUnits>
          <c:builtInUnit val="thousands"/>
        </c:dispUnits>
      </c:valAx>
      <c:valAx>
        <c:axId val="339251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392203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7548000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11988000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7548000.0000000009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3120.1549415380823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437056"/>
        <c:axId val="339451904"/>
      </c:scatterChart>
      <c:valAx>
        <c:axId val="3394370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39451904"/>
        <c:crosses val="autoZero"/>
        <c:crossBetween val="midCat"/>
        <c:dispUnits>
          <c:builtInUnit val="thousands"/>
        </c:dispUnits>
      </c:valAx>
      <c:valAx>
        <c:axId val="339451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3943705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1991416.1012136836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584128"/>
        <c:axId val="339586432"/>
      </c:scatterChart>
      <c:valAx>
        <c:axId val="3395841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39586432"/>
        <c:crosses val="autoZero"/>
        <c:crossBetween val="midCat"/>
        <c:dispUnits>
          <c:builtInUnit val="thousands"/>
        </c:dispUnits>
      </c:valAx>
      <c:valAx>
        <c:axId val="339586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395841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172716.05387802981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239296"/>
        <c:axId val="169241600"/>
      </c:scatterChart>
      <c:valAx>
        <c:axId val="1692392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69241600"/>
        <c:crosses val="autoZero"/>
        <c:crossBetween val="midCat"/>
        <c:dispUnits>
          <c:builtInUnit val="thousands"/>
        </c:dispUnits>
      </c:valAx>
      <c:valAx>
        <c:axId val="169241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692392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7975868.0909795146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385010.99333489314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284736"/>
        <c:axId val="169408000"/>
      </c:scatterChart>
      <c:valAx>
        <c:axId val="1692847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69408000"/>
        <c:crosses val="autoZero"/>
        <c:crossBetween val="midCat"/>
        <c:dispUnits>
          <c:builtInUnit val="thousands"/>
        </c:dispUnits>
      </c:valAx>
      <c:valAx>
        <c:axId val="169408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692847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7975868.0909795146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33392.106967466883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284352"/>
        <c:axId val="339286656"/>
      </c:scatterChart>
      <c:valAx>
        <c:axId val="3392843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39286656"/>
        <c:crosses val="autoZero"/>
        <c:crossBetween val="midCat"/>
        <c:dispUnits>
          <c:builtInUnit val="thousands"/>
        </c:dispUnits>
      </c:valAx>
      <c:valAx>
        <c:axId val="339286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392843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16448"/>
        <c:axId val="169818752"/>
      </c:scatterChart>
      <c:valAx>
        <c:axId val="1698164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69818752"/>
        <c:crosses val="autoZero"/>
        <c:crossBetween val="midCat"/>
        <c:dispUnits>
          <c:builtInUnit val="thousands"/>
        </c:dispUnits>
      </c:valAx>
      <c:valAx>
        <c:axId val="169818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698164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7922.3256312394515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1708.0983693981543</c:v>
                </c:pt>
                <c:pt idx="2">
                  <c:v>3388.5001289946958</c:v>
                </c:pt>
                <c:pt idx="3">
                  <c:v>5041.6364102456719</c:v>
                </c:pt>
                <c:pt idx="4">
                  <c:v>6667.9322238313034</c:v>
                </c:pt>
                <c:pt idx="5">
                  <c:v>8267.8065268909559</c:v>
                </c:pt>
                <c:pt idx="6">
                  <c:v>9841.6722902022302</c:v>
                </c:pt>
                <c:pt idx="7">
                  <c:v>11389.936565298587</c:v>
                </c:pt>
                <c:pt idx="8">
                  <c:v>12913.000551461242</c:v>
                </c:pt>
                <c:pt idx="9">
                  <c:v>14411.259662600234</c:v>
                </c:pt>
                <c:pt idx="10">
                  <c:v>15885.103593955748</c:v>
                </c:pt>
                <c:pt idx="11">
                  <c:v>17334.916388627142</c:v>
                </c:pt>
                <c:pt idx="12">
                  <c:v>18761.07650389336</c:v>
                </c:pt>
                <c:pt idx="13">
                  <c:v>20163.956877290271</c:v>
                </c:pt>
                <c:pt idx="14">
                  <c:v>21543.92499244865</c:v>
                </c:pt>
                <c:pt idx="15">
                  <c:v>22901.342944648117</c:v>
                </c:pt>
                <c:pt idx="16">
                  <c:v>24236.567506083287</c:v>
                </c:pt>
                <c:pt idx="17">
                  <c:v>25549.950190809555</c:v>
                </c:pt>
                <c:pt idx="18">
                  <c:v>26841.837319366634</c:v>
                </c:pt>
                <c:pt idx="19">
                  <c:v>28112.570083050989</c:v>
                </c:pt>
                <c:pt idx="20">
                  <c:v>29362.484607818536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5610.3927287058905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93888"/>
        <c:axId val="169896192"/>
      </c:scatterChart>
      <c:valAx>
        <c:axId val="169893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69896192"/>
        <c:crosses val="autoZero"/>
        <c:crossBetween val="midCat"/>
        <c:dispUnits>
          <c:builtInUnit val="thousands"/>
        </c:dispUnits>
      </c:valAx>
      <c:valAx>
        <c:axId val="169896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698938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057728"/>
        <c:axId val="170060032"/>
      </c:scatterChart>
      <c:valAx>
        <c:axId val="1700577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70060032"/>
        <c:crosses val="autoZero"/>
        <c:crossBetween val="midCat"/>
        <c:dispUnits>
          <c:builtInUnit val="thousands"/>
        </c:dispUnits>
      </c:valAx>
      <c:valAx>
        <c:axId val="17006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700577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196032"/>
        <c:axId val="173197952"/>
      </c:scatterChart>
      <c:valAx>
        <c:axId val="1731960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3197952"/>
        <c:crosses val="autoZero"/>
        <c:crossBetween val="midCat"/>
      </c:valAx>
      <c:valAx>
        <c:axId val="17319795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319603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73472"/>
        <c:axId val="173275392"/>
      </c:scatterChart>
      <c:valAx>
        <c:axId val="173273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3275392"/>
        <c:crosses val="autoZero"/>
        <c:crossBetween val="midCat"/>
      </c:valAx>
      <c:valAx>
        <c:axId val="1732753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327347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337216"/>
        <c:axId val="169179008"/>
      </c:scatterChart>
      <c:valAx>
        <c:axId val="1733372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179008"/>
        <c:crosses val="autoZero"/>
        <c:crossBetween val="midCat"/>
      </c:valAx>
      <c:valAx>
        <c:axId val="16917900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33372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86144"/>
        <c:axId val="173692800"/>
      </c:scatterChart>
      <c:valAx>
        <c:axId val="1736861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73692800"/>
        <c:crosses val="autoZero"/>
        <c:crossBetween val="midCat"/>
        <c:dispUnits>
          <c:builtInUnit val="millions"/>
        </c:dispUnits>
      </c:valAx>
      <c:valAx>
        <c:axId val="17369280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7368614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45720</xdr:colOff>
      <xdr:row>41</xdr:row>
      <xdr:rowOff>60960</xdr:rowOff>
    </xdr:from>
    <xdr:to>
      <xdr:col>17</xdr:col>
      <xdr:colOff>510540</xdr:colOff>
      <xdr:row>61</xdr:row>
      <xdr:rowOff>15240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45720</xdr:colOff>
      <xdr:row>61</xdr:row>
      <xdr:rowOff>76200</xdr:rowOff>
    </xdr:from>
    <xdr:to>
      <xdr:col>8</xdr:col>
      <xdr:colOff>472440</xdr:colOff>
      <xdr:row>80</xdr:row>
      <xdr:rowOff>83820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30480</xdr:colOff>
      <xdr:row>61</xdr:row>
      <xdr:rowOff>60960</xdr:rowOff>
    </xdr:from>
    <xdr:to>
      <xdr:col>17</xdr:col>
      <xdr:colOff>518160</xdr:colOff>
      <xdr:row>80</xdr:row>
      <xdr:rowOff>91440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F1" sqref="F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H22" workbookViewId="0">
      <selection activeCell="V37" sqref="V37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2:AL66"/>
  <sheetViews>
    <sheetView topLeftCell="A16" workbookViewId="0">
      <selection activeCell="A19" sqref="A19:XFD40"/>
    </sheetView>
  </sheetViews>
  <sheetFormatPr defaultRowHeight="14.4" x14ac:dyDescent="0.3"/>
  <cols>
    <col min="1" max="1" width="24.33203125" customWidth="1"/>
    <col min="2" max="2" width="18.6640625" customWidth="1"/>
    <col min="3" max="3" width="16.109375" customWidth="1"/>
    <col min="4" max="4" width="13.21875" customWidth="1"/>
    <col min="5" max="5" width="13.6640625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181" customFormat="1" x14ac:dyDescent="0.3"/>
    <row r="3" spans="1:9" s="181" customFormat="1" ht="43.2" x14ac:dyDescent="0.3">
      <c r="A3" s="169" t="s">
        <v>187</v>
      </c>
      <c r="B3" s="173">
        <v>11.53</v>
      </c>
    </row>
    <row r="4" spans="1:9" s="181" customFormat="1" x14ac:dyDescent="0.3"/>
    <row r="5" spans="1:9" x14ac:dyDescent="0.3">
      <c r="A5" s="159" t="s">
        <v>175</v>
      </c>
    </row>
    <row r="6" spans="1:9" s="178" customFormat="1" ht="45.6" customHeight="1" x14ac:dyDescent="0.3">
      <c r="D6" s="330" t="s">
        <v>191</v>
      </c>
      <c r="E6" s="330"/>
      <c r="F6" s="330" t="s">
        <v>183</v>
      </c>
      <c r="G6" s="330"/>
      <c r="H6" s="330"/>
      <c r="I6" s="330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x14ac:dyDescent="0.3">
      <c r="A14" s="155" t="s">
        <v>104</v>
      </c>
      <c r="B14" s="155" t="s">
        <v>171</v>
      </c>
      <c r="C14" s="161">
        <v>4782666</v>
      </c>
      <c r="D14" s="171">
        <v>608.11</v>
      </c>
      <c r="E14" s="165">
        <v>52.74</v>
      </c>
      <c r="F14" s="179">
        <v>1.8102092528193402E-3</v>
      </c>
      <c r="G14" s="177">
        <v>0.02</v>
      </c>
      <c r="H14" s="173" t="s">
        <v>185</v>
      </c>
      <c r="I14" s="174">
        <v>5165000</v>
      </c>
    </row>
    <row r="15" spans="1:9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0.15</v>
      </c>
      <c r="H15" s="167" t="s">
        <v>184</v>
      </c>
      <c r="I15" s="174">
        <v>14649000</v>
      </c>
    </row>
    <row r="16" spans="1:9" x14ac:dyDescent="0.3">
      <c r="A16" s="164" t="s">
        <v>178</v>
      </c>
      <c r="B16" s="164"/>
      <c r="C16" s="160">
        <f>SUM(C8:C15)</f>
        <v>81102300</v>
      </c>
      <c r="D16" s="180"/>
      <c r="E16" s="180"/>
      <c r="F16" s="180"/>
      <c r="G16" s="180"/>
      <c r="H16" s="180"/>
      <c r="I16" s="180"/>
    </row>
    <row r="19" spans="1:38" ht="15" thickBot="1" x14ac:dyDescent="0.35">
      <c r="A19" s="159" t="s">
        <v>192</v>
      </c>
    </row>
    <row r="20" spans="1:38" ht="15" thickTop="1" x14ac:dyDescent="0.3">
      <c r="A20" s="189" t="s">
        <v>193</v>
      </c>
      <c r="B20" s="187"/>
      <c r="C20" s="331" t="s">
        <v>194</v>
      </c>
      <c r="D20" s="331"/>
      <c r="E20" s="331"/>
      <c r="F20" s="331" t="s">
        <v>195</v>
      </c>
      <c r="G20" s="331"/>
      <c r="H20" s="331"/>
      <c r="I20" s="331" t="s">
        <v>196</v>
      </c>
      <c r="J20" s="331"/>
      <c r="K20" s="192" t="s">
        <v>197</v>
      </c>
      <c r="L20" s="187"/>
      <c r="M20" s="189" t="s">
        <v>198</v>
      </c>
      <c r="N20" s="187"/>
      <c r="O20" s="331" t="s">
        <v>194</v>
      </c>
      <c r="P20" s="331"/>
      <c r="Q20" s="331"/>
      <c r="R20" s="331" t="s">
        <v>195</v>
      </c>
      <c r="S20" s="331"/>
      <c r="T20" s="331"/>
      <c r="U20" s="331" t="s">
        <v>196</v>
      </c>
      <c r="V20" s="331"/>
      <c r="W20" s="192" t="s">
        <v>197</v>
      </c>
      <c r="X20" s="187"/>
      <c r="Y20" s="189" t="s">
        <v>199</v>
      </c>
      <c r="Z20" s="187"/>
      <c r="AA20" s="320" t="s">
        <v>200</v>
      </c>
      <c r="AB20" s="321"/>
      <c r="AC20" s="322"/>
      <c r="AD20" s="320" t="s">
        <v>201</v>
      </c>
      <c r="AE20" s="322"/>
      <c r="AF20" s="212"/>
      <c r="AG20" s="323" t="s">
        <v>202</v>
      </c>
      <c r="AH20" s="324"/>
      <c r="AI20" s="324"/>
      <c r="AJ20" s="324"/>
      <c r="AK20" s="324"/>
      <c r="AL20" s="325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3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26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3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27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3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27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3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27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3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27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3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27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3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27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3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27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" thickBot="1" x14ac:dyDescent="0.35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28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" thickTop="1" x14ac:dyDescent="0.3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29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3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27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3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27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3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27"/>
      <c r="Z34" s="262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3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27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3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27"/>
      <c r="Z36" s="262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3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27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3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27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" thickBot="1" x14ac:dyDescent="0.35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28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3">
      <c r="A42" s="159" t="s">
        <v>222</v>
      </c>
    </row>
    <row r="43" spans="1:38" x14ac:dyDescent="0.3">
      <c r="A43" s="253" t="s">
        <v>223</v>
      </c>
      <c r="B43" s="248"/>
      <c r="C43" s="248"/>
      <c r="D43" s="248"/>
      <c r="E43" s="248"/>
      <c r="F43" s="248"/>
    </row>
    <row r="44" spans="1:38" ht="41.4" x14ac:dyDescent="0.3">
      <c r="A44" s="257" t="s">
        <v>224</v>
      </c>
      <c r="B44" s="249" t="s">
        <v>225</v>
      </c>
      <c r="C44" s="249" t="s">
        <v>226</v>
      </c>
      <c r="D44" s="249" t="s">
        <v>227</v>
      </c>
      <c r="E44" s="249" t="s">
        <v>228</v>
      </c>
      <c r="F44" s="249" t="s">
        <v>229</v>
      </c>
    </row>
    <row r="45" spans="1:38" x14ac:dyDescent="0.3">
      <c r="A45" s="258" t="s">
        <v>230</v>
      </c>
      <c r="B45" s="250">
        <v>1485207</v>
      </c>
      <c r="C45" s="250">
        <v>5940828</v>
      </c>
      <c r="D45" s="250">
        <v>5111928</v>
      </c>
      <c r="E45" s="250">
        <v>-828900</v>
      </c>
      <c r="F45" s="252">
        <v>-0.13952600546590474</v>
      </c>
    </row>
    <row r="46" spans="1:38" x14ac:dyDescent="0.3">
      <c r="A46" s="258" t="s">
        <v>231</v>
      </c>
      <c r="B46" s="250">
        <v>7509116</v>
      </c>
      <c r="C46" s="250">
        <v>30036464</v>
      </c>
      <c r="D46" s="250">
        <v>40058044</v>
      </c>
      <c r="E46" s="250">
        <v>10021580</v>
      </c>
      <c r="F46" s="252">
        <v>0.33364712970208477</v>
      </c>
    </row>
    <row r="47" spans="1:38" x14ac:dyDescent="0.3">
      <c r="A47" s="261" t="s">
        <v>232</v>
      </c>
      <c r="B47" s="250">
        <v>13463006</v>
      </c>
      <c r="C47" s="250">
        <v>53852024</v>
      </c>
      <c r="D47" s="250">
        <v>25228000</v>
      </c>
      <c r="E47" s="250">
        <v>-28624024</v>
      </c>
      <c r="F47" s="252">
        <v>-0.53153107114414122</v>
      </c>
      <c r="G47" t="s">
        <v>108</v>
      </c>
    </row>
    <row r="48" spans="1:38" x14ac:dyDescent="0.3">
      <c r="A48" s="261" t="s">
        <v>233</v>
      </c>
      <c r="B48" s="250">
        <v>865260</v>
      </c>
      <c r="C48" s="250">
        <v>3461040</v>
      </c>
      <c r="D48" s="250">
        <v>7242494</v>
      </c>
      <c r="E48" s="250">
        <v>3781454</v>
      </c>
      <c r="F48" s="252">
        <v>1.0925773755865289</v>
      </c>
      <c r="G48" t="s">
        <v>96</v>
      </c>
    </row>
    <row r="49" spans="1:7" x14ac:dyDescent="0.3">
      <c r="A49" s="258" t="s">
        <v>234</v>
      </c>
      <c r="B49" s="250">
        <v>0</v>
      </c>
      <c r="C49" s="250">
        <v>0</v>
      </c>
      <c r="D49" s="250">
        <v>0</v>
      </c>
      <c r="E49" s="250">
        <v>0</v>
      </c>
      <c r="F49" s="252"/>
    </row>
    <row r="50" spans="1:7" x14ac:dyDescent="0.3">
      <c r="A50" s="261" t="s">
        <v>235</v>
      </c>
      <c r="B50" s="250">
        <v>1852637</v>
      </c>
      <c r="C50" s="250">
        <v>7410548</v>
      </c>
      <c r="D50" s="250">
        <v>5155000</v>
      </c>
      <c r="E50" s="250">
        <v>-2255548</v>
      </c>
      <c r="F50" s="252">
        <v>-0.30436993323570671</v>
      </c>
      <c r="G50" t="s">
        <v>94</v>
      </c>
    </row>
    <row r="51" spans="1:7" x14ac:dyDescent="0.3">
      <c r="A51" s="261" t="s">
        <v>236</v>
      </c>
      <c r="B51" s="250">
        <v>1987601</v>
      </c>
      <c r="C51" s="250">
        <v>7950404</v>
      </c>
      <c r="D51" s="250">
        <v>7077000</v>
      </c>
      <c r="E51" s="250">
        <v>-873404</v>
      </c>
      <c r="F51" s="252">
        <v>-0.10985655571716858</v>
      </c>
      <c r="G51" t="s">
        <v>95</v>
      </c>
    </row>
    <row r="52" spans="1:7" x14ac:dyDescent="0.3">
      <c r="A52" s="261" t="s">
        <v>237</v>
      </c>
      <c r="B52" s="250">
        <v>7817443</v>
      </c>
      <c r="C52" s="250">
        <v>31269772</v>
      </c>
      <c r="D52" s="250">
        <v>21601934</v>
      </c>
      <c r="E52" s="250">
        <v>-9667838</v>
      </c>
      <c r="F52" s="252">
        <v>-0.30917519961450313</v>
      </c>
      <c r="G52" t="s">
        <v>93</v>
      </c>
    </row>
    <row r="53" spans="1:7" x14ac:dyDescent="0.3">
      <c r="A53" s="258" t="s">
        <v>238</v>
      </c>
      <c r="B53" s="250">
        <v>146598</v>
      </c>
      <c r="C53" s="250">
        <v>586392</v>
      </c>
      <c r="D53" s="250">
        <v>0</v>
      </c>
      <c r="E53" s="250">
        <v>-586392</v>
      </c>
      <c r="F53" s="252">
        <v>-1</v>
      </c>
    </row>
    <row r="54" spans="1:7" ht="15" thickBot="1" x14ac:dyDescent="0.35">
      <c r="A54" s="259" t="s">
        <v>103</v>
      </c>
      <c r="B54" s="251">
        <v>35126868</v>
      </c>
      <c r="C54" s="254">
        <v>140507472</v>
      </c>
      <c r="D54" s="254">
        <v>111474400</v>
      </c>
      <c r="E54" s="254">
        <v>-29033072</v>
      </c>
      <c r="F54" s="255">
        <v>-0.20663009295334842</v>
      </c>
      <c r="G54" s="300">
        <f>C47+C48+C50+C51+C52</f>
        <v>103943788</v>
      </c>
    </row>
    <row r="55" spans="1:7" ht="15" thickTop="1" x14ac:dyDescent="0.3">
      <c r="A55" s="260"/>
      <c r="B55" s="248"/>
      <c r="C55" s="248"/>
      <c r="D55" s="248"/>
      <c r="E55" s="248"/>
      <c r="F55" s="248"/>
    </row>
    <row r="56" spans="1:7" ht="41.4" x14ac:dyDescent="0.3">
      <c r="A56" s="257" t="s">
        <v>224</v>
      </c>
      <c r="B56" s="249" t="s">
        <v>225</v>
      </c>
      <c r="C56" s="249" t="s">
        <v>226</v>
      </c>
      <c r="D56" s="249" t="s">
        <v>227</v>
      </c>
      <c r="E56" s="249" t="s">
        <v>228</v>
      </c>
      <c r="F56" s="249" t="s">
        <v>229</v>
      </c>
    </row>
    <row r="57" spans="1:7" x14ac:dyDescent="0.3">
      <c r="A57" s="258" t="s">
        <v>230</v>
      </c>
      <c r="B57" s="250">
        <v>1485207</v>
      </c>
      <c r="C57" s="252">
        <v>4.2281224730881216E-2</v>
      </c>
      <c r="D57" s="252">
        <v>4.5857416590714996E-2</v>
      </c>
      <c r="E57" s="252">
        <v>3.57619185983378E-3</v>
      </c>
      <c r="F57" s="252">
        <v>8.4581084928266353E-2</v>
      </c>
    </row>
    <row r="58" spans="1:7" x14ac:dyDescent="0.3">
      <c r="A58" s="258" t="s">
        <v>231</v>
      </c>
      <c r="B58" s="250">
        <v>7509116</v>
      </c>
      <c r="C58" s="252">
        <v>0.21377129324481761</v>
      </c>
      <c r="D58" s="252">
        <v>0.35934747350064228</v>
      </c>
      <c r="E58" s="252">
        <v>0.14557618025582467</v>
      </c>
      <c r="F58" s="252">
        <v>0.68099031467759441</v>
      </c>
    </row>
    <row r="59" spans="1:7" x14ac:dyDescent="0.3">
      <c r="A59" s="261" t="s">
        <v>232</v>
      </c>
      <c r="B59" s="250">
        <v>13463006</v>
      </c>
      <c r="C59" s="252">
        <v>0.38326804427881245</v>
      </c>
      <c r="D59" s="252">
        <v>0.22631205012092462</v>
      </c>
      <c r="E59" s="252">
        <v>-0.15695599415788783</v>
      </c>
      <c r="F59" s="252">
        <v>-0.40952016871959329</v>
      </c>
      <c r="G59" s="248" t="s">
        <v>108</v>
      </c>
    </row>
    <row r="60" spans="1:7" x14ac:dyDescent="0.3">
      <c r="A60" s="261" t="s">
        <v>233</v>
      </c>
      <c r="B60" s="250">
        <v>865260</v>
      </c>
      <c r="C60" s="252">
        <v>2.4632426665537048E-2</v>
      </c>
      <c r="D60" s="252">
        <v>6.4970020022534325E-2</v>
      </c>
      <c r="E60" s="252">
        <v>4.0337593356997277E-2</v>
      </c>
      <c r="F60" s="252">
        <v>1.6375809783058504</v>
      </c>
      <c r="G60" s="248" t="s">
        <v>96</v>
      </c>
    </row>
    <row r="61" spans="1:7" x14ac:dyDescent="0.3">
      <c r="A61" s="258" t="s">
        <v>234</v>
      </c>
      <c r="B61" s="250">
        <v>0</v>
      </c>
      <c r="C61" s="252">
        <v>0</v>
      </c>
      <c r="D61" s="252">
        <v>0</v>
      </c>
      <c r="E61" s="252">
        <v>0</v>
      </c>
      <c r="F61" s="252"/>
      <c r="G61" s="248"/>
    </row>
    <row r="62" spans="1:7" x14ac:dyDescent="0.3">
      <c r="A62" s="261" t="s">
        <v>235</v>
      </c>
      <c r="B62" s="250">
        <v>1852637</v>
      </c>
      <c r="C62" s="252">
        <v>5.2741309017359586E-2</v>
      </c>
      <c r="D62" s="252">
        <v>4.6243801267376185E-2</v>
      </c>
      <c r="E62" s="252">
        <v>-6.4975077499834014E-3</v>
      </c>
      <c r="F62" s="252">
        <v>-0.12319579985860368</v>
      </c>
      <c r="G62" s="248" t="s">
        <v>94</v>
      </c>
    </row>
    <row r="63" spans="1:7" x14ac:dyDescent="0.3">
      <c r="A63" s="261" t="s">
        <v>236</v>
      </c>
      <c r="B63" s="250">
        <v>1987601</v>
      </c>
      <c r="C63" s="252">
        <v>5.6583496143180201E-2</v>
      </c>
      <c r="D63" s="252">
        <v>6.3485428044465816E-2</v>
      </c>
      <c r="E63" s="252">
        <v>6.9019319012856156E-3</v>
      </c>
      <c r="F63" s="252">
        <v>0.12197782695895648</v>
      </c>
      <c r="G63" s="248" t="s">
        <v>95</v>
      </c>
    </row>
    <row r="64" spans="1:7" x14ac:dyDescent="0.3">
      <c r="A64" s="261" t="s">
        <v>237</v>
      </c>
      <c r="B64" s="250">
        <v>7817443</v>
      </c>
      <c r="C64" s="252">
        <v>0.2225488193254235</v>
      </c>
      <c r="D64" s="252">
        <v>0.19378381045334175</v>
      </c>
      <c r="E64" s="252">
        <v>-2.8765008872081749E-2</v>
      </c>
      <c r="F64" s="252">
        <v>-0.12925257909375795</v>
      </c>
      <c r="G64" s="248" t="s">
        <v>93</v>
      </c>
    </row>
    <row r="65" spans="1:6" x14ac:dyDescent="0.3">
      <c r="A65" s="258" t="s">
        <v>238</v>
      </c>
      <c r="B65" s="250">
        <v>146598</v>
      </c>
      <c r="C65" s="252">
        <v>4.1733865939883969E-3</v>
      </c>
      <c r="D65" s="252">
        <v>0</v>
      </c>
      <c r="E65" s="252">
        <v>-4.1733865939883969E-3</v>
      </c>
      <c r="F65" s="252">
        <v>-1</v>
      </c>
    </row>
    <row r="66" spans="1:6" ht="15" thickBot="1" x14ac:dyDescent="0.35">
      <c r="A66" s="259" t="s">
        <v>103</v>
      </c>
      <c r="B66" s="251">
        <v>35126868</v>
      </c>
      <c r="C66" s="255">
        <v>1</v>
      </c>
      <c r="D66" s="255">
        <v>1</v>
      </c>
      <c r="E66" s="255">
        <v>0</v>
      </c>
      <c r="F66" s="255">
        <v>0</v>
      </c>
    </row>
  </sheetData>
  <mergeCells count="13">
    <mergeCell ref="D6:E6"/>
    <mergeCell ref="F6:I6"/>
    <mergeCell ref="U20:V20"/>
    <mergeCell ref="C20:E20"/>
    <mergeCell ref="F20:H20"/>
    <mergeCell ref="I20:J20"/>
    <mergeCell ref="O20:Q20"/>
    <mergeCell ref="R20:T20"/>
    <mergeCell ref="AA20:AC20"/>
    <mergeCell ref="AD20:AE20"/>
    <mergeCell ref="AG20:AL20"/>
    <mergeCell ref="Y22:Y30"/>
    <mergeCell ref="Y31:Y3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2:AL37"/>
  <sheetViews>
    <sheetView topLeftCell="A16" workbookViewId="0">
      <selection activeCell="C36" sqref="C36"/>
    </sheetView>
  </sheetViews>
  <sheetFormatPr defaultRowHeight="14.4" x14ac:dyDescent="0.3"/>
  <cols>
    <col min="1" max="1" width="23.109375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6" max="6" width="14" customWidth="1"/>
    <col min="7" max="7" width="11.88671875" customWidth="1"/>
    <col min="14" max="14" width="19.5546875" customWidth="1"/>
  </cols>
  <sheetData>
    <row r="2" spans="1:38" s="248" customFormat="1" ht="15" thickBot="1" x14ac:dyDescent="0.35">
      <c r="A2" s="159" t="s">
        <v>192</v>
      </c>
    </row>
    <row r="3" spans="1:38" s="248" customFormat="1" ht="15" thickTop="1" x14ac:dyDescent="0.3">
      <c r="A3" s="253" t="s">
        <v>193</v>
      </c>
      <c r="C3" s="331" t="s">
        <v>194</v>
      </c>
      <c r="D3" s="331"/>
      <c r="E3" s="331"/>
      <c r="F3" s="331" t="s">
        <v>195</v>
      </c>
      <c r="G3" s="331"/>
      <c r="H3" s="331"/>
      <c r="I3" s="331" t="s">
        <v>196</v>
      </c>
      <c r="J3" s="331"/>
      <c r="K3" s="192" t="s">
        <v>197</v>
      </c>
      <c r="M3" s="253" t="s">
        <v>198</v>
      </c>
      <c r="O3" s="331" t="s">
        <v>194</v>
      </c>
      <c r="P3" s="331"/>
      <c r="Q3" s="331"/>
      <c r="R3" s="331" t="s">
        <v>195</v>
      </c>
      <c r="S3" s="331"/>
      <c r="T3" s="331"/>
      <c r="U3" s="331" t="s">
        <v>196</v>
      </c>
      <c r="V3" s="331"/>
      <c r="W3" s="192" t="s">
        <v>197</v>
      </c>
      <c r="Y3" s="253" t="s">
        <v>199</v>
      </c>
      <c r="AA3" s="320" t="s">
        <v>200</v>
      </c>
      <c r="AB3" s="321"/>
      <c r="AC3" s="322"/>
      <c r="AD3" s="320" t="s">
        <v>201</v>
      </c>
      <c r="AE3" s="322"/>
      <c r="AF3" s="212"/>
      <c r="AG3" s="323" t="s">
        <v>202</v>
      </c>
      <c r="AH3" s="324"/>
      <c r="AI3" s="324"/>
      <c r="AJ3" s="324"/>
      <c r="AK3" s="324"/>
      <c r="AL3" s="325"/>
    </row>
    <row r="4" spans="1:38" s="248" customFormat="1" ht="27.6" x14ac:dyDescent="0.3">
      <c r="A4" s="194" t="s">
        <v>203</v>
      </c>
      <c r="B4" s="193" t="s">
        <v>3</v>
      </c>
      <c r="C4" s="194" t="s">
        <v>204</v>
      </c>
      <c r="D4" s="194" t="s">
        <v>205</v>
      </c>
      <c r="E4" s="194" t="s">
        <v>206</v>
      </c>
      <c r="F4" s="194" t="s">
        <v>207</v>
      </c>
      <c r="G4" s="194" t="s">
        <v>208</v>
      </c>
      <c r="H4" s="194" t="s">
        <v>209</v>
      </c>
      <c r="I4" s="194" t="s">
        <v>210</v>
      </c>
      <c r="J4" s="194" t="s">
        <v>211</v>
      </c>
      <c r="K4" s="194" t="s">
        <v>212</v>
      </c>
      <c r="M4" s="194" t="s">
        <v>203</v>
      </c>
      <c r="N4" s="193" t="s">
        <v>3</v>
      </c>
      <c r="O4" s="194" t="s">
        <v>204</v>
      </c>
      <c r="P4" s="194" t="s">
        <v>205</v>
      </c>
      <c r="Q4" s="194" t="s">
        <v>206</v>
      </c>
      <c r="R4" s="194" t="s">
        <v>207</v>
      </c>
      <c r="S4" s="194" t="s">
        <v>208</v>
      </c>
      <c r="T4" s="194" t="s">
        <v>209</v>
      </c>
      <c r="U4" s="194" t="s">
        <v>210</v>
      </c>
      <c r="V4" s="194" t="s">
        <v>211</v>
      </c>
      <c r="W4" s="194" t="s">
        <v>212</v>
      </c>
      <c r="Y4" s="194" t="s">
        <v>203</v>
      </c>
      <c r="Z4" s="214" t="s">
        <v>3</v>
      </c>
      <c r="AA4" s="209" t="s">
        <v>204</v>
      </c>
      <c r="AB4" s="194" t="s">
        <v>205</v>
      </c>
      <c r="AC4" s="208" t="s">
        <v>206</v>
      </c>
      <c r="AD4" s="209" t="s">
        <v>207</v>
      </c>
      <c r="AE4" s="208" t="s">
        <v>208</v>
      </c>
      <c r="AF4" s="213"/>
      <c r="AG4" s="209" t="s">
        <v>204</v>
      </c>
      <c r="AH4" s="194" t="s">
        <v>205</v>
      </c>
      <c r="AI4" s="194" t="s">
        <v>206</v>
      </c>
      <c r="AJ4" s="194" t="s">
        <v>207</v>
      </c>
      <c r="AK4" s="194" t="s">
        <v>208</v>
      </c>
      <c r="AL4" s="208" t="s">
        <v>210</v>
      </c>
    </row>
    <row r="5" spans="1:38" s="248" customFormat="1" x14ac:dyDescent="0.3">
      <c r="A5" s="199">
        <v>2011</v>
      </c>
      <c r="B5" s="198" t="s">
        <v>213</v>
      </c>
      <c r="C5" s="202">
        <v>202929</v>
      </c>
      <c r="D5" s="202">
        <v>156047</v>
      </c>
      <c r="E5" s="202">
        <v>183545</v>
      </c>
      <c r="F5" s="202">
        <v>105723</v>
      </c>
      <c r="G5" s="202">
        <v>130317</v>
      </c>
      <c r="H5" s="202">
        <v>0</v>
      </c>
      <c r="I5" s="202">
        <v>218771</v>
      </c>
      <c r="J5" s="202">
        <v>99148</v>
      </c>
      <c r="K5" s="202">
        <v>149552</v>
      </c>
      <c r="M5" s="199">
        <v>2011</v>
      </c>
      <c r="N5" s="198" t="s">
        <v>213</v>
      </c>
      <c r="O5" s="191"/>
      <c r="P5" s="191"/>
      <c r="Q5" s="191"/>
      <c r="R5" s="191"/>
      <c r="S5" s="191"/>
      <c r="T5" s="191"/>
      <c r="U5" s="191"/>
      <c r="V5" s="191"/>
      <c r="W5" s="191"/>
      <c r="Y5" s="326">
        <v>2011</v>
      </c>
      <c r="Z5" s="233" t="s">
        <v>213</v>
      </c>
      <c r="AA5" s="243">
        <v>0.37404819352614921</v>
      </c>
      <c r="AB5" s="234">
        <v>0.28763310544660942</v>
      </c>
      <c r="AC5" s="235">
        <v>0.33831870102724132</v>
      </c>
      <c r="AD5" s="243">
        <v>0.44790289781392983</v>
      </c>
      <c r="AE5" s="235">
        <v>0.55209710218607011</v>
      </c>
      <c r="AF5" s="210"/>
      <c r="AG5" s="243">
        <v>0.16286018336607727</v>
      </c>
      <c r="AH5" s="236">
        <v>0.12523514644888734</v>
      </c>
      <c r="AI5" s="236">
        <v>0.14730360054958461</v>
      </c>
      <c r="AJ5" s="245">
        <v>8.4847740667976429E-2</v>
      </c>
      <c r="AK5" s="236">
        <v>0.10458559651758542</v>
      </c>
      <c r="AL5" s="237">
        <v>0</v>
      </c>
    </row>
    <row r="6" spans="1:38" s="248" customFormat="1" x14ac:dyDescent="0.3">
      <c r="A6" s="188">
        <v>2011</v>
      </c>
      <c r="B6" s="190" t="s">
        <v>214</v>
      </c>
      <c r="C6" s="191">
        <v>113817</v>
      </c>
      <c r="D6" s="191">
        <v>96852</v>
      </c>
      <c r="E6" s="191">
        <v>111249</v>
      </c>
      <c r="F6" s="191">
        <v>67138</v>
      </c>
      <c r="G6" s="191">
        <v>84849</v>
      </c>
      <c r="H6" s="191">
        <v>0</v>
      </c>
      <c r="I6" s="191">
        <v>125031</v>
      </c>
      <c r="J6" s="191">
        <v>65362</v>
      </c>
      <c r="K6" s="191">
        <v>99248</v>
      </c>
      <c r="M6" s="188">
        <v>2011</v>
      </c>
      <c r="N6" s="190" t="s">
        <v>214</v>
      </c>
      <c r="O6" s="191"/>
      <c r="P6" s="191"/>
      <c r="Q6" s="191"/>
      <c r="R6" s="191"/>
      <c r="S6" s="191"/>
      <c r="T6" s="191"/>
      <c r="U6" s="191"/>
      <c r="V6" s="191"/>
      <c r="W6" s="191"/>
      <c r="Y6" s="327"/>
      <c r="Z6" s="215" t="s">
        <v>214</v>
      </c>
      <c r="AA6" s="217">
        <v>0.35355898085847948</v>
      </c>
      <c r="AB6" s="218">
        <v>0.30085922502003615</v>
      </c>
      <c r="AC6" s="219">
        <v>0.34558179412148438</v>
      </c>
      <c r="AD6" s="217">
        <v>0.4417351484008501</v>
      </c>
      <c r="AE6" s="219">
        <v>0.55826485159914996</v>
      </c>
      <c r="AF6" s="211"/>
      <c r="AG6" s="225">
        <v>0.14906371063432983</v>
      </c>
      <c r="AH6" s="229">
        <v>0.12684500999284914</v>
      </c>
      <c r="AI6" s="229">
        <v>0.14570045550628252</v>
      </c>
      <c r="AJ6" s="229">
        <v>8.792921448085643E-2</v>
      </c>
      <c r="AK6" s="229">
        <v>0.11112493549831969</v>
      </c>
      <c r="AL6" s="226">
        <v>0</v>
      </c>
    </row>
    <row r="7" spans="1:38" s="248" customFormat="1" x14ac:dyDescent="0.3">
      <c r="A7" s="188">
        <v>2011</v>
      </c>
      <c r="B7" s="190" t="s">
        <v>215</v>
      </c>
      <c r="C7" s="191">
        <v>1179</v>
      </c>
      <c r="D7" s="191">
        <v>899</v>
      </c>
      <c r="E7" s="191">
        <v>1116</v>
      </c>
      <c r="F7" s="191">
        <v>750</v>
      </c>
      <c r="G7" s="191">
        <v>887</v>
      </c>
      <c r="H7" s="191">
        <v>0</v>
      </c>
      <c r="I7" s="191">
        <v>1138</v>
      </c>
      <c r="J7" s="191">
        <v>598</v>
      </c>
      <c r="K7" s="191">
        <v>909</v>
      </c>
      <c r="M7" s="188">
        <v>2011</v>
      </c>
      <c r="N7" s="190" t="s">
        <v>215</v>
      </c>
      <c r="O7" s="191"/>
      <c r="P7" s="191"/>
      <c r="Q7" s="191"/>
      <c r="R7" s="191"/>
      <c r="S7" s="191"/>
      <c r="T7" s="191"/>
      <c r="U7" s="191"/>
      <c r="V7" s="191"/>
      <c r="W7" s="191"/>
      <c r="Y7" s="327"/>
      <c r="Z7" s="215" t="s">
        <v>215</v>
      </c>
      <c r="AA7" s="217">
        <v>0.36912961803381339</v>
      </c>
      <c r="AB7" s="218">
        <v>0.28146524733876016</v>
      </c>
      <c r="AC7" s="219">
        <v>0.34940513462742645</v>
      </c>
      <c r="AD7" s="217">
        <v>0.45815516188149052</v>
      </c>
      <c r="AE7" s="219">
        <v>0.54184483811850948</v>
      </c>
      <c r="AF7" s="211"/>
      <c r="AG7" s="225">
        <v>0.15770465489566612</v>
      </c>
      <c r="AH7" s="229">
        <v>0.12025147137506688</v>
      </c>
      <c r="AI7" s="229">
        <v>0.1492776886035313</v>
      </c>
      <c r="AJ7" s="229">
        <v>0.10032102728731943</v>
      </c>
      <c r="AK7" s="229">
        <v>0.11864633493846977</v>
      </c>
      <c r="AL7" s="226">
        <v>0</v>
      </c>
    </row>
    <row r="8" spans="1:38" s="248" customFormat="1" x14ac:dyDescent="0.3">
      <c r="A8" s="188">
        <v>2011</v>
      </c>
      <c r="B8" s="190" t="s">
        <v>216</v>
      </c>
      <c r="C8" s="191">
        <v>45980</v>
      </c>
      <c r="D8" s="191">
        <v>25190</v>
      </c>
      <c r="E8" s="191">
        <v>37421</v>
      </c>
      <c r="F8" s="191">
        <v>31623</v>
      </c>
      <c r="G8" s="191">
        <v>31073</v>
      </c>
      <c r="H8" s="191">
        <v>0</v>
      </c>
      <c r="I8" s="191">
        <v>35420</v>
      </c>
      <c r="J8" s="191">
        <v>19333</v>
      </c>
      <c r="K8" s="191">
        <v>38677</v>
      </c>
      <c r="M8" s="188">
        <v>2011</v>
      </c>
      <c r="N8" s="190" t="s">
        <v>216</v>
      </c>
      <c r="O8" s="191"/>
      <c r="P8" s="191"/>
      <c r="Q8" s="191"/>
      <c r="R8" s="191"/>
      <c r="S8" s="191"/>
      <c r="T8" s="191"/>
      <c r="U8" s="191"/>
      <c r="V8" s="191"/>
      <c r="W8" s="191"/>
      <c r="Y8" s="327"/>
      <c r="Z8" s="215" t="s">
        <v>216</v>
      </c>
      <c r="AA8" s="217">
        <v>0.42342367231170169</v>
      </c>
      <c r="AB8" s="218">
        <v>0.23197134200808539</v>
      </c>
      <c r="AC8" s="219">
        <v>0.34460498568021292</v>
      </c>
      <c r="AD8" s="217">
        <v>0.50438624473650628</v>
      </c>
      <c r="AE8" s="219">
        <v>0.49561375526349366</v>
      </c>
      <c r="AF8" s="211"/>
      <c r="AG8" s="225">
        <v>0.17369492703528674</v>
      </c>
      <c r="AH8" s="229">
        <v>9.5158225576747996E-2</v>
      </c>
      <c r="AI8" s="229">
        <v>0.14136228500625195</v>
      </c>
      <c r="AJ8" s="229">
        <v>0.11945964936139349</v>
      </c>
      <c r="AK8" s="229">
        <v>0.11738195884661733</v>
      </c>
      <c r="AL8" s="226">
        <v>0</v>
      </c>
    </row>
    <row r="9" spans="1:38" s="248" customFormat="1" x14ac:dyDescent="0.3">
      <c r="A9" s="188">
        <v>2011</v>
      </c>
      <c r="B9" s="190" t="s">
        <v>217</v>
      </c>
      <c r="C9" s="191">
        <v>29878</v>
      </c>
      <c r="D9" s="191">
        <v>1</v>
      </c>
      <c r="E9" s="191">
        <v>22592</v>
      </c>
      <c r="F9" s="191">
        <v>0</v>
      </c>
      <c r="G9" s="191">
        <v>32</v>
      </c>
      <c r="H9" s="191">
        <v>0</v>
      </c>
      <c r="I9" s="191">
        <v>15377</v>
      </c>
      <c r="J9" s="191">
        <v>2</v>
      </c>
      <c r="K9" s="191">
        <v>21</v>
      </c>
      <c r="M9" s="188">
        <v>2011</v>
      </c>
      <c r="N9" s="190" t="s">
        <v>217</v>
      </c>
      <c r="O9" s="191"/>
      <c r="P9" s="191"/>
      <c r="Q9" s="191"/>
      <c r="R9" s="191"/>
      <c r="S9" s="191"/>
      <c r="T9" s="191"/>
      <c r="U9" s="191"/>
      <c r="V9" s="191"/>
      <c r="W9" s="191"/>
      <c r="Y9" s="327"/>
      <c r="Z9" s="215" t="s">
        <v>217</v>
      </c>
      <c r="AA9" s="217">
        <v>0.56941929827904936</v>
      </c>
      <c r="AB9" s="218">
        <v>1.9058146404680682E-5</v>
      </c>
      <c r="AC9" s="219">
        <v>0.43056164357454596</v>
      </c>
      <c r="AD9" s="217">
        <v>0</v>
      </c>
      <c r="AE9" s="219">
        <v>1</v>
      </c>
      <c r="AF9" s="211"/>
      <c r="AG9" s="225">
        <v>0.44001001428508313</v>
      </c>
      <c r="AH9" s="229">
        <v>1.4726889828137195E-5</v>
      </c>
      <c r="AI9" s="229">
        <v>0.33270989499727555</v>
      </c>
      <c r="AJ9" s="229">
        <v>0</v>
      </c>
      <c r="AK9" s="229">
        <v>4.7126047450039024E-4</v>
      </c>
      <c r="AL9" s="226">
        <v>0</v>
      </c>
    </row>
    <row r="10" spans="1:38" s="248" customFormat="1" x14ac:dyDescent="0.3">
      <c r="A10" s="188">
        <v>2011</v>
      </c>
      <c r="B10" s="190" t="s">
        <v>218</v>
      </c>
      <c r="C10" s="191">
        <v>8099</v>
      </c>
      <c r="D10" s="191">
        <v>13884</v>
      </c>
      <c r="E10" s="191">
        <v>6553</v>
      </c>
      <c r="F10" s="191">
        <v>4193</v>
      </c>
      <c r="G10" s="191">
        <v>9436</v>
      </c>
      <c r="H10" s="191">
        <v>0</v>
      </c>
      <c r="I10" s="191">
        <v>25024</v>
      </c>
      <c r="J10" s="191">
        <v>9966</v>
      </c>
      <c r="K10" s="191">
        <v>8297</v>
      </c>
      <c r="M10" s="188">
        <v>2011</v>
      </c>
      <c r="N10" s="190" t="s">
        <v>218</v>
      </c>
      <c r="O10" s="191"/>
      <c r="P10" s="191"/>
      <c r="Q10" s="191"/>
      <c r="R10" s="191"/>
      <c r="S10" s="191"/>
      <c r="T10" s="191"/>
      <c r="U10" s="191"/>
      <c r="V10" s="191"/>
      <c r="W10" s="191"/>
      <c r="Y10" s="327"/>
      <c r="Z10" s="215" t="s">
        <v>218</v>
      </c>
      <c r="AA10" s="217">
        <v>0.28381693299691618</v>
      </c>
      <c r="AB10" s="218">
        <v>0.48654331370899917</v>
      </c>
      <c r="AC10" s="219">
        <v>0.22963975329408468</v>
      </c>
      <c r="AD10" s="217">
        <v>0.30765279917822291</v>
      </c>
      <c r="AE10" s="219">
        <v>0.69234720082177714</v>
      </c>
      <c r="AF10" s="211"/>
      <c r="AG10" s="225">
        <v>9.4778355099939149E-2</v>
      </c>
      <c r="AH10" s="229">
        <v>0.16247718017132426</v>
      </c>
      <c r="AI10" s="229">
        <v>7.6686326826756537E-2</v>
      </c>
      <c r="AJ10" s="229">
        <v>4.9068482890979731E-2</v>
      </c>
      <c r="AK10" s="229">
        <v>0.11042456583813134</v>
      </c>
      <c r="AL10" s="226">
        <v>0</v>
      </c>
    </row>
    <row r="11" spans="1:38" s="248" customFormat="1" x14ac:dyDescent="0.3">
      <c r="A11" s="188">
        <v>2011</v>
      </c>
      <c r="B11" s="190" t="s">
        <v>219</v>
      </c>
      <c r="C11" s="191">
        <v>4538</v>
      </c>
      <c r="D11" s="191">
        <v>5985</v>
      </c>
      <c r="E11" s="191">
        <v>4736</v>
      </c>
      <c r="F11" s="191">
        <v>2412</v>
      </c>
      <c r="G11" s="191">
        <v>4121</v>
      </c>
      <c r="H11" s="191">
        <v>0</v>
      </c>
      <c r="I11" s="191">
        <v>13823</v>
      </c>
      <c r="J11" s="191">
        <v>3172</v>
      </c>
      <c r="K11" s="191">
        <v>3308</v>
      </c>
      <c r="M11" s="188">
        <v>2011</v>
      </c>
      <c r="N11" s="190" t="s">
        <v>219</v>
      </c>
      <c r="O11" s="191"/>
      <c r="P11" s="191"/>
      <c r="Q11" s="191"/>
      <c r="R11" s="191"/>
      <c r="S11" s="191"/>
      <c r="T11" s="191"/>
      <c r="U11" s="191"/>
      <c r="V11" s="191"/>
      <c r="W11" s="191"/>
      <c r="Y11" s="327"/>
      <c r="Z11" s="215" t="s">
        <v>219</v>
      </c>
      <c r="AA11" s="217">
        <v>0.29739825676649845</v>
      </c>
      <c r="AB11" s="218">
        <v>0.39222753784651682</v>
      </c>
      <c r="AC11" s="219">
        <v>0.31037420538698474</v>
      </c>
      <c r="AD11" s="217">
        <v>0.36920251033215978</v>
      </c>
      <c r="AE11" s="219">
        <v>0.63079748966784022</v>
      </c>
      <c r="AF11" s="211"/>
      <c r="AG11" s="225">
        <v>0.10780377717068536</v>
      </c>
      <c r="AH11" s="229">
        <v>0.1421784059864592</v>
      </c>
      <c r="AI11" s="229">
        <v>0.1125074236845231</v>
      </c>
      <c r="AJ11" s="229">
        <v>5.7298966623114386E-2</v>
      </c>
      <c r="AK11" s="229">
        <v>9.7897612543057372E-2</v>
      </c>
      <c r="AL11" s="226">
        <v>0</v>
      </c>
    </row>
    <row r="12" spans="1:38" s="248" customFormat="1" x14ac:dyDescent="0.3">
      <c r="A12" s="188">
        <v>2011</v>
      </c>
      <c r="B12" s="190" t="s">
        <v>220</v>
      </c>
      <c r="C12" s="191">
        <v>132</v>
      </c>
      <c r="D12" s="191">
        <v>13262</v>
      </c>
      <c r="E12" s="191">
        <v>262</v>
      </c>
      <c r="F12" s="191">
        <v>0</v>
      </c>
      <c r="G12" s="191">
        <v>0</v>
      </c>
      <c r="H12" s="191">
        <v>0</v>
      </c>
      <c r="I12" s="191">
        <v>2272</v>
      </c>
      <c r="J12" s="191">
        <v>81</v>
      </c>
      <c r="K12" s="191">
        <v>0</v>
      </c>
      <c r="M12" s="188">
        <v>2011</v>
      </c>
      <c r="N12" s="190" t="s">
        <v>220</v>
      </c>
      <c r="O12" s="191"/>
      <c r="P12" s="191"/>
      <c r="Q12" s="191"/>
      <c r="R12" s="191"/>
      <c r="S12" s="191"/>
      <c r="T12" s="191"/>
      <c r="U12" s="191"/>
      <c r="V12" s="191"/>
      <c r="W12" s="191"/>
      <c r="Y12" s="327"/>
      <c r="Z12" s="215" t="s">
        <v>220</v>
      </c>
      <c r="AA12" s="217">
        <v>9.6660808435852369E-3</v>
      </c>
      <c r="AB12" s="218">
        <v>0.97114821323960165</v>
      </c>
      <c r="AC12" s="219">
        <v>1.9185705916813123E-2</v>
      </c>
      <c r="AD12" s="227" t="s">
        <v>181</v>
      </c>
      <c r="AE12" s="228" t="s">
        <v>181</v>
      </c>
      <c r="AF12" s="211"/>
      <c r="AG12" s="225">
        <v>8.2453619838840659E-3</v>
      </c>
      <c r="AH12" s="229">
        <v>0.82840901992629146</v>
      </c>
      <c r="AI12" s="229">
        <v>1.6365794240739584E-2</v>
      </c>
      <c r="AJ12" s="229">
        <v>0</v>
      </c>
      <c r="AK12" s="229">
        <v>0</v>
      </c>
      <c r="AL12" s="226">
        <v>0</v>
      </c>
    </row>
    <row r="13" spans="1:38" s="248" customFormat="1" ht="15" thickBot="1" x14ac:dyDescent="0.35">
      <c r="A13" s="195">
        <v>2011</v>
      </c>
      <c r="B13" s="196" t="s">
        <v>221</v>
      </c>
      <c r="C13" s="197">
        <v>484</v>
      </c>
      <c r="D13" s="197">
        <v>876</v>
      </c>
      <c r="E13" s="197">
        <v>734</v>
      </c>
      <c r="F13" s="197">
        <v>356</v>
      </c>
      <c r="G13" s="197">
        <v>807</v>
      </c>
      <c r="H13" s="197">
        <v>0</v>
      </c>
      <c r="I13" s="197">
        <v>1823</v>
      </c>
      <c r="J13" s="197">
        <v>1232</v>
      </c>
      <c r="K13" s="197">
        <v>0</v>
      </c>
      <c r="M13" s="195">
        <v>2011</v>
      </c>
      <c r="N13" s="196" t="s">
        <v>221</v>
      </c>
      <c r="O13" s="197"/>
      <c r="P13" s="197"/>
      <c r="Q13" s="197"/>
      <c r="R13" s="197"/>
      <c r="S13" s="197"/>
      <c r="T13" s="197"/>
      <c r="U13" s="197"/>
      <c r="V13" s="197"/>
      <c r="W13" s="197"/>
      <c r="Y13" s="328"/>
      <c r="Z13" s="216" t="s">
        <v>221</v>
      </c>
      <c r="AA13" s="220">
        <v>0.23113658070678128</v>
      </c>
      <c r="AB13" s="221">
        <v>0.41833810888252149</v>
      </c>
      <c r="AC13" s="222">
        <v>0.35052531041069723</v>
      </c>
      <c r="AD13" s="220">
        <v>0.30610490111779881</v>
      </c>
      <c r="AE13" s="222">
        <v>0.69389509888220124</v>
      </c>
      <c r="AF13" s="211"/>
      <c r="AG13" s="230">
        <v>7.6679340937896065E-2</v>
      </c>
      <c r="AH13" s="231">
        <v>0.13878326996197718</v>
      </c>
      <c r="AI13" s="231">
        <v>0.11628643852978454</v>
      </c>
      <c r="AJ13" s="231">
        <v>5.6400506970849175E-2</v>
      </c>
      <c r="AK13" s="231">
        <v>0.12785171102661597</v>
      </c>
      <c r="AL13" s="232">
        <v>0</v>
      </c>
    </row>
    <row r="14" spans="1:38" s="248" customFormat="1" ht="15" thickTop="1" x14ac:dyDescent="0.3">
      <c r="A14" s="200">
        <v>2012</v>
      </c>
      <c r="B14" s="201" t="s">
        <v>213</v>
      </c>
      <c r="C14" s="204">
        <v>194453</v>
      </c>
      <c r="D14" s="206">
        <v>284707</v>
      </c>
      <c r="E14" s="206">
        <v>210491</v>
      </c>
      <c r="F14" s="206">
        <v>178069</v>
      </c>
      <c r="G14" s="206">
        <v>118968</v>
      </c>
      <c r="H14" s="206">
        <v>47684</v>
      </c>
      <c r="I14" s="206">
        <v>211006</v>
      </c>
      <c r="J14" s="206">
        <v>159989</v>
      </c>
      <c r="K14" s="206">
        <v>65632</v>
      </c>
      <c r="M14" s="200">
        <v>2012</v>
      </c>
      <c r="N14" s="201" t="s">
        <v>213</v>
      </c>
      <c r="O14" s="206">
        <v>100</v>
      </c>
      <c r="P14" s="206">
        <v>146.41430062791522</v>
      </c>
      <c r="Q14" s="206">
        <v>108.24775138465337</v>
      </c>
      <c r="R14" s="206">
        <v>91.574313587345017</v>
      </c>
      <c r="S14" s="206">
        <v>61.180850899703266</v>
      </c>
      <c r="T14" s="206">
        <v>24.522121026674824</v>
      </c>
      <c r="U14" s="206">
        <v>108.51259687430897</v>
      </c>
      <c r="V14" s="206">
        <v>82.276436979630034</v>
      </c>
      <c r="W14" s="206">
        <v>33.752114906944094</v>
      </c>
      <c r="Y14" s="329">
        <v>2012</v>
      </c>
      <c r="Z14" s="238" t="s">
        <v>213</v>
      </c>
      <c r="AA14" s="244">
        <v>0.28195855584926288</v>
      </c>
      <c r="AB14" s="239">
        <v>0.41282764760726803</v>
      </c>
      <c r="AC14" s="240">
        <v>0.30521379654346908</v>
      </c>
      <c r="AD14" s="244">
        <v>0.51655976862448183</v>
      </c>
      <c r="AE14" s="240">
        <v>0.34511387469866933</v>
      </c>
      <c r="AF14" s="210"/>
      <c r="AG14" s="244">
        <v>0.13219111637737346</v>
      </c>
      <c r="AH14" s="241">
        <v>0.19354669853616488</v>
      </c>
      <c r="AI14" s="241">
        <v>0.14309391100877702</v>
      </c>
      <c r="AJ14" s="246">
        <v>0.12105310744602818</v>
      </c>
      <c r="AK14" s="241">
        <v>8.0875649813494099E-2</v>
      </c>
      <c r="AL14" s="242">
        <v>3.241606554457209E-2</v>
      </c>
    </row>
    <row r="15" spans="1:38" s="248" customFormat="1" x14ac:dyDescent="0.3">
      <c r="A15" s="188">
        <v>2012</v>
      </c>
      <c r="B15" s="190" t="s">
        <v>214</v>
      </c>
      <c r="C15" s="203">
        <v>104837</v>
      </c>
      <c r="D15" s="191">
        <v>189342</v>
      </c>
      <c r="E15" s="191">
        <v>142918</v>
      </c>
      <c r="F15" s="191">
        <v>112466</v>
      </c>
      <c r="G15" s="191">
        <v>75149</v>
      </c>
      <c r="H15" s="191">
        <v>28273</v>
      </c>
      <c r="I15" s="191">
        <v>126463</v>
      </c>
      <c r="J15" s="191">
        <v>102778</v>
      </c>
      <c r="K15" s="191">
        <v>46610</v>
      </c>
      <c r="M15" s="188">
        <v>2012</v>
      </c>
      <c r="N15" s="190" t="s">
        <v>214</v>
      </c>
      <c r="O15" s="202">
        <v>100</v>
      </c>
      <c r="P15" s="191">
        <v>180.60608372998084</v>
      </c>
      <c r="Q15" s="191">
        <v>136.32400774535708</v>
      </c>
      <c r="R15" s="191">
        <v>107.27701097894825</v>
      </c>
      <c r="S15" s="191">
        <v>71.68175357936606</v>
      </c>
      <c r="T15" s="191">
        <v>26.968532102215821</v>
      </c>
      <c r="U15" s="191">
        <v>120.62821332163263</v>
      </c>
      <c r="V15" s="191">
        <v>98.035998740902542</v>
      </c>
      <c r="W15" s="191">
        <v>44.459494262521822</v>
      </c>
      <c r="Y15" s="327"/>
      <c r="Z15" s="215" t="s">
        <v>214</v>
      </c>
      <c r="AA15" s="223">
        <v>0.23984836317796737</v>
      </c>
      <c r="AB15" s="218">
        <v>0.43318073562618825</v>
      </c>
      <c r="AC15" s="219">
        <v>0.32697090119584438</v>
      </c>
      <c r="AD15" s="217">
        <v>0.52094604609797668</v>
      </c>
      <c r="AE15" s="219">
        <v>0.34809252945971986</v>
      </c>
      <c r="AF15" s="211"/>
      <c r="AG15" s="225">
        <v>0.11286922556834576</v>
      </c>
      <c r="AH15" s="229">
        <v>0.20384868803534748</v>
      </c>
      <c r="AI15" s="229">
        <v>0.15386785180591622</v>
      </c>
      <c r="AJ15" s="229">
        <v>0.12108273150480817</v>
      </c>
      <c r="AK15" s="229">
        <v>8.0906640138840441E-2</v>
      </c>
      <c r="AL15" s="226">
        <v>3.0439173330921714E-2</v>
      </c>
    </row>
    <row r="16" spans="1:38" s="248" customFormat="1" x14ac:dyDescent="0.3">
      <c r="A16" s="188">
        <v>2012</v>
      </c>
      <c r="B16" s="190" t="s">
        <v>215</v>
      </c>
      <c r="C16" s="191">
        <v>1203</v>
      </c>
      <c r="D16" s="191">
        <v>1706</v>
      </c>
      <c r="E16" s="191">
        <v>1269</v>
      </c>
      <c r="F16" s="191">
        <v>1181</v>
      </c>
      <c r="G16" s="191">
        <v>753</v>
      </c>
      <c r="H16" s="191">
        <v>320</v>
      </c>
      <c r="I16" s="191">
        <v>1165</v>
      </c>
      <c r="J16" s="191">
        <v>886</v>
      </c>
      <c r="K16" s="191">
        <v>423</v>
      </c>
      <c r="M16" s="188">
        <v>2012</v>
      </c>
      <c r="N16" s="190" t="s">
        <v>215</v>
      </c>
      <c r="O16" s="202">
        <v>100</v>
      </c>
      <c r="P16" s="191">
        <v>141.81213632585204</v>
      </c>
      <c r="Q16" s="191">
        <v>105.4862842892768</v>
      </c>
      <c r="R16" s="191">
        <v>98.171238570241059</v>
      </c>
      <c r="S16" s="191">
        <v>62.593516209476306</v>
      </c>
      <c r="T16" s="191">
        <v>26.60016625103907</v>
      </c>
      <c r="U16" s="191">
        <v>96.841230257689119</v>
      </c>
      <c r="V16" s="191">
        <v>73.649210307564431</v>
      </c>
      <c r="W16" s="191">
        <v>35.16209476309227</v>
      </c>
      <c r="Y16" s="327"/>
      <c r="Z16" s="215" t="s">
        <v>215</v>
      </c>
      <c r="AA16" s="223">
        <v>0.28793681187170894</v>
      </c>
      <c r="AB16" s="218">
        <v>0.40832934418382</v>
      </c>
      <c r="AC16" s="219">
        <v>0.30373384394447106</v>
      </c>
      <c r="AD16" s="217">
        <v>0.52395740905057675</v>
      </c>
      <c r="AE16" s="219">
        <v>0.33407275953859805</v>
      </c>
      <c r="AF16" s="211"/>
      <c r="AG16" s="225">
        <v>0.13507747585897148</v>
      </c>
      <c r="AH16" s="229">
        <v>0.19155625421064451</v>
      </c>
      <c r="AI16" s="229">
        <v>0.14248821019537392</v>
      </c>
      <c r="AJ16" s="229">
        <v>0.13260723108017067</v>
      </c>
      <c r="AK16" s="229">
        <v>8.4549741747136767E-2</v>
      </c>
      <c r="AL16" s="226">
        <v>3.593083314619358E-2</v>
      </c>
    </row>
    <row r="17" spans="1:38" s="248" customFormat="1" x14ac:dyDescent="0.3">
      <c r="A17" s="188">
        <v>2012</v>
      </c>
      <c r="B17" s="190" t="s">
        <v>216</v>
      </c>
      <c r="C17" s="203">
        <v>46478</v>
      </c>
      <c r="D17" s="191">
        <v>51950</v>
      </c>
      <c r="E17" s="191">
        <v>48297</v>
      </c>
      <c r="F17" s="191">
        <v>46369</v>
      </c>
      <c r="G17" s="191">
        <v>32481</v>
      </c>
      <c r="H17" s="191">
        <v>10661</v>
      </c>
      <c r="I17" s="191">
        <v>37997</v>
      </c>
      <c r="J17" s="191">
        <v>19717</v>
      </c>
      <c r="K17" s="191">
        <v>14732</v>
      </c>
      <c r="M17" s="188">
        <v>2012</v>
      </c>
      <c r="N17" s="247" t="s">
        <v>216</v>
      </c>
      <c r="O17" s="202">
        <v>100</v>
      </c>
      <c r="P17" s="313">
        <v>111.77331210465167</v>
      </c>
      <c r="Q17" s="191">
        <v>103.9136795903438</v>
      </c>
      <c r="R17" s="191">
        <v>99.765480442359816</v>
      </c>
      <c r="S17" s="191">
        <v>69.88467662119713</v>
      </c>
      <c r="T17" s="191">
        <v>22.937733981668746</v>
      </c>
      <c r="U17" s="191">
        <v>81.752657171134729</v>
      </c>
      <c r="V17" s="191">
        <v>42.422221265975303</v>
      </c>
      <c r="W17" s="191">
        <v>31.696716726193035</v>
      </c>
      <c r="Y17" s="327"/>
      <c r="Z17" s="262" t="s">
        <v>216</v>
      </c>
      <c r="AA17" s="223">
        <v>0.31676946668938488</v>
      </c>
      <c r="AB17" s="218">
        <v>0.35406372465496677</v>
      </c>
      <c r="AC17" s="219">
        <v>0.32916680865564835</v>
      </c>
      <c r="AD17" s="217">
        <v>0.51802571750957982</v>
      </c>
      <c r="AE17" s="219">
        <v>0.36287160237289273</v>
      </c>
      <c r="AF17" s="211"/>
      <c r="AG17" s="225">
        <v>0.15056919418689785</v>
      </c>
      <c r="AH17" s="229">
        <v>0.16829617535198035</v>
      </c>
      <c r="AI17" s="229">
        <v>0.1564619900091356</v>
      </c>
      <c r="AJ17" s="229">
        <v>0.15021607997874836</v>
      </c>
      <c r="AK17" s="229">
        <v>0.1052247944486559</v>
      </c>
      <c r="AL17" s="226">
        <v>3.4537161220932866E-2</v>
      </c>
    </row>
    <row r="18" spans="1:38" s="248" customFormat="1" x14ac:dyDescent="0.3">
      <c r="A18" s="188">
        <v>2012</v>
      </c>
      <c r="B18" s="190" t="s">
        <v>217</v>
      </c>
      <c r="C18" s="191">
        <v>31770</v>
      </c>
      <c r="D18" s="191">
        <v>82</v>
      </c>
      <c r="E18" s="191">
        <v>816</v>
      </c>
      <c r="F18" s="191">
        <v>0</v>
      </c>
      <c r="G18" s="191">
        <v>36</v>
      </c>
      <c r="H18" s="191">
        <v>0</v>
      </c>
      <c r="I18" s="191">
        <v>11680</v>
      </c>
      <c r="J18" s="191">
        <v>5</v>
      </c>
      <c r="K18" s="191">
        <v>30</v>
      </c>
      <c r="M18" s="188">
        <v>2012</v>
      </c>
      <c r="N18" s="190" t="s">
        <v>217</v>
      </c>
      <c r="O18" s="202"/>
      <c r="P18" s="191"/>
      <c r="Q18" s="191"/>
      <c r="R18" s="191"/>
      <c r="S18" s="191"/>
      <c r="T18" s="191"/>
      <c r="U18" s="191"/>
      <c r="V18" s="191"/>
      <c r="W18" s="191"/>
      <c r="Y18" s="327"/>
      <c r="Z18" s="215" t="s">
        <v>217</v>
      </c>
      <c r="AA18" s="223">
        <v>0.97251132606832369</v>
      </c>
      <c r="AB18" s="218">
        <v>2.5101016285049588E-3</v>
      </c>
      <c r="AC18" s="219">
        <v>2.4978572303171298E-2</v>
      </c>
      <c r="AD18" s="217">
        <v>0</v>
      </c>
      <c r="AE18" s="219">
        <v>1</v>
      </c>
      <c r="AF18" s="211"/>
      <c r="AG18" s="225">
        <v>0.71523447173506838</v>
      </c>
      <c r="AH18" s="229">
        <v>1.8460568675566762E-3</v>
      </c>
      <c r="AI18" s="229">
        <v>1.8370517121051803E-2</v>
      </c>
      <c r="AJ18" s="229">
        <v>0</v>
      </c>
      <c r="AK18" s="229">
        <v>8.1046399063463832E-4</v>
      </c>
      <c r="AL18" s="226">
        <v>0</v>
      </c>
    </row>
    <row r="19" spans="1:38" s="248" customFormat="1" x14ac:dyDescent="0.3">
      <c r="A19" s="188">
        <v>2012</v>
      </c>
      <c r="B19" s="190" t="s">
        <v>218</v>
      </c>
      <c r="C19" s="203">
        <v>8121</v>
      </c>
      <c r="D19" s="191">
        <v>21615</v>
      </c>
      <c r="E19" s="191">
        <v>13800</v>
      </c>
      <c r="F19" s="191">
        <v>14085</v>
      </c>
      <c r="G19" s="191">
        <v>7091</v>
      </c>
      <c r="H19" s="191">
        <v>2862</v>
      </c>
      <c r="I19" s="191">
        <v>16469</v>
      </c>
      <c r="J19" s="191">
        <v>25000</v>
      </c>
      <c r="K19" s="191">
        <v>2527</v>
      </c>
      <c r="M19" s="188">
        <v>2012</v>
      </c>
      <c r="N19" s="247" t="s">
        <v>218</v>
      </c>
      <c r="O19" s="202">
        <v>100</v>
      </c>
      <c r="P19" s="313">
        <v>266.16180273365353</v>
      </c>
      <c r="Q19" s="313">
        <v>169.9298115995567</v>
      </c>
      <c r="R19" s="191">
        <v>173.43923162172146</v>
      </c>
      <c r="S19" s="191">
        <v>87.316832902351933</v>
      </c>
      <c r="T19" s="191">
        <v>35.241965275212408</v>
      </c>
      <c r="U19" s="191">
        <v>202.79522226326807</v>
      </c>
      <c r="V19" s="191">
        <v>307.84386159339982</v>
      </c>
      <c r="W19" s="191">
        <v>31.116857529860852</v>
      </c>
      <c r="Y19" s="327"/>
      <c r="Z19" s="262" t="s">
        <v>218</v>
      </c>
      <c r="AA19" s="223">
        <v>0.18653528114663726</v>
      </c>
      <c r="AB19" s="218">
        <v>0.49648566703417862</v>
      </c>
      <c r="AC19" s="219">
        <v>0.31697905181918412</v>
      </c>
      <c r="AD19" s="217">
        <v>0.58594725018720362</v>
      </c>
      <c r="AE19" s="219">
        <v>0.29499126383226559</v>
      </c>
      <c r="AF19" s="211"/>
      <c r="AG19" s="225">
        <v>7.2788383974186605E-2</v>
      </c>
      <c r="AH19" s="229">
        <v>0.1937348749663888</v>
      </c>
      <c r="AI19" s="229">
        <v>0.12368916375369723</v>
      </c>
      <c r="AJ19" s="229">
        <v>0.12624361387469749</v>
      </c>
      <c r="AK19" s="229">
        <v>6.3556511607062827E-2</v>
      </c>
      <c r="AL19" s="226">
        <v>2.565205700457112E-2</v>
      </c>
    </row>
    <row r="20" spans="1:38" s="248" customFormat="1" x14ac:dyDescent="0.3">
      <c r="A20" s="188">
        <v>2012</v>
      </c>
      <c r="B20" s="190" t="s">
        <v>219</v>
      </c>
      <c r="C20" s="203">
        <v>3007</v>
      </c>
      <c r="D20" s="191">
        <v>12150</v>
      </c>
      <c r="E20" s="191">
        <v>4070</v>
      </c>
      <c r="F20" s="191">
        <v>4729</v>
      </c>
      <c r="G20" s="191">
        <v>3589</v>
      </c>
      <c r="H20" s="191">
        <v>4919</v>
      </c>
      <c r="I20" s="191">
        <v>16185</v>
      </c>
      <c r="J20" s="191">
        <v>10016</v>
      </c>
      <c r="K20" s="191">
        <v>1734</v>
      </c>
      <c r="M20" s="188">
        <v>2012</v>
      </c>
      <c r="N20" s="190" t="s">
        <v>219</v>
      </c>
      <c r="O20" s="202">
        <v>100</v>
      </c>
      <c r="P20" s="191">
        <v>404.0571998669771</v>
      </c>
      <c r="Q20" s="191">
        <v>135.35084802128367</v>
      </c>
      <c r="R20" s="191">
        <v>157.26637845028267</v>
      </c>
      <c r="S20" s="191">
        <v>119.35483870967742</v>
      </c>
      <c r="T20" s="191">
        <v>163.58496840705021</v>
      </c>
      <c r="U20" s="191">
        <v>538.24409710675093</v>
      </c>
      <c r="V20" s="191">
        <v>333.0894579314932</v>
      </c>
      <c r="W20" s="191">
        <v>57.665447289657465</v>
      </c>
      <c r="Y20" s="327"/>
      <c r="Z20" s="215" t="s">
        <v>219</v>
      </c>
      <c r="AA20" s="223">
        <v>0.15639465335205702</v>
      </c>
      <c r="AB20" s="218">
        <v>0.63192385707598686</v>
      </c>
      <c r="AC20" s="219">
        <v>0.21168148957195609</v>
      </c>
      <c r="AD20" s="217">
        <v>0.35725617587066555</v>
      </c>
      <c r="AE20" s="219">
        <v>0.27113394273626956</v>
      </c>
      <c r="AF20" s="211"/>
      <c r="AG20" s="225">
        <v>4.9785592476696637E-2</v>
      </c>
      <c r="AH20" s="229">
        <v>0.20116227089852481</v>
      </c>
      <c r="AI20" s="229">
        <v>6.7385221609629301E-2</v>
      </c>
      <c r="AJ20" s="229">
        <v>7.8295998278117188E-2</v>
      </c>
      <c r="AK20" s="229">
        <v>5.9421513601218563E-2</v>
      </c>
      <c r="AL20" s="226">
        <v>8.1441745724266962E-2</v>
      </c>
    </row>
    <row r="21" spans="1:38" s="248" customFormat="1" x14ac:dyDescent="0.3">
      <c r="A21" s="188">
        <v>2012</v>
      </c>
      <c r="B21" s="190" t="s">
        <v>220</v>
      </c>
      <c r="C21" s="191">
        <v>0</v>
      </c>
      <c r="D21" s="191">
        <v>7985</v>
      </c>
      <c r="E21" s="191">
        <v>23</v>
      </c>
      <c r="F21" s="191">
        <v>0</v>
      </c>
      <c r="G21" s="191">
        <v>0</v>
      </c>
      <c r="H21" s="191">
        <v>0</v>
      </c>
      <c r="I21" s="191">
        <v>800</v>
      </c>
      <c r="J21" s="191">
        <v>29</v>
      </c>
      <c r="K21" s="191">
        <v>0</v>
      </c>
      <c r="M21" s="188">
        <v>2012</v>
      </c>
      <c r="N21" s="190" t="s">
        <v>220</v>
      </c>
      <c r="O21" s="202"/>
      <c r="P21" s="191"/>
      <c r="Q21" s="191"/>
      <c r="R21" s="191"/>
      <c r="S21" s="191"/>
      <c r="T21" s="191"/>
      <c r="U21" s="191"/>
      <c r="V21" s="191"/>
      <c r="W21" s="191"/>
      <c r="Y21" s="327"/>
      <c r="Z21" s="215" t="s">
        <v>220</v>
      </c>
      <c r="AA21" s="223">
        <v>0</v>
      </c>
      <c r="AB21" s="218">
        <v>0.99712787212787213</v>
      </c>
      <c r="AC21" s="219">
        <v>2.872127872127872E-3</v>
      </c>
      <c r="AD21" s="227" t="s">
        <v>181</v>
      </c>
      <c r="AE21" s="228" t="s">
        <v>181</v>
      </c>
      <c r="AF21" s="211"/>
      <c r="AG21" s="225">
        <v>0</v>
      </c>
      <c r="AH21" s="229">
        <v>0.90358719022292633</v>
      </c>
      <c r="AI21" s="229">
        <v>2.602693221681566E-3</v>
      </c>
      <c r="AJ21" s="229">
        <v>0</v>
      </c>
      <c r="AK21" s="229">
        <v>0</v>
      </c>
      <c r="AL21" s="226">
        <v>0</v>
      </c>
    </row>
    <row r="22" spans="1:38" s="248" customFormat="1" ht="15" thickBot="1" x14ac:dyDescent="0.35">
      <c r="A22" s="195">
        <v>2012</v>
      </c>
      <c r="B22" s="196" t="s">
        <v>221</v>
      </c>
      <c r="C22" s="205">
        <v>242</v>
      </c>
      <c r="D22" s="197">
        <v>1583</v>
      </c>
      <c r="E22" s="197">
        <v>568</v>
      </c>
      <c r="F22" s="197">
        <v>419</v>
      </c>
      <c r="G22" s="197">
        <v>623</v>
      </c>
      <c r="H22" s="197">
        <v>967</v>
      </c>
      <c r="I22" s="197">
        <v>1411</v>
      </c>
      <c r="J22" s="197">
        <v>2442</v>
      </c>
      <c r="K22" s="197">
        <v>0</v>
      </c>
      <c r="M22" s="195">
        <v>2012</v>
      </c>
      <c r="N22" s="196" t="s">
        <v>221</v>
      </c>
      <c r="O22" s="207">
        <v>100</v>
      </c>
      <c r="P22" s="197">
        <v>654.13223140495859</v>
      </c>
      <c r="Q22" s="197">
        <v>234.71074380165291</v>
      </c>
      <c r="R22" s="197">
        <v>173.14049586776858</v>
      </c>
      <c r="S22" s="197">
        <v>257.43801652892563</v>
      </c>
      <c r="T22" s="197">
        <v>399.58677685950414</v>
      </c>
      <c r="U22" s="197">
        <v>583.05785123966939</v>
      </c>
      <c r="V22" s="197">
        <v>1009.0909090909091</v>
      </c>
      <c r="W22" s="197">
        <v>0</v>
      </c>
      <c r="Y22" s="328"/>
      <c r="Z22" s="216" t="s">
        <v>221</v>
      </c>
      <c r="AA22" s="224">
        <v>0.10112829084830756</v>
      </c>
      <c r="AB22" s="221">
        <v>0.66151274550773087</v>
      </c>
      <c r="AC22" s="222">
        <v>0.23735896364396156</v>
      </c>
      <c r="AD22" s="220">
        <v>0.20856147336983574</v>
      </c>
      <c r="AE22" s="222">
        <v>0.31010452961672474</v>
      </c>
      <c r="AF22" s="211"/>
      <c r="AG22" s="230">
        <v>2.9315566323440338E-2</v>
      </c>
      <c r="AH22" s="231">
        <v>0.19176256814052089</v>
      </c>
      <c r="AI22" s="231">
        <v>6.8806783767413685E-2</v>
      </c>
      <c r="AJ22" s="231">
        <v>5.0757116898849181E-2</v>
      </c>
      <c r="AK22" s="231">
        <v>7.5469412477286488E-2</v>
      </c>
      <c r="AL22" s="232">
        <v>0.11714112658994549</v>
      </c>
    </row>
    <row r="23" spans="1:38" s="248" customFormat="1" ht="15" thickTop="1" x14ac:dyDescent="0.3"/>
    <row r="26" spans="1:38" x14ac:dyDescent="0.3">
      <c r="E26" s="304">
        <v>0.7</v>
      </c>
      <c r="F26" s="304">
        <v>1.3</v>
      </c>
      <c r="G26" t="s">
        <v>281</v>
      </c>
    </row>
    <row r="27" spans="1:38" ht="72" x14ac:dyDescent="0.3">
      <c r="A27" s="301" t="s">
        <v>3</v>
      </c>
      <c r="B27" s="301" t="s">
        <v>271</v>
      </c>
      <c r="C27" s="301" t="s">
        <v>286</v>
      </c>
      <c r="D27" s="301" t="s">
        <v>277</v>
      </c>
      <c r="E27" s="301" t="s">
        <v>272</v>
      </c>
      <c r="F27" s="301" t="s">
        <v>273</v>
      </c>
      <c r="G27" s="301" t="s">
        <v>276</v>
      </c>
    </row>
    <row r="28" spans="1:38" x14ac:dyDescent="0.3">
      <c r="A28" s="314" t="s">
        <v>274</v>
      </c>
      <c r="B28" s="315">
        <v>5991499</v>
      </c>
      <c r="C28" s="315">
        <f>1.4*B28</f>
        <v>8388098.5999999996</v>
      </c>
      <c r="D28" s="306" t="s">
        <v>278</v>
      </c>
      <c r="E28" s="307">
        <f>1.1*B28</f>
        <v>6590648.9000000004</v>
      </c>
      <c r="F28" s="306">
        <f>1.4*B28</f>
        <v>8388098.5999999996</v>
      </c>
      <c r="G28" t="s">
        <v>279</v>
      </c>
    </row>
    <row r="29" spans="1:38" x14ac:dyDescent="0.3">
      <c r="A29" t="s">
        <v>275</v>
      </c>
      <c r="B29" s="302">
        <v>15610435</v>
      </c>
      <c r="C29" s="302">
        <f>B29</f>
        <v>15610435</v>
      </c>
      <c r="D29" s="305" t="s">
        <v>282</v>
      </c>
      <c r="E29" s="303">
        <f>$E$26*B29</f>
        <v>10927304.5</v>
      </c>
      <c r="F29" s="305">
        <f>B29*$F$26</f>
        <v>20293565.5</v>
      </c>
      <c r="G29" s="248" t="s">
        <v>280</v>
      </c>
    </row>
    <row r="30" spans="1:38" x14ac:dyDescent="0.3">
      <c r="A30" t="s">
        <v>95</v>
      </c>
      <c r="B30" s="302">
        <v>3804716</v>
      </c>
      <c r="C30" s="302">
        <f t="shared" ref="C30:C35" si="0">B30</f>
        <v>3804716</v>
      </c>
      <c r="D30" s="305" t="s">
        <v>282</v>
      </c>
      <c r="E30" s="303">
        <f>$E$26*B30</f>
        <v>2663301.1999999997</v>
      </c>
      <c r="F30" s="305">
        <f>B30*$F$26</f>
        <v>4946130.8</v>
      </c>
      <c r="G30" t="s">
        <v>283</v>
      </c>
    </row>
    <row r="31" spans="1:38" x14ac:dyDescent="0.3">
      <c r="A31" s="314" t="s">
        <v>94</v>
      </c>
      <c r="B31" s="315">
        <v>4440000</v>
      </c>
      <c r="C31" s="315">
        <f>2.7*B31</f>
        <v>11988000</v>
      </c>
      <c r="D31" s="306" t="s">
        <v>284</v>
      </c>
      <c r="E31" s="307">
        <f>1.7*B31</f>
        <v>7548000</v>
      </c>
      <c r="F31" s="306">
        <f>2.7*B31</f>
        <v>11988000</v>
      </c>
      <c r="G31" t="s">
        <v>285</v>
      </c>
    </row>
    <row r="32" spans="1:38" x14ac:dyDescent="0.3">
      <c r="A32" t="s">
        <v>108</v>
      </c>
      <c r="B32" s="302">
        <v>22954000</v>
      </c>
      <c r="C32" s="302">
        <f t="shared" si="0"/>
        <v>22954000</v>
      </c>
      <c r="D32" s="305" t="s">
        <v>282</v>
      </c>
      <c r="E32" s="303">
        <f>$E$26*B32</f>
        <v>16067799.999999998</v>
      </c>
      <c r="F32" s="305">
        <f>B32*$F$26</f>
        <v>29840200</v>
      </c>
    </row>
    <row r="33" spans="1:7" x14ac:dyDescent="0.3">
      <c r="A33" t="s">
        <v>96</v>
      </c>
      <c r="B33" s="302">
        <v>7818984</v>
      </c>
      <c r="C33" s="302">
        <f t="shared" si="0"/>
        <v>7818984</v>
      </c>
      <c r="D33" s="305" t="s">
        <v>282</v>
      </c>
      <c r="E33" s="316">
        <f>$E$26*B33</f>
        <v>5473288.7999999998</v>
      </c>
      <c r="F33" s="316">
        <f>B33*$F$26</f>
        <v>10164679.200000001</v>
      </c>
    </row>
    <row r="34" spans="1:7" x14ac:dyDescent="0.3">
      <c r="A34" t="s">
        <v>177</v>
      </c>
      <c r="B34" s="302">
        <v>4782666</v>
      </c>
      <c r="C34" s="302">
        <f t="shared" si="0"/>
        <v>4782666</v>
      </c>
      <c r="D34" s="305" t="s">
        <v>282</v>
      </c>
      <c r="E34" s="303">
        <f>$E$26*B34</f>
        <v>3347866.1999999997</v>
      </c>
      <c r="F34" s="303">
        <f>B34*$F$26</f>
        <v>6217465.7999999998</v>
      </c>
    </row>
    <row r="35" spans="1:7" x14ac:dyDescent="0.3">
      <c r="A35" t="s">
        <v>172</v>
      </c>
      <c r="B35" s="302">
        <v>15700000</v>
      </c>
      <c r="C35" s="302">
        <f t="shared" si="0"/>
        <v>15700000</v>
      </c>
      <c r="D35" s="305" t="s">
        <v>282</v>
      </c>
      <c r="E35" s="303">
        <f>$E$26*B35</f>
        <v>10990000</v>
      </c>
      <c r="F35" s="303">
        <f>B35*$F$26</f>
        <v>20410000</v>
      </c>
      <c r="G35" s="248"/>
    </row>
    <row r="36" spans="1:7" x14ac:dyDescent="0.3">
      <c r="A36" s="309" t="s">
        <v>103</v>
      </c>
      <c r="B36" s="310">
        <f>SUM(B28:B35)</f>
        <v>81102300</v>
      </c>
      <c r="C36" s="311">
        <f>SUM(C28:C35)</f>
        <v>91046899.599999994</v>
      </c>
      <c r="D36" s="310"/>
      <c r="E36" s="310">
        <f t="shared" ref="E36:F36" si="1">SUM(E28:E35)</f>
        <v>63608209.599999994</v>
      </c>
      <c r="F36" s="310">
        <f t="shared" si="1"/>
        <v>112248139.90000001</v>
      </c>
    </row>
    <row r="37" spans="1:7" x14ac:dyDescent="0.3">
      <c r="C37" s="308"/>
    </row>
  </sheetData>
  <mergeCells count="11">
    <mergeCell ref="AA3:AC3"/>
    <mergeCell ref="AD3:AE3"/>
    <mergeCell ref="AG3:AL3"/>
    <mergeCell ref="Y5:Y13"/>
    <mergeCell ref="Y14:Y22"/>
    <mergeCell ref="U3:V3"/>
    <mergeCell ref="C3:E3"/>
    <mergeCell ref="F3:H3"/>
    <mergeCell ref="I3:J3"/>
    <mergeCell ref="O3:Q3"/>
    <mergeCell ref="R3:T3"/>
  </mergeCell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tabSelected="1" topLeftCell="C28" workbookViewId="0">
      <selection activeCell="I47" sqref="I47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55.8" customHeight="1" x14ac:dyDescent="0.3">
      <c r="A4" s="49" t="s">
        <v>78</v>
      </c>
      <c r="B4" s="338" t="s">
        <v>287</v>
      </c>
      <c r="C4" s="339"/>
      <c r="D4" s="339"/>
      <c r="E4" s="339"/>
      <c r="F4" s="339"/>
      <c r="G4" s="339"/>
      <c r="H4" s="339"/>
      <c r="I4" s="339"/>
    </row>
    <row r="5" spans="1:14" x14ac:dyDescent="0.3">
      <c r="A5" s="48" t="s">
        <v>79</v>
      </c>
      <c r="B5" s="1" t="s">
        <v>167</v>
      </c>
      <c r="E5" s="345" t="s">
        <v>50</v>
      </c>
      <c r="F5" s="346"/>
      <c r="G5" s="346"/>
      <c r="H5" s="346"/>
      <c r="I5" s="347"/>
    </row>
    <row r="6" spans="1:14" x14ac:dyDescent="0.3">
      <c r="A6" s="48" t="s">
        <v>80</v>
      </c>
      <c r="B6" s="1" t="s">
        <v>168</v>
      </c>
      <c r="E6" s="348" t="s">
        <v>51</v>
      </c>
      <c r="F6" s="349"/>
      <c r="G6" s="349"/>
      <c r="H6" s="349"/>
      <c r="I6" s="350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9521244.5919601433</v>
      </c>
    </row>
    <row r="10" spans="1:14" ht="14.4" thickBot="1" x14ac:dyDescent="0.35">
      <c r="A10" s="50"/>
    </row>
    <row r="11" spans="1:14" ht="27.6" x14ac:dyDescent="0.3">
      <c r="A11" s="351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352"/>
      <c r="B12" s="80">
        <v>81102300</v>
      </c>
      <c r="C12" s="81">
        <v>81102300</v>
      </c>
      <c r="D12" s="82">
        <v>91046899.599999994</v>
      </c>
    </row>
    <row r="13" spans="1:14" ht="14.4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63">
        <v>0.7</v>
      </c>
      <c r="H14" s="263">
        <v>1.3</v>
      </c>
      <c r="I14" s="63" t="s">
        <v>98</v>
      </c>
      <c r="J14" s="63" t="s">
        <v>99</v>
      </c>
    </row>
    <row r="15" spans="1:14" ht="27.6" customHeight="1" x14ac:dyDescent="0.3">
      <c r="A15" s="353" t="s">
        <v>2</v>
      </c>
      <c r="B15" s="355" t="s">
        <v>3</v>
      </c>
      <c r="C15" s="355" t="s">
        <v>38</v>
      </c>
      <c r="D15" s="355" t="s">
        <v>169</v>
      </c>
      <c r="E15" s="334" t="s">
        <v>86</v>
      </c>
      <c r="F15" s="335"/>
      <c r="G15" s="336" t="s">
        <v>241</v>
      </c>
      <c r="H15" s="337"/>
      <c r="I15" s="336" t="s">
        <v>89</v>
      </c>
      <c r="J15" s="337"/>
      <c r="K15" s="334" t="s">
        <v>90</v>
      </c>
      <c r="L15" s="340"/>
      <c r="M15" s="340"/>
      <c r="N15" s="335"/>
    </row>
    <row r="16" spans="1:14" ht="27.6" x14ac:dyDescent="0.3">
      <c r="A16" s="354"/>
      <c r="B16" s="354"/>
      <c r="C16" s="354"/>
      <c r="D16" s="354"/>
      <c r="E16" s="105" t="s">
        <v>265</v>
      </c>
      <c r="F16" s="105" t="s">
        <v>266</v>
      </c>
      <c r="G16" s="105" t="s">
        <v>87</v>
      </c>
      <c r="H16" s="105" t="s">
        <v>88</v>
      </c>
      <c r="I16" s="62" t="s">
        <v>263</v>
      </c>
      <c r="J16" s="62" t="s">
        <v>264</v>
      </c>
      <c r="K16" s="105" t="s">
        <v>239</v>
      </c>
      <c r="L16" s="105" t="s">
        <v>240</v>
      </c>
      <c r="M16" s="105" t="s">
        <v>91</v>
      </c>
      <c r="N16" s="105" t="s">
        <v>92</v>
      </c>
    </row>
    <row r="17" spans="1:14" x14ac:dyDescent="0.3">
      <c r="A17" s="317" t="s">
        <v>13</v>
      </c>
      <c r="B17" s="317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>'Case Notes'!E28</f>
        <v>6590648.9000000004</v>
      </c>
      <c r="H17" s="73">
        <f>'Case Notes'!F28</f>
        <v>8388098.5999999996</v>
      </c>
      <c r="I17" s="273">
        <v>8388098.5999999996</v>
      </c>
      <c r="J17" s="64">
        <f>JANSample!F9</f>
        <v>3217873.9249121454</v>
      </c>
      <c r="K17" s="58">
        <f>I17-E17</f>
        <v>2396599.5999999996</v>
      </c>
      <c r="L17" s="58">
        <f>J17-F17</f>
        <v>907108.64611744788</v>
      </c>
      <c r="M17" s="59">
        <f>K17/E17</f>
        <v>0.39999999999999991</v>
      </c>
      <c r="N17" s="59">
        <f>L17/F17</f>
        <v>0.39255767534753622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>'Case Notes'!E29</f>
        <v>10927304.5</v>
      </c>
      <c r="H18" s="74">
        <f>'Case Notes'!F29</f>
        <v>20293565.5</v>
      </c>
      <c r="I18" s="274">
        <v>20293565.5</v>
      </c>
      <c r="J18" s="65">
        <f>JMTSample!F9</f>
        <v>3462495.5631605955</v>
      </c>
      <c r="K18" s="60">
        <f t="shared" ref="K18:L22" si="0">I18-E18</f>
        <v>4683130.5</v>
      </c>
      <c r="L18" s="60">
        <f t="shared" si="0"/>
        <v>799830.71474854182</v>
      </c>
      <c r="M18" s="61">
        <f t="shared" ref="M18:N25" si="1">K18/E18</f>
        <v>0.3</v>
      </c>
      <c r="N18" s="61">
        <f t="shared" si="1"/>
        <v>0.3003873038041347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>'Case Notes'!E30</f>
        <v>2663301.1999999997</v>
      </c>
      <c r="H19" s="74">
        <f>'Case Notes'!F30</f>
        <v>4946130.8</v>
      </c>
      <c r="I19" s="274">
        <v>2663301.1999999997</v>
      </c>
      <c r="J19" s="65">
        <f>JJVCH!F9</f>
        <v>105391.28842196563</v>
      </c>
      <c r="K19" s="60">
        <f t="shared" si="0"/>
        <v>-1141414.8000000003</v>
      </c>
      <c r="L19" s="60">
        <f t="shared" si="0"/>
        <v>-45169.412639527683</v>
      </c>
      <c r="M19" s="61">
        <f t="shared" si="1"/>
        <v>-0.3000000000000001</v>
      </c>
      <c r="N19" s="61">
        <f t="shared" si="1"/>
        <v>-0.30000798562354725</v>
      </c>
    </row>
    <row r="20" spans="1:14" x14ac:dyDescent="0.3">
      <c r="A20" s="318" t="s">
        <v>104</v>
      </c>
      <c r="B20" s="318" t="s">
        <v>94</v>
      </c>
      <c r="C20" s="55" t="s">
        <v>174</v>
      </c>
      <c r="D20" s="154">
        <v>1</v>
      </c>
      <c r="E20" s="74">
        <v>4440000</v>
      </c>
      <c r="F20" s="57">
        <f>JJMMF!I9</f>
        <v>25689.160192131658</v>
      </c>
      <c r="G20" s="74">
        <f>'Case Notes'!E31</f>
        <v>7548000</v>
      </c>
      <c r="H20" s="74">
        <f>'Case Notes'!F31</f>
        <v>11988000</v>
      </c>
      <c r="I20" s="274">
        <v>7548000.0000000009</v>
      </c>
      <c r="J20" s="65">
        <f>JJMMF!F9</f>
        <v>35975.386475934087</v>
      </c>
      <c r="K20" s="60">
        <f t="shared" si="0"/>
        <v>3108000.0000000009</v>
      </c>
      <c r="L20" s="60">
        <f t="shared" si="0"/>
        <v>10286.226283802429</v>
      </c>
      <c r="M20" s="61">
        <f t="shared" si="1"/>
        <v>0.70000000000000018</v>
      </c>
      <c r="N20" s="61">
        <f t="shared" si="1"/>
        <v>0.40041115423278806</v>
      </c>
    </row>
    <row r="21" spans="1:14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1595892.0143603629</v>
      </c>
      <c r="G21" s="74">
        <f>'Case Notes'!E32</f>
        <v>16067799.999999998</v>
      </c>
      <c r="H21" s="74">
        <f>'Case Notes'!F32</f>
        <v>29840200</v>
      </c>
      <c r="I21" s="274">
        <v>29840200</v>
      </c>
      <c r="J21" s="65">
        <f>JJHCC!F9</f>
        <v>1991416.1012136836</v>
      </c>
      <c r="K21" s="60">
        <f t="shared" si="0"/>
        <v>6886200</v>
      </c>
      <c r="L21" s="60">
        <f t="shared" si="0"/>
        <v>395524.08685332071</v>
      </c>
      <c r="M21" s="61">
        <f t="shared" si="1"/>
        <v>0.3</v>
      </c>
      <c r="N21" s="61">
        <f t="shared" si="1"/>
        <v>0.24783887837915378</v>
      </c>
    </row>
    <row r="22" spans="1:14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378283.24113526288</v>
      </c>
      <c r="G22" s="74">
        <f>'Case Notes'!E33</f>
        <v>5473288.7999999998</v>
      </c>
      <c r="H22" s="74">
        <f>'Case Notes'!F33</f>
        <v>10164679.200000001</v>
      </c>
      <c r="I22" s="274">
        <v>7975868.0909795146</v>
      </c>
      <c r="J22" s="65">
        <f>JJMCM!F9</f>
        <v>385010.99333489314</v>
      </c>
      <c r="K22" s="60">
        <f t="shared" si="0"/>
        <v>156884.09097951464</v>
      </c>
      <c r="L22" s="60">
        <f t="shared" si="0"/>
        <v>6727.752199630253</v>
      </c>
      <c r="M22" s="61">
        <f t="shared" si="1"/>
        <v>2.0064511064291045E-2</v>
      </c>
      <c r="N22" s="61">
        <f t="shared" si="1"/>
        <v>1.778495970225815E-2</v>
      </c>
    </row>
    <row r="23" spans="1:14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4782666</v>
      </c>
      <c r="F23" s="57">
        <f>JJHCC_ACQ!I9</f>
        <v>91344.414528190871</v>
      </c>
      <c r="G23" s="74">
        <f>'Case Notes'!E34</f>
        <v>3347866.1999999997</v>
      </c>
      <c r="H23" s="74">
        <f>'Case Notes'!F34</f>
        <v>6217465.7999999998</v>
      </c>
      <c r="I23" s="274">
        <v>3347866.1999999997</v>
      </c>
      <c r="J23" s="65">
        <f>JJHCC_ACQ!F9</f>
        <v>64687.828161978912</v>
      </c>
      <c r="K23" s="60">
        <f t="shared" ref="K23:K24" si="2">I23-E23</f>
        <v>-1434799.8000000003</v>
      </c>
      <c r="L23" s="60">
        <f t="shared" ref="L23:L24" si="3">J23-F23</f>
        <v>-26656.586366211959</v>
      </c>
      <c r="M23" s="61">
        <f t="shared" ref="M23:M24" si="4">K23/E23</f>
        <v>-0.30000000000000004</v>
      </c>
      <c r="N23" s="61">
        <f t="shared" ref="N23:N24" si="5">L23/F23</f>
        <v>-0.29182502842563141</v>
      </c>
    </row>
    <row r="24" spans="1:14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15700000</v>
      </c>
      <c r="F24" s="57">
        <f>JJHCC_ADH!I9</f>
        <v>360832.73711340129</v>
      </c>
      <c r="G24" s="74">
        <f>'Case Notes'!E35</f>
        <v>10990000</v>
      </c>
      <c r="H24" s="74">
        <f>'Case Notes'!F35</f>
        <v>20410000</v>
      </c>
      <c r="I24" s="274">
        <v>10990000</v>
      </c>
      <c r="J24" s="65">
        <f>JJHCC_ADH!F9</f>
        <v>258393.506278947</v>
      </c>
      <c r="K24" s="60">
        <f t="shared" si="2"/>
        <v>-4710000</v>
      </c>
      <c r="L24" s="60">
        <f t="shared" si="3"/>
        <v>-102439.2308344543</v>
      </c>
      <c r="M24" s="61">
        <f t="shared" si="4"/>
        <v>-0.3</v>
      </c>
      <c r="N24" s="61">
        <f t="shared" si="5"/>
        <v>-0.28389672082957385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6">SUM(E17:E24)</f>
        <v>81102300</v>
      </c>
      <c r="F25" s="77">
        <f t="shared" si="6"/>
        <v>7576032.3955975948</v>
      </c>
      <c r="G25" s="76">
        <f t="shared" si="6"/>
        <v>63608209.599999994</v>
      </c>
      <c r="H25" s="76">
        <f t="shared" si="6"/>
        <v>112248139.90000001</v>
      </c>
      <c r="I25" s="83">
        <f t="shared" si="6"/>
        <v>91046899.590979531</v>
      </c>
      <c r="J25" s="275">
        <f t="shared" si="6"/>
        <v>9521244.5919601433</v>
      </c>
      <c r="K25" s="76">
        <f>SUM(K17:K24)</f>
        <v>9944599.5909795146</v>
      </c>
      <c r="L25" s="275">
        <f>SUM(L17:L24)</f>
        <v>1945212.1963625492</v>
      </c>
      <c r="M25" s="79">
        <f>K25/E25</f>
        <v>0.12261797249867777</v>
      </c>
      <c r="N25" s="79">
        <f t="shared" si="1"/>
        <v>0.25675869568521181</v>
      </c>
    </row>
    <row r="29" spans="1:14" s="256" customFormat="1" x14ac:dyDescent="0.3"/>
    <row r="30" spans="1:14" ht="55.2" x14ac:dyDescent="0.3">
      <c r="A30" s="344" t="s">
        <v>242</v>
      </c>
      <c r="D30" s="291" t="s">
        <v>149</v>
      </c>
      <c r="E30" s="291" t="s">
        <v>256</v>
      </c>
      <c r="F30" s="291" t="s">
        <v>260</v>
      </c>
      <c r="G30" s="291" t="s">
        <v>257</v>
      </c>
      <c r="H30" s="291" t="s">
        <v>258</v>
      </c>
      <c r="I30" s="291" t="s">
        <v>259</v>
      </c>
    </row>
    <row r="31" spans="1:14" x14ac:dyDescent="0.3">
      <c r="A31" s="344"/>
      <c r="D31" s="292">
        <v>11.53</v>
      </c>
      <c r="E31" s="293">
        <v>1876</v>
      </c>
      <c r="F31" s="293">
        <v>1118</v>
      </c>
      <c r="G31" s="294">
        <v>194</v>
      </c>
      <c r="H31" s="295">
        <v>0.4</v>
      </c>
      <c r="I31" s="294">
        <f>(1-H31)*G31</f>
        <v>116.39999999999999</v>
      </c>
    </row>
    <row r="32" spans="1:14" ht="13.8" customHeight="1" x14ac:dyDescent="0.3">
      <c r="A32" s="356" t="s">
        <v>2</v>
      </c>
      <c r="B32" s="355" t="s">
        <v>3</v>
      </c>
      <c r="C32" s="355" t="str">
        <f t="shared" ref="C32:C42" si="7">D15</f>
        <v>Response Scaling Factor for Sensitivity Analysis</v>
      </c>
      <c r="D32" s="341" t="s">
        <v>86</v>
      </c>
      <c r="E32" s="342"/>
      <c r="F32" s="342"/>
      <c r="G32" s="343"/>
      <c r="H32" s="332" t="s">
        <v>89</v>
      </c>
      <c r="I32" s="333"/>
      <c r="J32" s="333"/>
      <c r="K32" s="341" t="s">
        <v>251</v>
      </c>
      <c r="L32" s="342"/>
      <c r="M32" s="342"/>
      <c r="N32" s="343"/>
    </row>
    <row r="33" spans="1:14" ht="74.400000000000006" customHeight="1" x14ac:dyDescent="0.3">
      <c r="A33" s="354"/>
      <c r="B33" s="354"/>
      <c r="C33" s="354">
        <f t="shared" si="7"/>
        <v>0</v>
      </c>
      <c r="D33" s="182" t="s">
        <v>244</v>
      </c>
      <c r="E33" s="182" t="s">
        <v>243</v>
      </c>
      <c r="F33" s="182" t="s">
        <v>245</v>
      </c>
      <c r="G33" s="182" t="s">
        <v>261</v>
      </c>
      <c r="H33" s="62" t="s">
        <v>249</v>
      </c>
      <c r="I33" s="62" t="s">
        <v>250</v>
      </c>
      <c r="J33" s="62" t="s">
        <v>262</v>
      </c>
      <c r="K33" s="182" t="s">
        <v>252</v>
      </c>
      <c r="L33" s="182" t="s">
        <v>253</v>
      </c>
      <c r="M33" s="182" t="s">
        <v>254</v>
      </c>
      <c r="N33" s="182" t="s">
        <v>255</v>
      </c>
    </row>
    <row r="34" spans="1:14" x14ac:dyDescent="0.3">
      <c r="A34" s="54" t="s">
        <v>13</v>
      </c>
      <c r="B34" s="54" t="s">
        <v>93</v>
      </c>
      <c r="C34" s="153">
        <f t="shared" si="7"/>
        <v>1</v>
      </c>
      <c r="D34" s="266">
        <f t="shared" ref="D34:D41" si="8">E17</f>
        <v>5991499</v>
      </c>
      <c r="E34" s="264" t="s">
        <v>185</v>
      </c>
      <c r="F34" s="268">
        <f>F17/$D$31</f>
        <v>200413.29391107525</v>
      </c>
      <c r="G34" s="270">
        <f>F34*$F$31</f>
        <v>224062062.59258214</v>
      </c>
      <c r="H34" s="276">
        <f t="shared" ref="H34:H41" si="9">I17</f>
        <v>8388098.5999999996</v>
      </c>
      <c r="I34" s="268">
        <f>J17/$D$31</f>
        <v>279087.07067754946</v>
      </c>
      <c r="J34" s="279">
        <f>I34*$F$31</f>
        <v>312019345.01750028</v>
      </c>
      <c r="K34" s="266">
        <f>H34-D34</f>
        <v>2396599.5999999996</v>
      </c>
      <c r="L34" s="266">
        <f>J34-G34</f>
        <v>87957282.424918145</v>
      </c>
      <c r="M34" s="282">
        <f>K34/D34</f>
        <v>0.39999999999999991</v>
      </c>
      <c r="N34" s="283">
        <f>L34/G34</f>
        <v>0.39255767534753599</v>
      </c>
    </row>
    <row r="35" spans="1:14" x14ac:dyDescent="0.3">
      <c r="A35" s="55" t="s">
        <v>170</v>
      </c>
      <c r="B35" s="55" t="s">
        <v>93</v>
      </c>
      <c r="C35" s="154">
        <f t="shared" si="7"/>
        <v>1</v>
      </c>
      <c r="D35" s="267">
        <f t="shared" si="8"/>
        <v>15610435</v>
      </c>
      <c r="E35" s="265" t="s">
        <v>185</v>
      </c>
      <c r="F35" s="269">
        <f t="shared" ref="F35:F40" si="10">F18/$D$31</f>
        <v>230933.63819705584</v>
      </c>
      <c r="G35" s="271">
        <f t="shared" ref="G35:G40" si="11">F35*$F$31</f>
        <v>258183807.50430843</v>
      </c>
      <c r="H35" s="277">
        <f t="shared" si="9"/>
        <v>20293565.5</v>
      </c>
      <c r="I35" s="269">
        <f t="shared" ref="I35:I40" si="12">J18/$D$31</f>
        <v>300303.17113274895</v>
      </c>
      <c r="J35" s="280">
        <f t="shared" ref="J35:J40" si="13">I35*$F$31</f>
        <v>335738945.32641333</v>
      </c>
      <c r="K35" s="267">
        <f t="shared" ref="K35:K42" si="14">H35-D35</f>
        <v>4683130.5</v>
      </c>
      <c r="L35" s="267">
        <f t="shared" ref="L35:L42" si="15">J35-G35</f>
        <v>77555137.822104901</v>
      </c>
      <c r="M35" s="284">
        <f t="shared" ref="M35:M42" si="16">K35/D35</f>
        <v>0.3</v>
      </c>
      <c r="N35" s="285">
        <f t="shared" ref="N35:N42" si="17">L35/G35</f>
        <v>0.30038730380413459</v>
      </c>
    </row>
    <row r="36" spans="1:14" x14ac:dyDescent="0.3">
      <c r="A36" s="55" t="s">
        <v>104</v>
      </c>
      <c r="B36" s="55" t="s">
        <v>95</v>
      </c>
      <c r="C36" s="154">
        <f t="shared" si="7"/>
        <v>1</v>
      </c>
      <c r="D36" s="267">
        <f t="shared" si="8"/>
        <v>3804716</v>
      </c>
      <c r="E36" s="265" t="s">
        <v>185</v>
      </c>
      <c r="F36" s="269">
        <f t="shared" si="10"/>
        <v>13058.170083390574</v>
      </c>
      <c r="G36" s="271">
        <f t="shared" si="11"/>
        <v>14599034.153230662</v>
      </c>
      <c r="H36" s="277">
        <f t="shared" si="9"/>
        <v>2663301.1999999997</v>
      </c>
      <c r="I36" s="269">
        <f t="shared" si="12"/>
        <v>9140.6147807428988</v>
      </c>
      <c r="J36" s="280">
        <f t="shared" si="13"/>
        <v>10219207.32487056</v>
      </c>
      <c r="K36" s="267">
        <f t="shared" si="14"/>
        <v>-1141414.8000000003</v>
      </c>
      <c r="L36" s="267">
        <f t="shared" si="15"/>
        <v>-4379826.8283601012</v>
      </c>
      <c r="M36" s="284">
        <f t="shared" si="16"/>
        <v>-0.3000000000000001</v>
      </c>
      <c r="N36" s="285">
        <f t="shared" si="17"/>
        <v>-0.30000798562354736</v>
      </c>
    </row>
    <row r="37" spans="1:14" x14ac:dyDescent="0.3">
      <c r="A37" s="55" t="s">
        <v>104</v>
      </c>
      <c r="B37" s="55" t="s">
        <v>94</v>
      </c>
      <c r="C37" s="154">
        <f t="shared" si="7"/>
        <v>1</v>
      </c>
      <c r="D37" s="267">
        <f t="shared" si="8"/>
        <v>4440000</v>
      </c>
      <c r="E37" s="265" t="s">
        <v>185</v>
      </c>
      <c r="F37" s="269">
        <f t="shared" si="10"/>
        <v>2228.0277703496668</v>
      </c>
      <c r="G37" s="271">
        <f t="shared" si="11"/>
        <v>2490935.0472509274</v>
      </c>
      <c r="H37" s="277">
        <f t="shared" si="9"/>
        <v>7548000.0000000009</v>
      </c>
      <c r="I37" s="269">
        <f t="shared" si="12"/>
        <v>3120.1549415380823</v>
      </c>
      <c r="J37" s="280">
        <f t="shared" si="13"/>
        <v>3488333.2246395759</v>
      </c>
      <c r="K37" s="267">
        <f t="shared" si="14"/>
        <v>3108000.0000000009</v>
      </c>
      <c r="L37" s="267">
        <f t="shared" si="15"/>
        <v>997398.1773886485</v>
      </c>
      <c r="M37" s="284">
        <f t="shared" si="16"/>
        <v>0.70000000000000018</v>
      </c>
      <c r="N37" s="285">
        <f t="shared" si="17"/>
        <v>0.40041115423278811</v>
      </c>
    </row>
    <row r="38" spans="1:14" x14ac:dyDescent="0.3">
      <c r="A38" s="55" t="s">
        <v>104</v>
      </c>
      <c r="B38" s="55" t="s">
        <v>108</v>
      </c>
      <c r="C38" s="154">
        <f t="shared" si="7"/>
        <v>1</v>
      </c>
      <c r="D38" s="267">
        <f t="shared" si="8"/>
        <v>22954000</v>
      </c>
      <c r="E38" s="265" t="s">
        <v>185</v>
      </c>
      <c r="F38" s="269">
        <f t="shared" si="10"/>
        <v>138412.14348311909</v>
      </c>
      <c r="G38" s="271">
        <f t="shared" si="11"/>
        <v>154744776.41412714</v>
      </c>
      <c r="H38" s="277">
        <f t="shared" si="9"/>
        <v>29840200</v>
      </c>
      <c r="I38" s="269">
        <f t="shared" si="12"/>
        <v>172716.05387802981</v>
      </c>
      <c r="J38" s="280">
        <f t="shared" si="13"/>
        <v>193096548.23563734</v>
      </c>
      <c r="K38" s="267">
        <f t="shared" si="14"/>
        <v>6886200</v>
      </c>
      <c r="L38" s="267">
        <f t="shared" si="15"/>
        <v>38351771.821510196</v>
      </c>
      <c r="M38" s="284">
        <f t="shared" si="16"/>
        <v>0.3</v>
      </c>
      <c r="N38" s="285">
        <f t="shared" si="17"/>
        <v>0.24783887837915375</v>
      </c>
    </row>
    <row r="39" spans="1:14" x14ac:dyDescent="0.3">
      <c r="A39" s="55" t="s">
        <v>104</v>
      </c>
      <c r="B39" s="55" t="s">
        <v>96</v>
      </c>
      <c r="C39" s="154">
        <f t="shared" si="7"/>
        <v>1</v>
      </c>
      <c r="D39" s="267">
        <f t="shared" si="8"/>
        <v>7818984</v>
      </c>
      <c r="E39" s="265" t="s">
        <v>185</v>
      </c>
      <c r="F39" s="269">
        <f t="shared" si="10"/>
        <v>32808.607210343704</v>
      </c>
      <c r="G39" s="271">
        <f t="shared" si="11"/>
        <v>36680022.861164257</v>
      </c>
      <c r="H39" s="277">
        <f t="shared" si="9"/>
        <v>7975868.0909795146</v>
      </c>
      <c r="I39" s="269">
        <f t="shared" si="12"/>
        <v>33392.106967466883</v>
      </c>
      <c r="J39" s="280">
        <f t="shared" si="13"/>
        <v>37332375.589627974</v>
      </c>
      <c r="K39" s="267">
        <f t="shared" si="14"/>
        <v>156884.09097951464</v>
      </c>
      <c r="L39" s="267">
        <f t="shared" si="15"/>
        <v>652352.7284637168</v>
      </c>
      <c r="M39" s="284">
        <f t="shared" si="16"/>
        <v>2.0064511064291045E-2</v>
      </c>
      <c r="N39" s="285">
        <f t="shared" si="17"/>
        <v>1.7784959702258227E-2</v>
      </c>
    </row>
    <row r="40" spans="1:14" x14ac:dyDescent="0.3">
      <c r="A40" s="55" t="s">
        <v>104</v>
      </c>
      <c r="B40" s="55" t="s">
        <v>177</v>
      </c>
      <c r="C40" s="154">
        <f t="shared" si="7"/>
        <v>1</v>
      </c>
      <c r="D40" s="267">
        <f t="shared" si="8"/>
        <v>4782666</v>
      </c>
      <c r="E40" s="265" t="s">
        <v>185</v>
      </c>
      <c r="F40" s="269">
        <f t="shared" si="10"/>
        <v>7922.3256312394515</v>
      </c>
      <c r="G40" s="271">
        <f t="shared" si="11"/>
        <v>8857160.0557257067</v>
      </c>
      <c r="H40" s="277">
        <f t="shared" si="9"/>
        <v>3347866.1999999997</v>
      </c>
      <c r="I40" s="269">
        <f t="shared" si="12"/>
        <v>5610.3927287058905</v>
      </c>
      <c r="J40" s="280">
        <f t="shared" si="13"/>
        <v>6272419.0706931856</v>
      </c>
      <c r="K40" s="267">
        <f t="shared" si="14"/>
        <v>-1434799.8000000003</v>
      </c>
      <c r="L40" s="267">
        <f t="shared" si="15"/>
        <v>-2584740.9850325212</v>
      </c>
      <c r="M40" s="284">
        <f t="shared" si="16"/>
        <v>-0.30000000000000004</v>
      </c>
      <c r="N40" s="285">
        <f t="shared" si="17"/>
        <v>-0.29182502842563141</v>
      </c>
    </row>
    <row r="41" spans="1:14" x14ac:dyDescent="0.3">
      <c r="A41" s="55" t="s">
        <v>104</v>
      </c>
      <c r="B41" s="55" t="s">
        <v>172</v>
      </c>
      <c r="C41" s="154">
        <f t="shared" si="7"/>
        <v>1</v>
      </c>
      <c r="D41" s="267">
        <f t="shared" si="8"/>
        <v>15700000</v>
      </c>
      <c r="E41" s="287" t="s">
        <v>184</v>
      </c>
      <c r="F41" s="269">
        <f t="shared" ref="F41" si="18">F24</f>
        <v>360832.73711340129</v>
      </c>
      <c r="G41" s="271">
        <f>F41*$I$31</f>
        <v>42000930.599999905</v>
      </c>
      <c r="H41" s="277">
        <f t="shared" si="9"/>
        <v>10990000</v>
      </c>
      <c r="I41" s="269">
        <f>J24</f>
        <v>258393.506278947</v>
      </c>
      <c r="J41" s="280">
        <f>I41*$I$31</f>
        <v>30077004.13086943</v>
      </c>
      <c r="K41" s="267">
        <f t="shared" si="14"/>
        <v>-4710000</v>
      </c>
      <c r="L41" s="267">
        <f t="shared" si="15"/>
        <v>-11923926.469130475</v>
      </c>
      <c r="M41" s="284">
        <f t="shared" si="16"/>
        <v>-0.3</v>
      </c>
      <c r="N41" s="285">
        <f t="shared" si="17"/>
        <v>-0.28389672082957379</v>
      </c>
    </row>
    <row r="42" spans="1:14" x14ac:dyDescent="0.3">
      <c r="A42" s="75" t="s">
        <v>104</v>
      </c>
      <c r="B42" s="75" t="s">
        <v>103</v>
      </c>
      <c r="C42" s="75">
        <f t="shared" si="7"/>
        <v>0</v>
      </c>
      <c r="D42" s="76">
        <f>SUM(D34:D41)</f>
        <v>81102300</v>
      </c>
      <c r="E42" s="77"/>
      <c r="F42" s="77"/>
      <c r="G42" s="272">
        <f>SUM(G34:G41)</f>
        <v>741618729.22838914</v>
      </c>
      <c r="H42" s="278">
        <f>SUM(H34:H41)</f>
        <v>91046899.590979531</v>
      </c>
      <c r="I42" s="77"/>
      <c r="J42" s="281">
        <f>SUM(J34:J41)</f>
        <v>928244177.92025149</v>
      </c>
      <c r="K42" s="76">
        <f t="shared" si="14"/>
        <v>9944599.5909795314</v>
      </c>
      <c r="L42" s="312">
        <f t="shared" si="15"/>
        <v>186625448.69186234</v>
      </c>
      <c r="M42" s="79">
        <f t="shared" si="16"/>
        <v>0.12261797249867798</v>
      </c>
      <c r="N42" s="286">
        <f t="shared" si="17"/>
        <v>0.25164608354219314</v>
      </c>
    </row>
    <row r="43" spans="1:14" x14ac:dyDescent="0.3">
      <c r="D43" s="288">
        <v>0.54</v>
      </c>
      <c r="E43" s="288">
        <v>0.34</v>
      </c>
      <c r="F43" s="185" t="s">
        <v>246</v>
      </c>
      <c r="G43" s="289">
        <f>SUM(G34:G40)*$E$43 + (G41*$D$43)</f>
        <v>260550554.05765232</v>
      </c>
      <c r="H43" s="256"/>
      <c r="I43" s="183"/>
      <c r="J43" s="289">
        <f>SUM(J34:J40)*$E$43 + (J41*$D$43)</f>
        <v>321618421.31905943</v>
      </c>
      <c r="K43" s="256"/>
      <c r="L43" s="289">
        <f>SUM(L34:L40)*$E$43 + (L41*$D$43)</f>
        <v>61067867.261407152</v>
      </c>
      <c r="M43" s="319">
        <f>L43/L42</f>
        <v>0.32722154287884087</v>
      </c>
      <c r="N43" s="290">
        <f>N42*(L43/L42)</f>
        <v>8.2344019716094119E-2</v>
      </c>
    </row>
    <row r="44" spans="1:14" x14ac:dyDescent="0.3">
      <c r="D44" s="288">
        <v>0.46</v>
      </c>
      <c r="E44" s="288">
        <v>0.39</v>
      </c>
      <c r="F44" s="185" t="s">
        <v>247</v>
      </c>
      <c r="G44" s="289">
        <f>SUM(G34:G40)*$E$44 + (G41*$D$44)</f>
        <v>292171369.54107177</v>
      </c>
      <c r="H44" s="256"/>
      <c r="I44" s="183"/>
      <c r="J44" s="289">
        <f>SUM(J34:J40)*$E$44 + (J41*$D$44)</f>
        <v>364120619.67805898</v>
      </c>
      <c r="K44" s="256"/>
      <c r="L44" s="289">
        <f>SUM(L34:L40)*$E$44 + (L41*$D$44)</f>
        <v>71949250.136987224</v>
      </c>
      <c r="M44" s="319">
        <f>L44/L42</f>
        <v>0.38552754000759443</v>
      </c>
      <c r="N44" s="290">
        <f>N42*(L44/L42)</f>
        <v>9.7016495540567321E-2</v>
      </c>
    </row>
    <row r="45" spans="1:14" x14ac:dyDescent="0.3">
      <c r="D45" s="288">
        <v>0</v>
      </c>
      <c r="E45" s="288">
        <v>0.27</v>
      </c>
      <c r="F45" s="185" t="s">
        <v>248</v>
      </c>
      <c r="G45" s="289">
        <f>SUM(G34:G40)*$E$45 + (G41*$D$45)</f>
        <v>188896805.62966511</v>
      </c>
      <c r="H45" s="256"/>
      <c r="I45" s="183"/>
      <c r="J45" s="289">
        <f>SUM(J34:J40)*$E$45 + (J41*$D$45)</f>
        <v>242505136.92313319</v>
      </c>
      <c r="K45" s="256"/>
      <c r="L45" s="289">
        <f>SUM(L34:L40)*$E$45 + (L41*$D$45)</f>
        <v>53608331.293468103</v>
      </c>
      <c r="M45" s="319">
        <f>L45/L42</f>
        <v>0.28725091711356537</v>
      </c>
      <c r="N45" s="290">
        <f>N42*(L45/L42)</f>
        <v>7.228556828553187E-2</v>
      </c>
    </row>
    <row r="46" spans="1:14" x14ac:dyDescent="0.3">
      <c r="D46" s="256" t="s">
        <v>184</v>
      </c>
      <c r="E46" s="256" t="s">
        <v>288</v>
      </c>
      <c r="F46" s="256"/>
      <c r="G46" s="256"/>
      <c r="H46" s="256"/>
      <c r="I46" s="256"/>
      <c r="J46" s="256"/>
      <c r="K46" s="256"/>
      <c r="L46" s="256"/>
      <c r="M46" s="256"/>
      <c r="N46" s="256"/>
    </row>
    <row r="47" spans="1:14" ht="27.6" x14ac:dyDescent="0.3">
      <c r="D47" s="186" t="s">
        <v>289</v>
      </c>
      <c r="E47" s="256"/>
      <c r="F47" s="256"/>
      <c r="G47" s="256"/>
      <c r="H47" s="256"/>
      <c r="I47" s="256"/>
      <c r="J47" s="256"/>
      <c r="K47" s="256"/>
      <c r="L47" s="256"/>
      <c r="M47" s="256"/>
      <c r="N47" s="256"/>
    </row>
  </sheetData>
  <mergeCells count="19">
    <mergeCell ref="K15:N15"/>
    <mergeCell ref="K32:N32"/>
    <mergeCell ref="A30:A31"/>
    <mergeCell ref="E5:I5"/>
    <mergeCell ref="E6:I6"/>
    <mergeCell ref="A11:A12"/>
    <mergeCell ref="A15:A16"/>
    <mergeCell ref="B15:B16"/>
    <mergeCell ref="C15:C16"/>
    <mergeCell ref="D15:D16"/>
    <mergeCell ref="A32:A33"/>
    <mergeCell ref="B32:B33"/>
    <mergeCell ref="C32:C33"/>
    <mergeCell ref="D32:G32"/>
    <mergeCell ref="H32:J32"/>
    <mergeCell ref="E15:F15"/>
    <mergeCell ref="G15:H15"/>
    <mergeCell ref="I15:J15"/>
    <mergeCell ref="B4:I4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368" t="s">
        <v>105</v>
      </c>
      <c r="I2" s="369"/>
      <c r="J2" s="369"/>
      <c r="K2" s="369"/>
      <c r="L2" s="369"/>
      <c r="M2" s="369"/>
      <c r="N2" s="37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71" t="s">
        <v>136</v>
      </c>
      <c r="I3" s="372"/>
      <c r="J3" s="372"/>
      <c r="K3" s="372"/>
      <c r="L3" s="372"/>
      <c r="M3" s="372"/>
      <c r="N3" s="373"/>
    </row>
    <row r="4" spans="1:14" ht="18.600000000000001" customHeight="1" thickBot="1" x14ac:dyDescent="0.35">
      <c r="A4" s="29" t="s">
        <v>38</v>
      </c>
      <c r="B4" s="374" t="s">
        <v>131</v>
      </c>
      <c r="C4" s="375"/>
      <c r="D4" s="375"/>
      <c r="E4" s="375"/>
      <c r="F4" s="376"/>
    </row>
    <row r="6" spans="1:14" ht="14.4" thickBot="1" x14ac:dyDescent="0.35"/>
    <row r="7" spans="1:14" ht="27.6" customHeight="1" x14ac:dyDescent="0.3">
      <c r="A7" s="357" t="s">
        <v>8</v>
      </c>
      <c r="B7" s="360" t="s">
        <v>9</v>
      </c>
      <c r="C7" s="361"/>
      <c r="D7" s="377" t="s">
        <v>12</v>
      </c>
      <c r="E7" s="360"/>
      <c r="F7" s="361"/>
      <c r="G7" s="377" t="s">
        <v>143</v>
      </c>
      <c r="H7" s="360"/>
      <c r="I7" s="362"/>
      <c r="J7" s="1" t="s">
        <v>144</v>
      </c>
    </row>
    <row r="8" spans="1:14" ht="27.6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9"/>
      <c r="B9" s="112">
        <f>JJ_Optim_Scenario!G17</f>
        <v>6590648.9000000004</v>
      </c>
      <c r="C9" s="113">
        <f>JJ_Optim_Scenario!H17</f>
        <v>8388098.5999999996</v>
      </c>
      <c r="D9" s="114">
        <f>JJ_Optim_Scenario!I17</f>
        <v>8388098.5999999996</v>
      </c>
      <c r="E9" s="119">
        <f>$B$13*D9+$C$13*D9*D9</f>
        <v>279087.0706775494</v>
      </c>
      <c r="F9" s="85">
        <f>$E$13*D9+$F$13*D9*D9</f>
        <v>3217873.9249121454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357" t="s">
        <v>42</v>
      </c>
      <c r="B11" s="360" t="s">
        <v>138</v>
      </c>
      <c r="C11" s="360"/>
      <c r="D11" s="360" t="s">
        <v>125</v>
      </c>
      <c r="E11" s="360" t="s">
        <v>137</v>
      </c>
      <c r="F11" s="360"/>
      <c r="G11" s="362" t="s">
        <v>134</v>
      </c>
      <c r="I11" s="141"/>
      <c r="J11" s="32"/>
    </row>
    <row r="12" spans="1:14" ht="24.6" customHeight="1" x14ac:dyDescent="0.3">
      <c r="A12" s="358"/>
      <c r="B12" s="91" t="s">
        <v>43</v>
      </c>
      <c r="C12" s="91" t="s">
        <v>44</v>
      </c>
      <c r="D12" s="344"/>
      <c r="E12" s="91" t="s">
        <v>132</v>
      </c>
      <c r="F12" s="91" t="s">
        <v>133</v>
      </c>
      <c r="G12" s="363"/>
      <c r="H12" s="298" t="s">
        <v>267</v>
      </c>
      <c r="I12" s="298" t="s">
        <v>268</v>
      </c>
      <c r="J12" s="32"/>
    </row>
    <row r="13" spans="1:14" ht="14.4" thickBot="1" x14ac:dyDescent="0.35">
      <c r="A13" s="359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296">
        <f>JJ_Optim_Scenario!D17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64" t="s">
        <v>135</v>
      </c>
      <c r="B14" s="364"/>
      <c r="C14" s="364"/>
      <c r="D14" s="364"/>
      <c r="E14" s="364"/>
      <c r="F14" s="364"/>
      <c r="G14" s="364"/>
      <c r="H14" s="39"/>
      <c r="I14" s="39"/>
      <c r="J14" s="39"/>
    </row>
    <row r="15" spans="1:14" ht="30.6" customHeight="1" x14ac:dyDescent="0.3">
      <c r="A15" s="365"/>
      <c r="B15" s="365"/>
      <c r="C15" s="365"/>
      <c r="D15" s="365"/>
      <c r="E15" s="365"/>
      <c r="F15" s="365"/>
      <c r="G15" s="365"/>
      <c r="H15" s="39"/>
      <c r="I15" s="39"/>
      <c r="J15" s="39"/>
    </row>
    <row r="17" spans="1:4" ht="14.4" thickBot="1" x14ac:dyDescent="0.35"/>
    <row r="18" spans="1:4" ht="16.8" customHeight="1" x14ac:dyDescent="0.3">
      <c r="A18" s="366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7"/>
      <c r="B19" s="103">
        <v>0</v>
      </c>
      <c r="C19" s="103">
        <v>15000000</v>
      </c>
      <c r="D19" s="26">
        <v>20</v>
      </c>
    </row>
    <row r="21" spans="1:4" x14ac:dyDescent="0.3">
      <c r="A21" s="344" t="s">
        <v>37</v>
      </c>
      <c r="B21" s="344"/>
      <c r="C21" s="344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299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299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299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299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299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299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299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299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299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299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299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299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299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299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299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299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299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299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299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299">
        <f t="shared" si="2"/>
        <v>549741061.89992487</v>
      </c>
    </row>
  </sheetData>
  <mergeCells count="15">
    <mergeCell ref="H2:N2"/>
    <mergeCell ref="H3:N3"/>
    <mergeCell ref="B4:F4"/>
    <mergeCell ref="D7:F7"/>
    <mergeCell ref="G7:I7"/>
    <mergeCell ref="E11:F11"/>
    <mergeCell ref="G11:G12"/>
    <mergeCell ref="A14:G15"/>
    <mergeCell ref="A11:A13"/>
    <mergeCell ref="A18:A19"/>
    <mergeCell ref="A7:A9"/>
    <mergeCell ref="B7:C7"/>
    <mergeCell ref="A21:C21"/>
    <mergeCell ref="B11:C11"/>
    <mergeCell ref="D11:D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368" t="s">
        <v>105</v>
      </c>
      <c r="I2" s="369"/>
      <c r="J2" s="369"/>
      <c r="K2" s="369"/>
      <c r="L2" s="369"/>
      <c r="M2" s="369"/>
      <c r="N2" s="37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71" t="s">
        <v>136</v>
      </c>
      <c r="I3" s="372"/>
      <c r="J3" s="372"/>
      <c r="K3" s="372"/>
      <c r="L3" s="372"/>
      <c r="M3" s="372"/>
      <c r="N3" s="373"/>
    </row>
    <row r="4" spans="1:14" ht="18.600000000000001" customHeight="1" thickBot="1" x14ac:dyDescent="0.35">
      <c r="A4" s="29" t="s">
        <v>38</v>
      </c>
      <c r="B4" s="374" t="s">
        <v>131</v>
      </c>
      <c r="C4" s="375"/>
      <c r="D4" s="375"/>
      <c r="E4" s="375"/>
      <c r="F4" s="376"/>
    </row>
    <row r="6" spans="1:14" ht="14.4" thickBot="1" x14ac:dyDescent="0.35"/>
    <row r="7" spans="1:14" ht="27.6" customHeight="1" x14ac:dyDescent="0.3">
      <c r="A7" s="357" t="s">
        <v>8</v>
      </c>
      <c r="B7" s="360" t="s">
        <v>9</v>
      </c>
      <c r="C7" s="361"/>
      <c r="D7" s="377" t="s">
        <v>12</v>
      </c>
      <c r="E7" s="360"/>
      <c r="F7" s="361"/>
      <c r="G7" s="377" t="s">
        <v>143</v>
      </c>
      <c r="H7" s="360"/>
      <c r="I7" s="362"/>
      <c r="J7" s="1" t="s">
        <v>144</v>
      </c>
    </row>
    <row r="8" spans="1:14" ht="27.6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9"/>
      <c r="B9" s="112">
        <f>JJ_Optim_Scenario!G18</f>
        <v>10927304.5</v>
      </c>
      <c r="C9" s="113">
        <f>JJ_Optim_Scenario!H18</f>
        <v>20293565.5</v>
      </c>
      <c r="D9" s="114">
        <f>JJ_Optim_Scenario!I18</f>
        <v>20293565.5</v>
      </c>
      <c r="E9" s="119">
        <f>$B$13*D9+$C$13*D9*D9</f>
        <v>300303.17113274895</v>
      </c>
      <c r="F9" s="85">
        <f>$E$13*D9+$F$13*D9*D9</f>
        <v>3462495.5631605955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357" t="s">
        <v>42</v>
      </c>
      <c r="B11" s="360" t="s">
        <v>138</v>
      </c>
      <c r="C11" s="360"/>
      <c r="D11" s="360" t="s">
        <v>125</v>
      </c>
      <c r="E11" s="360" t="s">
        <v>137</v>
      </c>
      <c r="F11" s="360"/>
      <c r="G11" s="362" t="s">
        <v>134</v>
      </c>
      <c r="J11" s="32"/>
    </row>
    <row r="12" spans="1:14" ht="24.6" customHeight="1" x14ac:dyDescent="0.3">
      <c r="A12" s="358"/>
      <c r="B12" s="91" t="s">
        <v>43</v>
      </c>
      <c r="C12" s="91" t="s">
        <v>44</v>
      </c>
      <c r="D12" s="344"/>
      <c r="E12" s="91" t="s">
        <v>132</v>
      </c>
      <c r="F12" s="91" t="s">
        <v>133</v>
      </c>
      <c r="G12" s="363"/>
      <c r="H12" s="298" t="s">
        <v>267</v>
      </c>
      <c r="I12" s="298" t="s">
        <v>268</v>
      </c>
      <c r="J12" s="32"/>
    </row>
    <row r="13" spans="1:14" ht="14.4" thickBot="1" x14ac:dyDescent="0.35">
      <c r="A13" s="359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296">
        <f>JJ_Optim_Scenario!D18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64" t="s">
        <v>135</v>
      </c>
      <c r="B14" s="364"/>
      <c r="C14" s="364"/>
      <c r="D14" s="364"/>
      <c r="E14" s="364"/>
      <c r="F14" s="364"/>
      <c r="G14" s="364"/>
      <c r="H14" s="39"/>
      <c r="I14" s="39"/>
      <c r="J14" s="39"/>
    </row>
    <row r="15" spans="1:14" ht="30.6" customHeight="1" x14ac:dyDescent="0.3">
      <c r="A15" s="365"/>
      <c r="B15" s="365"/>
      <c r="C15" s="365"/>
      <c r="D15" s="365"/>
      <c r="E15" s="365"/>
      <c r="F15" s="365"/>
      <c r="G15" s="365"/>
      <c r="H15" s="39"/>
      <c r="I15" s="39"/>
      <c r="J15" s="39"/>
    </row>
    <row r="17" spans="1:4" ht="14.4" thickBot="1" x14ac:dyDescent="0.35"/>
    <row r="18" spans="1:4" ht="16.8" customHeight="1" x14ac:dyDescent="0.3">
      <c r="A18" s="366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7"/>
      <c r="B19" s="103">
        <v>0</v>
      </c>
      <c r="C19" s="103">
        <v>40000000</v>
      </c>
      <c r="D19" s="26">
        <v>20</v>
      </c>
    </row>
    <row r="21" spans="1:4" x14ac:dyDescent="0.3">
      <c r="A21" s="344" t="s">
        <v>37</v>
      </c>
      <c r="B21" s="344"/>
      <c r="C21" s="344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299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299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299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299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299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299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299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299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299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299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299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299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299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299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299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299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299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299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299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299">
        <f t="shared" si="2"/>
        <v>662593713.01496136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topLeftCell="A16" workbookViewId="0">
      <selection activeCell="D23" sqref="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68" t="s">
        <v>105</v>
      </c>
      <c r="I2" s="369"/>
      <c r="J2" s="369"/>
      <c r="K2" s="369"/>
      <c r="L2" s="369"/>
      <c r="M2" s="369"/>
      <c r="N2" s="370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71" t="s">
        <v>136</v>
      </c>
      <c r="I3" s="372"/>
      <c r="J3" s="372"/>
      <c r="K3" s="372"/>
      <c r="L3" s="372"/>
      <c r="M3" s="372"/>
      <c r="N3" s="373"/>
    </row>
    <row r="4" spans="1:14" ht="18.600000000000001" customHeight="1" thickBot="1" x14ac:dyDescent="0.35">
      <c r="A4" s="29" t="s">
        <v>38</v>
      </c>
      <c r="B4" s="374" t="s">
        <v>131</v>
      </c>
      <c r="C4" s="375"/>
      <c r="D4" s="375"/>
      <c r="E4" s="375"/>
      <c r="F4" s="376"/>
    </row>
    <row r="6" spans="1:14" ht="14.4" thickBot="1" x14ac:dyDescent="0.35"/>
    <row r="7" spans="1:14" ht="27.6" customHeight="1" x14ac:dyDescent="0.3">
      <c r="A7" s="357" t="s">
        <v>8</v>
      </c>
      <c r="B7" s="360" t="s">
        <v>9</v>
      </c>
      <c r="C7" s="361"/>
      <c r="D7" s="377" t="s">
        <v>12</v>
      </c>
      <c r="E7" s="360"/>
      <c r="F7" s="361"/>
      <c r="G7" s="377" t="s">
        <v>143</v>
      </c>
      <c r="H7" s="360"/>
      <c r="I7" s="362"/>
      <c r="J7" s="1" t="s">
        <v>144</v>
      </c>
    </row>
    <row r="8" spans="1:14" ht="27.6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9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357" t="s">
        <v>42</v>
      </c>
      <c r="B11" s="360" t="s">
        <v>138</v>
      </c>
      <c r="C11" s="360"/>
      <c r="D11" s="360" t="s">
        <v>125</v>
      </c>
      <c r="E11" s="360" t="s">
        <v>137</v>
      </c>
      <c r="F11" s="360"/>
      <c r="G11" s="362" t="s">
        <v>134</v>
      </c>
      <c r="J11" s="32"/>
    </row>
    <row r="12" spans="1:14" ht="24.6" customHeight="1" x14ac:dyDescent="0.3">
      <c r="A12" s="358"/>
      <c r="B12" s="91" t="s">
        <v>43</v>
      </c>
      <c r="C12" s="91" t="s">
        <v>44</v>
      </c>
      <c r="D12" s="344"/>
      <c r="E12" s="91" t="s">
        <v>132</v>
      </c>
      <c r="F12" s="91" t="s">
        <v>133</v>
      </c>
      <c r="G12" s="363"/>
      <c r="H12" s="298" t="s">
        <v>267</v>
      </c>
      <c r="I12" s="298" t="s">
        <v>268</v>
      </c>
      <c r="J12" s="32"/>
    </row>
    <row r="13" spans="1:14" ht="14.4" thickBot="1" x14ac:dyDescent="0.35">
      <c r="A13" s="359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64" t="s">
        <v>135</v>
      </c>
      <c r="B14" s="364"/>
      <c r="C14" s="364"/>
      <c r="D14" s="364"/>
      <c r="E14" s="364"/>
      <c r="F14" s="364"/>
      <c r="G14" s="364"/>
      <c r="H14" s="39"/>
      <c r="I14" s="39"/>
      <c r="J14" s="39"/>
    </row>
    <row r="15" spans="1:14" ht="30.6" customHeight="1" x14ac:dyDescent="0.3">
      <c r="A15" s="365"/>
      <c r="B15" s="365"/>
      <c r="C15" s="365"/>
      <c r="D15" s="365"/>
      <c r="E15" s="365"/>
      <c r="F15" s="365"/>
      <c r="G15" s="365"/>
      <c r="H15" s="39"/>
      <c r="I15" s="39"/>
      <c r="J15" s="39"/>
    </row>
    <row r="17" spans="1:4" ht="14.4" thickBot="1" x14ac:dyDescent="0.35"/>
    <row r="18" spans="1:4" ht="16.8" customHeight="1" x14ac:dyDescent="0.3">
      <c r="A18" s="366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7"/>
      <c r="B19" s="103">
        <v>0</v>
      </c>
      <c r="C19" s="103">
        <v>60000000</v>
      </c>
      <c r="D19" s="26">
        <v>20</v>
      </c>
    </row>
    <row r="21" spans="1:4" x14ac:dyDescent="0.3">
      <c r="A21" s="344" t="s">
        <v>37</v>
      </c>
      <c r="B21" s="344"/>
      <c r="C21" s="344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299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299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299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299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299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299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299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299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299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299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299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299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299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299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299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299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299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299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299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299">
        <f t="shared" si="2"/>
        <v>1252762298.4731474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68" t="s">
        <v>105</v>
      </c>
      <c r="I2" s="369"/>
      <c r="J2" s="369"/>
      <c r="K2" s="369"/>
      <c r="L2" s="369"/>
      <c r="M2" s="369"/>
      <c r="N2" s="370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371" t="s">
        <v>136</v>
      </c>
      <c r="I3" s="372"/>
      <c r="J3" s="372"/>
      <c r="K3" s="372"/>
      <c r="L3" s="372"/>
      <c r="M3" s="372"/>
      <c r="N3" s="373"/>
    </row>
    <row r="4" spans="1:14" ht="18.600000000000001" customHeight="1" thickBot="1" x14ac:dyDescent="0.35">
      <c r="A4" s="29" t="s">
        <v>38</v>
      </c>
      <c r="B4" s="374" t="s">
        <v>131</v>
      </c>
      <c r="C4" s="375"/>
      <c r="D4" s="375"/>
      <c r="E4" s="375"/>
      <c r="F4" s="376"/>
    </row>
    <row r="6" spans="1:14" ht="14.4" thickBot="1" x14ac:dyDescent="0.35"/>
    <row r="7" spans="1:14" ht="27.6" customHeight="1" x14ac:dyDescent="0.3">
      <c r="A7" s="357" t="s">
        <v>8</v>
      </c>
      <c r="B7" s="360" t="s">
        <v>9</v>
      </c>
      <c r="C7" s="361"/>
      <c r="D7" s="377" t="s">
        <v>12</v>
      </c>
      <c r="E7" s="360"/>
      <c r="F7" s="361"/>
      <c r="G7" s="377" t="s">
        <v>143</v>
      </c>
      <c r="H7" s="360"/>
      <c r="I7" s="362"/>
      <c r="J7" s="1" t="s">
        <v>144</v>
      </c>
    </row>
    <row r="8" spans="1:14" ht="27.6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9"/>
      <c r="B9" s="112">
        <f>JJ_Optim_Scenario!E19</f>
        <v>3804716</v>
      </c>
      <c r="C9" s="113">
        <f>JJ_Optim_Scenario!H19</f>
        <v>4946130.8</v>
      </c>
      <c r="D9" s="114">
        <f>JJ_Optim_Scenario!I19</f>
        <v>2663301.1999999997</v>
      </c>
      <c r="E9" s="119">
        <f>$B$13*D9+$C$13*D9*D9</f>
        <v>9140.6147807429006</v>
      </c>
      <c r="F9" s="85">
        <f>$E$13*D9+$F$13*D9*D9</f>
        <v>105391.28842196563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357" t="s">
        <v>42</v>
      </c>
      <c r="B11" s="360" t="s">
        <v>138</v>
      </c>
      <c r="C11" s="360"/>
      <c r="D11" s="360" t="s">
        <v>125</v>
      </c>
      <c r="E11" s="360" t="s">
        <v>137</v>
      </c>
      <c r="F11" s="360"/>
      <c r="G11" s="362" t="s">
        <v>134</v>
      </c>
      <c r="J11" s="32"/>
    </row>
    <row r="12" spans="1:14" ht="24.6" customHeight="1" x14ac:dyDescent="0.3">
      <c r="A12" s="358"/>
      <c r="B12" s="91" t="s">
        <v>43</v>
      </c>
      <c r="C12" s="91" t="s">
        <v>44</v>
      </c>
      <c r="D12" s="344"/>
      <c r="E12" s="91" t="s">
        <v>132</v>
      </c>
      <c r="F12" s="91" t="s">
        <v>133</v>
      </c>
      <c r="G12" s="363"/>
      <c r="H12" s="298" t="s">
        <v>267</v>
      </c>
      <c r="I12" s="298" t="s">
        <v>268</v>
      </c>
      <c r="J12" s="32"/>
    </row>
    <row r="13" spans="1:14" ht="14.4" thickBot="1" x14ac:dyDescent="0.35">
      <c r="A13" s="359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296">
        <f>JJ_Optim_Scenario!D19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64" t="s">
        <v>135</v>
      </c>
      <c r="B14" s="364"/>
      <c r="C14" s="364"/>
      <c r="D14" s="364"/>
      <c r="E14" s="364"/>
      <c r="F14" s="364"/>
      <c r="G14" s="364"/>
      <c r="H14" s="39"/>
      <c r="I14" s="39"/>
      <c r="J14" s="39"/>
    </row>
    <row r="15" spans="1:14" ht="30.6" customHeight="1" x14ac:dyDescent="0.3">
      <c r="A15" s="365"/>
      <c r="B15" s="365"/>
      <c r="C15" s="365"/>
      <c r="D15" s="365"/>
      <c r="E15" s="365"/>
      <c r="F15" s="365"/>
      <c r="G15" s="365"/>
      <c r="H15" s="39"/>
      <c r="I15" s="39"/>
      <c r="J15" s="39"/>
    </row>
    <row r="17" spans="1:4" ht="14.4" thickBot="1" x14ac:dyDescent="0.35"/>
    <row r="18" spans="1:4" ht="16.8" customHeight="1" x14ac:dyDescent="0.3">
      <c r="A18" s="366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7"/>
      <c r="B19" s="103">
        <v>0</v>
      </c>
      <c r="C19" s="103">
        <v>10000000</v>
      </c>
      <c r="D19" s="26">
        <v>20</v>
      </c>
    </row>
    <row r="21" spans="1:4" x14ac:dyDescent="0.3">
      <c r="A21" s="344" t="s">
        <v>37</v>
      </c>
      <c r="B21" s="344"/>
      <c r="C21" s="344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299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299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299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299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299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299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299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299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299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299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299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299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299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299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299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299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299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299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299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299">
        <f t="shared" si="2"/>
        <v>38373266.546987124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9" workbookViewId="0">
      <selection activeCell="D29" sqref="D29:D30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345" t="s">
        <v>105</v>
      </c>
      <c r="N2" s="346"/>
      <c r="O2" s="346"/>
      <c r="P2" s="346"/>
      <c r="Q2" s="346"/>
      <c r="R2" s="346"/>
      <c r="S2" s="347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348" t="s">
        <v>72</v>
      </c>
      <c r="N3" s="349"/>
      <c r="O3" s="349"/>
      <c r="P3" s="349"/>
      <c r="Q3" s="349"/>
      <c r="R3" s="349"/>
      <c r="S3" s="350"/>
    </row>
    <row r="4" spans="1:25" ht="15" customHeight="1" thickBot="1" x14ac:dyDescent="0.35">
      <c r="A4" s="29" t="s">
        <v>38</v>
      </c>
      <c r="B4" s="374" t="s">
        <v>57</v>
      </c>
      <c r="C4" s="375"/>
      <c r="D4" s="375"/>
      <c r="E4" s="375"/>
      <c r="F4" s="376"/>
    </row>
    <row r="6" spans="1:25" ht="14.4" thickBot="1" x14ac:dyDescent="0.35"/>
    <row r="7" spans="1:25" ht="27.6" customHeight="1" x14ac:dyDescent="0.3">
      <c r="A7" s="357" t="s">
        <v>8</v>
      </c>
      <c r="B7" s="360" t="s">
        <v>9</v>
      </c>
      <c r="C7" s="360"/>
      <c r="D7" s="360" t="s">
        <v>12</v>
      </c>
      <c r="E7" s="360"/>
      <c r="F7" s="360"/>
      <c r="G7" s="360" t="s">
        <v>143</v>
      </c>
      <c r="H7" s="360"/>
      <c r="I7" s="362"/>
      <c r="J7" s="378" t="s">
        <v>144</v>
      </c>
      <c r="K7" s="379"/>
      <c r="M7" s="389" t="s">
        <v>73</v>
      </c>
      <c r="N7" s="389"/>
      <c r="O7" s="389"/>
      <c r="P7" s="389"/>
      <c r="R7" s="47" t="s">
        <v>58</v>
      </c>
    </row>
    <row r="8" spans="1:25" ht="27.6" x14ac:dyDescent="0.3">
      <c r="A8" s="358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389"/>
      <c r="N8" s="389"/>
      <c r="O8" s="389"/>
      <c r="P8" s="389"/>
      <c r="R8" s="47" t="s">
        <v>59</v>
      </c>
    </row>
    <row r="9" spans="1:25" ht="14.4" thickBot="1" x14ac:dyDescent="0.35">
      <c r="A9" s="359"/>
      <c r="B9" s="112">
        <f>JJ_Optim_Scenario!G20</f>
        <v>7548000</v>
      </c>
      <c r="C9" s="112">
        <f>JJ_Optim_Scenario!H20</f>
        <v>11988000</v>
      </c>
      <c r="D9" s="117">
        <f>JJ_Optim_Scenario!I20</f>
        <v>7548000.0000000009</v>
      </c>
      <c r="E9" s="118">
        <f>csplinePred($B$14:$B$20,$C$14:$C$20,$H$14:$O$20,D9)*$C$12</f>
        <v>3120.1549415380823</v>
      </c>
      <c r="F9" s="118">
        <f>E9*$C$11</f>
        <v>35975.386475934087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357" t="s">
        <v>148</v>
      </c>
      <c r="B11" s="93" t="s">
        <v>149</v>
      </c>
      <c r="C11" s="10">
        <v>11.53</v>
      </c>
      <c r="D11" s="298" t="s">
        <v>267</v>
      </c>
      <c r="E11" s="298" t="s">
        <v>268</v>
      </c>
    </row>
    <row r="12" spans="1:25" ht="38.4" customHeight="1" thickBot="1" x14ac:dyDescent="0.35">
      <c r="A12" s="359"/>
      <c r="B12" s="137" t="s">
        <v>134</v>
      </c>
      <c r="C12" s="296">
        <f>JJ_Optim_Scenario!D20</f>
        <v>1</v>
      </c>
      <c r="D12" s="184">
        <f>JJ_Optim_Scenario!$I$31</f>
        <v>116.39999999999999</v>
      </c>
      <c r="E12" s="184">
        <f>JJ_Optim_Scenario!$F$31</f>
        <v>1118</v>
      </c>
    </row>
    <row r="13" spans="1:25" ht="13.8" customHeight="1" x14ac:dyDescent="0.3">
      <c r="A13" s="357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380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358"/>
      <c r="B14" s="125">
        <v>0</v>
      </c>
      <c r="C14" s="127">
        <v>0</v>
      </c>
      <c r="D14" s="133">
        <f>C14*$C$11</f>
        <v>0</v>
      </c>
      <c r="E14" s="130"/>
      <c r="G14" s="381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358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381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358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381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358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381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358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381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358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381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359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382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383" t="s">
        <v>74</v>
      </c>
      <c r="B21" s="384"/>
      <c r="C21" s="385"/>
      <c r="D21" s="33"/>
      <c r="G21" s="365" t="s">
        <v>75</v>
      </c>
      <c r="H21" s="365"/>
      <c r="I21" s="365"/>
      <c r="J21" s="365"/>
      <c r="K21" s="365"/>
      <c r="L21" s="365"/>
      <c r="M21" s="365"/>
      <c r="N21" s="365"/>
      <c r="O21" s="365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386"/>
      <c r="B22" s="387"/>
      <c r="C22" s="388"/>
      <c r="D22" s="33"/>
      <c r="G22" s="365"/>
      <c r="H22" s="365"/>
      <c r="I22" s="365"/>
      <c r="J22" s="365"/>
      <c r="K22" s="365"/>
      <c r="L22" s="365"/>
      <c r="M22" s="365"/>
      <c r="N22" s="365"/>
      <c r="O22" s="365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366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367"/>
      <c r="B26" s="103">
        <v>0</v>
      </c>
      <c r="C26" s="103">
        <v>20000000</v>
      </c>
      <c r="D26" s="26">
        <v>20</v>
      </c>
    </row>
    <row r="28" spans="1:25" x14ac:dyDescent="0.3">
      <c r="A28" s="344" t="s">
        <v>37</v>
      </c>
      <c r="B28" s="344"/>
      <c r="C28" s="344"/>
    </row>
    <row r="29" spans="1:25" x14ac:dyDescent="0.3">
      <c r="A29" s="91" t="s">
        <v>35</v>
      </c>
      <c r="B29" s="91" t="s">
        <v>127</v>
      </c>
      <c r="C29" s="91" t="s">
        <v>156</v>
      </c>
      <c r="D29" s="298" t="s">
        <v>269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299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299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299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299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299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299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299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299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299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299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299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299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299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299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299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299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299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299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299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299">
        <f t="shared" si="2"/>
        <v>5040742.6756750345</v>
      </c>
    </row>
  </sheetData>
  <mergeCells count="16">
    <mergeCell ref="M2:S2"/>
    <mergeCell ref="M3:S3"/>
    <mergeCell ref="A7:A9"/>
    <mergeCell ref="B7:C7"/>
    <mergeCell ref="M7:P8"/>
    <mergeCell ref="B4:F4"/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</mergeCells>
  <pageMargins left="0.7" right="0.7" top="0.75" bottom="0.75" header="0.3" footer="0.3"/>
  <pageSetup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93" t="s">
        <v>111</v>
      </c>
      <c r="C4" s="393"/>
      <c r="D4" s="393"/>
      <c r="E4" s="393"/>
      <c r="F4" s="394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7" t="s">
        <v>8</v>
      </c>
      <c r="B7" s="360" t="s">
        <v>9</v>
      </c>
      <c r="C7" s="361"/>
      <c r="D7" s="395" t="s">
        <v>12</v>
      </c>
      <c r="E7" s="396"/>
      <c r="F7" s="397"/>
      <c r="G7" s="360" t="s">
        <v>143</v>
      </c>
      <c r="H7" s="360"/>
      <c r="I7" s="362"/>
      <c r="J7" s="1" t="s">
        <v>144</v>
      </c>
    </row>
    <row r="8" spans="1:18" ht="28.2" customHeight="1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9"/>
      <c r="B9" s="80">
        <f>JJ_Optim_Scenario!G21</f>
        <v>16067799.999999998</v>
      </c>
      <c r="C9" s="80">
        <f>JJ_Optim_Scenario!H21</f>
        <v>29840200</v>
      </c>
      <c r="D9" s="95">
        <f>JJ_Optim_Scenario!I21</f>
        <v>29840200</v>
      </c>
      <c r="E9" s="118">
        <f>((($R$12/(1+EXP($P$12+$Q$12*D9)))-1) - ($F$12-$C$12))*$I$12</f>
        <v>172716.05387802981</v>
      </c>
      <c r="F9" s="145">
        <f>E9*$G$12</f>
        <v>1991416.1012136836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35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66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9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297">
        <f>JJ_Optim_Scenario!D21</f>
        <v>1</v>
      </c>
      <c r="K12" s="367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390" t="s">
        <v>119</v>
      </c>
      <c r="B13" s="391"/>
      <c r="C13" s="391"/>
      <c r="D13" s="391"/>
      <c r="E13" s="391"/>
      <c r="F13" s="392"/>
      <c r="G13" s="298" t="s">
        <v>267</v>
      </c>
      <c r="H13" s="298" t="s">
        <v>268</v>
      </c>
      <c r="K13" s="390" t="s">
        <v>120</v>
      </c>
      <c r="L13" s="391"/>
      <c r="M13" s="391"/>
      <c r="N13" s="391"/>
      <c r="O13" s="391"/>
      <c r="P13" s="391"/>
      <c r="Q13" s="391"/>
      <c r="R13" s="392"/>
    </row>
    <row r="14" spans="1:18" ht="33.6" customHeight="1" thickBot="1" x14ac:dyDescent="0.35">
      <c r="A14" s="386"/>
      <c r="B14" s="387"/>
      <c r="C14" s="387"/>
      <c r="D14" s="387"/>
      <c r="E14" s="387"/>
      <c r="F14" s="388"/>
      <c r="G14" s="184">
        <f>JJ_Optim_Scenario!$I$31</f>
        <v>116.39999999999999</v>
      </c>
      <c r="H14" s="184">
        <f>JJ_Optim_Scenario!$F$31</f>
        <v>1118</v>
      </c>
      <c r="K14" s="386"/>
      <c r="L14" s="387"/>
      <c r="M14" s="387"/>
      <c r="N14" s="387"/>
      <c r="O14" s="387"/>
      <c r="P14" s="387"/>
      <c r="Q14" s="387"/>
      <c r="R14" s="388"/>
    </row>
    <row r="16" spans="1:18" ht="14.4" thickBot="1" x14ac:dyDescent="0.35"/>
    <row r="17" spans="1:8" ht="42.6" customHeight="1" x14ac:dyDescent="0.3">
      <c r="A17" s="366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7"/>
      <c r="B18" s="102">
        <v>0</v>
      </c>
      <c r="C18" s="103">
        <v>60000000</v>
      </c>
      <c r="D18" s="26">
        <v>20</v>
      </c>
    </row>
    <row r="20" spans="1:8" x14ac:dyDescent="0.3">
      <c r="A20" s="344" t="s">
        <v>37</v>
      </c>
      <c r="B20" s="344"/>
      <c r="C20" s="344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299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299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299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299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299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299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299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299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299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299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299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299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299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299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299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299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299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299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299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299">
        <f t="shared" si="2"/>
        <v>325669640.47273898</v>
      </c>
    </row>
  </sheetData>
  <mergeCells count="11">
    <mergeCell ref="A20:C20"/>
    <mergeCell ref="B4:F4"/>
    <mergeCell ref="A7:A9"/>
    <mergeCell ref="B7:C7"/>
    <mergeCell ref="D7:F7"/>
    <mergeCell ref="A11:A12"/>
    <mergeCell ref="G7:I7"/>
    <mergeCell ref="K13:R14"/>
    <mergeCell ref="K11:K12"/>
    <mergeCell ref="A13:F14"/>
    <mergeCell ref="A17:A18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93" t="s">
        <v>111</v>
      </c>
      <c r="C4" s="393"/>
      <c r="D4" s="393"/>
      <c r="E4" s="393"/>
      <c r="F4" s="394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357" t="s">
        <v>8</v>
      </c>
      <c r="B7" s="360" t="s">
        <v>9</v>
      </c>
      <c r="C7" s="361"/>
      <c r="D7" s="395" t="s">
        <v>12</v>
      </c>
      <c r="E7" s="396"/>
      <c r="F7" s="397"/>
      <c r="G7" s="360" t="s">
        <v>143</v>
      </c>
      <c r="H7" s="360"/>
      <c r="I7" s="362"/>
      <c r="J7" s="1" t="s">
        <v>144</v>
      </c>
    </row>
    <row r="8" spans="1:18" ht="28.2" customHeight="1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9"/>
      <c r="B9" s="80">
        <f>JJ_Optim_Scenario!G22</f>
        <v>5473288.7999999998</v>
      </c>
      <c r="C9" s="80">
        <f>JJ_Optim_Scenario!H22</f>
        <v>10164679.200000001</v>
      </c>
      <c r="D9" s="95">
        <f>JJ_Optim_Scenario!I22</f>
        <v>7975868.0909795146</v>
      </c>
      <c r="E9" s="118">
        <f>((($R$12/(1+EXP($P$12+$Q$12*D9)))-1) - ($F$12-$C$12))*$I$12</f>
        <v>33392.106967466883</v>
      </c>
      <c r="F9" s="145">
        <f>E9*$G$12</f>
        <v>385010.99333489314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35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66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9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297">
        <f>JJ_Optim_Scenario!D22</f>
        <v>1</v>
      </c>
      <c r="K12" s="367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390" t="s">
        <v>119</v>
      </c>
      <c r="B13" s="391"/>
      <c r="C13" s="391"/>
      <c r="D13" s="391"/>
      <c r="E13" s="391"/>
      <c r="F13" s="392"/>
      <c r="G13" s="298" t="s">
        <v>267</v>
      </c>
      <c r="H13" s="298" t="s">
        <v>268</v>
      </c>
      <c r="K13" s="390" t="s">
        <v>120</v>
      </c>
      <c r="L13" s="391"/>
      <c r="M13" s="391"/>
      <c r="N13" s="391"/>
      <c r="O13" s="391"/>
      <c r="P13" s="391"/>
      <c r="Q13" s="391"/>
      <c r="R13" s="392"/>
    </row>
    <row r="14" spans="1:18" ht="33.6" customHeight="1" thickBot="1" x14ac:dyDescent="0.35">
      <c r="A14" s="386"/>
      <c r="B14" s="387"/>
      <c r="C14" s="387"/>
      <c r="D14" s="387"/>
      <c r="E14" s="387"/>
      <c r="F14" s="388"/>
      <c r="G14" s="184">
        <f>JJ_Optim_Scenario!$I$31</f>
        <v>116.39999999999999</v>
      </c>
      <c r="H14" s="184">
        <f>JJ_Optim_Scenario!$F$31</f>
        <v>1118</v>
      </c>
      <c r="K14" s="386"/>
      <c r="L14" s="387"/>
      <c r="M14" s="387"/>
      <c r="N14" s="387"/>
      <c r="O14" s="387"/>
      <c r="P14" s="387"/>
      <c r="Q14" s="387"/>
      <c r="R14" s="388"/>
    </row>
    <row r="16" spans="1:18" ht="14.4" thickBot="1" x14ac:dyDescent="0.35"/>
    <row r="17" spans="1:8" ht="42.6" customHeight="1" x14ac:dyDescent="0.3">
      <c r="A17" s="366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7"/>
      <c r="B18" s="102">
        <v>0</v>
      </c>
      <c r="C18" s="103">
        <v>30000000</v>
      </c>
      <c r="D18" s="26">
        <v>20</v>
      </c>
    </row>
    <row r="20" spans="1:8" x14ac:dyDescent="0.3">
      <c r="A20" s="344" t="s">
        <v>37</v>
      </c>
      <c r="B20" s="344"/>
      <c r="C20" s="344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299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299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299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299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299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299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299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299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299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299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299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299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299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299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299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299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299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299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299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299">
        <f t="shared" si="2"/>
        <v>104150341.40321961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93" t="s">
        <v>111</v>
      </c>
      <c r="C4" s="393"/>
      <c r="D4" s="393"/>
      <c r="E4" s="393"/>
      <c r="F4" s="394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7" t="s">
        <v>8</v>
      </c>
      <c r="B7" s="360" t="s">
        <v>9</v>
      </c>
      <c r="C7" s="361"/>
      <c r="D7" s="395" t="s">
        <v>12</v>
      </c>
      <c r="E7" s="396"/>
      <c r="F7" s="397"/>
      <c r="G7" s="360" t="s">
        <v>143</v>
      </c>
      <c r="H7" s="360"/>
      <c r="I7" s="362"/>
      <c r="J7" s="1" t="s">
        <v>144</v>
      </c>
    </row>
    <row r="8" spans="1:18" ht="28.2" customHeight="1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9"/>
      <c r="B9" s="80">
        <f>JJ_Optim_Scenario!G23</f>
        <v>3347866.1999999997</v>
      </c>
      <c r="C9" s="80">
        <f>JJ_Optim_Scenario!H23</f>
        <v>6217465.7999999998</v>
      </c>
      <c r="D9" s="95">
        <f>JJ_Optim_Scenario!I23</f>
        <v>3347866.1999999997</v>
      </c>
      <c r="E9" s="118">
        <f>((($R$12/(1+EXP($P$12+$Q$12*D9)))-1) - ($F$12-$C$12))*$I$12</f>
        <v>5610.3927287058905</v>
      </c>
      <c r="F9" s="145">
        <f>E9*$G$12</f>
        <v>64687.828161978912</v>
      </c>
      <c r="G9" s="80">
        <f>JJ_Optim_Scenario!E23</f>
        <v>4782666</v>
      </c>
      <c r="H9" s="121">
        <f>((($R$12/(1+EXP($P$12+$Q$12*G9)))-1) - ($F$12-$C$12))*$I$12</f>
        <v>7922.3256312394515</v>
      </c>
      <c r="I9" s="146">
        <f>H9*$G$12</f>
        <v>91344.414528190871</v>
      </c>
      <c r="J9" s="123">
        <f>G9/I9</f>
        <v>52.358603694634937</v>
      </c>
      <c r="K9" s="1" t="s">
        <v>142</v>
      </c>
    </row>
    <row r="10" spans="1:18" ht="14.4" thickBot="1" x14ac:dyDescent="0.35"/>
    <row r="11" spans="1:18" ht="61.8" customHeight="1" x14ac:dyDescent="0.3">
      <c r="A11" s="35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366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9"/>
      <c r="B12" s="80">
        <v>5685666</v>
      </c>
      <c r="C12" s="86">
        <v>9349.7307908118928</v>
      </c>
      <c r="D12" s="12">
        <v>0</v>
      </c>
      <c r="E12" s="86">
        <v>103300</v>
      </c>
      <c r="F12" s="97">
        <v>5165000</v>
      </c>
      <c r="G12" s="148">
        <v>11.53</v>
      </c>
      <c r="H12" s="98">
        <f>C12*G12</f>
        <v>107802.39601806112</v>
      </c>
      <c r="I12" s="297">
        <f>JJ_Optim_Scenario!D23</f>
        <v>1</v>
      </c>
      <c r="K12" s="367"/>
      <c r="L12" s="98">
        <f>F12-C12</f>
        <v>5155650.2692091884</v>
      </c>
      <c r="M12" s="98">
        <f>L12+E12</f>
        <v>5258950.2692091884</v>
      </c>
      <c r="N12" s="99">
        <f>B12</f>
        <v>5685666</v>
      </c>
      <c r="O12" s="98">
        <f>F12</f>
        <v>5165000</v>
      </c>
      <c r="P12" s="24">
        <f>LN((($M$12+1)/($L$12+1))-1)</f>
        <v>-3.9102113497285353</v>
      </c>
      <c r="Q12" s="100">
        <f>(LN((($M$12+1)/($O$12+1))-1)-$P$12)/$N$12</f>
        <v>-1.7004803681565007E-8</v>
      </c>
      <c r="R12" s="101">
        <f>M12+1</f>
        <v>5258951.2692091884</v>
      </c>
    </row>
    <row r="13" spans="1:18" ht="34.200000000000003" customHeight="1" x14ac:dyDescent="0.3">
      <c r="A13" s="390" t="s">
        <v>119</v>
      </c>
      <c r="B13" s="391"/>
      <c r="C13" s="391"/>
      <c r="D13" s="391"/>
      <c r="E13" s="391"/>
      <c r="F13" s="392"/>
      <c r="G13" s="298" t="s">
        <v>267</v>
      </c>
      <c r="H13" s="298" t="s">
        <v>268</v>
      </c>
      <c r="K13" s="390" t="s">
        <v>120</v>
      </c>
      <c r="L13" s="391"/>
      <c r="M13" s="391"/>
      <c r="N13" s="391"/>
      <c r="O13" s="391"/>
      <c r="P13" s="391"/>
      <c r="Q13" s="391"/>
      <c r="R13" s="392"/>
    </row>
    <row r="14" spans="1:18" ht="33.6" customHeight="1" thickBot="1" x14ac:dyDescent="0.35">
      <c r="A14" s="386"/>
      <c r="B14" s="387"/>
      <c r="C14" s="387"/>
      <c r="D14" s="387"/>
      <c r="E14" s="387"/>
      <c r="F14" s="388"/>
      <c r="G14" s="184">
        <f>JJ_Optim_Scenario!$I$31</f>
        <v>116.39999999999999</v>
      </c>
      <c r="H14" s="184">
        <f>JJ_Optim_Scenario!$F$31</f>
        <v>1118</v>
      </c>
      <c r="K14" s="386"/>
      <c r="L14" s="387"/>
      <c r="M14" s="387"/>
      <c r="N14" s="387"/>
      <c r="O14" s="387"/>
      <c r="P14" s="387"/>
      <c r="Q14" s="387"/>
      <c r="R14" s="388"/>
    </row>
    <row r="16" spans="1:18" ht="14.4" thickBot="1" x14ac:dyDescent="0.35"/>
    <row r="17" spans="1:8" ht="42.6" customHeight="1" x14ac:dyDescent="0.3">
      <c r="A17" s="366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7"/>
      <c r="B18" s="102">
        <v>0</v>
      </c>
      <c r="C18" s="103">
        <v>20000000</v>
      </c>
      <c r="D18" s="26">
        <v>20</v>
      </c>
    </row>
    <row r="20" spans="1:8" x14ac:dyDescent="0.3">
      <c r="A20" s="344" t="s">
        <v>37</v>
      </c>
      <c r="B20" s="344"/>
      <c r="C20" s="344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1708.0983693981543</v>
      </c>
      <c r="C23" s="106">
        <f t="shared" ref="C23:C42" si="1">B23*$G$12</f>
        <v>19694.374199160717</v>
      </c>
      <c r="D23" s="1">
        <f>(B23-B22)/A23</f>
        <v>1.7080983693981543E-3</v>
      </c>
      <c r="E23" s="299">
        <f t="shared" ref="E23:E42" si="2">B23*$H$14</f>
        <v>1909653.9769871365</v>
      </c>
    </row>
    <row r="24" spans="1:8" x14ac:dyDescent="0.3">
      <c r="A24" s="122">
        <f t="shared" ref="A24:A42" si="3">A23+(($C$18-$B$18)/$D$18)</f>
        <v>2000000</v>
      </c>
      <c r="B24" s="106">
        <f t="shared" si="0"/>
        <v>3388.5001289946958</v>
      </c>
      <c r="C24" s="106">
        <f t="shared" si="1"/>
        <v>39069.406487308843</v>
      </c>
      <c r="D24" s="1">
        <f t="shared" ref="D24:D42" si="4">(B24-B23)/A24</f>
        <v>8.4020087979827073E-4</v>
      </c>
      <c r="E24" s="299">
        <f t="shared" si="2"/>
        <v>3788343.14421607</v>
      </c>
    </row>
    <row r="25" spans="1:8" x14ac:dyDescent="0.3">
      <c r="A25" s="122">
        <f t="shared" si="3"/>
        <v>3000000</v>
      </c>
      <c r="B25" s="106">
        <f t="shared" si="0"/>
        <v>5041.6364102456719</v>
      </c>
      <c r="C25" s="106">
        <f t="shared" si="1"/>
        <v>58130.06781013259</v>
      </c>
      <c r="D25" s="1">
        <f t="shared" si="4"/>
        <v>5.510454270836587E-4</v>
      </c>
      <c r="E25" s="299">
        <f t="shared" si="2"/>
        <v>5636549.5066546611</v>
      </c>
    </row>
    <row r="26" spans="1:8" x14ac:dyDescent="0.3">
      <c r="A26" s="122">
        <f t="shared" si="3"/>
        <v>4000000</v>
      </c>
      <c r="B26" s="106">
        <f t="shared" si="0"/>
        <v>6667.9322238313034</v>
      </c>
      <c r="C26" s="106">
        <f t="shared" si="1"/>
        <v>76881.258540774928</v>
      </c>
      <c r="D26" s="1">
        <f t="shared" si="4"/>
        <v>4.0657395339640791E-4</v>
      </c>
      <c r="E26" s="299">
        <f t="shared" si="2"/>
        <v>7454748.2262433972</v>
      </c>
    </row>
    <row r="27" spans="1:8" x14ac:dyDescent="0.3">
      <c r="A27" s="122">
        <f t="shared" si="3"/>
        <v>5000000</v>
      </c>
      <c r="B27" s="106">
        <f t="shared" si="0"/>
        <v>8267.8065268909559</v>
      </c>
      <c r="C27" s="106">
        <f t="shared" si="1"/>
        <v>95327.809255052722</v>
      </c>
      <c r="D27" s="1">
        <f t="shared" si="4"/>
        <v>3.1997486061193051E-4</v>
      </c>
      <c r="E27" s="299">
        <f t="shared" si="2"/>
        <v>9243407.6970640887</v>
      </c>
    </row>
    <row r="28" spans="1:8" x14ac:dyDescent="0.3">
      <c r="A28" s="122">
        <f t="shared" si="3"/>
        <v>6000000</v>
      </c>
      <c r="B28" s="106">
        <f t="shared" si="0"/>
        <v>9841.6722902022302</v>
      </c>
      <c r="C28" s="106">
        <f t="shared" si="1"/>
        <v>113474.48150603171</v>
      </c>
      <c r="D28" s="1">
        <f t="shared" si="4"/>
        <v>2.6231096055187906E-4</v>
      </c>
      <c r="E28" s="299">
        <f t="shared" si="2"/>
        <v>11002989.620446093</v>
      </c>
    </row>
    <row r="29" spans="1:8" x14ac:dyDescent="0.3">
      <c r="A29" s="122">
        <f t="shared" si="3"/>
        <v>7000000</v>
      </c>
      <c r="B29" s="106">
        <f t="shared" si="0"/>
        <v>11389.936565298587</v>
      </c>
      <c r="C29" s="106">
        <f t="shared" si="1"/>
        <v>131325.9685978927</v>
      </c>
      <c r="D29" s="1">
        <f t="shared" si="4"/>
        <v>2.2118061072805097E-4</v>
      </c>
      <c r="E29" s="299">
        <f t="shared" si="2"/>
        <v>12733949.08000382</v>
      </c>
    </row>
    <row r="30" spans="1:8" x14ac:dyDescent="0.3">
      <c r="A30" s="122">
        <f t="shared" si="3"/>
        <v>8000000</v>
      </c>
      <c r="B30" s="106">
        <f t="shared" si="0"/>
        <v>12913.000551461242</v>
      </c>
      <c r="C30" s="106">
        <f t="shared" si="1"/>
        <v>148886.89635834811</v>
      </c>
      <c r="D30" s="1">
        <f t="shared" si="4"/>
        <v>1.9038299827033188E-4</v>
      </c>
      <c r="E30" s="299">
        <f t="shared" si="2"/>
        <v>14436734.616533669</v>
      </c>
    </row>
    <row r="31" spans="1:8" x14ac:dyDescent="0.3">
      <c r="A31" s="122">
        <f t="shared" si="3"/>
        <v>9000000</v>
      </c>
      <c r="B31" s="106">
        <f t="shared" si="0"/>
        <v>14411.259662600234</v>
      </c>
      <c r="C31" s="106">
        <f t="shared" si="1"/>
        <v>166161.82390978068</v>
      </c>
      <c r="D31" s="1">
        <f t="shared" si="4"/>
        <v>1.6647323457099912E-4</v>
      </c>
      <c r="E31" s="299">
        <f t="shared" si="2"/>
        <v>16111788.302787062</v>
      </c>
    </row>
    <row r="32" spans="1:8" x14ac:dyDescent="0.3">
      <c r="A32" s="122">
        <f t="shared" si="3"/>
        <v>10000000</v>
      </c>
      <c r="B32" s="106">
        <f t="shared" si="0"/>
        <v>15885.103593955748</v>
      </c>
      <c r="C32" s="106">
        <f t="shared" si="1"/>
        <v>183155.24443830978</v>
      </c>
      <c r="D32" s="1">
        <f t="shared" si="4"/>
        <v>1.4738439313555137E-4</v>
      </c>
      <c r="E32" s="299">
        <f t="shared" si="2"/>
        <v>17759545.818042524</v>
      </c>
    </row>
    <row r="33" spans="1:5" x14ac:dyDescent="0.3">
      <c r="A33" s="122">
        <f t="shared" si="3"/>
        <v>11000000</v>
      </c>
      <c r="B33" s="106">
        <f t="shared" si="0"/>
        <v>17334.916388627142</v>
      </c>
      <c r="C33" s="106">
        <f t="shared" si="1"/>
        <v>199871.58596087093</v>
      </c>
      <c r="D33" s="1">
        <f t="shared" si="4"/>
        <v>1.3180116315194491E-4</v>
      </c>
      <c r="E33" s="299">
        <f t="shared" si="2"/>
        <v>19380436.522485144</v>
      </c>
    </row>
    <row r="34" spans="1:5" x14ac:dyDescent="0.3">
      <c r="A34" s="122">
        <f>A33+(($C$18-$B$18)/$D$18)</f>
        <v>12000000</v>
      </c>
      <c r="B34" s="106">
        <f t="shared" si="0"/>
        <v>18761.07650389336</v>
      </c>
      <c r="C34" s="106">
        <f t="shared" si="1"/>
        <v>216315.21208989044</v>
      </c>
      <c r="D34" s="1">
        <f t="shared" si="4"/>
        <v>1.1884667627218489E-4</v>
      </c>
      <c r="E34" s="299">
        <f t="shared" si="2"/>
        <v>20974883.531352777</v>
      </c>
    </row>
    <row r="35" spans="1:5" x14ac:dyDescent="0.3">
      <c r="A35" s="122">
        <f t="shared" si="3"/>
        <v>13000000</v>
      </c>
      <c r="B35" s="106">
        <f t="shared" si="0"/>
        <v>20163.956877290271</v>
      </c>
      <c r="C35" s="106">
        <f t="shared" si="1"/>
        <v>232490.4227951568</v>
      </c>
      <c r="D35" s="1">
        <f t="shared" si="4"/>
        <v>1.0791387487668544E-4</v>
      </c>
      <c r="E35" s="299">
        <f t="shared" si="2"/>
        <v>22543303.788810521</v>
      </c>
    </row>
    <row r="36" spans="1:5" x14ac:dyDescent="0.3">
      <c r="A36" s="122">
        <f t="shared" si="3"/>
        <v>14000000</v>
      </c>
      <c r="B36" s="106">
        <f t="shared" si="0"/>
        <v>21543.92499244865</v>
      </c>
      <c r="C36" s="106">
        <f t="shared" si="1"/>
        <v>248401.45516293292</v>
      </c>
      <c r="D36" s="1">
        <f t="shared" si="4"/>
        <v>9.8569151082741367E-5</v>
      </c>
      <c r="E36" s="299">
        <f t="shared" si="2"/>
        <v>24086108.141557589</v>
      </c>
    </row>
    <row r="37" spans="1:5" x14ac:dyDescent="0.3">
      <c r="A37" s="122">
        <f t="shared" si="3"/>
        <v>15000000</v>
      </c>
      <c r="B37" s="106">
        <f t="shared" si="0"/>
        <v>22901.342944648117</v>
      </c>
      <c r="C37" s="106">
        <f t="shared" si="1"/>
        <v>264052.48415179277</v>
      </c>
      <c r="D37" s="1">
        <f t="shared" si="4"/>
        <v>9.0494530146631108E-5</v>
      </c>
      <c r="E37" s="299">
        <f t="shared" si="2"/>
        <v>25603701.412116595</v>
      </c>
    </row>
    <row r="38" spans="1:5" x14ac:dyDescent="0.3">
      <c r="A38" s="122">
        <f t="shared" si="3"/>
        <v>16000000</v>
      </c>
      <c r="B38" s="106">
        <f t="shared" si="0"/>
        <v>24236.567506083287</v>
      </c>
      <c r="C38" s="106">
        <f t="shared" si="1"/>
        <v>279447.62334514031</v>
      </c>
      <c r="D38" s="1">
        <f t="shared" si="4"/>
        <v>8.3451535089698161E-5</v>
      </c>
      <c r="E38" s="299">
        <f t="shared" si="2"/>
        <v>27096482.471801117</v>
      </c>
    </row>
    <row r="39" spans="1:5" x14ac:dyDescent="0.3">
      <c r="A39" s="122">
        <f t="shared" si="3"/>
        <v>17000000</v>
      </c>
      <c r="B39" s="106">
        <f t="shared" si="0"/>
        <v>25549.950190809555</v>
      </c>
      <c r="C39" s="106">
        <f t="shared" si="1"/>
        <v>294590.92570003413</v>
      </c>
      <c r="D39" s="1">
        <f t="shared" si="4"/>
        <v>7.7257804983898125E-5</v>
      </c>
      <c r="E39" s="299">
        <f t="shared" si="2"/>
        <v>28564844.313325085</v>
      </c>
    </row>
    <row r="40" spans="1:5" x14ac:dyDescent="0.3">
      <c r="A40" s="122">
        <f t="shared" si="3"/>
        <v>18000000</v>
      </c>
      <c r="B40" s="106">
        <f t="shared" si="0"/>
        <v>26841.837319366634</v>
      </c>
      <c r="C40" s="106">
        <f t="shared" si="1"/>
        <v>309486.3842922973</v>
      </c>
      <c r="D40" s="1">
        <f t="shared" si="4"/>
        <v>7.1771507142059915E-5</v>
      </c>
      <c r="E40" s="299">
        <f t="shared" si="2"/>
        <v>30009174.123051897</v>
      </c>
    </row>
    <row r="41" spans="1:5" x14ac:dyDescent="0.3">
      <c r="A41" s="122">
        <f>A40+(($C$18-$B$18)/$D$18)</f>
        <v>19000000</v>
      </c>
      <c r="B41" s="106">
        <f t="shared" si="0"/>
        <v>28112.570083050989</v>
      </c>
      <c r="C41" s="106">
        <f t="shared" si="1"/>
        <v>324137.93305757787</v>
      </c>
      <c r="D41" s="1">
        <f t="shared" si="4"/>
        <v>6.6880671772860778E-5</v>
      </c>
      <c r="E41" s="299">
        <f t="shared" si="2"/>
        <v>31429853.352851003</v>
      </c>
    </row>
    <row r="42" spans="1:5" x14ac:dyDescent="0.3">
      <c r="A42" s="122">
        <f t="shared" si="3"/>
        <v>20000000</v>
      </c>
      <c r="B42" s="106">
        <f t="shared" si="0"/>
        <v>29362.484607818536</v>
      </c>
      <c r="C42" s="106">
        <f t="shared" si="1"/>
        <v>338549.44752814772</v>
      </c>
      <c r="D42" s="1">
        <f t="shared" si="4"/>
        <v>6.2495726238377396E-5</v>
      </c>
      <c r="E42" s="299">
        <f t="shared" si="2"/>
        <v>32827257.791541122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18" sqref="E18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393" t="s">
        <v>111</v>
      </c>
      <c r="C4" s="393"/>
      <c r="D4" s="393"/>
      <c r="E4" s="393"/>
      <c r="F4" s="394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357" t="s">
        <v>8</v>
      </c>
      <c r="B7" s="360" t="s">
        <v>9</v>
      </c>
      <c r="C7" s="361"/>
      <c r="D7" s="395" t="s">
        <v>12</v>
      </c>
      <c r="E7" s="396"/>
      <c r="F7" s="397"/>
      <c r="G7" s="360" t="s">
        <v>143</v>
      </c>
      <c r="H7" s="360"/>
      <c r="I7" s="362"/>
      <c r="J7" s="1" t="s">
        <v>144</v>
      </c>
    </row>
    <row r="8" spans="1:18" ht="28.2" customHeight="1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9"/>
      <c r="B9" s="80">
        <f>JJ_Optim_Scenario!G24</f>
        <v>10990000</v>
      </c>
      <c r="C9" s="184">
        <f>JJ_Optim_Scenario!H24</f>
        <v>20410000</v>
      </c>
      <c r="D9" s="184">
        <f>JJ_Optim_Scenario!I24</f>
        <v>10990000</v>
      </c>
      <c r="E9" s="118">
        <f>((($R$12/(1+EXP($P$12+$Q$12*D9)))-1) - ($F$12-$C$12))*$I$12</f>
        <v>258393.506278947</v>
      </c>
      <c r="F9" s="145">
        <f>E9*$G$12</f>
        <v>258393.506278947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35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366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9"/>
      <c r="B12" s="80">
        <v>15700000</v>
      </c>
      <c r="C12" s="86">
        <v>360832.73711340211</v>
      </c>
      <c r="D12" s="12">
        <v>0</v>
      </c>
      <c r="E12" s="86">
        <v>2197350</v>
      </c>
      <c r="F12" s="97">
        <v>14649000</v>
      </c>
      <c r="G12" s="151">
        <v>1</v>
      </c>
      <c r="H12" s="98">
        <f>C12*G12</f>
        <v>360832.73711340211</v>
      </c>
      <c r="I12" s="297">
        <f>JJ_Optim_Scenario!D24</f>
        <v>1</v>
      </c>
      <c r="K12" s="367"/>
      <c r="L12" s="98">
        <f>F12-C12</f>
        <v>14288167.262886599</v>
      </c>
      <c r="M12" s="98">
        <f>L12+E12</f>
        <v>16485517.262886599</v>
      </c>
      <c r="N12" s="99">
        <f>B12</f>
        <v>15700000</v>
      </c>
      <c r="O12" s="98">
        <f>F12</f>
        <v>14649000</v>
      </c>
      <c r="P12" s="24">
        <f>LN((($M$12+1)/($L$12+1))-1)</f>
        <v>-1.8721797117208678</v>
      </c>
      <c r="Q12" s="100">
        <f>(LN((($M$12+1)/($O$12+1))-1)-$P$12)/$N$12</f>
        <v>-1.3014104724433269E-8</v>
      </c>
      <c r="R12" s="101">
        <f>M12+1</f>
        <v>16485518.262886599</v>
      </c>
    </row>
    <row r="13" spans="1:18" ht="34.200000000000003" customHeight="1" x14ac:dyDescent="0.3">
      <c r="A13" s="390" t="s">
        <v>119</v>
      </c>
      <c r="B13" s="391"/>
      <c r="C13" s="391"/>
      <c r="D13" s="391"/>
      <c r="E13" s="391"/>
      <c r="F13" s="392"/>
      <c r="G13" s="298" t="s">
        <v>267</v>
      </c>
      <c r="H13" s="298" t="s">
        <v>268</v>
      </c>
      <c r="K13" s="390" t="s">
        <v>120</v>
      </c>
      <c r="L13" s="391"/>
      <c r="M13" s="391"/>
      <c r="N13" s="391"/>
      <c r="O13" s="391"/>
      <c r="P13" s="391"/>
      <c r="Q13" s="391"/>
      <c r="R13" s="392"/>
    </row>
    <row r="14" spans="1:18" ht="33.6" customHeight="1" thickBot="1" x14ac:dyDescent="0.35">
      <c r="A14" s="386"/>
      <c r="B14" s="387"/>
      <c r="C14" s="387"/>
      <c r="D14" s="387"/>
      <c r="E14" s="387"/>
      <c r="F14" s="388"/>
      <c r="G14" s="184">
        <f>JJ_Optim_Scenario!$I$31</f>
        <v>116.39999999999999</v>
      </c>
      <c r="H14" s="184">
        <f>JJ_Optim_Scenario!$F$31</f>
        <v>1118</v>
      </c>
      <c r="K14" s="386"/>
      <c r="L14" s="387"/>
      <c r="M14" s="387"/>
      <c r="N14" s="387"/>
      <c r="O14" s="387"/>
      <c r="P14" s="387"/>
      <c r="Q14" s="387"/>
      <c r="R14" s="388"/>
    </row>
    <row r="16" spans="1:18" ht="14.4" thickBot="1" x14ac:dyDescent="0.35"/>
    <row r="17" spans="1:8" ht="42.6" customHeight="1" x14ac:dyDescent="0.3">
      <c r="A17" s="366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7"/>
      <c r="B18" s="102">
        <v>0</v>
      </c>
      <c r="C18" s="103">
        <v>50000000</v>
      </c>
      <c r="D18" s="26">
        <v>20</v>
      </c>
    </row>
    <row r="20" spans="1:8" x14ac:dyDescent="0.3">
      <c r="A20" s="344" t="s">
        <v>37</v>
      </c>
      <c r="B20" s="344"/>
      <c r="C20" s="344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8" t="s">
        <v>270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B22*$G$14</f>
        <v>0</v>
      </c>
    </row>
    <row r="23" spans="1:8" x14ac:dyDescent="0.3">
      <c r="A23" s="122">
        <f>A22+(($C$18-$B$18)/$D$18)</f>
        <v>2500000</v>
      </c>
      <c r="B23" s="106">
        <f t="shared" si="0"/>
        <v>61226.401077322662</v>
      </c>
      <c r="C23" s="106">
        <f t="shared" ref="C23:C42" si="1">B23*$G$12</f>
        <v>61226.401077322662</v>
      </c>
      <c r="D23" s="1">
        <f>(B23-B22)/A23</f>
        <v>2.4490560430929065E-2</v>
      </c>
      <c r="E23" s="299">
        <f t="shared" ref="E23:E42" si="2">B23*$G$14</f>
        <v>7126753.0854003569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120994.72060368396</v>
      </c>
      <c r="C24" s="106">
        <f t="shared" si="1"/>
        <v>120994.72060368396</v>
      </c>
      <c r="D24" s="1">
        <f t="shared" ref="D24:D42" si="4">(B24-B23)/A24</f>
        <v>1.195366390527226E-2</v>
      </c>
      <c r="E24" s="299">
        <f t="shared" si="2"/>
        <v>14083785.478268811</v>
      </c>
    </row>
    <row r="25" spans="1:8" x14ac:dyDescent="0.3">
      <c r="A25" s="122">
        <f t="shared" si="3"/>
        <v>7500000</v>
      </c>
      <c r="B25" s="106">
        <f t="shared" si="0"/>
        <v>179325.91864795052</v>
      </c>
      <c r="C25" s="106">
        <f t="shared" si="1"/>
        <v>179325.91864795052</v>
      </c>
      <c r="D25" s="1">
        <f t="shared" si="4"/>
        <v>7.7774930725688736E-3</v>
      </c>
      <c r="E25" s="299">
        <f t="shared" si="2"/>
        <v>20873536.930621438</v>
      </c>
    </row>
    <row r="26" spans="1:8" x14ac:dyDescent="0.3">
      <c r="A26" s="122">
        <f t="shared" si="3"/>
        <v>10000000</v>
      </c>
      <c r="B26" s="106">
        <f t="shared" si="0"/>
        <v>236241.44401214831</v>
      </c>
      <c r="C26" s="106">
        <f t="shared" si="1"/>
        <v>236241.44401214831</v>
      </c>
      <c r="D26" s="1">
        <f t="shared" si="4"/>
        <v>5.6915525364197792E-3</v>
      </c>
      <c r="E26" s="299">
        <f t="shared" si="2"/>
        <v>27498504.08301406</v>
      </c>
    </row>
    <row r="27" spans="1:8" x14ac:dyDescent="0.3">
      <c r="A27" s="122">
        <f t="shared" si="3"/>
        <v>12500000</v>
      </c>
      <c r="B27" s="106">
        <f t="shared" si="0"/>
        <v>291763.17912199162</v>
      </c>
      <c r="C27" s="106">
        <f t="shared" si="1"/>
        <v>291763.17912199162</v>
      </c>
      <c r="D27" s="1">
        <f t="shared" si="4"/>
        <v>4.4417388087874647E-3</v>
      </c>
      <c r="E27" s="299">
        <f t="shared" si="2"/>
        <v>33961234.049799822</v>
      </c>
    </row>
    <row r="28" spans="1:8" x14ac:dyDescent="0.3">
      <c r="A28" s="122">
        <f t="shared" si="3"/>
        <v>15000000</v>
      </c>
      <c r="B28" s="106">
        <f t="shared" si="0"/>
        <v>345913.38696239889</v>
      </c>
      <c r="C28" s="106">
        <f t="shared" si="1"/>
        <v>345913.38696239889</v>
      </c>
      <c r="D28" s="1">
        <f t="shared" si="4"/>
        <v>3.6100138560271511E-3</v>
      </c>
      <c r="E28" s="299">
        <f t="shared" si="2"/>
        <v>40264318.242423229</v>
      </c>
    </row>
    <row r="29" spans="1:8" x14ac:dyDescent="0.3">
      <c r="A29" s="122">
        <f t="shared" si="3"/>
        <v>17500000</v>
      </c>
      <c r="B29" s="106">
        <f t="shared" si="0"/>
        <v>398714.66009361669</v>
      </c>
      <c r="C29" s="106">
        <f t="shared" si="1"/>
        <v>398714.66009361669</v>
      </c>
      <c r="D29" s="1">
        <f t="shared" si="4"/>
        <v>3.0172156074981605E-3</v>
      </c>
      <c r="E29" s="299">
        <f t="shared" si="2"/>
        <v>46410386.434896983</v>
      </c>
    </row>
    <row r="30" spans="1:8" x14ac:dyDescent="0.3">
      <c r="A30" s="122">
        <f t="shared" si="3"/>
        <v>20000000</v>
      </c>
      <c r="B30" s="106">
        <f t="shared" si="0"/>
        <v>450189.87177247368</v>
      </c>
      <c r="C30" s="106">
        <f t="shared" si="1"/>
        <v>450189.87177247368</v>
      </c>
      <c r="D30" s="1">
        <f t="shared" si="4"/>
        <v>2.5737605839428494E-3</v>
      </c>
      <c r="E30" s="299">
        <f t="shared" si="2"/>
        <v>52402101.074315935</v>
      </c>
    </row>
    <row r="31" spans="1:8" x14ac:dyDescent="0.3">
      <c r="A31" s="122">
        <f t="shared" si="3"/>
        <v>22500000</v>
      </c>
      <c r="B31" s="106">
        <f t="shared" si="0"/>
        <v>500362.12919285521</v>
      </c>
      <c r="C31" s="106">
        <f t="shared" si="1"/>
        <v>500362.12919285521</v>
      </c>
      <c r="D31" s="1">
        <f t="shared" si="4"/>
        <v>2.2298781075725123E-3</v>
      </c>
      <c r="E31" s="299">
        <f t="shared" si="2"/>
        <v>58242151.838048339</v>
      </c>
    </row>
    <row r="32" spans="1:8" x14ac:dyDescent="0.3">
      <c r="A32" s="122">
        <f t="shared" si="3"/>
        <v>25000000</v>
      </c>
      <c r="B32" s="106">
        <f t="shared" si="0"/>
        <v>549254.72884996422</v>
      </c>
      <c r="C32" s="106">
        <f t="shared" si="1"/>
        <v>549254.72884996422</v>
      </c>
      <c r="D32" s="1">
        <f t="shared" si="4"/>
        <v>1.9557039862843602E-3</v>
      </c>
      <c r="E32" s="299">
        <f t="shared" si="2"/>
        <v>63933250.438135833</v>
      </c>
    </row>
    <row r="33" spans="1:5" x14ac:dyDescent="0.3">
      <c r="A33" s="122">
        <f t="shared" si="3"/>
        <v>27500000</v>
      </c>
      <c r="B33" s="106">
        <f t="shared" si="0"/>
        <v>596891.11402404681</v>
      </c>
      <c r="C33" s="106">
        <f t="shared" si="1"/>
        <v>596891.11402404681</v>
      </c>
      <c r="D33" s="1">
        <f t="shared" si="4"/>
        <v>1.732232188148458E-3</v>
      </c>
      <c r="E33" s="299">
        <f t="shared" si="2"/>
        <v>69478125.672399044</v>
      </c>
    </row>
    <row r="34" spans="1:5" x14ac:dyDescent="0.3">
      <c r="A34" s="122">
        <f>A33+(($C$18-$B$18)/$D$18)</f>
        <v>30000000</v>
      </c>
      <c r="B34" s="106">
        <f t="shared" si="0"/>
        <v>643294.8343712315</v>
      </c>
      <c r="C34" s="106">
        <f t="shared" si="1"/>
        <v>643294.8343712315</v>
      </c>
      <c r="D34" s="1">
        <f t="shared" si="4"/>
        <v>1.5467906782394897E-3</v>
      </c>
      <c r="E34" s="299">
        <f t="shared" si="2"/>
        <v>74879518.720811337</v>
      </c>
    </row>
    <row r="35" spans="1:5" x14ac:dyDescent="0.3">
      <c r="A35" s="122">
        <f t="shared" si="3"/>
        <v>32500000</v>
      </c>
      <c r="B35" s="106">
        <f t="shared" si="0"/>
        <v>688489.50760174915</v>
      </c>
      <c r="C35" s="106">
        <f t="shared" si="1"/>
        <v>688489.50760174915</v>
      </c>
      <c r="D35" s="1">
        <f t="shared" si="4"/>
        <v>1.390605330169774E-3</v>
      </c>
      <c r="E35" s="299">
        <f t="shared" si="2"/>
        <v>80140178.6848436</v>
      </c>
    </row>
    <row r="36" spans="1:5" x14ac:dyDescent="0.3">
      <c r="A36" s="122">
        <f t="shared" si="3"/>
        <v>35000000</v>
      </c>
      <c r="B36" s="106">
        <f t="shared" si="0"/>
        <v>732498.78321923688</v>
      </c>
      <c r="C36" s="106">
        <f t="shared" si="1"/>
        <v>732498.78321923688</v>
      </c>
      <c r="D36" s="1">
        <f t="shared" si="4"/>
        <v>1.2574078747853636E-3</v>
      </c>
      <c r="E36" s="299">
        <f t="shared" si="2"/>
        <v>85262858.366719171</v>
      </c>
    </row>
    <row r="37" spans="1:5" x14ac:dyDescent="0.3">
      <c r="A37" s="122">
        <f t="shared" si="3"/>
        <v>37500000</v>
      </c>
      <c r="B37" s="106">
        <f t="shared" si="0"/>
        <v>775346.30828877538</v>
      </c>
      <c r="C37" s="106">
        <f t="shared" si="1"/>
        <v>775346.30828877538</v>
      </c>
      <c r="D37" s="1">
        <f t="shared" si="4"/>
        <v>1.1426006685210269E-3</v>
      </c>
      <c r="E37" s="299">
        <f t="shared" si="2"/>
        <v>90250310.284813449</v>
      </c>
    </row>
    <row r="38" spans="1:5" x14ac:dyDescent="0.3">
      <c r="A38" s="122">
        <f t="shared" si="3"/>
        <v>40000000</v>
      </c>
      <c r="B38" s="106">
        <f t="shared" si="0"/>
        <v>817055.69519616477</v>
      </c>
      <c r="C38" s="106">
        <f t="shared" si="1"/>
        <v>817055.69519616477</v>
      </c>
      <c r="D38" s="1">
        <f t="shared" si="4"/>
        <v>1.0427346726847348E-3</v>
      </c>
      <c r="E38" s="299">
        <f t="shared" si="2"/>
        <v>95105282.920833573</v>
      </c>
    </row>
    <row r="39" spans="1:5" x14ac:dyDescent="0.3">
      <c r="A39" s="122">
        <f t="shared" si="3"/>
        <v>42500000</v>
      </c>
      <c r="B39" s="106">
        <f t="shared" si="0"/>
        <v>857650.49135614</v>
      </c>
      <c r="C39" s="106">
        <f t="shared" si="1"/>
        <v>857650.49135614</v>
      </c>
      <c r="D39" s="1">
        <f t="shared" si="4"/>
        <v>9.5517167435235834E-4</v>
      </c>
      <c r="E39" s="299">
        <f t="shared" si="2"/>
        <v>99830517.19385469</v>
      </c>
    </row>
    <row r="40" spans="1:5" x14ac:dyDescent="0.3">
      <c r="A40" s="122">
        <f t="shared" si="3"/>
        <v>45000000</v>
      </c>
      <c r="B40" s="106">
        <f t="shared" si="0"/>
        <v>897154.15082335845</v>
      </c>
      <c r="C40" s="106">
        <f t="shared" si="1"/>
        <v>897154.15082335845</v>
      </c>
      <c r="D40" s="1">
        <f t="shared" si="4"/>
        <v>8.7785909927152095E-4</v>
      </c>
      <c r="E40" s="299">
        <f t="shared" si="2"/>
        <v>104428743.15583892</v>
      </c>
    </row>
    <row r="41" spans="1:5" x14ac:dyDescent="0.3">
      <c r="A41" s="122">
        <f>A40+(($C$18-$B$18)/$D$18)</f>
        <v>47500000</v>
      </c>
      <c r="B41" s="106">
        <f t="shared" si="0"/>
        <v>935590.00775624253</v>
      </c>
      <c r="C41" s="106">
        <f t="shared" si="1"/>
        <v>935590.00775624253</v>
      </c>
      <c r="D41" s="1">
        <f t="shared" si="4"/>
        <v>8.0917593542913853E-4</v>
      </c>
      <c r="E41" s="299">
        <f t="shared" si="2"/>
        <v>108902676.90282662</v>
      </c>
    </row>
    <row r="42" spans="1:5" x14ac:dyDescent="0.3">
      <c r="A42" s="122">
        <f t="shared" si="3"/>
        <v>50000000</v>
      </c>
      <c r="B42" s="106">
        <f t="shared" si="0"/>
        <v>972981.25168112665</v>
      </c>
      <c r="C42" s="106">
        <f t="shared" si="1"/>
        <v>972981.25168112665</v>
      </c>
      <c r="D42" s="1">
        <f t="shared" si="4"/>
        <v>7.4782487849768249E-4</v>
      </c>
      <c r="E42" s="299">
        <f t="shared" si="2"/>
        <v>113255017.69568314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45" t="s">
        <v>105</v>
      </c>
      <c r="G2" s="346"/>
      <c r="H2" s="346"/>
      <c r="I2" s="346"/>
      <c r="J2" s="346"/>
      <c r="K2" s="346"/>
      <c r="L2" s="347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348" t="s">
        <v>72</v>
      </c>
      <c r="G3" s="349"/>
      <c r="H3" s="349"/>
      <c r="I3" s="349"/>
      <c r="J3" s="349"/>
      <c r="K3" s="349"/>
      <c r="L3" s="350"/>
    </row>
    <row r="4" spans="1:12" ht="14.4" thickBot="1" x14ac:dyDescent="0.35">
      <c r="A4" s="29" t="s">
        <v>38</v>
      </c>
      <c r="B4" s="398" t="s">
        <v>39</v>
      </c>
      <c r="C4" s="398"/>
      <c r="D4" s="399"/>
    </row>
    <row r="6" spans="1:12" ht="14.4" thickBot="1" x14ac:dyDescent="0.35"/>
    <row r="7" spans="1:12" ht="27.6" customHeight="1" x14ac:dyDescent="0.3">
      <c r="A7" s="357" t="s">
        <v>8</v>
      </c>
      <c r="B7" s="360" t="s">
        <v>9</v>
      </c>
      <c r="C7" s="361"/>
      <c r="D7" s="395" t="s">
        <v>12</v>
      </c>
      <c r="E7" s="397"/>
      <c r="F7" s="396" t="s">
        <v>24</v>
      </c>
      <c r="G7" s="406"/>
    </row>
    <row r="8" spans="1:12" ht="27.6" x14ac:dyDescent="0.3">
      <c r="A8" s="3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9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357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357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359"/>
      <c r="B12" s="12">
        <v>20</v>
      </c>
      <c r="C12" s="12">
        <v>30</v>
      </c>
      <c r="D12" s="12">
        <v>0</v>
      </c>
      <c r="E12" s="14">
        <v>70</v>
      </c>
      <c r="G12" s="359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390" t="s">
        <v>30</v>
      </c>
      <c r="B13" s="391"/>
      <c r="C13" s="391"/>
      <c r="D13" s="391"/>
      <c r="E13" s="392"/>
      <c r="G13" s="400" t="s">
        <v>29</v>
      </c>
      <c r="H13" s="401"/>
      <c r="I13" s="401"/>
      <c r="J13" s="402"/>
    </row>
    <row r="14" spans="1:12" ht="33.6" customHeight="1" x14ac:dyDescent="0.3">
      <c r="A14" s="386"/>
      <c r="B14" s="387"/>
      <c r="C14" s="387"/>
      <c r="D14" s="387"/>
      <c r="E14" s="388"/>
      <c r="G14" s="403"/>
      <c r="H14" s="404"/>
      <c r="I14" s="404"/>
      <c r="J14" s="405"/>
    </row>
    <row r="16" spans="1:12" ht="14.4" thickBot="1" x14ac:dyDescent="0.35"/>
    <row r="17" spans="1:4" ht="16.8" customHeight="1" x14ac:dyDescent="0.3">
      <c r="A17" s="366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367"/>
      <c r="B18" s="12">
        <v>0</v>
      </c>
      <c r="C18" s="12">
        <v>100</v>
      </c>
      <c r="D18" s="26">
        <v>20</v>
      </c>
    </row>
    <row r="20" spans="1:4" x14ac:dyDescent="0.3">
      <c r="A20" s="344" t="s">
        <v>37</v>
      </c>
      <c r="B20" s="344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45" t="s">
        <v>105</v>
      </c>
      <c r="G2" s="346"/>
      <c r="H2" s="346"/>
      <c r="I2" s="346"/>
      <c r="J2" s="346"/>
      <c r="K2" s="346"/>
      <c r="L2" s="347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348" t="s">
        <v>72</v>
      </c>
      <c r="G3" s="349"/>
      <c r="H3" s="349"/>
      <c r="I3" s="349"/>
      <c r="J3" s="349"/>
      <c r="K3" s="349"/>
      <c r="L3" s="350"/>
    </row>
    <row r="4" spans="1:12" ht="31.8" customHeight="1" thickBot="1" x14ac:dyDescent="0.35">
      <c r="A4" s="29" t="s">
        <v>38</v>
      </c>
      <c r="B4" s="410" t="s">
        <v>41</v>
      </c>
      <c r="C4" s="411"/>
      <c r="D4" s="412"/>
    </row>
    <row r="6" spans="1:12" ht="14.4" thickBot="1" x14ac:dyDescent="0.35"/>
    <row r="7" spans="1:12" ht="27.6" customHeight="1" x14ac:dyDescent="0.3">
      <c r="A7" s="357" t="s">
        <v>8</v>
      </c>
      <c r="B7" s="360" t="s">
        <v>9</v>
      </c>
      <c r="C7" s="361"/>
      <c r="D7" s="395" t="s">
        <v>12</v>
      </c>
      <c r="E7" s="397"/>
      <c r="F7" s="396" t="s">
        <v>24</v>
      </c>
      <c r="G7" s="406"/>
      <c r="H7" s="1" t="s">
        <v>54</v>
      </c>
    </row>
    <row r="8" spans="1:12" ht="27.6" x14ac:dyDescent="0.3">
      <c r="A8" s="3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9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357" t="s">
        <v>42</v>
      </c>
      <c r="B11" s="353" t="s">
        <v>47</v>
      </c>
      <c r="C11" s="407" t="s">
        <v>46</v>
      </c>
      <c r="D11" s="396"/>
      <c r="E11" s="396"/>
      <c r="F11" s="3" t="s">
        <v>48</v>
      </c>
      <c r="G11" s="33"/>
      <c r="H11" s="32"/>
      <c r="I11" s="32"/>
      <c r="J11" s="32"/>
    </row>
    <row r="12" spans="1:12" x14ac:dyDescent="0.3">
      <c r="A12" s="408"/>
      <c r="B12" s="354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409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365" t="s">
        <v>52</v>
      </c>
      <c r="B14" s="365"/>
      <c r="C14" s="365"/>
      <c r="D14" s="365"/>
      <c r="E14" s="365"/>
      <c r="F14" s="365"/>
      <c r="G14" s="38"/>
      <c r="H14" s="39"/>
      <c r="I14" s="39"/>
      <c r="J14" s="39"/>
    </row>
    <row r="15" spans="1:12" ht="30.6" customHeight="1" x14ac:dyDescent="0.3">
      <c r="A15" s="365"/>
      <c r="B15" s="365"/>
      <c r="C15" s="365"/>
      <c r="D15" s="365"/>
      <c r="E15" s="365"/>
      <c r="F15" s="365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366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367"/>
      <c r="B19" s="12">
        <v>0</v>
      </c>
      <c r="C19" s="12">
        <v>20000000</v>
      </c>
      <c r="D19" s="26">
        <v>20</v>
      </c>
    </row>
    <row r="21" spans="1:4" x14ac:dyDescent="0.3">
      <c r="A21" s="344" t="s">
        <v>37</v>
      </c>
      <c r="B21" s="344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345" t="s">
        <v>105</v>
      </c>
      <c r="G2" s="346"/>
      <c r="H2" s="346"/>
      <c r="I2" s="346"/>
      <c r="J2" s="346"/>
      <c r="K2" s="346"/>
      <c r="L2" s="347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348" t="s">
        <v>72</v>
      </c>
      <c r="G3" s="349"/>
      <c r="H3" s="349"/>
      <c r="I3" s="349"/>
      <c r="J3" s="349"/>
      <c r="K3" s="349"/>
      <c r="L3" s="350"/>
    </row>
    <row r="4" spans="1:14" ht="14.4" thickBot="1" x14ac:dyDescent="0.35">
      <c r="A4" s="29" t="s">
        <v>38</v>
      </c>
      <c r="B4" s="398" t="s">
        <v>57</v>
      </c>
      <c r="C4" s="398"/>
      <c r="D4" s="399"/>
    </row>
    <row r="6" spans="1:14" ht="14.4" thickBot="1" x14ac:dyDescent="0.35"/>
    <row r="7" spans="1:14" ht="27.6" customHeight="1" x14ac:dyDescent="0.3">
      <c r="A7" s="357" t="s">
        <v>8</v>
      </c>
      <c r="B7" s="360" t="s">
        <v>9</v>
      </c>
      <c r="C7" s="361"/>
      <c r="D7" s="395" t="s">
        <v>12</v>
      </c>
      <c r="E7" s="397"/>
      <c r="F7" s="396" t="s">
        <v>24</v>
      </c>
      <c r="G7" s="406"/>
      <c r="I7" s="389" t="s">
        <v>73</v>
      </c>
      <c r="J7" s="389"/>
      <c r="K7" s="389"/>
      <c r="L7" s="389"/>
      <c r="N7" s="47" t="s">
        <v>58</v>
      </c>
    </row>
    <row r="8" spans="1:14" ht="27.6" x14ac:dyDescent="0.3">
      <c r="A8" s="3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389"/>
      <c r="J8" s="389"/>
      <c r="K8" s="389"/>
      <c r="L8" s="389"/>
      <c r="N8" s="47" t="s">
        <v>59</v>
      </c>
    </row>
    <row r="9" spans="1:14" ht="14.4" thickBot="1" x14ac:dyDescent="0.35">
      <c r="A9" s="359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344" t="s">
        <v>60</v>
      </c>
      <c r="B11" s="3" t="s">
        <v>61</v>
      </c>
      <c r="C11" s="3" t="s">
        <v>62</v>
      </c>
      <c r="D11" s="32"/>
      <c r="E11" s="380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344"/>
      <c r="B12" s="41">
        <v>0</v>
      </c>
      <c r="C12" s="41">
        <v>0</v>
      </c>
      <c r="D12" s="32"/>
      <c r="E12" s="381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344"/>
      <c r="B13" s="41">
        <v>1</v>
      </c>
      <c r="C13" s="41">
        <v>0.75</v>
      </c>
      <c r="D13" s="32"/>
      <c r="E13" s="381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344"/>
      <c r="B14" s="41">
        <v>2</v>
      </c>
      <c r="C14" s="41">
        <v>0</v>
      </c>
      <c r="D14" s="32"/>
      <c r="E14" s="381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344"/>
      <c r="B15" s="41">
        <v>3</v>
      </c>
      <c r="C15" s="41">
        <v>-1</v>
      </c>
      <c r="D15" s="32"/>
      <c r="E15" s="381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344"/>
      <c r="B16" s="41">
        <v>4</v>
      </c>
      <c r="C16" s="41">
        <v>3</v>
      </c>
      <c r="D16" s="32"/>
      <c r="E16" s="381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344"/>
      <c r="B17" s="42">
        <v>5</v>
      </c>
      <c r="C17" s="42">
        <v>3</v>
      </c>
      <c r="D17" s="40"/>
      <c r="E17" s="381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413" t="s">
        <v>74</v>
      </c>
      <c r="B18" s="414"/>
      <c r="C18" s="415"/>
      <c r="D18" s="33"/>
      <c r="E18" s="365" t="s">
        <v>75</v>
      </c>
      <c r="F18" s="365"/>
      <c r="G18" s="365"/>
      <c r="H18" s="365"/>
      <c r="I18" s="365"/>
      <c r="J18" s="365"/>
      <c r="K18" s="365"/>
      <c r="L18" s="365"/>
      <c r="M18" s="365"/>
    </row>
    <row r="19" spans="1:13" ht="35.4" customHeight="1" x14ac:dyDescent="0.3">
      <c r="A19" s="386"/>
      <c r="B19" s="387"/>
      <c r="C19" s="388"/>
      <c r="D19" s="33"/>
      <c r="E19" s="365"/>
      <c r="F19" s="365"/>
      <c r="G19" s="365"/>
      <c r="H19" s="365"/>
      <c r="I19" s="365"/>
      <c r="J19" s="365"/>
      <c r="K19" s="365"/>
      <c r="L19" s="365"/>
      <c r="M19" s="365"/>
    </row>
    <row r="21" spans="1:13" ht="14.4" thickBot="1" x14ac:dyDescent="0.35"/>
    <row r="22" spans="1:13" ht="16.8" customHeight="1" x14ac:dyDescent="0.3">
      <c r="A22" s="366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367"/>
      <c r="B23" s="12">
        <v>0</v>
      </c>
      <c r="C23" s="12">
        <v>5</v>
      </c>
      <c r="D23" s="26">
        <v>20</v>
      </c>
    </row>
    <row r="25" spans="1:13" x14ac:dyDescent="0.3">
      <c r="A25" s="344" t="s">
        <v>37</v>
      </c>
      <c r="B25" s="344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416" t="s">
        <v>111</v>
      </c>
      <c r="C4" s="416"/>
      <c r="D4" s="416"/>
      <c r="E4" s="416"/>
      <c r="F4" s="417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357" t="s">
        <v>8</v>
      </c>
      <c r="B7" s="360" t="s">
        <v>9</v>
      </c>
      <c r="C7" s="361"/>
      <c r="D7" s="395" t="s">
        <v>12</v>
      </c>
      <c r="E7" s="397"/>
      <c r="F7" s="396" t="s">
        <v>24</v>
      </c>
      <c r="G7" s="406"/>
    </row>
    <row r="8" spans="1:15" ht="27.6" x14ac:dyDescent="0.3">
      <c r="A8" s="358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359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357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366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359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367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390" t="s">
        <v>119</v>
      </c>
      <c r="B13" s="391"/>
      <c r="C13" s="391"/>
      <c r="D13" s="391"/>
      <c r="E13" s="391"/>
      <c r="F13" s="392"/>
      <c r="H13" s="390" t="s">
        <v>120</v>
      </c>
      <c r="I13" s="391"/>
      <c r="J13" s="391"/>
      <c r="K13" s="391"/>
      <c r="L13" s="391"/>
      <c r="M13" s="391"/>
      <c r="N13" s="391"/>
      <c r="O13" s="392"/>
    </row>
    <row r="14" spans="1:15" ht="33.6" customHeight="1" x14ac:dyDescent="0.3">
      <c r="A14" s="386"/>
      <c r="B14" s="387"/>
      <c r="C14" s="387"/>
      <c r="D14" s="387"/>
      <c r="E14" s="387"/>
      <c r="F14" s="388"/>
      <c r="H14" s="386"/>
      <c r="I14" s="387"/>
      <c r="J14" s="387"/>
      <c r="K14" s="387"/>
      <c r="L14" s="387"/>
      <c r="M14" s="387"/>
      <c r="N14" s="387"/>
      <c r="O14" s="388"/>
    </row>
    <row r="16" spans="1:15" ht="14.4" thickBot="1" x14ac:dyDescent="0.35"/>
    <row r="17" spans="1:4" ht="16.8" customHeight="1" x14ac:dyDescent="0.3">
      <c r="A17" s="366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367"/>
      <c r="B18" s="102">
        <v>0</v>
      </c>
      <c r="C18" s="103">
        <v>200000000</v>
      </c>
      <c r="D18" s="26">
        <v>20</v>
      </c>
    </row>
    <row r="20" spans="1:4" x14ac:dyDescent="0.3">
      <c r="A20" s="344" t="s">
        <v>37</v>
      </c>
      <c r="B20" s="344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Charts - Idvl</vt:lpstr>
      <vt:lpstr>Chart - Combined</vt:lpstr>
      <vt:lpstr>JJ_Notes_1</vt:lpstr>
      <vt:lpstr>Case Notes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2013-04-26T22:34:33Z</dcterms:modified>
</cp:coreProperties>
</file>