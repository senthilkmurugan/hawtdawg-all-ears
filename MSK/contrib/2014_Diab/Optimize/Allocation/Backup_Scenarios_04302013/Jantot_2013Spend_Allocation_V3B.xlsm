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1"/>
  </bookViews>
  <sheets>
    <sheet name="Charts - Idvl" sheetId="35" r:id="rId1"/>
    <sheet name="Chart - Combined" sheetId="36" r:id="rId2"/>
    <sheet name="JJ_Notes_1" sheetId="24" r:id="rId3"/>
    <sheet name="Case Notes" sheetId="37" r:id="rId4"/>
    <sheet name="JJ_Optim_Scenario" sheetId="23" r:id="rId5"/>
    <sheet name="JANSample" sheetId="25" r:id="rId6"/>
    <sheet name="JMTSample" sheetId="26" r:id="rId7"/>
    <sheet name="TOTSample" sheetId="27" r:id="rId8"/>
    <sheet name="JJVCH" sheetId="29" r:id="rId9"/>
    <sheet name="JJMMF" sheetId="30" r:id="rId10"/>
    <sheet name="JJHCC" sheetId="31" r:id="rId11"/>
    <sheet name="JJMCM" sheetId="32" r:id="rId12"/>
    <sheet name="JJHCC_ACQ" sheetId="33" r:id="rId13"/>
    <sheet name="JJHCC_ADH" sheetId="34" r:id="rId14"/>
    <sheet name="Fn.Templates ==&gt;" sheetId="3" r:id="rId15"/>
    <sheet name="FT_SCurveEst" sheetId="2" r:id="rId16"/>
    <sheet name="FT_Equation" sheetId="4" r:id="rId17"/>
    <sheet name="FT_Interpolate" sheetId="5" r:id="rId18"/>
    <sheet name="FT_SCurve3Est" sheetId="13" r:id="rId19"/>
  </sheets>
  <functionGroups builtInGroupCount="17"/>
  <externalReferences>
    <externalReference r:id="rId20"/>
  </externalReferences>
  <definedNames>
    <definedName name="solver_adj" localSheetId="4" hidden="1">JJ_Optim_Scenario!$I$17:$I$24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JJ_Optim_Scenario!$I$17:$I$24</definedName>
    <definedName name="solver_lhs2" localSheetId="4" hidden="1">JJ_Optim_Scenario!$I$17:$I$24</definedName>
    <definedName name="solver_lhs3" localSheetId="4" hidden="1">JJ_Optim_Scenario!$I$25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3</definedName>
    <definedName name="solver_nwt" localSheetId="4" hidden="1">1</definedName>
    <definedName name="solver_opt" localSheetId="4" hidden="1">JJ_Optim_Scenario!$B$9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2" localSheetId="4" hidden="1">3</definedName>
    <definedName name="solver_rel3" localSheetId="4" hidden="1">2</definedName>
    <definedName name="solver_rhs1" localSheetId="4" hidden="1">JJ_Optim_Scenario!$H$17:$H$24</definedName>
    <definedName name="solver_rhs2" localSheetId="4" hidden="1">JJ_Optim_Scenario!$G$17:$G$24</definedName>
    <definedName name="solver_rhs3" localSheetId="4" hidden="1">JJ_Optim_Scenario!$B$12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45621"/>
</workbook>
</file>

<file path=xl/calcChain.xml><?xml version="1.0" encoding="utf-8"?>
<calcChain xmlns="http://schemas.openxmlformats.org/spreadsheetml/2006/main">
  <c r="L45" i="23" l="1"/>
  <c r="N45" i="23" s="1"/>
  <c r="J45" i="23"/>
  <c r="G45" i="23"/>
  <c r="L44" i="23"/>
  <c r="N44" i="23" s="1"/>
  <c r="J44" i="23"/>
  <c r="G44" i="23"/>
  <c r="M43" i="23"/>
  <c r="L43" i="23"/>
  <c r="N43" i="23" s="1"/>
  <c r="J43" i="23"/>
  <c r="G43" i="23"/>
  <c r="M44" i="23" l="1"/>
  <c r="M45" i="23"/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C29" i="37"/>
  <c r="C28" i="37"/>
  <c r="D28" i="37"/>
  <c r="E28" i="37"/>
  <c r="E27" i="37"/>
  <c r="E26" i="37"/>
  <c r="C27" i="37"/>
  <c r="C26" i="37"/>
  <c r="E23" i="37"/>
  <c r="D23" i="37"/>
  <c r="D25" i="37"/>
  <c r="E25" i="37"/>
  <c r="C25" i="37"/>
  <c r="E24" i="37"/>
  <c r="C24" i="37"/>
  <c r="C23" i="37"/>
  <c r="B28" i="37"/>
  <c r="C22" i="37"/>
  <c r="E22" i="37" s="1"/>
  <c r="E20" i="37"/>
  <c r="E21" i="37"/>
  <c r="C21" i="37"/>
  <c r="C20" i="37"/>
  <c r="D24" i="37"/>
  <c r="D26" i="37"/>
  <c r="D27" i="37"/>
  <c r="D22" i="37"/>
  <c r="D20" i="37"/>
  <c r="D21" i="37"/>
  <c r="G15" i="37"/>
  <c r="G54" i="24"/>
  <c r="E23" i="34" l="1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F17" i="23"/>
  <c r="G9" i="25"/>
  <c r="F34" i="23"/>
  <c r="G34" i="23" s="1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J9" i="25" s="1"/>
  <c r="H9" i="25"/>
  <c r="F9" i="25"/>
  <c r="J17" i="23" s="1"/>
  <c r="I34" i="23" s="1"/>
  <c r="J34" i="23" s="1"/>
  <c r="E9" i="25"/>
  <c r="A24" i="25"/>
  <c r="A25" i="25" s="1"/>
  <c r="A23" i="25"/>
  <c r="K22" i="23"/>
  <c r="K21" i="23"/>
  <c r="K20" i="23"/>
  <c r="K19" i="23"/>
  <c r="K18" i="23"/>
  <c r="K17" i="23"/>
  <c r="H14" i="30" a="1"/>
  <c r="K25" i="23" l="1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H9" i="30"/>
  <c r="B30" i="30"/>
  <c r="E9" i="30"/>
  <c r="L21" i="23" l="1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J42" i="23" l="1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F37" i="23" l="1"/>
  <c r="G37" i="23" s="1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N37" i="23" s="1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L42" i="23" l="1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N42" i="23" l="1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B9" i="23" l="1"/>
  <c r="J25" i="23"/>
  <c r="L18" i="23"/>
  <c r="N18" i="23" s="1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L25" i="23" l="1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<sst xmlns="http://schemas.openxmlformats.org/spreadsheetml/2006/main" count="1082" uniqueCount="287">
  <si>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</si>
  <si>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</si>
  <si>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</si>
  <si>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</si>
  <si>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</si>
  <si>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</si>
  <si>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</si>
  <si>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</si>
  <si>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</si>
  <si>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</si>
  <si>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</si>
  <si>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</si>
  <si>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</si>
  <si>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</si>
  <si>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</si>
  <si>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</si>
  <si>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</si>
  <si>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</si>
  <si>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</si>
  <si>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</si>
  <si>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</si>
  <si>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</si>
  <si>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</si>
  <si>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</si>
  <si>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</si>
  <si>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</si>
  <si>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</si>
  <si>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</si>
  <si>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</si>
  <si>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</si>
  <si>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</si>
  <si>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</si>
  <si>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</si>
  <si>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</si>
  <si>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</si>
  <si>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</si>
  <si>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</si>
  <si>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</si>
  <si>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</si>
  <si>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</si>
  <si>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</si>
  <si>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</si>
  <si>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</si>
  <si>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</si>
  <si>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</si>
  <si>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</si>
  <si>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</si>
  <si>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</si>
  <si>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</si>
  <si>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</si>
  <si>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</si>
  <si>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</si>
  <si>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</si>
  <si>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</si>
  <si>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</si>
  <si>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</si>
  <si>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</si>
  <si>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</si>
  <si>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</si>
  <si>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</si>
  <si>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</si>
  <si>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</si>
  <si>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</si>
  <si>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</si>
  <si>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</si>
  <si>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</si>
  <si>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</si>
  <si>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</si>
  <si>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</si>
  <si>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</si>
  <si>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</si>
  <si>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</si>
  <si>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</si>
  <si>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</si>
  <si>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</si>
  <si>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</si>
  <si>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</si>
  <si>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</si>
  <si>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</si>
  <si>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</si>
  <si>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</si>
  <si>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</si>
  <si>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</si>
  <si>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</si>
  <si>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</si>
  <si>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</si>
  <si>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</si>
  <si>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</si>
  <si>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</si>
  <si>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</si>
  <si>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</si>
  <si>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</si>
  <si>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</si>
  <si>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</si>
  <si>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</si>
  <si>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</si>
  <si>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</si>
  <si>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</si>
  <si>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</si>
  <si>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</si>
  <si>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</si>
  <si>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</si>
  <si>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</si>
  <si>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</si>
  <si>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</si>
  <si>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</si>
  <si>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</si>
  <si>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</si>
  <si>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</si>
  <si>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</si>
  <si>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</si>
  <si>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</si>
  <si>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</si>
  <si>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</si>
  <si>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</si>
  <si>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</si>
  <si>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</si>
  <si>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</si>
  <si>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</si>
  <si>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</si>
  <si>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</si>
  <si>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</si>
  <si>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</si>
  <si>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</si>
  <si>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</si>
  <si>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</si>
  <si>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</si>
  <si>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</si>
  <si>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</si>
  <si>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</si>
  <si>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</si>
  <si>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</si>
  <si>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</si>
  <si>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</si>
  <si>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</si>
  <si>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</si>
  <si>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</si>
  <si>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</si>
  <si>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</si>
  <si>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</si>
  <si>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</si>
  <si>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</si>
  <si>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</si>
  <si>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</si>
  <si>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</si>
  <si>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</si>
  <si>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</si>
  <si>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</si>
  <si>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</si>
  <si>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</si>
  <si>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</si>
  <si>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</si>
  <si>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</si>
  <si>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</si>
  <si>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</si>
  <si>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</si>
  <si>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</si>
  <si>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</si>
  <si>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</si>
  <si>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</si>
  <si>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</si>
  <si>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</si>
  <si>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</si>
  <si>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</si>
  <si>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</si>
  <si>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</si>
  <si>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</si>
  <si>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</si>
  <si>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</si>
  <si>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</si>
  <si>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</si>
  <si>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</si>
  <si>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</si>
  <si>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</si>
  <si>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</si>
  <si>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</si>
  <si>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</si>
  <si>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</si>
  <si>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</si>
  <si>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</si>
  <si>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</si>
  <si>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</si>
  <si>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</si>
  <si>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</si>
  <si>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</si>
  <si>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</si>
  <si>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</si>
  <si>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</si>
  <si>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</si>
  <si>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</si>
  <si>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</si>
  <si>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</si>
  <si>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</si>
  <si>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</si>
  <si>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</si>
  <si>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</si>
  <si>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</si>
  <si>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</si>
  <si>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</si>
  <si>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</si>
  <si>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</si>
  <si>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</si>
  <si>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</si>
  <si>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</si>
  <si>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</si>
  <si>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</si>
  <si>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</si>
  <si>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</si>
  <si>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</si>
  <si>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</si>
  <si>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</si>
  <si>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</si>
  <si>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</si>
  <si>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</si>
  <si>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</si>
  <si>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</si>
  <si>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</si>
  <si>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</si>
  <si>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</si>
  <si>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</si>
  <si>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</si>
  <si>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</si>
  <si>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</si>
  <si>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</si>
  <si>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</si>
  <si>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</si>
  <si>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</si>
  <si>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</si>
  <si>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</si>
  <si>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</si>
  <si>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</si>
  <si>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</si>
  <si>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</si>
  <si>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</si>
  <si>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</si>
  <si>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</si>
  <si>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</si>
  <si>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</si>
  <si>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</si>
  <si>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</si>
  <si>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</si>
  <si>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</si>
  <si>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</si>
  <si>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</si>
  <si>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</si>
  <si>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</si>
  <si>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</si>
  <si>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</si>
  <si>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</si>
  <si>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</si>
  <si>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</si>
  <si>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</si>
  <si>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</si>
  <si>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</si>
  <si>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</si>
  <si>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</si>
  <si>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</si>
  <si>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</si>
  <si>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</si>
  <si>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</si>
  <si>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</si>
  <si>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</si>
  <si>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</si>
  <si>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</si>
  <si>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</si>
  <si>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</si>
  <si>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</si>
  <si>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</si>
  <si>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</si>
  <si>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</si>
  <si>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</si>
  <si>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</si>
  <si>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</si>
  <si>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</si>
  <si>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</si>
  <si>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</si>
  <si>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</si>
  <si>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 xml:space="preserve">Q1-12 lvl is $31.3 MM in total. Max here is apportioned Q1-12 lvl +10%. Min here is curr. Level -10%. </t>
  </si>
  <si>
    <t>Equivalent 2012-Q1 Projected level.</t>
  </si>
  <si>
    <t>Per 2013 budget levels, 53% goes to vouchers. Apply this ratio to 2012-Q1 proj. level. Then apply curr -10% as min. And Q1-12 +10% as max.</t>
  </si>
  <si>
    <t>Assume Q1-12 lvl of $53 MM represents consumer HCC only (i.e., some evidence from cell D8). Min and Max rules are same as above.</t>
  </si>
  <si>
    <t>Per 2013 budget levels, roughly 51% goes to measured MMF programs. Apply this ratio to Q1-12 level to get Equivalent spend. Min and Max are REVERSED as Q1-12 level is less than curr promotions.</t>
  </si>
  <si>
    <t>Q1-12 level is less than curr level. Min and Max are REVERSED as Q1-12 level is less than curr promotions.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</si>
  <si>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</si>
  <si>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</si>
  <si>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</si>
  <si>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3B.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</t>
    </r>
    <r>
      <rPr>
        <u/>
        <sz val="10"/>
        <color rgb="FF0000FF"/>
        <rFont val="Calibri"/>
        <family val="2"/>
        <scheme val="minor"/>
      </rPr>
      <t xml:space="preserve"> CURRENT level.</t>
    </r>
    <r>
      <rPr>
        <sz val="10"/>
        <color rgb="FF0000FF"/>
        <rFont val="Calibri"/>
        <family val="2"/>
        <scheme val="minor"/>
      </rPr>
      <t xml:space="preserve"> NOTE: If Q1-12 level is less than curr. spend, then base for min and max spends are reversed.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</si>
</sst>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07200"/>
        <c:axId val="267665408"/>
      </c:scatterChart>
      <c:valAx>
        <c:axId val="267507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7665408"/>
        <c:crosses val="autoZero"/>
        <c:crossBetween val="midCat"/>
        <c:dispUnits>
          <c:builtInUnit val="thousands"/>
        </c:dispUnits>
      </c:valAx>
      <c:valAx>
        <c:axId val="26766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75072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79648"/>
        <c:axId val="271981952"/>
      </c:scatterChart>
      <c:valAx>
        <c:axId val="271979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981952"/>
        <c:crosses val="autoZero"/>
        <c:crossBetween val="midCat"/>
        <c:dispUnits>
          <c:builtInUnit val="thousands"/>
        </c:dispUnits>
      </c:valAx>
      <c:valAx>
        <c:axId val="27198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9796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783040"/>
        <c:axId val="272037376"/>
      </c:scatterChart>
      <c:valAx>
        <c:axId val="271783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2037376"/>
        <c:crosses val="autoZero"/>
        <c:crossBetween val="midCat"/>
        <c:dispUnits>
          <c:builtInUnit val="thousands"/>
        </c:dispUnits>
      </c:valAx>
      <c:valAx>
        <c:axId val="272037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7830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43712"/>
        <c:axId val="271846016"/>
      </c:scatterChart>
      <c:valAx>
        <c:axId val="271843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1846016"/>
        <c:crosses val="autoZero"/>
        <c:crossBetween val="midCat"/>
        <c:dispUnits>
          <c:builtInUnit val="thousands"/>
        </c:dispUnits>
      </c:valAx>
      <c:valAx>
        <c:axId val="27184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1843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18976"/>
        <c:axId val="271933824"/>
      </c:scatterChart>
      <c:valAx>
        <c:axId val="271918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933824"/>
        <c:crosses val="autoZero"/>
        <c:crossBetween val="midCat"/>
        <c:dispUnits>
          <c:builtInUnit val="thousands"/>
        </c:dispUnits>
      </c:valAx>
      <c:valAx>
        <c:axId val="2719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9189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307712"/>
        <c:axId val="272326656"/>
      </c:scatterChart>
      <c:valAx>
        <c:axId val="2723077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326656"/>
        <c:crosses val="autoZero"/>
        <c:crossBetween val="midCat"/>
        <c:dispUnits>
          <c:builtInUnit val="thousands"/>
        </c:dispUnits>
      </c:valAx>
      <c:valAx>
        <c:axId val="272326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3077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06624"/>
        <c:axId val="272352768"/>
      </c:scatterChart>
      <c:valAx>
        <c:axId val="272106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352768"/>
        <c:crosses val="autoZero"/>
        <c:crossBetween val="midCat"/>
        <c:dispUnits>
          <c:builtInUnit val="thousands"/>
        </c:dispUnits>
      </c:valAx>
      <c:valAx>
        <c:axId val="272352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106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71392"/>
        <c:axId val="272173696"/>
      </c:scatterChart>
      <c:valAx>
        <c:axId val="272171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2173696"/>
        <c:crosses val="autoZero"/>
        <c:crossBetween val="midCat"/>
        <c:dispUnits>
          <c:builtInUnit val="thousands"/>
        </c:dispUnits>
      </c:valAx>
      <c:valAx>
        <c:axId val="27217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1713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50240"/>
        <c:axId val="272652928"/>
      </c:scatterChart>
      <c:valAx>
        <c:axId val="272650240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2652928"/>
        <c:crosses val="autoZero"/>
        <c:crossBetween val="midCat"/>
        <c:dispUnits>
          <c:builtInUnit val="thousands"/>
        </c:dispUnits>
      </c:valAx>
      <c:valAx>
        <c:axId val="27265292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2650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16384"/>
        <c:axId val="272917632"/>
      </c:scatterChart>
      <c:valAx>
        <c:axId val="272816384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2917632"/>
        <c:crosses val="autoZero"/>
        <c:crossBetween val="midCat"/>
        <c:dispUnits>
          <c:builtInUnit val="thousands"/>
        </c:dispUnits>
      </c:valAx>
      <c:valAx>
        <c:axId val="27291763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28163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372765557.60751671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141191072.15937769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15636877.372905601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05664"/>
        <c:axId val="273108352"/>
      </c:scatterChart>
      <c:valAx>
        <c:axId val="273105664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3108352"/>
        <c:crosses val="autoZero"/>
        <c:crossBetween val="midCat"/>
        <c:dispUnits>
          <c:builtInUnit val="millions"/>
        </c:dispUnits>
      </c:valAx>
      <c:valAx>
        <c:axId val="273108352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310566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372765557.60751671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141191072.15937769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15636877.372905601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8002321.0391029678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38088792.892893516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23520"/>
        <c:axId val="273342848"/>
      </c:scatterChart>
      <c:valAx>
        <c:axId val="273323520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73342848"/>
        <c:crosses val="autoZero"/>
        <c:crossBetween val="midCat"/>
        <c:dispUnits>
          <c:builtInUnit val="millions"/>
        </c:dispUnits>
      </c:valAx>
      <c:valAx>
        <c:axId val="273342848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7332352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48608"/>
        <c:axId val="272550912"/>
      </c:scatterChart>
      <c:valAx>
        <c:axId val="272548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550912"/>
        <c:crosses val="autoZero"/>
        <c:crossBetween val="midCat"/>
        <c:dispUnits>
          <c:builtInUnit val="thousands"/>
        </c:dispUnits>
      </c:valAx>
      <c:valAx>
        <c:axId val="272550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548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316606.02914625418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09664"/>
        <c:axId val="272611968"/>
      </c:scatterChart>
      <c:valAx>
        <c:axId val="272609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611968"/>
        <c:crosses val="autoZero"/>
        <c:crossBetween val="midCat"/>
        <c:dispUnits>
          <c:builtInUnit val="thousands"/>
        </c:dispUnits>
      </c:valAx>
      <c:valAx>
        <c:axId val="27261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6096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3844353.2014442463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35744"/>
        <c:axId val="273538048"/>
      </c:scatterChart>
      <c:valAx>
        <c:axId val="273535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3538048"/>
        <c:crosses val="autoZero"/>
        <c:crossBetween val="midCat"/>
        <c:dispUnits>
          <c:builtInUnit val="thousands"/>
        </c:dispUnits>
      </c:valAx>
      <c:valAx>
        <c:axId val="27353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5357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22528417.766983155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333421.78676879843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00896"/>
        <c:axId val="273603200"/>
      </c:scatterChart>
      <c:valAx>
        <c:axId val="273600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3603200"/>
        <c:crosses val="autoZero"/>
        <c:crossBetween val="midCat"/>
        <c:dispUnits>
          <c:builtInUnit val="thousands"/>
        </c:dispUnits>
      </c:valAx>
      <c:valAx>
        <c:axId val="273603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6008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00992"/>
        <c:axId val="274103296"/>
      </c:scatterChart>
      <c:valAx>
        <c:axId val="274100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4103296"/>
        <c:crosses val="autoZero"/>
        <c:crossBetween val="midCat"/>
        <c:dispUnits>
          <c:builtInUnit val="thousands"/>
        </c:dispUnits>
      </c:valAx>
      <c:valAx>
        <c:axId val="274103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1009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70240"/>
        <c:axId val="274172544"/>
      </c:scatterChart>
      <c:valAx>
        <c:axId val="274170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4172544"/>
        <c:crosses val="autoZero"/>
        <c:crossBetween val="midCat"/>
        <c:dispUnits>
          <c:builtInUnit val="thousands"/>
        </c:dispUnits>
      </c:valAx>
      <c:valAx>
        <c:axId val="274172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170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8960"/>
        <c:axId val="273931264"/>
      </c:scatterChart>
      <c:valAx>
        <c:axId val="273928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3931264"/>
        <c:crosses val="autoZero"/>
        <c:crossBetween val="midCat"/>
        <c:dispUnits>
          <c:builtInUnit val="thousands"/>
        </c:dispUnits>
      </c:valAx>
      <c:valAx>
        <c:axId val="273931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928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81824"/>
        <c:axId val="273984128"/>
      </c:scatterChart>
      <c:valAx>
        <c:axId val="273981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3984128"/>
        <c:crosses val="autoZero"/>
        <c:crossBetween val="midCat"/>
        <c:dispUnits>
          <c:builtInUnit val="thousands"/>
        </c:dispUnits>
      </c:valAx>
      <c:valAx>
        <c:axId val="27398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981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94208"/>
        <c:axId val="274496512"/>
      </c:scatterChart>
      <c:valAx>
        <c:axId val="2744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4496512"/>
        <c:crosses val="autoZero"/>
        <c:crossBetween val="midCat"/>
        <c:dispUnits>
          <c:builtInUnit val="thousands"/>
        </c:dispUnits>
      </c:valAx>
      <c:valAx>
        <c:axId val="274496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4942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1822.0499190256078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97600"/>
        <c:axId val="274299520"/>
      </c:scatterChart>
      <c:valAx>
        <c:axId val="274297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4299520"/>
        <c:crosses val="autoZero"/>
        <c:crossBetween val="midCat"/>
        <c:dispUnits>
          <c:builtInUnit val="thousands"/>
        </c:dispUnits>
      </c:valAx>
      <c:valAx>
        <c:axId val="274299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2976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1456111.8622519004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78752"/>
        <c:axId val="274381056"/>
      </c:scatterChart>
      <c:valAx>
        <c:axId val="274378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4381056"/>
        <c:crosses val="autoZero"/>
        <c:crossBetween val="midCat"/>
        <c:dispUnits>
          <c:builtInUnit val="thousands"/>
        </c:dispUnits>
      </c:valAx>
      <c:valAx>
        <c:axId val="274381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3787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126288.97330892459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39552"/>
        <c:axId val="274458496"/>
      </c:scatterChart>
      <c:valAx>
        <c:axId val="27443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4458496"/>
        <c:crosses val="autoZero"/>
        <c:crossBetween val="midCat"/>
        <c:dispUnits>
          <c:builtInUnit val="thousands"/>
        </c:dispUnits>
      </c:valAx>
      <c:valAx>
        <c:axId val="274458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4395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161264.03945402644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07488"/>
        <c:axId val="274626432"/>
      </c:scatterChart>
      <c:valAx>
        <c:axId val="274607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4626432"/>
        <c:crosses val="autoZero"/>
        <c:crossBetween val="midCat"/>
        <c:dispUnits>
          <c:builtInUnit val="thousands"/>
        </c:dispUnits>
      </c:valAx>
      <c:valAx>
        <c:axId val="274626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6074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13986.473499915563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04416"/>
        <c:axId val="275015168"/>
      </c:scatterChart>
      <c:valAx>
        <c:axId val="275004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5015168"/>
        <c:crosses val="autoZero"/>
        <c:crossBetween val="midCat"/>
        <c:dispUnits>
          <c:builtInUnit val="thousands"/>
        </c:dispUnits>
      </c:valAx>
      <c:valAx>
        <c:axId val="275015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50044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82528.409285203234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840576"/>
        <c:axId val="274851328"/>
      </c:scatterChart>
      <c:valAx>
        <c:axId val="274840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4851328"/>
        <c:crosses val="autoZero"/>
        <c:crossBetween val="midCat"/>
        <c:dispUnits>
          <c:builtInUnit val="thousands"/>
        </c:dispUnits>
      </c:valAx>
      <c:valAx>
        <c:axId val="274851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840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5260932.6000000006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4304399.4000000004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7157.711126210168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905728"/>
        <c:axId val="274916480"/>
      </c:scatterChart>
      <c:valAx>
        <c:axId val="274905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4916480"/>
        <c:crosses val="autoZero"/>
        <c:crossBetween val="midCat"/>
        <c:dispUnits>
          <c:builtInUnit val="thousands"/>
        </c:dispUnits>
      </c:valAx>
      <c:valAx>
        <c:axId val="274916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4905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14130000.000000002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327223.30663997866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97248"/>
        <c:axId val="275416192"/>
      </c:scatterChart>
      <c:valAx>
        <c:axId val="275397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5416192"/>
        <c:crosses val="autoZero"/>
        <c:crossBetween val="midCat"/>
        <c:dispUnits>
          <c:builtInUnit val="thousands"/>
        </c:dispUnits>
      </c:valAx>
      <c:valAx>
        <c:axId val="275416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53972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242368"/>
        <c:axId val="275252736"/>
      </c:scatterChart>
      <c:valAx>
        <c:axId val="275242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252736"/>
        <c:crosses val="autoZero"/>
        <c:crossBetween val="midCat"/>
      </c:valAx>
      <c:valAx>
        <c:axId val="2752527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2423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89600"/>
        <c:axId val="273708160"/>
      </c:scatterChart>
      <c:valAx>
        <c:axId val="273689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708160"/>
        <c:crosses val="autoZero"/>
        <c:crossBetween val="midCat"/>
      </c:valAx>
      <c:valAx>
        <c:axId val="2737081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36896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52896"/>
        <c:axId val="275559168"/>
      </c:scatterChart>
      <c:valAx>
        <c:axId val="2755528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559168"/>
        <c:crosses val="autoZero"/>
        <c:crossBetween val="midCat"/>
      </c:valAx>
      <c:valAx>
        <c:axId val="27555916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55528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63808"/>
        <c:axId val="275890944"/>
      </c:scatterChart>
      <c:valAx>
        <c:axId val="275863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5890944"/>
        <c:crosses val="autoZero"/>
        <c:crossBetween val="midCat"/>
        <c:dispUnits>
          <c:builtInUnit val="millions"/>
        </c:dispUnits>
      </c:valAx>
      <c:valAx>
        <c:axId val="27589094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5863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topLeftCell="H1" workbookViewId="0">
      <selection activeCell="L1" sqref="L1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topLeftCell="A34" workbookViewId="0">
      <selection activeCell="A50" sqref="A50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24" t="s">
        <v>191</v>
      </c>
      <c r="E6" s="324"/>
      <c r="F6" s="324" t="s">
        <v>183</v>
      </c>
      <c r="G6" s="324"/>
      <c r="H6" s="324"/>
      <c r="I6" s="324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25" t="s">
        <v>194</v>
      </c>
      <c r="D20" s="325"/>
      <c r="E20" s="325"/>
      <c r="F20" s="325" t="s">
        <v>195</v>
      </c>
      <c r="G20" s="325"/>
      <c r="H20" s="325"/>
      <c r="I20" s="325" t="s">
        <v>196</v>
      </c>
      <c r="J20" s="325"/>
      <c r="K20" s="192" t="s">
        <v>197</v>
      </c>
      <c r="L20" s="187"/>
      <c r="M20" s="189" t="s">
        <v>198</v>
      </c>
      <c r="N20" s="187"/>
      <c r="O20" s="325" t="s">
        <v>194</v>
      </c>
      <c r="P20" s="325"/>
      <c r="Q20" s="325"/>
      <c r="R20" s="325" t="s">
        <v>195</v>
      </c>
      <c r="S20" s="325"/>
      <c r="T20" s="325"/>
      <c r="U20" s="325" t="s">
        <v>196</v>
      </c>
      <c r="V20" s="325"/>
      <c r="W20" s="192" t="s">
        <v>197</v>
      </c>
      <c r="X20" s="187"/>
      <c r="Y20" s="189" t="s">
        <v>199</v>
      </c>
      <c r="Z20" s="187"/>
      <c r="AA20" s="314" t="s">
        <v>200</v>
      </c>
      <c r="AB20" s="315"/>
      <c r="AC20" s="316"/>
      <c r="AD20" s="314" t="s">
        <v>201</v>
      </c>
      <c r="AE20" s="316"/>
      <c r="AF20" s="212"/>
      <c r="AG20" s="317" t="s">
        <v>202</v>
      </c>
      <c r="AH20" s="318"/>
      <c r="AI20" s="318"/>
      <c r="AJ20" s="318"/>
      <c r="AK20" s="318"/>
      <c r="AL20" s="319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0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1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1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1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1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1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1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1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22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23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1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1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1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1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1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1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1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22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G29"/>
  <sheetViews>
    <sheetView topLeftCell="A13" workbookViewId="0">
      <selection activeCell="B28" sqref="B28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3" spans="1:7" x14ac:dyDescent="0.3">
      <c r="A3" s="159" t="s">
        <v>222</v>
      </c>
      <c r="B3" s="248"/>
      <c r="C3" s="248"/>
      <c r="D3" s="248"/>
      <c r="E3" s="248"/>
      <c r="F3" s="248"/>
      <c r="G3" s="248"/>
    </row>
    <row r="4" spans="1:7" x14ac:dyDescent="0.3">
      <c r="A4" s="253" t="s">
        <v>223</v>
      </c>
      <c r="B4" s="248"/>
      <c r="C4" s="248"/>
      <c r="D4" s="248"/>
      <c r="E4" s="248"/>
      <c r="F4" s="248"/>
      <c r="G4" s="248"/>
    </row>
    <row r="5" spans="1:7" ht="55.2" x14ac:dyDescent="0.3">
      <c r="A5" s="257" t="s">
        <v>224</v>
      </c>
      <c r="B5" s="249" t="s">
        <v>225</v>
      </c>
      <c r="C5" s="249" t="s">
        <v>226</v>
      </c>
      <c r="D5" s="249" t="s">
        <v>227</v>
      </c>
      <c r="E5" s="249" t="s">
        <v>228</v>
      </c>
      <c r="F5" s="249" t="s">
        <v>229</v>
      </c>
      <c r="G5" s="248"/>
    </row>
    <row r="6" spans="1:7" x14ac:dyDescent="0.3">
      <c r="A6" s="258" t="s">
        <v>230</v>
      </c>
      <c r="B6" s="250">
        <v>1485207</v>
      </c>
      <c r="C6" s="250">
        <v>5940828</v>
      </c>
      <c r="D6" s="250">
        <v>5111928</v>
      </c>
      <c r="E6" s="250">
        <v>-828900</v>
      </c>
      <c r="F6" s="252">
        <v>-0.13952600546590474</v>
      </c>
      <c r="G6" s="248"/>
    </row>
    <row r="7" spans="1:7" x14ac:dyDescent="0.3">
      <c r="A7" s="258" t="s">
        <v>231</v>
      </c>
      <c r="B7" s="250">
        <v>7509116</v>
      </c>
      <c r="C7" s="250">
        <v>30036464</v>
      </c>
      <c r="D7" s="250">
        <v>40058044</v>
      </c>
      <c r="E7" s="250">
        <v>10021580</v>
      </c>
      <c r="F7" s="252">
        <v>0.33364712970208477</v>
      </c>
      <c r="G7" s="248"/>
    </row>
    <row r="8" spans="1:7" x14ac:dyDescent="0.3">
      <c r="A8" s="261" t="s">
        <v>232</v>
      </c>
      <c r="B8" s="250">
        <v>13463006</v>
      </c>
      <c r="C8" s="250">
        <v>53852024</v>
      </c>
      <c r="D8" s="250">
        <v>25228000</v>
      </c>
      <c r="E8" s="250">
        <v>-28624024</v>
      </c>
      <c r="F8" s="252">
        <v>-0.53153107114414122</v>
      </c>
      <c r="G8" s="248" t="s">
        <v>108</v>
      </c>
    </row>
    <row r="9" spans="1:7" x14ac:dyDescent="0.3">
      <c r="A9" s="261" t="s">
        <v>233</v>
      </c>
      <c r="B9" s="250">
        <v>865260</v>
      </c>
      <c r="C9" s="250">
        <v>3461040</v>
      </c>
      <c r="D9" s="250">
        <v>7242494</v>
      </c>
      <c r="E9" s="250">
        <v>3781454</v>
      </c>
      <c r="F9" s="252">
        <v>1.0925773755865289</v>
      </c>
      <c r="G9" s="248" t="s">
        <v>96</v>
      </c>
    </row>
    <row r="10" spans="1:7" x14ac:dyDescent="0.3">
      <c r="A10" s="258" t="s">
        <v>234</v>
      </c>
      <c r="B10" s="250">
        <v>0</v>
      </c>
      <c r="C10" s="250">
        <v>0</v>
      </c>
      <c r="D10" s="250">
        <v>0</v>
      </c>
      <c r="E10" s="250">
        <v>0</v>
      </c>
      <c r="F10" s="252"/>
      <c r="G10" s="248"/>
    </row>
    <row r="11" spans="1:7" x14ac:dyDescent="0.3">
      <c r="A11" s="261" t="s">
        <v>235</v>
      </c>
      <c r="B11" s="250">
        <v>1852637</v>
      </c>
      <c r="C11" s="250">
        <v>7410548</v>
      </c>
      <c r="D11" s="250">
        <v>5155000</v>
      </c>
      <c r="E11" s="250">
        <v>-2255548</v>
      </c>
      <c r="F11" s="252">
        <v>-0.30436993323570671</v>
      </c>
      <c r="G11" s="248" t="s">
        <v>94</v>
      </c>
    </row>
    <row r="12" spans="1:7" x14ac:dyDescent="0.3">
      <c r="A12" s="261" t="s">
        <v>236</v>
      </c>
      <c r="B12" s="250">
        <v>1987601</v>
      </c>
      <c r="C12" s="250">
        <v>7950404</v>
      </c>
      <c r="D12" s="250">
        <v>7077000</v>
      </c>
      <c r="E12" s="250">
        <v>-873404</v>
      </c>
      <c r="F12" s="252">
        <v>-0.10985655571716858</v>
      </c>
      <c r="G12" s="248" t="s">
        <v>95</v>
      </c>
    </row>
    <row r="13" spans="1:7" x14ac:dyDescent="0.3">
      <c r="A13" s="261" t="s">
        <v>237</v>
      </c>
      <c r="B13" s="250">
        <v>7817443</v>
      </c>
      <c r="C13" s="250">
        <v>31269772</v>
      </c>
      <c r="D13" s="250">
        <v>21601934</v>
      </c>
      <c r="E13" s="250">
        <v>-9667838</v>
      </c>
      <c r="F13" s="252">
        <v>-0.30917519961450313</v>
      </c>
      <c r="G13" s="248" t="s">
        <v>93</v>
      </c>
    </row>
    <row r="14" spans="1:7" x14ac:dyDescent="0.3">
      <c r="A14" s="258" t="s">
        <v>238</v>
      </c>
      <c r="B14" s="250">
        <v>146598</v>
      </c>
      <c r="C14" s="250">
        <v>586392</v>
      </c>
      <c r="D14" s="250">
        <v>0</v>
      </c>
      <c r="E14" s="250">
        <v>-586392</v>
      </c>
      <c r="F14" s="252">
        <v>-1</v>
      </c>
      <c r="G14" s="248"/>
    </row>
    <row r="15" spans="1:7" ht="15" thickBot="1" x14ac:dyDescent="0.35">
      <c r="A15" s="259" t="s">
        <v>103</v>
      </c>
      <c r="B15" s="251">
        <v>35126868</v>
      </c>
      <c r="C15" s="254">
        <v>140507472</v>
      </c>
      <c r="D15" s="254">
        <v>111474400</v>
      </c>
      <c r="E15" s="254">
        <v>-29033072</v>
      </c>
      <c r="F15" s="255">
        <v>-0.20663009295334842</v>
      </c>
      <c r="G15" s="300">
        <f>C8+C9+C11+C12+C13</f>
        <v>103943788</v>
      </c>
    </row>
    <row r="16" spans="1:7" ht="15" thickTop="1" x14ac:dyDescent="0.3"/>
    <row r="18" spans="1:6" x14ac:dyDescent="0.3">
      <c r="D18" s="304">
        <v>0.9</v>
      </c>
      <c r="E18" s="304">
        <v>1.1000000000000001</v>
      </c>
    </row>
    <row r="19" spans="1:6" ht="43.2" x14ac:dyDescent="0.3">
      <c r="A19" s="301" t="s">
        <v>3</v>
      </c>
      <c r="B19" s="301" t="s">
        <v>271</v>
      </c>
      <c r="C19" s="301" t="s">
        <v>278</v>
      </c>
      <c r="D19" s="301" t="s">
        <v>272</v>
      </c>
      <c r="E19" s="301" t="s">
        <v>273</v>
      </c>
      <c r="F19" s="301" t="s">
        <v>276</v>
      </c>
    </row>
    <row r="20" spans="1:6" x14ac:dyDescent="0.3">
      <c r="A20" t="s">
        <v>274</v>
      </c>
      <c r="B20" s="302">
        <v>5991499</v>
      </c>
      <c r="C20" s="305">
        <f>(B20/(B20+B21))*C13</f>
        <v>8672964.54420368</v>
      </c>
      <c r="D20" s="303">
        <f>$D$18*B20</f>
        <v>5392349.1000000006</v>
      </c>
      <c r="E20" s="305">
        <f t="shared" ref="E20:E21" si="0">C20*$E$18</f>
        <v>9540260.9986240491</v>
      </c>
      <c r="F20" t="s">
        <v>277</v>
      </c>
    </row>
    <row r="21" spans="1:6" x14ac:dyDescent="0.3">
      <c r="A21" t="s">
        <v>275</v>
      </c>
      <c r="B21" s="302">
        <v>15610435</v>
      </c>
      <c r="C21" s="305">
        <f>(B21/(B20+B21))*C13</f>
        <v>22596807.45579632</v>
      </c>
      <c r="D21" s="303">
        <f>$D$18*B21</f>
        <v>14049391.5</v>
      </c>
      <c r="E21" s="305">
        <f t="shared" si="0"/>
        <v>24856488.201375954</v>
      </c>
      <c r="F21" s="248" t="s">
        <v>277</v>
      </c>
    </row>
    <row r="22" spans="1:6" x14ac:dyDescent="0.3">
      <c r="A22" t="s">
        <v>95</v>
      </c>
      <c r="B22" s="302">
        <v>3804716</v>
      </c>
      <c r="C22" s="305">
        <f>0.53*C12</f>
        <v>4213714.12</v>
      </c>
      <c r="D22" s="303">
        <f>$D$18*B22</f>
        <v>3424244.4</v>
      </c>
      <c r="E22" s="305">
        <f>C22*$E$18</f>
        <v>4635085.5320000006</v>
      </c>
      <c r="F22" t="s">
        <v>279</v>
      </c>
    </row>
    <row r="23" spans="1:6" x14ac:dyDescent="0.3">
      <c r="A23" t="s">
        <v>94</v>
      </c>
      <c r="B23" s="302">
        <v>4440000</v>
      </c>
      <c r="C23" s="306">
        <f>C11*0.51</f>
        <v>3779379.48</v>
      </c>
      <c r="D23" s="307">
        <f>C23*D18</f>
        <v>3401441.5320000001</v>
      </c>
      <c r="E23" s="306">
        <f>B23*E18</f>
        <v>4884000</v>
      </c>
      <c r="F23" t="s">
        <v>281</v>
      </c>
    </row>
    <row r="24" spans="1:6" x14ac:dyDescent="0.3">
      <c r="A24" t="s">
        <v>108</v>
      </c>
      <c r="B24" s="302">
        <v>22954000</v>
      </c>
      <c r="C24" s="305">
        <f>C8</f>
        <v>53852024</v>
      </c>
      <c r="D24" s="303">
        <f>$D$18*B24</f>
        <v>20658600</v>
      </c>
      <c r="E24" s="305">
        <f t="shared" ref="E24" si="1">C24*$E$18</f>
        <v>59237226.400000006</v>
      </c>
      <c r="F24" t="s">
        <v>280</v>
      </c>
    </row>
    <row r="25" spans="1:6" x14ac:dyDescent="0.3">
      <c r="A25" t="s">
        <v>96</v>
      </c>
      <c r="B25" s="302">
        <v>7818984</v>
      </c>
      <c r="C25" s="306">
        <f>C9</f>
        <v>3461040</v>
      </c>
      <c r="D25" s="307">
        <f>C25*D18</f>
        <v>3114936</v>
      </c>
      <c r="E25" s="307">
        <f>B25*E18</f>
        <v>8600882.4000000004</v>
      </c>
      <c r="F25" t="s">
        <v>282</v>
      </c>
    </row>
    <row r="26" spans="1:6" x14ac:dyDescent="0.3">
      <c r="A26" t="s">
        <v>177</v>
      </c>
      <c r="B26" s="302">
        <v>4782666</v>
      </c>
      <c r="C26" s="303">
        <f>B26</f>
        <v>4782666</v>
      </c>
      <c r="D26" s="303">
        <f>$D$18*B26</f>
        <v>4304399.4000000004</v>
      </c>
      <c r="E26" s="303">
        <f>C26*$E$18</f>
        <v>5260932.6000000006</v>
      </c>
      <c r="F26" t="s">
        <v>283</v>
      </c>
    </row>
    <row r="27" spans="1:6" x14ac:dyDescent="0.3">
      <c r="A27" t="s">
        <v>172</v>
      </c>
      <c r="B27" s="302">
        <v>15700000</v>
      </c>
      <c r="C27" s="303">
        <f>B27</f>
        <v>15700000</v>
      </c>
      <c r="D27" s="303">
        <f>$D$18*B27</f>
        <v>14130000</v>
      </c>
      <c r="E27" s="303">
        <f>C27*$E$18</f>
        <v>17270000</v>
      </c>
      <c r="F27" s="248" t="s">
        <v>283</v>
      </c>
    </row>
    <row r="28" spans="1:6" x14ac:dyDescent="0.3">
      <c r="A28" s="309" t="s">
        <v>103</v>
      </c>
      <c r="B28" s="310">
        <f>SUM(B20:B27)</f>
        <v>81102300</v>
      </c>
      <c r="C28" s="311">
        <f t="shared" ref="C28:E28" si="2">SUM(C20:C27)</f>
        <v>117058595.59999999</v>
      </c>
      <c r="D28" s="310">
        <f t="shared" si="2"/>
        <v>68475361.932000011</v>
      </c>
      <c r="E28" s="310">
        <f t="shared" si="2"/>
        <v>134284876.132</v>
      </c>
    </row>
    <row r="29" spans="1:6" x14ac:dyDescent="0.3">
      <c r="C29" s="308">
        <f>C28/B28</f>
        <v>1.4433449556917621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B1" sqref="B1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48" t="s">
        <v>286</v>
      </c>
      <c r="C4" s="349"/>
      <c r="D4" s="349"/>
      <c r="E4" s="349"/>
      <c r="F4" s="349"/>
      <c r="G4" s="349"/>
      <c r="H4" s="349"/>
      <c r="I4" s="349"/>
    </row>
    <row r="5" spans="1:14" x14ac:dyDescent="0.3">
      <c r="A5" s="48" t="s">
        <v>79</v>
      </c>
      <c r="B5" s="1" t="s">
        <v>167</v>
      </c>
      <c r="E5" s="330" t="s">
        <v>50</v>
      </c>
      <c r="F5" s="331"/>
      <c r="G5" s="331"/>
      <c r="H5" s="331"/>
      <c r="I5" s="332"/>
    </row>
    <row r="6" spans="1:14" x14ac:dyDescent="0.3">
      <c r="A6" s="48" t="s">
        <v>80</v>
      </c>
      <c r="B6" s="1" t="s">
        <v>168</v>
      </c>
      <c r="E6" s="333" t="s">
        <v>51</v>
      </c>
      <c r="F6" s="334"/>
      <c r="G6" s="334"/>
      <c r="H6" s="334"/>
      <c r="I6" s="335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9678460.6863729116</v>
      </c>
    </row>
    <row r="10" spans="1:14" ht="14.4" thickBot="1" x14ac:dyDescent="0.35">
      <c r="A10" s="50"/>
    </row>
    <row r="11" spans="1:14" ht="27.6" x14ac:dyDescent="0.3">
      <c r="A11" s="336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37"/>
      <c r="B12" s="80">
        <v>81102300</v>
      </c>
      <c r="C12" s="81">
        <f>1*B12 - 1</f>
        <v>81102299</v>
      </c>
      <c r="D12" s="82">
        <f>1*B12 + 1</f>
        <v>81102301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0.9</v>
      </c>
      <c r="H14" s="263">
        <v>1.1000000000000001</v>
      </c>
      <c r="I14" s="63" t="s">
        <v>98</v>
      </c>
      <c r="J14" s="63" t="s">
        <v>99</v>
      </c>
    </row>
    <row r="15" spans="1:14" ht="27.6" customHeight="1" x14ac:dyDescent="0.3">
      <c r="A15" s="338" t="s">
        <v>2</v>
      </c>
      <c r="B15" s="340" t="s">
        <v>3</v>
      </c>
      <c r="C15" s="340" t="s">
        <v>38</v>
      </c>
      <c r="D15" s="340" t="s">
        <v>169</v>
      </c>
      <c r="E15" s="344" t="s">
        <v>86</v>
      </c>
      <c r="F15" s="345"/>
      <c r="G15" s="346" t="s">
        <v>241</v>
      </c>
      <c r="H15" s="347"/>
      <c r="I15" s="346" t="s">
        <v>89</v>
      </c>
      <c r="J15" s="347"/>
      <c r="K15" s="344" t="s">
        <v>90</v>
      </c>
      <c r="L15" s="350"/>
      <c r="M15" s="350"/>
      <c r="N15" s="345"/>
    </row>
    <row r="16" spans="1:14" ht="27.6" x14ac:dyDescent="0.3">
      <c r="A16" s="339"/>
      <c r="B16" s="339"/>
      <c r="C16" s="339"/>
      <c r="D16" s="339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Notes'!D20</f>
        <v>5392349.1000000006</v>
      </c>
      <c r="H17" s="73">
        <f>'Case Notes'!E20</f>
        <v>9540260.9986240491</v>
      </c>
      <c r="I17" s="273">
        <v>9540260.9986240491</v>
      </c>
      <c r="J17" s="64">
        <f>JANSample!F9</f>
        <v>3650467.5160563109</v>
      </c>
      <c r="K17" s="58">
        <f>I17-E17</f>
        <v>3548761.9986240491</v>
      </c>
      <c r="L17" s="58">
        <f>J17-F17</f>
        <v>1339702.2372616134</v>
      </c>
      <c r="M17" s="59">
        <f>K17/E17</f>
        <v>0.59229952281124454</v>
      </c>
      <c r="N17" s="59">
        <f>L17/F17</f>
        <v>0.57976560819730094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Notes'!D21</f>
        <v>14049391.5</v>
      </c>
      <c r="H18" s="74">
        <f>'Case Notes'!E21</f>
        <v>24856488.201375954</v>
      </c>
      <c r="I18" s="274">
        <v>22528417.766983155</v>
      </c>
      <c r="J18" s="65">
        <f>JMTSample!F9</f>
        <v>3844353.2014442463</v>
      </c>
      <c r="K18" s="60">
        <f t="shared" ref="K18:L22" si="0">I18-E18</f>
        <v>6917982.7669831552</v>
      </c>
      <c r="L18" s="60">
        <f t="shared" si="0"/>
        <v>1181688.3530321927</v>
      </c>
      <c r="M18" s="61">
        <f t="shared" ref="M18:N25" si="1">K18/E18</f>
        <v>0.44316399683821461</v>
      </c>
      <c r="N18" s="61">
        <f t="shared" si="1"/>
        <v>0.44379913369004059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Notes'!D22</f>
        <v>3424244.4</v>
      </c>
      <c r="H19" s="74">
        <f>'Case Notes'!E22</f>
        <v>4635085.5320000006</v>
      </c>
      <c r="I19" s="274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Notes'!D23</f>
        <v>3401441.5320000001</v>
      </c>
      <c r="H20" s="74">
        <f>'Case Notes'!E23</f>
        <v>4884000</v>
      </c>
      <c r="I20" s="274">
        <v>3401441.5320000006</v>
      </c>
      <c r="J20" s="65">
        <f>JJMMF!F9</f>
        <v>21008.235566365256</v>
      </c>
      <c r="K20" s="60">
        <f t="shared" si="0"/>
        <v>-1038558.4679999994</v>
      </c>
      <c r="L20" s="60">
        <f t="shared" si="0"/>
        <v>-4680.9246257664017</v>
      </c>
      <c r="M20" s="61">
        <f t="shared" si="1"/>
        <v>-0.23390956486486472</v>
      </c>
      <c r="N20" s="61">
        <f t="shared" si="1"/>
        <v>-0.18221399963086857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Notes'!D24</f>
        <v>20658600</v>
      </c>
      <c r="H21" s="74">
        <f>'Case Notes'!E24</f>
        <v>59237226.400000006</v>
      </c>
      <c r="I21" s="274">
        <v>20658600</v>
      </c>
      <c r="J21" s="65">
        <f>JJHCC!F9</f>
        <v>1456111.8622519004</v>
      </c>
      <c r="K21" s="60">
        <f t="shared" si="0"/>
        <v>-2295400</v>
      </c>
      <c r="L21" s="60">
        <f t="shared" si="0"/>
        <v>-139780.15210846253</v>
      </c>
      <c r="M21" s="61">
        <f t="shared" si="1"/>
        <v>-0.1</v>
      </c>
      <c r="N21" s="61">
        <f t="shared" si="1"/>
        <v>-8.7587475124052627E-2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Notes'!D25</f>
        <v>3114936</v>
      </c>
      <c r="H22" s="74">
        <f>'Case Notes'!E25</f>
        <v>8600882.4000000004</v>
      </c>
      <c r="I22" s="274">
        <v>3114936</v>
      </c>
      <c r="J22" s="65">
        <f>JJMCM!F9</f>
        <v>161264.03945402644</v>
      </c>
      <c r="K22" s="60">
        <f t="shared" si="0"/>
        <v>-4704048</v>
      </c>
      <c r="L22" s="60">
        <f t="shared" si="0"/>
        <v>-217019.20168123645</v>
      </c>
      <c r="M22" s="61">
        <f t="shared" si="1"/>
        <v>-0.60161882924942678</v>
      </c>
      <c r="N22" s="61">
        <f t="shared" si="1"/>
        <v>-0.57369499380924682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>'Case Notes'!D26</f>
        <v>4304399.4000000004</v>
      </c>
      <c r="H23" s="74">
        <f>'Case Notes'!E26</f>
        <v>5260932.6000000006</v>
      </c>
      <c r="I23" s="274">
        <v>4304399.4000000004</v>
      </c>
      <c r="J23" s="65">
        <f>JJHCC_ACQ!F9</f>
        <v>82528.409285203234</v>
      </c>
      <c r="K23" s="60">
        <f t="shared" ref="K23:K24" si="2">I23-E23</f>
        <v>-478266.59999999963</v>
      </c>
      <c r="L23" s="60">
        <f t="shared" ref="L23:L24" si="3">J23-F23</f>
        <v>-8816.0052429876378</v>
      </c>
      <c r="M23" s="61">
        <f t="shared" ref="M23:M24" si="4">K23/E23</f>
        <v>-9.9999999999999922E-2</v>
      </c>
      <c r="N23" s="61">
        <f t="shared" ref="N23:N24" si="5">L23/F23</f>
        <v>-9.6513895113606835E-2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Notes'!D27</f>
        <v>14130000</v>
      </c>
      <c r="H24" s="74">
        <f>'Case Notes'!E27</f>
        <v>17270000</v>
      </c>
      <c r="I24" s="274">
        <v>14130000.000000002</v>
      </c>
      <c r="J24" s="65">
        <f>JJHCC_ADH!F9</f>
        <v>327223.30663997866</v>
      </c>
      <c r="K24" s="60">
        <f t="shared" si="2"/>
        <v>-1569999.9999999981</v>
      </c>
      <c r="L24" s="60">
        <f t="shared" si="3"/>
        <v>-33609.430473422632</v>
      </c>
      <c r="M24" s="61">
        <f t="shared" si="4"/>
        <v>-9.9999999999999881E-2</v>
      </c>
      <c r="N24" s="61">
        <f t="shared" si="5"/>
        <v>-9.3144072076974477E-2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81102300</v>
      </c>
      <c r="F25" s="77">
        <f t="shared" si="6"/>
        <v>7576032.3955975948</v>
      </c>
      <c r="G25" s="76">
        <f t="shared" si="6"/>
        <v>68475361.932000011</v>
      </c>
      <c r="H25" s="76">
        <f t="shared" si="6"/>
        <v>134284876.132</v>
      </c>
      <c r="I25" s="83">
        <f t="shared" si="6"/>
        <v>81102300.09760721</v>
      </c>
      <c r="J25" s="275">
        <f t="shared" si="6"/>
        <v>9678460.6863729116</v>
      </c>
      <c r="K25" s="76">
        <f>SUM(K17:K24)</f>
        <v>9.7607206553220749E-2</v>
      </c>
      <c r="L25" s="275">
        <f>SUM(L17:L24)</f>
        <v>2102428.2907753186</v>
      </c>
      <c r="M25" s="79">
        <f>K25/E25</f>
        <v>1.2035072563074135E-9</v>
      </c>
      <c r="N25" s="79">
        <f t="shared" si="1"/>
        <v>0.27751046735188623</v>
      </c>
    </row>
    <row r="29" spans="1:14" s="256" customFormat="1" x14ac:dyDescent="0.3"/>
    <row r="30" spans="1:14" ht="55.2" x14ac:dyDescent="0.3">
      <c r="A30" s="329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29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41" t="s">
        <v>2</v>
      </c>
      <c r="B32" s="340" t="s">
        <v>3</v>
      </c>
      <c r="C32" s="340" t="str">
        <f t="shared" ref="C32:C42" si="7">D15</f>
        <v>Response Scaling Factor for Sensitivity Analysis</v>
      </c>
      <c r="D32" s="326" t="s">
        <v>86</v>
      </c>
      <c r="E32" s="327"/>
      <c r="F32" s="327"/>
      <c r="G32" s="328"/>
      <c r="H32" s="342" t="s">
        <v>89</v>
      </c>
      <c r="I32" s="343"/>
      <c r="J32" s="343"/>
      <c r="K32" s="326" t="s">
        <v>251</v>
      </c>
      <c r="L32" s="327"/>
      <c r="M32" s="327"/>
      <c r="N32" s="328"/>
    </row>
    <row r="33" spans="1:14" ht="74.400000000000006" customHeight="1" x14ac:dyDescent="0.3">
      <c r="A33" s="339"/>
      <c r="B33" s="339"/>
      <c r="C33" s="339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9540260.9986240491</v>
      </c>
      <c r="I34" s="268">
        <f>J17/$D$31</f>
        <v>316606.02914625424</v>
      </c>
      <c r="J34" s="279">
        <f>I34*$F$31</f>
        <v>353965540.58551222</v>
      </c>
      <c r="K34" s="266">
        <f>H34-D34</f>
        <v>3548761.9986240491</v>
      </c>
      <c r="L34" s="266">
        <f>J34-G34</f>
        <v>129903477.99293008</v>
      </c>
      <c r="M34" s="282">
        <f>K34/D34</f>
        <v>0.59229952281124454</v>
      </c>
      <c r="N34" s="283">
        <f>L34/G34</f>
        <v>0.57976560819730094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22528417.766983155</v>
      </c>
      <c r="I35" s="269">
        <f t="shared" ref="I35:I40" si="12">J18/$D$31</f>
        <v>333421.78676879848</v>
      </c>
      <c r="J35" s="280">
        <f t="shared" ref="J35:J40" si="13">I35*$F$31</f>
        <v>372765557.60751671</v>
      </c>
      <c r="K35" s="267">
        <f t="shared" ref="K35:K42" si="14">H35-D35</f>
        <v>6917982.7669831552</v>
      </c>
      <c r="L35" s="267">
        <f t="shared" ref="L35:L42" si="15">J35-G35</f>
        <v>114581750.10320827</v>
      </c>
      <c r="M35" s="284">
        <f t="shared" ref="M35:M42" si="16">K35/D35</f>
        <v>0.44316399683821461</v>
      </c>
      <c r="N35" s="285">
        <f t="shared" ref="N35:N42" si="17">L35/G35</f>
        <v>0.44379913369004054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3424244.4</v>
      </c>
      <c r="I36" s="269">
        <f t="shared" si="12"/>
        <v>11752.308384638445</v>
      </c>
      <c r="J36" s="280">
        <f t="shared" si="13"/>
        <v>13139080.774025781</v>
      </c>
      <c r="K36" s="267">
        <f t="shared" si="14"/>
        <v>-380471.60000000009</v>
      </c>
      <c r="L36" s="267">
        <f t="shared" si="15"/>
        <v>-1459953.3792048804</v>
      </c>
      <c r="M36" s="284">
        <f t="shared" si="16"/>
        <v>-0.10000000000000002</v>
      </c>
      <c r="N36" s="285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3401441.5320000006</v>
      </c>
      <c r="I37" s="269">
        <f t="shared" si="12"/>
        <v>1822.0499190256078</v>
      </c>
      <c r="J37" s="280">
        <f t="shared" si="13"/>
        <v>2037051.8094706296</v>
      </c>
      <c r="K37" s="267">
        <f t="shared" si="14"/>
        <v>-1038558.4679999994</v>
      </c>
      <c r="L37" s="267">
        <f t="shared" si="15"/>
        <v>-453883.23778029787</v>
      </c>
      <c r="M37" s="284">
        <f t="shared" si="16"/>
        <v>-0.23390956486486472</v>
      </c>
      <c r="N37" s="285">
        <f t="shared" si="17"/>
        <v>-0.18221399963086848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20658600</v>
      </c>
      <c r="I38" s="269">
        <f t="shared" si="12"/>
        <v>126288.97330892459</v>
      </c>
      <c r="J38" s="280">
        <f t="shared" si="13"/>
        <v>141191072.15937769</v>
      </c>
      <c r="K38" s="267">
        <f t="shared" si="14"/>
        <v>-2295400</v>
      </c>
      <c r="L38" s="267">
        <f t="shared" si="15"/>
        <v>-13553704.254749447</v>
      </c>
      <c r="M38" s="284">
        <f t="shared" si="16"/>
        <v>-0.1</v>
      </c>
      <c r="N38" s="285">
        <f t="shared" si="17"/>
        <v>-8.7587475124052627E-2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3114936</v>
      </c>
      <c r="I39" s="269">
        <f t="shared" si="12"/>
        <v>13986.473499915564</v>
      </c>
      <c r="J39" s="280">
        <f t="shared" si="13"/>
        <v>15636877.372905601</v>
      </c>
      <c r="K39" s="267">
        <f t="shared" si="14"/>
        <v>-4704048</v>
      </c>
      <c r="L39" s="267">
        <f t="shared" si="15"/>
        <v>-21043145.488258656</v>
      </c>
      <c r="M39" s="284">
        <f t="shared" si="16"/>
        <v>-0.60161882924942678</v>
      </c>
      <c r="N39" s="285">
        <f t="shared" si="17"/>
        <v>-0.57369499380924671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4782666</v>
      </c>
      <c r="E40" s="265" t="s">
        <v>185</v>
      </c>
      <c r="F40" s="269">
        <f t="shared" si="10"/>
        <v>7922.3256312394515</v>
      </c>
      <c r="G40" s="271">
        <f t="shared" si="11"/>
        <v>8857160.0557257067</v>
      </c>
      <c r="H40" s="277">
        <f t="shared" si="9"/>
        <v>4304399.4000000004</v>
      </c>
      <c r="I40" s="269">
        <f t="shared" si="12"/>
        <v>7157.711126210168</v>
      </c>
      <c r="J40" s="280">
        <f t="shared" si="13"/>
        <v>8002321.0391029678</v>
      </c>
      <c r="K40" s="267">
        <f t="shared" si="14"/>
        <v>-478266.59999999963</v>
      </c>
      <c r="L40" s="267">
        <f t="shared" si="15"/>
        <v>-854839.01662273891</v>
      </c>
      <c r="M40" s="284">
        <f t="shared" si="16"/>
        <v>-9.9999999999999922E-2</v>
      </c>
      <c r="N40" s="285">
        <f t="shared" si="17"/>
        <v>-9.6513895113606835E-2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14130000.000000002</v>
      </c>
      <c r="I41" s="269">
        <f>J24</f>
        <v>327223.30663997866</v>
      </c>
      <c r="J41" s="280">
        <f>I41*$I$31</f>
        <v>38088792.892893516</v>
      </c>
      <c r="K41" s="267">
        <f t="shared" si="14"/>
        <v>-1569999.9999999981</v>
      </c>
      <c r="L41" s="267">
        <f t="shared" si="15"/>
        <v>-3912137.7071063891</v>
      </c>
      <c r="M41" s="284">
        <f t="shared" si="16"/>
        <v>-9.9999999999999881E-2</v>
      </c>
      <c r="N41" s="285">
        <f t="shared" si="17"/>
        <v>-9.3144072076974366E-2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81102300.09760721</v>
      </c>
      <c r="I42" s="77"/>
      <c r="J42" s="281">
        <f>SUM(J34:J41)</f>
        <v>944826294.24080515</v>
      </c>
      <c r="K42" s="76">
        <f t="shared" si="14"/>
        <v>9.7607210278511047E-2</v>
      </c>
      <c r="L42" s="312">
        <f t="shared" si="15"/>
        <v>203207565.01241601</v>
      </c>
      <c r="M42" s="79">
        <f t="shared" si="16"/>
        <v>1.2035073022406398E-9</v>
      </c>
      <c r="N42" s="286">
        <f t="shared" si="17"/>
        <v>0.2740054383791542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328858698.62045246</v>
      </c>
      <c r="K43" s="256"/>
      <c r="L43" s="289">
        <f>SUM(L34:L40)*$E$43 + (L41*$D$43)</f>
        <v>68308144.562800154</v>
      </c>
      <c r="M43" s="313">
        <f>L43/L42</f>
        <v>0.33614961410824701</v>
      </c>
      <c r="N43" s="290">
        <f>N42*(L43/L42)</f>
        <v>9.2106822374713737E-2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371148470.25641656</v>
      </c>
      <c r="K44" s="256"/>
      <c r="L44" s="289">
        <f>SUM(L34:L40)*$E$44 + (L41*$D$44)</f>
        <v>78977100.715344772</v>
      </c>
      <c r="M44" s="313">
        <f>L44/L42</f>
        <v>0.38865236493788635</v>
      </c>
      <c r="N44" s="290">
        <f>N42*(L44/L42)</f>
        <v>0.10649286163190057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244819125.36393616</v>
      </c>
      <c r="K45" s="256"/>
      <c r="L45" s="289">
        <f>SUM(L34:L40)*$E$45 + (L41*$D$45)</f>
        <v>55922319.734271035</v>
      </c>
      <c r="M45" s="313">
        <f>L45/L42</f>
        <v>0.27519802095386642</v>
      </c>
      <c r="N45" s="290">
        <f>N42*(L45/L42)</f>
        <v>7.5405754372539824E-2</v>
      </c>
    </row>
    <row r="46" spans="1:14" x14ac:dyDescent="0.3">
      <c r="D46" s="256" t="s">
        <v>184</v>
      </c>
      <c r="E46" s="256" t="s">
        <v>284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285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I15:J15"/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A32:A33"/>
    <mergeCell ref="B32:B33"/>
    <mergeCell ref="C32:C33"/>
    <mergeCell ref="D32:G32"/>
    <mergeCell ref="H32:J32"/>
    <mergeCell ref="E15:F15"/>
    <mergeCell ref="G15:H15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JJ_Optim_Scenario!G17</f>
        <v>5392349.1000000006</v>
      </c>
      <c r="C9" s="113">
        <f>JJ_Optim_Scenario!H17</f>
        <v>9540260.9986240491</v>
      </c>
      <c r="D9" s="114">
        <f>JJ_Optim_Scenario!I17</f>
        <v>9540260.9986240491</v>
      </c>
      <c r="E9" s="119">
        <f>$B$13*D9+$C$13*D9*D9</f>
        <v>316606.02914625418</v>
      </c>
      <c r="F9" s="85">
        <f>$E$13*D9+$F$13*D9*D9</f>
        <v>3650467.5160563109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I11" s="141"/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15000000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9"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JJ_Optim_Scenario!G18</f>
        <v>14049391.5</v>
      </c>
      <c r="C9" s="113">
        <f>JJ_Optim_Scenario!H18</f>
        <v>24856488.201375954</v>
      </c>
      <c r="D9" s="114">
        <f>JJ_Optim_Scenario!I18</f>
        <v>22528417.766983155</v>
      </c>
      <c r="E9" s="119">
        <f>$B$13*D9+$C$13*D9*D9</f>
        <v>333421.78676879843</v>
      </c>
      <c r="F9" s="85">
        <f>$E$13*D9+$F$13*D9*D9</f>
        <v>3844353.2014442463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40000000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topLeftCell="A16" workbookViewId="0">
      <selection activeCell="D23" sqref="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60000000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22" sqref="D22:D2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62" t="s">
        <v>105</v>
      </c>
      <c r="I2" s="363"/>
      <c r="J2" s="363"/>
      <c r="K2" s="363"/>
      <c r="L2" s="363"/>
      <c r="M2" s="363"/>
      <c r="N2" s="364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65" t="s">
        <v>136</v>
      </c>
      <c r="I3" s="366"/>
      <c r="J3" s="366"/>
      <c r="K3" s="366"/>
      <c r="L3" s="366"/>
      <c r="M3" s="366"/>
      <c r="N3" s="367"/>
    </row>
    <row r="4" spans="1:14" ht="18.600000000000001" customHeight="1" thickBot="1" x14ac:dyDescent="0.35">
      <c r="A4" s="29" t="s">
        <v>38</v>
      </c>
      <c r="B4" s="368" t="s">
        <v>131</v>
      </c>
      <c r="C4" s="369"/>
      <c r="D4" s="369"/>
      <c r="E4" s="369"/>
      <c r="F4" s="370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71" t="s">
        <v>12</v>
      </c>
      <c r="E7" s="354"/>
      <c r="F7" s="355"/>
      <c r="G7" s="371" t="s">
        <v>143</v>
      </c>
      <c r="H7" s="354"/>
      <c r="I7" s="356"/>
      <c r="J7" s="1" t="s">
        <v>144</v>
      </c>
    </row>
    <row r="8" spans="1:14" ht="27.6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3"/>
      <c r="B9" s="112">
        <f>JJ_Optim_Scenario!E19</f>
        <v>3804716</v>
      </c>
      <c r="C9" s="113">
        <f>JJ_Optim_Scenario!H19</f>
        <v>4635085.5320000006</v>
      </c>
      <c r="D9" s="114">
        <f>JJ_Optim_Scenario!I19</f>
        <v>3424244.4</v>
      </c>
      <c r="E9" s="119">
        <f>$B$13*D9+$C$13*D9*D9</f>
        <v>11752.308384638445</v>
      </c>
      <c r="F9" s="85">
        <f>$E$13*D9+$F$13*D9*D9</f>
        <v>135504.11567488126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51" t="s">
        <v>42</v>
      </c>
      <c r="B11" s="354" t="s">
        <v>138</v>
      </c>
      <c r="C11" s="354"/>
      <c r="D11" s="354" t="s">
        <v>125</v>
      </c>
      <c r="E11" s="354" t="s">
        <v>137</v>
      </c>
      <c r="F11" s="354"/>
      <c r="G11" s="356" t="s">
        <v>134</v>
      </c>
      <c r="J11" s="32"/>
    </row>
    <row r="12" spans="1:14" ht="24.6" customHeight="1" x14ac:dyDescent="0.3">
      <c r="A12" s="352"/>
      <c r="B12" s="91" t="s">
        <v>43</v>
      </c>
      <c r="C12" s="91" t="s">
        <v>44</v>
      </c>
      <c r="D12" s="329"/>
      <c r="E12" s="91" t="s">
        <v>132</v>
      </c>
      <c r="F12" s="91" t="s">
        <v>133</v>
      </c>
      <c r="G12" s="357"/>
      <c r="H12" s="298" t="s">
        <v>267</v>
      </c>
      <c r="I12" s="298" t="s">
        <v>268</v>
      </c>
      <c r="J12" s="32"/>
    </row>
    <row r="13" spans="1:14" ht="14.4" thickBot="1" x14ac:dyDescent="0.35">
      <c r="A13" s="353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58" t="s">
        <v>135</v>
      </c>
      <c r="B14" s="358"/>
      <c r="C14" s="358"/>
      <c r="D14" s="358"/>
      <c r="E14" s="358"/>
      <c r="F14" s="358"/>
      <c r="G14" s="358"/>
      <c r="H14" s="39"/>
      <c r="I14" s="39"/>
      <c r="J14" s="39"/>
    </row>
    <row r="15" spans="1:14" ht="30.6" customHeight="1" x14ac:dyDescent="0.3">
      <c r="A15" s="359"/>
      <c r="B15" s="359"/>
      <c r="C15" s="359"/>
      <c r="D15" s="359"/>
      <c r="E15" s="359"/>
      <c r="F15" s="359"/>
      <c r="G15" s="359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10000000</v>
      </c>
      <c r="D19" s="26">
        <v>20</v>
      </c>
    </row>
    <row r="21" spans="1:4" x14ac:dyDescent="0.3">
      <c r="A21" s="329" t="s">
        <v>37</v>
      </c>
      <c r="B21" s="329"/>
      <c r="C21" s="329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9" workbookViewId="0">
      <selection activeCell="D29" sqref="D29:D30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30" t="s">
        <v>105</v>
      </c>
      <c r="N2" s="331"/>
      <c r="O2" s="331"/>
      <c r="P2" s="331"/>
      <c r="Q2" s="331"/>
      <c r="R2" s="331"/>
      <c r="S2" s="332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33" t="s">
        <v>72</v>
      </c>
      <c r="N3" s="334"/>
      <c r="O3" s="334"/>
      <c r="P3" s="334"/>
      <c r="Q3" s="334"/>
      <c r="R3" s="334"/>
      <c r="S3" s="335"/>
    </row>
    <row r="4" spans="1:25" ht="15" customHeight="1" thickBot="1" x14ac:dyDescent="0.35">
      <c r="A4" s="29" t="s">
        <v>38</v>
      </c>
      <c r="B4" s="368" t="s">
        <v>57</v>
      </c>
      <c r="C4" s="369"/>
      <c r="D4" s="369"/>
      <c r="E4" s="369"/>
      <c r="F4" s="370"/>
    </row>
    <row r="6" spans="1:25" ht="14.4" thickBot="1" x14ac:dyDescent="0.35"/>
    <row r="7" spans="1:25" ht="27.6" customHeight="1" x14ac:dyDescent="0.3">
      <c r="A7" s="351" t="s">
        <v>8</v>
      </c>
      <c r="B7" s="354" t="s">
        <v>9</v>
      </c>
      <c r="C7" s="354"/>
      <c r="D7" s="354" t="s">
        <v>12</v>
      </c>
      <c r="E7" s="354"/>
      <c r="F7" s="354"/>
      <c r="G7" s="354" t="s">
        <v>143</v>
      </c>
      <c r="H7" s="354"/>
      <c r="I7" s="356"/>
      <c r="J7" s="372" t="s">
        <v>144</v>
      </c>
      <c r="K7" s="373"/>
      <c r="M7" s="383" t="s">
        <v>73</v>
      </c>
      <c r="N7" s="383"/>
      <c r="O7" s="383"/>
      <c r="P7" s="383"/>
      <c r="R7" s="47" t="s">
        <v>58</v>
      </c>
    </row>
    <row r="8" spans="1:25" ht="27.6" x14ac:dyDescent="0.3">
      <c r="A8" s="352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83"/>
      <c r="N8" s="383"/>
      <c r="O8" s="383"/>
      <c r="P8" s="383"/>
      <c r="R8" s="47" t="s">
        <v>59</v>
      </c>
    </row>
    <row r="9" spans="1:25" ht="14.4" thickBot="1" x14ac:dyDescent="0.35">
      <c r="A9" s="353"/>
      <c r="B9" s="112">
        <f>JJ_Optim_Scenario!G20</f>
        <v>3401441.5320000001</v>
      </c>
      <c r="C9" s="112">
        <f>JJ_Optim_Scenario!H20</f>
        <v>4884000</v>
      </c>
      <c r="D9" s="117">
        <f>JJ_Optim_Scenario!I20</f>
        <v>3401441.5320000006</v>
      </c>
      <c r="E9" s="118">
        <f>csplinePred($B$14:$B$20,$C$14:$C$20,$H$14:$O$20,D9)*$C$12</f>
        <v>1822.0499190256078</v>
      </c>
      <c r="F9" s="118">
        <f>E9*$C$11</f>
        <v>21008.235566365256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51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53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51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74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2"/>
      <c r="B14" s="125">
        <v>0</v>
      </c>
      <c r="C14" s="127">
        <v>0</v>
      </c>
      <c r="D14" s="133">
        <f>C14*$C$11</f>
        <v>0</v>
      </c>
      <c r="E14" s="130"/>
      <c r="G14" s="375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2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75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2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75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2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75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2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75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2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75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3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76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77" t="s">
        <v>74</v>
      </c>
      <c r="B21" s="378"/>
      <c r="C21" s="379"/>
      <c r="D21" s="33"/>
      <c r="G21" s="359" t="s">
        <v>75</v>
      </c>
      <c r="H21" s="359"/>
      <c r="I21" s="359"/>
      <c r="J21" s="359"/>
      <c r="K21" s="359"/>
      <c r="L21" s="359"/>
      <c r="M21" s="359"/>
      <c r="N21" s="359"/>
      <c r="O21" s="359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0"/>
      <c r="B22" s="381"/>
      <c r="C22" s="382"/>
      <c r="D22" s="33"/>
      <c r="G22" s="359"/>
      <c r="H22" s="359"/>
      <c r="I22" s="359"/>
      <c r="J22" s="359"/>
      <c r="K22" s="359"/>
      <c r="L22" s="359"/>
      <c r="M22" s="359"/>
      <c r="N22" s="359"/>
      <c r="O22" s="359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1"/>
      <c r="B26" s="103">
        <v>0</v>
      </c>
      <c r="C26" s="103">
        <v>20000000</v>
      </c>
      <c r="D26" s="26">
        <v>20</v>
      </c>
    </row>
    <row r="28" spans="1:25" x14ac:dyDescent="0.3">
      <c r="A28" s="329" t="s">
        <v>37</v>
      </c>
      <c r="B28" s="329"/>
      <c r="C28" s="329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JJ_Optim_Scenario!G21</f>
        <v>20658600</v>
      </c>
      <c r="C9" s="80">
        <f>JJ_Optim_Scenario!H21</f>
        <v>59237226.400000006</v>
      </c>
      <c r="D9" s="95">
        <f>JJ_Optim_Scenario!I21</f>
        <v>20658600</v>
      </c>
      <c r="E9" s="118">
        <f>((($R$12/(1+EXP($P$12+$Q$12*D9)))-1) - ($F$12-$C$12))*$I$12</f>
        <v>126288.97330892459</v>
      </c>
      <c r="F9" s="145">
        <f>E9*$G$12</f>
        <v>1456111.8622519004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6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60000000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JJ_Optim_Scenario!G22</f>
        <v>3114936</v>
      </c>
      <c r="C9" s="80">
        <f>JJ_Optim_Scenario!H22</f>
        <v>8600882.4000000004</v>
      </c>
      <c r="D9" s="95">
        <f>JJ_Optim_Scenario!I22</f>
        <v>3114936</v>
      </c>
      <c r="E9" s="118">
        <f>((($R$12/(1+EXP($P$12+$Q$12*D9)))-1) - ($F$12-$C$12))*$I$12</f>
        <v>13986.473499915563</v>
      </c>
      <c r="F9" s="145">
        <f>E9*$G$12</f>
        <v>161264.03945402644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6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30000000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21" sqref="E21:E2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JJ_Optim_Scenario!G23</f>
        <v>4304399.4000000004</v>
      </c>
      <c r="C9" s="80">
        <f>JJ_Optim_Scenario!H23</f>
        <v>5260932.6000000006</v>
      </c>
      <c r="D9" s="95">
        <f>JJ_Optim_Scenario!I23</f>
        <v>4304399.4000000004</v>
      </c>
      <c r="E9" s="118">
        <f>((($R$12/(1+EXP($P$12+$Q$12*D9)))-1) - ($F$12-$C$12))*$I$12</f>
        <v>7157.711126210168</v>
      </c>
      <c r="F9" s="145">
        <f>E9*$G$12</f>
        <v>82528.409285203234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61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20000000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8" sqref="E18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87" t="s">
        <v>111</v>
      </c>
      <c r="C4" s="387"/>
      <c r="D4" s="387"/>
      <c r="E4" s="387"/>
      <c r="F4" s="388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1" t="s">
        <v>8</v>
      </c>
      <c r="B7" s="354" t="s">
        <v>9</v>
      </c>
      <c r="C7" s="355"/>
      <c r="D7" s="389" t="s">
        <v>12</v>
      </c>
      <c r="E7" s="390"/>
      <c r="F7" s="391"/>
      <c r="G7" s="354" t="s">
        <v>143</v>
      </c>
      <c r="H7" s="354"/>
      <c r="I7" s="356"/>
      <c r="J7" s="1" t="s">
        <v>144</v>
      </c>
    </row>
    <row r="8" spans="1:18" ht="28.2" customHeight="1" x14ac:dyDescent="0.3">
      <c r="A8" s="352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3"/>
      <c r="B9" s="80">
        <f>JJ_Optim_Scenario!G24</f>
        <v>14130000</v>
      </c>
      <c r="C9" s="184">
        <f>JJ_Optim_Scenario!H24</f>
        <v>17270000</v>
      </c>
      <c r="D9" s="184">
        <f>JJ_Optim_Scenario!I24</f>
        <v>14130000.000000002</v>
      </c>
      <c r="E9" s="118">
        <f>((($R$12/(1+EXP($P$12+$Q$12*D9)))-1) - ($F$12-$C$12))*$I$12</f>
        <v>327223.30663997866</v>
      </c>
      <c r="F9" s="145">
        <f>E9*$G$12</f>
        <v>327223.30663997866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51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3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61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200000000000003" customHeight="1" x14ac:dyDescent="0.3">
      <c r="A13" s="384" t="s">
        <v>119</v>
      </c>
      <c r="B13" s="385"/>
      <c r="C13" s="385"/>
      <c r="D13" s="385"/>
      <c r="E13" s="385"/>
      <c r="F13" s="386"/>
      <c r="G13" s="298" t="s">
        <v>267</v>
      </c>
      <c r="H13" s="298" t="s">
        <v>268</v>
      </c>
      <c r="K13" s="384" t="s">
        <v>120</v>
      </c>
      <c r="L13" s="385"/>
      <c r="M13" s="385"/>
      <c r="N13" s="385"/>
      <c r="O13" s="385"/>
      <c r="P13" s="385"/>
      <c r="Q13" s="385"/>
      <c r="R13" s="386"/>
    </row>
    <row r="14" spans="1:18" ht="33.6" customHeight="1" thickBot="1" x14ac:dyDescent="0.35">
      <c r="A14" s="380"/>
      <c r="B14" s="381"/>
      <c r="C14" s="381"/>
      <c r="D14" s="381"/>
      <c r="E14" s="381"/>
      <c r="F14" s="382"/>
      <c r="G14" s="184">
        <f>JJ_Optim_Scenario!$I$31</f>
        <v>116.39999999999999</v>
      </c>
      <c r="H14" s="184">
        <f>JJ_Optim_Scenario!$F$31</f>
        <v>1118</v>
      </c>
      <c r="K14" s="380"/>
      <c r="L14" s="381"/>
      <c r="M14" s="381"/>
      <c r="N14" s="381"/>
      <c r="O14" s="381"/>
      <c r="P14" s="381"/>
      <c r="Q14" s="381"/>
      <c r="R14" s="382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50000000</v>
      </c>
      <c r="D18" s="26">
        <v>20</v>
      </c>
    </row>
    <row r="20" spans="1:8" x14ac:dyDescent="0.3">
      <c r="A20" s="329" t="s">
        <v>37</v>
      </c>
      <c r="B20" s="329"/>
      <c r="C20" s="329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2" ht="14.4" thickBot="1" x14ac:dyDescent="0.35">
      <c r="A4" s="29" t="s">
        <v>38</v>
      </c>
      <c r="B4" s="392" t="s">
        <v>39</v>
      </c>
      <c r="C4" s="392"/>
      <c r="D4" s="393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1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3"/>
      <c r="B12" s="12">
        <v>20</v>
      </c>
      <c r="C12" s="12">
        <v>30</v>
      </c>
      <c r="D12" s="12">
        <v>0</v>
      </c>
      <c r="E12" s="14">
        <v>70</v>
      </c>
      <c r="G12" s="35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84" t="s">
        <v>30</v>
      </c>
      <c r="B13" s="385"/>
      <c r="C13" s="385"/>
      <c r="D13" s="385"/>
      <c r="E13" s="386"/>
      <c r="G13" s="394" t="s">
        <v>29</v>
      </c>
      <c r="H13" s="395"/>
      <c r="I13" s="395"/>
      <c r="J13" s="396"/>
    </row>
    <row r="14" spans="1:12" ht="33.6" customHeight="1" x14ac:dyDescent="0.3">
      <c r="A14" s="380"/>
      <c r="B14" s="381"/>
      <c r="C14" s="381"/>
      <c r="D14" s="381"/>
      <c r="E14" s="382"/>
      <c r="G14" s="397"/>
      <c r="H14" s="398"/>
      <c r="I14" s="398"/>
      <c r="J14" s="399"/>
    </row>
    <row r="16" spans="1:12" ht="14.4" thickBot="1" x14ac:dyDescent="0.35"/>
    <row r="17" spans="1:4" ht="16.8" customHeight="1" x14ac:dyDescent="0.3">
      <c r="A17" s="36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1"/>
      <c r="B18" s="12">
        <v>0</v>
      </c>
      <c r="C18" s="12">
        <v>100</v>
      </c>
      <c r="D18" s="26">
        <v>20</v>
      </c>
    </row>
    <row r="20" spans="1:4" x14ac:dyDescent="0.3">
      <c r="A20" s="329" t="s">
        <v>37</v>
      </c>
      <c r="B20" s="329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2" ht="31.8" customHeight="1" thickBot="1" x14ac:dyDescent="0.35">
      <c r="A4" s="29" t="s">
        <v>38</v>
      </c>
      <c r="B4" s="404" t="s">
        <v>41</v>
      </c>
      <c r="C4" s="405"/>
      <c r="D4" s="406"/>
    </row>
    <row r="6" spans="1:12" ht="14.4" thickBot="1" x14ac:dyDescent="0.35"/>
    <row r="7" spans="1:12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H7" s="1" t="s">
        <v>54</v>
      </c>
    </row>
    <row r="8" spans="1:12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1" t="s">
        <v>42</v>
      </c>
      <c r="B11" s="338" t="s">
        <v>47</v>
      </c>
      <c r="C11" s="401" t="s">
        <v>46</v>
      </c>
      <c r="D11" s="390"/>
      <c r="E11" s="390"/>
      <c r="F11" s="3" t="s">
        <v>48</v>
      </c>
      <c r="G11" s="33"/>
      <c r="H11" s="32"/>
      <c r="I11" s="32"/>
      <c r="J11" s="32"/>
    </row>
    <row r="12" spans="1:12" x14ac:dyDescent="0.3">
      <c r="A12" s="402"/>
      <c r="B12" s="33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0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9" t="s">
        <v>52</v>
      </c>
      <c r="B14" s="359"/>
      <c r="C14" s="359"/>
      <c r="D14" s="359"/>
      <c r="E14" s="359"/>
      <c r="F14" s="359"/>
      <c r="G14" s="38"/>
      <c r="H14" s="39"/>
      <c r="I14" s="39"/>
      <c r="J14" s="39"/>
    </row>
    <row r="15" spans="1:12" ht="30.6" customHeight="1" x14ac:dyDescent="0.3">
      <c r="A15" s="359"/>
      <c r="B15" s="359"/>
      <c r="C15" s="359"/>
      <c r="D15" s="359"/>
      <c r="E15" s="359"/>
      <c r="F15" s="359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1"/>
      <c r="B19" s="12">
        <v>0</v>
      </c>
      <c r="C19" s="12">
        <v>20000000</v>
      </c>
      <c r="D19" s="26">
        <v>20</v>
      </c>
    </row>
    <row r="21" spans="1:4" x14ac:dyDescent="0.3">
      <c r="A21" s="329" t="s">
        <v>37</v>
      </c>
      <c r="B21" s="329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30" t="s">
        <v>105</v>
      </c>
      <c r="G2" s="331"/>
      <c r="H2" s="331"/>
      <c r="I2" s="331"/>
      <c r="J2" s="331"/>
      <c r="K2" s="331"/>
      <c r="L2" s="332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33" t="s">
        <v>72</v>
      </c>
      <c r="G3" s="334"/>
      <c r="H3" s="334"/>
      <c r="I3" s="334"/>
      <c r="J3" s="334"/>
      <c r="K3" s="334"/>
      <c r="L3" s="335"/>
    </row>
    <row r="4" spans="1:14" ht="14.4" thickBot="1" x14ac:dyDescent="0.35">
      <c r="A4" s="29" t="s">
        <v>38</v>
      </c>
      <c r="B4" s="392" t="s">
        <v>57</v>
      </c>
      <c r="C4" s="392"/>
      <c r="D4" s="393"/>
    </row>
    <row r="6" spans="1:14" ht="14.4" thickBot="1" x14ac:dyDescent="0.35"/>
    <row r="7" spans="1:14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  <c r="I7" s="383" t="s">
        <v>73</v>
      </c>
      <c r="J7" s="383"/>
      <c r="K7" s="383"/>
      <c r="L7" s="383"/>
      <c r="N7" s="47" t="s">
        <v>58</v>
      </c>
    </row>
    <row r="8" spans="1:14" ht="27.6" x14ac:dyDescent="0.3">
      <c r="A8" s="35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83"/>
      <c r="J8" s="383"/>
      <c r="K8" s="383"/>
      <c r="L8" s="383"/>
      <c r="N8" s="47" t="s">
        <v>59</v>
      </c>
    </row>
    <row r="9" spans="1:14" ht="14.4" thickBot="1" x14ac:dyDescent="0.35">
      <c r="A9" s="35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29" t="s">
        <v>60</v>
      </c>
      <c r="B11" s="3" t="s">
        <v>61</v>
      </c>
      <c r="C11" s="3" t="s">
        <v>62</v>
      </c>
      <c r="D11" s="32"/>
      <c r="E11" s="37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29"/>
      <c r="B12" s="41">
        <v>0</v>
      </c>
      <c r="C12" s="41">
        <v>0</v>
      </c>
      <c r="D12" s="32"/>
      <c r="E12" s="37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29"/>
      <c r="B13" s="41">
        <v>1</v>
      </c>
      <c r="C13" s="41">
        <v>0.75</v>
      </c>
      <c r="D13" s="32"/>
      <c r="E13" s="37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29"/>
      <c r="B14" s="41">
        <v>2</v>
      </c>
      <c r="C14" s="41">
        <v>0</v>
      </c>
      <c r="D14" s="32"/>
      <c r="E14" s="37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29"/>
      <c r="B15" s="41">
        <v>3</v>
      </c>
      <c r="C15" s="41">
        <v>-1</v>
      </c>
      <c r="D15" s="32"/>
      <c r="E15" s="37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29"/>
      <c r="B16" s="41">
        <v>4</v>
      </c>
      <c r="C16" s="41">
        <v>3</v>
      </c>
      <c r="D16" s="32"/>
      <c r="E16" s="37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29"/>
      <c r="B17" s="42">
        <v>5</v>
      </c>
      <c r="C17" s="42">
        <v>3</v>
      </c>
      <c r="D17" s="40"/>
      <c r="E17" s="37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07" t="s">
        <v>74</v>
      </c>
      <c r="B18" s="408"/>
      <c r="C18" s="409"/>
      <c r="D18" s="33"/>
      <c r="E18" s="359" t="s">
        <v>75</v>
      </c>
      <c r="F18" s="359"/>
      <c r="G18" s="359"/>
      <c r="H18" s="359"/>
      <c r="I18" s="359"/>
      <c r="J18" s="359"/>
      <c r="K18" s="359"/>
      <c r="L18" s="359"/>
      <c r="M18" s="359"/>
    </row>
    <row r="19" spans="1:13" ht="35.4" customHeight="1" x14ac:dyDescent="0.3">
      <c r="A19" s="380"/>
      <c r="B19" s="381"/>
      <c r="C19" s="382"/>
      <c r="D19" s="33"/>
      <c r="E19" s="359"/>
      <c r="F19" s="359"/>
      <c r="G19" s="359"/>
      <c r="H19" s="359"/>
      <c r="I19" s="359"/>
      <c r="J19" s="359"/>
      <c r="K19" s="359"/>
      <c r="L19" s="359"/>
      <c r="M19" s="359"/>
    </row>
    <row r="21" spans="1:13" ht="14.4" thickBot="1" x14ac:dyDescent="0.35"/>
    <row r="22" spans="1:13" ht="16.8" customHeight="1" x14ac:dyDescent="0.3">
      <c r="A22" s="36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1"/>
      <c r="B23" s="12">
        <v>0</v>
      </c>
      <c r="C23" s="12">
        <v>5</v>
      </c>
      <c r="D23" s="26">
        <v>20</v>
      </c>
    </row>
    <row r="25" spans="1:13" x14ac:dyDescent="0.3">
      <c r="A25" s="329" t="s">
        <v>37</v>
      </c>
      <c r="B25" s="329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0" t="s">
        <v>111</v>
      </c>
      <c r="C4" s="410"/>
      <c r="D4" s="410"/>
      <c r="E4" s="410"/>
      <c r="F4" s="41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1" t="s">
        <v>8</v>
      </c>
      <c r="B7" s="354" t="s">
        <v>9</v>
      </c>
      <c r="C7" s="355"/>
      <c r="D7" s="389" t="s">
        <v>12</v>
      </c>
      <c r="E7" s="391"/>
      <c r="F7" s="390" t="s">
        <v>24</v>
      </c>
      <c r="G7" s="400"/>
    </row>
    <row r="8" spans="1:15" ht="27.6" x14ac:dyDescent="0.3">
      <c r="A8" s="352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3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1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3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84" t="s">
        <v>119</v>
      </c>
      <c r="B13" s="385"/>
      <c r="C13" s="385"/>
      <c r="D13" s="385"/>
      <c r="E13" s="385"/>
      <c r="F13" s="386"/>
      <c r="H13" s="384" t="s">
        <v>120</v>
      </c>
      <c r="I13" s="385"/>
      <c r="J13" s="385"/>
      <c r="K13" s="385"/>
      <c r="L13" s="385"/>
      <c r="M13" s="385"/>
      <c r="N13" s="385"/>
      <c r="O13" s="386"/>
    </row>
    <row r="14" spans="1:15" ht="33.6" customHeight="1" x14ac:dyDescent="0.3">
      <c r="A14" s="380"/>
      <c r="B14" s="381"/>
      <c r="C14" s="381"/>
      <c r="D14" s="381"/>
      <c r="E14" s="381"/>
      <c r="F14" s="382"/>
      <c r="H14" s="380"/>
      <c r="I14" s="381"/>
      <c r="J14" s="381"/>
      <c r="K14" s="381"/>
      <c r="L14" s="381"/>
      <c r="M14" s="381"/>
      <c r="N14" s="381"/>
      <c r="O14" s="382"/>
    </row>
    <row r="16" spans="1:15" ht="14.4" thickBot="1" x14ac:dyDescent="0.35"/>
    <row r="17" spans="1:4" ht="16.8" customHeight="1" x14ac:dyDescent="0.3">
      <c r="A17" s="36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1"/>
      <c r="B18" s="102">
        <v>0</v>
      </c>
      <c r="C18" s="103">
        <v>200000000</v>
      </c>
      <c r="D18" s="26">
        <v>20</v>
      </c>
    </row>
    <row r="20" spans="1:4" x14ac:dyDescent="0.3">
      <c r="A20" s="329" t="s">
        <v>37</v>
      </c>
      <c r="B20" s="329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Charts - Idvl</vt:lpstr>
      <vt:lpstr>Chart - Combined</vt:lpstr>
      <vt:lpstr>JJ_Notes_1</vt:lpstr>
      <vt:lpstr>Case Notes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2013-04-17T20:12:03Z</dcterms:modified>
</cp:coreProperties>
</file>