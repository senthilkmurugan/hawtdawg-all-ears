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5" activeTab="8"/>
  </bookViews>
  <sheets>
    <sheet name="Charts - Idvl" sheetId="35" r:id="rId1"/>
    <sheet name="Chart - Combined" sheetId="36" r:id="rId2"/>
    <sheet name="JJ_Notes_1" sheetId="24" r:id="rId3"/>
    <sheet name="JJ_Optim_Scenario" sheetId="23" r:id="rId4"/>
    <sheet name="JANSample" sheetId="25" r:id="rId5"/>
    <sheet name="JMTSample" sheetId="26" r:id="rId6"/>
    <sheet name="TOTSample" sheetId="27" r:id="rId7"/>
    <sheet name="JJVCH" sheetId="29" r:id="rId8"/>
    <sheet name="JJMMF" sheetId="30" r:id="rId9"/>
    <sheet name="JJHCC" sheetId="31" r:id="rId10"/>
    <sheet name="JJMCM" sheetId="32" r:id="rId11"/>
    <sheet name="JJHCC_ACQ" sheetId="33" r:id="rId12"/>
    <sheet name="JJHCC_ADH" sheetId="34" r:id="rId13"/>
    <sheet name="Fn.Templates ==&gt;" sheetId="3" r:id="rId14"/>
    <sheet name="FT_SCurveEst" sheetId="2" r:id="rId15"/>
    <sheet name="FT_Equation" sheetId="4" r:id="rId16"/>
    <sheet name="FT_Interpolate" sheetId="5" r:id="rId17"/>
    <sheet name="FT_SCurve3Est" sheetId="13" r:id="rId18"/>
  </sheets>
  <functionGroups builtInGroupCount="17"/>
  <externalReferences>
    <externalReference r:id="rId19"/>
  </externalReferences>
  <definedNames>
    <definedName name="solver_adj" localSheetId="3" hidden="1">JJ_Optim_Scenario!$I$17:$I$24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JJ_Optim_Scenario!$I$17:$I$24</definedName>
    <definedName name="solver_lhs2" localSheetId="3" hidden="1">JJ_Optim_Scenario!$I$17:$I$24</definedName>
    <definedName name="solver_lhs3" localSheetId="3" hidden="1">JJ_Optim_Scenario!$I$25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JJ_Optim_Scenario!$B$9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2</definedName>
    <definedName name="solver_rhs1" localSheetId="3" hidden="1">JJ_Optim_Scenario!$H$17:$H$24</definedName>
    <definedName name="solver_rhs2" localSheetId="3" hidden="1">JJ_Optim_Scenario!$G$17:$G$24</definedName>
    <definedName name="solver_rhs3" localSheetId="3" hidden="1">JJ_Optim_Scenario!$B$12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B9" i="29" l="1"/>
  <c r="J45" i="23" l="1"/>
  <c r="J44" i="23"/>
  <c r="J43" i="23"/>
  <c r="E23" i="34" l="1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D9" i="29"/>
  <c r="C9" i="29"/>
  <c r="D9" i="26"/>
  <c r="D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H24" i="23"/>
  <c r="G24" i="23"/>
  <c r="K23" i="23"/>
  <c r="H23" i="23"/>
  <c r="G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H9" i="25"/>
  <c r="F9" i="25"/>
  <c r="J17" i="23" s="1"/>
  <c r="I34" i="23" s="1"/>
  <c r="J34" i="23" s="1"/>
  <c r="E9" i="25"/>
  <c r="A24" i="25"/>
  <c r="A25" i="25" s="1"/>
  <c r="A23" i="25"/>
  <c r="K22" i="23"/>
  <c r="H22" i="23"/>
  <c r="G22" i="23"/>
  <c r="K21" i="23"/>
  <c r="H21" i="23"/>
  <c r="G21" i="23"/>
  <c r="K20" i="23"/>
  <c r="H20" i="23"/>
  <c r="C9" i="30" s="1"/>
  <c r="G20" i="23"/>
  <c r="B9" i="30" s="1"/>
  <c r="K19" i="23"/>
  <c r="H19" i="23"/>
  <c r="G19" i="23"/>
  <c r="K18" i="23"/>
  <c r="H18" i="23"/>
  <c r="C9" i="26" s="1"/>
  <c r="G18" i="23"/>
  <c r="B9" i="26" s="1"/>
  <c r="K17" i="23"/>
  <c r="H17" i="23"/>
  <c r="C9" i="25" s="1"/>
  <c r="G17" i="23"/>
  <c r="B9" i="25" s="1"/>
  <c r="H14" i="30" a="1"/>
  <c r="J9" i="25" l="1"/>
  <c r="F17" i="23"/>
  <c r="F34" i="23" s="1"/>
  <c r="G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E9" i="30"/>
  <c r="B30" i="30"/>
  <c r="H9" i="30"/>
  <c r="L21" i="23" l="1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N35" i="23" l="1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F37" i="23" s="1"/>
  <c r="G37" i="23" s="1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23" l="1"/>
  <c r="G44" i="23"/>
  <c r="G45" i="23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N37" i="23" l="1"/>
  <c r="L43" i="23"/>
  <c r="L44" i="23"/>
  <c r="L45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M44" i="23" l="1"/>
  <c r="M43" i="23"/>
  <c r="M45" i="23"/>
  <c r="N42" i="23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3" i="23" l="1"/>
  <c r="N44" i="23"/>
  <c r="N45" i="23"/>
  <c r="B9" i="23"/>
  <c r="J25" i="23"/>
  <c r="L18" i="23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N18" i="23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<sst xmlns="http://schemas.openxmlformats.org/spreadsheetml/2006/main" count="1036" uniqueCount="274">
  <si>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</si>
  <si>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</si>
  <si>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</si>
  <si>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</si>
  <si>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</si>
  <si>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</si>
  <si>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</si>
  <si>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</si>
  <si>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</si>
  <si>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</si>
  <si>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</si>
  <si>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</si>
  <si>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</si>
  <si>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</si>
  <si>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</si>
  <si>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</si>
  <si>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</si>
  <si>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</si>
  <si>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</si>
  <si>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</si>
  <si>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</si>
  <si>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</si>
  <si>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</si>
  <si>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</si>
  <si>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</si>
  <si>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</si>
  <si>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</si>
  <si>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</si>
  <si>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</si>
  <si>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</si>
  <si>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</si>
  <si>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</si>
  <si>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</si>
  <si>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</si>
  <si>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</si>
  <si>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</si>
  <si>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</si>
  <si>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</si>
  <si>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</si>
  <si>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</si>
  <si>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</si>
  <si>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</si>
  <si>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</si>
  <si>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</si>
  <si>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</si>
  <si>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</si>
  <si>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</si>
  <si>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</si>
  <si>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</si>
  <si>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</si>
  <si>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</si>
  <si>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</si>
  <si>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</si>
  <si>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</si>
  <si>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</si>
  <si>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</si>
  <si>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</si>
  <si>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</si>
  <si>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</si>
  <si>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</si>
  <si>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</si>
  <si>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</si>
  <si>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</si>
  <si>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</si>
  <si>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</si>
  <si>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</si>
  <si>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</si>
  <si>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</si>
  <si>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</si>
  <si>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</si>
  <si>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</si>
  <si>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</si>
  <si>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</si>
  <si>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</si>
  <si>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</si>
  <si>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</si>
  <si>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</si>
  <si>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</si>
  <si>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</si>
  <si>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</si>
  <si>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</si>
  <si>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</si>
  <si>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</si>
  <si>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</si>
  <si>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</si>
  <si>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</si>
  <si>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</si>
  <si>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</si>
  <si>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</si>
  <si>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</si>
  <si>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</si>
  <si>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</si>
  <si>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</si>
  <si>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</si>
  <si>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</si>
  <si>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</si>
  <si>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</si>
  <si>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</si>
  <si>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</si>
  <si>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</si>
  <si>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</si>
  <si>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</si>
  <si>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</si>
  <si>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</si>
  <si>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</si>
  <si>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</si>
  <si>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</si>
  <si>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</si>
  <si>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</si>
  <si>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</si>
  <si>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</si>
  <si>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</si>
  <si>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</si>
  <si>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</si>
  <si>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</si>
  <si>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</si>
  <si>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</si>
  <si>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</si>
  <si>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</si>
  <si>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</si>
  <si>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</si>
  <si>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</si>
  <si>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</si>
  <si>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</si>
  <si>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</si>
  <si>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</si>
  <si>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</si>
  <si>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</si>
  <si>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</si>
  <si>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</si>
  <si>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</si>
  <si>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</si>
  <si>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</si>
  <si>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</si>
  <si>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</si>
  <si>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</si>
  <si>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</si>
  <si>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</si>
  <si>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</si>
  <si>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</si>
  <si>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</si>
  <si>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</si>
  <si>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</si>
  <si>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</si>
  <si>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</si>
  <si>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</si>
  <si>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</si>
  <si>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</si>
  <si>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</si>
  <si>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</si>
  <si>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</si>
  <si>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</si>
  <si>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</si>
  <si>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</si>
  <si>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</si>
  <si>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</si>
  <si>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</si>
  <si>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</si>
  <si>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</si>
  <si>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</si>
  <si>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</si>
  <si>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</si>
  <si>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</si>
  <si>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</si>
  <si>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</si>
  <si>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</si>
  <si>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</si>
  <si>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</si>
  <si>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</si>
  <si>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</si>
  <si>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</si>
  <si>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</si>
  <si>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</si>
  <si>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</si>
  <si>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</si>
  <si>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</si>
  <si>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</si>
  <si>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</si>
  <si>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</si>
  <si>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</si>
  <si>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</si>
  <si>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</si>
  <si>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</si>
  <si>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</si>
  <si>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</si>
  <si>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</si>
  <si>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</si>
  <si>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</si>
  <si>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</si>
  <si>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</si>
  <si>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</si>
  <si>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</si>
  <si>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</si>
  <si>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</si>
  <si>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</si>
  <si>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</si>
  <si>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</si>
  <si>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</si>
  <si>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</si>
  <si>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</si>
  <si>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</si>
  <si>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</si>
  <si>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</si>
  <si>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</si>
  <si>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</si>
  <si>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</si>
  <si>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</si>
  <si>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</si>
  <si>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</si>
  <si>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</si>
  <si>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</si>
  <si>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</si>
  <si>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</si>
  <si>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</si>
  <si>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</si>
  <si>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</si>
  <si>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</si>
  <si>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</si>
  <si>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</si>
  <si>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</si>
  <si>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</si>
  <si>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</si>
  <si>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</si>
  <si>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</si>
  <si>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</si>
  <si>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</si>
  <si>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</si>
  <si>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</si>
  <si>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</si>
  <si>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</si>
  <si>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</si>
  <si>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</si>
  <si>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</si>
  <si>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</si>
  <si>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</si>
  <si>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</si>
  <si>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</si>
  <si>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</si>
  <si>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</si>
  <si>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</si>
  <si>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</si>
  <si>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</si>
  <si>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</si>
  <si>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</si>
  <si>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</si>
  <si>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</si>
  <si>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</si>
  <si>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</si>
  <si>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</si>
  <si>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</si>
  <si>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</si>
  <si>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</si>
  <si>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</si>
  <si>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</si>
  <si>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</si>
  <si>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</si>
  <si>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</si>
  <si>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</si>
  <si>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</si>
  <si>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</si>
  <si>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</si>
  <si>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</si>
  <si>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</si>
  <si>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</si>
  <si>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</si>
  <si>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</si>
  <si>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</si>
  <si>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</si>
  <si>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</si>
  <si>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</si>
  <si>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</si>
  <si>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</si>
  <si>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</si>
  <si>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1A.</t>
    </r>
    <r>
      <rPr>
        <sz val="10"/>
        <color rgb="FF0000FF"/>
        <rFont val="Calibri"/>
        <family val="2"/>
        <scheme val="minor"/>
      </rPr>
      <t xml:space="preserve"> Local constraints can vary by + or - 30%. Global budget remains at currently planned level.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</si>
</sst>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399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36" fillId="0" borderId="0" xfId="0" applyFont="1"/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19328"/>
        <c:axId val="270821632"/>
      </c:scatterChart>
      <c:valAx>
        <c:axId val="270819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0821632"/>
        <c:crosses val="autoZero"/>
        <c:crossBetween val="midCat"/>
        <c:dispUnits>
          <c:builtInUnit val="thousands"/>
        </c:dispUnits>
      </c:valAx>
      <c:valAx>
        <c:axId val="27082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08193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98912"/>
        <c:axId val="271009664"/>
      </c:scatterChart>
      <c:valAx>
        <c:axId val="270998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1009664"/>
        <c:crosses val="autoZero"/>
        <c:crossBetween val="midCat"/>
        <c:dispUnits>
          <c:builtInUnit val="thousands"/>
        </c:dispUnits>
      </c:valAx>
      <c:valAx>
        <c:axId val="271009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09989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457280"/>
        <c:axId val="271463936"/>
      </c:scatterChart>
      <c:valAx>
        <c:axId val="271457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1463936"/>
        <c:crosses val="autoZero"/>
        <c:crossBetween val="midCat"/>
        <c:dispUnits>
          <c:builtInUnit val="thousands"/>
        </c:dispUnits>
      </c:valAx>
      <c:valAx>
        <c:axId val="271463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14572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90464"/>
        <c:axId val="271792768"/>
      </c:scatterChart>
      <c:valAx>
        <c:axId val="271790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1792768"/>
        <c:crosses val="autoZero"/>
        <c:crossBetween val="midCat"/>
        <c:dispUnits>
          <c:builtInUnit val="thousands"/>
        </c:dispUnits>
      </c:valAx>
      <c:valAx>
        <c:axId val="271792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17904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7424"/>
        <c:axId val="271849728"/>
      </c:scatterChart>
      <c:valAx>
        <c:axId val="271847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849728"/>
        <c:crosses val="autoZero"/>
        <c:crossBetween val="midCat"/>
        <c:dispUnits>
          <c:builtInUnit val="thousands"/>
        </c:dispUnits>
      </c:valAx>
      <c:valAx>
        <c:axId val="271849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8474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02592"/>
        <c:axId val="273027456"/>
      </c:scatterChart>
      <c:valAx>
        <c:axId val="271902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3027456"/>
        <c:crosses val="autoZero"/>
        <c:crossBetween val="midCat"/>
        <c:dispUnits>
          <c:builtInUnit val="thousands"/>
        </c:dispUnits>
      </c:valAx>
      <c:valAx>
        <c:axId val="273027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9025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85952"/>
        <c:axId val="273162240"/>
      </c:scatterChart>
      <c:valAx>
        <c:axId val="273085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3162240"/>
        <c:crosses val="autoZero"/>
        <c:crossBetween val="midCat"/>
        <c:dispUnits>
          <c:builtInUnit val="thousands"/>
        </c:dispUnits>
      </c:valAx>
      <c:valAx>
        <c:axId val="273162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085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20736"/>
        <c:axId val="273223040"/>
      </c:scatterChart>
      <c:valAx>
        <c:axId val="273220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3223040"/>
        <c:crosses val="autoZero"/>
        <c:crossBetween val="midCat"/>
        <c:dispUnits>
          <c:builtInUnit val="thousands"/>
        </c:dispUnits>
      </c:valAx>
      <c:valAx>
        <c:axId val="273223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2207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07072"/>
        <c:axId val="273509760"/>
      </c:scatterChart>
      <c:valAx>
        <c:axId val="273507072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3509760"/>
        <c:crosses val="autoZero"/>
        <c:crossBetween val="midCat"/>
        <c:dispUnits>
          <c:builtInUnit val="thousands"/>
        </c:dispUnits>
      </c:valAx>
      <c:valAx>
        <c:axId val="27350976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35070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85600"/>
        <c:axId val="273788288"/>
      </c:scatterChart>
      <c:valAx>
        <c:axId val="273785600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3788288"/>
        <c:crosses val="autoZero"/>
        <c:crossBetween val="midCat"/>
        <c:dispUnits>
          <c:builtInUnit val="thousands"/>
        </c:dispUnits>
      </c:valAx>
      <c:valAx>
        <c:axId val="273788288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37856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180098106.97091594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80416"/>
        <c:axId val="275122048"/>
      </c:scatterChart>
      <c:valAx>
        <c:axId val="273980416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5122048"/>
        <c:crosses val="autoZero"/>
        <c:crossBetween val="midCat"/>
        <c:dispUnits>
          <c:builtInUnit val="millions"/>
        </c:dispUnits>
      </c:valAx>
      <c:valAx>
        <c:axId val="275122048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398041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180098106.97091594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63488"/>
        <c:axId val="275266176"/>
      </c:scatterChart>
      <c:valAx>
        <c:axId val="275263488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5266176"/>
        <c:crosses val="autoZero"/>
        <c:crossBetween val="midCat"/>
        <c:dispUnits>
          <c:builtInUnit val="millions"/>
        </c:dispUnits>
      </c:valAx>
      <c:valAx>
        <c:axId val="275266176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52634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45856"/>
        <c:axId val="269956608"/>
      </c:scatterChart>
      <c:valAx>
        <c:axId val="269945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9956608"/>
        <c:crosses val="autoZero"/>
        <c:crossBetween val="midCat"/>
        <c:dispUnits>
          <c:builtInUnit val="thousands"/>
        </c:dispUnits>
      </c:valAx>
      <c:valAx>
        <c:axId val="269956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99458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02816"/>
        <c:axId val="270017664"/>
      </c:scatterChart>
      <c:valAx>
        <c:axId val="270002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0017664"/>
        <c:crosses val="autoZero"/>
        <c:crossBetween val="midCat"/>
        <c:dispUnits>
          <c:builtInUnit val="thousands"/>
        </c:dispUnits>
      </c:valAx>
      <c:valAx>
        <c:axId val="270017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00028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72832"/>
        <c:axId val="275404288"/>
      </c:scatterChart>
      <c:valAx>
        <c:axId val="270072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5404288"/>
        <c:crosses val="autoZero"/>
        <c:crossBetween val="midCat"/>
        <c:dispUnits>
          <c:builtInUnit val="thousands"/>
        </c:dispUnits>
      </c:valAx>
      <c:valAx>
        <c:axId val="275404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00728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16032"/>
        <c:axId val="275526784"/>
      </c:scatterChart>
      <c:valAx>
        <c:axId val="275516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5526784"/>
        <c:crosses val="autoZero"/>
        <c:crossBetween val="midCat"/>
        <c:dispUnits>
          <c:builtInUnit val="thousands"/>
        </c:dispUnits>
      </c:valAx>
      <c:valAx>
        <c:axId val="275526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55160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27008"/>
        <c:axId val="275633664"/>
      </c:scatterChart>
      <c:valAx>
        <c:axId val="275627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5633664"/>
        <c:crosses val="autoZero"/>
        <c:crossBetween val="midCat"/>
        <c:dispUnits>
          <c:builtInUnit val="thousands"/>
        </c:dispUnits>
      </c:valAx>
      <c:valAx>
        <c:axId val="27563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56270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00352"/>
        <c:axId val="275784832"/>
      </c:scatterChart>
      <c:valAx>
        <c:axId val="275700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5784832"/>
        <c:crosses val="autoZero"/>
        <c:crossBetween val="midCat"/>
        <c:dispUnits>
          <c:builtInUnit val="thousands"/>
        </c:dispUnits>
      </c:valAx>
      <c:valAx>
        <c:axId val="27578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57003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40000"/>
        <c:axId val="275920384"/>
      </c:scatterChart>
      <c:valAx>
        <c:axId val="275840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5920384"/>
        <c:crosses val="autoZero"/>
        <c:crossBetween val="midCat"/>
        <c:dispUnits>
          <c:builtInUnit val="thousands"/>
        </c:dispUnits>
      </c:valAx>
      <c:valAx>
        <c:axId val="27592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58400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9140.6147807429006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74784"/>
        <c:axId val="275993728"/>
      </c:scatterChart>
      <c:valAx>
        <c:axId val="275974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5993728"/>
        <c:crosses val="autoZero"/>
        <c:crossBetween val="midCat"/>
        <c:dispUnits>
          <c:builtInUnit val="thousands"/>
        </c:dispUnits>
      </c:valAx>
      <c:valAx>
        <c:axId val="275993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5974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16832"/>
        <c:axId val="276223488"/>
      </c:scatterChart>
      <c:valAx>
        <c:axId val="276216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6223488"/>
        <c:crosses val="autoZero"/>
        <c:crossBetween val="midCat"/>
        <c:dispUnits>
          <c:builtInUnit val="thousands"/>
        </c:dispUnits>
      </c:valAx>
      <c:valAx>
        <c:axId val="276223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2168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73792"/>
        <c:axId val="276296832"/>
      </c:scatterChart>
      <c:valAx>
        <c:axId val="276273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6296832"/>
        <c:crosses val="autoZero"/>
        <c:crossBetween val="midCat"/>
        <c:dispUnits>
          <c:builtInUnit val="thousands"/>
        </c:dispUnits>
      </c:valAx>
      <c:valAx>
        <c:axId val="276296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2737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59424"/>
        <c:axId val="276366080"/>
      </c:scatterChart>
      <c:valAx>
        <c:axId val="276359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366080"/>
        <c:crosses val="autoZero"/>
        <c:crossBetween val="midCat"/>
        <c:dispUnits>
          <c:builtInUnit val="thousands"/>
        </c:dispUnits>
      </c:valAx>
      <c:valAx>
        <c:axId val="27636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3594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161089.54111888725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32768"/>
        <c:axId val="276435328"/>
      </c:scatterChart>
      <c:valAx>
        <c:axId val="276432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435328"/>
        <c:crosses val="autoZero"/>
        <c:crossBetween val="midCat"/>
        <c:dispUnits>
          <c:builtInUnit val="thousands"/>
        </c:dispUnits>
      </c:valAx>
      <c:valAx>
        <c:axId val="276435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4327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27744"/>
        <c:axId val="276546688"/>
      </c:scatterChart>
      <c:valAx>
        <c:axId val="276527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546688"/>
        <c:crosses val="autoZero"/>
        <c:crossBetween val="midCat"/>
        <c:dispUnits>
          <c:builtInUnit val="thousands"/>
        </c:dispUnits>
      </c:valAx>
      <c:valAx>
        <c:axId val="276546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527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23751.326482365839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70720"/>
        <c:axId val="276693760"/>
      </c:scatterChart>
      <c:valAx>
        <c:axId val="276670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693760"/>
        <c:crosses val="autoZero"/>
        <c:crossBetween val="midCat"/>
        <c:dispUnits>
          <c:builtInUnit val="thousands"/>
        </c:dispUnits>
      </c:valAx>
      <c:valAx>
        <c:axId val="276693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6707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52640"/>
        <c:axId val="276759296"/>
      </c:scatterChart>
      <c:valAx>
        <c:axId val="2767526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759296"/>
        <c:crosses val="autoZero"/>
        <c:crossBetween val="midCat"/>
        <c:dispUnits>
          <c:builtInUnit val="thousands"/>
        </c:dispUnits>
      </c:valAx>
      <c:valAx>
        <c:axId val="276759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7526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5610.3927287058905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13696"/>
        <c:axId val="276824448"/>
      </c:scatterChart>
      <c:valAx>
        <c:axId val="276813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824448"/>
        <c:crosses val="autoZero"/>
        <c:crossBetween val="midCat"/>
        <c:dispUnits>
          <c:builtInUnit val="thousands"/>
        </c:dispUnits>
      </c:valAx>
      <c:valAx>
        <c:axId val="276824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8136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28384"/>
        <c:axId val="276939136"/>
      </c:scatterChart>
      <c:valAx>
        <c:axId val="2769283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6939136"/>
        <c:crosses val="autoZero"/>
        <c:crossBetween val="midCat"/>
        <c:dispUnits>
          <c:builtInUnit val="thousands"/>
        </c:dispUnits>
      </c:valAx>
      <c:valAx>
        <c:axId val="276939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69283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59232"/>
        <c:axId val="277377792"/>
      </c:scatterChart>
      <c:valAx>
        <c:axId val="277359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77792"/>
        <c:crosses val="autoZero"/>
        <c:crossBetween val="midCat"/>
      </c:valAx>
      <c:valAx>
        <c:axId val="27737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592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59712"/>
        <c:axId val="275886464"/>
      </c:scatterChart>
      <c:valAx>
        <c:axId val="275859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886464"/>
        <c:crosses val="autoZero"/>
        <c:crossBetween val="midCat"/>
      </c:valAx>
      <c:valAx>
        <c:axId val="27588646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859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88832"/>
        <c:axId val="277295104"/>
      </c:scatterChart>
      <c:valAx>
        <c:axId val="277288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95104"/>
        <c:crosses val="autoZero"/>
        <c:crossBetween val="midCat"/>
      </c:valAx>
      <c:valAx>
        <c:axId val="2772951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888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15424"/>
        <c:axId val="277422080"/>
      </c:scatterChart>
      <c:valAx>
        <c:axId val="277415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7422080"/>
        <c:crosses val="autoZero"/>
        <c:crossBetween val="midCat"/>
        <c:dispUnits>
          <c:builtInUnit val="millions"/>
        </c:dispUnits>
      </c:valAx>
      <c:valAx>
        <c:axId val="27742208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74154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10</xdr:col>
      <xdr:colOff>297180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10</xdr:col>
      <xdr:colOff>320040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J1" workbookViewId="0">
      <selection activeCell="W21" sqref="W21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workbookViewId="0">
      <selection activeCell="G17" sqref="G17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03" t="s">
        <v>191</v>
      </c>
      <c r="E6" s="303"/>
      <c r="F6" s="303" t="s">
        <v>183</v>
      </c>
      <c r="G6" s="303"/>
      <c r="H6" s="303"/>
      <c r="I6" s="303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04" t="s">
        <v>194</v>
      </c>
      <c r="D20" s="304"/>
      <c r="E20" s="304"/>
      <c r="F20" s="304" t="s">
        <v>195</v>
      </c>
      <c r="G20" s="304"/>
      <c r="H20" s="304"/>
      <c r="I20" s="304" t="s">
        <v>196</v>
      </c>
      <c r="J20" s="304"/>
      <c r="K20" s="192" t="s">
        <v>197</v>
      </c>
      <c r="L20" s="187"/>
      <c r="M20" s="189" t="s">
        <v>198</v>
      </c>
      <c r="N20" s="187"/>
      <c r="O20" s="304" t="s">
        <v>194</v>
      </c>
      <c r="P20" s="304"/>
      <c r="Q20" s="304"/>
      <c r="R20" s="304" t="s">
        <v>195</v>
      </c>
      <c r="S20" s="304"/>
      <c r="T20" s="304"/>
      <c r="U20" s="304" t="s">
        <v>196</v>
      </c>
      <c r="V20" s="304"/>
      <c r="W20" s="192" t="s">
        <v>197</v>
      </c>
      <c r="X20" s="187"/>
      <c r="Y20" s="189" t="s">
        <v>199</v>
      </c>
      <c r="Z20" s="187"/>
      <c r="AA20" s="305" t="s">
        <v>200</v>
      </c>
      <c r="AB20" s="306"/>
      <c r="AC20" s="307"/>
      <c r="AD20" s="305" t="s">
        <v>201</v>
      </c>
      <c r="AE20" s="307"/>
      <c r="AF20" s="212"/>
      <c r="AG20" s="308" t="s">
        <v>202</v>
      </c>
      <c r="AH20" s="309"/>
      <c r="AI20" s="309"/>
      <c r="AJ20" s="309"/>
      <c r="AK20" s="309"/>
      <c r="AL20" s="310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11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12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12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12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12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12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12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12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13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14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12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12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12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12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12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12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12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13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AA20:AC20"/>
    <mergeCell ref="AD20:AE20"/>
    <mergeCell ref="AG20:AL20"/>
    <mergeCell ref="Y22:Y30"/>
    <mergeCell ref="Y31:Y39"/>
    <mergeCell ref="D6:E6"/>
    <mergeCell ref="F6:I6"/>
    <mergeCell ref="U20:V20"/>
    <mergeCell ref="C20:E20"/>
    <mergeCell ref="F20:H20"/>
    <mergeCell ref="I20:J20"/>
    <mergeCell ref="O20:Q20"/>
    <mergeCell ref="R20:T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workbookViewId="0">
      <selection activeCell="B14" sqref="B14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2.332031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8.2" customHeight="1" x14ac:dyDescent="0.3">
      <c r="A4" s="49" t="s">
        <v>78</v>
      </c>
      <c r="B4" s="302" t="s">
        <v>273</v>
      </c>
    </row>
    <row r="5" spans="1:14" x14ac:dyDescent="0.3">
      <c r="A5" s="48" t="s">
        <v>79</v>
      </c>
      <c r="B5" s="1" t="s">
        <v>167</v>
      </c>
      <c r="E5" s="315" t="s">
        <v>50</v>
      </c>
      <c r="F5" s="316"/>
      <c r="G5" s="316"/>
      <c r="H5" s="316"/>
      <c r="I5" s="317"/>
    </row>
    <row r="6" spans="1:14" x14ac:dyDescent="0.3">
      <c r="A6" s="48" t="s">
        <v>80</v>
      </c>
      <c r="B6" s="1" t="s">
        <v>168</v>
      </c>
      <c r="E6" s="318" t="s">
        <v>51</v>
      </c>
      <c r="F6" s="319"/>
      <c r="G6" s="319"/>
      <c r="H6" s="319"/>
      <c r="I6" s="320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9033815.8833097667</v>
      </c>
    </row>
    <row r="10" spans="1:14" ht="14.4" thickBot="1" x14ac:dyDescent="0.35">
      <c r="A10" s="50"/>
    </row>
    <row r="11" spans="1:14" ht="27.6" x14ac:dyDescent="0.3">
      <c r="A11" s="321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22"/>
      <c r="B12" s="80">
        <v>81102300</v>
      </c>
      <c r="C12" s="81">
        <f>1*B12 - 1</f>
        <v>81102299</v>
      </c>
      <c r="D12" s="82">
        <f>1*B12 + 1</f>
        <v>81102301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0.7</v>
      </c>
      <c r="H14" s="263">
        <v>1.3</v>
      </c>
      <c r="I14" s="63" t="s">
        <v>98</v>
      </c>
      <c r="J14" s="63" t="s">
        <v>99</v>
      </c>
    </row>
    <row r="15" spans="1:14" ht="27.6" customHeight="1" x14ac:dyDescent="0.3">
      <c r="A15" s="323" t="s">
        <v>2</v>
      </c>
      <c r="B15" s="325" t="s">
        <v>3</v>
      </c>
      <c r="C15" s="325" t="s">
        <v>38</v>
      </c>
      <c r="D15" s="325" t="s">
        <v>169</v>
      </c>
      <c r="E15" s="326" t="s">
        <v>86</v>
      </c>
      <c r="F15" s="327"/>
      <c r="G15" s="328" t="s">
        <v>241</v>
      </c>
      <c r="H15" s="329"/>
      <c r="I15" s="328" t="s">
        <v>89</v>
      </c>
      <c r="J15" s="329"/>
      <c r="K15" s="326" t="s">
        <v>90</v>
      </c>
      <c r="L15" s="330"/>
      <c r="M15" s="330"/>
      <c r="N15" s="327"/>
    </row>
    <row r="16" spans="1:14" ht="27.6" x14ac:dyDescent="0.3">
      <c r="A16" s="324"/>
      <c r="B16" s="324"/>
      <c r="C16" s="324"/>
      <c r="D16" s="324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 t="shared" ref="G17:G24" si="0">E17*$G$14</f>
        <v>4194049.3</v>
      </c>
      <c r="H17" s="73">
        <f t="shared" ref="H17:H24" si="1">E17*$H$14</f>
        <v>7788948.7000000002</v>
      </c>
      <c r="I17" s="273">
        <v>7788948.7000000002</v>
      </c>
      <c r="J17" s="64">
        <f>JANSample!F9</f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si="0"/>
        <v>10927304.5</v>
      </c>
      <c r="H18" s="74">
        <f t="shared" si="1"/>
        <v>20293565.5</v>
      </c>
      <c r="I18" s="274">
        <v>20293565.5</v>
      </c>
      <c r="J18" s="65">
        <f>JMTSample!F9</f>
        <v>3462495.5631605955</v>
      </c>
      <c r="K18" s="60">
        <f t="shared" ref="K18:L22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2663301.1999999997</v>
      </c>
      <c r="H19" s="74">
        <f t="shared" si="1"/>
        <v>4946130.8</v>
      </c>
      <c r="I19" s="274">
        <v>2663301.1999999997</v>
      </c>
      <c r="J19" s="65">
        <f>JJVCH!F9</f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3108000</v>
      </c>
      <c r="H20" s="74">
        <f t="shared" si="1"/>
        <v>5772000</v>
      </c>
      <c r="I20" s="274">
        <v>3108000</v>
      </c>
      <c r="J20" s="65">
        <f>JJMMF!F9</f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16067799.999999998</v>
      </c>
      <c r="H21" s="74">
        <f t="shared" si="1"/>
        <v>29840200</v>
      </c>
      <c r="I21" s="274">
        <v>27437329.475603875</v>
      </c>
      <c r="J21" s="65">
        <f>JJHCC!F9</f>
        <v>1857362.40910077</v>
      </c>
      <c r="K21" s="60">
        <f t="shared" si="2"/>
        <v>4483329.4756038748</v>
      </c>
      <c r="L21" s="60">
        <f t="shared" si="2"/>
        <v>261470.39474040712</v>
      </c>
      <c r="M21" s="61">
        <f t="shared" si="3"/>
        <v>0.19531800451354339</v>
      </c>
      <c r="N21" s="61">
        <f t="shared" si="3"/>
        <v>0.1638396535527531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5473288.7999999998</v>
      </c>
      <c r="H22" s="74">
        <f t="shared" si="1"/>
        <v>10164679.200000001</v>
      </c>
      <c r="I22" s="274">
        <v>5473288.7999999998</v>
      </c>
      <c r="J22" s="65">
        <f>JJMCM!F9</f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 t="shared" si="0"/>
        <v>3347866.1999999997</v>
      </c>
      <c r="H23" s="74">
        <f t="shared" si="1"/>
        <v>6217465.7999999998</v>
      </c>
      <c r="I23" s="274">
        <v>3347866.1999999997</v>
      </c>
      <c r="J23" s="65">
        <f>JJHCC_ACQ!F9</f>
        <v>64687.828161978912</v>
      </c>
      <c r="K23" s="60">
        <f t="shared" ref="K23:K24" si="4">I23-E23</f>
        <v>-1434799.8000000003</v>
      </c>
      <c r="L23" s="60">
        <f t="shared" ref="L23:L24" si="5">J23-F23</f>
        <v>-26656.586366211959</v>
      </c>
      <c r="M23" s="61">
        <f t="shared" ref="M23:M24" si="6">K23/E23</f>
        <v>-0.30000000000000004</v>
      </c>
      <c r="N23" s="61">
        <f t="shared" ref="N23:N24" si="7">L23/F23</f>
        <v>-0.29182502842563141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10990000</v>
      </c>
      <c r="H24" s="74">
        <f t="shared" si="1"/>
        <v>20410000</v>
      </c>
      <c r="I24" s="274">
        <v>10990000</v>
      </c>
      <c r="J24" s="65">
        <f>JJHCC_ADH!F9</f>
        <v>258393.506278947</v>
      </c>
      <c r="K24" s="60">
        <f t="shared" si="4"/>
        <v>-4710000</v>
      </c>
      <c r="L24" s="60">
        <f t="shared" si="5"/>
        <v>-102439.2308344543</v>
      </c>
      <c r="M24" s="61">
        <f t="shared" si="6"/>
        <v>-0.3</v>
      </c>
      <c r="N24" s="61">
        <f t="shared" si="7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81102300</v>
      </c>
      <c r="F25" s="77">
        <f t="shared" si="8"/>
        <v>7576032.3955975948</v>
      </c>
      <c r="G25" s="76">
        <f t="shared" si="8"/>
        <v>56771610</v>
      </c>
      <c r="H25" s="76">
        <f t="shared" si="8"/>
        <v>105432990</v>
      </c>
      <c r="I25" s="83">
        <f t="shared" si="8"/>
        <v>81102299.87560387</v>
      </c>
      <c r="J25" s="275">
        <f t="shared" si="8"/>
        <v>9033815.8833097667</v>
      </c>
      <c r="K25" s="76">
        <f>SUM(K17:K24)</f>
        <v>-0.12439612485468388</v>
      </c>
      <c r="L25" s="275">
        <f>SUM(L17:L24)</f>
        <v>1457783.4877121735</v>
      </c>
      <c r="M25" s="79">
        <f>K25/E25</f>
        <v>-1.5338174731750379E-9</v>
      </c>
      <c r="N25" s="79">
        <f t="shared" si="3"/>
        <v>0.19242044009200465</v>
      </c>
    </row>
    <row r="29" spans="1:14" s="256" customFormat="1" x14ac:dyDescent="0.3"/>
    <row r="30" spans="1:14" ht="55.2" x14ac:dyDescent="0.3">
      <c r="A30" s="337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37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31" t="s">
        <v>2</v>
      </c>
      <c r="B32" s="325" t="s">
        <v>3</v>
      </c>
      <c r="C32" s="325" t="str">
        <f t="shared" ref="C32:C42" si="9">D15</f>
        <v>Response Scaling Factor for Sensitivity Analysis</v>
      </c>
      <c r="D32" s="332" t="s">
        <v>86</v>
      </c>
      <c r="E32" s="333"/>
      <c r="F32" s="333"/>
      <c r="G32" s="334"/>
      <c r="H32" s="335" t="s">
        <v>89</v>
      </c>
      <c r="I32" s="336"/>
      <c r="J32" s="336"/>
      <c r="K32" s="332" t="s">
        <v>251</v>
      </c>
      <c r="L32" s="333"/>
      <c r="M32" s="333"/>
      <c r="N32" s="334"/>
    </row>
    <row r="33" spans="1:14" ht="74.400000000000006" customHeight="1" x14ac:dyDescent="0.3">
      <c r="A33" s="324"/>
      <c r="B33" s="324"/>
      <c r="C33" s="324">
        <f t="shared" si="9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266">
        <f t="shared" ref="D34:D41" si="10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11">I17</f>
        <v>7788948.7000000002</v>
      </c>
      <c r="I34" s="268">
        <f>J17/$D$31</f>
        <v>259498.53045725002</v>
      </c>
      <c r="J34" s="279">
        <f>I34*$F$31</f>
        <v>290119357.05120552</v>
      </c>
      <c r="K34" s="266">
        <f>H34-D34</f>
        <v>1797449.7000000002</v>
      </c>
      <c r="L34" s="266">
        <f>J34-G34</f>
        <v>66057294.458623379</v>
      </c>
      <c r="M34" s="282">
        <f>K34/D34</f>
        <v>0.30000000000000004</v>
      </c>
      <c r="N34" s="2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267">
        <f t="shared" si="10"/>
        <v>15610435</v>
      </c>
      <c r="E35" s="265" t="s">
        <v>185</v>
      </c>
      <c r="F35" s="269">
        <f t="shared" ref="F35:F40" si="12">F18/$D$31</f>
        <v>230933.63819705584</v>
      </c>
      <c r="G35" s="271">
        <f t="shared" ref="G35:G40" si="13">F35*$F$31</f>
        <v>258183807.50430843</v>
      </c>
      <c r="H35" s="277">
        <f t="shared" si="11"/>
        <v>20293565.5</v>
      </c>
      <c r="I35" s="269">
        <f t="shared" ref="I35:I40" si="14">J18/$D$31</f>
        <v>300303.17113274895</v>
      </c>
      <c r="J35" s="280">
        <f t="shared" ref="J35:J40" si="15">I35*$F$31</f>
        <v>335738945.32641333</v>
      </c>
      <c r="K35" s="267">
        <f t="shared" ref="K35:K42" si="16">H35-D35</f>
        <v>4683130.5</v>
      </c>
      <c r="L35" s="267">
        <f t="shared" ref="L35:L42" si="17">J35-G35</f>
        <v>77555137.822104901</v>
      </c>
      <c r="M35" s="284">
        <f t="shared" ref="M35:M42" si="18">K35/D35</f>
        <v>0.3</v>
      </c>
      <c r="N35" s="285">
        <f t="shared" ref="N35:N42" si="19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267">
        <f t="shared" si="10"/>
        <v>3804716</v>
      </c>
      <c r="E36" s="265" t="s">
        <v>185</v>
      </c>
      <c r="F36" s="269">
        <f t="shared" si="12"/>
        <v>13058.170083390574</v>
      </c>
      <c r="G36" s="271">
        <f t="shared" si="13"/>
        <v>14599034.153230662</v>
      </c>
      <c r="H36" s="277">
        <f t="shared" si="11"/>
        <v>2663301.1999999997</v>
      </c>
      <c r="I36" s="269">
        <f t="shared" si="14"/>
        <v>9140.6147807428988</v>
      </c>
      <c r="J36" s="280">
        <f t="shared" si="15"/>
        <v>10219207.32487056</v>
      </c>
      <c r="K36" s="267">
        <f t="shared" si="16"/>
        <v>-1141414.8000000003</v>
      </c>
      <c r="L36" s="267">
        <f t="shared" si="17"/>
        <v>-4379826.8283601012</v>
      </c>
      <c r="M36" s="284">
        <f t="shared" si="18"/>
        <v>-0.3000000000000001</v>
      </c>
      <c r="N36" s="285">
        <f t="shared" si="19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267">
        <f t="shared" si="10"/>
        <v>4440000</v>
      </c>
      <c r="E37" s="265" t="s">
        <v>185</v>
      </c>
      <c r="F37" s="269">
        <f>F20/$D$31</f>
        <v>2228.0277703496668</v>
      </c>
      <c r="G37" s="271">
        <f>F37*$F$31</f>
        <v>2490935.0472509274</v>
      </c>
      <c r="H37" s="277">
        <f t="shared" si="11"/>
        <v>3108000</v>
      </c>
      <c r="I37" s="269">
        <f t="shared" si="14"/>
        <v>1701.1654528829024</v>
      </c>
      <c r="J37" s="280">
        <f t="shared" si="15"/>
        <v>1901902.9763230849</v>
      </c>
      <c r="K37" s="267">
        <f t="shared" si="16"/>
        <v>-1332000</v>
      </c>
      <c r="L37" s="267">
        <f t="shared" si="17"/>
        <v>-589032.07092784252</v>
      </c>
      <c r="M37" s="284">
        <f t="shared" si="18"/>
        <v>-0.3</v>
      </c>
      <c r="N37" s="285">
        <f t="shared" si="19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267">
        <f t="shared" si="10"/>
        <v>22954000</v>
      </c>
      <c r="E38" s="265" t="s">
        <v>185</v>
      </c>
      <c r="F38" s="269">
        <f t="shared" si="12"/>
        <v>138412.14348311909</v>
      </c>
      <c r="G38" s="271">
        <f t="shared" si="13"/>
        <v>154744776.41412714</v>
      </c>
      <c r="H38" s="277">
        <f t="shared" si="11"/>
        <v>27437329.475603875</v>
      </c>
      <c r="I38" s="269">
        <f t="shared" si="14"/>
        <v>161089.54111888725</v>
      </c>
      <c r="J38" s="280">
        <f t="shared" si="15"/>
        <v>180098106.97091594</v>
      </c>
      <c r="K38" s="267">
        <f t="shared" si="16"/>
        <v>4483329.4756038748</v>
      </c>
      <c r="L38" s="267">
        <f t="shared" si="17"/>
        <v>25353330.556788802</v>
      </c>
      <c r="M38" s="284">
        <f t="shared" si="18"/>
        <v>0.19531800451354339</v>
      </c>
      <c r="N38" s="285">
        <f t="shared" si="19"/>
        <v>0.16383965355275293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267">
        <f t="shared" si="10"/>
        <v>7818984</v>
      </c>
      <c r="E39" s="265" t="s">
        <v>185</v>
      </c>
      <c r="F39" s="269">
        <f t="shared" si="12"/>
        <v>32808.607210343704</v>
      </c>
      <c r="G39" s="271">
        <f t="shared" si="13"/>
        <v>36680022.861164257</v>
      </c>
      <c r="H39" s="277">
        <f t="shared" si="11"/>
        <v>5473288.7999999998</v>
      </c>
      <c r="I39" s="269">
        <f t="shared" si="14"/>
        <v>23751.326482365839</v>
      </c>
      <c r="J39" s="280">
        <f t="shared" si="15"/>
        <v>26553983.007285006</v>
      </c>
      <c r="K39" s="267">
        <f t="shared" si="16"/>
        <v>-2345695.2000000002</v>
      </c>
      <c r="L39" s="267">
        <f t="shared" si="17"/>
        <v>-10126039.853879251</v>
      </c>
      <c r="M39" s="284">
        <f t="shared" si="18"/>
        <v>-0.30000000000000004</v>
      </c>
      <c r="N39" s="285">
        <f t="shared" si="19"/>
        <v>-0.27606416419659346</v>
      </c>
    </row>
    <row r="40" spans="1:14" x14ac:dyDescent="0.3">
      <c r="A40" s="55" t="s">
        <v>104</v>
      </c>
      <c r="B40" s="55" t="s">
        <v>177</v>
      </c>
      <c r="C40" s="154">
        <f t="shared" si="9"/>
        <v>1</v>
      </c>
      <c r="D40" s="267">
        <f t="shared" si="10"/>
        <v>4782666</v>
      </c>
      <c r="E40" s="265" t="s">
        <v>185</v>
      </c>
      <c r="F40" s="269">
        <f t="shared" si="12"/>
        <v>7922.3256312394515</v>
      </c>
      <c r="G40" s="271">
        <f t="shared" si="13"/>
        <v>8857160.0557257067</v>
      </c>
      <c r="H40" s="277">
        <f t="shared" si="11"/>
        <v>3347866.1999999997</v>
      </c>
      <c r="I40" s="269">
        <f t="shared" si="14"/>
        <v>5610.3927287058905</v>
      </c>
      <c r="J40" s="280">
        <f t="shared" si="15"/>
        <v>6272419.0706931856</v>
      </c>
      <c r="K40" s="267">
        <f t="shared" si="16"/>
        <v>-1434799.8000000003</v>
      </c>
      <c r="L40" s="267">
        <f t="shared" si="17"/>
        <v>-2584740.9850325212</v>
      </c>
      <c r="M40" s="284">
        <f t="shared" si="18"/>
        <v>-0.30000000000000004</v>
      </c>
      <c r="N40" s="285">
        <f t="shared" si="19"/>
        <v>-0.29182502842563141</v>
      </c>
    </row>
    <row r="41" spans="1:14" x14ac:dyDescent="0.3">
      <c r="A41" s="55" t="s">
        <v>104</v>
      </c>
      <c r="B41" s="55" t="s">
        <v>172</v>
      </c>
      <c r="C41" s="154">
        <f t="shared" si="9"/>
        <v>1</v>
      </c>
      <c r="D41" s="267">
        <f t="shared" si="10"/>
        <v>15700000</v>
      </c>
      <c r="E41" s="287" t="s">
        <v>184</v>
      </c>
      <c r="F41" s="269">
        <f t="shared" ref="F41" si="20">F24</f>
        <v>360832.73711340129</v>
      </c>
      <c r="G41" s="271">
        <f>F41*$I$31</f>
        <v>42000930.599999905</v>
      </c>
      <c r="H41" s="277">
        <f t="shared" si="11"/>
        <v>10990000</v>
      </c>
      <c r="I41" s="269">
        <f>J24</f>
        <v>258393.506278947</v>
      </c>
      <c r="J41" s="280">
        <f>I41*$I$31</f>
        <v>30077004.13086943</v>
      </c>
      <c r="K41" s="267">
        <f t="shared" si="16"/>
        <v>-4710000</v>
      </c>
      <c r="L41" s="267">
        <f t="shared" si="17"/>
        <v>-11923926.469130475</v>
      </c>
      <c r="M41" s="284">
        <f t="shared" si="18"/>
        <v>-0.3</v>
      </c>
      <c r="N41" s="285">
        <f t="shared" si="19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81102299.87560387</v>
      </c>
      <c r="I42" s="77"/>
      <c r="J42" s="281">
        <f>SUM(J34:J41)</f>
        <v>880980925.85857594</v>
      </c>
      <c r="K42" s="76">
        <f t="shared" si="16"/>
        <v>-0.12439613044261932</v>
      </c>
      <c r="L42" s="300">
        <f t="shared" si="17"/>
        <v>139362196.6301868</v>
      </c>
      <c r="M42" s="79">
        <f t="shared" si="18"/>
        <v>-1.5338175420748773E-9</v>
      </c>
      <c r="N42" s="286">
        <f t="shared" si="19"/>
        <v>0.18791623126236981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305548915.61808974</v>
      </c>
      <c r="K43" s="256"/>
      <c r="L43" s="289">
        <f>SUM(L34:L40)*$E$43 + (L41*$D$43)</f>
        <v>44998361.560437456</v>
      </c>
      <c r="M43" s="301">
        <f>L43/L42</f>
        <v>0.32288786090137234</v>
      </c>
      <c r="N43" s="290">
        <f>N42*(L43/L42)</f>
        <v>6.0675869940954176E-2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345687951.3740055</v>
      </c>
      <c r="K44" s="256"/>
      <c r="L44" s="289">
        <f>SUM(L34:L40)*$E$44 + (L41*$D$44)</f>
        <v>53516581.832933761</v>
      </c>
      <c r="M44" s="301">
        <f>L44/L42</f>
        <v>0.38401075131548051</v>
      </c>
      <c r="N44" s="290">
        <f>N42*(L44/L42)</f>
        <v>7.2161853151436223E-2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229744058.8664808</v>
      </c>
      <c r="K45" s="256"/>
      <c r="L45" s="289">
        <f>SUM(L34:L40)*$E$45 + (L41*$D$45)</f>
        <v>40847253.236815691</v>
      </c>
      <c r="M45" s="301">
        <f>L45/L42</f>
        <v>0.29310138778314793</v>
      </c>
      <c r="N45" s="290">
        <f>N42*(L45/L42)</f>
        <v>5.5078508169979556E-2</v>
      </c>
    </row>
    <row r="46" spans="1:14" x14ac:dyDescent="0.3">
      <c r="D46" s="1" t="s">
        <v>184</v>
      </c>
      <c r="E46" s="1" t="s">
        <v>271</v>
      </c>
    </row>
    <row r="47" spans="1:14" ht="27.6" x14ac:dyDescent="0.3">
      <c r="D47" s="186" t="s">
        <v>272</v>
      </c>
    </row>
  </sheetData>
  <mergeCells count="18">
    <mergeCell ref="K15:N15"/>
    <mergeCell ref="A32:A33"/>
    <mergeCell ref="B32:B33"/>
    <mergeCell ref="C32:C33"/>
    <mergeCell ref="D32:G32"/>
    <mergeCell ref="H32:J32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D1" workbookViewId="0">
      <selection activeCell="D9" sqref="D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$B$13*D9+$C$13*D9*D9</f>
        <v>259498.53045724996</v>
      </c>
      <c r="F9" s="85">
        <f>$E$13*D9+$F$13*D9*D9</f>
        <v>2992018.0561720924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I11" s="141"/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15000000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9" sqref="D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$B$13*D9+$C$13*D9*D9</f>
        <v>300303.17113274895</v>
      </c>
      <c r="F9" s="85">
        <f>$E$13*D9+$F$13*D9*D9</f>
        <v>3462495.5631605955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40000000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9" sqref="D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60000000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G9" sqref="G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JJ_Optim_Scenario!G19</f>
        <v>2663301.1999999997</v>
      </c>
      <c r="C9" s="113">
        <f>JJ_Optim_Scenario!H19</f>
        <v>4946130.8</v>
      </c>
      <c r="D9" s="114">
        <f>JJ_Optim_Scenario!I19</f>
        <v>2663301.1999999997</v>
      </c>
      <c r="E9" s="119">
        <f>$B$13*D9+$C$13*D9*D9</f>
        <v>9140.6147807429006</v>
      </c>
      <c r="F9" s="85">
        <f>$E$13*D9+$F$13*D9*D9</f>
        <v>105391.28842196563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10000000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abSelected="1" topLeftCell="D1" workbookViewId="0">
      <selection activeCell="L31" sqref="L3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15" t="s">
        <v>105</v>
      </c>
      <c r="N2" s="316"/>
      <c r="O2" s="316"/>
      <c r="P2" s="316"/>
      <c r="Q2" s="316"/>
      <c r="R2" s="316"/>
      <c r="S2" s="317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18" t="s">
        <v>72</v>
      </c>
      <c r="N3" s="319"/>
      <c r="O3" s="319"/>
      <c r="P3" s="319"/>
      <c r="Q3" s="319"/>
      <c r="R3" s="319"/>
      <c r="S3" s="320"/>
    </row>
    <row r="4" spans="1:25" ht="15" customHeight="1" thickBot="1" x14ac:dyDescent="0.35">
      <c r="A4" s="29" t="s">
        <v>38</v>
      </c>
      <c r="B4" s="344" t="s">
        <v>57</v>
      </c>
      <c r="C4" s="345"/>
      <c r="D4" s="345"/>
      <c r="E4" s="345"/>
      <c r="F4" s="346"/>
    </row>
    <row r="6" spans="1:25" ht="14.4" thickBot="1" x14ac:dyDescent="0.35"/>
    <row r="7" spans="1:25" ht="27.6" customHeight="1" x14ac:dyDescent="0.3">
      <c r="A7" s="354" t="s">
        <v>8</v>
      </c>
      <c r="B7" s="348" t="s">
        <v>9</v>
      </c>
      <c r="C7" s="348"/>
      <c r="D7" s="348" t="s">
        <v>12</v>
      </c>
      <c r="E7" s="348"/>
      <c r="F7" s="348"/>
      <c r="G7" s="348" t="s">
        <v>143</v>
      </c>
      <c r="H7" s="348"/>
      <c r="I7" s="350"/>
      <c r="J7" s="360" t="s">
        <v>144</v>
      </c>
      <c r="K7" s="361"/>
      <c r="M7" s="359" t="s">
        <v>73</v>
      </c>
      <c r="N7" s="359"/>
      <c r="O7" s="359"/>
      <c r="P7" s="359"/>
      <c r="R7" s="47" t="s">
        <v>58</v>
      </c>
    </row>
    <row r="8" spans="1:25" ht="27.6" x14ac:dyDescent="0.3">
      <c r="A8" s="355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59"/>
      <c r="N8" s="359"/>
      <c r="O8" s="359"/>
      <c r="P8" s="359"/>
      <c r="R8" s="47" t="s">
        <v>59</v>
      </c>
    </row>
    <row r="9" spans="1:25" ht="14.4" thickBot="1" x14ac:dyDescent="0.35">
      <c r="A9" s="356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19614.437671739863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4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6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4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62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5"/>
      <c r="B14" s="125">
        <v>0</v>
      </c>
      <c r="C14" s="127">
        <v>0</v>
      </c>
      <c r="D14" s="133">
        <f>C14*$C$11</f>
        <v>0</v>
      </c>
      <c r="E14" s="130"/>
      <c r="G14" s="363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5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63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5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63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5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63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5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63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5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63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6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64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65" t="s">
        <v>74</v>
      </c>
      <c r="B21" s="366"/>
      <c r="C21" s="367"/>
      <c r="D21" s="33"/>
      <c r="G21" s="353" t="s">
        <v>75</v>
      </c>
      <c r="H21" s="353"/>
      <c r="I21" s="353"/>
      <c r="J21" s="353"/>
      <c r="K21" s="353"/>
      <c r="L21" s="353"/>
      <c r="M21" s="353"/>
      <c r="N21" s="353"/>
      <c r="O21" s="353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68"/>
      <c r="B22" s="369"/>
      <c r="C22" s="370"/>
      <c r="D22" s="33"/>
      <c r="G22" s="353"/>
      <c r="H22" s="353"/>
      <c r="I22" s="353"/>
      <c r="J22" s="353"/>
      <c r="K22" s="353"/>
      <c r="L22" s="353"/>
      <c r="M22" s="353"/>
      <c r="N22" s="353"/>
      <c r="O22" s="353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57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58"/>
      <c r="B26" s="103">
        <v>0</v>
      </c>
      <c r="C26" s="103">
        <v>20000000</v>
      </c>
      <c r="D26" s="26">
        <v>20</v>
      </c>
    </row>
    <row r="28" spans="1:25" x14ac:dyDescent="0.3">
      <c r="A28" s="337" t="s">
        <v>37</v>
      </c>
      <c r="B28" s="337"/>
      <c r="C28" s="337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8" workbookViewId="0">
      <selection activeCell="F17" sqref="F17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JJ_Optim_Scenario!G21</f>
        <v>16067799.999999998</v>
      </c>
      <c r="C9" s="80">
        <f>JJ_Optim_Scenario!H21</f>
        <v>29840200</v>
      </c>
      <c r="D9" s="95">
        <f>JJ_Optim_Scenario!I21</f>
        <v>27437329.475603875</v>
      </c>
      <c r="E9" s="118">
        <f>((($R$12/(1+EXP($P$12+$Q$12*D9)))-1) - ($F$12-$C$12))*$I$12</f>
        <v>161089.54111888725</v>
      </c>
      <c r="F9" s="145">
        <f>E9*$G$12</f>
        <v>1857362.40910077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58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60000000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2" workbookViewId="0">
      <selection activeCell="B45" sqref="B4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5473288.7999999998</v>
      </c>
      <c r="E9" s="118">
        <f>((($R$12/(1+EXP($P$12+$Q$12*D9)))-1) - ($F$12-$C$12))*$I$12</f>
        <v>23751.326482365839</v>
      </c>
      <c r="F9" s="145">
        <f>E9*$G$12</f>
        <v>273852.79434167809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58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30000000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3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JJ_Optim_Scenario!G23</f>
        <v>3347866.1999999997</v>
      </c>
      <c r="C9" s="80">
        <f>JJ_Optim_Scenario!H23</f>
        <v>6217465.7999999998</v>
      </c>
      <c r="D9" s="95">
        <f>JJ_Optim_Scenario!I23</f>
        <v>3347866.1999999997</v>
      </c>
      <c r="E9" s="118">
        <f>((($R$12/(1+EXP($P$12+$Q$12*D9)))-1) - ($F$12-$C$12))*$I$12</f>
        <v>5610.3927287058905</v>
      </c>
      <c r="F9" s="145">
        <f>E9*$G$12</f>
        <v>64687.828161978912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58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20000000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C16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JJ_Optim_Scenario!G24</f>
        <v>10990000</v>
      </c>
      <c r="C9" s="184">
        <f>JJ_Optim_Scenario!H24</f>
        <v>20410000</v>
      </c>
      <c r="D9" s="184">
        <f>JJ_Optim_Scenario!I24</f>
        <v>10990000</v>
      </c>
      <c r="E9" s="118">
        <f>((($R$12/(1+EXP($P$12+$Q$12*D9)))-1) - ($F$12-$C$12))*$I$12</f>
        <v>258393.506278947</v>
      </c>
      <c r="F9" s="145">
        <f>E9*$G$12</f>
        <v>258393.506278947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58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50000000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0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2" ht="14.4" thickBot="1" x14ac:dyDescent="0.35">
      <c r="A4" s="29" t="s">
        <v>38</v>
      </c>
      <c r="B4" s="379" t="s">
        <v>39</v>
      </c>
      <c r="C4" s="379"/>
      <c r="D4" s="380"/>
    </row>
    <row r="6" spans="1:12" ht="14.4" thickBot="1" x14ac:dyDescent="0.35"/>
    <row r="7" spans="1:12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</row>
    <row r="8" spans="1:12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4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6"/>
      <c r="B12" s="12">
        <v>20</v>
      </c>
      <c r="C12" s="12">
        <v>30</v>
      </c>
      <c r="D12" s="12">
        <v>0</v>
      </c>
      <c r="E12" s="14">
        <v>70</v>
      </c>
      <c r="G12" s="35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76" t="s">
        <v>30</v>
      </c>
      <c r="B13" s="377"/>
      <c r="C13" s="377"/>
      <c r="D13" s="377"/>
      <c r="E13" s="378"/>
      <c r="G13" s="381" t="s">
        <v>29</v>
      </c>
      <c r="H13" s="382"/>
      <c r="I13" s="382"/>
      <c r="J13" s="383"/>
    </row>
    <row r="14" spans="1:12" ht="33.6" customHeight="1" x14ac:dyDescent="0.3">
      <c r="A14" s="368"/>
      <c r="B14" s="369"/>
      <c r="C14" s="369"/>
      <c r="D14" s="369"/>
      <c r="E14" s="370"/>
      <c r="G14" s="384"/>
      <c r="H14" s="385"/>
      <c r="I14" s="385"/>
      <c r="J14" s="386"/>
    </row>
    <row r="16" spans="1:12" ht="14.4" thickBot="1" x14ac:dyDescent="0.35"/>
    <row r="17" spans="1:4" ht="16.8" customHeight="1" x14ac:dyDescent="0.3">
      <c r="A17" s="357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58"/>
      <c r="B18" s="12">
        <v>0</v>
      </c>
      <c r="C18" s="12">
        <v>100</v>
      </c>
      <c r="D18" s="26">
        <v>20</v>
      </c>
    </row>
    <row r="20" spans="1:4" x14ac:dyDescent="0.3">
      <c r="A20" s="337" t="s">
        <v>37</v>
      </c>
      <c r="B20" s="337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topLeftCell="A19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2" ht="31.8" customHeight="1" thickBot="1" x14ac:dyDescent="0.35">
      <c r="A4" s="29" t="s">
        <v>38</v>
      </c>
      <c r="B4" s="388" t="s">
        <v>41</v>
      </c>
      <c r="C4" s="389"/>
      <c r="D4" s="390"/>
    </row>
    <row r="6" spans="1:12" ht="14.4" thickBot="1" x14ac:dyDescent="0.35"/>
    <row r="7" spans="1:12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  <c r="H7" s="1" t="s">
        <v>54</v>
      </c>
    </row>
    <row r="8" spans="1:12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4" t="s">
        <v>42</v>
      </c>
      <c r="B11" s="323" t="s">
        <v>47</v>
      </c>
      <c r="C11" s="391" t="s">
        <v>46</v>
      </c>
      <c r="D11" s="374"/>
      <c r="E11" s="374"/>
      <c r="F11" s="3" t="s">
        <v>48</v>
      </c>
      <c r="G11" s="33"/>
      <c r="H11" s="32"/>
      <c r="I11" s="32"/>
      <c r="J11" s="32"/>
    </row>
    <row r="12" spans="1:12" x14ac:dyDescent="0.3">
      <c r="A12" s="392"/>
      <c r="B12" s="32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39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3" t="s">
        <v>52</v>
      </c>
      <c r="B14" s="353"/>
      <c r="C14" s="353"/>
      <c r="D14" s="353"/>
      <c r="E14" s="353"/>
      <c r="F14" s="353"/>
      <c r="G14" s="38"/>
      <c r="H14" s="39"/>
      <c r="I14" s="39"/>
      <c r="J14" s="39"/>
    </row>
    <row r="15" spans="1:12" ht="30.6" customHeight="1" x14ac:dyDescent="0.3">
      <c r="A15" s="353"/>
      <c r="B15" s="353"/>
      <c r="C15" s="353"/>
      <c r="D15" s="353"/>
      <c r="E15" s="353"/>
      <c r="F15" s="353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58"/>
      <c r="B19" s="12">
        <v>0</v>
      </c>
      <c r="C19" s="12">
        <v>20000000</v>
      </c>
      <c r="D19" s="26">
        <v>20</v>
      </c>
    </row>
    <row r="21" spans="1:4" x14ac:dyDescent="0.3">
      <c r="A21" s="337" t="s">
        <v>37</v>
      </c>
      <c r="B21" s="337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topLeftCell="A16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4" ht="14.4" thickBot="1" x14ac:dyDescent="0.35">
      <c r="A4" s="29" t="s">
        <v>38</v>
      </c>
      <c r="B4" s="379" t="s">
        <v>57</v>
      </c>
      <c r="C4" s="379"/>
      <c r="D4" s="380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  <c r="I7" s="359" t="s">
        <v>73</v>
      </c>
      <c r="J7" s="359"/>
      <c r="K7" s="359"/>
      <c r="L7" s="359"/>
      <c r="N7" s="47" t="s">
        <v>58</v>
      </c>
    </row>
    <row r="8" spans="1:14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59"/>
      <c r="J8" s="359"/>
      <c r="K8" s="359"/>
      <c r="L8" s="359"/>
      <c r="N8" s="47" t="s">
        <v>59</v>
      </c>
    </row>
    <row r="9" spans="1:14" ht="14.4" thickBot="1" x14ac:dyDescent="0.35">
      <c r="A9" s="35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37" t="s">
        <v>60</v>
      </c>
      <c r="B11" s="3" t="s">
        <v>61</v>
      </c>
      <c r="C11" s="3" t="s">
        <v>62</v>
      </c>
      <c r="D11" s="32"/>
      <c r="E11" s="36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37"/>
      <c r="B12" s="41">
        <v>0</v>
      </c>
      <c r="C12" s="41">
        <v>0</v>
      </c>
      <c r="D12" s="32"/>
      <c r="E12" s="36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37"/>
      <c r="B13" s="41">
        <v>1</v>
      </c>
      <c r="C13" s="41">
        <v>0.75</v>
      </c>
      <c r="D13" s="32"/>
      <c r="E13" s="36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37"/>
      <c r="B14" s="41">
        <v>2</v>
      </c>
      <c r="C14" s="41">
        <v>0</v>
      </c>
      <c r="D14" s="32"/>
      <c r="E14" s="36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37"/>
      <c r="B15" s="41">
        <v>3</v>
      </c>
      <c r="C15" s="41">
        <v>-1</v>
      </c>
      <c r="D15" s="32"/>
      <c r="E15" s="36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37"/>
      <c r="B16" s="41">
        <v>4</v>
      </c>
      <c r="C16" s="41">
        <v>3</v>
      </c>
      <c r="D16" s="32"/>
      <c r="E16" s="36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37"/>
      <c r="B17" s="42">
        <v>5</v>
      </c>
      <c r="C17" s="42">
        <v>3</v>
      </c>
      <c r="D17" s="40"/>
      <c r="E17" s="36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394" t="s">
        <v>74</v>
      </c>
      <c r="B18" s="395"/>
      <c r="C18" s="396"/>
      <c r="D18" s="33"/>
      <c r="E18" s="353" t="s">
        <v>75</v>
      </c>
      <c r="F18" s="353"/>
      <c r="G18" s="353"/>
      <c r="H18" s="353"/>
      <c r="I18" s="353"/>
      <c r="J18" s="353"/>
      <c r="K18" s="353"/>
      <c r="L18" s="353"/>
      <c r="M18" s="353"/>
    </row>
    <row r="19" spans="1:13" ht="35.4" customHeight="1" x14ac:dyDescent="0.3">
      <c r="A19" s="368"/>
      <c r="B19" s="369"/>
      <c r="C19" s="370"/>
      <c r="D19" s="33"/>
      <c r="E19" s="353"/>
      <c r="F19" s="353"/>
      <c r="G19" s="353"/>
      <c r="H19" s="353"/>
      <c r="I19" s="353"/>
      <c r="J19" s="353"/>
      <c r="K19" s="353"/>
      <c r="L19" s="353"/>
      <c r="M19" s="353"/>
    </row>
    <row r="21" spans="1:13" ht="14.4" thickBot="1" x14ac:dyDescent="0.35"/>
    <row r="22" spans="1:13" ht="16.8" customHeight="1" x14ac:dyDescent="0.3">
      <c r="A22" s="357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58"/>
      <c r="B23" s="12">
        <v>0</v>
      </c>
      <c r="C23" s="12">
        <v>5</v>
      </c>
      <c r="D23" s="26">
        <v>20</v>
      </c>
    </row>
    <row r="25" spans="1:13" x14ac:dyDescent="0.3">
      <c r="A25" s="337" t="s">
        <v>37</v>
      </c>
      <c r="B25" s="337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topLeftCell="A13"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397" t="s">
        <v>111</v>
      </c>
      <c r="C4" s="397"/>
      <c r="D4" s="397"/>
      <c r="E4" s="397"/>
      <c r="F4" s="398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</row>
    <row r="8" spans="1:15" ht="27.6" x14ac:dyDescent="0.3">
      <c r="A8" s="355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6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4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57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58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76" t="s">
        <v>119</v>
      </c>
      <c r="B13" s="377"/>
      <c r="C13" s="377"/>
      <c r="D13" s="377"/>
      <c r="E13" s="377"/>
      <c r="F13" s="378"/>
      <c r="H13" s="376" t="s">
        <v>120</v>
      </c>
      <c r="I13" s="377"/>
      <c r="J13" s="377"/>
      <c r="K13" s="377"/>
      <c r="L13" s="377"/>
      <c r="M13" s="377"/>
      <c r="N13" s="377"/>
      <c r="O13" s="378"/>
    </row>
    <row r="14" spans="1:15" ht="33.6" customHeight="1" x14ac:dyDescent="0.3">
      <c r="A14" s="368"/>
      <c r="B14" s="369"/>
      <c r="C14" s="369"/>
      <c r="D14" s="369"/>
      <c r="E14" s="369"/>
      <c r="F14" s="370"/>
      <c r="H14" s="368"/>
      <c r="I14" s="369"/>
      <c r="J14" s="369"/>
      <c r="K14" s="369"/>
      <c r="L14" s="369"/>
      <c r="M14" s="369"/>
      <c r="N14" s="369"/>
      <c r="O14" s="370"/>
    </row>
    <row r="16" spans="1:15" ht="14.4" thickBot="1" x14ac:dyDescent="0.35"/>
    <row r="17" spans="1:4" ht="16.8" customHeight="1" x14ac:dyDescent="0.3">
      <c r="A17" s="357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58"/>
      <c r="B18" s="102">
        <v>0</v>
      </c>
      <c r="C18" s="103">
        <v>200000000</v>
      </c>
      <c r="D18" s="26">
        <v>20</v>
      </c>
    </row>
    <row r="20" spans="1:4" x14ac:dyDescent="0.3">
      <c r="A20" s="337" t="s">
        <v>37</v>
      </c>
      <c r="B20" s="337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Charts - Idvl</vt:lpstr>
      <vt:lpstr>Chart - Combined</vt:lpstr>
      <vt:lpstr>JJ_Notes_1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2013-04-19T23:37:13Z</dcterms:modified>
</cp:coreProperties>
</file>