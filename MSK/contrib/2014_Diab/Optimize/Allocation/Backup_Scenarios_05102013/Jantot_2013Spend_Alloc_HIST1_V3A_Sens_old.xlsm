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1"/>
  </bookViews>
  <sheets>
    <sheet name="Charts - Idvl" sheetId="35" r:id="rId1"/>
    <sheet name="Chart - Combined" sheetId="36" r:id="rId2"/>
    <sheet name="JJ_Notes_1" sheetId="24" r:id="rId3"/>
    <sheet name="Case Notes" sheetId="37" r:id="rId4"/>
    <sheet name="Sensitivity" sheetId="38" r:id="rId5"/>
    <sheet name="JJ_Optim_Scenario" sheetId="23" r:id="rId6"/>
    <sheet name="JANSample" sheetId="25" r:id="rId7"/>
    <sheet name="JMTSample" sheetId="26" r:id="rId8"/>
    <sheet name="TOTSample" sheetId="27" r:id="rId9"/>
    <sheet name="JJVCH" sheetId="29" r:id="rId10"/>
    <sheet name="JJMMF" sheetId="30" r:id="rId11"/>
    <sheet name="JJHCC" sheetId="31" r:id="rId12"/>
    <sheet name="JJMCM" sheetId="32" r:id="rId13"/>
    <sheet name="JJHCC_ACQ" sheetId="33" r:id="rId14"/>
    <sheet name="JJHCC_ADH" sheetId="34" r:id="rId15"/>
    <sheet name="Fn.Templates ==&gt;" sheetId="3" r:id="rId16"/>
    <sheet name="FT_SCurveEst" sheetId="2" r:id="rId17"/>
    <sheet name="FT_Equation" sheetId="4" r:id="rId18"/>
    <sheet name="FT_Interpolate" sheetId="5" r:id="rId19"/>
    <sheet name="FT_SCurve3Est" sheetId="13" r:id="rId20"/>
  </sheets>
  <functionGroups builtInGroupCount="17"/>
  <externalReferences>
    <externalReference r:id="rId21"/>
  </externalReferences>
  <definedNames>
    <definedName name="solver_adj" localSheetId="5" hidden="1">JJ_Optim_Scenario!$I$17:$I$24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JJ_Optim_Scenario!$I$17:$I$24</definedName>
    <definedName name="solver_lhs2" localSheetId="5" hidden="1">JJ_Optim_Scenario!$I$17:$I$24</definedName>
    <definedName name="solver_lhs3" localSheetId="5" hidden="1">JJ_Optim_Scenario!$I$25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JJ_Optim_Scenario!$B$9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3</definedName>
    <definedName name="solver_rel3" localSheetId="5" hidden="1">2</definedName>
    <definedName name="solver_rhs1" localSheetId="5" hidden="1">JJ_Optim_Scenario!$H$17:$H$24</definedName>
    <definedName name="solver_rhs2" localSheetId="5" hidden="1">JJ_Optim_Scenario!$G$17:$G$24</definedName>
    <definedName name="solver_rhs3" localSheetId="5" hidden="1">JJ_Optim_Scenario!$B$12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C35" i="23" l="1"/>
  <c r="C34" i="23"/>
  <c r="C43" i="27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23" i="27"/>
  <c r="B23" i="27"/>
  <c r="I9" i="27"/>
  <c r="H9" i="27"/>
  <c r="F9" i="27"/>
  <c r="E9" i="27"/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C29" i="37"/>
  <c r="C28" i="37"/>
  <c r="D28" i="37"/>
  <c r="E28" i="37"/>
  <c r="E27" i="37"/>
  <c r="E26" i="37"/>
  <c r="C27" i="37"/>
  <c r="C26" i="37"/>
  <c r="E23" i="37"/>
  <c r="D23" i="37"/>
  <c r="D25" i="37"/>
  <c r="E25" i="37"/>
  <c r="C25" i="37"/>
  <c r="E24" i="37"/>
  <c r="C24" i="37"/>
  <c r="C23" i="37"/>
  <c r="B28" i="37"/>
  <c r="C22" i="37"/>
  <c r="E22" i="37" s="1"/>
  <c r="E20" i="37"/>
  <c r="E21" i="37"/>
  <c r="C21" i="37"/>
  <c r="C20" i="37"/>
  <c r="D24" i="37"/>
  <c r="D26" i="37"/>
  <c r="D27" i="37"/>
  <c r="D22" i="37"/>
  <c r="D20" i="37"/>
  <c r="D21" i="37"/>
  <c r="G15" i="37"/>
  <c r="G54" i="24"/>
  <c r="D24" i="27" l="1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6" i="23"/>
  <c r="C37" i="23"/>
  <c r="C38" i="23"/>
  <c r="C39" i="23"/>
  <c r="C40" i="23"/>
  <c r="C41" i="23"/>
  <c r="C42" i="23"/>
  <c r="D12" i="23"/>
  <c r="C12" i="23"/>
  <c r="E25" i="23"/>
  <c r="B43" i="29" l="1"/>
  <c r="D43" i="29" s="1"/>
  <c r="B41" i="29"/>
  <c r="D41" i="29" s="1"/>
  <c r="B39" i="29"/>
  <c r="D39" i="29" s="1"/>
  <c r="B37" i="29"/>
  <c r="D37" i="29" s="1"/>
  <c r="B35" i="29"/>
  <c r="D35" i="29" s="1"/>
  <c r="B33" i="29"/>
  <c r="D33" i="29" s="1"/>
  <c r="B31" i="29"/>
  <c r="D31" i="29" s="1"/>
  <c r="B29" i="29"/>
  <c r="D29" i="29" s="1"/>
  <c r="B27" i="29"/>
  <c r="D27" i="29" s="1"/>
  <c r="B25" i="29"/>
  <c r="D25" i="29" s="1"/>
  <c r="B23" i="29"/>
  <c r="D23" i="29" s="1"/>
  <c r="E9" i="29"/>
  <c r="C42" i="29"/>
  <c r="C40" i="29"/>
  <c r="C38" i="29"/>
  <c r="C36" i="29"/>
  <c r="C34" i="29"/>
  <c r="C32" i="29"/>
  <c r="C30" i="29"/>
  <c r="C28" i="29"/>
  <c r="C26" i="29"/>
  <c r="C24" i="29"/>
  <c r="I9" i="29"/>
  <c r="B42" i="29"/>
  <c r="D42" i="29" s="1"/>
  <c r="B40" i="29"/>
  <c r="D40" i="29" s="1"/>
  <c r="B38" i="29"/>
  <c r="D38" i="29" s="1"/>
  <c r="B36" i="29"/>
  <c r="D36" i="29" s="1"/>
  <c r="B34" i="29"/>
  <c r="D34" i="29" s="1"/>
  <c r="B32" i="29"/>
  <c r="D32" i="29" s="1"/>
  <c r="B30" i="29"/>
  <c r="D30" i="29" s="1"/>
  <c r="B28" i="29"/>
  <c r="D28" i="29" s="1"/>
  <c r="B26" i="29"/>
  <c r="D26" i="29" s="1"/>
  <c r="B24" i="29"/>
  <c r="D24" i="29" s="1"/>
  <c r="H9" i="29"/>
  <c r="C43" i="29"/>
  <c r="C41" i="29"/>
  <c r="C39" i="29"/>
  <c r="C37" i="29"/>
  <c r="C35" i="29"/>
  <c r="C33" i="29"/>
  <c r="C31" i="29"/>
  <c r="C29" i="29"/>
  <c r="C27" i="29"/>
  <c r="C25" i="29"/>
  <c r="C23" i="29"/>
  <c r="F9" i="29"/>
  <c r="C43" i="26"/>
  <c r="C41" i="26"/>
  <c r="C39" i="26"/>
  <c r="C37" i="26"/>
  <c r="C35" i="26"/>
  <c r="C33" i="26"/>
  <c r="C31" i="26"/>
  <c r="C29" i="26"/>
  <c r="C27" i="26"/>
  <c r="C25" i="26"/>
  <c r="C23" i="26"/>
  <c r="F9" i="26"/>
  <c r="B43" i="26"/>
  <c r="D43" i="26" s="1"/>
  <c r="B39" i="26"/>
  <c r="D39" i="26" s="1"/>
  <c r="B35" i="26"/>
  <c r="D35" i="26" s="1"/>
  <c r="B31" i="26"/>
  <c r="D31" i="26" s="1"/>
  <c r="B27" i="26"/>
  <c r="D27" i="26" s="1"/>
  <c r="B23" i="26"/>
  <c r="D23" i="26" s="1"/>
  <c r="C42" i="26"/>
  <c r="C40" i="26"/>
  <c r="C38" i="26"/>
  <c r="C36" i="26"/>
  <c r="C34" i="26"/>
  <c r="C32" i="26"/>
  <c r="C30" i="26"/>
  <c r="C28" i="26"/>
  <c r="C26" i="26"/>
  <c r="C24" i="26"/>
  <c r="I9" i="26"/>
  <c r="B42" i="26"/>
  <c r="D42" i="26" s="1"/>
  <c r="B40" i="26"/>
  <c r="D40" i="26" s="1"/>
  <c r="B38" i="26"/>
  <c r="D38" i="26" s="1"/>
  <c r="B36" i="26"/>
  <c r="D36" i="26" s="1"/>
  <c r="B34" i="26"/>
  <c r="D34" i="26" s="1"/>
  <c r="B32" i="26"/>
  <c r="D32" i="26" s="1"/>
  <c r="B30" i="26"/>
  <c r="D30" i="26" s="1"/>
  <c r="B28" i="26"/>
  <c r="D28" i="26" s="1"/>
  <c r="B26" i="26"/>
  <c r="D26" i="26" s="1"/>
  <c r="B24" i="26"/>
  <c r="D24" i="26" s="1"/>
  <c r="H9" i="26"/>
  <c r="B41" i="26"/>
  <c r="D41" i="26" s="1"/>
  <c r="B37" i="26"/>
  <c r="D37" i="26" s="1"/>
  <c r="B33" i="26"/>
  <c r="D33" i="26" s="1"/>
  <c r="B29" i="26"/>
  <c r="D29" i="26" s="1"/>
  <c r="B25" i="26"/>
  <c r="D25" i="26" s="1"/>
  <c r="E9" i="26"/>
  <c r="C43" i="25"/>
  <c r="C41" i="25"/>
  <c r="C39" i="25"/>
  <c r="C37" i="25"/>
  <c r="C35" i="25"/>
  <c r="C33" i="25"/>
  <c r="C31" i="25"/>
  <c r="C29" i="25"/>
  <c r="C27" i="25"/>
  <c r="C25" i="25"/>
  <c r="C23" i="25"/>
  <c r="F9" i="25"/>
  <c r="B43" i="25"/>
  <c r="D43" i="25" s="1"/>
  <c r="B41" i="25"/>
  <c r="D41" i="25" s="1"/>
  <c r="B39" i="25"/>
  <c r="D39" i="25" s="1"/>
  <c r="B37" i="25"/>
  <c r="D37" i="25" s="1"/>
  <c r="B35" i="25"/>
  <c r="D35" i="25" s="1"/>
  <c r="B33" i="25"/>
  <c r="D33" i="25" s="1"/>
  <c r="B31" i="25"/>
  <c r="D31" i="25" s="1"/>
  <c r="B29" i="25"/>
  <c r="D29" i="25" s="1"/>
  <c r="B27" i="25"/>
  <c r="D27" i="25" s="1"/>
  <c r="B25" i="25"/>
  <c r="D25" i="25" s="1"/>
  <c r="B23" i="25"/>
  <c r="D23" i="25" s="1"/>
  <c r="C42" i="25"/>
  <c r="C40" i="25"/>
  <c r="C38" i="25"/>
  <c r="C36" i="25"/>
  <c r="C34" i="25"/>
  <c r="C32" i="25"/>
  <c r="C30" i="25"/>
  <c r="C28" i="25"/>
  <c r="C26" i="25"/>
  <c r="C24" i="25"/>
  <c r="I9" i="25"/>
  <c r="F17" i="23" s="1"/>
  <c r="F34" i="23" s="1"/>
  <c r="G34" i="23" s="1"/>
  <c r="B42" i="25"/>
  <c r="D42" i="25" s="1"/>
  <c r="B40" i="25"/>
  <c r="D40" i="25" s="1"/>
  <c r="B38" i="25"/>
  <c r="D38" i="25" s="1"/>
  <c r="B36" i="25"/>
  <c r="D36" i="25" s="1"/>
  <c r="B34" i="25"/>
  <c r="D34" i="25" s="1"/>
  <c r="B32" i="25"/>
  <c r="D32" i="25" s="1"/>
  <c r="B30" i="25"/>
  <c r="D30" i="25" s="1"/>
  <c r="B28" i="25"/>
  <c r="D28" i="25" s="1"/>
  <c r="B26" i="25"/>
  <c r="D26" i="25" s="1"/>
  <c r="B24" i="25"/>
  <c r="D24" i="25" s="1"/>
  <c r="H9" i="25"/>
  <c r="E9" i="25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E42" i="31" s="1"/>
  <c r="B41" i="31"/>
  <c r="E41" i="31" s="1"/>
  <c r="B40" i="31"/>
  <c r="E40" i="31" s="1"/>
  <c r="B39" i="31"/>
  <c r="E39" i="31" s="1"/>
  <c r="B38" i="31"/>
  <c r="E38" i="31" s="1"/>
  <c r="B37" i="31"/>
  <c r="E37" i="31" s="1"/>
  <c r="B36" i="31"/>
  <c r="E36" i="31" s="1"/>
  <c r="B35" i="31"/>
  <c r="E35" i="31" s="1"/>
  <c r="B34" i="31"/>
  <c r="E34" i="31" s="1"/>
  <c r="B33" i="31"/>
  <c r="E33" i="31" s="1"/>
  <c r="B32" i="31"/>
  <c r="E32" i="31" s="1"/>
  <c r="B31" i="31"/>
  <c r="E31" i="31" s="1"/>
  <c r="B30" i="31"/>
  <c r="E30" i="31" s="1"/>
  <c r="B29" i="31"/>
  <c r="E29" i="31" s="1"/>
  <c r="B28" i="31"/>
  <c r="E28" i="31" s="1"/>
  <c r="B27" i="31"/>
  <c r="E27" i="31" s="1"/>
  <c r="B26" i="31"/>
  <c r="E26" i="31" s="1"/>
  <c r="B25" i="31"/>
  <c r="E25" i="31" s="1"/>
  <c r="B24" i="31"/>
  <c r="E24" i="31" s="1"/>
  <c r="B23" i="31"/>
  <c r="E23" i="31" s="1"/>
  <c r="B22" i="31"/>
  <c r="E22" i="31" s="1"/>
  <c r="H9" i="31"/>
  <c r="I9" i="31" s="1"/>
  <c r="H12" i="31"/>
  <c r="B42" i="33"/>
  <c r="E42" i="33" s="1"/>
  <c r="B41" i="33"/>
  <c r="E41" i="33" s="1"/>
  <c r="B40" i="33"/>
  <c r="E40" i="33" s="1"/>
  <c r="B39" i="33"/>
  <c r="E39" i="33" s="1"/>
  <c r="B38" i="33"/>
  <c r="E38" i="33" s="1"/>
  <c r="B37" i="33"/>
  <c r="E37" i="33" s="1"/>
  <c r="B36" i="33"/>
  <c r="E36" i="33" s="1"/>
  <c r="B35" i="33"/>
  <c r="E35" i="33" s="1"/>
  <c r="B34" i="33"/>
  <c r="E34" i="33" s="1"/>
  <c r="B33" i="33"/>
  <c r="E33" i="33" s="1"/>
  <c r="B32" i="33"/>
  <c r="E32" i="33" s="1"/>
  <c r="B31" i="33"/>
  <c r="E31" i="33" s="1"/>
  <c r="B30" i="33"/>
  <c r="E30" i="33" s="1"/>
  <c r="B29" i="33"/>
  <c r="E29" i="33" s="1"/>
  <c r="B28" i="33"/>
  <c r="E28" i="33" s="1"/>
  <c r="B27" i="33"/>
  <c r="E27" i="33" s="1"/>
  <c r="B26" i="33"/>
  <c r="E26" i="33" s="1"/>
  <c r="B25" i="33"/>
  <c r="E25" i="33" s="1"/>
  <c r="B24" i="33"/>
  <c r="E24" i="33" s="1"/>
  <c r="B23" i="33"/>
  <c r="E23" i="33" s="1"/>
  <c r="B22" i="33"/>
  <c r="E22" i="33" s="1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F36" i="23" s="1"/>
  <c r="G36" i="23" s="1"/>
  <c r="J19" i="23"/>
  <c r="I36" i="23" s="1"/>
  <c r="J36" i="23" s="1"/>
  <c r="A24" i="27"/>
  <c r="A25" i="27" s="1"/>
  <c r="A23" i="27"/>
  <c r="A23" i="26"/>
  <c r="F18" i="23"/>
  <c r="J18" i="23"/>
  <c r="I35" i="23" s="1"/>
  <c r="J35" i="23" s="1"/>
  <c r="J9" i="25"/>
  <c r="J17" i="23"/>
  <c r="I34" i="23" s="1"/>
  <c r="J34" i="23" s="1"/>
  <c r="A24" i="25"/>
  <c r="A25" i="25" s="1"/>
  <c r="A23" i="25"/>
  <c r="K22" i="23"/>
  <c r="K21" i="23"/>
  <c r="K20" i="23"/>
  <c r="K19" i="23"/>
  <c r="K18" i="23"/>
  <c r="K17" i="23"/>
  <c r="H14" i="30" a="1"/>
  <c r="K25" i="23" l="1"/>
  <c r="M25" i="23" s="1"/>
  <c r="B41" i="32"/>
  <c r="E41" i="32" s="1"/>
  <c r="B37" i="32"/>
  <c r="E37" i="32" s="1"/>
  <c r="B33" i="32"/>
  <c r="E33" i="32" s="1"/>
  <c r="B29" i="32"/>
  <c r="E29" i="32" s="1"/>
  <c r="B25" i="32"/>
  <c r="E25" i="32" s="1"/>
  <c r="H9" i="32"/>
  <c r="I9" i="32" s="1"/>
  <c r="B40" i="32"/>
  <c r="E40" i="32" s="1"/>
  <c r="B36" i="32"/>
  <c r="E36" i="32" s="1"/>
  <c r="B32" i="32"/>
  <c r="E32" i="32" s="1"/>
  <c r="B28" i="32"/>
  <c r="E28" i="32" s="1"/>
  <c r="B24" i="32"/>
  <c r="E24" i="32" s="1"/>
  <c r="B39" i="32"/>
  <c r="E39" i="32" s="1"/>
  <c r="B35" i="32"/>
  <c r="E35" i="32" s="1"/>
  <c r="B31" i="32"/>
  <c r="E31" i="32" s="1"/>
  <c r="B27" i="32"/>
  <c r="E27" i="32" s="1"/>
  <c r="B23" i="32"/>
  <c r="E23" i="32" s="1"/>
  <c r="E9" i="32"/>
  <c r="F9" i="32" s="1"/>
  <c r="J22" i="23" s="1"/>
  <c r="I39" i="23" s="1"/>
  <c r="J39" i="23" s="1"/>
  <c r="B42" i="32"/>
  <c r="E42" i="32" s="1"/>
  <c r="B38" i="32"/>
  <c r="E38" i="32" s="1"/>
  <c r="B34" i="32"/>
  <c r="E34" i="32" s="1"/>
  <c r="B30" i="32"/>
  <c r="E30" i="32" s="1"/>
  <c r="B26" i="32"/>
  <c r="E26" i="32" s="1"/>
  <c r="B22" i="32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1" i="30"/>
  <c r="H9" i="30"/>
  <c r="E9" i="30"/>
  <c r="B30" i="30"/>
  <c r="B32" i="30"/>
  <c r="C22" i="34" l="1"/>
  <c r="E22" i="34"/>
  <c r="C22" i="32"/>
  <c r="E22" i="32"/>
  <c r="D32" i="30"/>
  <c r="D30" i="30"/>
  <c r="D31" i="30"/>
  <c r="L21" i="23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D33" i="30" l="1"/>
  <c r="J43" i="23"/>
  <c r="J45" i="23"/>
  <c r="J44" i="23"/>
  <c r="N3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A28" i="29"/>
  <c r="A28" i="27"/>
  <c r="A26" i="26"/>
  <c r="A28" i="25"/>
  <c r="B34" i="30"/>
  <c r="D34" i="30" l="1"/>
  <c r="F37" i="23"/>
  <c r="G37" i="23" s="1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3" i="23"/>
  <c r="G45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4" i="23"/>
  <c r="M43" i="23"/>
  <c r="M45" i="23"/>
  <c r="N42" i="23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D38" i="30" l="1"/>
  <c r="N44" i="23"/>
  <c r="N45" i="23"/>
  <c r="N43" i="23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45" i="5"/>
  <c r="B27" i="5"/>
  <c r="B38" i="5"/>
  <c r="B36" i="5"/>
  <c r="B32" i="5"/>
  <c r="B39" i="30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<sst xmlns="http://schemas.openxmlformats.org/spreadsheetml/2006/main" count="1117" uniqueCount="298">
  <si>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</si>
  <si>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</si>
  <si>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</si>
  <si>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</si>
  <si>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</si>
  <si>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</si>
  <si>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</si>
  <si>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</si>
  <si>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</si>
  <si>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</si>
  <si>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</si>
  <si>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</si>
  <si>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</si>
  <si>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</si>
  <si>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</si>
  <si>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</si>
  <si>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</si>
  <si>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</si>
  <si>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</si>
  <si>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</si>
  <si>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</si>
  <si>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</si>
  <si>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</si>
  <si>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</si>
  <si>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</si>
  <si>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</si>
  <si>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</si>
  <si>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</si>
  <si>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</si>
  <si>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</si>
  <si>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</si>
  <si>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</si>
  <si>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</si>
  <si>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</si>
  <si>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</si>
  <si>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</si>
  <si>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</si>
  <si>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</si>
  <si>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</si>
  <si>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</si>
  <si>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</si>
  <si>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</si>
  <si>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</si>
  <si>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</si>
  <si>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</si>
  <si>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</si>
  <si>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</si>
  <si>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</si>
  <si>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</si>
  <si>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</si>
  <si>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</si>
  <si>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</si>
  <si>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</si>
  <si>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</si>
  <si>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</si>
  <si>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</si>
  <si>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</si>
  <si>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</si>
  <si>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</si>
  <si>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</si>
  <si>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</si>
  <si>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</si>
  <si>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</si>
  <si>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</si>
  <si>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</si>
  <si>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</si>
  <si>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</si>
  <si>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</si>
  <si>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</si>
  <si>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</si>
  <si>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</si>
  <si>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</si>
  <si>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</si>
  <si>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</si>
  <si>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</si>
  <si>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</si>
  <si>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</si>
  <si>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</si>
  <si>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</si>
  <si>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</si>
  <si>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</si>
  <si>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</si>
  <si>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</si>
  <si>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</si>
  <si>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</si>
  <si>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</si>
  <si>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</si>
  <si>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</si>
  <si>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</si>
  <si>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</si>
  <si>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</si>
  <si>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</si>
  <si>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</si>
  <si>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</si>
  <si>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</si>
  <si>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</si>
  <si>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</si>
  <si>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</si>
  <si>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</si>
  <si>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</si>
  <si>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</si>
  <si>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</si>
  <si>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</si>
  <si>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</si>
  <si>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</si>
  <si>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</si>
  <si>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</si>
  <si>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</si>
  <si>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</si>
  <si>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</si>
  <si>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</si>
  <si>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</si>
  <si>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</si>
  <si>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</si>
  <si>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</si>
  <si>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</si>
  <si>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</si>
  <si>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</si>
  <si>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</si>
  <si>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</si>
  <si>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</si>
  <si>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</si>
  <si>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</si>
  <si>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</si>
  <si>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</si>
  <si>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</si>
  <si>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</si>
  <si>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</si>
  <si>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</si>
  <si>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</si>
  <si>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</si>
  <si>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</si>
  <si>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</si>
  <si>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</si>
  <si>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</si>
  <si>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</si>
  <si>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</si>
  <si>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</si>
  <si>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</si>
  <si>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</si>
  <si>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</si>
  <si>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</si>
  <si>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</si>
  <si>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</si>
  <si>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</si>
  <si>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</si>
  <si>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</si>
  <si>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</si>
  <si>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</si>
  <si>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</si>
  <si>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</si>
  <si>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</si>
  <si>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</si>
  <si>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</si>
  <si>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</si>
  <si>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</si>
  <si>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</si>
  <si>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</si>
  <si>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</si>
  <si>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</si>
  <si>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</si>
  <si>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</si>
  <si>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</si>
  <si>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</si>
  <si>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</si>
  <si>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</si>
  <si>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</si>
  <si>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</si>
  <si>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</si>
  <si>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</si>
  <si>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</si>
  <si>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</si>
  <si>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</si>
  <si>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</si>
  <si>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</si>
  <si>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</si>
  <si>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</si>
  <si>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</si>
  <si>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</si>
  <si>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</si>
  <si>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</si>
  <si>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</si>
  <si>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</si>
  <si>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</si>
  <si>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</si>
  <si>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</si>
  <si>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</si>
  <si>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</si>
  <si>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</si>
  <si>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</si>
  <si>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</si>
  <si>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</si>
  <si>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</si>
  <si>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</si>
  <si>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</si>
  <si>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</si>
  <si>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</si>
  <si>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</si>
  <si>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</si>
  <si>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</si>
  <si>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</si>
  <si>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</si>
  <si>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</si>
  <si>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</si>
  <si>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</si>
  <si>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</si>
  <si>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</si>
  <si>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</si>
  <si>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</si>
  <si>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</si>
  <si>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</si>
  <si>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</si>
  <si>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</si>
  <si>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</si>
  <si>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</si>
  <si>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</si>
  <si>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</si>
  <si>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</si>
  <si>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</si>
  <si>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</si>
  <si>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</si>
  <si>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</si>
  <si>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</si>
  <si>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</si>
  <si>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</si>
  <si>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</si>
  <si>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</si>
  <si>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</si>
  <si>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</si>
  <si>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</si>
  <si>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</si>
  <si>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</si>
  <si>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</si>
  <si>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</si>
  <si>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</si>
  <si>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</si>
  <si>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</si>
  <si>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</si>
  <si>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</si>
  <si>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</si>
  <si>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</si>
  <si>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</si>
  <si>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</si>
  <si>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</si>
  <si>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</si>
  <si>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</si>
  <si>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</si>
  <si>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</si>
  <si>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</si>
  <si>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</si>
  <si>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</si>
  <si>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</si>
  <si>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</si>
  <si>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</si>
  <si>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</si>
  <si>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</si>
  <si>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</si>
  <si>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</si>
  <si>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</si>
  <si>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</si>
  <si>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</si>
  <si>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</si>
  <si>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</si>
  <si>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</si>
  <si>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</si>
  <si>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</si>
  <si>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</si>
  <si>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</si>
  <si>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</si>
  <si>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</si>
  <si>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</si>
  <si>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</si>
  <si>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</si>
  <si>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</si>
  <si>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</si>
  <si>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</si>
  <si>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</si>
  <si>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 xml:space="preserve">Q1-12 lvl is $31.3 MM in total. Max here is apportioned Q1-12 lvl +10%. Min here is curr. Level -10%. </t>
  </si>
  <si>
    <t>Equivalent 2012-Q1 Projected level.</t>
  </si>
  <si>
    <t>Per 2013 budget levels, 53% goes to vouchers. Apply this ratio to 2012-Q1 proj. level. Then apply curr -10% as min. And Q1-12 +10% as max.</t>
  </si>
  <si>
    <t>Assume Q1-12 lvl of $53 MM represents consumer HCC only (i.e., some evidence from cell D8). Min and Max rules are same as above.</t>
  </si>
  <si>
    <t>Per 2013 budget levels, roughly 51% goes to measured MMF programs. Apply this ratio to Q1-12 level to get Equivalent spend. Min and Max are REVERSED as Q1-12 level is less than curr promotions.</t>
  </si>
  <si>
    <t>Q1-12 level is less than curr level. Min and Max are REVERSED as Q1-12 level is less than curr promotions.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</si>
  <si>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</si>
  <si>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</si>
  <si>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</si>
  <si>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</si>
  <si>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Optimal Spend ($)</t>
  </si>
  <si>
    <t>Incr. Rev. ($)</t>
  </si>
  <si>
    <t>Sensitivity: All Responses are at the estimated level.</t>
  </si>
  <si>
    <t>No Change in spend</t>
  </si>
  <si>
    <t>Doubled: goes to max constraint</t>
  </si>
  <si>
    <t>Half: Spend reduces little. Doubled: Spend increases a lot.</t>
  </si>
  <si>
    <t>Half: Spend becomes Min. Doubled: Spend goes to max.</t>
  </si>
  <si>
    <t>No change. Always min.</t>
  </si>
  <si>
    <t>Not much of a change.</t>
  </si>
  <si>
    <t>Sensitivity: Selected Channel Response is reduced by HALF.</t>
  </si>
  <si>
    <t>Sensitivity: Selected Channel Response is DOUBLED.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</si>
</sst>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64" fontId="0" fillId="0" borderId="12" xfId="4" applyNumberFormat="1" applyFont="1" applyBorder="1"/>
    <xf numFmtId="164" fontId="0" fillId="0" borderId="37" xfId="4" applyNumberFormat="1" applyFont="1" applyBorder="1"/>
    <xf numFmtId="164" fontId="0" fillId="0" borderId="32" xfId="4" applyNumberFormat="1" applyFont="1" applyBorder="1"/>
    <xf numFmtId="0" fontId="1" fillId="0" borderId="32" xfId="0" applyFont="1" applyBorder="1"/>
    <xf numFmtId="0" fontId="34" fillId="0" borderId="0" xfId="0" applyFont="1"/>
    <xf numFmtId="0" fontId="26" fillId="0" borderId="0" xfId="0" applyFont="1"/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70464"/>
        <c:axId val="107881216"/>
      </c:scatterChart>
      <c:valAx>
        <c:axId val="107870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07881216"/>
        <c:crosses val="autoZero"/>
        <c:crossBetween val="midCat"/>
        <c:dispUnits>
          <c:builtInUnit val="thousands"/>
        </c:dispUnits>
      </c:valAx>
      <c:valAx>
        <c:axId val="107881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78704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13440"/>
        <c:axId val="108032384"/>
      </c:scatterChart>
      <c:valAx>
        <c:axId val="1080134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08032384"/>
        <c:crosses val="autoZero"/>
        <c:crossBetween val="midCat"/>
        <c:dispUnits>
          <c:builtInUnit val="thousands"/>
        </c:dispUnits>
      </c:valAx>
      <c:valAx>
        <c:axId val="10803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0134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66304"/>
        <c:axId val="108097536"/>
      </c:scatterChart>
      <c:valAx>
        <c:axId val="108066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08097536"/>
        <c:crosses val="autoZero"/>
        <c:crossBetween val="midCat"/>
        <c:dispUnits>
          <c:builtInUnit val="thousands"/>
        </c:dispUnits>
      </c:valAx>
      <c:valAx>
        <c:axId val="108097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066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13376"/>
        <c:axId val="108215680"/>
      </c:scatterChart>
      <c:valAx>
        <c:axId val="108213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08215680"/>
        <c:crosses val="autoZero"/>
        <c:crossBetween val="midCat"/>
        <c:dispUnits>
          <c:builtInUnit val="thousands"/>
        </c:dispUnits>
      </c:valAx>
      <c:valAx>
        <c:axId val="10821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213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35872"/>
        <c:axId val="108338176"/>
      </c:scatterChart>
      <c:valAx>
        <c:axId val="108335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8338176"/>
        <c:crosses val="autoZero"/>
        <c:crossBetween val="midCat"/>
        <c:dispUnits>
          <c:builtInUnit val="thousands"/>
        </c:dispUnits>
      </c:valAx>
      <c:valAx>
        <c:axId val="108338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3358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21504"/>
        <c:axId val="108423808"/>
      </c:scatterChart>
      <c:valAx>
        <c:axId val="108421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8423808"/>
        <c:crosses val="autoZero"/>
        <c:crossBetween val="midCat"/>
        <c:dispUnits>
          <c:builtInUnit val="thousands"/>
        </c:dispUnits>
      </c:valAx>
      <c:valAx>
        <c:axId val="10842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4215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94848"/>
        <c:axId val="108497152"/>
      </c:scatterChart>
      <c:valAx>
        <c:axId val="10849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8497152"/>
        <c:crosses val="autoZero"/>
        <c:crossBetween val="midCat"/>
        <c:dispUnits>
          <c:builtInUnit val="thousands"/>
        </c:dispUnits>
      </c:valAx>
      <c:valAx>
        <c:axId val="10849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494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39264"/>
        <c:axId val="108562304"/>
      </c:scatterChart>
      <c:valAx>
        <c:axId val="108539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08562304"/>
        <c:crosses val="autoZero"/>
        <c:crossBetween val="midCat"/>
        <c:dispUnits>
          <c:builtInUnit val="thousands"/>
        </c:dispUnits>
      </c:valAx>
      <c:valAx>
        <c:axId val="10856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08539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33664"/>
        <c:axId val="142448896"/>
      </c:scatterChart>
      <c:valAx>
        <c:axId val="14243366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2448896"/>
        <c:crosses val="autoZero"/>
        <c:crossBetween val="midCat"/>
        <c:dispUnits>
          <c:builtInUnit val="thousands"/>
        </c:dispUnits>
      </c:valAx>
      <c:valAx>
        <c:axId val="142448896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24336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71648"/>
        <c:axId val="271382784"/>
      </c:scatterChart>
      <c:valAx>
        <c:axId val="27137164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382784"/>
        <c:crosses val="autoZero"/>
        <c:crossBetween val="midCat"/>
        <c:dispUnits>
          <c:builtInUnit val="thousands"/>
        </c:dispUnits>
      </c:valAx>
      <c:valAx>
        <c:axId val="271382784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3716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284337157.33190876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38106487.656261064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64544"/>
        <c:axId val="276779776"/>
      </c:scatterChart>
      <c:valAx>
        <c:axId val="276764544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6779776"/>
        <c:crosses val="autoZero"/>
        <c:crossBetween val="midCat"/>
        <c:dispUnits>
          <c:builtInUnit val="millions"/>
        </c:dispUnits>
      </c:valAx>
      <c:valAx>
        <c:axId val="27677977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67645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284337157.33190876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38106487.656261064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41440"/>
        <c:axId val="276944384"/>
      </c:scatterChart>
      <c:valAx>
        <c:axId val="276941440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6944384"/>
        <c:crosses val="autoZero"/>
        <c:crossBetween val="midCat"/>
        <c:dispUnits>
          <c:builtInUnit val="millions"/>
        </c:dispUnits>
      </c:valAx>
      <c:valAx>
        <c:axId val="27694438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694144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33504"/>
        <c:axId val="142217600"/>
      </c:scatterChart>
      <c:valAx>
        <c:axId val="14213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2217600"/>
        <c:crosses val="autoZero"/>
        <c:crossBetween val="midCat"/>
        <c:dispUnits>
          <c:builtInUnit val="thousands"/>
        </c:dispUnits>
      </c:valAx>
      <c:valAx>
        <c:axId val="14221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21335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316606.02914625418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51520"/>
        <c:axId val="142270464"/>
      </c:scatterChart>
      <c:valAx>
        <c:axId val="142251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2270464"/>
        <c:crosses val="autoZero"/>
        <c:crossBetween val="midCat"/>
        <c:dispUnits>
          <c:builtInUnit val="thousands"/>
        </c:dispUnits>
      </c:valAx>
      <c:valAx>
        <c:axId val="142270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2251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33184"/>
        <c:axId val="277156224"/>
      </c:scatterChart>
      <c:valAx>
        <c:axId val="277133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156224"/>
        <c:crosses val="autoZero"/>
        <c:crossBetween val="midCat"/>
        <c:dispUnits>
          <c:builtInUnit val="thousands"/>
        </c:dispUnits>
      </c:valAx>
      <c:valAx>
        <c:axId val="277156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133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367931.81392440468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14720"/>
        <c:axId val="277295104"/>
      </c:scatterChart>
      <c:valAx>
        <c:axId val="277214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295104"/>
        <c:crosses val="autoZero"/>
        <c:crossBetween val="midCat"/>
        <c:dispUnits>
          <c:builtInUnit val="thousands"/>
        </c:dispUnits>
      </c:valAx>
      <c:valAx>
        <c:axId val="277295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2147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1680"/>
        <c:axId val="277778816"/>
      </c:scatterChart>
      <c:valAx>
        <c:axId val="277751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778816"/>
        <c:crosses val="autoZero"/>
        <c:crossBetween val="midCat"/>
        <c:dispUnits>
          <c:builtInUnit val="thousands"/>
        </c:dispUnits>
      </c:valAx>
      <c:valAx>
        <c:axId val="277778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7516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62880"/>
        <c:axId val="277590016"/>
      </c:scatterChart>
      <c:valAx>
        <c:axId val="277562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590016"/>
        <c:crosses val="autoZero"/>
        <c:crossBetween val="midCat"/>
        <c:dispUnits>
          <c:builtInUnit val="thousands"/>
        </c:dispUnits>
      </c:valAx>
      <c:valAx>
        <c:axId val="277590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5628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49280"/>
        <c:axId val="277664128"/>
      </c:scatterChart>
      <c:valAx>
        <c:axId val="277649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664128"/>
        <c:crosses val="autoZero"/>
        <c:crossBetween val="midCat"/>
        <c:dispUnits>
          <c:builtInUnit val="thousands"/>
        </c:dispUnits>
      </c:valAx>
      <c:valAx>
        <c:axId val="27766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6492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2624"/>
        <c:axId val="277737472"/>
      </c:scatterChart>
      <c:valAx>
        <c:axId val="277722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7737472"/>
        <c:crosses val="autoZero"/>
        <c:crossBetween val="midCat"/>
        <c:dispUnits>
          <c:builtInUnit val="thousands"/>
        </c:dispUnits>
      </c:valAx>
      <c:valAx>
        <c:axId val="27773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7722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71712"/>
        <c:axId val="279994752"/>
      </c:scatterChart>
      <c:valAx>
        <c:axId val="279971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9994752"/>
        <c:crosses val="autoZero"/>
        <c:crossBetween val="midCat"/>
        <c:dispUnits>
          <c:builtInUnit val="thousands"/>
        </c:dispUnits>
      </c:valAx>
      <c:valAx>
        <c:axId val="27999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9971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1822.0499190256078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93216"/>
        <c:axId val="280408064"/>
      </c:scatterChart>
      <c:valAx>
        <c:axId val="280393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0408064"/>
        <c:crosses val="autoZero"/>
        <c:crossBetween val="midCat"/>
        <c:dispUnits>
          <c:builtInUnit val="thousands"/>
        </c:dispUnits>
      </c:valAx>
      <c:valAx>
        <c:axId val="28040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03932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2932385.8891206691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34784"/>
        <c:axId val="280137088"/>
      </c:scatterChart>
      <c:valAx>
        <c:axId val="280134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0137088"/>
        <c:crosses val="autoZero"/>
        <c:crossBetween val="midCat"/>
        <c:dispUnits>
          <c:builtInUnit val="thousands"/>
        </c:dispUnits>
      </c:valAx>
      <c:valAx>
        <c:axId val="28013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80134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49238769.913408816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254326.61657594703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95840"/>
        <c:axId val="280198144"/>
      </c:scatterChart>
      <c:valAx>
        <c:axId val="280195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0198144"/>
        <c:crosses val="autoZero"/>
        <c:crossBetween val="midCat"/>
        <c:dispUnits>
          <c:builtInUnit val="thousands"/>
        </c:dispUnits>
      </c:valAx>
      <c:valAx>
        <c:axId val="28019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01958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392994.45677700365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14624"/>
        <c:axId val="280316928"/>
      </c:scatterChart>
      <c:valAx>
        <c:axId val="280314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0316928"/>
        <c:crosses val="autoZero"/>
        <c:crossBetween val="midCat"/>
        <c:dispUnits>
          <c:builtInUnit val="thousands"/>
        </c:dispUnits>
      </c:valAx>
      <c:valAx>
        <c:axId val="28031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80314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8162990.9118469348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34084.514898265712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02656"/>
        <c:axId val="280504960"/>
      </c:scatterChart>
      <c:valAx>
        <c:axId val="280502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0504960"/>
        <c:crosses val="autoZero"/>
        <c:crossBetween val="midCat"/>
        <c:dispUnits>
          <c:builtInUnit val="thousands"/>
        </c:dispUnits>
      </c:valAx>
      <c:valAx>
        <c:axId val="28050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80502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82304"/>
        <c:axId val="281684608"/>
      </c:scatterChart>
      <c:valAx>
        <c:axId val="281682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1684608"/>
        <c:crosses val="autoZero"/>
        <c:crossBetween val="midCat"/>
        <c:dispUnits>
          <c:builtInUnit val="thousands"/>
        </c:dispUnits>
      </c:valAx>
      <c:valAx>
        <c:axId val="28168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682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7157.711126210168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51552"/>
        <c:axId val="281753856"/>
      </c:scatterChart>
      <c:valAx>
        <c:axId val="281751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1753856"/>
        <c:crosses val="autoZero"/>
        <c:crossBetween val="midCat"/>
        <c:dispUnits>
          <c:builtInUnit val="thousands"/>
        </c:dispUnits>
      </c:valAx>
      <c:valAx>
        <c:axId val="28175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7515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17088"/>
        <c:axId val="281819392"/>
      </c:scatterChart>
      <c:valAx>
        <c:axId val="281817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1819392"/>
        <c:crosses val="autoZero"/>
        <c:crossBetween val="midCat"/>
        <c:dispUnits>
          <c:builtInUnit val="thousands"/>
        </c:dispUnits>
      </c:valAx>
      <c:valAx>
        <c:axId val="281819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8170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712576"/>
        <c:axId val="286714496"/>
      </c:scatterChart>
      <c:valAx>
        <c:axId val="286712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714496"/>
        <c:crosses val="autoZero"/>
        <c:crossBetween val="midCat"/>
      </c:valAx>
      <c:valAx>
        <c:axId val="28671449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7125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77408"/>
        <c:axId val="277379328"/>
      </c:scatterChart>
      <c:valAx>
        <c:axId val="277377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79328"/>
        <c:crosses val="autoZero"/>
        <c:crossBetween val="midCat"/>
      </c:valAx>
      <c:valAx>
        <c:axId val="2773793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3774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02752"/>
        <c:axId val="288204672"/>
      </c:scatterChart>
      <c:valAx>
        <c:axId val="288202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8204672"/>
        <c:crosses val="autoZero"/>
        <c:crossBetween val="midCat"/>
      </c:valAx>
      <c:valAx>
        <c:axId val="28820467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82027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44064"/>
        <c:axId val="287946624"/>
      </c:scatterChart>
      <c:valAx>
        <c:axId val="287944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7946624"/>
        <c:crosses val="autoZero"/>
        <c:crossBetween val="midCat"/>
        <c:dispUnits>
          <c:builtInUnit val="millions"/>
        </c:dispUnits>
      </c:valAx>
      <c:valAx>
        <c:axId val="2879466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79440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topLeftCell="H1" workbookViewId="0">
      <selection activeCell="K11" sqref="K11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34" workbookViewId="0">
      <selection activeCell="A50" sqref="A5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24" t="s">
        <v>191</v>
      </c>
      <c r="E6" s="324"/>
      <c r="F6" s="324" t="s">
        <v>183</v>
      </c>
      <c r="G6" s="324"/>
      <c r="H6" s="324"/>
      <c r="I6" s="324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25" t="s">
        <v>194</v>
      </c>
      <c r="D20" s="325"/>
      <c r="E20" s="325"/>
      <c r="F20" s="325" t="s">
        <v>195</v>
      </c>
      <c r="G20" s="325"/>
      <c r="H20" s="325"/>
      <c r="I20" s="325" t="s">
        <v>196</v>
      </c>
      <c r="J20" s="325"/>
      <c r="K20" s="192" t="s">
        <v>197</v>
      </c>
      <c r="L20" s="187"/>
      <c r="M20" s="189" t="s">
        <v>198</v>
      </c>
      <c r="N20" s="187"/>
      <c r="O20" s="325" t="s">
        <v>194</v>
      </c>
      <c r="P20" s="325"/>
      <c r="Q20" s="325"/>
      <c r="R20" s="325" t="s">
        <v>195</v>
      </c>
      <c r="S20" s="325"/>
      <c r="T20" s="325"/>
      <c r="U20" s="325" t="s">
        <v>196</v>
      </c>
      <c r="V20" s="325"/>
      <c r="W20" s="192" t="s">
        <v>197</v>
      </c>
      <c r="X20" s="187"/>
      <c r="Y20" s="189" t="s">
        <v>199</v>
      </c>
      <c r="Z20" s="187"/>
      <c r="AA20" s="314" t="s">
        <v>200</v>
      </c>
      <c r="AB20" s="315"/>
      <c r="AC20" s="316"/>
      <c r="AD20" s="314" t="s">
        <v>201</v>
      </c>
      <c r="AE20" s="316"/>
      <c r="AF20" s="212"/>
      <c r="AG20" s="317" t="s">
        <v>202</v>
      </c>
      <c r="AH20" s="318"/>
      <c r="AI20" s="318"/>
      <c r="AJ20" s="318"/>
      <c r="AK20" s="318"/>
      <c r="AL20" s="319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0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1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1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1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1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1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1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1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2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3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1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1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1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1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1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1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1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2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G29"/>
  <sheetViews>
    <sheetView topLeftCell="A13" workbookViewId="0">
      <selection activeCell="D20" sqref="D20:E27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3" spans="1:7" x14ac:dyDescent="0.3">
      <c r="A3" s="159" t="s">
        <v>222</v>
      </c>
      <c r="B3" s="248"/>
      <c r="C3" s="248"/>
      <c r="D3" s="248"/>
      <c r="E3" s="248"/>
      <c r="F3" s="248"/>
      <c r="G3" s="248"/>
    </row>
    <row r="4" spans="1:7" x14ac:dyDescent="0.3">
      <c r="A4" s="253" t="s">
        <v>223</v>
      </c>
      <c r="B4" s="248"/>
      <c r="C4" s="248"/>
      <c r="D4" s="248"/>
      <c r="E4" s="248"/>
      <c r="F4" s="248"/>
      <c r="G4" s="248"/>
    </row>
    <row r="5" spans="1:7" ht="55.2" x14ac:dyDescent="0.3">
      <c r="A5" s="257" t="s">
        <v>224</v>
      </c>
      <c r="B5" s="249" t="s">
        <v>225</v>
      </c>
      <c r="C5" s="249" t="s">
        <v>226</v>
      </c>
      <c r="D5" s="249" t="s">
        <v>227</v>
      </c>
      <c r="E5" s="249" t="s">
        <v>228</v>
      </c>
      <c r="F5" s="249" t="s">
        <v>229</v>
      </c>
      <c r="G5" s="248"/>
    </row>
    <row r="6" spans="1:7" x14ac:dyDescent="0.3">
      <c r="A6" s="258" t="s">
        <v>230</v>
      </c>
      <c r="B6" s="250">
        <v>1485207</v>
      </c>
      <c r="C6" s="250">
        <v>5940828</v>
      </c>
      <c r="D6" s="250">
        <v>5111928</v>
      </c>
      <c r="E6" s="250">
        <v>-828900</v>
      </c>
      <c r="F6" s="252">
        <v>-0.13952600546590474</v>
      </c>
      <c r="G6" s="248"/>
    </row>
    <row r="7" spans="1:7" x14ac:dyDescent="0.3">
      <c r="A7" s="258" t="s">
        <v>231</v>
      </c>
      <c r="B7" s="250">
        <v>7509116</v>
      </c>
      <c r="C7" s="250">
        <v>30036464</v>
      </c>
      <c r="D7" s="250">
        <v>40058044</v>
      </c>
      <c r="E7" s="250">
        <v>10021580</v>
      </c>
      <c r="F7" s="252">
        <v>0.33364712970208477</v>
      </c>
      <c r="G7" s="248"/>
    </row>
    <row r="8" spans="1:7" x14ac:dyDescent="0.3">
      <c r="A8" s="261" t="s">
        <v>232</v>
      </c>
      <c r="B8" s="250">
        <v>13463006</v>
      </c>
      <c r="C8" s="250">
        <v>53852024</v>
      </c>
      <c r="D8" s="250">
        <v>25228000</v>
      </c>
      <c r="E8" s="250">
        <v>-28624024</v>
      </c>
      <c r="F8" s="252">
        <v>-0.53153107114414122</v>
      </c>
      <c r="G8" s="248" t="s">
        <v>108</v>
      </c>
    </row>
    <row r="9" spans="1:7" x14ac:dyDescent="0.3">
      <c r="A9" s="261" t="s">
        <v>233</v>
      </c>
      <c r="B9" s="250">
        <v>865260</v>
      </c>
      <c r="C9" s="250">
        <v>3461040</v>
      </c>
      <c r="D9" s="250">
        <v>7242494</v>
      </c>
      <c r="E9" s="250">
        <v>3781454</v>
      </c>
      <c r="F9" s="252">
        <v>1.0925773755865289</v>
      </c>
      <c r="G9" s="248" t="s">
        <v>96</v>
      </c>
    </row>
    <row r="10" spans="1:7" x14ac:dyDescent="0.3">
      <c r="A10" s="258" t="s">
        <v>234</v>
      </c>
      <c r="B10" s="250">
        <v>0</v>
      </c>
      <c r="C10" s="250">
        <v>0</v>
      </c>
      <c r="D10" s="250">
        <v>0</v>
      </c>
      <c r="E10" s="250">
        <v>0</v>
      </c>
      <c r="F10" s="252"/>
      <c r="G10" s="248"/>
    </row>
    <row r="11" spans="1:7" x14ac:dyDescent="0.3">
      <c r="A11" s="261" t="s">
        <v>235</v>
      </c>
      <c r="B11" s="250">
        <v>1852637</v>
      </c>
      <c r="C11" s="250">
        <v>7410548</v>
      </c>
      <c r="D11" s="250">
        <v>5155000</v>
      </c>
      <c r="E11" s="250">
        <v>-2255548</v>
      </c>
      <c r="F11" s="252">
        <v>-0.30436993323570671</v>
      </c>
      <c r="G11" s="248" t="s">
        <v>94</v>
      </c>
    </row>
    <row r="12" spans="1:7" x14ac:dyDescent="0.3">
      <c r="A12" s="261" t="s">
        <v>236</v>
      </c>
      <c r="B12" s="250">
        <v>1987601</v>
      </c>
      <c r="C12" s="250">
        <v>7950404</v>
      </c>
      <c r="D12" s="250">
        <v>7077000</v>
      </c>
      <c r="E12" s="250">
        <v>-873404</v>
      </c>
      <c r="F12" s="252">
        <v>-0.10985655571716858</v>
      </c>
      <c r="G12" s="248" t="s">
        <v>95</v>
      </c>
    </row>
    <row r="13" spans="1:7" x14ac:dyDescent="0.3">
      <c r="A13" s="261" t="s">
        <v>237</v>
      </c>
      <c r="B13" s="250">
        <v>7817443</v>
      </c>
      <c r="C13" s="250">
        <v>31269772</v>
      </c>
      <c r="D13" s="250">
        <v>21601934</v>
      </c>
      <c r="E13" s="250">
        <v>-9667838</v>
      </c>
      <c r="F13" s="252">
        <v>-0.30917519961450313</v>
      </c>
      <c r="G13" s="248" t="s">
        <v>93</v>
      </c>
    </row>
    <row r="14" spans="1:7" x14ac:dyDescent="0.3">
      <c r="A14" s="258" t="s">
        <v>238</v>
      </c>
      <c r="B14" s="250">
        <v>146598</v>
      </c>
      <c r="C14" s="250">
        <v>586392</v>
      </c>
      <c r="D14" s="250">
        <v>0</v>
      </c>
      <c r="E14" s="250">
        <v>-586392</v>
      </c>
      <c r="F14" s="252">
        <v>-1</v>
      </c>
      <c r="G14" s="248"/>
    </row>
    <row r="15" spans="1:7" ht="15" thickBot="1" x14ac:dyDescent="0.35">
      <c r="A15" s="259" t="s">
        <v>103</v>
      </c>
      <c r="B15" s="251">
        <v>35126868</v>
      </c>
      <c r="C15" s="254">
        <v>140507472</v>
      </c>
      <c r="D15" s="254">
        <v>111474400</v>
      </c>
      <c r="E15" s="254">
        <v>-29033072</v>
      </c>
      <c r="F15" s="255">
        <v>-0.20663009295334842</v>
      </c>
      <c r="G15" s="300">
        <f>C8+C9+C11+C12+C13</f>
        <v>103943788</v>
      </c>
    </row>
    <row r="16" spans="1:7" ht="15" thickTop="1" x14ac:dyDescent="0.3"/>
    <row r="18" spans="1:6" x14ac:dyDescent="0.3">
      <c r="D18" s="304">
        <v>0.9</v>
      </c>
      <c r="E18" s="304">
        <v>1.1000000000000001</v>
      </c>
    </row>
    <row r="19" spans="1:6" ht="43.2" x14ac:dyDescent="0.3">
      <c r="A19" s="301" t="s">
        <v>3</v>
      </c>
      <c r="B19" s="301" t="s">
        <v>271</v>
      </c>
      <c r="C19" s="301" t="s">
        <v>278</v>
      </c>
      <c r="D19" s="301" t="s">
        <v>272</v>
      </c>
      <c r="E19" s="301" t="s">
        <v>273</v>
      </c>
      <c r="F19" s="301" t="s">
        <v>276</v>
      </c>
    </row>
    <row r="20" spans="1:6" x14ac:dyDescent="0.3">
      <c r="A20" t="s">
        <v>274</v>
      </c>
      <c r="B20" s="302">
        <v>5991499</v>
      </c>
      <c r="C20" s="305">
        <f>(B20/(B20+B21))*C13</f>
        <v>8672964.54420368</v>
      </c>
      <c r="D20" s="303">
        <f>$D$18*B20</f>
        <v>5392349.1000000006</v>
      </c>
      <c r="E20" s="305">
        <f t="shared" ref="E20:E21" si="0">C20*$E$18</f>
        <v>9540260.9986240491</v>
      </c>
      <c r="F20" t="s">
        <v>277</v>
      </c>
    </row>
    <row r="21" spans="1:6" x14ac:dyDescent="0.3">
      <c r="A21" t="s">
        <v>275</v>
      </c>
      <c r="B21" s="302">
        <v>15610435</v>
      </c>
      <c r="C21" s="305">
        <f>(B21/(B20+B21))*C13</f>
        <v>22596807.45579632</v>
      </c>
      <c r="D21" s="303">
        <f>$D$18*B21</f>
        <v>14049391.5</v>
      </c>
      <c r="E21" s="305">
        <f t="shared" si="0"/>
        <v>24856488.201375954</v>
      </c>
      <c r="F21" s="248" t="s">
        <v>277</v>
      </c>
    </row>
    <row r="22" spans="1:6" x14ac:dyDescent="0.3">
      <c r="A22" t="s">
        <v>95</v>
      </c>
      <c r="B22" s="302">
        <v>3804716</v>
      </c>
      <c r="C22" s="305">
        <f>0.53*C12</f>
        <v>4213714.12</v>
      </c>
      <c r="D22" s="303">
        <f>$D$18*B22</f>
        <v>3424244.4</v>
      </c>
      <c r="E22" s="305">
        <f>C22*$E$18</f>
        <v>4635085.5320000006</v>
      </c>
      <c r="F22" t="s">
        <v>279</v>
      </c>
    </row>
    <row r="23" spans="1:6" x14ac:dyDescent="0.3">
      <c r="A23" t="s">
        <v>94</v>
      </c>
      <c r="B23" s="302">
        <v>4440000</v>
      </c>
      <c r="C23" s="306">
        <f>C11*0.51</f>
        <v>3779379.48</v>
      </c>
      <c r="D23" s="307">
        <f>C23*D18</f>
        <v>3401441.5320000001</v>
      </c>
      <c r="E23" s="306">
        <f>B23*E18</f>
        <v>4884000</v>
      </c>
      <c r="F23" t="s">
        <v>281</v>
      </c>
    </row>
    <row r="24" spans="1:6" x14ac:dyDescent="0.3">
      <c r="A24" t="s">
        <v>108</v>
      </c>
      <c r="B24" s="302">
        <v>22954000</v>
      </c>
      <c r="C24" s="305">
        <f>C8</f>
        <v>53852024</v>
      </c>
      <c r="D24" s="303">
        <f>$D$18*B24</f>
        <v>20658600</v>
      </c>
      <c r="E24" s="305">
        <f t="shared" ref="E24" si="1">C24*$E$18</f>
        <v>59237226.400000006</v>
      </c>
      <c r="F24" t="s">
        <v>280</v>
      </c>
    </row>
    <row r="25" spans="1:6" x14ac:dyDescent="0.3">
      <c r="A25" t="s">
        <v>96</v>
      </c>
      <c r="B25" s="302">
        <v>7818984</v>
      </c>
      <c r="C25" s="306">
        <f>C9</f>
        <v>3461040</v>
      </c>
      <c r="D25" s="307">
        <f>C25*D18</f>
        <v>3114936</v>
      </c>
      <c r="E25" s="307">
        <f>B25*E18</f>
        <v>8600882.4000000004</v>
      </c>
      <c r="F25" t="s">
        <v>282</v>
      </c>
    </row>
    <row r="26" spans="1:6" x14ac:dyDescent="0.3">
      <c r="A26" t="s">
        <v>177</v>
      </c>
      <c r="B26" s="302">
        <v>4782666</v>
      </c>
      <c r="C26" s="303">
        <f>B26</f>
        <v>4782666</v>
      </c>
      <c r="D26" s="303">
        <f>$D$18*B26</f>
        <v>4304399.4000000004</v>
      </c>
      <c r="E26" s="303">
        <f>C26*$E$18</f>
        <v>5260932.6000000006</v>
      </c>
      <c r="F26" t="s">
        <v>283</v>
      </c>
    </row>
    <row r="27" spans="1:6" x14ac:dyDescent="0.3">
      <c r="A27" t="s">
        <v>172</v>
      </c>
      <c r="B27" s="302">
        <v>15700000</v>
      </c>
      <c r="C27" s="303">
        <f>B27</f>
        <v>15700000</v>
      </c>
      <c r="D27" s="303">
        <f>$D$18*B27</f>
        <v>14130000</v>
      </c>
      <c r="E27" s="303">
        <f>C27*$E$18</f>
        <v>17270000</v>
      </c>
      <c r="F27" s="248" t="s">
        <v>283</v>
      </c>
    </row>
    <row r="28" spans="1:6" x14ac:dyDescent="0.3">
      <c r="A28" s="309" t="s">
        <v>103</v>
      </c>
      <c r="B28" s="310">
        <f>SUM(B20:B27)</f>
        <v>81102300</v>
      </c>
      <c r="C28" s="311">
        <f t="shared" ref="C28:E28" si="2">SUM(C20:C27)</f>
        <v>117058595.59999999</v>
      </c>
      <c r="D28" s="310">
        <f t="shared" si="2"/>
        <v>68475361.932000011</v>
      </c>
      <c r="E28" s="310">
        <f t="shared" si="2"/>
        <v>134284876.132</v>
      </c>
    </row>
    <row r="29" spans="1:6" x14ac:dyDescent="0.3">
      <c r="C29" s="308">
        <f>C28/B28</f>
        <v>1.4433449556917621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3:I14"/>
  <sheetViews>
    <sheetView workbookViewId="0">
      <selection activeCell="G17" sqref="G17"/>
    </sheetView>
  </sheetViews>
  <sheetFormatPr defaultRowHeight="14.4" x14ac:dyDescent="0.3"/>
  <cols>
    <col min="1" max="1" width="13.6640625" customWidth="1"/>
    <col min="2" max="2" width="14.88671875" customWidth="1"/>
    <col min="3" max="3" width="14.33203125" customWidth="1"/>
    <col min="4" max="4" width="15.44140625" customWidth="1"/>
    <col min="5" max="5" width="13.77734375" customWidth="1"/>
    <col min="6" max="6" width="15.77734375" customWidth="1"/>
    <col min="7" max="7" width="14" customWidth="1"/>
    <col min="8" max="8" width="16.33203125" customWidth="1"/>
  </cols>
  <sheetData>
    <row r="3" spans="1:9" ht="15" thickBot="1" x14ac:dyDescent="0.35"/>
    <row r="4" spans="1:9" ht="30" customHeight="1" x14ac:dyDescent="0.3">
      <c r="A4" s="338" t="s">
        <v>2</v>
      </c>
      <c r="B4" s="340" t="s">
        <v>3</v>
      </c>
      <c r="C4" s="346" t="s">
        <v>289</v>
      </c>
      <c r="D4" s="347"/>
      <c r="E4" s="346" t="s">
        <v>296</v>
      </c>
      <c r="F4" s="347"/>
      <c r="G4" s="346" t="s">
        <v>297</v>
      </c>
      <c r="H4" s="347"/>
    </row>
    <row r="5" spans="1:9" ht="27.6" x14ac:dyDescent="0.3">
      <c r="A5" s="339"/>
      <c r="B5" s="339"/>
      <c r="C5" s="62" t="s">
        <v>287</v>
      </c>
      <c r="D5" s="62" t="s">
        <v>288</v>
      </c>
      <c r="E5" s="62" t="s">
        <v>287</v>
      </c>
      <c r="F5" s="62" t="s">
        <v>288</v>
      </c>
      <c r="G5" s="62" t="s">
        <v>287</v>
      </c>
      <c r="H5" s="62" t="s">
        <v>288</v>
      </c>
    </row>
    <row r="6" spans="1:9" x14ac:dyDescent="0.3">
      <c r="A6" s="54" t="s">
        <v>13</v>
      </c>
      <c r="B6" s="54" t="s">
        <v>93</v>
      </c>
      <c r="C6" s="412">
        <v>9540260.9986240491</v>
      </c>
      <c r="D6" s="412">
        <v>353965540.58551222</v>
      </c>
      <c r="E6" s="412">
        <v>9540260.9986240491</v>
      </c>
      <c r="F6" s="412">
        <v>176982770.29275611</v>
      </c>
      <c r="G6" s="412">
        <v>9540260.9986240491</v>
      </c>
      <c r="H6" s="412">
        <v>707931081.17102444</v>
      </c>
      <c r="I6" s="416" t="s">
        <v>290</v>
      </c>
    </row>
    <row r="7" spans="1:9" x14ac:dyDescent="0.3">
      <c r="A7" s="55" t="s">
        <v>170</v>
      </c>
      <c r="B7" s="55" t="s">
        <v>93</v>
      </c>
      <c r="C7" s="413">
        <v>24856488.201375954</v>
      </c>
      <c r="D7" s="413">
        <v>411347767.96748447</v>
      </c>
      <c r="E7" s="413">
        <v>24856488.201375954</v>
      </c>
      <c r="F7" s="413">
        <v>205673883.98374224</v>
      </c>
      <c r="G7" s="413">
        <v>24856488.201375954</v>
      </c>
      <c r="H7" s="413">
        <v>822695535.93496895</v>
      </c>
      <c r="I7" s="416" t="s">
        <v>290</v>
      </c>
    </row>
    <row r="8" spans="1:9" x14ac:dyDescent="0.3">
      <c r="A8" s="55" t="s">
        <v>104</v>
      </c>
      <c r="B8" s="55" t="s">
        <v>95</v>
      </c>
      <c r="C8" s="413">
        <v>3424244.4</v>
      </c>
      <c r="D8" s="413">
        <v>13139080.774025781</v>
      </c>
      <c r="E8" s="413">
        <v>3424244.4</v>
      </c>
      <c r="F8" s="413">
        <v>6569540.3870128905</v>
      </c>
      <c r="G8" s="413">
        <v>4635085.5320000006</v>
      </c>
      <c r="H8" s="413">
        <v>35570767.214361742</v>
      </c>
      <c r="I8" s="417" t="s">
        <v>291</v>
      </c>
    </row>
    <row r="9" spans="1:9" x14ac:dyDescent="0.3">
      <c r="A9" s="55" t="s">
        <v>104</v>
      </c>
      <c r="B9" s="55" t="s">
        <v>94</v>
      </c>
      <c r="C9" s="413">
        <v>3401441.5319999997</v>
      </c>
      <c r="D9" s="413">
        <v>2037051.8094706296</v>
      </c>
      <c r="E9" s="413">
        <v>3401441.5320000006</v>
      </c>
      <c r="F9" s="413">
        <v>1018525.9047353148</v>
      </c>
      <c r="G9" s="413">
        <v>3401441.5320000006</v>
      </c>
      <c r="H9" s="413">
        <v>4074103.6189412591</v>
      </c>
      <c r="I9" s="416" t="s">
        <v>290</v>
      </c>
    </row>
    <row r="10" spans="1:9" x14ac:dyDescent="0.3">
      <c r="A10" s="55" t="s">
        <v>104</v>
      </c>
      <c r="B10" s="55" t="s">
        <v>108</v>
      </c>
      <c r="C10" s="413">
        <v>49238768.427624755</v>
      </c>
      <c r="D10" s="413">
        <v>284337151.20246708</v>
      </c>
      <c r="E10" s="413">
        <v>47590037.390194021</v>
      </c>
      <c r="F10" s="413">
        <v>138729998.84973341</v>
      </c>
      <c r="G10" s="413">
        <v>54286824.829082109</v>
      </c>
      <c r="H10" s="413">
        <v>608946392.22494149</v>
      </c>
      <c r="I10" s="417" t="s">
        <v>292</v>
      </c>
    </row>
    <row r="11" spans="1:9" x14ac:dyDescent="0.3">
      <c r="A11" s="55" t="s">
        <v>104</v>
      </c>
      <c r="B11" s="55" t="s">
        <v>96</v>
      </c>
      <c r="C11" s="413">
        <v>8162992.5140422275</v>
      </c>
      <c r="D11" s="413">
        <v>38106494.265943013</v>
      </c>
      <c r="E11" s="413">
        <v>3114936</v>
      </c>
      <c r="F11" s="413">
        <v>7818438.6864528004</v>
      </c>
      <c r="G11" s="413">
        <v>8600882.4000000004</v>
      </c>
      <c r="H11" s="413">
        <v>79802434.439950988</v>
      </c>
      <c r="I11" s="417" t="s">
        <v>293</v>
      </c>
    </row>
    <row r="12" spans="1:9" x14ac:dyDescent="0.3">
      <c r="A12" s="55" t="s">
        <v>104</v>
      </c>
      <c r="B12" s="55" t="s">
        <v>177</v>
      </c>
      <c r="C12" s="413">
        <v>4304399.4000000004</v>
      </c>
      <c r="D12" s="413">
        <v>8002321.0391029678</v>
      </c>
      <c r="E12" s="413">
        <v>4304399.4000000004</v>
      </c>
      <c r="F12" s="413">
        <v>4001160.5195514839</v>
      </c>
      <c r="G12" s="413">
        <v>4304399.4000000004</v>
      </c>
      <c r="H12" s="413">
        <v>16004642.078205936</v>
      </c>
      <c r="I12" s="416" t="s">
        <v>294</v>
      </c>
    </row>
    <row r="13" spans="1:9" x14ac:dyDescent="0.3">
      <c r="A13" s="415" t="s">
        <v>104</v>
      </c>
      <c r="B13" s="415" t="s">
        <v>172</v>
      </c>
      <c r="C13" s="414">
        <v>14130000.000000002</v>
      </c>
      <c r="D13" s="414">
        <v>38088792.892893516</v>
      </c>
      <c r="E13" s="414">
        <v>14130000</v>
      </c>
      <c r="F13" s="414">
        <v>19044396.446446758</v>
      </c>
      <c r="G13" s="414">
        <v>14866009.011633867</v>
      </c>
      <c r="H13" s="414">
        <v>79861002.902095452</v>
      </c>
      <c r="I13" s="416" t="s">
        <v>295</v>
      </c>
    </row>
    <row r="14" spans="1:9" x14ac:dyDescent="0.3">
      <c r="C14" s="305"/>
      <c r="D14" s="305"/>
    </row>
  </sheetData>
  <mergeCells count="5">
    <mergeCell ref="A4:A5"/>
    <mergeCell ref="B4:B5"/>
    <mergeCell ref="C4:D4"/>
    <mergeCell ref="E4:F4"/>
    <mergeCell ref="G4:H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C7" sqref="C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48" t="s">
        <v>286</v>
      </c>
      <c r="C4" s="349"/>
      <c r="D4" s="349"/>
      <c r="E4" s="349"/>
      <c r="F4" s="349"/>
      <c r="G4" s="349"/>
      <c r="H4" s="349"/>
      <c r="I4" s="349"/>
    </row>
    <row r="5" spans="1:14" x14ac:dyDescent="0.3">
      <c r="A5" s="48" t="s">
        <v>79</v>
      </c>
      <c r="B5" s="1" t="s">
        <v>167</v>
      </c>
      <c r="E5" s="330" t="s">
        <v>50</v>
      </c>
      <c r="F5" s="331"/>
      <c r="G5" s="331"/>
      <c r="H5" s="331"/>
      <c r="I5" s="332"/>
    </row>
    <row r="6" spans="1:14" x14ac:dyDescent="0.3">
      <c r="A6" s="48" t="s">
        <v>80</v>
      </c>
      <c r="B6" s="1" t="s">
        <v>168</v>
      </c>
      <c r="E6" s="333" t="s">
        <v>51</v>
      </c>
      <c r="F6" s="334"/>
      <c r="G6" s="334"/>
      <c r="H6" s="334"/>
      <c r="I6" s="335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11784365.743668798</v>
      </c>
    </row>
    <row r="10" spans="1:14" ht="14.4" thickBot="1" x14ac:dyDescent="0.35">
      <c r="A10" s="50"/>
    </row>
    <row r="11" spans="1:14" ht="27.6" x14ac:dyDescent="0.3">
      <c r="A11" s="336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37"/>
      <c r="B12" s="80">
        <v>117058595.59999999</v>
      </c>
      <c r="C12" s="81">
        <f>1*B12 - 1</f>
        <v>117058594.59999999</v>
      </c>
      <c r="D12" s="82">
        <f>1*B12 + 1</f>
        <v>117058596.59999999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0.9</v>
      </c>
      <c r="H14" s="263">
        <v>1.1000000000000001</v>
      </c>
      <c r="I14" s="63" t="s">
        <v>98</v>
      </c>
      <c r="J14" s="63" t="s">
        <v>99</v>
      </c>
    </row>
    <row r="15" spans="1:14" ht="27.6" customHeight="1" x14ac:dyDescent="0.3">
      <c r="A15" s="338" t="s">
        <v>2</v>
      </c>
      <c r="B15" s="340" t="s">
        <v>3</v>
      </c>
      <c r="C15" s="340" t="s">
        <v>38</v>
      </c>
      <c r="D15" s="340" t="s">
        <v>169</v>
      </c>
      <c r="E15" s="344" t="s">
        <v>86</v>
      </c>
      <c r="F15" s="345"/>
      <c r="G15" s="346" t="s">
        <v>241</v>
      </c>
      <c r="H15" s="347"/>
      <c r="I15" s="346" t="s">
        <v>89</v>
      </c>
      <c r="J15" s="347"/>
      <c r="K15" s="344" t="s">
        <v>90</v>
      </c>
      <c r="L15" s="350"/>
      <c r="M15" s="350"/>
      <c r="N15" s="345"/>
    </row>
    <row r="16" spans="1:14" ht="27.6" x14ac:dyDescent="0.3">
      <c r="A16" s="339"/>
      <c r="B16" s="339"/>
      <c r="C16" s="339"/>
      <c r="D16" s="339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Notes'!D20</f>
        <v>5392349.1000000006</v>
      </c>
      <c r="H17" s="73">
        <f>'Case Notes'!E20</f>
        <v>9540260.9986240491</v>
      </c>
      <c r="I17" s="273">
        <v>9540260.9986240491</v>
      </c>
      <c r="J17" s="64">
        <f>JANSample!F9</f>
        <v>3650467.5160563109</v>
      </c>
      <c r="K17" s="58">
        <f>I17-E17</f>
        <v>3548761.9986240491</v>
      </c>
      <c r="L17" s="58">
        <f>J17-F17</f>
        <v>1339702.2372616134</v>
      </c>
      <c r="M17" s="59">
        <f>K17/E17</f>
        <v>0.59229952281124454</v>
      </c>
      <c r="N17" s="59">
        <f>L17/F17</f>
        <v>0.57976560819730094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Notes'!D21</f>
        <v>14049391.5</v>
      </c>
      <c r="H18" s="74">
        <f>'Case Notes'!E21</f>
        <v>24856488.201375954</v>
      </c>
      <c r="I18" s="274">
        <v>24856488.201375954</v>
      </c>
      <c r="J18" s="65">
        <f>JMTSample!F9</f>
        <v>4242253.8145483863</v>
      </c>
      <c r="K18" s="60">
        <f t="shared" ref="K18:L22" si="0">I18-E18</f>
        <v>9246053.2013759539</v>
      </c>
      <c r="L18" s="60">
        <f t="shared" si="0"/>
        <v>1579588.9661363326</v>
      </c>
      <c r="M18" s="61">
        <f t="shared" ref="M18:N25" si="1">K18/E18</f>
        <v>0.59229952281124476</v>
      </c>
      <c r="N18" s="61">
        <f t="shared" si="1"/>
        <v>0.5932361209779593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Notes'!D22</f>
        <v>3424244.4</v>
      </c>
      <c r="H19" s="74">
        <f>'Case Notes'!E22</f>
        <v>4635085.5320000006</v>
      </c>
      <c r="I19" s="274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Notes'!D23</f>
        <v>3401441.5320000001</v>
      </c>
      <c r="H20" s="74">
        <f>'Case Notes'!E23</f>
        <v>4884000</v>
      </c>
      <c r="I20" s="274">
        <v>3401441.5320000006</v>
      </c>
      <c r="J20" s="65">
        <f>JJMMF!F9</f>
        <v>21008.235566365256</v>
      </c>
      <c r="K20" s="60">
        <f t="shared" si="0"/>
        <v>-1038558.4679999994</v>
      </c>
      <c r="L20" s="60">
        <f t="shared" si="0"/>
        <v>-4680.9246257664017</v>
      </c>
      <c r="M20" s="61">
        <f t="shared" si="1"/>
        <v>-0.23390956486486472</v>
      </c>
      <c r="N20" s="61">
        <f t="shared" si="1"/>
        <v>-0.18221399963086857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Notes'!D24</f>
        <v>20658600</v>
      </c>
      <c r="H21" s="74">
        <f>'Case Notes'!E24</f>
        <v>59237226.400000006</v>
      </c>
      <c r="I21" s="274">
        <v>49238769.913408816</v>
      </c>
      <c r="J21" s="65">
        <f>JJHCC!F9</f>
        <v>2932385.8891206691</v>
      </c>
      <c r="K21" s="60">
        <f t="shared" si="0"/>
        <v>26284769.913408816</v>
      </c>
      <c r="L21" s="60">
        <f t="shared" si="0"/>
        <v>1336493.8747603062</v>
      </c>
      <c r="M21" s="61">
        <f t="shared" si="1"/>
        <v>1.1451062957832541</v>
      </c>
      <c r="N21" s="61">
        <f t="shared" si="1"/>
        <v>0.8374588397799434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Notes'!D25</f>
        <v>3114936</v>
      </c>
      <c r="H22" s="74">
        <f>'Case Notes'!E25</f>
        <v>8600882.4000000004</v>
      </c>
      <c r="I22" s="274">
        <v>8162990.9118469348</v>
      </c>
      <c r="J22" s="65">
        <f>JJMCM!F9</f>
        <v>392994.45677700365</v>
      </c>
      <c r="K22" s="60">
        <f t="shared" si="0"/>
        <v>344006.91184693482</v>
      </c>
      <c r="L22" s="60">
        <f t="shared" si="0"/>
        <v>14711.215641740768</v>
      </c>
      <c r="M22" s="61">
        <f t="shared" si="1"/>
        <v>4.3996369841265162E-2</v>
      </c>
      <c r="N22" s="61">
        <f t="shared" si="1"/>
        <v>3.8889419466723009E-2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>'Case Notes'!D26</f>
        <v>4304399.4000000004</v>
      </c>
      <c r="H23" s="74">
        <f>'Case Notes'!E26</f>
        <v>5260932.6000000006</v>
      </c>
      <c r="I23" s="274">
        <v>4304399.4000000004</v>
      </c>
      <c r="J23" s="65">
        <f>JJHCC_ACQ!F9</f>
        <v>82528.409285203234</v>
      </c>
      <c r="K23" s="60">
        <f t="shared" ref="K23:K24" si="2">I23-E23</f>
        <v>-478266.59999999963</v>
      </c>
      <c r="L23" s="60">
        <f t="shared" ref="L23:L24" si="3">J23-F23</f>
        <v>-8816.0052429876378</v>
      </c>
      <c r="M23" s="61">
        <f t="shared" ref="M23:M24" si="4">K23/E23</f>
        <v>-9.9999999999999922E-2</v>
      </c>
      <c r="N23" s="61">
        <f t="shared" ref="N23:N24" si="5">L23/F23</f>
        <v>-9.6513895113606835E-2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Notes'!D27</f>
        <v>14130000</v>
      </c>
      <c r="H24" s="74">
        <f>'Case Notes'!E27</f>
        <v>17270000</v>
      </c>
      <c r="I24" s="274">
        <v>14130000</v>
      </c>
      <c r="J24" s="65">
        <f>JJHCC_ADH!F9</f>
        <v>327223.30663997866</v>
      </c>
      <c r="K24" s="60">
        <f t="shared" si="2"/>
        <v>-1570000</v>
      </c>
      <c r="L24" s="60">
        <f t="shared" si="3"/>
        <v>-33609.430473422632</v>
      </c>
      <c r="M24" s="61">
        <f t="shared" si="4"/>
        <v>-0.1</v>
      </c>
      <c r="N24" s="61">
        <f t="shared" si="5"/>
        <v>-9.3144072076974477E-2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81102300</v>
      </c>
      <c r="F25" s="77">
        <f t="shared" si="6"/>
        <v>7576032.3955975948</v>
      </c>
      <c r="G25" s="76">
        <f t="shared" si="6"/>
        <v>68475361.932000011</v>
      </c>
      <c r="H25" s="76">
        <f t="shared" si="6"/>
        <v>134284876.132</v>
      </c>
      <c r="I25" s="83">
        <f t="shared" si="6"/>
        <v>117058595.35725576</v>
      </c>
      <c r="J25" s="275">
        <f t="shared" si="6"/>
        <v>11784365.743668798</v>
      </c>
      <c r="K25" s="76">
        <f>SUM(K17:K24)</f>
        <v>35956295.357255749</v>
      </c>
      <c r="L25" s="275">
        <f>SUM(L17:L24)</f>
        <v>4208333.3480712045</v>
      </c>
      <c r="M25" s="79">
        <f>K25/E25</f>
        <v>0.44334495269869967</v>
      </c>
      <c r="N25" s="79">
        <f t="shared" si="1"/>
        <v>0.55547985123673072</v>
      </c>
    </row>
    <row r="29" spans="1:14" s="256" customFormat="1" x14ac:dyDescent="0.3"/>
    <row r="30" spans="1:14" ht="55.2" x14ac:dyDescent="0.3">
      <c r="A30" s="329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29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41" t="s">
        <v>2</v>
      </c>
      <c r="B32" s="340" t="s">
        <v>3</v>
      </c>
      <c r="C32" s="340" t="str">
        <f t="shared" ref="C32:C42" si="7">D15</f>
        <v>Response Scaling Factor for Sensitivity Analysis</v>
      </c>
      <c r="D32" s="326" t="s">
        <v>86</v>
      </c>
      <c r="E32" s="327"/>
      <c r="F32" s="327"/>
      <c r="G32" s="328"/>
      <c r="H32" s="342" t="s">
        <v>89</v>
      </c>
      <c r="I32" s="343"/>
      <c r="J32" s="343"/>
      <c r="K32" s="326" t="s">
        <v>251</v>
      </c>
      <c r="L32" s="327"/>
      <c r="M32" s="327"/>
      <c r="N32" s="328"/>
    </row>
    <row r="33" spans="1:14" ht="74.400000000000006" customHeight="1" x14ac:dyDescent="0.3">
      <c r="A33" s="339"/>
      <c r="B33" s="339"/>
      <c r="C33" s="339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4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9540260.9986240491</v>
      </c>
      <c r="I34" s="268">
        <f>J17/$D$31</f>
        <v>316606.02914625424</v>
      </c>
      <c r="J34" s="279">
        <f>I34*$F$31</f>
        <v>353965540.58551222</v>
      </c>
      <c r="K34" s="266">
        <f>H34-D34</f>
        <v>3548761.9986240491</v>
      </c>
      <c r="L34" s="266">
        <f>J34-G34</f>
        <v>129903477.99293008</v>
      </c>
      <c r="M34" s="282">
        <f>K34/D34</f>
        <v>0.59229952281124454</v>
      </c>
      <c r="N34" s="283">
        <f>L34/G34</f>
        <v>0.57976560819730094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24856488.201375954</v>
      </c>
      <c r="I35" s="269">
        <f t="shared" ref="I35:I40" si="12">J18/$D$31</f>
        <v>367931.81392440473</v>
      </c>
      <c r="J35" s="280">
        <f t="shared" ref="J35:J40" si="13">I35*$F$31</f>
        <v>411347767.96748447</v>
      </c>
      <c r="K35" s="267">
        <f t="shared" ref="K35:K42" si="14">H35-D35</f>
        <v>9246053.2013759539</v>
      </c>
      <c r="L35" s="267">
        <f t="shared" ref="L35:L42" si="15">J35-G35</f>
        <v>153163960.46317604</v>
      </c>
      <c r="M35" s="284">
        <f t="shared" ref="M35:M42" si="16">K35/D35</f>
        <v>0.59229952281124476</v>
      </c>
      <c r="N35" s="285">
        <f t="shared" ref="N35:N42" si="17">L35/G35</f>
        <v>0.59323612097795919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3424244.4</v>
      </c>
      <c r="I36" s="269">
        <f t="shared" si="12"/>
        <v>11752.308384638445</v>
      </c>
      <c r="J36" s="280">
        <f t="shared" si="13"/>
        <v>13139080.774025781</v>
      </c>
      <c r="K36" s="267">
        <f t="shared" si="14"/>
        <v>-380471.60000000009</v>
      </c>
      <c r="L36" s="267">
        <f t="shared" si="15"/>
        <v>-1459953.3792048804</v>
      </c>
      <c r="M36" s="284">
        <f t="shared" si="16"/>
        <v>-0.10000000000000002</v>
      </c>
      <c r="N36" s="285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3401441.5320000006</v>
      </c>
      <c r="I37" s="269">
        <f t="shared" si="12"/>
        <v>1822.0499190256078</v>
      </c>
      <c r="J37" s="280">
        <f t="shared" si="13"/>
        <v>2037051.8094706296</v>
      </c>
      <c r="K37" s="267">
        <f t="shared" si="14"/>
        <v>-1038558.4679999994</v>
      </c>
      <c r="L37" s="267">
        <f t="shared" si="15"/>
        <v>-453883.23778029787</v>
      </c>
      <c r="M37" s="284">
        <f t="shared" si="16"/>
        <v>-0.23390956486486472</v>
      </c>
      <c r="N37" s="285">
        <f t="shared" si="17"/>
        <v>-0.18221399963086848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49238769.913408816</v>
      </c>
      <c r="I38" s="269">
        <f t="shared" si="12"/>
        <v>254326.61657594703</v>
      </c>
      <c r="J38" s="280">
        <f t="shared" si="13"/>
        <v>284337157.33190876</v>
      </c>
      <c r="K38" s="267">
        <f t="shared" si="14"/>
        <v>26284769.913408816</v>
      </c>
      <c r="L38" s="267">
        <f t="shared" si="15"/>
        <v>129592380.91778162</v>
      </c>
      <c r="M38" s="284">
        <f t="shared" si="16"/>
        <v>1.1451062957832541</v>
      </c>
      <c r="N38" s="285">
        <f t="shared" si="17"/>
        <v>0.83745883977994307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8162990.9118469348</v>
      </c>
      <c r="I39" s="269">
        <f t="shared" si="12"/>
        <v>34084.514898265712</v>
      </c>
      <c r="J39" s="280">
        <f t="shared" si="13"/>
        <v>38106487.656261064</v>
      </c>
      <c r="K39" s="267">
        <f t="shared" si="14"/>
        <v>344006.91184693482</v>
      </c>
      <c r="L39" s="267">
        <f t="shared" si="15"/>
        <v>1426464.7950968072</v>
      </c>
      <c r="M39" s="284">
        <f t="shared" si="16"/>
        <v>4.3996369841265162E-2</v>
      </c>
      <c r="N39" s="285">
        <f t="shared" si="17"/>
        <v>3.8889419466723037E-2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4782666</v>
      </c>
      <c r="E40" s="265" t="s">
        <v>185</v>
      </c>
      <c r="F40" s="269">
        <f t="shared" si="10"/>
        <v>7922.3256312394515</v>
      </c>
      <c r="G40" s="271">
        <f t="shared" si="11"/>
        <v>8857160.0557257067</v>
      </c>
      <c r="H40" s="277">
        <f t="shared" si="9"/>
        <v>4304399.4000000004</v>
      </c>
      <c r="I40" s="269">
        <f t="shared" si="12"/>
        <v>7157.711126210168</v>
      </c>
      <c r="J40" s="280">
        <f t="shared" si="13"/>
        <v>8002321.0391029678</v>
      </c>
      <c r="K40" s="267">
        <f t="shared" si="14"/>
        <v>-478266.59999999963</v>
      </c>
      <c r="L40" s="267">
        <f t="shared" si="15"/>
        <v>-854839.01662273891</v>
      </c>
      <c r="M40" s="284">
        <f t="shared" si="16"/>
        <v>-9.9999999999999922E-2</v>
      </c>
      <c r="N40" s="285">
        <f t="shared" si="17"/>
        <v>-9.6513895113606835E-2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14130000</v>
      </c>
      <c r="I41" s="269">
        <f>J24</f>
        <v>327223.30663997866</v>
      </c>
      <c r="J41" s="280">
        <f>I41*$I$31</f>
        <v>38088792.892893516</v>
      </c>
      <c r="K41" s="267">
        <f t="shared" si="14"/>
        <v>-1570000</v>
      </c>
      <c r="L41" s="267">
        <f t="shared" si="15"/>
        <v>-3912137.7071063891</v>
      </c>
      <c r="M41" s="284">
        <f t="shared" si="16"/>
        <v>-0.1</v>
      </c>
      <c r="N41" s="285">
        <f t="shared" si="17"/>
        <v>-9.3144072076974366E-2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117058595.35725576</v>
      </c>
      <c r="I42" s="77"/>
      <c r="J42" s="281">
        <f>SUM(J34:J41)</f>
        <v>1149024200.0566595</v>
      </c>
      <c r="K42" s="76">
        <f t="shared" si="14"/>
        <v>35956295.357255757</v>
      </c>
      <c r="L42" s="312">
        <f t="shared" si="15"/>
        <v>407405470.82827032</v>
      </c>
      <c r="M42" s="79">
        <f t="shared" si="16"/>
        <v>0.44334495269869978</v>
      </c>
      <c r="N42" s="286">
        <f t="shared" si="17"/>
        <v>0.5493462540410109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398285986.59784293</v>
      </c>
      <c r="K43" s="256"/>
      <c r="L43" s="289">
        <f>SUM(L34:L40)*$E$43 + (L41*$D$43)</f>
        <v>137735432.54019064</v>
      </c>
      <c r="M43" s="313">
        <f>L43/L42</f>
        <v>0.33807948690568496</v>
      </c>
      <c r="N43" s="290">
        <f>N42*(L43/L42)</f>
        <v>0.18572269969974503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450785653.52459973</v>
      </c>
      <c r="K44" s="256"/>
      <c r="L44" s="289">
        <f>SUM(L34:L40)*$E$44 + (L41*$D$44)</f>
        <v>158614283.98352796</v>
      </c>
      <c r="M44" s="313">
        <f>L44/L42</f>
        <v>0.38932782041698971</v>
      </c>
      <c r="N44" s="290">
        <f>N42*(L44/L42)</f>
        <v>0.2138757797400247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299952559.9342168</v>
      </c>
      <c r="K45" s="256"/>
      <c r="L45" s="289">
        <f>SUM(L34:L40)*$E$45 + (L41*$D$45)</f>
        <v>111055754.30455171</v>
      </c>
      <c r="M45" s="313">
        <f>L45/L42</f>
        <v>0.27259269267732528</v>
      </c>
      <c r="N45" s="290">
        <f>N42*(L45/L42)</f>
        <v>0.14974777460124114</v>
      </c>
    </row>
    <row r="46" spans="1:14" x14ac:dyDescent="0.3">
      <c r="D46" s="256" t="s">
        <v>184</v>
      </c>
      <c r="E46" s="256" t="s">
        <v>284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285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I15:J15"/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A32:A33"/>
    <mergeCell ref="B32:B33"/>
    <mergeCell ref="C32:C33"/>
    <mergeCell ref="D32:G32"/>
    <mergeCell ref="H32:J32"/>
    <mergeCell ref="E15:F15"/>
    <mergeCell ref="G15:H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10" workbookViewId="0">
      <selection activeCell="E20" sqref="E20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JJ_Optim_Scenario!G17</f>
        <v>5392349.1000000006</v>
      </c>
      <c r="C9" s="113">
        <f>JJ_Optim_Scenario!H17</f>
        <v>9540260.9986240491</v>
      </c>
      <c r="D9" s="114">
        <f>JJ_Optim_Scenario!I17</f>
        <v>9540260.9986240491</v>
      </c>
      <c r="E9" s="119">
        <f>($B$13*D9+$C$13*D9*D9)*$G$13</f>
        <v>316606.02914625418</v>
      </c>
      <c r="F9" s="85">
        <f>($E$13*D9+$F$13*D9*D9)*$G$13</f>
        <v>3650467.5160563109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I11" s="141"/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15000000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7" workbookViewId="0">
      <selection activeCell="E37" sqref="E37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JJ_Optim_Scenario!G18</f>
        <v>14049391.5</v>
      </c>
      <c r="C9" s="113">
        <f>JJ_Optim_Scenario!H18</f>
        <v>24856488.201375954</v>
      </c>
      <c r="D9" s="114">
        <f>JJ_Optim_Scenario!I18</f>
        <v>24856488.201375954</v>
      </c>
      <c r="E9" s="119">
        <f>($B$13*D9+$C$13*D9*D9)*$G$13</f>
        <v>367931.81392440468</v>
      </c>
      <c r="F9" s="85">
        <f>($E$13*D9+$F$13*D9*D9)*$G$13</f>
        <v>4242253.8145483863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40000000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B1" sqref="B1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4641896.9426420452</v>
      </c>
      <c r="G9" s="120">
        <v>21601934</v>
      </c>
      <c r="H9" s="121">
        <f>($B$13*G9+$C$13*G9*G9)*$G$13</f>
        <v>402592.96987355122</v>
      </c>
      <c r="I9" s="115">
        <f>($E$13*G9+$F$13*G9*G9)*$G$13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60000000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($B$13*A24+$C$13*A24*A24)*$G$13</f>
        <v>55854.365811933487</v>
      </c>
      <c r="C24" s="116">
        <f t="shared" ref="C24:C43" si="1">($E$13*A24+$F$13*A24*A24)*$G$13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/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JJ_Optim_Scenario!E19</f>
        <v>3804716</v>
      </c>
      <c r="C9" s="113">
        <f>JJ_Optim_Scenario!H19</f>
        <v>4635085.5320000006</v>
      </c>
      <c r="D9" s="114">
        <f>JJ_Optim_Scenario!I19</f>
        <v>3424244.4</v>
      </c>
      <c r="E9" s="119">
        <f>($B$13*D9+$C$13*D9*D9)*$G$13</f>
        <v>11752.308384638445</v>
      </c>
      <c r="F9" s="85">
        <f>($E$13*D9+$F$13*D9*D9)*$G$13</f>
        <v>135504.11567488126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10" workbookViewId="0">
      <selection activeCell="E22" sqref="E22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30" t="s">
        <v>105</v>
      </c>
      <c r="N2" s="331"/>
      <c r="O2" s="331"/>
      <c r="P2" s="331"/>
      <c r="Q2" s="331"/>
      <c r="R2" s="331"/>
      <c r="S2" s="332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33" t="s">
        <v>72</v>
      </c>
      <c r="N3" s="334"/>
      <c r="O3" s="334"/>
      <c r="P3" s="334"/>
      <c r="Q3" s="334"/>
      <c r="R3" s="334"/>
      <c r="S3" s="335"/>
    </row>
    <row r="4" spans="1:25" ht="15" customHeight="1" thickBot="1" x14ac:dyDescent="0.35">
      <c r="A4" s="29" t="s">
        <v>38</v>
      </c>
      <c r="B4" s="368" t="s">
        <v>57</v>
      </c>
      <c r="C4" s="369"/>
      <c r="D4" s="369"/>
      <c r="E4" s="369"/>
      <c r="F4" s="370"/>
    </row>
    <row r="6" spans="1:25" ht="14.4" thickBot="1" x14ac:dyDescent="0.35"/>
    <row r="7" spans="1:25" ht="27.6" customHeight="1" x14ac:dyDescent="0.3">
      <c r="A7" s="351" t="s">
        <v>8</v>
      </c>
      <c r="B7" s="354" t="s">
        <v>9</v>
      </c>
      <c r="C7" s="354"/>
      <c r="D7" s="354" t="s">
        <v>12</v>
      </c>
      <c r="E7" s="354"/>
      <c r="F7" s="354"/>
      <c r="G7" s="354" t="s">
        <v>143</v>
      </c>
      <c r="H7" s="354"/>
      <c r="I7" s="356"/>
      <c r="J7" s="372" t="s">
        <v>144</v>
      </c>
      <c r="K7" s="373"/>
      <c r="M7" s="383" t="s">
        <v>73</v>
      </c>
      <c r="N7" s="383"/>
      <c r="O7" s="383"/>
      <c r="P7" s="383"/>
      <c r="R7" s="47" t="s">
        <v>58</v>
      </c>
    </row>
    <row r="8" spans="1:25" ht="27.6" x14ac:dyDescent="0.3">
      <c r="A8" s="352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83"/>
      <c r="N8" s="383"/>
      <c r="O8" s="383"/>
      <c r="P8" s="383"/>
      <c r="R8" s="47" t="s">
        <v>59</v>
      </c>
    </row>
    <row r="9" spans="1:25" ht="14.4" thickBot="1" x14ac:dyDescent="0.35">
      <c r="A9" s="353"/>
      <c r="B9" s="112">
        <f>JJ_Optim_Scenario!G20</f>
        <v>3401441.5320000001</v>
      </c>
      <c r="C9" s="112">
        <f>JJ_Optim_Scenario!H20</f>
        <v>4884000</v>
      </c>
      <c r="D9" s="117">
        <f>JJ_Optim_Scenario!I20</f>
        <v>3401441.5320000006</v>
      </c>
      <c r="E9" s="118">
        <f>csplinePred($B$14:$B$20,$C$14:$C$20,$H$14:$O$20,D9)*$C$12</f>
        <v>1822.0499190256078</v>
      </c>
      <c r="F9" s="118">
        <f>E9*$C$11</f>
        <v>21008.235566365256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1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3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1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74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2"/>
      <c r="B14" s="125">
        <v>0</v>
      </c>
      <c r="C14" s="127">
        <v>0</v>
      </c>
      <c r="D14" s="133">
        <f>C14*$C$11</f>
        <v>0</v>
      </c>
      <c r="E14" s="130"/>
      <c r="G14" s="375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2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75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2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75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2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75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2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75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2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75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3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76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77" t="s">
        <v>74</v>
      </c>
      <c r="B21" s="378"/>
      <c r="C21" s="379"/>
      <c r="D21" s="33"/>
      <c r="G21" s="359" t="s">
        <v>75</v>
      </c>
      <c r="H21" s="359"/>
      <c r="I21" s="359"/>
      <c r="J21" s="359"/>
      <c r="K21" s="359"/>
      <c r="L21" s="359"/>
      <c r="M21" s="359"/>
      <c r="N21" s="359"/>
      <c r="O21" s="359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0"/>
      <c r="B22" s="381"/>
      <c r="C22" s="382"/>
      <c r="D22" s="33"/>
      <c r="G22" s="359"/>
      <c r="H22" s="359"/>
      <c r="I22" s="359"/>
      <c r="J22" s="359"/>
      <c r="K22" s="359"/>
      <c r="L22" s="359"/>
      <c r="M22" s="359"/>
      <c r="N22" s="359"/>
      <c r="O22" s="359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1"/>
      <c r="B26" s="103">
        <v>0</v>
      </c>
      <c r="C26" s="103">
        <v>20000000</v>
      </c>
      <c r="D26" s="26">
        <v>20</v>
      </c>
    </row>
    <row r="28" spans="1:25" x14ac:dyDescent="0.3">
      <c r="A28" s="329" t="s">
        <v>37</v>
      </c>
      <c r="B28" s="329"/>
      <c r="C28" s="329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E17" sqref="E17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JJ_Optim_Scenario!G21</f>
        <v>20658600</v>
      </c>
      <c r="C9" s="80">
        <f>JJ_Optim_Scenario!H21</f>
        <v>59237226.400000006</v>
      </c>
      <c r="D9" s="95">
        <f>JJ_Optim_Scenario!I21</f>
        <v>49238769.913408816</v>
      </c>
      <c r="E9" s="118">
        <f>((($R$12/(1+EXP($P$12+$Q$12*D9)))-1) - ($F$12-$C$12))*$I$12</f>
        <v>254326.61657594703</v>
      </c>
      <c r="F9" s="145">
        <f>E9*$G$12</f>
        <v>2932385.8891206691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6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60000000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/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JJ_Optim_Scenario!G22</f>
        <v>3114936</v>
      </c>
      <c r="C9" s="80">
        <f>JJ_Optim_Scenario!H22</f>
        <v>8600882.4000000004</v>
      </c>
      <c r="D9" s="95">
        <f>JJ_Optim_Scenario!I22</f>
        <v>8162990.9118469348</v>
      </c>
      <c r="E9" s="118">
        <f>((($R$12/(1+EXP($P$12+$Q$12*D9)))-1) - ($F$12-$C$12))*$I$12</f>
        <v>34084.514898265712</v>
      </c>
      <c r="F9" s="145">
        <f>E9*$G$12</f>
        <v>392994.45677700365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6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30000000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JJ_Optim_Scenario!G23</f>
        <v>4304399.4000000004</v>
      </c>
      <c r="C9" s="80">
        <f>JJ_Optim_Scenario!H23</f>
        <v>5260932.6000000006</v>
      </c>
      <c r="D9" s="95">
        <f>JJ_Optim_Scenario!I23</f>
        <v>4304399.4000000004</v>
      </c>
      <c r="E9" s="118">
        <f>((($R$12/(1+EXP($P$12+$Q$12*D9)))-1) - ($F$12-$C$12))*$I$12</f>
        <v>7157.711126210168</v>
      </c>
      <c r="F9" s="145">
        <f>E9*$G$12</f>
        <v>82528.409285203234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61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20000000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JJ_Optim_Scenario!G24</f>
        <v>14130000</v>
      </c>
      <c r="C9" s="184">
        <f>JJ_Optim_Scenario!H24</f>
        <v>17270000</v>
      </c>
      <c r="D9" s="184">
        <f>JJ_Optim_Scenario!I24</f>
        <v>14130000</v>
      </c>
      <c r="E9" s="118">
        <f>((($R$12/(1+EXP($P$12+$Q$12*D9)))-1) - ($F$12-$C$12))*$I$12</f>
        <v>327223.30663997866</v>
      </c>
      <c r="F9" s="145">
        <f>E9*$G$12</f>
        <v>327223.30663997866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61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50000000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2" ht="14.4" thickBot="1" x14ac:dyDescent="0.35">
      <c r="A4" s="29" t="s">
        <v>38</v>
      </c>
      <c r="B4" s="392" t="s">
        <v>39</v>
      </c>
      <c r="C4" s="392"/>
      <c r="D4" s="393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1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3"/>
      <c r="B12" s="12">
        <v>20</v>
      </c>
      <c r="C12" s="12">
        <v>30</v>
      </c>
      <c r="D12" s="12">
        <v>0</v>
      </c>
      <c r="E12" s="14">
        <v>70</v>
      </c>
      <c r="G12" s="35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84" t="s">
        <v>30</v>
      </c>
      <c r="B13" s="385"/>
      <c r="C13" s="385"/>
      <c r="D13" s="385"/>
      <c r="E13" s="386"/>
      <c r="G13" s="394" t="s">
        <v>29</v>
      </c>
      <c r="H13" s="395"/>
      <c r="I13" s="395"/>
      <c r="J13" s="396"/>
    </row>
    <row r="14" spans="1:12" ht="33.6" customHeight="1" x14ac:dyDescent="0.3">
      <c r="A14" s="380"/>
      <c r="B14" s="381"/>
      <c r="C14" s="381"/>
      <c r="D14" s="381"/>
      <c r="E14" s="382"/>
      <c r="G14" s="397"/>
      <c r="H14" s="398"/>
      <c r="I14" s="398"/>
      <c r="J14" s="399"/>
    </row>
    <row r="16" spans="1:12" ht="14.4" thickBot="1" x14ac:dyDescent="0.35"/>
    <row r="17" spans="1:4" ht="16.8" customHeight="1" x14ac:dyDescent="0.3">
      <c r="A17" s="36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1"/>
      <c r="B18" s="12">
        <v>0</v>
      </c>
      <c r="C18" s="12">
        <v>100</v>
      </c>
      <c r="D18" s="26">
        <v>20</v>
      </c>
    </row>
    <row r="20" spans="1:4" x14ac:dyDescent="0.3">
      <c r="A20" s="329" t="s">
        <v>37</v>
      </c>
      <c r="B20" s="329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2" ht="31.8" customHeight="1" thickBot="1" x14ac:dyDescent="0.35">
      <c r="A4" s="29" t="s">
        <v>38</v>
      </c>
      <c r="B4" s="404" t="s">
        <v>41</v>
      </c>
      <c r="C4" s="405"/>
      <c r="D4" s="406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H7" s="1" t="s">
        <v>54</v>
      </c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1" t="s">
        <v>42</v>
      </c>
      <c r="B11" s="338" t="s">
        <v>47</v>
      </c>
      <c r="C11" s="401" t="s">
        <v>46</v>
      </c>
      <c r="D11" s="390"/>
      <c r="E11" s="390"/>
      <c r="F11" s="3" t="s">
        <v>48</v>
      </c>
      <c r="G11" s="33"/>
      <c r="H11" s="32"/>
      <c r="I11" s="32"/>
      <c r="J11" s="32"/>
    </row>
    <row r="12" spans="1:12" x14ac:dyDescent="0.3">
      <c r="A12" s="402"/>
      <c r="B12" s="33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9" t="s">
        <v>52</v>
      </c>
      <c r="B14" s="359"/>
      <c r="C14" s="359"/>
      <c r="D14" s="359"/>
      <c r="E14" s="359"/>
      <c r="F14" s="359"/>
      <c r="G14" s="38"/>
      <c r="H14" s="39"/>
      <c r="I14" s="39"/>
      <c r="J14" s="39"/>
    </row>
    <row r="15" spans="1:12" ht="30.6" customHeight="1" x14ac:dyDescent="0.3">
      <c r="A15" s="359"/>
      <c r="B15" s="359"/>
      <c r="C15" s="359"/>
      <c r="D15" s="359"/>
      <c r="E15" s="359"/>
      <c r="F15" s="359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1"/>
      <c r="B19" s="12">
        <v>0</v>
      </c>
      <c r="C19" s="12">
        <v>20000000</v>
      </c>
      <c r="D19" s="26">
        <v>20</v>
      </c>
    </row>
    <row r="21" spans="1:4" x14ac:dyDescent="0.3">
      <c r="A21" s="329" t="s">
        <v>37</v>
      </c>
      <c r="B21" s="329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4" ht="14.4" thickBot="1" x14ac:dyDescent="0.35">
      <c r="A4" s="29" t="s">
        <v>38</v>
      </c>
      <c r="B4" s="392" t="s">
        <v>57</v>
      </c>
      <c r="C4" s="392"/>
      <c r="D4" s="393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I7" s="383" t="s">
        <v>73</v>
      </c>
      <c r="J7" s="383"/>
      <c r="K7" s="383"/>
      <c r="L7" s="383"/>
      <c r="N7" s="47" t="s">
        <v>58</v>
      </c>
    </row>
    <row r="8" spans="1:14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83"/>
      <c r="J8" s="383"/>
      <c r="K8" s="383"/>
      <c r="L8" s="383"/>
      <c r="N8" s="47" t="s">
        <v>59</v>
      </c>
    </row>
    <row r="9" spans="1:14" ht="14.4" thickBot="1" x14ac:dyDescent="0.35">
      <c r="A9" s="35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29" t="s">
        <v>60</v>
      </c>
      <c r="B11" s="3" t="s">
        <v>61</v>
      </c>
      <c r="C11" s="3" t="s">
        <v>62</v>
      </c>
      <c r="D11" s="32"/>
      <c r="E11" s="37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29"/>
      <c r="B12" s="41">
        <v>0</v>
      </c>
      <c r="C12" s="41">
        <v>0</v>
      </c>
      <c r="D12" s="32"/>
      <c r="E12" s="37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29"/>
      <c r="B13" s="41">
        <v>1</v>
      </c>
      <c r="C13" s="41">
        <v>0.75</v>
      </c>
      <c r="D13" s="32"/>
      <c r="E13" s="37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29"/>
      <c r="B14" s="41">
        <v>2</v>
      </c>
      <c r="C14" s="41">
        <v>0</v>
      </c>
      <c r="D14" s="32"/>
      <c r="E14" s="37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29"/>
      <c r="B15" s="41">
        <v>3</v>
      </c>
      <c r="C15" s="41">
        <v>-1</v>
      </c>
      <c r="D15" s="32"/>
      <c r="E15" s="37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29"/>
      <c r="B16" s="41">
        <v>4</v>
      </c>
      <c r="C16" s="41">
        <v>3</v>
      </c>
      <c r="D16" s="32"/>
      <c r="E16" s="37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29"/>
      <c r="B17" s="42">
        <v>5</v>
      </c>
      <c r="C17" s="42">
        <v>3</v>
      </c>
      <c r="D17" s="40"/>
      <c r="E17" s="37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07" t="s">
        <v>74</v>
      </c>
      <c r="B18" s="408"/>
      <c r="C18" s="409"/>
      <c r="D18" s="33"/>
      <c r="E18" s="359" t="s">
        <v>75</v>
      </c>
      <c r="F18" s="359"/>
      <c r="G18" s="359"/>
      <c r="H18" s="359"/>
      <c r="I18" s="359"/>
      <c r="J18" s="359"/>
      <c r="K18" s="359"/>
      <c r="L18" s="359"/>
      <c r="M18" s="359"/>
    </row>
    <row r="19" spans="1:13" ht="35.4" customHeight="1" x14ac:dyDescent="0.3">
      <c r="A19" s="380"/>
      <c r="B19" s="381"/>
      <c r="C19" s="382"/>
      <c r="D19" s="33"/>
      <c r="E19" s="359"/>
      <c r="F19" s="359"/>
      <c r="G19" s="359"/>
      <c r="H19" s="359"/>
      <c r="I19" s="359"/>
      <c r="J19" s="359"/>
      <c r="K19" s="359"/>
      <c r="L19" s="359"/>
      <c r="M19" s="359"/>
    </row>
    <row r="21" spans="1:13" ht="14.4" thickBot="1" x14ac:dyDescent="0.35"/>
    <row r="22" spans="1:13" ht="16.8" customHeight="1" x14ac:dyDescent="0.3">
      <c r="A22" s="36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1"/>
      <c r="B23" s="12">
        <v>0</v>
      </c>
      <c r="C23" s="12">
        <v>5</v>
      </c>
      <c r="D23" s="26">
        <v>20</v>
      </c>
    </row>
    <row r="25" spans="1:13" x14ac:dyDescent="0.3">
      <c r="A25" s="329" t="s">
        <v>37</v>
      </c>
      <c r="B25" s="329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0" t="s">
        <v>111</v>
      </c>
      <c r="C4" s="410"/>
      <c r="D4" s="410"/>
      <c r="E4" s="410"/>
      <c r="F4" s="41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5" ht="27.6" x14ac:dyDescent="0.3">
      <c r="A8" s="352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3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1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84" t="s">
        <v>119</v>
      </c>
      <c r="B13" s="385"/>
      <c r="C13" s="385"/>
      <c r="D13" s="385"/>
      <c r="E13" s="385"/>
      <c r="F13" s="386"/>
      <c r="H13" s="384" t="s">
        <v>120</v>
      </c>
      <c r="I13" s="385"/>
      <c r="J13" s="385"/>
      <c r="K13" s="385"/>
      <c r="L13" s="385"/>
      <c r="M13" s="385"/>
      <c r="N13" s="385"/>
      <c r="O13" s="386"/>
    </row>
    <row r="14" spans="1:15" ht="33.6" customHeight="1" x14ac:dyDescent="0.3">
      <c r="A14" s="380"/>
      <c r="B14" s="381"/>
      <c r="C14" s="381"/>
      <c r="D14" s="381"/>
      <c r="E14" s="381"/>
      <c r="F14" s="382"/>
      <c r="H14" s="380"/>
      <c r="I14" s="381"/>
      <c r="J14" s="381"/>
      <c r="K14" s="381"/>
      <c r="L14" s="381"/>
      <c r="M14" s="381"/>
      <c r="N14" s="381"/>
      <c r="O14" s="382"/>
    </row>
    <row r="16" spans="1:15" ht="14.4" thickBot="1" x14ac:dyDescent="0.35"/>
    <row r="17" spans="1:4" ht="16.8" customHeight="1" x14ac:dyDescent="0.3">
      <c r="A17" s="36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1"/>
      <c r="B18" s="102">
        <v>0</v>
      </c>
      <c r="C18" s="103">
        <v>200000000</v>
      </c>
      <c r="D18" s="26">
        <v>20</v>
      </c>
    </row>
    <row r="20" spans="1:4" x14ac:dyDescent="0.3">
      <c r="A20" s="329" t="s">
        <v>37</v>
      </c>
      <c r="B20" s="329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Charts - Idvl</vt:lpstr>
      <vt:lpstr>Chart - Combined</vt:lpstr>
      <vt:lpstr>JJ_Notes_1</vt:lpstr>
      <vt:lpstr>Case Notes</vt:lpstr>
      <vt:lpstr>Sensitivity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2013-04-17T19:53:29Z</dcterms:modified>
</cp:coreProperties>
</file>