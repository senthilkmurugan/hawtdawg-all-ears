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activeTab="4"/>
  </bookViews>
  <sheets>
    <sheet name="Charts - Idvl" sheetId="35" r:id="rId1"/>
    <sheet name="Charts - Idvl IRev" sheetId="38" r:id="rId2"/>
    <sheet name="Chart - Combined" sheetId="36" r:id="rId3"/>
    <sheet name="JJ_Notes_1" sheetId="24" r:id="rId4"/>
    <sheet name="JJ_Notes_2" sheetId="39" r:id="rId5"/>
    <sheet name="Case Notes" sheetId="37" r:id="rId6"/>
    <sheet name="JJ_Optim_Scenario" sheetId="23" r:id="rId7"/>
    <sheet name="JANSample" sheetId="25" r:id="rId8"/>
    <sheet name="JMTSample" sheetId="26" r:id="rId9"/>
    <sheet name="TOTSample" sheetId="27" r:id="rId10"/>
    <sheet name="JJVCH" sheetId="29" r:id="rId11"/>
    <sheet name="JJMMF" sheetId="30" r:id="rId12"/>
    <sheet name="JJHCC" sheetId="31" r:id="rId13"/>
    <sheet name="JJMCM" sheetId="32" r:id="rId14"/>
    <sheet name="JJHCC_ACQ" sheetId="33" r:id="rId15"/>
    <sheet name="JJHCC_ADH" sheetId="34" r:id="rId16"/>
    <sheet name="Fn.Templates ==&gt;" sheetId="3" r:id="rId17"/>
    <sheet name="FT_SCurveEst" sheetId="2" r:id="rId18"/>
    <sheet name="FT_Equation" sheetId="4" r:id="rId19"/>
    <sheet name="FT_Interpolate" sheetId="5" r:id="rId20"/>
    <sheet name="FT_SCurve3Est" sheetId="13" r:id="rId21"/>
  </sheets>
  <functionGroups builtInGroupCount="17"/>
  <externalReferences>
    <externalReference r:id="rId22"/>
  </externalReferences>
  <definedNames>
    <definedName name="_xlnm.Print_Area" localSheetId="3">JJ_Notes_1!$A$70:$J$75</definedName>
    <definedName name="solver_adj" localSheetId="6" hidden="1">JJ_Optim_Scenario!$I$17:$I$24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JJ_Optim_Scenario!$I$17:$I$24</definedName>
    <definedName name="solver_lhs2" localSheetId="6" hidden="1">JJ_Optim_Scenario!$I$17:$I$24</definedName>
    <definedName name="solver_lhs3" localSheetId="6" hidden="1">JJ_Optim_Scenario!$I$25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3</definedName>
    <definedName name="solver_nwt" localSheetId="6" hidden="1">1</definedName>
    <definedName name="solver_opt" localSheetId="6" hidden="1">JJ_Optim_Scenario!$B$9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el2" localSheetId="6" hidden="1">3</definedName>
    <definedName name="solver_rel3" localSheetId="6" hidden="1">2</definedName>
    <definedName name="solver_rhs1" localSheetId="6" hidden="1">JJ_Optim_Scenario!$H$17:$H$24</definedName>
    <definedName name="solver_rhs2" localSheetId="6" hidden="1">JJ_Optim_Scenario!$G$17:$G$24</definedName>
    <definedName name="solver_rhs3" localSheetId="6" hidden="1">JJ_Optim_Scenario!$B$12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E19" i="37" l="1"/>
  <c r="D19" i="37"/>
  <c r="E18" i="37"/>
  <c r="E17" i="37"/>
  <c r="D17" i="37"/>
  <c r="D18" i="37"/>
  <c r="G12" i="39"/>
  <c r="F12" i="39"/>
  <c r="E12" i="39"/>
  <c r="G8" i="39"/>
  <c r="F8" i="39"/>
  <c r="E8" i="39"/>
  <c r="D11" i="39"/>
  <c r="C11" i="39"/>
  <c r="B11" i="39"/>
  <c r="F6" i="39"/>
  <c r="G6" i="39"/>
  <c r="E6" i="39"/>
  <c r="D24" i="37" l="1"/>
  <c r="D22" i="37"/>
  <c r="E22" i="37"/>
  <c r="D21" i="37"/>
  <c r="D20" i="37"/>
  <c r="C19" i="37"/>
  <c r="C20" i="37"/>
  <c r="E20" i="37" s="1"/>
  <c r="G74" i="24"/>
  <c r="G75" i="24"/>
  <c r="G73" i="24"/>
  <c r="D74" i="24"/>
  <c r="D75" i="24"/>
  <c r="D73" i="24"/>
  <c r="G13" i="37"/>
  <c r="C24" i="37" l="1"/>
  <c r="E24" i="37" s="1"/>
  <c r="C23" i="37"/>
  <c r="E23" i="37" s="1"/>
  <c r="C22" i="37"/>
  <c r="C21" i="37"/>
  <c r="E21" i="37" s="1"/>
  <c r="B25" i="37"/>
  <c r="C25" i="37"/>
  <c r="D23" i="37"/>
  <c r="G54" i="24"/>
  <c r="C26" i="37" l="1"/>
  <c r="C27" i="37"/>
  <c r="D25" i="37"/>
  <c r="E25" i="37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22" i="34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22" i="3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H42" i="23" l="1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J17" i="23" s="1"/>
  <c r="I34" i="23" s="1"/>
  <c r="J34" i="23" s="1"/>
  <c r="E9" i="25"/>
  <c r="A24" i="25"/>
  <c r="A25" i="25" s="1"/>
  <c r="A23" i="25"/>
  <c r="K22" i="23"/>
  <c r="K21" i="23"/>
  <c r="K20" i="23"/>
  <c r="K19" i="23"/>
  <c r="K18" i="23"/>
  <c r="K17" i="23"/>
  <c r="H14" i="30" a="1"/>
  <c r="K25" i="23" l="1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C22" i="34" s="1"/>
  <c r="E9" i="34"/>
  <c r="F9" i="34" s="1"/>
  <c r="J24" i="23" s="1"/>
  <c r="I41" i="23" s="1"/>
  <c r="J41" i="23" s="1"/>
  <c r="H9" i="34"/>
  <c r="I9" i="34" s="1"/>
  <c r="C22" i="33"/>
  <c r="F9" i="33"/>
  <c r="J23" i="23" s="1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1" i="30"/>
  <c r="B30" i="30"/>
  <c r="B32" i="30"/>
  <c r="H9" i="30"/>
  <c r="E9" i="30"/>
  <c r="D32" i="30" l="1"/>
  <c r="D30" i="30"/>
  <c r="D31" i="30"/>
  <c r="L21" i="23"/>
  <c r="N21" i="23" s="1"/>
  <c r="I40" i="23"/>
  <c r="J40" i="23" s="1"/>
  <c r="L40" i="23" s="1"/>
  <c r="N40" i="23" s="1"/>
  <c r="L23" i="23"/>
  <c r="N23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D33" i="30" l="1"/>
  <c r="J43" i="23"/>
  <c r="J45" i="23"/>
  <c r="J44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D34" i="30" l="1"/>
  <c r="F37" i="23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D35" i="30" l="1"/>
  <c r="G44" i="23"/>
  <c r="G45" i="23"/>
  <c r="G43" i="23"/>
  <c r="N20" i="23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D36" i="30" l="1"/>
  <c r="N37" i="23"/>
  <c r="L43" i="23"/>
  <c r="L45" i="23"/>
  <c r="L44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5" i="23"/>
  <c r="M44" i="23"/>
  <c r="M43" i="23"/>
  <c r="N42" i="23"/>
  <c r="N44" i="23" s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B38" i="30"/>
  <c r="F12" i="5" a="1"/>
  <c r="N45" i="23" l="1"/>
  <c r="N43" i="23"/>
  <c r="D38" i="30"/>
  <c r="B9" i="23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1" i="5"/>
  <c r="B40" i="5"/>
  <c r="B29" i="5"/>
  <c r="B35" i="5"/>
  <c r="B27" i="5"/>
  <c r="B38" i="5"/>
  <c r="B44" i="5"/>
  <c r="E9" i="5"/>
  <c r="B36" i="5"/>
  <c r="B28" i="5"/>
  <c r="B41" i="5"/>
  <c r="B45" i="5"/>
  <c r="B43" i="5"/>
  <c r="B42" i="5"/>
  <c r="B37" i="5"/>
  <c r="B39" i="5"/>
  <c r="B46" i="5"/>
  <c r="B47" i="5"/>
  <c r="B34" i="5"/>
  <c r="B39" i="30"/>
  <c r="B33" i="5"/>
  <c r="B30" i="5"/>
  <c r="B32" i="5"/>
  <c r="D39" i="30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B34" i="29"/>
  <c r="A35" i="29"/>
  <c r="C34" i="29"/>
  <c r="B34" i="27"/>
  <c r="A35" i="27"/>
  <c r="C34" i="27"/>
  <c r="C32" i="26"/>
  <c r="B32" i="26"/>
  <c r="A33" i="26"/>
  <c r="A35" i="25"/>
  <c r="B41" i="30"/>
  <c r="D41" i="30" l="1"/>
  <c r="C41" i="30"/>
  <c r="A42" i="30"/>
  <c r="C35" i="29"/>
  <c r="B35" i="29"/>
  <c r="A36" i="29"/>
  <c r="C35" i="27"/>
  <c r="B35" i="27"/>
  <c r="A36" i="27"/>
  <c r="A34" i="26"/>
  <c r="C33" i="26"/>
  <c r="B33" i="26"/>
  <c r="A36" i="25"/>
  <c r="B42" i="30"/>
  <c r="D42" i="30" l="1"/>
  <c r="C42" i="30"/>
  <c r="A43" i="30"/>
  <c r="A37" i="29"/>
  <c r="C36" i="29"/>
  <c r="B36" i="29"/>
  <c r="A37" i="27"/>
  <c r="C36" i="27"/>
  <c r="B36" i="27"/>
  <c r="A35" i="26"/>
  <c r="C34" i="26"/>
  <c r="B34" i="26"/>
  <c r="A37" i="25"/>
  <c r="B43" i="30"/>
  <c r="D43" i="30" l="1"/>
  <c r="C43" i="30"/>
  <c r="A44" i="30"/>
  <c r="A38" i="29"/>
  <c r="C37" i="29"/>
  <c r="B37" i="29"/>
  <c r="A38" i="27"/>
  <c r="C37" i="27"/>
  <c r="B37" i="27"/>
  <c r="B35" i="26"/>
  <c r="A36" i="26"/>
  <c r="C35" i="26"/>
  <c r="A38" i="25"/>
  <c r="B44" i="30"/>
  <c r="D44" i="30" l="1"/>
  <c r="C44" i="30"/>
  <c r="A45" i="30"/>
  <c r="B38" i="29"/>
  <c r="A39" i="29"/>
  <c r="C38" i="29"/>
  <c r="B38" i="27"/>
  <c r="A39" i="27"/>
  <c r="C38" i="27"/>
  <c r="C36" i="26"/>
  <c r="B36" i="26"/>
  <c r="A37" i="26"/>
  <c r="A39" i="25"/>
  <c r="B45" i="30"/>
  <c r="D45" i="30" l="1"/>
  <c r="C45" i="30"/>
  <c r="A46" i="30"/>
  <c r="C39" i="29"/>
  <c r="B39" i="29"/>
  <c r="A40" i="29"/>
  <c r="C39" i="27"/>
  <c r="B39" i="27"/>
  <c r="A40" i="27"/>
  <c r="A38" i="26"/>
  <c r="C37" i="26"/>
  <c r="B37" i="26"/>
  <c r="A40" i="25"/>
  <c r="B46" i="30"/>
  <c r="D46" i="30" l="1"/>
  <c r="C46" i="30"/>
  <c r="A47" i="30"/>
  <c r="A41" i="29"/>
  <c r="C40" i="29"/>
  <c r="B40" i="29"/>
  <c r="A41" i="27"/>
  <c r="C40" i="27"/>
  <c r="B40" i="27"/>
  <c r="A39" i="26"/>
  <c r="C38" i="26"/>
  <c r="B38" i="26"/>
  <c r="A41" i="25"/>
  <c r="B47" i="30"/>
  <c r="D47" i="30" l="1"/>
  <c r="C47" i="30"/>
  <c r="A48" i="30"/>
  <c r="A42" i="29"/>
  <c r="C41" i="29"/>
  <c r="B41" i="29"/>
  <c r="A42" i="27"/>
  <c r="C41" i="27"/>
  <c r="B41" i="27"/>
  <c r="B39" i="26"/>
  <c r="A40" i="26"/>
  <c r="C39" i="26"/>
  <c r="A42" i="25"/>
  <c r="B48" i="30"/>
  <c r="D48" i="30" l="1"/>
  <c r="C48" i="30"/>
  <c r="A49" i="30"/>
  <c r="B42" i="29"/>
  <c r="A43" i="29"/>
  <c r="C42" i="29"/>
  <c r="B42" i="27"/>
  <c r="A43" i="27"/>
  <c r="C42" i="27"/>
  <c r="C40" i="26"/>
  <c r="B40" i="26"/>
  <c r="A41" i="26"/>
  <c r="A43" i="25"/>
  <c r="B49" i="30"/>
  <c r="D49" i="30" l="1"/>
  <c r="C49" i="30"/>
  <c r="A50" i="30"/>
  <c r="C43" i="29"/>
  <c r="B43" i="29"/>
  <c r="C43" i="27"/>
  <c r="B43" i="27"/>
  <c r="A42" i="26"/>
  <c r="C41" i="26"/>
  <c r="B41" i="26"/>
  <c r="B50" i="30"/>
  <c r="D50" i="30" l="1"/>
  <c r="C50" i="30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<sst xmlns="http://schemas.openxmlformats.org/spreadsheetml/2006/main" count="1121" uniqueCount="319">
  <si>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</si>
  <si>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</si>
  <si>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</si>
  <si>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</si>
  <si>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</si>
  <si>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</si>
  <si>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</si>
  <si>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</si>
  <si>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</si>
  <si>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</si>
  <si>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</si>
  <si>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</si>
  <si>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</si>
  <si>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</si>
  <si>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</si>
  <si>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</si>
  <si>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</si>
  <si>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</si>
  <si>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</si>
  <si>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</si>
  <si>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</si>
  <si>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</si>
  <si>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</si>
  <si>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</si>
  <si>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</si>
  <si>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</si>
  <si>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</si>
  <si>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</si>
  <si>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</si>
  <si>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</si>
  <si>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</si>
  <si>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</si>
  <si>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</si>
  <si>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</si>
  <si>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</si>
  <si>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</si>
  <si>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</si>
  <si>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</si>
  <si>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</si>
  <si>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</si>
  <si>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</si>
  <si>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</si>
  <si>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</si>
  <si>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</si>
  <si>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</si>
  <si>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</si>
  <si>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</si>
  <si>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</si>
  <si>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</si>
  <si>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</si>
  <si>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</si>
  <si>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</si>
  <si>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</si>
  <si>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</si>
  <si>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</si>
  <si>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</si>
  <si>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</si>
  <si>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</si>
  <si>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</si>
  <si>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</si>
  <si>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</si>
  <si>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</si>
  <si>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</si>
  <si>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</si>
  <si>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</si>
  <si>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</si>
  <si>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</si>
  <si>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</si>
  <si>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</si>
  <si>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</si>
  <si>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</si>
  <si>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</si>
  <si>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</si>
  <si>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</si>
  <si>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</si>
  <si>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</si>
  <si>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</si>
  <si>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</si>
  <si>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</si>
  <si>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</si>
  <si>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</si>
  <si>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</si>
  <si>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</si>
  <si>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</si>
  <si>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</si>
  <si>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</si>
  <si>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</si>
  <si>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</si>
  <si>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</si>
  <si>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</si>
  <si>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</si>
  <si>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</si>
  <si>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</si>
  <si>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</si>
  <si>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</si>
  <si>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</si>
  <si>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</si>
  <si>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</si>
  <si>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</si>
  <si>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</si>
  <si>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</si>
  <si>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</si>
  <si>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</si>
  <si>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</si>
  <si>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</si>
  <si>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</si>
  <si>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</si>
  <si>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</si>
  <si>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</si>
  <si>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</si>
  <si>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</si>
  <si>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</si>
  <si>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</si>
  <si>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</si>
  <si>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</si>
  <si>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</si>
  <si>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</si>
  <si>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</si>
  <si>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</si>
  <si>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</si>
  <si>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</si>
  <si>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</si>
  <si>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</si>
  <si>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</si>
  <si>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</si>
  <si>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</si>
  <si>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</si>
  <si>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</si>
  <si>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</si>
  <si>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</si>
  <si>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</si>
  <si>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</si>
  <si>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</si>
  <si>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</si>
  <si>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</si>
  <si>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</si>
  <si>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</si>
  <si>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</si>
  <si>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</si>
  <si>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</si>
  <si>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</si>
  <si>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</si>
  <si>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</si>
  <si>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</si>
  <si>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</si>
  <si>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</si>
  <si>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</si>
  <si>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</si>
  <si>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</si>
  <si>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</si>
  <si>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</si>
  <si>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</si>
  <si>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</si>
  <si>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</si>
  <si>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</si>
  <si>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</si>
  <si>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</si>
  <si>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</si>
  <si>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</si>
  <si>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</si>
  <si>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</si>
  <si>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</si>
  <si>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</si>
  <si>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</si>
  <si>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</si>
  <si>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</si>
  <si>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</si>
  <si>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</si>
  <si>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</si>
  <si>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</si>
  <si>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</si>
  <si>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</si>
  <si>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</si>
  <si>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</si>
  <si>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</si>
  <si>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</si>
  <si>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</si>
  <si>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</si>
  <si>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</si>
  <si>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</si>
  <si>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</si>
  <si>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</si>
  <si>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</si>
  <si>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</si>
  <si>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</si>
  <si>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</si>
  <si>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</si>
  <si>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</si>
  <si>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</si>
  <si>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</si>
  <si>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</si>
  <si>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</si>
  <si>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</si>
  <si>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</si>
  <si>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</si>
  <si>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</si>
  <si>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</si>
  <si>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</si>
  <si>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</si>
  <si>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</si>
  <si>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</si>
  <si>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</si>
  <si>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</si>
  <si>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</si>
  <si>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</si>
  <si>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</si>
  <si>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</si>
  <si>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</si>
  <si>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</si>
  <si>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</si>
  <si>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</si>
  <si>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</si>
  <si>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</si>
  <si>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</si>
  <si>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</si>
  <si>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</si>
  <si>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</si>
  <si>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</si>
  <si>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</si>
  <si>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</si>
  <si>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</si>
  <si>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</si>
  <si>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Spend Category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</si>
  <si>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</si>
  <si>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</si>
  <si>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</si>
  <si>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</si>
  <si>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</si>
  <si>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</si>
  <si>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</si>
  <si>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</si>
  <si>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</si>
  <si>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</si>
  <si>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</si>
  <si>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</si>
  <si>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</si>
  <si>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</si>
  <si>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</si>
  <si>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</si>
  <si>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</si>
  <si>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</si>
  <si>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</si>
  <si>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</si>
  <si>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</si>
  <si>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</si>
  <si>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</si>
  <si>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</si>
  <si>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</si>
  <si>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</si>
  <si>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</si>
  <si>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</si>
  <si>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</si>
  <si>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</si>
  <si>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</si>
  <si>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</si>
  <si>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</si>
  <si>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</si>
  <si>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</si>
  <si>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</si>
  <si>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</si>
  <si>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</si>
  <si>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</si>
  <si>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</si>
  <si>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</si>
  <si>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</si>
  <si>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</si>
  <si>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</si>
  <si>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</si>
  <si>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</si>
  <si>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</si>
  <si>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</si>
  <si>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</si>
  <si>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</si>
  <si>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>Considered same as current spend. Min and Max are - or + 10% of curr level.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</si>
  <si>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</si>
  <si>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</si>
  <si>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3A.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 </t>
    </r>
    <r>
      <rPr>
        <u/>
        <sz val="10"/>
        <color rgb="FF0000FF"/>
        <rFont val="Calibri"/>
        <family val="2"/>
        <scheme val="minor"/>
      </rPr>
      <t>2012-Q1 projected level</t>
    </r>
    <r>
      <rPr>
        <sz val="10"/>
        <color rgb="FF0000FF"/>
        <rFont val="Calibri"/>
        <family val="2"/>
        <scheme val="minor"/>
      </rPr>
      <t>. NOTE: If Q1-12 level is less than curr. spend, then base for min and max spends are reversed.</t>
    </r>
  </si>
  <si>
    <t>Reference: Annualized 2011 S2 Spend (Growth period in terms of NRx)</t>
  </si>
  <si>
    <t>Yearly projection based on 2011-S2  vs. 2013</t>
  </si>
  <si>
    <t>2011_S2</t>
  </si>
  <si>
    <t>Yearly spend based on 2011 S2 spend levels</t>
  </si>
  <si>
    <t>Comparison of samples across various years</t>
  </si>
  <si>
    <t>Change ('12 vs '13)</t>
  </si>
  <si>
    <t>Change ('11 vs '12)</t>
  </si>
  <si>
    <t>Compared to 2011</t>
  </si>
  <si>
    <t>2013 JAN samples increased by ~25% to 30%</t>
  </si>
  <si>
    <t>2013 JMT samples decreased by ~15%</t>
  </si>
  <si>
    <t>Overall sample UNITS increased by ~10%</t>
  </si>
  <si>
    <t>Janumet + XR (no XR in 2011)</t>
  </si>
  <si>
    <r>
      <rPr>
        <b/>
        <u/>
        <sz val="11"/>
        <color theme="1"/>
        <rFont val="Calibri"/>
        <family val="2"/>
        <scheme val="minor"/>
      </rPr>
      <t>Sample 7 DOT</t>
    </r>
    <r>
      <rPr>
        <sz val="11"/>
        <color theme="1"/>
        <rFont val="Calibri"/>
        <family val="2"/>
        <scheme val="minor"/>
      </rPr>
      <t xml:space="preserve"> from Grail</t>
    </r>
  </si>
  <si>
    <r>
      <rPr>
        <b/>
        <u/>
        <sz val="11"/>
        <color theme="1"/>
        <rFont val="Calibri"/>
        <family val="2"/>
        <scheme val="minor"/>
      </rPr>
      <t>Sample UNITS</t>
    </r>
    <r>
      <rPr>
        <sz val="11"/>
        <color theme="1"/>
        <rFont val="Calibri"/>
        <family val="2"/>
        <scheme val="minor"/>
      </rPr>
      <t xml:space="preserve"> from Forecast (Gail Boyden)</t>
    </r>
  </si>
  <si>
    <t>Equivalent 2011-S2 Projected level.</t>
  </si>
  <si>
    <t>Applied 2013 to 2011eq ratio to get MMF spend. MIN is same as curr. Max is same as 2011-S2 (since it is much higher than curr)</t>
  </si>
  <si>
    <t>S2-11 level is less than curr level. MIN is 80% of curr. MAX is 10% more than curr.</t>
  </si>
  <si>
    <t>7DOT Samples</t>
  </si>
  <si>
    <t>Sample Units</t>
  </si>
  <si>
    <t>Budget ($)</t>
  </si>
  <si>
    <t>2013 Forecast</t>
  </si>
  <si>
    <t>Janumet XR</t>
  </si>
  <si>
    <t>Janumet Total</t>
  </si>
  <si>
    <t>NONE</t>
  </si>
  <si>
    <t>Difference (in %) ==&gt;</t>
  </si>
  <si>
    <t>Comment</t>
  </si>
  <si>
    <t>An overall MAX constraint of 20% would increase budget by $3MM which would support doubling Janumet IR.</t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</si>
  <si>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Small change in budgets. Units increased. DOT decreased. Hence, probably +20% MAX constraint is ok.</t>
    </r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</si>
  <si>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JMT budget reduced. Could be increased by 175% (~$2MM). Same with Units and DOT.</t>
    </r>
  </si>
  <si>
    <t>Janumet XR not launched in 2011.</t>
  </si>
  <si>
    <t>S2-11 is almost similar to curr. Budget. MIN and MAX are curr. -20% and curr. +20% respectively.</t>
  </si>
  <si>
    <t>Equivalent S2-11 budget may be slightly lower than current to produce the total 2011-S2 projected DOT of samples. MIN and MAX are curr. -20% and curr. +20%. This may support doubling of Janumet IR during 2013-S2.</t>
  </si>
  <si>
    <t>Not a derivable info for Vouchers. Assumed same level as current for S2-11. MIN and MAX are curr.-10% and curr.+10%.</t>
  </si>
  <si>
    <t>Assume S2-11 lvl of $36 MM represents consumer HCC only (i.e., some evidence from cell D6). MIN is same as curr. MAX is same as 2011-S2 (as it is much higher than current).</t>
  </si>
  <si>
    <r>
      <t>In 2011-S2 based yearly projection, to produce 3,576,000 total JMT 7DOT samples with similar 2013 JMT / JMT XR split, the 2011 projected budget would be approximately (3,576,000 / 4,305,000) *$15,610,435 =</t>
    </r>
    <r>
      <rPr>
        <b/>
        <sz val="11"/>
        <color rgb="FFC00000"/>
        <rFont val="Calibri"/>
        <family val="2"/>
        <scheme val="minor"/>
      </rPr>
      <t xml:space="preserve"> $13 MM.</t>
    </r>
  </si>
  <si>
    <r>
      <t>Janumet IR</t>
    </r>
    <r>
      <rPr>
        <b/>
        <sz val="11"/>
        <color rgb="FF0000FF"/>
        <rFont val="Calibri"/>
        <family val="2"/>
        <scheme val="minor"/>
      </rPr>
      <t>*</t>
    </r>
  </si>
  <si>
    <t>Other notes,</t>
  </si>
  <si>
    <t>In calculating DOT of samples for Januvia in 2013, their sample pack changes from 28 tabs to 14 tabs from Feb 2013 onwards is considered.</t>
  </si>
  <si>
    <t>In 2013, Janmet IR has sample units with both 28 DOT and 14 DOT supplies. DOT of samples computation takes into acoount of this.</t>
  </si>
  <si>
    <t>In 2013, Janumet XR has only 14 DOT sample units.</t>
  </si>
  <si>
    <t xml:space="preserve"> * For numbers in blue,  actual values are multiplied by 1.5 as Nov/Dec 2011 had 0 samples and samples shipped in previous months would have been distributed throughout 2011-S2.</t>
  </si>
  <si>
    <r>
      <t>2011-S2 Projected to Yearly levels
[</t>
    </r>
    <r>
      <rPr>
        <sz val="11"/>
        <color theme="1"/>
        <rFont val="Calibri"/>
        <family val="2"/>
        <scheme val="minor"/>
      </rPr>
      <t>Jul/2011 to Dec/2011 numbers are aggregated and then doubled to compute the yearly level</t>
    </r>
    <r>
      <rPr>
        <b/>
        <sz val="11"/>
        <color theme="1"/>
        <rFont val="Calibri"/>
        <family val="2"/>
        <scheme val="minor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</si>
</sst>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9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81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0" fontId="28" fillId="0" borderId="0" xfId="0" applyFont="1" applyAlignment="1">
      <alignment wrapText="1"/>
    </xf>
    <xf numFmtId="164" fontId="1" fillId="0" borderId="0" xfId="4" applyNumberFormat="1" applyFont="1" applyFill="1" applyBorder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164" fontId="51" fillId="0" borderId="0" xfId="4" applyNumberFormat="1" applyFont="1"/>
    <xf numFmtId="164" fontId="51" fillId="0" borderId="0" xfId="0" applyNumberFormat="1" applyFont="1"/>
    <xf numFmtId="9" fontId="0" fillId="0" borderId="0" xfId="3" applyFont="1"/>
    <xf numFmtId="164" fontId="28" fillId="42" borderId="0" xfId="0" applyNumberFormat="1" applyFont="1" applyFill="1"/>
    <xf numFmtId="164" fontId="28" fillId="47" borderId="0" xfId="0" applyNumberFormat="1" applyFont="1" applyFill="1"/>
    <xf numFmtId="164" fontId="5" fillId="5" borderId="2" xfId="0" applyNumberFormat="1" applyFont="1" applyFill="1" applyBorder="1"/>
    <xf numFmtId="9" fontId="1" fillId="0" borderId="0" xfId="3" applyFont="1"/>
    <xf numFmtId="0" fontId="28" fillId="0" borderId="0" xfId="0" applyFont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0" fontId="38" fillId="0" borderId="0" xfId="0" applyFont="1"/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165" fontId="0" fillId="0" borderId="2" xfId="2" applyNumberFormat="1" applyFont="1" applyBorder="1"/>
    <xf numFmtId="0" fontId="0" fillId="9" borderId="12" xfId="0" applyFill="1" applyBorder="1" applyAlignment="1">
      <alignment horizontal="center" vertical="center"/>
    </xf>
    <xf numFmtId="0" fontId="0" fillId="9" borderId="85" xfId="0" applyFill="1" applyBorder="1" applyAlignment="1">
      <alignment horizontal="center" vertical="center" wrapText="1"/>
    </xf>
    <xf numFmtId="9" fontId="0" fillId="0" borderId="16" xfId="3" applyNumberFormat="1" applyFont="1" applyBorder="1"/>
    <xf numFmtId="0" fontId="0" fillId="9" borderId="86" xfId="0" applyFill="1" applyBorder="1" applyAlignment="1">
      <alignment horizontal="center" vertical="center"/>
    </xf>
    <xf numFmtId="165" fontId="0" fillId="0" borderId="22" xfId="2" applyNumberFormat="1" applyFont="1" applyBorder="1"/>
    <xf numFmtId="164" fontId="54" fillId="0" borderId="0" xfId="4" applyNumberFormat="1" applyFont="1"/>
    <xf numFmtId="164" fontId="39" fillId="0" borderId="0" xfId="4" applyNumberFormat="1" applyFont="1"/>
    <xf numFmtId="164" fontId="39" fillId="0" borderId="0" xfId="0" applyNumberFormat="1" applyFont="1"/>
    <xf numFmtId="0" fontId="0" fillId="0" borderId="0" xfId="0" applyAlignment="1">
      <alignment vertical="center"/>
    </xf>
    <xf numFmtId="0" fontId="28" fillId="0" borderId="0" xfId="0" applyFont="1" applyAlignment="1">
      <alignment vertical="center"/>
    </xf>
    <xf numFmtId="0" fontId="28" fillId="42" borderId="0" xfId="0" applyFont="1" applyFill="1" applyAlignment="1">
      <alignment vertical="center"/>
    </xf>
    <xf numFmtId="0" fontId="0" fillId="9" borderId="2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2" xfId="2" applyNumberFormat="1" applyFont="1" applyBorder="1" applyAlignment="1">
      <alignment vertical="center"/>
    </xf>
    <xf numFmtId="9" fontId="0" fillId="48" borderId="2" xfId="3" applyFont="1" applyFill="1" applyBorder="1"/>
    <xf numFmtId="0" fontId="28" fillId="9" borderId="16" xfId="0" applyFont="1" applyFill="1" applyBorder="1" applyAlignment="1">
      <alignment horizontal="center" vertical="center" wrapText="1"/>
    </xf>
    <xf numFmtId="164" fontId="0" fillId="0" borderId="16" xfId="4" applyNumberFormat="1" applyFont="1" applyBorder="1" applyAlignment="1">
      <alignment vertical="center"/>
    </xf>
    <xf numFmtId="0" fontId="28" fillId="9" borderId="22" xfId="0" applyFont="1" applyFill="1" applyBorder="1" applyAlignment="1">
      <alignment horizontal="center" vertical="center" wrapText="1"/>
    </xf>
    <xf numFmtId="165" fontId="0" fillId="0" borderId="22" xfId="2" applyNumberFormat="1" applyFont="1" applyBorder="1" applyAlignment="1">
      <alignment vertical="center"/>
    </xf>
    <xf numFmtId="9" fontId="0" fillId="48" borderId="22" xfId="3" applyFont="1" applyFill="1" applyBorder="1"/>
    <xf numFmtId="9" fontId="0" fillId="48" borderId="16" xfId="3" applyFont="1" applyFill="1" applyBorder="1"/>
    <xf numFmtId="0" fontId="0" fillId="9" borderId="2" xfId="0" applyFill="1" applyBorder="1" applyAlignment="1">
      <alignment horizontal="center" vertical="center" wrapText="1"/>
    </xf>
    <xf numFmtId="0" fontId="0" fillId="9" borderId="16" xfId="0" applyFill="1" applyBorder="1" applyAlignment="1">
      <alignment horizontal="center" vertical="center" wrapText="1"/>
    </xf>
    <xf numFmtId="0" fontId="0" fillId="9" borderId="22" xfId="0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0" fillId="9" borderId="13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44" borderId="12" xfId="0" applyFont="1" applyFill="1" applyBorder="1" applyAlignment="1">
      <alignment horizontal="center" vertical="center" wrapText="1"/>
    </xf>
    <xf numFmtId="0" fontId="51" fillId="0" borderId="87" xfId="0" applyFont="1" applyBorder="1" applyAlignment="1">
      <alignment horizontal="left" vertical="center" wrapText="1"/>
    </xf>
    <xf numFmtId="0" fontId="51" fillId="0" borderId="42" xfId="0" applyFont="1" applyBorder="1" applyAlignment="1">
      <alignment horizontal="left" vertical="center" wrapText="1"/>
    </xf>
    <xf numFmtId="0" fontId="51" fillId="0" borderId="13" xfId="0" applyFont="1" applyBorder="1" applyAlignment="1">
      <alignment horizontal="left" vertical="center" wrapText="1"/>
    </xf>
    <xf numFmtId="0" fontId="51" fillId="0" borderId="2" xfId="0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left" vertical="top" wrapText="1"/>
    </xf>
    <xf numFmtId="0" fontId="0" fillId="0" borderId="13" xfId="0" applyBorder="1" applyAlignment="1">
      <alignment horizontal="left" wrapText="1"/>
    </xf>
    <xf numFmtId="0" fontId="0" fillId="0" borderId="49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28" fillId="9" borderId="49" xfId="0" applyFont="1" applyFill="1" applyBorder="1" applyAlignment="1">
      <alignment horizontal="center" vertical="center" wrapText="1"/>
    </xf>
    <xf numFmtId="0" fontId="28" fillId="9" borderId="27" xfId="0" applyFont="1" applyFill="1" applyBorder="1" applyAlignment="1">
      <alignment horizontal="center" vertical="center" wrapText="1"/>
    </xf>
    <xf numFmtId="0" fontId="34" fillId="48" borderId="2" xfId="0" applyFont="1" applyFill="1" applyBorder="1" applyAlignment="1">
      <alignment horizontal="right" vertical="center"/>
    </xf>
    <xf numFmtId="0" fontId="34" fillId="48" borderId="16" xfId="0" applyFont="1" applyFill="1" applyBorder="1" applyAlignment="1">
      <alignment horizontal="right" vertical="center"/>
    </xf>
    <xf numFmtId="0" fontId="28" fillId="9" borderId="2" xfId="0" applyFont="1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0" fillId="0" borderId="90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28" fillId="9" borderId="22" xfId="0" applyFont="1" applyFill="1" applyBorder="1" applyAlignment="1">
      <alignment horizontal="center" vertical="center" wrapText="1"/>
    </xf>
    <xf numFmtId="0" fontId="28" fillId="9" borderId="16" xfId="0" applyFont="1" applyFill="1" applyBorder="1" applyAlignment="1">
      <alignment horizontal="center" vertical="center" wrapText="1"/>
    </xf>
    <xf numFmtId="0" fontId="0" fillId="48" borderId="2" xfId="0" applyFill="1" applyBorder="1" applyAlignment="1">
      <alignment horizontal="right" vertical="center"/>
    </xf>
    <xf numFmtId="0" fontId="0" fillId="48" borderId="16" xfId="0" applyFill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165" fontId="51" fillId="0" borderId="22" xfId="2" applyNumberFormat="1" applyFont="1" applyBorder="1" applyAlignment="1">
      <alignment vertical="center"/>
    </xf>
    <xf numFmtId="165" fontId="51" fillId="0" borderId="2" xfId="2" applyNumberFormat="1" applyFont="1" applyBorder="1" applyAlignment="1">
      <alignment vertical="center"/>
    </xf>
    <xf numFmtId="164" fontId="51" fillId="0" borderId="16" xfId="4" applyNumberFormat="1" applyFont="1" applyBorder="1" applyAlignment="1">
      <alignment vertical="center"/>
    </xf>
    <xf numFmtId="0" fontId="51" fillId="0" borderId="0" xfId="0" applyFont="1"/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4493624.25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2538463.733113369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27264"/>
        <c:axId val="343650304"/>
      </c:scatterChart>
      <c:valAx>
        <c:axId val="343627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650304"/>
        <c:crosses val="autoZero"/>
        <c:crossBetween val="midCat"/>
        <c:dispUnits>
          <c:builtInUnit val="thousands"/>
        </c:dispUnits>
      </c:valAx>
      <c:valAx>
        <c:axId val="343650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627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708032"/>
        <c:axId val="343710336"/>
      </c:scatterChart>
      <c:valAx>
        <c:axId val="3437080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710336"/>
        <c:crosses val="autoZero"/>
        <c:crossBetween val="midCat"/>
        <c:dispUnits>
          <c:builtInUnit val="thousands"/>
        </c:dispUnits>
      </c:valAx>
      <c:valAx>
        <c:axId val="343710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7080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63264"/>
        <c:axId val="343578112"/>
      </c:scatterChart>
      <c:valAx>
        <c:axId val="343563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578112"/>
        <c:crosses val="autoZero"/>
        <c:crossBetween val="midCat"/>
        <c:dispUnits>
          <c:builtInUnit val="thousands"/>
        </c:dispUnits>
      </c:valAx>
      <c:valAx>
        <c:axId val="343578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563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04608"/>
        <c:axId val="343754624"/>
      </c:scatterChart>
      <c:valAx>
        <c:axId val="343604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754624"/>
        <c:crosses val="autoZero"/>
        <c:crossBetween val="midCat"/>
        <c:dispUnits>
          <c:builtInUnit val="thousands"/>
        </c:dispUnits>
      </c:valAx>
      <c:valAx>
        <c:axId val="343754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6046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2339317.2732863105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228800"/>
        <c:axId val="347243648"/>
      </c:scatterChart>
      <c:valAx>
        <c:axId val="347228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7243648"/>
        <c:crosses val="autoZero"/>
        <c:crossBetween val="midCat"/>
        <c:dispUnits>
          <c:builtInUnit val="thousands"/>
        </c:dispUnits>
      </c:valAx>
      <c:valAx>
        <c:axId val="34724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72288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974656"/>
        <c:axId val="347274240"/>
      </c:scatterChart>
      <c:valAx>
        <c:axId val="3459746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7274240"/>
        <c:crosses val="autoZero"/>
        <c:crossBetween val="midCat"/>
        <c:dispUnits>
          <c:builtInUnit val="thousands"/>
        </c:dispUnits>
      </c:valAx>
      <c:valAx>
        <c:axId val="347274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59746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036480"/>
        <c:axId val="346039040"/>
      </c:scatterChart>
      <c:valAx>
        <c:axId val="346036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6039040"/>
        <c:crosses val="autoZero"/>
        <c:crossBetween val="midCat"/>
        <c:dispUnits>
          <c:builtInUnit val="thousands"/>
        </c:dispUnits>
      </c:valAx>
      <c:valAx>
        <c:axId val="346039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60364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117248"/>
        <c:axId val="346119552"/>
      </c:scatterChart>
      <c:valAx>
        <c:axId val="3461172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6119552"/>
        <c:crosses val="autoZero"/>
        <c:crossBetween val="midCat"/>
        <c:dispUnits>
          <c:builtInUnit val="thousands"/>
        </c:dispUnits>
      </c:valAx>
      <c:valAx>
        <c:axId val="346119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61172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4493624.25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246140715.83874646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64352"/>
        <c:axId val="39766272"/>
      </c:scatterChart>
      <c:valAx>
        <c:axId val="39764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9766272"/>
        <c:crosses val="autoZero"/>
        <c:crossBetween val="midCat"/>
        <c:dispUnits>
          <c:builtInUnit val="millions"/>
        </c:dispUnits>
      </c:valAx>
      <c:valAx>
        <c:axId val="39766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976435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52384"/>
        <c:axId val="40359040"/>
      </c:scatterChart>
      <c:valAx>
        <c:axId val="403523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40359040"/>
        <c:crosses val="autoZero"/>
        <c:crossBetween val="midCat"/>
        <c:dispUnits>
          <c:builtInUnit val="millions"/>
        </c:dispUnits>
      </c:valAx>
      <c:valAx>
        <c:axId val="40359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4035238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9200"/>
        <c:axId val="40181760"/>
      </c:scatterChart>
      <c:valAx>
        <c:axId val="401792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40181760"/>
        <c:crosses val="autoZero"/>
        <c:crossBetween val="midCat"/>
        <c:dispUnits>
          <c:builtInUnit val="millions"/>
        </c:dispUnits>
      </c:valAx>
      <c:valAx>
        <c:axId val="40181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4017920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1296"/>
        <c:axId val="40233600"/>
      </c:scatterChart>
      <c:valAx>
        <c:axId val="40231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40233600"/>
        <c:crosses val="autoZero"/>
        <c:crossBetween val="midCat"/>
        <c:dispUnits>
          <c:builtInUnit val="millions"/>
        </c:dispUnits>
      </c:valAx>
      <c:valAx>
        <c:axId val="40233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4023129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226830590.76618347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6752"/>
        <c:axId val="40289792"/>
      </c:scatterChart>
      <c:valAx>
        <c:axId val="40266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40289792"/>
        <c:crosses val="autoZero"/>
        <c:crossBetween val="midCat"/>
        <c:dispUnits>
          <c:builtInUnit val="millions"/>
        </c:dispUnits>
      </c:valAx>
      <c:valAx>
        <c:axId val="40289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4026675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30008120.788215525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8816"/>
        <c:axId val="40673664"/>
      </c:scatterChart>
      <c:valAx>
        <c:axId val="40658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40673664"/>
        <c:crosses val="autoZero"/>
        <c:crossBetween val="midCat"/>
        <c:dispUnits>
          <c:builtInUnit val="millions"/>
        </c:dispUnits>
      </c:valAx>
      <c:valAx>
        <c:axId val="406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4065881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38880"/>
        <c:axId val="40541184"/>
      </c:scatterChart>
      <c:valAx>
        <c:axId val="405388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40541184"/>
        <c:crosses val="autoZero"/>
        <c:crossBetween val="midCat"/>
        <c:dispUnits>
          <c:builtInUnit val="millions"/>
        </c:dispUnits>
      </c:valAx>
      <c:valAx>
        <c:axId val="40541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405388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51456"/>
        <c:axId val="40470400"/>
      </c:scatterChart>
      <c:valAx>
        <c:axId val="40451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40470400"/>
        <c:crosses val="autoZero"/>
        <c:crossBetween val="midCat"/>
        <c:dispUnits>
          <c:builtInUnit val="millions"/>
        </c:dispUnits>
      </c:valAx>
      <c:valAx>
        <c:axId val="40470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4045145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2538463.733113369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2339317.2732863105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2538463.733113369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2339317.2732863105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85632"/>
        <c:axId val="40892672"/>
      </c:scatterChart>
      <c:valAx>
        <c:axId val="40885632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0892672"/>
        <c:crosses val="autoZero"/>
        <c:crossBetween val="midCat"/>
        <c:dispUnits>
          <c:builtInUnit val="millions"/>
        </c:dispUnits>
      </c:valAx>
      <c:valAx>
        <c:axId val="40892672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08856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2538463.733113369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2339317.2732863105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2538463.733113369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2339317.2732863105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23904"/>
        <c:axId val="41343232"/>
      </c:scatterChart>
      <c:valAx>
        <c:axId val="41323904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41343232"/>
        <c:crosses val="autoZero"/>
        <c:crossBetween val="midCat"/>
        <c:dispUnits>
          <c:builtInUnit val="thousands"/>
        </c:dispUnits>
      </c:valAx>
      <c:valAx>
        <c:axId val="41343232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13239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246140715.83874646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226830590.76618347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30008120.788215525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3920"/>
        <c:axId val="41485056"/>
      </c:scatterChart>
      <c:valAx>
        <c:axId val="41473920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1485056"/>
        <c:crosses val="autoZero"/>
        <c:crossBetween val="midCat"/>
        <c:dispUnits>
          <c:builtInUnit val="millions"/>
        </c:dispUnits>
      </c:valAx>
      <c:valAx>
        <c:axId val="41485056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4147392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246140715.83874646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226830590.76618347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30008120.788215525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30336"/>
        <c:axId val="41637376"/>
      </c:scatterChart>
      <c:valAx>
        <c:axId val="41630336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1637376"/>
        <c:crosses val="autoZero"/>
        <c:crossBetween val="midCat"/>
        <c:dispUnits>
          <c:builtInUnit val="millions"/>
        </c:dispUnits>
      </c:valAx>
      <c:valAx>
        <c:axId val="41637376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4163033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4493624.25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2538463.733113369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2448"/>
        <c:axId val="41763200"/>
      </c:scatterChart>
      <c:valAx>
        <c:axId val="417524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1763200"/>
        <c:crosses val="autoZero"/>
        <c:crossBetween val="midCat"/>
        <c:dispUnits>
          <c:builtInUnit val="thousands"/>
        </c:dispUnits>
      </c:valAx>
      <c:valAx>
        <c:axId val="41763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17524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4493624.25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6590648.9000000013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220161.64207401293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05312"/>
        <c:axId val="41820160"/>
      </c:scatterChart>
      <c:valAx>
        <c:axId val="418053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1820160"/>
        <c:crosses val="autoZero"/>
        <c:crossBetween val="midCat"/>
        <c:dispUnits>
          <c:builtInUnit val="thousands"/>
        </c:dispUnits>
      </c:valAx>
      <c:valAx>
        <c:axId val="41820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18053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49056"/>
        <c:axId val="41963904"/>
      </c:scatterChart>
      <c:valAx>
        <c:axId val="419490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1963904"/>
        <c:crosses val="autoZero"/>
        <c:crossBetween val="midCat"/>
        <c:dispUnits>
          <c:builtInUnit val="thousands"/>
        </c:dispUnits>
      </c:valAx>
      <c:valAx>
        <c:axId val="4196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19490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277175.40674512938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4208"/>
        <c:axId val="42024960"/>
      </c:scatterChart>
      <c:valAx>
        <c:axId val="4201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2024960"/>
        <c:crosses val="autoZero"/>
        <c:crossBetween val="midCat"/>
        <c:dispUnits>
          <c:builtInUnit val="thousands"/>
        </c:dispUnits>
      </c:valAx>
      <c:valAx>
        <c:axId val="42024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0142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992"/>
        <c:axId val="42135936"/>
      </c:scatterChart>
      <c:valAx>
        <c:axId val="421169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2135936"/>
        <c:crosses val="autoZero"/>
        <c:crossBetween val="midCat"/>
        <c:dispUnits>
          <c:builtInUnit val="thousands"/>
        </c:dispUnits>
      </c:valAx>
      <c:valAx>
        <c:axId val="4213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1169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680"/>
        <c:axId val="42254336"/>
      </c:scatterChart>
      <c:valAx>
        <c:axId val="42247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2254336"/>
        <c:crosses val="autoZero"/>
        <c:crossBetween val="midCat"/>
        <c:dispUnits>
          <c:builtInUnit val="thousands"/>
        </c:dispUnits>
      </c:valAx>
      <c:valAx>
        <c:axId val="42254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2476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1792"/>
        <c:axId val="42344832"/>
      </c:scatterChart>
      <c:valAx>
        <c:axId val="42321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2344832"/>
        <c:crosses val="autoZero"/>
        <c:crossBetween val="midCat"/>
        <c:dispUnits>
          <c:builtInUnit val="thousands"/>
        </c:dispUnits>
      </c:valAx>
      <c:valAx>
        <c:axId val="42344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3217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68864"/>
        <c:axId val="42483712"/>
      </c:scatterChart>
      <c:valAx>
        <c:axId val="42468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2483712"/>
        <c:crosses val="autoZero"/>
        <c:crossBetween val="midCat"/>
        <c:dispUnits>
          <c:builtInUnit val="thousands"/>
        </c:dispUnits>
      </c:valAx>
      <c:valAx>
        <c:axId val="42483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4688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75744"/>
        <c:axId val="42586496"/>
      </c:scatterChart>
      <c:valAx>
        <c:axId val="42575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2586496"/>
        <c:crosses val="autoZero"/>
        <c:crossBetween val="midCat"/>
        <c:dispUnits>
          <c:builtInUnit val="thousands"/>
        </c:dispUnits>
      </c:valAx>
      <c:valAx>
        <c:axId val="4258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575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14624"/>
        <c:axId val="42721280"/>
      </c:scatterChart>
      <c:valAx>
        <c:axId val="42714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2721280"/>
        <c:crosses val="autoZero"/>
        <c:crossBetween val="midCat"/>
        <c:dispUnits>
          <c:builtInUnit val="thousands"/>
        </c:dispUnits>
      </c:valAx>
      <c:valAx>
        <c:axId val="42721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7146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2339317.2732863105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65792"/>
        <c:axId val="42868096"/>
      </c:scatterChart>
      <c:valAx>
        <c:axId val="42865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42868096"/>
        <c:crosses val="autoZero"/>
        <c:crossBetween val="midCat"/>
        <c:dispUnits>
          <c:builtInUnit val="thousands"/>
        </c:dispUnits>
      </c:valAx>
      <c:valAx>
        <c:axId val="42868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8657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36449962.981371641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202889.61606993154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0944"/>
        <c:axId val="42933248"/>
      </c:scatterChart>
      <c:valAx>
        <c:axId val="42930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42933248"/>
        <c:crosses val="autoZero"/>
        <c:crossBetween val="midCat"/>
        <c:dispUnits>
          <c:builtInUnit val="thousands"/>
        </c:dispUnits>
      </c:valAx>
      <c:valAx>
        <c:axId val="42933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9309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87296"/>
        <c:axId val="43289600"/>
      </c:scatterChart>
      <c:valAx>
        <c:axId val="43287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43289600"/>
        <c:crosses val="autoZero"/>
        <c:crossBetween val="midCat"/>
        <c:dispUnits>
          <c:builtInUnit val="thousands"/>
        </c:dispUnits>
      </c:valAx>
      <c:valAx>
        <c:axId val="43289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32872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26840.895159405656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25152"/>
        <c:axId val="43027072"/>
      </c:scatterChart>
      <c:valAx>
        <c:axId val="43025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43027072"/>
        <c:crosses val="autoZero"/>
        <c:crossBetween val="midCat"/>
        <c:dispUnits>
          <c:builtInUnit val="thousands"/>
        </c:dispUnits>
      </c:valAx>
      <c:valAx>
        <c:axId val="43027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3025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5952"/>
        <c:axId val="43248256"/>
      </c:scatterChart>
      <c:valAx>
        <c:axId val="43245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43248256"/>
        <c:crosses val="autoZero"/>
        <c:crossBetween val="midCat"/>
        <c:dispUnits>
          <c:builtInUnit val="thousands"/>
        </c:dispUnits>
      </c:valAx>
      <c:valAx>
        <c:axId val="43248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32459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7157.711126210168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84832"/>
        <c:axId val="43387136"/>
      </c:scatterChart>
      <c:valAx>
        <c:axId val="43384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43387136"/>
        <c:crosses val="autoZero"/>
        <c:crossBetween val="midCat"/>
        <c:dispUnits>
          <c:builtInUnit val="thousands"/>
        </c:dispUnits>
      </c:valAx>
      <c:valAx>
        <c:axId val="43387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33848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3472"/>
        <c:axId val="43755776"/>
      </c:scatterChart>
      <c:valAx>
        <c:axId val="43753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43755776"/>
        <c:crosses val="autoZero"/>
        <c:crossBetween val="midCat"/>
        <c:dispUnits>
          <c:builtInUnit val="thousands"/>
        </c:dispUnits>
      </c:valAx>
      <c:valAx>
        <c:axId val="43755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37534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8592"/>
        <c:axId val="43600512"/>
      </c:scatterChart>
      <c:valAx>
        <c:axId val="43598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600512"/>
        <c:crosses val="autoZero"/>
        <c:crossBetween val="midCat"/>
      </c:valAx>
      <c:valAx>
        <c:axId val="436005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5985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67840"/>
        <c:axId val="43669760"/>
      </c:scatterChart>
      <c:valAx>
        <c:axId val="436678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669760"/>
        <c:crosses val="autoZero"/>
        <c:crossBetween val="midCat"/>
      </c:valAx>
      <c:valAx>
        <c:axId val="436697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6678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09824"/>
        <c:axId val="44111744"/>
      </c:scatterChart>
      <c:valAx>
        <c:axId val="44109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111744"/>
        <c:crosses val="autoZero"/>
        <c:crossBetween val="midCat"/>
      </c:valAx>
      <c:valAx>
        <c:axId val="4411174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1098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41952"/>
        <c:axId val="43845504"/>
      </c:scatterChart>
      <c:valAx>
        <c:axId val="44141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43845504"/>
        <c:crosses val="autoZero"/>
        <c:crossBetween val="midCat"/>
        <c:dispUnits>
          <c:builtInUnit val="millions"/>
        </c:dispUnits>
      </c:valAx>
      <c:valAx>
        <c:axId val="4384550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414195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A27" sqref="A27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2:AL76"/>
  <sheetViews>
    <sheetView topLeftCell="A67" workbookViewId="0">
      <selection activeCell="A53" sqref="A53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6" max="6" width="12.5546875" bestFit="1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48" t="s">
        <v>191</v>
      </c>
      <c r="E6" s="348"/>
      <c r="F6" s="348" t="s">
        <v>183</v>
      </c>
      <c r="G6" s="348"/>
      <c r="H6" s="348"/>
      <c r="I6" s="348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58" t="s">
        <v>194</v>
      </c>
      <c r="D20" s="358"/>
      <c r="E20" s="358"/>
      <c r="F20" s="358" t="s">
        <v>195</v>
      </c>
      <c r="G20" s="358"/>
      <c r="H20" s="358"/>
      <c r="I20" s="358" t="s">
        <v>196</v>
      </c>
      <c r="J20" s="358"/>
      <c r="K20" s="192" t="s">
        <v>197</v>
      </c>
      <c r="L20" s="187"/>
      <c r="M20" s="189" t="s">
        <v>198</v>
      </c>
      <c r="N20" s="187"/>
      <c r="O20" s="358" t="s">
        <v>194</v>
      </c>
      <c r="P20" s="358"/>
      <c r="Q20" s="358"/>
      <c r="R20" s="358" t="s">
        <v>195</v>
      </c>
      <c r="S20" s="358"/>
      <c r="T20" s="358"/>
      <c r="U20" s="358" t="s">
        <v>196</v>
      </c>
      <c r="V20" s="358"/>
      <c r="W20" s="192" t="s">
        <v>197</v>
      </c>
      <c r="X20" s="187"/>
      <c r="Y20" s="189" t="s">
        <v>199</v>
      </c>
      <c r="Z20" s="187"/>
      <c r="AA20" s="365" t="s">
        <v>200</v>
      </c>
      <c r="AB20" s="366"/>
      <c r="AC20" s="367"/>
      <c r="AD20" s="365" t="s">
        <v>201</v>
      </c>
      <c r="AE20" s="367"/>
      <c r="AF20" s="212"/>
      <c r="AG20" s="351" t="s">
        <v>202</v>
      </c>
      <c r="AH20" s="352"/>
      <c r="AI20" s="352"/>
      <c r="AJ20" s="352"/>
      <c r="AK20" s="352"/>
      <c r="AL20" s="353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54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55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55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55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55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55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55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55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56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57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55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55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55"/>
      <c r="Z34" s="255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55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55"/>
      <c r="Z36" s="255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55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55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56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277</v>
      </c>
    </row>
    <row r="43" spans="1:38" x14ac:dyDescent="0.3">
      <c r="A43" s="309" t="s">
        <v>278</v>
      </c>
      <c r="B43" s="307"/>
      <c r="C43" s="307"/>
      <c r="D43" s="307"/>
      <c r="E43" s="307"/>
      <c r="F43" s="307"/>
    </row>
    <row r="44" spans="1:38" ht="41.4" x14ac:dyDescent="0.3">
      <c r="A44" s="308" t="s">
        <v>222</v>
      </c>
      <c r="B44" s="308" t="s">
        <v>279</v>
      </c>
      <c r="C44" s="308" t="s">
        <v>280</v>
      </c>
      <c r="D44" s="308" t="s">
        <v>223</v>
      </c>
      <c r="E44" s="308" t="s">
        <v>224</v>
      </c>
      <c r="F44" s="308" t="s">
        <v>225</v>
      </c>
    </row>
    <row r="45" spans="1:38" x14ac:dyDescent="0.3">
      <c r="A45" s="251" t="s">
        <v>226</v>
      </c>
      <c r="B45" s="310">
        <v>3501577</v>
      </c>
      <c r="C45" s="310">
        <v>7003154</v>
      </c>
      <c r="D45" s="310">
        <v>5111928</v>
      </c>
      <c r="E45" s="310">
        <v>-1891226</v>
      </c>
      <c r="F45" s="312">
        <v>-0.27</v>
      </c>
    </row>
    <row r="46" spans="1:38" x14ac:dyDescent="0.3">
      <c r="A46" s="251" t="s">
        <v>227</v>
      </c>
      <c r="B46" s="310">
        <v>18052530</v>
      </c>
      <c r="C46" s="310">
        <v>36105060</v>
      </c>
      <c r="D46" s="310">
        <v>40058044</v>
      </c>
      <c r="E46" s="310">
        <v>3952984</v>
      </c>
      <c r="F46" s="312">
        <v>0.11</v>
      </c>
    </row>
    <row r="47" spans="1:38" x14ac:dyDescent="0.3">
      <c r="A47" s="254" t="s">
        <v>228</v>
      </c>
      <c r="B47" s="310">
        <v>18405848</v>
      </c>
      <c r="C47" s="310">
        <v>36811696</v>
      </c>
      <c r="D47" s="310">
        <v>25228000</v>
      </c>
      <c r="E47" s="310">
        <v>-11583696</v>
      </c>
      <c r="F47" s="312">
        <v>-0.31</v>
      </c>
      <c r="G47" t="s">
        <v>108</v>
      </c>
    </row>
    <row r="48" spans="1:38" x14ac:dyDescent="0.3">
      <c r="A48" s="254" t="s">
        <v>229</v>
      </c>
      <c r="B48" s="310">
        <v>2247994</v>
      </c>
      <c r="C48" s="310">
        <v>4495988</v>
      </c>
      <c r="D48" s="310">
        <v>7242494</v>
      </c>
      <c r="E48" s="310">
        <v>2746506</v>
      </c>
      <c r="F48" s="312">
        <v>0.61</v>
      </c>
      <c r="G48" t="s">
        <v>96</v>
      </c>
    </row>
    <row r="49" spans="1:7" x14ac:dyDescent="0.3">
      <c r="A49" s="251" t="s">
        <v>230</v>
      </c>
      <c r="B49" s="310">
        <v>0</v>
      </c>
      <c r="C49" s="310">
        <v>0</v>
      </c>
      <c r="D49" s="310">
        <v>0</v>
      </c>
      <c r="E49" s="310">
        <v>0</v>
      </c>
      <c r="F49" s="312"/>
    </row>
    <row r="50" spans="1:7" x14ac:dyDescent="0.3">
      <c r="A50" s="254" t="s">
        <v>231</v>
      </c>
      <c r="B50" s="310">
        <v>3630286</v>
      </c>
      <c r="C50" s="310">
        <v>7260572</v>
      </c>
      <c r="D50" s="310">
        <v>5155000</v>
      </c>
      <c r="E50" s="310">
        <v>-2105572</v>
      </c>
      <c r="F50" s="312">
        <v>-0.28999999999999998</v>
      </c>
      <c r="G50" t="s">
        <v>94</v>
      </c>
    </row>
    <row r="51" spans="1:7" x14ac:dyDescent="0.3">
      <c r="A51" s="254" t="s">
        <v>232</v>
      </c>
      <c r="B51" s="310">
        <v>2397883</v>
      </c>
      <c r="C51" s="310">
        <v>4795766</v>
      </c>
      <c r="D51" s="310">
        <v>7077000</v>
      </c>
      <c r="E51" s="310">
        <v>2281234</v>
      </c>
      <c r="F51" s="312">
        <v>0.48</v>
      </c>
      <c r="G51" t="s">
        <v>95</v>
      </c>
    </row>
    <row r="52" spans="1:7" x14ac:dyDescent="0.3">
      <c r="A52" s="254" t="s">
        <v>233</v>
      </c>
      <c r="B52" s="310">
        <v>5291870</v>
      </c>
      <c r="C52" s="310">
        <v>10583740</v>
      </c>
      <c r="D52" s="310">
        <v>21601934</v>
      </c>
      <c r="E52" s="310">
        <v>11018194</v>
      </c>
      <c r="F52" s="312">
        <v>1.04</v>
      </c>
      <c r="G52" t="s">
        <v>93</v>
      </c>
    </row>
    <row r="53" spans="1:7" x14ac:dyDescent="0.3">
      <c r="A53" s="251" t="s">
        <v>234</v>
      </c>
      <c r="B53" s="310">
        <v>2027584</v>
      </c>
      <c r="C53" s="310">
        <v>4055168</v>
      </c>
      <c r="D53" s="310">
        <v>0</v>
      </c>
      <c r="E53" s="310">
        <v>-4055168</v>
      </c>
      <c r="F53" s="312">
        <v>-1</v>
      </c>
    </row>
    <row r="54" spans="1:7" ht="15" thickBot="1" x14ac:dyDescent="0.35">
      <c r="A54" s="252" t="s">
        <v>103</v>
      </c>
      <c r="B54" s="311">
        <v>55555572</v>
      </c>
      <c r="C54" s="313">
        <v>111111144</v>
      </c>
      <c r="D54" s="313">
        <v>111474400</v>
      </c>
      <c r="E54" s="313">
        <v>363256</v>
      </c>
      <c r="F54" s="314">
        <v>0</v>
      </c>
      <c r="G54" s="293">
        <f>C47+C48+C50+C51+C52</f>
        <v>63947762</v>
      </c>
    </row>
    <row r="55" spans="1:7" ht="15" thickTop="1" x14ac:dyDescent="0.3">
      <c r="A55" s="253"/>
      <c r="B55" s="248"/>
      <c r="C55" s="248"/>
      <c r="D55" s="248"/>
      <c r="E55" s="248"/>
      <c r="F55" s="248"/>
    </row>
    <row r="56" spans="1:7" ht="41.4" x14ac:dyDescent="0.3">
      <c r="A56" s="250" t="s">
        <v>222</v>
      </c>
      <c r="B56" s="316" t="s">
        <v>279</v>
      </c>
      <c r="C56" s="316" t="s">
        <v>280</v>
      </c>
      <c r="D56" s="316" t="s">
        <v>223</v>
      </c>
      <c r="E56" s="316" t="s">
        <v>224</v>
      </c>
      <c r="F56" s="316" t="s">
        <v>225</v>
      </c>
    </row>
    <row r="57" spans="1:7" x14ac:dyDescent="0.3">
      <c r="A57" s="251" t="s">
        <v>226</v>
      </c>
      <c r="B57" s="317">
        <v>1386967</v>
      </c>
      <c r="C57" s="319">
        <v>0.06</v>
      </c>
      <c r="D57" s="319">
        <v>0.05</v>
      </c>
      <c r="E57" s="319">
        <v>-0.02</v>
      </c>
      <c r="F57" s="319">
        <v>-0.27</v>
      </c>
    </row>
    <row r="58" spans="1:7" x14ac:dyDescent="0.3">
      <c r="A58" s="251" t="s">
        <v>227</v>
      </c>
      <c r="B58" s="317">
        <v>9543371</v>
      </c>
      <c r="C58" s="319">
        <v>0.32</v>
      </c>
      <c r="D58" s="319">
        <v>0.36</v>
      </c>
      <c r="E58" s="319">
        <v>0.03</v>
      </c>
      <c r="F58" s="319">
        <v>0.11</v>
      </c>
    </row>
    <row r="59" spans="1:7" x14ac:dyDescent="0.3">
      <c r="A59" s="254" t="s">
        <v>228</v>
      </c>
      <c r="B59" s="317">
        <v>10381561</v>
      </c>
      <c r="C59" s="319">
        <v>0.33</v>
      </c>
      <c r="D59" s="319">
        <v>0.23</v>
      </c>
      <c r="E59" s="319">
        <v>-0.1</v>
      </c>
      <c r="F59" s="319">
        <v>-0.32</v>
      </c>
      <c r="G59" s="248" t="s">
        <v>108</v>
      </c>
    </row>
    <row r="60" spans="1:7" x14ac:dyDescent="0.3">
      <c r="A60" s="254" t="s">
        <v>229</v>
      </c>
      <c r="B60" s="317">
        <v>783123</v>
      </c>
      <c r="C60" s="319">
        <v>0.04</v>
      </c>
      <c r="D60" s="319">
        <v>0.06</v>
      </c>
      <c r="E60" s="319">
        <v>0.02</v>
      </c>
      <c r="F60" s="319">
        <v>0.61</v>
      </c>
      <c r="G60" s="248" t="s">
        <v>96</v>
      </c>
    </row>
    <row r="61" spans="1:7" x14ac:dyDescent="0.3">
      <c r="A61" s="251" t="s">
        <v>230</v>
      </c>
      <c r="B61" s="317">
        <v>0</v>
      </c>
      <c r="C61" s="319">
        <v>0</v>
      </c>
      <c r="D61" s="319">
        <v>0</v>
      </c>
      <c r="E61" s="319">
        <v>0</v>
      </c>
      <c r="F61" s="319"/>
      <c r="G61" s="248"/>
    </row>
    <row r="62" spans="1:7" x14ac:dyDescent="0.3">
      <c r="A62" s="254" t="s">
        <v>231</v>
      </c>
      <c r="B62" s="317">
        <v>1589760</v>
      </c>
      <c r="C62" s="319">
        <v>7.0000000000000007E-2</v>
      </c>
      <c r="D62" s="319">
        <v>0.05</v>
      </c>
      <c r="E62" s="319">
        <v>-0.02</v>
      </c>
      <c r="F62" s="319">
        <v>-0.28999999999999998</v>
      </c>
      <c r="G62" s="248" t="s">
        <v>94</v>
      </c>
    </row>
    <row r="63" spans="1:7" x14ac:dyDescent="0.3">
      <c r="A63" s="254" t="s">
        <v>232</v>
      </c>
      <c r="B63" s="317">
        <v>856192</v>
      </c>
      <c r="C63" s="319">
        <v>0.04</v>
      </c>
      <c r="D63" s="319">
        <v>0.06</v>
      </c>
      <c r="E63" s="319">
        <v>0.02</v>
      </c>
      <c r="F63" s="319">
        <v>0.47</v>
      </c>
      <c r="G63" s="248" t="s">
        <v>95</v>
      </c>
    </row>
    <row r="64" spans="1:7" x14ac:dyDescent="0.3">
      <c r="A64" s="254" t="s">
        <v>233</v>
      </c>
      <c r="B64" s="317">
        <v>2856402</v>
      </c>
      <c r="C64" s="319">
        <v>0.1</v>
      </c>
      <c r="D64" s="319">
        <v>0.19</v>
      </c>
      <c r="E64" s="319">
        <v>0.1</v>
      </c>
      <c r="F64" s="319">
        <v>1.03</v>
      </c>
      <c r="G64" s="248" t="s">
        <v>93</v>
      </c>
    </row>
    <row r="65" spans="1:10" x14ac:dyDescent="0.3">
      <c r="A65" s="251" t="s">
        <v>234</v>
      </c>
      <c r="B65" s="317">
        <v>0</v>
      </c>
      <c r="C65" s="319">
        <v>0.04</v>
      </c>
      <c r="D65" s="319">
        <v>0</v>
      </c>
      <c r="E65" s="319">
        <v>-0.04</v>
      </c>
      <c r="F65" s="319">
        <v>-1</v>
      </c>
    </row>
    <row r="66" spans="1:10" ht="15" thickBot="1" x14ac:dyDescent="0.35">
      <c r="A66" s="252" t="s">
        <v>103</v>
      </c>
      <c r="B66" s="318">
        <v>27397376</v>
      </c>
      <c r="C66" s="322">
        <v>1</v>
      </c>
      <c r="D66" s="322">
        <v>1</v>
      </c>
      <c r="E66" s="322">
        <v>0</v>
      </c>
      <c r="F66" s="322">
        <v>0</v>
      </c>
    </row>
    <row r="67" spans="1:10" ht="15" thickTop="1" x14ac:dyDescent="0.3"/>
    <row r="70" spans="1:10" x14ac:dyDescent="0.3">
      <c r="A70" t="s">
        <v>281</v>
      </c>
    </row>
    <row r="71" spans="1:10" ht="28.8" customHeight="1" x14ac:dyDescent="0.3">
      <c r="B71" s="345" t="s">
        <v>289</v>
      </c>
      <c r="C71" s="345"/>
      <c r="D71" s="346"/>
      <c r="E71" s="347" t="s">
        <v>290</v>
      </c>
      <c r="F71" s="345"/>
      <c r="G71" s="346"/>
      <c r="H71" s="349" t="s">
        <v>284</v>
      </c>
      <c r="I71" s="350"/>
      <c r="J71" s="350"/>
    </row>
    <row r="72" spans="1:10" ht="28.8" x14ac:dyDescent="0.3">
      <c r="B72" s="324">
        <v>2011</v>
      </c>
      <c r="C72" s="324">
        <v>2012</v>
      </c>
      <c r="D72" s="325" t="s">
        <v>283</v>
      </c>
      <c r="E72" s="327">
        <v>2012</v>
      </c>
      <c r="F72" s="324">
        <v>2013</v>
      </c>
      <c r="G72" s="325" t="s">
        <v>282</v>
      </c>
      <c r="H72" s="349"/>
      <c r="I72" s="350"/>
      <c r="J72" s="350"/>
    </row>
    <row r="73" spans="1:10" ht="28.8" customHeight="1" x14ac:dyDescent="0.3">
      <c r="A73" s="335" t="s">
        <v>13</v>
      </c>
      <c r="B73" s="323">
        <v>5972840</v>
      </c>
      <c r="C73" s="323">
        <v>6268473</v>
      </c>
      <c r="D73" s="326">
        <f>(C73-B73)/B73</f>
        <v>4.949621955384708E-2</v>
      </c>
      <c r="E73" s="328">
        <v>1566423</v>
      </c>
      <c r="F73" s="323">
        <v>1929356</v>
      </c>
      <c r="G73" s="326">
        <f>(F73-E73)/E73</f>
        <v>0.23169539773100881</v>
      </c>
      <c r="H73" s="359" t="s">
        <v>285</v>
      </c>
      <c r="I73" s="360"/>
      <c r="J73" s="361"/>
    </row>
    <row r="74" spans="1:10" ht="28.2" customHeight="1" x14ac:dyDescent="0.3">
      <c r="A74" s="335" t="s">
        <v>288</v>
      </c>
      <c r="B74" s="323">
        <v>3835934</v>
      </c>
      <c r="C74" s="323">
        <v>3192410</v>
      </c>
      <c r="D74" s="326">
        <f t="shared" ref="D74:D75" si="0">(C74-B74)/B74</f>
        <v>-0.16776201050383036</v>
      </c>
      <c r="E74" s="328">
        <v>1606286</v>
      </c>
      <c r="F74" s="323">
        <v>1643700</v>
      </c>
      <c r="G74" s="326">
        <f t="shared" ref="G74:G75" si="1">(F74-E74)/E74</f>
        <v>2.3292240609704622E-2</v>
      </c>
      <c r="H74" s="361" t="s">
        <v>286</v>
      </c>
      <c r="I74" s="362"/>
      <c r="J74" s="362"/>
    </row>
    <row r="75" spans="1:10" ht="26.4" customHeight="1" x14ac:dyDescent="0.3">
      <c r="A75" s="335" t="s">
        <v>106</v>
      </c>
      <c r="B75" s="323">
        <v>9961079</v>
      </c>
      <c r="C75" s="323">
        <v>9750539</v>
      </c>
      <c r="D75" s="326">
        <f t="shared" si="0"/>
        <v>-2.1136264454884857E-2</v>
      </c>
      <c r="E75" s="328">
        <v>3172709</v>
      </c>
      <c r="F75" s="323">
        <v>3573056</v>
      </c>
      <c r="G75" s="326">
        <f t="shared" si="1"/>
        <v>0.12618459493133471</v>
      </c>
      <c r="H75" s="363" t="s">
        <v>287</v>
      </c>
      <c r="I75" s="364"/>
      <c r="J75" s="364"/>
    </row>
    <row r="76" spans="1:10" x14ac:dyDescent="0.3">
      <c r="A76" s="336"/>
    </row>
  </sheetData>
  <mergeCells count="19">
    <mergeCell ref="H73:J73"/>
    <mergeCell ref="H74:J74"/>
    <mergeCell ref="H75:J75"/>
    <mergeCell ref="AA20:AC20"/>
    <mergeCell ref="AD20:AE20"/>
    <mergeCell ref="AG20:AL20"/>
    <mergeCell ref="Y22:Y30"/>
    <mergeCell ref="Y31:Y39"/>
    <mergeCell ref="U20:V20"/>
    <mergeCell ref="C20:E20"/>
    <mergeCell ref="F20:H20"/>
    <mergeCell ref="I20:J20"/>
    <mergeCell ref="O20:Q20"/>
    <mergeCell ref="R20:T20"/>
    <mergeCell ref="B71:D71"/>
    <mergeCell ref="E71:G71"/>
    <mergeCell ref="D6:E6"/>
    <mergeCell ref="F6:I6"/>
    <mergeCell ref="H71:J72"/>
  </mergeCells>
  <pageMargins left="0.7" right="0.7" top="0.75" bottom="0.75" header="0.3" footer="0.3"/>
  <pageSetup scale="8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H21"/>
  <sheetViews>
    <sheetView tabSelected="1" workbookViewId="0">
      <selection activeCell="A22" sqref="A22"/>
    </sheetView>
  </sheetViews>
  <sheetFormatPr defaultRowHeight="14.4" x14ac:dyDescent="0.3"/>
  <cols>
    <col min="1" max="1" width="17.33203125" customWidth="1"/>
    <col min="2" max="2" width="11.6640625" customWidth="1"/>
    <col min="3" max="3" width="10.77734375" customWidth="1"/>
    <col min="4" max="4" width="13.77734375" customWidth="1"/>
    <col min="5" max="5" width="11.44140625" customWidth="1"/>
    <col min="6" max="6" width="11.109375" customWidth="1"/>
    <col min="7" max="7" width="13.21875" customWidth="1"/>
    <col min="8" max="8" width="38" customWidth="1"/>
  </cols>
  <sheetData>
    <row r="3" spans="1:8" ht="66" customHeight="1" x14ac:dyDescent="0.3">
      <c r="A3" s="369"/>
      <c r="B3" s="378" t="s">
        <v>297</v>
      </c>
      <c r="C3" s="378"/>
      <c r="D3" s="386"/>
      <c r="E3" s="385" t="s">
        <v>318</v>
      </c>
      <c r="F3" s="378"/>
      <c r="G3" s="386"/>
      <c r="H3" s="374" t="s">
        <v>302</v>
      </c>
    </row>
    <row r="4" spans="1:8" ht="28.8" x14ac:dyDescent="0.3">
      <c r="A4" s="369"/>
      <c r="B4" s="156" t="s">
        <v>294</v>
      </c>
      <c r="C4" s="156" t="s">
        <v>295</v>
      </c>
      <c r="D4" s="339" t="s">
        <v>296</v>
      </c>
      <c r="E4" s="341" t="s">
        <v>294</v>
      </c>
      <c r="F4" s="156" t="s">
        <v>295</v>
      </c>
      <c r="G4" s="339" t="s">
        <v>296</v>
      </c>
      <c r="H4" s="375"/>
    </row>
    <row r="5" spans="1:8" ht="31.8" customHeight="1" x14ac:dyDescent="0.3">
      <c r="A5" s="378" t="s">
        <v>13</v>
      </c>
      <c r="B5" s="337">
        <v>4173938</v>
      </c>
      <c r="C5" s="337">
        <v>1929356</v>
      </c>
      <c r="D5" s="340">
        <v>5991499</v>
      </c>
      <c r="E5" s="342">
        <v>5880000</v>
      </c>
      <c r="F5" s="337">
        <v>1470000</v>
      </c>
      <c r="G5" s="340">
        <v>6144600</v>
      </c>
      <c r="H5" s="371" t="s">
        <v>304</v>
      </c>
    </row>
    <row r="6" spans="1:8" x14ac:dyDescent="0.3">
      <c r="A6" s="378"/>
      <c r="B6" s="376" t="s">
        <v>301</v>
      </c>
      <c r="C6" s="376"/>
      <c r="D6" s="377"/>
      <c r="E6" s="343">
        <f>E5/B5</f>
        <v>1.4087415768993214</v>
      </c>
      <c r="F6" s="338">
        <f t="shared" ref="F6:G6" si="0">F5/C5</f>
        <v>0.7619122650252208</v>
      </c>
      <c r="G6" s="344">
        <f t="shared" si="0"/>
        <v>1.0255530377289557</v>
      </c>
      <c r="H6" s="371"/>
    </row>
    <row r="7" spans="1:8" ht="28.2" customHeight="1" x14ac:dyDescent="0.3">
      <c r="A7" s="378" t="s">
        <v>312</v>
      </c>
      <c r="B7" s="337">
        <v>2035200</v>
      </c>
      <c r="C7" s="337">
        <v>508800</v>
      </c>
      <c r="D7" s="340">
        <v>3787906</v>
      </c>
      <c r="E7" s="477">
        <v>3576000</v>
      </c>
      <c r="F7" s="478">
        <v>894000</v>
      </c>
      <c r="G7" s="479">
        <v>6547140</v>
      </c>
      <c r="H7" s="370" t="s">
        <v>305</v>
      </c>
    </row>
    <row r="8" spans="1:8" x14ac:dyDescent="0.3">
      <c r="A8" s="378"/>
      <c r="B8" s="376" t="s">
        <v>301</v>
      </c>
      <c r="C8" s="376"/>
      <c r="D8" s="377"/>
      <c r="E8" s="343">
        <f>E7/B7</f>
        <v>1.7570754716981132</v>
      </c>
      <c r="F8" s="338">
        <f t="shared" ref="F8" si="1">F7/C7</f>
        <v>1.7570754716981132</v>
      </c>
      <c r="G8" s="344">
        <f t="shared" ref="G8" si="2">G7/D7</f>
        <v>1.7284325429406115</v>
      </c>
      <c r="H8" s="370"/>
    </row>
    <row r="9" spans="1:8" ht="25.2" customHeight="1" x14ac:dyDescent="0.3">
      <c r="A9" s="378" t="s">
        <v>298</v>
      </c>
      <c r="B9" s="337">
        <v>2269800</v>
      </c>
      <c r="C9" s="337">
        <v>1134900</v>
      </c>
      <c r="D9" s="340">
        <v>11822529</v>
      </c>
      <c r="E9" s="379" t="s">
        <v>300</v>
      </c>
      <c r="F9" s="380"/>
      <c r="G9" s="381"/>
      <c r="H9" s="372" t="s">
        <v>306</v>
      </c>
    </row>
    <row r="10" spans="1:8" x14ac:dyDescent="0.3">
      <c r="A10" s="378"/>
      <c r="B10" s="387"/>
      <c r="C10" s="387"/>
      <c r="D10" s="388"/>
      <c r="E10" s="382"/>
      <c r="F10" s="383"/>
      <c r="G10" s="384"/>
      <c r="H10" s="373"/>
    </row>
    <row r="11" spans="1:8" ht="28.8" customHeight="1" x14ac:dyDescent="0.3">
      <c r="A11" s="378" t="s">
        <v>299</v>
      </c>
      <c r="B11" s="337">
        <f>SUM(B7,B9)</f>
        <v>4305000</v>
      </c>
      <c r="C11" s="337">
        <f>SUM(C7,C9)</f>
        <v>1643700</v>
      </c>
      <c r="D11" s="340">
        <f>SUM(D7,D9)</f>
        <v>15610435</v>
      </c>
      <c r="E11" s="342">
        <v>3576000</v>
      </c>
      <c r="F11" s="337">
        <v>894000</v>
      </c>
      <c r="G11" s="340">
        <v>6547140</v>
      </c>
      <c r="H11" s="370" t="s">
        <v>303</v>
      </c>
    </row>
    <row r="12" spans="1:8" x14ac:dyDescent="0.3">
      <c r="A12" s="378"/>
      <c r="B12" s="376" t="s">
        <v>301</v>
      </c>
      <c r="C12" s="376"/>
      <c r="D12" s="377"/>
      <c r="E12" s="343">
        <f>E11/B11</f>
        <v>0.83066202090592334</v>
      </c>
      <c r="F12" s="338">
        <f t="shared" ref="F12" si="3">F11/C11</f>
        <v>0.54389487132688452</v>
      </c>
      <c r="G12" s="344">
        <f t="shared" ref="G12" si="4">G11/D11</f>
        <v>0.41940791528230958</v>
      </c>
      <c r="H12" s="370"/>
    </row>
    <row r="13" spans="1:8" x14ac:dyDescent="0.3">
      <c r="A13" s="480" t="s">
        <v>317</v>
      </c>
    </row>
    <row r="15" spans="1:8" ht="16.8" customHeight="1" x14ac:dyDescent="0.3">
      <c r="A15" s="368" t="s">
        <v>311</v>
      </c>
      <c r="B15" s="368"/>
      <c r="C15" s="368"/>
      <c r="D15" s="368"/>
      <c r="E15" s="368"/>
      <c r="F15" s="368"/>
      <c r="G15" s="368"/>
      <c r="H15" s="368"/>
    </row>
    <row r="16" spans="1:8" x14ac:dyDescent="0.3">
      <c r="A16" s="368"/>
      <c r="B16" s="368"/>
      <c r="C16" s="368"/>
      <c r="D16" s="368"/>
      <c r="E16" s="368"/>
      <c r="F16" s="368"/>
      <c r="G16" s="368"/>
      <c r="H16" s="368"/>
    </row>
    <row r="18" spans="1:1" x14ac:dyDescent="0.3">
      <c r="A18" t="s">
        <v>313</v>
      </c>
    </row>
    <row r="19" spans="1:1" x14ac:dyDescent="0.3">
      <c r="A19" t="s">
        <v>314</v>
      </c>
    </row>
    <row r="20" spans="1:1" x14ac:dyDescent="0.3">
      <c r="A20" t="s">
        <v>315</v>
      </c>
    </row>
    <row r="21" spans="1:1" x14ac:dyDescent="0.3">
      <c r="A21" t="s">
        <v>316</v>
      </c>
    </row>
  </sheetData>
  <mergeCells count="18">
    <mergeCell ref="B8:D8"/>
    <mergeCell ref="B10:D10"/>
    <mergeCell ref="A15:H16"/>
    <mergeCell ref="A3:A4"/>
    <mergeCell ref="H7:H8"/>
    <mergeCell ref="H5:H6"/>
    <mergeCell ref="H9:H10"/>
    <mergeCell ref="H11:H12"/>
    <mergeCell ref="H3:H4"/>
    <mergeCell ref="B12:D12"/>
    <mergeCell ref="A5:A6"/>
    <mergeCell ref="A7:A8"/>
    <mergeCell ref="A9:A10"/>
    <mergeCell ref="A11:A12"/>
    <mergeCell ref="E9:G10"/>
    <mergeCell ref="E3:G3"/>
    <mergeCell ref="B3:D3"/>
    <mergeCell ref="B6:D6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1:P27"/>
  <sheetViews>
    <sheetView workbookViewId="0">
      <selection activeCell="D23" sqref="D23"/>
    </sheetView>
  </sheetViews>
  <sheetFormatPr defaultRowHeight="14.4" x14ac:dyDescent="0.3"/>
  <cols>
    <col min="1" max="1" width="16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1" spans="1:7" x14ac:dyDescent="0.3">
      <c r="A1" s="159" t="s">
        <v>277</v>
      </c>
      <c r="B1" s="315"/>
      <c r="C1" s="315"/>
      <c r="D1" s="315"/>
      <c r="E1" s="315"/>
      <c r="F1" s="315"/>
      <c r="G1" s="315"/>
    </row>
    <row r="2" spans="1:7" x14ac:dyDescent="0.3">
      <c r="A2" s="320" t="s">
        <v>278</v>
      </c>
      <c r="B2" s="315"/>
      <c r="C2" s="315"/>
      <c r="D2" s="315"/>
      <c r="E2" s="315"/>
      <c r="F2" s="315"/>
      <c r="G2" s="315"/>
    </row>
    <row r="3" spans="1:7" ht="41.4" x14ac:dyDescent="0.3">
      <c r="A3" s="316" t="s">
        <v>222</v>
      </c>
      <c r="B3" s="316" t="s">
        <v>279</v>
      </c>
      <c r="C3" s="316" t="s">
        <v>280</v>
      </c>
      <c r="D3" s="316" t="s">
        <v>223</v>
      </c>
      <c r="E3" s="316" t="s">
        <v>224</v>
      </c>
      <c r="F3" s="316" t="s">
        <v>225</v>
      </c>
      <c r="G3" s="315"/>
    </row>
    <row r="4" spans="1:7" x14ac:dyDescent="0.3">
      <c r="A4" s="251" t="s">
        <v>226</v>
      </c>
      <c r="B4" s="317">
        <v>3501577</v>
      </c>
      <c r="C4" s="317">
        <v>7003154</v>
      </c>
      <c r="D4" s="317">
        <v>5111928</v>
      </c>
      <c r="E4" s="317">
        <v>-1891226</v>
      </c>
      <c r="F4" s="319">
        <v>-0.27</v>
      </c>
      <c r="G4" s="315"/>
    </row>
    <row r="5" spans="1:7" ht="20.399999999999999" x14ac:dyDescent="0.3">
      <c r="A5" s="251" t="s">
        <v>227</v>
      </c>
      <c r="B5" s="317">
        <v>18052530</v>
      </c>
      <c r="C5" s="317">
        <v>36105060</v>
      </c>
      <c r="D5" s="317">
        <v>40058044</v>
      </c>
      <c r="E5" s="317">
        <v>3952984</v>
      </c>
      <c r="F5" s="319">
        <v>0.11</v>
      </c>
      <c r="G5" s="315"/>
    </row>
    <row r="6" spans="1:7" x14ac:dyDescent="0.3">
      <c r="A6" s="254" t="s">
        <v>228</v>
      </c>
      <c r="B6" s="317">
        <v>18405848</v>
      </c>
      <c r="C6" s="317">
        <v>36811696</v>
      </c>
      <c r="D6" s="317">
        <v>25228000</v>
      </c>
      <c r="E6" s="317">
        <v>-11583696</v>
      </c>
      <c r="F6" s="319">
        <v>-0.31</v>
      </c>
      <c r="G6" s="306" t="s">
        <v>108</v>
      </c>
    </row>
    <row r="7" spans="1:7" x14ac:dyDescent="0.3">
      <c r="A7" s="254" t="s">
        <v>229</v>
      </c>
      <c r="B7" s="317">
        <v>2247994</v>
      </c>
      <c r="C7" s="317">
        <v>4495988</v>
      </c>
      <c r="D7" s="317">
        <v>7242494</v>
      </c>
      <c r="E7" s="317">
        <v>2746506</v>
      </c>
      <c r="F7" s="319">
        <v>0.61</v>
      </c>
      <c r="G7" s="306" t="s">
        <v>96</v>
      </c>
    </row>
    <row r="8" spans="1:7" x14ac:dyDescent="0.3">
      <c r="A8" s="251" t="s">
        <v>230</v>
      </c>
      <c r="B8" s="317">
        <v>0</v>
      </c>
      <c r="C8" s="317">
        <v>0</v>
      </c>
      <c r="D8" s="317">
        <v>0</v>
      </c>
      <c r="E8" s="317">
        <v>0</v>
      </c>
      <c r="F8" s="319"/>
      <c r="G8" s="315"/>
    </row>
    <row r="9" spans="1:7" x14ac:dyDescent="0.3">
      <c r="A9" s="254" t="s">
        <v>231</v>
      </c>
      <c r="B9" s="317">
        <v>3630286</v>
      </c>
      <c r="C9" s="317">
        <v>7260572</v>
      </c>
      <c r="D9" s="317">
        <v>5155000</v>
      </c>
      <c r="E9" s="317">
        <v>-2105572</v>
      </c>
      <c r="F9" s="319">
        <v>-0.28999999999999998</v>
      </c>
      <c r="G9" s="306" t="s">
        <v>94</v>
      </c>
    </row>
    <row r="10" spans="1:7" x14ac:dyDescent="0.3">
      <c r="A10" s="254" t="s">
        <v>232</v>
      </c>
      <c r="B10" s="317">
        <v>2397883</v>
      </c>
      <c r="C10" s="317">
        <v>4795766</v>
      </c>
      <c r="D10" s="317">
        <v>7077000</v>
      </c>
      <c r="E10" s="317">
        <v>2281234</v>
      </c>
      <c r="F10" s="319">
        <v>0.48</v>
      </c>
      <c r="G10" s="315" t="s">
        <v>95</v>
      </c>
    </row>
    <row r="11" spans="1:7" x14ac:dyDescent="0.3">
      <c r="A11" s="254" t="s">
        <v>233</v>
      </c>
      <c r="B11" s="317">
        <v>5291870</v>
      </c>
      <c r="C11" s="317">
        <v>10583740</v>
      </c>
      <c r="D11" s="317">
        <v>21601934</v>
      </c>
      <c r="E11" s="317">
        <v>11018194</v>
      </c>
      <c r="F11" s="319">
        <v>1.04</v>
      </c>
      <c r="G11" s="315" t="s">
        <v>93</v>
      </c>
    </row>
    <row r="12" spans="1:7" x14ac:dyDescent="0.3">
      <c r="A12" s="251" t="s">
        <v>234</v>
      </c>
      <c r="B12" s="317">
        <v>2027584</v>
      </c>
      <c r="C12" s="317">
        <v>4055168</v>
      </c>
      <c r="D12" s="317">
        <v>0</v>
      </c>
      <c r="E12" s="317">
        <v>-4055168</v>
      </c>
      <c r="F12" s="319">
        <v>-1</v>
      </c>
      <c r="G12" s="315"/>
    </row>
    <row r="13" spans="1:7" ht="15" thickBot="1" x14ac:dyDescent="0.35">
      <c r="A13" s="252" t="s">
        <v>103</v>
      </c>
      <c r="B13" s="318">
        <v>55555572</v>
      </c>
      <c r="C13" s="321">
        <v>111111144</v>
      </c>
      <c r="D13" s="321">
        <v>111474400</v>
      </c>
      <c r="E13" s="321">
        <v>363256</v>
      </c>
      <c r="F13" s="322">
        <v>0</v>
      </c>
      <c r="G13" s="293">
        <f>C6+C7+C9+C10+C11</f>
        <v>63947762</v>
      </c>
    </row>
    <row r="14" spans="1:7" ht="15" thickTop="1" x14ac:dyDescent="0.3"/>
    <row r="15" spans="1:7" x14ac:dyDescent="0.3">
      <c r="D15" s="297">
        <v>0.9</v>
      </c>
      <c r="E15" s="297">
        <v>1.1000000000000001</v>
      </c>
    </row>
    <row r="16" spans="1:7" ht="43.2" x14ac:dyDescent="0.3">
      <c r="A16" s="294" t="s">
        <v>3</v>
      </c>
      <c r="B16" s="294" t="s">
        <v>267</v>
      </c>
      <c r="C16" s="294" t="s">
        <v>291</v>
      </c>
      <c r="D16" s="294" t="s">
        <v>268</v>
      </c>
      <c r="E16" s="294" t="s">
        <v>269</v>
      </c>
      <c r="F16" s="294" t="s">
        <v>272</v>
      </c>
    </row>
    <row r="17" spans="1:16" ht="26.4" customHeight="1" x14ac:dyDescent="0.3">
      <c r="A17" s="332" t="s">
        <v>270</v>
      </c>
      <c r="B17" s="295">
        <v>5991499</v>
      </c>
      <c r="C17" s="329">
        <v>6144600</v>
      </c>
      <c r="D17" s="296">
        <f>B17*0.8</f>
        <v>4793199.2</v>
      </c>
      <c r="E17" s="298">
        <f>B17*1.2</f>
        <v>7189798.7999999998</v>
      </c>
      <c r="F17" s="389" t="s">
        <v>307</v>
      </c>
      <c r="G17" s="389"/>
      <c r="H17" s="389"/>
      <c r="I17" s="389"/>
      <c r="J17" s="389"/>
      <c r="K17" s="389"/>
      <c r="L17" s="389"/>
      <c r="M17" s="389"/>
      <c r="N17" s="389"/>
      <c r="O17" s="389"/>
      <c r="P17" s="389"/>
    </row>
    <row r="18" spans="1:16" ht="28.8" customHeight="1" x14ac:dyDescent="0.3">
      <c r="A18" s="333" t="s">
        <v>271</v>
      </c>
      <c r="B18" s="295">
        <v>15610435</v>
      </c>
      <c r="C18" s="329">
        <v>13000000</v>
      </c>
      <c r="D18" s="296">
        <f>B18*0.8</f>
        <v>12488348</v>
      </c>
      <c r="E18" s="298">
        <f>B18*1.2</f>
        <v>18732522</v>
      </c>
      <c r="F18" s="389" t="s">
        <v>308</v>
      </c>
      <c r="G18" s="389"/>
      <c r="H18" s="389"/>
      <c r="I18" s="389"/>
      <c r="J18" s="389"/>
      <c r="K18" s="389"/>
      <c r="L18" s="389"/>
      <c r="M18" s="389"/>
      <c r="N18" s="389"/>
      <c r="O18" s="389"/>
      <c r="P18" s="389"/>
    </row>
    <row r="19" spans="1:16" ht="23.4" customHeight="1" x14ac:dyDescent="0.3">
      <c r="A19" s="332" t="s">
        <v>95</v>
      </c>
      <c r="B19" s="295">
        <v>3804716</v>
      </c>
      <c r="C19" s="329">
        <f>B19</f>
        <v>3804716</v>
      </c>
      <c r="D19" s="296">
        <f>B19*0.9</f>
        <v>3424244.4</v>
      </c>
      <c r="E19" s="298">
        <f>B19*1.1</f>
        <v>4185187.6000000006</v>
      </c>
      <c r="F19" s="389" t="s">
        <v>309</v>
      </c>
      <c r="G19" s="389"/>
      <c r="H19" s="389"/>
      <c r="I19" s="389"/>
      <c r="J19" s="389"/>
      <c r="K19" s="389"/>
      <c r="L19" s="389"/>
      <c r="M19" s="389"/>
      <c r="N19" s="389"/>
      <c r="O19" s="389"/>
      <c r="P19" s="389"/>
    </row>
    <row r="20" spans="1:16" ht="27.6" customHeight="1" x14ac:dyDescent="0.3">
      <c r="A20" s="333" t="s">
        <v>94</v>
      </c>
      <c r="B20" s="295">
        <v>4440000</v>
      </c>
      <c r="C20" s="330">
        <f>(C9/D9)*B20</f>
        <v>6253528.5509214355</v>
      </c>
      <c r="D20" s="331">
        <f>B20</f>
        <v>4440000</v>
      </c>
      <c r="E20" s="330">
        <f>C20</f>
        <v>6253528.5509214355</v>
      </c>
      <c r="F20" s="390" t="s">
        <v>292</v>
      </c>
      <c r="G20" s="390"/>
      <c r="H20" s="390"/>
      <c r="I20" s="390"/>
      <c r="J20" s="390"/>
      <c r="K20" s="390"/>
      <c r="L20" s="390"/>
      <c r="M20" s="390"/>
      <c r="N20" s="390"/>
      <c r="O20" s="390"/>
      <c r="P20" s="390"/>
    </row>
    <row r="21" spans="1:16" ht="30" customHeight="1" x14ac:dyDescent="0.3">
      <c r="A21" s="333" t="s">
        <v>108</v>
      </c>
      <c r="B21" s="295">
        <v>22954000</v>
      </c>
      <c r="C21" s="298">
        <f>C6</f>
        <v>36811696</v>
      </c>
      <c r="D21" s="296">
        <f>B21</f>
        <v>22954000</v>
      </c>
      <c r="E21" s="298">
        <f>C21</f>
        <v>36811696</v>
      </c>
      <c r="F21" s="390" t="s">
        <v>310</v>
      </c>
      <c r="G21" s="390"/>
      <c r="H21" s="390"/>
      <c r="I21" s="390"/>
      <c r="J21" s="390"/>
      <c r="K21" s="390"/>
      <c r="L21" s="390"/>
      <c r="M21" s="390"/>
      <c r="N21" s="390"/>
      <c r="O21" s="390"/>
      <c r="P21" s="390"/>
    </row>
    <row r="22" spans="1:16" ht="26.4" customHeight="1" x14ac:dyDescent="0.3">
      <c r="A22" s="332" t="s">
        <v>96</v>
      </c>
      <c r="B22" s="295">
        <v>7818984</v>
      </c>
      <c r="C22" s="299">
        <f>C7</f>
        <v>4495988</v>
      </c>
      <c r="D22" s="300">
        <f>B22*0.8</f>
        <v>6255187.2000000002</v>
      </c>
      <c r="E22" s="300">
        <f>B22*1.1</f>
        <v>8600882.4000000004</v>
      </c>
      <c r="F22" s="389" t="s">
        <v>293</v>
      </c>
      <c r="G22" s="389"/>
      <c r="H22" s="389"/>
      <c r="I22" s="389"/>
      <c r="J22" s="389"/>
      <c r="K22" s="389"/>
      <c r="L22" s="389"/>
      <c r="M22" s="389"/>
      <c r="N22" s="389"/>
      <c r="O22" s="389"/>
      <c r="P22" s="389"/>
    </row>
    <row r="23" spans="1:16" x14ac:dyDescent="0.3">
      <c r="A23" s="332" t="s">
        <v>177</v>
      </c>
      <c r="B23" s="295">
        <v>4782666</v>
      </c>
      <c r="C23" s="296">
        <f>B23</f>
        <v>4782666</v>
      </c>
      <c r="D23" s="296">
        <f>$D$15*B23</f>
        <v>4304399.4000000004</v>
      </c>
      <c r="E23" s="296">
        <f>C23*$E$15</f>
        <v>5260932.6000000006</v>
      </c>
      <c r="F23" s="389" t="s">
        <v>273</v>
      </c>
      <c r="G23" s="389"/>
      <c r="H23" s="389"/>
      <c r="I23" s="389"/>
      <c r="J23" s="389"/>
      <c r="K23" s="389"/>
      <c r="L23" s="389"/>
      <c r="M23" s="389"/>
      <c r="N23" s="389"/>
      <c r="O23" s="389"/>
      <c r="P23" s="389"/>
    </row>
    <row r="24" spans="1:16" x14ac:dyDescent="0.3">
      <c r="A24" s="332" t="s">
        <v>172</v>
      </c>
      <c r="B24" s="295">
        <v>15700000</v>
      </c>
      <c r="C24" s="296">
        <f>B24</f>
        <v>15700000</v>
      </c>
      <c r="D24" s="296">
        <f>B24*D15</f>
        <v>14130000</v>
      </c>
      <c r="E24" s="296">
        <f>C24*$E$15</f>
        <v>17270000</v>
      </c>
      <c r="F24" s="389" t="s">
        <v>273</v>
      </c>
      <c r="G24" s="389"/>
      <c r="H24" s="389"/>
      <c r="I24" s="389"/>
      <c r="J24" s="389"/>
      <c r="K24" s="389"/>
      <c r="L24" s="389"/>
      <c r="M24" s="389"/>
      <c r="N24" s="389"/>
      <c r="O24" s="389"/>
      <c r="P24" s="389"/>
    </row>
    <row r="25" spans="1:16" x14ac:dyDescent="0.3">
      <c r="A25" s="334" t="s">
        <v>103</v>
      </c>
      <c r="B25" s="302">
        <f>SUM(B17:B24)</f>
        <v>81102300</v>
      </c>
      <c r="C25" s="303">
        <f t="shared" ref="C25:E25" si="0">SUM(C17:C24)</f>
        <v>90993194.55092144</v>
      </c>
      <c r="D25" s="302">
        <f t="shared" si="0"/>
        <v>72789378.199999988</v>
      </c>
      <c r="E25" s="302">
        <f t="shared" si="0"/>
        <v>104304547.95092145</v>
      </c>
    </row>
    <row r="26" spans="1:16" x14ac:dyDescent="0.3">
      <c r="C26" s="301">
        <f>C25/B25</f>
        <v>1.1219557836327878</v>
      </c>
    </row>
    <row r="27" spans="1:16" x14ac:dyDescent="0.3">
      <c r="C27" s="296">
        <f>C25-B25</f>
        <v>9890894.5509214401</v>
      </c>
    </row>
  </sheetData>
  <mergeCells count="8">
    <mergeCell ref="F23:P23"/>
    <mergeCell ref="F24:P24"/>
    <mergeCell ref="F17:P17"/>
    <mergeCell ref="F18:P18"/>
    <mergeCell ref="F19:P19"/>
    <mergeCell ref="F20:P20"/>
    <mergeCell ref="F21:P21"/>
    <mergeCell ref="F22:P22"/>
  </mergeCells>
  <pageMargins left="0.7" right="0.7" top="0.75" bottom="0.75" header="0.3" footer="0.3"/>
  <pageSetup scale="94" fitToWidth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opLeftCell="E28" workbookViewId="0">
      <selection activeCell="I21" sqref="I21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398" t="s">
        <v>276</v>
      </c>
      <c r="C4" s="399"/>
      <c r="D4" s="399"/>
      <c r="E4" s="399"/>
      <c r="F4" s="399"/>
      <c r="G4" s="399"/>
      <c r="H4" s="399"/>
      <c r="I4" s="399"/>
    </row>
    <row r="5" spans="1:14" x14ac:dyDescent="0.3">
      <c r="A5" s="48" t="s">
        <v>79</v>
      </c>
      <c r="B5" s="1" t="s">
        <v>167</v>
      </c>
      <c r="E5" s="404" t="s">
        <v>50</v>
      </c>
      <c r="F5" s="405"/>
      <c r="G5" s="405"/>
      <c r="H5" s="405"/>
      <c r="I5" s="406"/>
    </row>
    <row r="6" spans="1:14" x14ac:dyDescent="0.3">
      <c r="A6" s="48" t="s">
        <v>80</v>
      </c>
      <c r="B6" s="1" t="s">
        <v>168</v>
      </c>
      <c r="E6" s="407" t="s">
        <v>51</v>
      </c>
      <c r="F6" s="408"/>
      <c r="G6" s="408"/>
      <c r="H6" s="408"/>
      <c r="I6" s="409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8969090.5445377752</v>
      </c>
    </row>
    <row r="10" spans="1:14" ht="14.4" thickBot="1" x14ac:dyDescent="0.35">
      <c r="A10" s="50"/>
    </row>
    <row r="11" spans="1:14" ht="27.6" x14ac:dyDescent="0.3">
      <c r="A11" s="410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411"/>
      <c r="B12" s="80">
        <v>94707436.447980255</v>
      </c>
      <c r="C12" s="81">
        <f>1*B12 - 1</f>
        <v>94707435.447980255</v>
      </c>
      <c r="D12" s="82">
        <f>1*B12 + 1</f>
        <v>94707437.447980255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56">
        <v>0.9</v>
      </c>
      <c r="H14" s="256">
        <v>1.1000000000000001</v>
      </c>
      <c r="I14" s="63" t="s">
        <v>98</v>
      </c>
      <c r="J14" s="63" t="s">
        <v>99</v>
      </c>
    </row>
    <row r="15" spans="1:14" ht="27.6" customHeight="1" x14ac:dyDescent="0.3">
      <c r="A15" s="412" t="s">
        <v>2</v>
      </c>
      <c r="B15" s="391" t="s">
        <v>3</v>
      </c>
      <c r="C15" s="391" t="s">
        <v>38</v>
      </c>
      <c r="D15" s="391" t="s">
        <v>169</v>
      </c>
      <c r="E15" s="400" t="s">
        <v>86</v>
      </c>
      <c r="F15" s="402"/>
      <c r="G15" s="413" t="s">
        <v>237</v>
      </c>
      <c r="H15" s="414"/>
      <c r="I15" s="413" t="s">
        <v>89</v>
      </c>
      <c r="J15" s="414"/>
      <c r="K15" s="400" t="s">
        <v>90</v>
      </c>
      <c r="L15" s="401"/>
      <c r="M15" s="401"/>
      <c r="N15" s="402"/>
    </row>
    <row r="16" spans="1:14" ht="27.6" x14ac:dyDescent="0.3">
      <c r="A16" s="392"/>
      <c r="B16" s="392"/>
      <c r="C16" s="392"/>
      <c r="D16" s="392"/>
      <c r="E16" s="105" t="s">
        <v>261</v>
      </c>
      <c r="F16" s="105" t="s">
        <v>262</v>
      </c>
      <c r="G16" s="105" t="s">
        <v>87</v>
      </c>
      <c r="H16" s="105" t="s">
        <v>88</v>
      </c>
      <c r="I16" s="62" t="s">
        <v>259</v>
      </c>
      <c r="J16" s="62" t="s">
        <v>260</v>
      </c>
      <c r="K16" s="105" t="s">
        <v>235</v>
      </c>
      <c r="L16" s="105" t="s">
        <v>236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v>4493624.25</v>
      </c>
      <c r="H17" s="73">
        <v>6590648.9000000004</v>
      </c>
      <c r="I17" s="266">
        <v>6590648.9000000013</v>
      </c>
      <c r="J17" s="64">
        <f>JANSample!F9</f>
        <v>2538463.733113369</v>
      </c>
      <c r="K17" s="58">
        <f>I17-E17</f>
        <v>599149.9000000013</v>
      </c>
      <c r="L17" s="58">
        <f>J17-F17</f>
        <v>227698.45431867149</v>
      </c>
      <c r="M17" s="59">
        <f>K17/E17</f>
        <v>0.10000000000000021</v>
      </c>
      <c r="N17" s="59">
        <f>L17/F17</f>
        <v>9.8538114800409207E-2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v>15610435</v>
      </c>
      <c r="H18" s="74">
        <v>18732522</v>
      </c>
      <c r="I18" s="267">
        <v>18732522</v>
      </c>
      <c r="J18" s="65">
        <f>JMTSample!F9</f>
        <v>3195832.4397713416</v>
      </c>
      <c r="K18" s="60">
        <f t="shared" ref="K18:L22" si="0">I18-E18</f>
        <v>3122087</v>
      </c>
      <c r="L18" s="60">
        <f t="shared" si="0"/>
        <v>533167.59135928797</v>
      </c>
      <c r="M18" s="61">
        <f t="shared" ref="M18:N25" si="1">K18/E18</f>
        <v>0.2</v>
      </c>
      <c r="N18" s="61">
        <f t="shared" si="1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v>3804716</v>
      </c>
      <c r="H19" s="74">
        <v>4185187.6000000006</v>
      </c>
      <c r="I19" s="267">
        <v>3804716</v>
      </c>
      <c r="J19" s="65">
        <f>JJVCH!F9</f>
        <v>150560.70106149331</v>
      </c>
      <c r="K19" s="60">
        <f t="shared" si="0"/>
        <v>0</v>
      </c>
      <c r="L19" s="60">
        <f t="shared" si="0"/>
        <v>0</v>
      </c>
      <c r="M19" s="61">
        <f t="shared" si="1"/>
        <v>0</v>
      </c>
      <c r="N19" s="61">
        <f t="shared" si="1"/>
        <v>0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v>4440000</v>
      </c>
      <c r="H20" s="74">
        <v>6253528.5509214355</v>
      </c>
      <c r="I20" s="267">
        <v>4440000</v>
      </c>
      <c r="J20" s="65">
        <f>JJMMF!F9</f>
        <v>25689.160192131658</v>
      </c>
      <c r="K20" s="60">
        <f t="shared" si="0"/>
        <v>0</v>
      </c>
      <c r="L20" s="60">
        <f t="shared" si="0"/>
        <v>0</v>
      </c>
      <c r="M20" s="61">
        <f t="shared" si="1"/>
        <v>0</v>
      </c>
      <c r="N20" s="61">
        <f t="shared" si="1"/>
        <v>0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v>22954000</v>
      </c>
      <c r="H21" s="74">
        <v>36811696</v>
      </c>
      <c r="I21" s="267">
        <v>36449962.981371641</v>
      </c>
      <c r="J21" s="65">
        <f>JJHCC!F9</f>
        <v>2339317.2732863105</v>
      </c>
      <c r="K21" s="60">
        <f t="shared" si="0"/>
        <v>13495962.981371641</v>
      </c>
      <c r="L21" s="60">
        <f t="shared" si="0"/>
        <v>743425.25892594759</v>
      </c>
      <c r="M21" s="61">
        <f t="shared" si="1"/>
        <v>0.58795691301610353</v>
      </c>
      <c r="N21" s="61">
        <f t="shared" si="1"/>
        <v>0.46583681867968624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v>6255187.2000000002</v>
      </c>
      <c r="H22" s="74">
        <v>8600882.4000000004</v>
      </c>
      <c r="I22" s="267">
        <v>6255187.2000000002</v>
      </c>
      <c r="J22" s="65">
        <f>JJMCM!F9</f>
        <v>309475.52118794719</v>
      </c>
      <c r="K22" s="60">
        <f t="shared" si="0"/>
        <v>-1563796.7999999998</v>
      </c>
      <c r="L22" s="60">
        <f t="shared" si="0"/>
        <v>-68807.719947315694</v>
      </c>
      <c r="M22" s="61">
        <f t="shared" si="1"/>
        <v>-0.19999999999999998</v>
      </c>
      <c r="N22" s="61">
        <f t="shared" si="1"/>
        <v>-0.18189470868658464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4782666</v>
      </c>
      <c r="F23" s="57">
        <f>JJHCC_ACQ!I9</f>
        <v>91344.414528190871</v>
      </c>
      <c r="G23" s="74">
        <v>4304399.4000000004</v>
      </c>
      <c r="H23" s="74">
        <v>5260932.6000000006</v>
      </c>
      <c r="I23" s="267">
        <v>4304399.4000000004</v>
      </c>
      <c r="J23" s="65">
        <f>JJHCC_ACQ!F9</f>
        <v>82528.409285203234</v>
      </c>
      <c r="K23" s="60">
        <f t="shared" ref="K23:K24" si="2">I23-E23</f>
        <v>-478266.59999999963</v>
      </c>
      <c r="L23" s="60">
        <f t="shared" ref="L23:L24" si="3">J23-F23</f>
        <v>-8816.0052429876378</v>
      </c>
      <c r="M23" s="61">
        <f t="shared" ref="M23:M24" si="4">K23/E23</f>
        <v>-9.9999999999999922E-2</v>
      </c>
      <c r="N23" s="61">
        <f t="shared" ref="N23:N24" si="5">L23/F23</f>
        <v>-9.6513895113606835E-2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v>14130000</v>
      </c>
      <c r="H24" s="74">
        <v>17270000</v>
      </c>
      <c r="I24" s="267">
        <v>14130000.000000002</v>
      </c>
      <c r="J24" s="65">
        <f>JJHCC_ADH!F9</f>
        <v>327223.30663997866</v>
      </c>
      <c r="K24" s="60">
        <f t="shared" si="2"/>
        <v>-1569999.9999999981</v>
      </c>
      <c r="L24" s="60">
        <f t="shared" si="3"/>
        <v>-33609.430473422632</v>
      </c>
      <c r="M24" s="61">
        <f t="shared" si="4"/>
        <v>-9.9999999999999881E-2</v>
      </c>
      <c r="N24" s="61">
        <f t="shared" si="5"/>
        <v>-9.3144072076974477E-2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81102300</v>
      </c>
      <c r="F25" s="77">
        <f t="shared" si="6"/>
        <v>7576032.3955975948</v>
      </c>
      <c r="G25" s="76">
        <f t="shared" si="6"/>
        <v>75992361.849999994</v>
      </c>
      <c r="H25" s="76">
        <f t="shared" si="6"/>
        <v>103705398.05092144</v>
      </c>
      <c r="I25" s="83">
        <f t="shared" si="6"/>
        <v>94707436.481371656</v>
      </c>
      <c r="J25" s="268">
        <f t="shared" si="6"/>
        <v>8969090.5445377752</v>
      </c>
      <c r="K25" s="76">
        <f>SUM(K17:K24)</f>
        <v>13605136.481371645</v>
      </c>
      <c r="L25" s="268">
        <f>SUM(L17:L24)</f>
        <v>1393058.1489401811</v>
      </c>
      <c r="M25" s="79">
        <f>K25/E25</f>
        <v>0.16775278236710481</v>
      </c>
      <c r="N25" s="79">
        <f t="shared" si="1"/>
        <v>0.18387700529761228</v>
      </c>
    </row>
    <row r="29" spans="1:14" s="249" customFormat="1" x14ac:dyDescent="0.3"/>
    <row r="30" spans="1:14" ht="55.2" x14ac:dyDescent="0.3">
      <c r="A30" s="403" t="s">
        <v>238</v>
      </c>
      <c r="D30" s="284" t="s">
        <v>149</v>
      </c>
      <c r="E30" s="284" t="s">
        <v>252</v>
      </c>
      <c r="F30" s="284" t="s">
        <v>256</v>
      </c>
      <c r="G30" s="284" t="s">
        <v>253</v>
      </c>
      <c r="H30" s="284" t="s">
        <v>254</v>
      </c>
      <c r="I30" s="284" t="s">
        <v>255</v>
      </c>
    </row>
    <row r="31" spans="1:14" x14ac:dyDescent="0.3">
      <c r="A31" s="403"/>
      <c r="D31" s="285">
        <v>11.53</v>
      </c>
      <c r="E31" s="286">
        <v>1876</v>
      </c>
      <c r="F31" s="286">
        <v>1118</v>
      </c>
      <c r="G31" s="287">
        <v>194</v>
      </c>
      <c r="H31" s="288">
        <v>0.4</v>
      </c>
      <c r="I31" s="287">
        <f>(1-H31)*G31</f>
        <v>116.39999999999999</v>
      </c>
    </row>
    <row r="32" spans="1:14" ht="13.8" customHeight="1" x14ac:dyDescent="0.3">
      <c r="A32" s="415" t="s">
        <v>2</v>
      </c>
      <c r="B32" s="391" t="s">
        <v>3</v>
      </c>
      <c r="C32" s="391" t="str">
        <f t="shared" ref="C32:C42" si="7">D15</f>
        <v>Response Scaling Factor for Sensitivity Analysis</v>
      </c>
      <c r="D32" s="393" t="s">
        <v>86</v>
      </c>
      <c r="E32" s="394"/>
      <c r="F32" s="394"/>
      <c r="G32" s="395"/>
      <c r="H32" s="396" t="s">
        <v>89</v>
      </c>
      <c r="I32" s="397"/>
      <c r="J32" s="397"/>
      <c r="K32" s="393" t="s">
        <v>247</v>
      </c>
      <c r="L32" s="394"/>
      <c r="M32" s="394"/>
      <c r="N32" s="395"/>
    </row>
    <row r="33" spans="1:14" ht="74.400000000000006" customHeight="1" x14ac:dyDescent="0.3">
      <c r="A33" s="392"/>
      <c r="B33" s="392"/>
      <c r="C33" s="392">
        <f t="shared" si="7"/>
        <v>0</v>
      </c>
      <c r="D33" s="182" t="s">
        <v>240</v>
      </c>
      <c r="E33" s="182" t="s">
        <v>239</v>
      </c>
      <c r="F33" s="182" t="s">
        <v>241</v>
      </c>
      <c r="G33" s="182" t="s">
        <v>257</v>
      </c>
      <c r="H33" s="62" t="s">
        <v>245</v>
      </c>
      <c r="I33" s="62" t="s">
        <v>246</v>
      </c>
      <c r="J33" s="62" t="s">
        <v>258</v>
      </c>
      <c r="K33" s="182" t="s">
        <v>248</v>
      </c>
      <c r="L33" s="182" t="s">
        <v>249</v>
      </c>
      <c r="M33" s="182" t="s">
        <v>250</v>
      </c>
      <c r="N33" s="182" t="s">
        <v>251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59">
        <f t="shared" ref="D34:D41" si="8">E17</f>
        <v>5991499</v>
      </c>
      <c r="E34" s="257" t="s">
        <v>185</v>
      </c>
      <c r="F34" s="261">
        <f>F17/$D$31</f>
        <v>200413.29391107525</v>
      </c>
      <c r="G34" s="263">
        <f>F34*$F$31</f>
        <v>224062062.59258214</v>
      </c>
      <c r="H34" s="269">
        <f t="shared" ref="H34:H41" si="9">I17</f>
        <v>6590648.9000000013</v>
      </c>
      <c r="I34" s="261">
        <f>J17/$D$31</f>
        <v>220161.64207401293</v>
      </c>
      <c r="J34" s="272">
        <f>I34*$F$31</f>
        <v>246140715.83874646</v>
      </c>
      <c r="K34" s="259">
        <f>H34-D34</f>
        <v>599149.9000000013</v>
      </c>
      <c r="L34" s="259">
        <f>J34-G34</f>
        <v>22078653.246164322</v>
      </c>
      <c r="M34" s="275">
        <f>K34/D34</f>
        <v>0.10000000000000021</v>
      </c>
      <c r="N34" s="276">
        <f>L34/G34</f>
        <v>9.8538114800409166E-2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0">
        <f t="shared" si="8"/>
        <v>15610435</v>
      </c>
      <c r="E35" s="258" t="s">
        <v>185</v>
      </c>
      <c r="F35" s="262">
        <f t="shared" ref="F35:F40" si="10">F18/$D$31</f>
        <v>230933.63819705584</v>
      </c>
      <c r="G35" s="264">
        <f t="shared" ref="G35:G40" si="11">F35*$F$31</f>
        <v>258183807.50430843</v>
      </c>
      <c r="H35" s="270">
        <f t="shared" si="9"/>
        <v>18732522</v>
      </c>
      <c r="I35" s="262">
        <f t="shared" ref="I35:I40" si="12">J18/$D$31</f>
        <v>277175.40674512938</v>
      </c>
      <c r="J35" s="273">
        <f t="shared" ref="J35:J40" si="13">I35*$F$31</f>
        <v>309882104.74105465</v>
      </c>
      <c r="K35" s="260">
        <f t="shared" ref="K35:K42" si="14">H35-D35</f>
        <v>3122087</v>
      </c>
      <c r="L35" s="260">
        <f t="shared" ref="L35:L42" si="15">J35-G35</f>
        <v>51698297.236746222</v>
      </c>
      <c r="M35" s="277">
        <f t="shared" ref="M35:M42" si="16">K35/D35</f>
        <v>0.2</v>
      </c>
      <c r="N35" s="278">
        <f t="shared" ref="N35:N42" si="17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0">
        <f t="shared" si="8"/>
        <v>3804716</v>
      </c>
      <c r="E36" s="258" t="s">
        <v>185</v>
      </c>
      <c r="F36" s="262">
        <f t="shared" si="10"/>
        <v>13058.170083390574</v>
      </c>
      <c r="G36" s="264">
        <f t="shared" si="11"/>
        <v>14599034.153230662</v>
      </c>
      <c r="H36" s="270">
        <f t="shared" si="9"/>
        <v>3804716</v>
      </c>
      <c r="I36" s="262">
        <f t="shared" si="12"/>
        <v>13058.170083390574</v>
      </c>
      <c r="J36" s="273">
        <f t="shared" si="13"/>
        <v>14599034.153230662</v>
      </c>
      <c r="K36" s="260">
        <f t="shared" si="14"/>
        <v>0</v>
      </c>
      <c r="L36" s="260">
        <f t="shared" si="15"/>
        <v>0</v>
      </c>
      <c r="M36" s="277">
        <f t="shared" si="16"/>
        <v>0</v>
      </c>
      <c r="N36" s="278">
        <f t="shared" si="17"/>
        <v>0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0">
        <f t="shared" si="8"/>
        <v>4440000</v>
      </c>
      <c r="E37" s="258" t="s">
        <v>185</v>
      </c>
      <c r="F37" s="262">
        <f t="shared" si="10"/>
        <v>2228.0277703496668</v>
      </c>
      <c r="G37" s="264">
        <f t="shared" si="11"/>
        <v>2490935.0472509274</v>
      </c>
      <c r="H37" s="270">
        <f t="shared" si="9"/>
        <v>4440000</v>
      </c>
      <c r="I37" s="262">
        <f t="shared" si="12"/>
        <v>2228.0277703496668</v>
      </c>
      <c r="J37" s="273">
        <f t="shared" si="13"/>
        <v>2490935.0472509274</v>
      </c>
      <c r="K37" s="260">
        <f t="shared" si="14"/>
        <v>0</v>
      </c>
      <c r="L37" s="260">
        <f t="shared" si="15"/>
        <v>0</v>
      </c>
      <c r="M37" s="277">
        <f t="shared" si="16"/>
        <v>0</v>
      </c>
      <c r="N37" s="278">
        <f t="shared" si="17"/>
        <v>0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0">
        <f t="shared" si="8"/>
        <v>22954000</v>
      </c>
      <c r="E38" s="258" t="s">
        <v>185</v>
      </c>
      <c r="F38" s="262">
        <f t="shared" si="10"/>
        <v>138412.14348311909</v>
      </c>
      <c r="G38" s="264">
        <f t="shared" si="11"/>
        <v>154744776.41412714</v>
      </c>
      <c r="H38" s="270">
        <f t="shared" si="9"/>
        <v>36449962.981371641</v>
      </c>
      <c r="I38" s="262">
        <f t="shared" si="12"/>
        <v>202889.61606993154</v>
      </c>
      <c r="J38" s="273">
        <f t="shared" si="13"/>
        <v>226830590.76618347</v>
      </c>
      <c r="K38" s="260">
        <f t="shared" si="14"/>
        <v>13495962.981371641</v>
      </c>
      <c r="L38" s="260">
        <f t="shared" si="15"/>
        <v>72085814.352056324</v>
      </c>
      <c r="M38" s="277">
        <f t="shared" si="16"/>
        <v>0.58795691301610353</v>
      </c>
      <c r="N38" s="278">
        <f t="shared" si="17"/>
        <v>0.46583681867968618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0">
        <f t="shared" si="8"/>
        <v>7818984</v>
      </c>
      <c r="E39" s="258" t="s">
        <v>185</v>
      </c>
      <c r="F39" s="262">
        <f t="shared" si="10"/>
        <v>32808.607210343704</v>
      </c>
      <c r="G39" s="264">
        <f t="shared" si="11"/>
        <v>36680022.861164257</v>
      </c>
      <c r="H39" s="270">
        <f t="shared" si="9"/>
        <v>6255187.2000000002</v>
      </c>
      <c r="I39" s="262">
        <f t="shared" si="12"/>
        <v>26840.895159405656</v>
      </c>
      <c r="J39" s="273">
        <f t="shared" si="13"/>
        <v>30008120.788215525</v>
      </c>
      <c r="K39" s="260">
        <f t="shared" si="14"/>
        <v>-1563796.7999999998</v>
      </c>
      <c r="L39" s="260">
        <f t="shared" si="15"/>
        <v>-6671902.0729487315</v>
      </c>
      <c r="M39" s="277">
        <f t="shared" si="16"/>
        <v>-0.19999999999999998</v>
      </c>
      <c r="N39" s="278">
        <f t="shared" si="17"/>
        <v>-0.18189470868658447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0">
        <f t="shared" si="8"/>
        <v>4782666</v>
      </c>
      <c r="E40" s="258" t="s">
        <v>185</v>
      </c>
      <c r="F40" s="262">
        <f t="shared" si="10"/>
        <v>7922.3256312394515</v>
      </c>
      <c r="G40" s="264">
        <f t="shared" si="11"/>
        <v>8857160.0557257067</v>
      </c>
      <c r="H40" s="270">
        <f t="shared" si="9"/>
        <v>4304399.4000000004</v>
      </c>
      <c r="I40" s="262">
        <f t="shared" si="12"/>
        <v>7157.711126210168</v>
      </c>
      <c r="J40" s="273">
        <f t="shared" si="13"/>
        <v>8002321.0391029678</v>
      </c>
      <c r="K40" s="260">
        <f t="shared" si="14"/>
        <v>-478266.59999999963</v>
      </c>
      <c r="L40" s="260">
        <f t="shared" si="15"/>
        <v>-854839.01662273891</v>
      </c>
      <c r="M40" s="277">
        <f t="shared" si="16"/>
        <v>-9.9999999999999922E-2</v>
      </c>
      <c r="N40" s="278">
        <f t="shared" si="17"/>
        <v>-9.6513895113606835E-2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0">
        <f t="shared" si="8"/>
        <v>15700000</v>
      </c>
      <c r="E41" s="280" t="s">
        <v>184</v>
      </c>
      <c r="F41" s="262">
        <f t="shared" ref="F41" si="18">F24</f>
        <v>360832.73711340129</v>
      </c>
      <c r="G41" s="264">
        <f>F41*$I$31</f>
        <v>42000930.599999905</v>
      </c>
      <c r="H41" s="270">
        <f t="shared" si="9"/>
        <v>14130000.000000002</v>
      </c>
      <c r="I41" s="262">
        <f>J24</f>
        <v>327223.30663997866</v>
      </c>
      <c r="J41" s="273">
        <f>I41*$I$31</f>
        <v>38088792.892893516</v>
      </c>
      <c r="K41" s="260">
        <f t="shared" si="14"/>
        <v>-1569999.9999999981</v>
      </c>
      <c r="L41" s="260">
        <f t="shared" si="15"/>
        <v>-3912137.7071063891</v>
      </c>
      <c r="M41" s="277">
        <f t="shared" si="16"/>
        <v>-9.9999999999999881E-2</v>
      </c>
      <c r="N41" s="278">
        <f t="shared" si="17"/>
        <v>-9.3144072076974366E-2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81102300</v>
      </c>
      <c r="E42" s="77"/>
      <c r="F42" s="77"/>
      <c r="G42" s="265">
        <f>SUM(G34:G41)</f>
        <v>741618729.22838914</v>
      </c>
      <c r="H42" s="271">
        <f>SUM(H34:H41)</f>
        <v>94707436.481371656</v>
      </c>
      <c r="I42" s="77"/>
      <c r="J42" s="274">
        <f>SUM(J34:J41)</f>
        <v>876042615.26667821</v>
      </c>
      <c r="K42" s="76">
        <f t="shared" si="14"/>
        <v>13605136.481371656</v>
      </c>
      <c r="L42" s="304">
        <f t="shared" si="15"/>
        <v>134423886.03828907</v>
      </c>
      <c r="M42" s="79">
        <f t="shared" si="16"/>
        <v>0.16775278236710495</v>
      </c>
      <c r="N42" s="279">
        <f t="shared" si="17"/>
        <v>0.18125740456710046</v>
      </c>
    </row>
    <row r="43" spans="1:14" x14ac:dyDescent="0.3">
      <c r="D43" s="281">
        <v>0.54</v>
      </c>
      <c r="E43" s="281">
        <v>0.34</v>
      </c>
      <c r="F43" s="185" t="s">
        <v>242</v>
      </c>
      <c r="G43" s="282">
        <f>SUM(G34:G40)*$E$43 + (G41*$D$43)</f>
        <v>260550554.05765232</v>
      </c>
      <c r="H43" s="249"/>
      <c r="I43" s="183"/>
      <c r="J43" s="282">
        <f>SUM(J34:J40)*$E$43 + (J41*$D$43)</f>
        <v>305472247.76924926</v>
      </c>
      <c r="K43" s="249"/>
      <c r="L43" s="282">
        <f>SUM(L34:L40)*$E$43 + (L41*$D$43)</f>
        <v>44921693.711596981</v>
      </c>
      <c r="M43" s="305">
        <f>L43/L42</f>
        <v>0.33417940096450988</v>
      </c>
      <c r="N43" s="283">
        <f>N42*(L43/L42)</f>
        <v>6.0572490878615451E-2</v>
      </c>
    </row>
    <row r="44" spans="1:14" x14ac:dyDescent="0.3">
      <c r="D44" s="281">
        <v>0.46</v>
      </c>
      <c r="E44" s="281">
        <v>0.39</v>
      </c>
      <c r="F44" s="185" t="s">
        <v>243</v>
      </c>
      <c r="G44" s="282">
        <f>SUM(G34:G40)*$E$44 + (G41*$D$44)</f>
        <v>292171369.54107177</v>
      </c>
      <c r="H44" s="249"/>
      <c r="I44" s="183"/>
      <c r="J44" s="282">
        <f>SUM(J34:J40)*$E$44 + (J41*$D$44)</f>
        <v>344322835.45650703</v>
      </c>
      <c r="K44" s="249"/>
      <c r="L44" s="282">
        <f>SUM(L34:L40)*$E$44 + (L41*$D$44)</f>
        <v>52151465.915435262</v>
      </c>
      <c r="M44" s="305">
        <f>L44/L42</f>
        <v>0.3879627903375783</v>
      </c>
      <c r="N44" s="283">
        <f>N42*(L44/L42)</f>
        <v>7.032112844519961E-2</v>
      </c>
    </row>
    <row r="45" spans="1:14" x14ac:dyDescent="0.3">
      <c r="D45" s="281">
        <v>0</v>
      </c>
      <c r="E45" s="281">
        <v>0.27</v>
      </c>
      <c r="F45" s="185" t="s">
        <v>244</v>
      </c>
      <c r="G45" s="282">
        <f>SUM(G34:G40)*$E$45 + (G41*$D$45)</f>
        <v>188896805.62966511</v>
      </c>
      <c r="H45" s="249"/>
      <c r="I45" s="183"/>
      <c r="J45" s="282">
        <f>SUM(J34:J40)*$E$45 + (J41*$D$45)</f>
        <v>226247532.04092187</v>
      </c>
      <c r="K45" s="249"/>
      <c r="L45" s="282">
        <f>SUM(L34:L40)*$E$45 + (L41*$D$45)</f>
        <v>37350726.41125676</v>
      </c>
      <c r="M45" s="305">
        <f>L45/L42</f>
        <v>0.27785780869791132</v>
      </c>
      <c r="N45" s="283">
        <f>N42*(L45/L42)</f>
        <v>5.0363785243285317E-2</v>
      </c>
    </row>
    <row r="46" spans="1:14" x14ac:dyDescent="0.3">
      <c r="D46" s="249" t="s">
        <v>184</v>
      </c>
      <c r="E46" s="249" t="s">
        <v>274</v>
      </c>
      <c r="F46" s="249"/>
      <c r="G46" s="249"/>
      <c r="H46" s="249"/>
      <c r="I46" s="249"/>
      <c r="J46" s="249"/>
      <c r="K46" s="249"/>
      <c r="L46" s="249"/>
      <c r="M46" s="249"/>
      <c r="N46" s="249"/>
    </row>
    <row r="47" spans="1:14" ht="27.6" x14ac:dyDescent="0.3">
      <c r="D47" s="186" t="s">
        <v>275</v>
      </c>
      <c r="E47" s="249"/>
      <c r="F47" s="249"/>
      <c r="G47" s="249"/>
      <c r="H47" s="249"/>
      <c r="I47" s="249"/>
      <c r="J47" s="249"/>
      <c r="K47" s="249"/>
      <c r="L47" s="249"/>
      <c r="M47" s="249"/>
      <c r="N47" s="249"/>
    </row>
  </sheetData>
  <mergeCells count="19">
    <mergeCell ref="A32:A33"/>
    <mergeCell ref="B32:B33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C32:C33"/>
    <mergeCell ref="D32:G32"/>
    <mergeCell ref="H32:J32"/>
    <mergeCell ref="B4:I4"/>
    <mergeCell ref="K15:N15"/>
    <mergeCell ref="K32:N32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C9" workbookViewId="0">
      <selection activeCell="N41" sqref="N41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416" t="s">
        <v>105</v>
      </c>
      <c r="I2" s="417"/>
      <c r="J2" s="417"/>
      <c r="K2" s="417"/>
      <c r="L2" s="417"/>
      <c r="M2" s="417"/>
      <c r="N2" s="418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19" t="s">
        <v>136</v>
      </c>
      <c r="I3" s="420"/>
      <c r="J3" s="420"/>
      <c r="K3" s="420"/>
      <c r="L3" s="420"/>
      <c r="M3" s="420"/>
      <c r="N3" s="421"/>
    </row>
    <row r="4" spans="1:14" ht="18.600000000000001" customHeight="1" thickBot="1" x14ac:dyDescent="0.35">
      <c r="A4" s="29" t="s">
        <v>38</v>
      </c>
      <c r="B4" s="422" t="s">
        <v>131</v>
      </c>
      <c r="C4" s="423"/>
      <c r="D4" s="423"/>
      <c r="E4" s="423"/>
      <c r="F4" s="424"/>
    </row>
    <row r="6" spans="1:14" ht="14.4" thickBot="1" x14ac:dyDescent="0.35"/>
    <row r="7" spans="1:14" ht="27.6" customHeight="1" x14ac:dyDescent="0.3">
      <c r="A7" s="432" t="s">
        <v>8</v>
      </c>
      <c r="B7" s="426" t="s">
        <v>9</v>
      </c>
      <c r="C7" s="427"/>
      <c r="D7" s="425" t="s">
        <v>12</v>
      </c>
      <c r="E7" s="426"/>
      <c r="F7" s="427"/>
      <c r="G7" s="425" t="s">
        <v>143</v>
      </c>
      <c r="H7" s="426"/>
      <c r="I7" s="428"/>
      <c r="J7" s="1" t="s">
        <v>144</v>
      </c>
    </row>
    <row r="8" spans="1:14" ht="27.6" x14ac:dyDescent="0.3">
      <c r="A8" s="4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4"/>
      <c r="B9" s="112">
        <f>JJ_Optim_Scenario!G17</f>
        <v>4493624.25</v>
      </c>
      <c r="C9" s="113">
        <f>JJ_Optim_Scenario!H17</f>
        <v>6590648.9000000004</v>
      </c>
      <c r="D9" s="114">
        <f>JJ_Optim_Scenario!I17</f>
        <v>6590648.9000000013</v>
      </c>
      <c r="E9" s="119">
        <f>$B$13*D9+$C$13*D9*D9</f>
        <v>220161.64207401293</v>
      </c>
      <c r="F9" s="85">
        <f>$E$13*D9+$F$13*D9*D9</f>
        <v>2538463.733113369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432" t="s">
        <v>42</v>
      </c>
      <c r="B11" s="426" t="s">
        <v>138</v>
      </c>
      <c r="C11" s="426"/>
      <c r="D11" s="426" t="s">
        <v>125</v>
      </c>
      <c r="E11" s="426" t="s">
        <v>137</v>
      </c>
      <c r="F11" s="426"/>
      <c r="G11" s="428" t="s">
        <v>134</v>
      </c>
      <c r="I11" s="141"/>
      <c r="J11" s="32"/>
    </row>
    <row r="12" spans="1:14" ht="24.6" customHeight="1" x14ac:dyDescent="0.3">
      <c r="A12" s="433"/>
      <c r="B12" s="91" t="s">
        <v>43</v>
      </c>
      <c r="C12" s="91" t="s">
        <v>44</v>
      </c>
      <c r="D12" s="403"/>
      <c r="E12" s="91" t="s">
        <v>132</v>
      </c>
      <c r="F12" s="91" t="s">
        <v>133</v>
      </c>
      <c r="G12" s="429"/>
      <c r="H12" s="291" t="s">
        <v>263</v>
      </c>
      <c r="I12" s="291" t="s">
        <v>264</v>
      </c>
      <c r="J12" s="32"/>
    </row>
    <row r="13" spans="1:14" ht="14.4" thickBot="1" x14ac:dyDescent="0.35">
      <c r="A13" s="434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89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0" t="s">
        <v>135</v>
      </c>
      <c r="B14" s="430"/>
      <c r="C14" s="430"/>
      <c r="D14" s="430"/>
      <c r="E14" s="430"/>
      <c r="F14" s="430"/>
      <c r="G14" s="430"/>
      <c r="H14" s="39"/>
      <c r="I14" s="39"/>
      <c r="J14" s="39"/>
    </row>
    <row r="15" spans="1:14" ht="30.6" customHeight="1" x14ac:dyDescent="0.3">
      <c r="A15" s="431"/>
      <c r="B15" s="431"/>
      <c r="C15" s="431"/>
      <c r="D15" s="431"/>
      <c r="E15" s="431"/>
      <c r="F15" s="431"/>
      <c r="G15" s="431"/>
      <c r="H15" s="39"/>
      <c r="I15" s="39"/>
      <c r="J15" s="39"/>
    </row>
    <row r="17" spans="1:4" ht="14.4" thickBot="1" x14ac:dyDescent="0.35"/>
    <row r="18" spans="1:4" ht="16.8" customHeight="1" x14ac:dyDescent="0.3">
      <c r="A18" s="435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6"/>
      <c r="B19" s="103">
        <v>0</v>
      </c>
      <c r="C19" s="103">
        <v>15000000</v>
      </c>
      <c r="D19" s="26">
        <v>20</v>
      </c>
    </row>
    <row r="21" spans="1:4" x14ac:dyDescent="0.3">
      <c r="A21" s="403" t="s">
        <v>37</v>
      </c>
      <c r="B21" s="403"/>
      <c r="C21" s="403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2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2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2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2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2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2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2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2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2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2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2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2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2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2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2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2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2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2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2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2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2">
        <f t="shared" si="2"/>
        <v>549741061.89992487</v>
      </c>
    </row>
  </sheetData>
  <mergeCells count="15">
    <mergeCell ref="A7:A9"/>
    <mergeCell ref="B7:C7"/>
    <mergeCell ref="A21:C21"/>
    <mergeCell ref="B11:C11"/>
    <mergeCell ref="D11:D12"/>
    <mergeCell ref="E11:F11"/>
    <mergeCell ref="G11:G12"/>
    <mergeCell ref="A14:G15"/>
    <mergeCell ref="A11:A13"/>
    <mergeCell ref="A18:A19"/>
    <mergeCell ref="H2:N2"/>
    <mergeCell ref="H3:N3"/>
    <mergeCell ref="B4:F4"/>
    <mergeCell ref="D7:F7"/>
    <mergeCell ref="G7:I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416" t="s">
        <v>105</v>
      </c>
      <c r="I2" s="417"/>
      <c r="J2" s="417"/>
      <c r="K2" s="417"/>
      <c r="L2" s="417"/>
      <c r="M2" s="417"/>
      <c r="N2" s="418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19" t="s">
        <v>136</v>
      </c>
      <c r="I3" s="420"/>
      <c r="J3" s="420"/>
      <c r="K3" s="420"/>
      <c r="L3" s="420"/>
      <c r="M3" s="420"/>
      <c r="N3" s="421"/>
    </row>
    <row r="4" spans="1:14" ht="18.600000000000001" customHeight="1" thickBot="1" x14ac:dyDescent="0.35">
      <c r="A4" s="29" t="s">
        <v>38</v>
      </c>
      <c r="B4" s="422" t="s">
        <v>131</v>
      </c>
      <c r="C4" s="423"/>
      <c r="D4" s="423"/>
      <c r="E4" s="423"/>
      <c r="F4" s="424"/>
    </row>
    <row r="6" spans="1:14" ht="14.4" thickBot="1" x14ac:dyDescent="0.35"/>
    <row r="7" spans="1:14" ht="27.6" customHeight="1" x14ac:dyDescent="0.3">
      <c r="A7" s="432" t="s">
        <v>8</v>
      </c>
      <c r="B7" s="426" t="s">
        <v>9</v>
      </c>
      <c r="C7" s="427"/>
      <c r="D7" s="425" t="s">
        <v>12</v>
      </c>
      <c r="E7" s="426"/>
      <c r="F7" s="427"/>
      <c r="G7" s="425" t="s">
        <v>143</v>
      </c>
      <c r="H7" s="426"/>
      <c r="I7" s="428"/>
      <c r="J7" s="1" t="s">
        <v>144</v>
      </c>
    </row>
    <row r="8" spans="1:14" ht="27.6" x14ac:dyDescent="0.3">
      <c r="A8" s="4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4"/>
      <c r="B9" s="112">
        <f>JJ_Optim_Scenario!G18</f>
        <v>15610435</v>
      </c>
      <c r="C9" s="113">
        <f>JJ_Optim_Scenario!H18</f>
        <v>18732522</v>
      </c>
      <c r="D9" s="114">
        <f>JJ_Optim_Scenario!I18</f>
        <v>18732522</v>
      </c>
      <c r="E9" s="119">
        <f>$B$13*D9+$C$13*D9*D9</f>
        <v>277175.40674512938</v>
      </c>
      <c r="F9" s="85">
        <f>$E$13*D9+$F$13*D9*D9</f>
        <v>3195832.4397713416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432" t="s">
        <v>42</v>
      </c>
      <c r="B11" s="426" t="s">
        <v>138</v>
      </c>
      <c r="C11" s="426"/>
      <c r="D11" s="426" t="s">
        <v>125</v>
      </c>
      <c r="E11" s="426" t="s">
        <v>137</v>
      </c>
      <c r="F11" s="426"/>
      <c r="G11" s="428" t="s">
        <v>134</v>
      </c>
      <c r="J11" s="32"/>
    </row>
    <row r="12" spans="1:14" ht="24.6" customHeight="1" x14ac:dyDescent="0.3">
      <c r="A12" s="433"/>
      <c r="B12" s="91" t="s">
        <v>43</v>
      </c>
      <c r="C12" s="91" t="s">
        <v>44</v>
      </c>
      <c r="D12" s="403"/>
      <c r="E12" s="91" t="s">
        <v>132</v>
      </c>
      <c r="F12" s="91" t="s">
        <v>133</v>
      </c>
      <c r="G12" s="429"/>
      <c r="H12" s="291" t="s">
        <v>263</v>
      </c>
      <c r="I12" s="291" t="s">
        <v>264</v>
      </c>
      <c r="J12" s="32"/>
    </row>
    <row r="13" spans="1:14" ht="14.4" thickBot="1" x14ac:dyDescent="0.35">
      <c r="A13" s="434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89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0" t="s">
        <v>135</v>
      </c>
      <c r="B14" s="430"/>
      <c r="C14" s="430"/>
      <c r="D14" s="430"/>
      <c r="E14" s="430"/>
      <c r="F14" s="430"/>
      <c r="G14" s="430"/>
      <c r="H14" s="39"/>
      <c r="I14" s="39"/>
      <c r="J14" s="39"/>
    </row>
    <row r="15" spans="1:14" ht="30.6" customHeight="1" x14ac:dyDescent="0.3">
      <c r="A15" s="431"/>
      <c r="B15" s="431"/>
      <c r="C15" s="431"/>
      <c r="D15" s="431"/>
      <c r="E15" s="431"/>
      <c r="F15" s="431"/>
      <c r="G15" s="431"/>
      <c r="H15" s="39"/>
      <c r="I15" s="39"/>
      <c r="J15" s="39"/>
    </row>
    <row r="17" spans="1:4" ht="14.4" thickBot="1" x14ac:dyDescent="0.35"/>
    <row r="18" spans="1:4" ht="16.8" customHeight="1" x14ac:dyDescent="0.3">
      <c r="A18" s="435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6"/>
      <c r="B19" s="103">
        <v>0</v>
      </c>
      <c r="C19" s="103">
        <v>40000000</v>
      </c>
      <c r="D19" s="26">
        <v>20</v>
      </c>
    </row>
    <row r="21" spans="1:4" x14ac:dyDescent="0.3">
      <c r="A21" s="403" t="s">
        <v>37</v>
      </c>
      <c r="B21" s="403"/>
      <c r="C21" s="403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2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2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2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2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2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2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2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2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2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2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2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2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2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2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2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2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2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2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2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2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2">
        <f t="shared" si="2"/>
        <v>662593713.01496136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16" t="s">
        <v>105</v>
      </c>
      <c r="I2" s="417"/>
      <c r="J2" s="417"/>
      <c r="K2" s="417"/>
      <c r="L2" s="417"/>
      <c r="M2" s="417"/>
      <c r="N2" s="418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19" t="s">
        <v>136</v>
      </c>
      <c r="I3" s="420"/>
      <c r="J3" s="420"/>
      <c r="K3" s="420"/>
      <c r="L3" s="420"/>
      <c r="M3" s="420"/>
      <c r="N3" s="421"/>
    </row>
    <row r="4" spans="1:14" ht="18.600000000000001" customHeight="1" thickBot="1" x14ac:dyDescent="0.35">
      <c r="A4" s="29" t="s">
        <v>38</v>
      </c>
      <c r="B4" s="422" t="s">
        <v>131</v>
      </c>
      <c r="C4" s="423"/>
      <c r="D4" s="423"/>
      <c r="E4" s="423"/>
      <c r="F4" s="424"/>
    </row>
    <row r="6" spans="1:14" ht="14.4" thickBot="1" x14ac:dyDescent="0.35"/>
    <row r="7" spans="1:14" ht="27.6" customHeight="1" x14ac:dyDescent="0.3">
      <c r="A7" s="432" t="s">
        <v>8</v>
      </c>
      <c r="B7" s="426" t="s">
        <v>9</v>
      </c>
      <c r="C7" s="427"/>
      <c r="D7" s="425" t="s">
        <v>12</v>
      </c>
      <c r="E7" s="426"/>
      <c r="F7" s="427"/>
      <c r="G7" s="425" t="s">
        <v>143</v>
      </c>
      <c r="H7" s="426"/>
      <c r="I7" s="428"/>
      <c r="J7" s="1" t="s">
        <v>144</v>
      </c>
    </row>
    <row r="8" spans="1:14" ht="27.6" x14ac:dyDescent="0.3">
      <c r="A8" s="4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4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432" t="s">
        <v>42</v>
      </c>
      <c r="B11" s="426" t="s">
        <v>138</v>
      </c>
      <c r="C11" s="426"/>
      <c r="D11" s="426" t="s">
        <v>125</v>
      </c>
      <c r="E11" s="426" t="s">
        <v>137</v>
      </c>
      <c r="F11" s="426"/>
      <c r="G11" s="428" t="s">
        <v>134</v>
      </c>
      <c r="J11" s="32"/>
    </row>
    <row r="12" spans="1:14" ht="24.6" customHeight="1" x14ac:dyDescent="0.3">
      <c r="A12" s="433"/>
      <c r="B12" s="91" t="s">
        <v>43</v>
      </c>
      <c r="C12" s="91" t="s">
        <v>44</v>
      </c>
      <c r="D12" s="403"/>
      <c r="E12" s="91" t="s">
        <v>132</v>
      </c>
      <c r="F12" s="91" t="s">
        <v>133</v>
      </c>
      <c r="G12" s="429"/>
      <c r="H12" s="291" t="s">
        <v>263</v>
      </c>
      <c r="I12" s="291" t="s">
        <v>264</v>
      </c>
      <c r="J12" s="32"/>
    </row>
    <row r="13" spans="1:14" ht="14.4" thickBot="1" x14ac:dyDescent="0.35">
      <c r="A13" s="434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0" t="s">
        <v>135</v>
      </c>
      <c r="B14" s="430"/>
      <c r="C14" s="430"/>
      <c r="D14" s="430"/>
      <c r="E14" s="430"/>
      <c r="F14" s="430"/>
      <c r="G14" s="430"/>
      <c r="H14" s="39"/>
      <c r="I14" s="39"/>
      <c r="J14" s="39"/>
    </row>
    <row r="15" spans="1:14" ht="30.6" customHeight="1" x14ac:dyDescent="0.3">
      <c r="A15" s="431"/>
      <c r="B15" s="431"/>
      <c r="C15" s="431"/>
      <c r="D15" s="431"/>
      <c r="E15" s="431"/>
      <c r="F15" s="431"/>
      <c r="G15" s="431"/>
      <c r="H15" s="39"/>
      <c r="I15" s="39"/>
      <c r="J15" s="39"/>
    </row>
    <row r="17" spans="1:4" ht="14.4" thickBot="1" x14ac:dyDescent="0.35"/>
    <row r="18" spans="1:4" ht="16.8" customHeight="1" x14ac:dyDescent="0.3">
      <c r="A18" s="435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6"/>
      <c r="B19" s="103">
        <v>0</v>
      </c>
      <c r="C19" s="103">
        <v>60000000</v>
      </c>
      <c r="D19" s="26">
        <v>20</v>
      </c>
    </row>
    <row r="21" spans="1:4" x14ac:dyDescent="0.3">
      <c r="A21" s="403" t="s">
        <v>37</v>
      </c>
      <c r="B21" s="403"/>
      <c r="C21" s="403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2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2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2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2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2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2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2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2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2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2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2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2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2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2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2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2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2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2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2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2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2">
        <f t="shared" si="2"/>
        <v>1252762298.4731474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16" t="s">
        <v>105</v>
      </c>
      <c r="I2" s="417"/>
      <c r="J2" s="417"/>
      <c r="K2" s="417"/>
      <c r="L2" s="417"/>
      <c r="M2" s="417"/>
      <c r="N2" s="418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419" t="s">
        <v>136</v>
      </c>
      <c r="I3" s="420"/>
      <c r="J3" s="420"/>
      <c r="K3" s="420"/>
      <c r="L3" s="420"/>
      <c r="M3" s="420"/>
      <c r="N3" s="421"/>
    </row>
    <row r="4" spans="1:14" ht="18.600000000000001" customHeight="1" thickBot="1" x14ac:dyDescent="0.35">
      <c r="A4" s="29" t="s">
        <v>38</v>
      </c>
      <c r="B4" s="422" t="s">
        <v>131</v>
      </c>
      <c r="C4" s="423"/>
      <c r="D4" s="423"/>
      <c r="E4" s="423"/>
      <c r="F4" s="424"/>
    </row>
    <row r="6" spans="1:14" ht="14.4" thickBot="1" x14ac:dyDescent="0.35"/>
    <row r="7" spans="1:14" ht="27.6" customHeight="1" x14ac:dyDescent="0.3">
      <c r="A7" s="432" t="s">
        <v>8</v>
      </c>
      <c r="B7" s="426" t="s">
        <v>9</v>
      </c>
      <c r="C7" s="427"/>
      <c r="D7" s="425" t="s">
        <v>12</v>
      </c>
      <c r="E7" s="426"/>
      <c r="F7" s="427"/>
      <c r="G7" s="425" t="s">
        <v>143</v>
      </c>
      <c r="H7" s="426"/>
      <c r="I7" s="428"/>
      <c r="J7" s="1" t="s">
        <v>144</v>
      </c>
    </row>
    <row r="8" spans="1:14" ht="27.6" x14ac:dyDescent="0.3">
      <c r="A8" s="4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4"/>
      <c r="B9" s="112">
        <f>JJ_Optim_Scenario!E19</f>
        <v>3804716</v>
      </c>
      <c r="C9" s="113">
        <f>JJ_Optim_Scenario!H19</f>
        <v>4185187.6000000006</v>
      </c>
      <c r="D9" s="114">
        <f>JJ_Optim_Scenario!I19</f>
        <v>3804716</v>
      </c>
      <c r="E9" s="119">
        <f>$B$13*D9+$C$13*D9*D9</f>
        <v>13058.170083390574</v>
      </c>
      <c r="F9" s="85">
        <f>$E$13*D9+$F$13*D9*D9</f>
        <v>150560.70106149331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432" t="s">
        <v>42</v>
      </c>
      <c r="B11" s="426" t="s">
        <v>138</v>
      </c>
      <c r="C11" s="426"/>
      <c r="D11" s="426" t="s">
        <v>125</v>
      </c>
      <c r="E11" s="426" t="s">
        <v>137</v>
      </c>
      <c r="F11" s="426"/>
      <c r="G11" s="428" t="s">
        <v>134</v>
      </c>
      <c r="J11" s="32"/>
    </row>
    <row r="12" spans="1:14" ht="24.6" customHeight="1" x14ac:dyDescent="0.3">
      <c r="A12" s="433"/>
      <c r="B12" s="91" t="s">
        <v>43</v>
      </c>
      <c r="C12" s="91" t="s">
        <v>44</v>
      </c>
      <c r="D12" s="403"/>
      <c r="E12" s="91" t="s">
        <v>132</v>
      </c>
      <c r="F12" s="91" t="s">
        <v>133</v>
      </c>
      <c r="G12" s="429"/>
      <c r="H12" s="291" t="s">
        <v>263</v>
      </c>
      <c r="I12" s="291" t="s">
        <v>264</v>
      </c>
      <c r="J12" s="32"/>
    </row>
    <row r="13" spans="1:14" ht="14.4" thickBot="1" x14ac:dyDescent="0.35">
      <c r="A13" s="434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89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0" t="s">
        <v>135</v>
      </c>
      <c r="B14" s="430"/>
      <c r="C14" s="430"/>
      <c r="D14" s="430"/>
      <c r="E14" s="430"/>
      <c r="F14" s="430"/>
      <c r="G14" s="430"/>
      <c r="H14" s="39"/>
      <c r="I14" s="39"/>
      <c r="J14" s="39"/>
    </row>
    <row r="15" spans="1:14" ht="30.6" customHeight="1" x14ac:dyDescent="0.3">
      <c r="A15" s="431"/>
      <c r="B15" s="431"/>
      <c r="C15" s="431"/>
      <c r="D15" s="431"/>
      <c r="E15" s="431"/>
      <c r="F15" s="431"/>
      <c r="G15" s="431"/>
      <c r="H15" s="39"/>
      <c r="I15" s="39"/>
      <c r="J15" s="39"/>
    </row>
    <row r="17" spans="1:4" ht="14.4" thickBot="1" x14ac:dyDescent="0.35"/>
    <row r="18" spans="1:4" ht="16.8" customHeight="1" x14ac:dyDescent="0.3">
      <c r="A18" s="435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6"/>
      <c r="B19" s="103">
        <v>0</v>
      </c>
      <c r="C19" s="103">
        <v>10000000</v>
      </c>
      <c r="D19" s="26">
        <v>20</v>
      </c>
    </row>
    <row r="21" spans="1:4" x14ac:dyDescent="0.3">
      <c r="A21" s="403" t="s">
        <v>37</v>
      </c>
      <c r="B21" s="403"/>
      <c r="C21" s="403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2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2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2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2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2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2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2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2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2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2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2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2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2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2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2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2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2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2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2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2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2">
        <f t="shared" si="2"/>
        <v>38373266.546987124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E41" sqref="E4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404" t="s">
        <v>105</v>
      </c>
      <c r="N2" s="405"/>
      <c r="O2" s="405"/>
      <c r="P2" s="405"/>
      <c r="Q2" s="405"/>
      <c r="R2" s="405"/>
      <c r="S2" s="406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407" t="s">
        <v>72</v>
      </c>
      <c r="N3" s="408"/>
      <c r="O3" s="408"/>
      <c r="P3" s="408"/>
      <c r="Q3" s="408"/>
      <c r="R3" s="408"/>
      <c r="S3" s="409"/>
    </row>
    <row r="4" spans="1:25" ht="15" customHeight="1" thickBot="1" x14ac:dyDescent="0.35">
      <c r="A4" s="29" t="s">
        <v>38</v>
      </c>
      <c r="B4" s="422" t="s">
        <v>57</v>
      </c>
      <c r="C4" s="423"/>
      <c r="D4" s="423"/>
      <c r="E4" s="423"/>
      <c r="F4" s="424"/>
    </row>
    <row r="6" spans="1:25" ht="14.4" thickBot="1" x14ac:dyDescent="0.35"/>
    <row r="7" spans="1:25" ht="27.6" customHeight="1" x14ac:dyDescent="0.3">
      <c r="A7" s="432" t="s">
        <v>8</v>
      </c>
      <c r="B7" s="426" t="s">
        <v>9</v>
      </c>
      <c r="C7" s="426"/>
      <c r="D7" s="426" t="s">
        <v>12</v>
      </c>
      <c r="E7" s="426"/>
      <c r="F7" s="426"/>
      <c r="G7" s="426" t="s">
        <v>143</v>
      </c>
      <c r="H7" s="426"/>
      <c r="I7" s="428"/>
      <c r="J7" s="438" t="s">
        <v>144</v>
      </c>
      <c r="K7" s="439"/>
      <c r="M7" s="437" t="s">
        <v>73</v>
      </c>
      <c r="N7" s="437"/>
      <c r="O7" s="437"/>
      <c r="P7" s="437"/>
      <c r="R7" s="47" t="s">
        <v>58</v>
      </c>
    </row>
    <row r="8" spans="1:25" ht="27.6" x14ac:dyDescent="0.3">
      <c r="A8" s="433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437"/>
      <c r="N8" s="437"/>
      <c r="O8" s="437"/>
      <c r="P8" s="437"/>
      <c r="R8" s="47" t="s">
        <v>59</v>
      </c>
    </row>
    <row r="9" spans="1:25" ht="14.4" thickBot="1" x14ac:dyDescent="0.35">
      <c r="A9" s="434"/>
      <c r="B9" s="112">
        <f>JJ_Optim_Scenario!G20</f>
        <v>4440000</v>
      </c>
      <c r="C9" s="112">
        <f>JJ_Optim_Scenario!H20</f>
        <v>6253528.5509214355</v>
      </c>
      <c r="D9" s="117">
        <f>JJ_Optim_Scenario!I20</f>
        <v>4440000</v>
      </c>
      <c r="E9" s="118">
        <f>csplinePred($B$14:$B$20,$C$14:$C$20,$H$14:$O$20,D9)*$C$12</f>
        <v>2228.0277703496668</v>
      </c>
      <c r="F9" s="118">
        <f>E9*$C$11</f>
        <v>25689.160192131658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432" t="s">
        <v>148</v>
      </c>
      <c r="B11" s="93" t="s">
        <v>149</v>
      </c>
      <c r="C11" s="10">
        <v>11.53</v>
      </c>
      <c r="D11" s="291" t="s">
        <v>263</v>
      </c>
      <c r="E11" s="291" t="s">
        <v>264</v>
      </c>
    </row>
    <row r="12" spans="1:25" ht="38.4" customHeight="1" thickBot="1" x14ac:dyDescent="0.35">
      <c r="A12" s="434"/>
      <c r="B12" s="137" t="s">
        <v>134</v>
      </c>
      <c r="C12" s="289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432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440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433"/>
      <c r="B14" s="125">
        <v>0</v>
      </c>
      <c r="C14" s="127">
        <v>0</v>
      </c>
      <c r="D14" s="133">
        <f>C14*$C$11</f>
        <v>0</v>
      </c>
      <c r="E14" s="130"/>
      <c r="G14" s="441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433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441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433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441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433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441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433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441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433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441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434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442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443" t="s">
        <v>74</v>
      </c>
      <c r="B21" s="444"/>
      <c r="C21" s="445"/>
      <c r="D21" s="33"/>
      <c r="G21" s="431" t="s">
        <v>75</v>
      </c>
      <c r="H21" s="431"/>
      <c r="I21" s="431"/>
      <c r="J21" s="431"/>
      <c r="K21" s="431"/>
      <c r="L21" s="431"/>
      <c r="M21" s="431"/>
      <c r="N21" s="431"/>
      <c r="O21" s="431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446"/>
      <c r="B22" s="447"/>
      <c r="C22" s="448"/>
      <c r="D22" s="33"/>
      <c r="G22" s="431"/>
      <c r="H22" s="431"/>
      <c r="I22" s="431"/>
      <c r="J22" s="431"/>
      <c r="K22" s="431"/>
      <c r="L22" s="431"/>
      <c r="M22" s="431"/>
      <c r="N22" s="431"/>
      <c r="O22" s="431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435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436"/>
      <c r="B26" s="103">
        <v>0</v>
      </c>
      <c r="C26" s="103">
        <v>20000000</v>
      </c>
      <c r="D26" s="26">
        <v>20</v>
      </c>
    </row>
    <row r="28" spans="1:25" x14ac:dyDescent="0.3">
      <c r="A28" s="403" t="s">
        <v>37</v>
      </c>
      <c r="B28" s="403"/>
      <c r="C28" s="403"/>
    </row>
    <row r="29" spans="1:25" x14ac:dyDescent="0.3">
      <c r="A29" s="91" t="s">
        <v>35</v>
      </c>
      <c r="B29" s="91" t="s">
        <v>127</v>
      </c>
      <c r="C29" s="91" t="s">
        <v>156</v>
      </c>
      <c r="D29" s="291" t="s">
        <v>265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2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2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2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2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2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2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2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2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2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2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2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2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2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2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2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2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2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2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2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2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2">
        <f t="shared" si="2"/>
        <v>5040742.6756750345</v>
      </c>
    </row>
  </sheetData>
  <mergeCells count="16"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  <mergeCell ref="M2:S2"/>
    <mergeCell ref="M3:S3"/>
    <mergeCell ref="A7:A9"/>
    <mergeCell ref="B7:C7"/>
    <mergeCell ref="M7:P8"/>
    <mergeCell ref="B4:F4"/>
  </mergeCells>
  <pageMargins left="0.7" right="0.7" top="0.75" bottom="0.75" header="0.3" footer="0.3"/>
  <pageSetup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49" t="s">
        <v>111</v>
      </c>
      <c r="C4" s="449"/>
      <c r="D4" s="449"/>
      <c r="E4" s="449"/>
      <c r="F4" s="450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32" t="s">
        <v>8</v>
      </c>
      <c r="B7" s="426" t="s">
        <v>9</v>
      </c>
      <c r="C7" s="427"/>
      <c r="D7" s="451" t="s">
        <v>12</v>
      </c>
      <c r="E7" s="452"/>
      <c r="F7" s="453"/>
      <c r="G7" s="426" t="s">
        <v>143</v>
      </c>
      <c r="H7" s="426"/>
      <c r="I7" s="428"/>
      <c r="J7" s="1" t="s">
        <v>144</v>
      </c>
    </row>
    <row r="8" spans="1:18" ht="28.2" customHeight="1" x14ac:dyDescent="0.3">
      <c r="A8" s="4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4"/>
      <c r="B9" s="80">
        <f>JJ_Optim_Scenario!G21</f>
        <v>22954000</v>
      </c>
      <c r="C9" s="80">
        <f>JJ_Optim_Scenario!H21</f>
        <v>36811696</v>
      </c>
      <c r="D9" s="95">
        <f>JJ_Optim_Scenario!I21</f>
        <v>36449962.981371641</v>
      </c>
      <c r="E9" s="118">
        <f>((($R$12/(1+EXP($P$12+$Q$12*D9)))-1) - ($F$12-$C$12))*$I$12</f>
        <v>202889.61606993154</v>
      </c>
      <c r="F9" s="145">
        <f>E9*$G$12</f>
        <v>2339317.2732863105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4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35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4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0">
        <f>JJ_Optim_Scenario!D21</f>
        <v>1</v>
      </c>
      <c r="K12" s="436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454" t="s">
        <v>119</v>
      </c>
      <c r="B13" s="455"/>
      <c r="C13" s="455"/>
      <c r="D13" s="455"/>
      <c r="E13" s="455"/>
      <c r="F13" s="456"/>
      <c r="G13" s="291" t="s">
        <v>263</v>
      </c>
      <c r="H13" s="291" t="s">
        <v>264</v>
      </c>
      <c r="K13" s="454" t="s">
        <v>120</v>
      </c>
      <c r="L13" s="455"/>
      <c r="M13" s="455"/>
      <c r="N13" s="455"/>
      <c r="O13" s="455"/>
      <c r="P13" s="455"/>
      <c r="Q13" s="455"/>
      <c r="R13" s="456"/>
    </row>
    <row r="14" spans="1:18" ht="33.6" customHeight="1" thickBot="1" x14ac:dyDescent="0.35">
      <c r="A14" s="446"/>
      <c r="B14" s="447"/>
      <c r="C14" s="447"/>
      <c r="D14" s="447"/>
      <c r="E14" s="447"/>
      <c r="F14" s="448"/>
      <c r="G14" s="184">
        <f>JJ_Optim_Scenario!$I$31</f>
        <v>116.39999999999999</v>
      </c>
      <c r="H14" s="184">
        <f>JJ_Optim_Scenario!$F$31</f>
        <v>1118</v>
      </c>
      <c r="K14" s="446"/>
      <c r="L14" s="447"/>
      <c r="M14" s="447"/>
      <c r="N14" s="447"/>
      <c r="O14" s="447"/>
      <c r="P14" s="447"/>
      <c r="Q14" s="447"/>
      <c r="R14" s="448"/>
    </row>
    <row r="16" spans="1:18" ht="14.4" thickBot="1" x14ac:dyDescent="0.35"/>
    <row r="17" spans="1:8" ht="42.6" customHeight="1" x14ac:dyDescent="0.3">
      <c r="A17" s="435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6"/>
      <c r="B18" s="102">
        <v>0</v>
      </c>
      <c r="C18" s="103">
        <v>60000000</v>
      </c>
      <c r="D18" s="26">
        <v>20</v>
      </c>
    </row>
    <row r="20" spans="1:8" x14ac:dyDescent="0.3">
      <c r="A20" s="403" t="s">
        <v>37</v>
      </c>
      <c r="B20" s="403"/>
      <c r="C20" s="403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2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2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2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2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2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2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2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2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2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2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2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2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2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2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2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2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2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2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2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2">
        <f t="shared" si="2"/>
        <v>325669640.47273898</v>
      </c>
    </row>
  </sheetData>
  <mergeCells count="11">
    <mergeCell ref="G7:I7"/>
    <mergeCell ref="K13:R14"/>
    <mergeCell ref="K11:K12"/>
    <mergeCell ref="A13:F14"/>
    <mergeCell ref="A17:A18"/>
    <mergeCell ref="A20:C20"/>
    <mergeCell ref="B4:F4"/>
    <mergeCell ref="A7:A9"/>
    <mergeCell ref="B7:C7"/>
    <mergeCell ref="D7:F7"/>
    <mergeCell ref="A11:A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49" t="s">
        <v>111</v>
      </c>
      <c r="C4" s="449"/>
      <c r="D4" s="449"/>
      <c r="E4" s="449"/>
      <c r="F4" s="450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432" t="s">
        <v>8</v>
      </c>
      <c r="B7" s="426" t="s">
        <v>9</v>
      </c>
      <c r="C7" s="427"/>
      <c r="D7" s="451" t="s">
        <v>12</v>
      </c>
      <c r="E7" s="452"/>
      <c r="F7" s="453"/>
      <c r="G7" s="426" t="s">
        <v>143</v>
      </c>
      <c r="H7" s="426"/>
      <c r="I7" s="428"/>
      <c r="J7" s="1" t="s">
        <v>144</v>
      </c>
    </row>
    <row r="8" spans="1:18" ht="28.2" customHeight="1" x14ac:dyDescent="0.3">
      <c r="A8" s="4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4"/>
      <c r="B9" s="80">
        <f>JJ_Optim_Scenario!G22</f>
        <v>6255187.2000000002</v>
      </c>
      <c r="C9" s="80">
        <f>JJ_Optim_Scenario!H22</f>
        <v>8600882.4000000004</v>
      </c>
      <c r="D9" s="95">
        <f>JJ_Optim_Scenario!I22</f>
        <v>6255187.2000000002</v>
      </c>
      <c r="E9" s="118">
        <f>((($R$12/(1+EXP($P$12+$Q$12*D9)))-1) - ($F$12-$C$12))*$I$12</f>
        <v>26840.895159405656</v>
      </c>
      <c r="F9" s="145">
        <f>E9*$G$12</f>
        <v>309475.52118794719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4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35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4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0">
        <f>JJ_Optim_Scenario!D22</f>
        <v>1</v>
      </c>
      <c r="K12" s="436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454" t="s">
        <v>119</v>
      </c>
      <c r="B13" s="455"/>
      <c r="C13" s="455"/>
      <c r="D13" s="455"/>
      <c r="E13" s="455"/>
      <c r="F13" s="456"/>
      <c r="G13" s="291" t="s">
        <v>263</v>
      </c>
      <c r="H13" s="291" t="s">
        <v>264</v>
      </c>
      <c r="K13" s="454" t="s">
        <v>120</v>
      </c>
      <c r="L13" s="455"/>
      <c r="M13" s="455"/>
      <c r="N13" s="455"/>
      <c r="O13" s="455"/>
      <c r="P13" s="455"/>
      <c r="Q13" s="455"/>
      <c r="R13" s="456"/>
    </row>
    <row r="14" spans="1:18" ht="33.6" customHeight="1" thickBot="1" x14ac:dyDescent="0.35">
      <c r="A14" s="446"/>
      <c r="B14" s="447"/>
      <c r="C14" s="447"/>
      <c r="D14" s="447"/>
      <c r="E14" s="447"/>
      <c r="F14" s="448"/>
      <c r="G14" s="184">
        <f>JJ_Optim_Scenario!$I$31</f>
        <v>116.39999999999999</v>
      </c>
      <c r="H14" s="184">
        <f>JJ_Optim_Scenario!$F$31</f>
        <v>1118</v>
      </c>
      <c r="K14" s="446"/>
      <c r="L14" s="447"/>
      <c r="M14" s="447"/>
      <c r="N14" s="447"/>
      <c r="O14" s="447"/>
      <c r="P14" s="447"/>
      <c r="Q14" s="447"/>
      <c r="R14" s="448"/>
    </row>
    <row r="16" spans="1:18" ht="14.4" thickBot="1" x14ac:dyDescent="0.35"/>
    <row r="17" spans="1:8" ht="42.6" customHeight="1" x14ac:dyDescent="0.3">
      <c r="A17" s="435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6"/>
      <c r="B18" s="102">
        <v>0</v>
      </c>
      <c r="C18" s="103">
        <v>30000000</v>
      </c>
      <c r="D18" s="26">
        <v>20</v>
      </c>
    </row>
    <row r="20" spans="1:8" x14ac:dyDescent="0.3">
      <c r="A20" s="403" t="s">
        <v>37</v>
      </c>
      <c r="B20" s="403"/>
      <c r="C20" s="403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2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2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2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2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2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2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2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2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2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2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2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2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2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2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2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2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2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2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2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2">
        <f t="shared" si="2"/>
        <v>104150341.40321961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49" t="s">
        <v>111</v>
      </c>
      <c r="C4" s="449"/>
      <c r="D4" s="449"/>
      <c r="E4" s="449"/>
      <c r="F4" s="450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32" t="s">
        <v>8</v>
      </c>
      <c r="B7" s="426" t="s">
        <v>9</v>
      </c>
      <c r="C7" s="427"/>
      <c r="D7" s="451" t="s">
        <v>12</v>
      </c>
      <c r="E7" s="452"/>
      <c r="F7" s="453"/>
      <c r="G7" s="426" t="s">
        <v>143</v>
      </c>
      <c r="H7" s="426"/>
      <c r="I7" s="428"/>
      <c r="J7" s="1" t="s">
        <v>144</v>
      </c>
    </row>
    <row r="8" spans="1:18" ht="28.2" customHeight="1" x14ac:dyDescent="0.3">
      <c r="A8" s="4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4"/>
      <c r="B9" s="80">
        <f>JJ_Optim_Scenario!G23</f>
        <v>4304399.4000000004</v>
      </c>
      <c r="C9" s="80">
        <f>JJ_Optim_Scenario!H23</f>
        <v>5260932.6000000006</v>
      </c>
      <c r="D9" s="95">
        <f>JJ_Optim_Scenario!I23</f>
        <v>4304399.4000000004</v>
      </c>
      <c r="E9" s="118">
        <f>((($R$12/(1+EXP($P$12+$Q$12*D9)))-1) - ($F$12-$C$12))*$I$12</f>
        <v>7157.711126210168</v>
      </c>
      <c r="F9" s="145">
        <f>E9*$G$12</f>
        <v>82528.409285203234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" thickBot="1" x14ac:dyDescent="0.35"/>
    <row r="11" spans="1:18" ht="61.8" customHeight="1" x14ac:dyDescent="0.3">
      <c r="A11" s="4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435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4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290">
        <f>JJ_Optim_Scenario!D23</f>
        <v>1</v>
      </c>
      <c r="K12" s="436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200000000000003" customHeight="1" x14ac:dyDescent="0.3">
      <c r="A13" s="454" t="s">
        <v>119</v>
      </c>
      <c r="B13" s="455"/>
      <c r="C13" s="455"/>
      <c r="D13" s="455"/>
      <c r="E13" s="455"/>
      <c r="F13" s="456"/>
      <c r="G13" s="291" t="s">
        <v>263</v>
      </c>
      <c r="H13" s="291" t="s">
        <v>264</v>
      </c>
      <c r="K13" s="454" t="s">
        <v>120</v>
      </c>
      <c r="L13" s="455"/>
      <c r="M13" s="455"/>
      <c r="N13" s="455"/>
      <c r="O13" s="455"/>
      <c r="P13" s="455"/>
      <c r="Q13" s="455"/>
      <c r="R13" s="456"/>
    </row>
    <row r="14" spans="1:18" ht="33.6" customHeight="1" thickBot="1" x14ac:dyDescent="0.35">
      <c r="A14" s="446"/>
      <c r="B14" s="447"/>
      <c r="C14" s="447"/>
      <c r="D14" s="447"/>
      <c r="E14" s="447"/>
      <c r="F14" s="448"/>
      <c r="G14" s="184">
        <f>JJ_Optim_Scenario!$I$31</f>
        <v>116.39999999999999</v>
      </c>
      <c r="H14" s="184">
        <f>JJ_Optim_Scenario!$F$31</f>
        <v>1118</v>
      </c>
      <c r="K14" s="446"/>
      <c r="L14" s="447"/>
      <c r="M14" s="447"/>
      <c r="N14" s="447"/>
      <c r="O14" s="447"/>
      <c r="P14" s="447"/>
      <c r="Q14" s="447"/>
      <c r="R14" s="448"/>
    </row>
    <row r="16" spans="1:18" ht="14.4" thickBot="1" x14ac:dyDescent="0.35"/>
    <row r="17" spans="1:8" ht="42.6" customHeight="1" x14ac:dyDescent="0.3">
      <c r="A17" s="435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6"/>
      <c r="B18" s="102">
        <v>0</v>
      </c>
      <c r="C18" s="103">
        <v>20000000</v>
      </c>
      <c r="D18" s="26">
        <v>20</v>
      </c>
    </row>
    <row r="20" spans="1:8" x14ac:dyDescent="0.3">
      <c r="A20" s="403" t="s">
        <v>37</v>
      </c>
      <c r="B20" s="403"/>
      <c r="C20" s="403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292">
        <f t="shared" ref="E23:E42" si="2">B23*$H$14</f>
        <v>1909653.9769871365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292">
        <f t="shared" si="2"/>
        <v>3788343.14421607</v>
      </c>
    </row>
    <row r="25" spans="1:8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292">
        <f t="shared" si="2"/>
        <v>5636549.5066546611</v>
      </c>
    </row>
    <row r="26" spans="1:8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292">
        <f t="shared" si="2"/>
        <v>7454748.2262433972</v>
      </c>
    </row>
    <row r="27" spans="1:8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292">
        <f t="shared" si="2"/>
        <v>9243407.6970640887</v>
      </c>
    </row>
    <row r="28" spans="1:8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292">
        <f t="shared" si="2"/>
        <v>11002989.620446093</v>
      </c>
    </row>
    <row r="29" spans="1:8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292">
        <f t="shared" si="2"/>
        <v>12733949.08000382</v>
      </c>
    </row>
    <row r="30" spans="1:8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292">
        <f t="shared" si="2"/>
        <v>14436734.616533669</v>
      </c>
    </row>
    <row r="31" spans="1:8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292">
        <f t="shared" si="2"/>
        <v>16111788.302787062</v>
      </c>
    </row>
    <row r="32" spans="1:8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292">
        <f t="shared" si="2"/>
        <v>17759545.818042524</v>
      </c>
    </row>
    <row r="33" spans="1:5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292">
        <f t="shared" si="2"/>
        <v>19380436.522485144</v>
      </c>
    </row>
    <row r="34" spans="1:5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292">
        <f t="shared" si="2"/>
        <v>20974883.531352777</v>
      </c>
    </row>
    <row r="35" spans="1:5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292">
        <f t="shared" si="2"/>
        <v>22543303.788810521</v>
      </c>
    </row>
    <row r="36" spans="1:5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292">
        <f t="shared" si="2"/>
        <v>24086108.141557589</v>
      </c>
    </row>
    <row r="37" spans="1:5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292">
        <f t="shared" si="2"/>
        <v>25603701.412116595</v>
      </c>
    </row>
    <row r="38" spans="1:5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292">
        <f t="shared" si="2"/>
        <v>27096482.471801117</v>
      </c>
    </row>
    <row r="39" spans="1:5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292">
        <f t="shared" si="2"/>
        <v>28564844.313325085</v>
      </c>
    </row>
    <row r="40" spans="1:5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292">
        <f t="shared" si="2"/>
        <v>30009174.123051897</v>
      </c>
    </row>
    <row r="41" spans="1:5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292">
        <f t="shared" si="2"/>
        <v>31429853.352851003</v>
      </c>
    </row>
    <row r="42" spans="1:5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292">
        <f t="shared" si="2"/>
        <v>32827257.791541122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8" sqref="E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449" t="s">
        <v>111</v>
      </c>
      <c r="C4" s="449"/>
      <c r="D4" s="449"/>
      <c r="E4" s="449"/>
      <c r="F4" s="450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432" t="s">
        <v>8</v>
      </c>
      <c r="B7" s="426" t="s">
        <v>9</v>
      </c>
      <c r="C7" s="427"/>
      <c r="D7" s="451" t="s">
        <v>12</v>
      </c>
      <c r="E7" s="452"/>
      <c r="F7" s="453"/>
      <c r="G7" s="426" t="s">
        <v>143</v>
      </c>
      <c r="H7" s="426"/>
      <c r="I7" s="428"/>
      <c r="J7" s="1" t="s">
        <v>144</v>
      </c>
    </row>
    <row r="8" spans="1:18" ht="28.2" customHeight="1" x14ac:dyDescent="0.3">
      <c r="A8" s="4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4"/>
      <c r="B9" s="80">
        <f>JJ_Optim_Scenario!G24</f>
        <v>14130000</v>
      </c>
      <c r="C9" s="184">
        <f>JJ_Optim_Scenario!H24</f>
        <v>17270000</v>
      </c>
      <c r="D9" s="184">
        <f>JJ_Optim_Scenario!I24</f>
        <v>14130000.000000002</v>
      </c>
      <c r="E9" s="118">
        <f>((($R$12/(1+EXP($P$12+$Q$12*D9)))-1) - ($F$12-$C$12))*$I$12</f>
        <v>327223.30663997866</v>
      </c>
      <c r="F9" s="145">
        <f>E9*$G$12</f>
        <v>327223.30663997866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4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435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4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290">
        <f>JJ_Optim_Scenario!D24</f>
        <v>1</v>
      </c>
      <c r="K12" s="436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200000000000003" customHeight="1" x14ac:dyDescent="0.3">
      <c r="A13" s="454" t="s">
        <v>119</v>
      </c>
      <c r="B13" s="455"/>
      <c r="C13" s="455"/>
      <c r="D13" s="455"/>
      <c r="E13" s="455"/>
      <c r="F13" s="456"/>
      <c r="G13" s="291" t="s">
        <v>263</v>
      </c>
      <c r="H13" s="291" t="s">
        <v>264</v>
      </c>
      <c r="K13" s="454" t="s">
        <v>120</v>
      </c>
      <c r="L13" s="455"/>
      <c r="M13" s="455"/>
      <c r="N13" s="455"/>
      <c r="O13" s="455"/>
      <c r="P13" s="455"/>
      <c r="Q13" s="455"/>
      <c r="R13" s="456"/>
    </row>
    <row r="14" spans="1:18" ht="33.6" customHeight="1" thickBot="1" x14ac:dyDescent="0.35">
      <c r="A14" s="446"/>
      <c r="B14" s="447"/>
      <c r="C14" s="447"/>
      <c r="D14" s="447"/>
      <c r="E14" s="447"/>
      <c r="F14" s="448"/>
      <c r="G14" s="184">
        <f>JJ_Optim_Scenario!$I$31</f>
        <v>116.39999999999999</v>
      </c>
      <c r="H14" s="184">
        <f>JJ_Optim_Scenario!$F$31</f>
        <v>1118</v>
      </c>
      <c r="K14" s="446"/>
      <c r="L14" s="447"/>
      <c r="M14" s="447"/>
      <c r="N14" s="447"/>
      <c r="O14" s="447"/>
      <c r="P14" s="447"/>
      <c r="Q14" s="447"/>
      <c r="R14" s="448"/>
    </row>
    <row r="16" spans="1:18" ht="14.4" thickBot="1" x14ac:dyDescent="0.35"/>
    <row r="17" spans="1:8" ht="42.6" customHeight="1" x14ac:dyDescent="0.3">
      <c r="A17" s="435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6"/>
      <c r="B18" s="102">
        <v>0</v>
      </c>
      <c r="C18" s="103">
        <v>50000000</v>
      </c>
      <c r="D18" s="26">
        <v>20</v>
      </c>
    </row>
    <row r="20" spans="1:8" x14ac:dyDescent="0.3">
      <c r="A20" s="403" t="s">
        <v>37</v>
      </c>
      <c r="B20" s="403"/>
      <c r="C20" s="403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1" t="s">
        <v>266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B22*$G$14</f>
        <v>0</v>
      </c>
    </row>
    <row r="23" spans="1:8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292">
        <f t="shared" ref="E23:E42" si="2">B23*$G$14</f>
        <v>7126753.0854003569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292">
        <f t="shared" si="2"/>
        <v>14083785.478268811</v>
      </c>
    </row>
    <row r="25" spans="1:8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292">
        <f t="shared" si="2"/>
        <v>20873536.930621438</v>
      </c>
    </row>
    <row r="26" spans="1:8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292">
        <f t="shared" si="2"/>
        <v>27498504.08301406</v>
      </c>
    </row>
    <row r="27" spans="1:8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292">
        <f t="shared" si="2"/>
        <v>33961234.049799822</v>
      </c>
    </row>
    <row r="28" spans="1:8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292">
        <f t="shared" si="2"/>
        <v>40264318.242423229</v>
      </c>
    </row>
    <row r="29" spans="1:8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292">
        <f t="shared" si="2"/>
        <v>46410386.434896983</v>
      </c>
    </row>
    <row r="30" spans="1:8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292">
        <f t="shared" si="2"/>
        <v>52402101.074315935</v>
      </c>
    </row>
    <row r="31" spans="1:8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292">
        <f t="shared" si="2"/>
        <v>58242151.838048339</v>
      </c>
    </row>
    <row r="32" spans="1:8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292">
        <f t="shared" si="2"/>
        <v>63933250.438135833</v>
      </c>
    </row>
    <row r="33" spans="1:5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292">
        <f t="shared" si="2"/>
        <v>69478125.672399044</v>
      </c>
    </row>
    <row r="34" spans="1:5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292">
        <f t="shared" si="2"/>
        <v>74879518.720811337</v>
      </c>
    </row>
    <row r="35" spans="1:5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292">
        <f t="shared" si="2"/>
        <v>80140178.6848436</v>
      </c>
    </row>
    <row r="36" spans="1:5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292">
        <f t="shared" si="2"/>
        <v>85262858.366719171</v>
      </c>
    </row>
    <row r="37" spans="1:5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292">
        <f t="shared" si="2"/>
        <v>90250310.284813449</v>
      </c>
    </row>
    <row r="38" spans="1:5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292">
        <f t="shared" si="2"/>
        <v>95105282.920833573</v>
      </c>
    </row>
    <row r="39" spans="1:5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292">
        <f t="shared" si="2"/>
        <v>99830517.19385469</v>
      </c>
    </row>
    <row r="40" spans="1:5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292">
        <f t="shared" si="2"/>
        <v>104428743.15583892</v>
      </c>
    </row>
    <row r="41" spans="1:5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292">
        <f t="shared" si="2"/>
        <v>108902676.90282662</v>
      </c>
    </row>
    <row r="42" spans="1:5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292">
        <f t="shared" si="2"/>
        <v>113255017.69568314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04" t="s">
        <v>105</v>
      </c>
      <c r="G2" s="405"/>
      <c r="H2" s="405"/>
      <c r="I2" s="405"/>
      <c r="J2" s="405"/>
      <c r="K2" s="405"/>
      <c r="L2" s="406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407" t="s">
        <v>72</v>
      </c>
      <c r="G3" s="408"/>
      <c r="H3" s="408"/>
      <c r="I3" s="408"/>
      <c r="J3" s="408"/>
      <c r="K3" s="408"/>
      <c r="L3" s="409"/>
    </row>
    <row r="4" spans="1:12" ht="14.4" thickBot="1" x14ac:dyDescent="0.35">
      <c r="A4" s="29" t="s">
        <v>38</v>
      </c>
      <c r="B4" s="457" t="s">
        <v>39</v>
      </c>
      <c r="C4" s="457"/>
      <c r="D4" s="458"/>
    </row>
    <row r="6" spans="1:12" ht="14.4" thickBot="1" x14ac:dyDescent="0.35"/>
    <row r="7" spans="1:12" ht="27.6" customHeight="1" x14ac:dyDescent="0.3">
      <c r="A7" s="432" t="s">
        <v>8</v>
      </c>
      <c r="B7" s="426" t="s">
        <v>9</v>
      </c>
      <c r="C7" s="427"/>
      <c r="D7" s="451" t="s">
        <v>12</v>
      </c>
      <c r="E7" s="453"/>
      <c r="F7" s="452" t="s">
        <v>24</v>
      </c>
      <c r="G7" s="465"/>
    </row>
    <row r="8" spans="1:12" ht="27.6" x14ac:dyDescent="0.3">
      <c r="A8" s="4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34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43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32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434"/>
      <c r="B12" s="12">
        <v>20</v>
      </c>
      <c r="C12" s="12">
        <v>30</v>
      </c>
      <c r="D12" s="12">
        <v>0</v>
      </c>
      <c r="E12" s="14">
        <v>70</v>
      </c>
      <c r="G12" s="434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454" t="s">
        <v>30</v>
      </c>
      <c r="B13" s="455"/>
      <c r="C13" s="455"/>
      <c r="D13" s="455"/>
      <c r="E13" s="456"/>
      <c r="G13" s="459" t="s">
        <v>29</v>
      </c>
      <c r="H13" s="460"/>
      <c r="I13" s="460"/>
      <c r="J13" s="461"/>
    </row>
    <row r="14" spans="1:12" ht="33.6" customHeight="1" x14ac:dyDescent="0.3">
      <c r="A14" s="446"/>
      <c r="B14" s="447"/>
      <c r="C14" s="447"/>
      <c r="D14" s="447"/>
      <c r="E14" s="448"/>
      <c r="G14" s="462"/>
      <c r="H14" s="463"/>
      <c r="I14" s="463"/>
      <c r="J14" s="464"/>
    </row>
    <row r="16" spans="1:12" ht="14.4" thickBot="1" x14ac:dyDescent="0.35"/>
    <row r="17" spans="1:4" ht="16.8" customHeight="1" x14ac:dyDescent="0.3">
      <c r="A17" s="435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436"/>
      <c r="B18" s="12">
        <v>0</v>
      </c>
      <c r="C18" s="12">
        <v>100</v>
      </c>
      <c r="D18" s="26">
        <v>20</v>
      </c>
    </row>
    <row r="20" spans="1:4" x14ac:dyDescent="0.3">
      <c r="A20" s="403" t="s">
        <v>37</v>
      </c>
      <c r="B20" s="403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04" t="s">
        <v>105</v>
      </c>
      <c r="G2" s="405"/>
      <c r="H2" s="405"/>
      <c r="I2" s="405"/>
      <c r="J2" s="405"/>
      <c r="K2" s="405"/>
      <c r="L2" s="406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407" t="s">
        <v>72</v>
      </c>
      <c r="G3" s="408"/>
      <c r="H3" s="408"/>
      <c r="I3" s="408"/>
      <c r="J3" s="408"/>
      <c r="K3" s="408"/>
      <c r="L3" s="409"/>
    </row>
    <row r="4" spans="1:12" ht="31.8" customHeight="1" thickBot="1" x14ac:dyDescent="0.35">
      <c r="A4" s="29" t="s">
        <v>38</v>
      </c>
      <c r="B4" s="466" t="s">
        <v>41</v>
      </c>
      <c r="C4" s="467"/>
      <c r="D4" s="468"/>
    </row>
    <row r="6" spans="1:12" ht="14.4" thickBot="1" x14ac:dyDescent="0.35"/>
    <row r="7" spans="1:12" ht="27.6" customHeight="1" x14ac:dyDescent="0.3">
      <c r="A7" s="432" t="s">
        <v>8</v>
      </c>
      <c r="B7" s="426" t="s">
        <v>9</v>
      </c>
      <c r="C7" s="427"/>
      <c r="D7" s="451" t="s">
        <v>12</v>
      </c>
      <c r="E7" s="453"/>
      <c r="F7" s="452" t="s">
        <v>24</v>
      </c>
      <c r="G7" s="465"/>
      <c r="H7" s="1" t="s">
        <v>54</v>
      </c>
    </row>
    <row r="8" spans="1:12" ht="27.6" x14ac:dyDescent="0.3">
      <c r="A8" s="4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34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432" t="s">
        <v>42</v>
      </c>
      <c r="B11" s="412" t="s">
        <v>47</v>
      </c>
      <c r="C11" s="469" t="s">
        <v>46</v>
      </c>
      <c r="D11" s="452"/>
      <c r="E11" s="452"/>
      <c r="F11" s="3" t="s">
        <v>48</v>
      </c>
      <c r="G11" s="33"/>
      <c r="H11" s="32"/>
      <c r="I11" s="32"/>
      <c r="J11" s="32"/>
    </row>
    <row r="12" spans="1:12" x14ac:dyDescent="0.3">
      <c r="A12" s="470"/>
      <c r="B12" s="39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71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431" t="s">
        <v>52</v>
      </c>
      <c r="B14" s="431"/>
      <c r="C14" s="431"/>
      <c r="D14" s="431"/>
      <c r="E14" s="431"/>
      <c r="F14" s="431"/>
      <c r="G14" s="38"/>
      <c r="H14" s="39"/>
      <c r="I14" s="39"/>
      <c r="J14" s="39"/>
    </row>
    <row r="15" spans="1:12" ht="30.6" customHeight="1" x14ac:dyDescent="0.3">
      <c r="A15" s="431"/>
      <c r="B15" s="431"/>
      <c r="C15" s="431"/>
      <c r="D15" s="431"/>
      <c r="E15" s="431"/>
      <c r="F15" s="431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435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436"/>
      <c r="B19" s="12">
        <v>0</v>
      </c>
      <c r="C19" s="12">
        <v>20000000</v>
      </c>
      <c r="D19" s="26">
        <v>20</v>
      </c>
    </row>
    <row r="21" spans="1:4" x14ac:dyDescent="0.3">
      <c r="A21" s="403" t="s">
        <v>37</v>
      </c>
      <c r="B21" s="403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404" t="s">
        <v>105</v>
      </c>
      <c r="G2" s="405"/>
      <c r="H2" s="405"/>
      <c r="I2" s="405"/>
      <c r="J2" s="405"/>
      <c r="K2" s="405"/>
      <c r="L2" s="406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407" t="s">
        <v>72</v>
      </c>
      <c r="G3" s="408"/>
      <c r="H3" s="408"/>
      <c r="I3" s="408"/>
      <c r="J3" s="408"/>
      <c r="K3" s="408"/>
      <c r="L3" s="409"/>
    </row>
    <row r="4" spans="1:14" ht="14.4" thickBot="1" x14ac:dyDescent="0.35">
      <c r="A4" s="29" t="s">
        <v>38</v>
      </c>
      <c r="B4" s="457" t="s">
        <v>57</v>
      </c>
      <c r="C4" s="457"/>
      <c r="D4" s="458"/>
    </row>
    <row r="6" spans="1:14" ht="14.4" thickBot="1" x14ac:dyDescent="0.35"/>
    <row r="7" spans="1:14" ht="27.6" customHeight="1" x14ac:dyDescent="0.3">
      <c r="A7" s="432" t="s">
        <v>8</v>
      </c>
      <c r="B7" s="426" t="s">
        <v>9</v>
      </c>
      <c r="C7" s="427"/>
      <c r="D7" s="451" t="s">
        <v>12</v>
      </c>
      <c r="E7" s="453"/>
      <c r="F7" s="452" t="s">
        <v>24</v>
      </c>
      <c r="G7" s="465"/>
      <c r="I7" s="437" t="s">
        <v>73</v>
      </c>
      <c r="J7" s="437"/>
      <c r="K7" s="437"/>
      <c r="L7" s="437"/>
      <c r="N7" s="47" t="s">
        <v>58</v>
      </c>
    </row>
    <row r="8" spans="1:14" ht="27.6" x14ac:dyDescent="0.3">
      <c r="A8" s="4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37"/>
      <c r="J8" s="437"/>
      <c r="K8" s="437"/>
      <c r="L8" s="437"/>
      <c r="N8" s="47" t="s">
        <v>59</v>
      </c>
    </row>
    <row r="9" spans="1:14" ht="14.4" thickBot="1" x14ac:dyDescent="0.35">
      <c r="A9" s="434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403" t="s">
        <v>60</v>
      </c>
      <c r="B11" s="3" t="s">
        <v>61</v>
      </c>
      <c r="C11" s="3" t="s">
        <v>62</v>
      </c>
      <c r="D11" s="32"/>
      <c r="E11" s="440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403"/>
      <c r="B12" s="41">
        <v>0</v>
      </c>
      <c r="C12" s="41">
        <v>0</v>
      </c>
      <c r="D12" s="32"/>
      <c r="E12" s="441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403"/>
      <c r="B13" s="41">
        <v>1</v>
      </c>
      <c r="C13" s="41">
        <v>0.75</v>
      </c>
      <c r="D13" s="32"/>
      <c r="E13" s="441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403"/>
      <c r="B14" s="41">
        <v>2</v>
      </c>
      <c r="C14" s="41">
        <v>0</v>
      </c>
      <c r="D14" s="32"/>
      <c r="E14" s="441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403"/>
      <c r="B15" s="41">
        <v>3</v>
      </c>
      <c r="C15" s="41">
        <v>-1</v>
      </c>
      <c r="D15" s="32"/>
      <c r="E15" s="441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403"/>
      <c r="B16" s="41">
        <v>4</v>
      </c>
      <c r="C16" s="41">
        <v>3</v>
      </c>
      <c r="D16" s="32"/>
      <c r="E16" s="441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403"/>
      <c r="B17" s="42">
        <v>5</v>
      </c>
      <c r="C17" s="42">
        <v>3</v>
      </c>
      <c r="D17" s="40"/>
      <c r="E17" s="441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72" t="s">
        <v>74</v>
      </c>
      <c r="B18" s="473"/>
      <c r="C18" s="474"/>
      <c r="D18" s="33"/>
      <c r="E18" s="431" t="s">
        <v>75</v>
      </c>
      <c r="F18" s="431"/>
      <c r="G18" s="431"/>
      <c r="H18" s="431"/>
      <c r="I18" s="431"/>
      <c r="J18" s="431"/>
      <c r="K18" s="431"/>
      <c r="L18" s="431"/>
      <c r="M18" s="431"/>
    </row>
    <row r="19" spans="1:13" ht="35.4" customHeight="1" x14ac:dyDescent="0.3">
      <c r="A19" s="446"/>
      <c r="B19" s="447"/>
      <c r="C19" s="448"/>
      <c r="D19" s="33"/>
      <c r="E19" s="431"/>
      <c r="F19" s="431"/>
      <c r="G19" s="431"/>
      <c r="H19" s="431"/>
      <c r="I19" s="431"/>
      <c r="J19" s="431"/>
      <c r="K19" s="431"/>
      <c r="L19" s="431"/>
      <c r="M19" s="431"/>
    </row>
    <row r="21" spans="1:13" ht="14.4" thickBot="1" x14ac:dyDescent="0.35"/>
    <row r="22" spans="1:13" ht="16.8" customHeight="1" x14ac:dyDescent="0.3">
      <c r="A22" s="435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436"/>
      <c r="B23" s="12">
        <v>0</v>
      </c>
      <c r="C23" s="12">
        <v>5</v>
      </c>
      <c r="D23" s="26">
        <v>20</v>
      </c>
    </row>
    <row r="25" spans="1:13" x14ac:dyDescent="0.3">
      <c r="A25" s="403" t="s">
        <v>37</v>
      </c>
      <c r="B25" s="403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75" t="s">
        <v>111</v>
      </c>
      <c r="C4" s="475"/>
      <c r="D4" s="475"/>
      <c r="E4" s="475"/>
      <c r="F4" s="476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432" t="s">
        <v>8</v>
      </c>
      <c r="B7" s="426" t="s">
        <v>9</v>
      </c>
      <c r="C7" s="427"/>
      <c r="D7" s="451" t="s">
        <v>12</v>
      </c>
      <c r="E7" s="453"/>
      <c r="F7" s="452" t="s">
        <v>24</v>
      </c>
      <c r="G7" s="465"/>
    </row>
    <row r="8" spans="1:15" ht="27.6" x14ac:dyDescent="0.3">
      <c r="A8" s="433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434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432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435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434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436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454" t="s">
        <v>119</v>
      </c>
      <c r="B13" s="455"/>
      <c r="C13" s="455"/>
      <c r="D13" s="455"/>
      <c r="E13" s="455"/>
      <c r="F13" s="456"/>
      <c r="H13" s="454" t="s">
        <v>120</v>
      </c>
      <c r="I13" s="455"/>
      <c r="J13" s="455"/>
      <c r="K13" s="455"/>
      <c r="L13" s="455"/>
      <c r="M13" s="455"/>
      <c r="N13" s="455"/>
      <c r="O13" s="456"/>
    </row>
    <row r="14" spans="1:15" ht="33.6" customHeight="1" x14ac:dyDescent="0.3">
      <c r="A14" s="446"/>
      <c r="B14" s="447"/>
      <c r="C14" s="447"/>
      <c r="D14" s="447"/>
      <c r="E14" s="447"/>
      <c r="F14" s="448"/>
      <c r="H14" s="446"/>
      <c r="I14" s="447"/>
      <c r="J14" s="447"/>
      <c r="K14" s="447"/>
      <c r="L14" s="447"/>
      <c r="M14" s="447"/>
      <c r="N14" s="447"/>
      <c r="O14" s="448"/>
    </row>
    <row r="16" spans="1:15" ht="14.4" thickBot="1" x14ac:dyDescent="0.35"/>
    <row r="17" spans="1:4" ht="16.8" customHeight="1" x14ac:dyDescent="0.3">
      <c r="A17" s="435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436"/>
      <c r="B18" s="102">
        <v>0</v>
      </c>
      <c r="C18" s="103">
        <v>200000000</v>
      </c>
      <c r="D18" s="26">
        <v>20</v>
      </c>
    </row>
    <row r="20" spans="1:4" x14ac:dyDescent="0.3">
      <c r="A20" s="403" t="s">
        <v>37</v>
      </c>
      <c r="B20" s="403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Charts - Idvl</vt:lpstr>
      <vt:lpstr>Charts - Idvl IRev</vt:lpstr>
      <vt:lpstr>Chart - Combined</vt:lpstr>
      <vt:lpstr>JJ_Notes_1</vt:lpstr>
      <vt:lpstr>JJ_Notes_2</vt:lpstr>
      <vt:lpstr>Case Notes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  <vt:lpstr>JJ_Notes_1!Print_Area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cp:lastPrinted>2013-05-08T17:24:00Z</cp:lastPrinted>
  <dcterms:created xsi:type="dcterms:W3CDTF">2013-03-17T16:17:06Z</dcterms:created>
  <dcterms:modified xsi:type="dcterms:W3CDTF">2013-05-09T18:15:55Z</dcterms:modified>
</cp:coreProperties>
</file>