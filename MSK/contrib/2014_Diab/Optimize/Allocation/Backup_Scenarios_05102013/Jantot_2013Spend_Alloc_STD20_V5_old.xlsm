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3.xml" ContentType="application/vnd.openxmlformats-officedocument.drawing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4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6.xml" ContentType="application/vnd.openxmlformats-officedocument.drawing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drawings/drawing7.xml" ContentType="application/vnd.openxmlformats-officedocument.drawing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drawings/drawing8.xml" ContentType="application/vnd.openxmlformats-officedocument.drawing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drawings/drawing9.xml" ContentType="application/vnd.openxmlformats-officedocument.drawing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drawings/drawing10.xml" ContentType="application/vnd.openxmlformats-officedocument.drawing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drawings/drawing11.xml" ContentType="application/vnd.openxmlformats-officedocument.drawing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drawings/drawing12.xml" ContentType="application/vnd.openxmlformats-officedocument.drawing+xml"/>
  <Override PartName="/xl/charts/chart37.xml" ContentType="application/vnd.openxmlformats-officedocument.drawingml.chart+xml"/>
  <Override PartName="/xl/drawings/drawing13.xml" ContentType="application/vnd.openxmlformats-officedocument.drawing+xml"/>
  <Override PartName="/xl/charts/chart38.xml" ContentType="application/vnd.openxmlformats-officedocument.drawingml.chart+xml"/>
  <Override PartName="/xl/drawings/drawing14.xml" ContentType="application/vnd.openxmlformats-officedocument.drawing+xml"/>
  <Override PartName="/xl/charts/chart39.xml" ContentType="application/vnd.openxmlformats-officedocument.drawingml.chart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drawings/drawing16.xml" ContentType="application/vnd.openxmlformats-officedocument.drawing+xml"/>
  <Override PartName="/xl/charts/chart4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132" windowWidth="15576" windowHeight="7416" tabRatio="906" firstSheet="4" activeTab="10"/>
  </bookViews>
  <sheets>
    <sheet name="Charts - Idvl" sheetId="35" r:id="rId1"/>
    <sheet name="Charts - Idvl IRev" sheetId="38" r:id="rId2"/>
    <sheet name="Chart - Combined" sheetId="36" r:id="rId3"/>
    <sheet name="Case Notes" sheetId="37" r:id="rId4"/>
    <sheet name="STD20 (-15)" sheetId="39" r:id="rId5"/>
    <sheet name="STD20 (-10)" sheetId="40" r:id="rId6"/>
    <sheet name="STD20 (-5)" sheetId="41" r:id="rId7"/>
    <sheet name="STD20 (+0)" sheetId="42" r:id="rId8"/>
    <sheet name="STD20 (+5)" sheetId="43" r:id="rId9"/>
    <sheet name="STD20 (+10)" sheetId="44" r:id="rId10"/>
    <sheet name="STD20 (+15)" sheetId="45" r:id="rId11"/>
    <sheet name="JJ_Optim_Scenario" sheetId="23" r:id="rId12"/>
    <sheet name="JANSample" sheetId="25" r:id="rId13"/>
    <sheet name="JMTSample" sheetId="26" r:id="rId14"/>
    <sheet name="TOTSample" sheetId="27" r:id="rId15"/>
    <sheet name="JJVCH" sheetId="29" r:id="rId16"/>
    <sheet name="JJMMF" sheetId="30" r:id="rId17"/>
    <sheet name="JJHCC" sheetId="31" r:id="rId18"/>
    <sheet name="JJMCM" sheetId="32" r:id="rId19"/>
    <sheet name="JJHCC_ACQ" sheetId="33" r:id="rId20"/>
    <sheet name="JJHCC_ADH" sheetId="34" r:id="rId21"/>
    <sheet name="Fn.Templates ==&gt;" sheetId="3" r:id="rId22"/>
    <sheet name="FT_SCurveEst" sheetId="2" r:id="rId23"/>
    <sheet name="FT_Equation" sheetId="4" r:id="rId24"/>
    <sheet name="FT_Interpolate" sheetId="5" r:id="rId25"/>
    <sheet name="FT_SCurve3Est" sheetId="13" r:id="rId26"/>
  </sheets>
  <functionGroups builtInGroupCount="17"/>
  <definedNames>
    <definedName name="solver_adj" localSheetId="11" hidden="1">JJ_Optim_Scenario!$I$17:$I$24</definedName>
    <definedName name="solver_adj" localSheetId="7" hidden="1">'STD20 (+0)'!$I$17:$I$24</definedName>
    <definedName name="solver_adj" localSheetId="9" hidden="1">'STD20 (+10)'!$I$17:$I$24</definedName>
    <definedName name="solver_adj" localSheetId="10" hidden="1">'STD20 (+15)'!$I$17:$I$24</definedName>
    <definedName name="solver_adj" localSheetId="8" hidden="1">'STD20 (+5)'!$I$17:$I$24</definedName>
    <definedName name="solver_adj" localSheetId="5" hidden="1">'STD20 (-10)'!$I$17:$I$24</definedName>
    <definedName name="solver_adj" localSheetId="4" hidden="1">'STD20 (-15)'!$I$17:$I$24</definedName>
    <definedName name="solver_adj" localSheetId="6" hidden="1">'STD20 (-5)'!$I$17:$I$24</definedName>
    <definedName name="solver_cvg" localSheetId="11" hidden="1">0.00001</definedName>
    <definedName name="solver_cvg" localSheetId="7" hidden="1">0.0001</definedName>
    <definedName name="solver_cvg" localSheetId="9" hidden="1">0.00001</definedName>
    <definedName name="solver_cvg" localSheetId="10" hidden="1">0.00001</definedName>
    <definedName name="solver_cvg" localSheetId="8" hidden="1">0.00001</definedName>
    <definedName name="solver_cvg" localSheetId="5" hidden="1">0.0001</definedName>
    <definedName name="solver_cvg" localSheetId="4" hidden="1">0.0001</definedName>
    <definedName name="solver_cvg" localSheetId="6" hidden="1">0.0001</definedName>
    <definedName name="solver_drv" localSheetId="11" hidden="1">1</definedName>
    <definedName name="solver_drv" localSheetId="7" hidden="1">1</definedName>
    <definedName name="solver_drv" localSheetId="9" hidden="1">1</definedName>
    <definedName name="solver_drv" localSheetId="10" hidden="1">1</definedName>
    <definedName name="solver_drv" localSheetId="8" hidden="1">1</definedName>
    <definedName name="solver_drv" localSheetId="5" hidden="1">1</definedName>
    <definedName name="solver_drv" localSheetId="4" hidden="1">1</definedName>
    <definedName name="solver_drv" localSheetId="6" hidden="1">1</definedName>
    <definedName name="solver_eng" localSheetId="11" hidden="1">1</definedName>
    <definedName name="solver_eng" localSheetId="7" hidden="1">1</definedName>
    <definedName name="solver_eng" localSheetId="9" hidden="1">1</definedName>
    <definedName name="solver_eng" localSheetId="10" hidden="1">1</definedName>
    <definedName name="solver_eng" localSheetId="8" hidden="1">1</definedName>
    <definedName name="solver_eng" localSheetId="5" hidden="1">1</definedName>
    <definedName name="solver_eng" localSheetId="4" hidden="1">1</definedName>
    <definedName name="solver_eng" localSheetId="6" hidden="1">1</definedName>
    <definedName name="solver_est" localSheetId="11" hidden="1">1</definedName>
    <definedName name="solver_est" localSheetId="7" hidden="1">1</definedName>
    <definedName name="solver_est" localSheetId="9" hidden="1">1</definedName>
    <definedName name="solver_est" localSheetId="10" hidden="1">1</definedName>
    <definedName name="solver_est" localSheetId="8" hidden="1">1</definedName>
    <definedName name="solver_est" localSheetId="5" hidden="1">1</definedName>
    <definedName name="solver_est" localSheetId="4" hidden="1">1</definedName>
    <definedName name="solver_est" localSheetId="6" hidden="1">1</definedName>
    <definedName name="solver_itr" localSheetId="11" hidden="1">2147483647</definedName>
    <definedName name="solver_itr" localSheetId="7" hidden="1">2147483647</definedName>
    <definedName name="solver_itr" localSheetId="9" hidden="1">2147483647</definedName>
    <definedName name="solver_itr" localSheetId="10" hidden="1">2147483647</definedName>
    <definedName name="solver_itr" localSheetId="8" hidden="1">2147483647</definedName>
    <definedName name="solver_itr" localSheetId="5" hidden="1">2147483647</definedName>
    <definedName name="solver_itr" localSheetId="4" hidden="1">2147483647</definedName>
    <definedName name="solver_itr" localSheetId="6" hidden="1">2147483647</definedName>
    <definedName name="solver_lhs1" localSheetId="11" hidden="1">JJ_Optim_Scenario!$I$17:$I$24</definedName>
    <definedName name="solver_lhs1" localSheetId="7" hidden="1">'STD20 (+0)'!$I$17:$I$24</definedName>
    <definedName name="solver_lhs1" localSheetId="9" hidden="1">'STD20 (+10)'!$I$17:$I$24</definedName>
    <definedName name="solver_lhs1" localSheetId="10" hidden="1">'STD20 (+15)'!$I$17:$I$24</definedName>
    <definedName name="solver_lhs1" localSheetId="8" hidden="1">'STD20 (+5)'!$I$17:$I$24</definedName>
    <definedName name="solver_lhs1" localSheetId="5" hidden="1">'STD20 (-10)'!$I$17:$I$24</definedName>
    <definedName name="solver_lhs1" localSheetId="4" hidden="1">'STD20 (-15)'!$I$17:$I$24</definedName>
    <definedName name="solver_lhs1" localSheetId="6" hidden="1">'STD20 (-5)'!$I$17:$I$24</definedName>
    <definedName name="solver_lhs2" localSheetId="11" hidden="1">JJ_Optim_Scenario!$I$17:$I$24</definedName>
    <definedName name="solver_lhs2" localSheetId="7" hidden="1">'STD20 (+0)'!$I$17:$I$24</definedName>
    <definedName name="solver_lhs2" localSheetId="9" hidden="1">'STD20 (+10)'!$I$17:$I$24</definedName>
    <definedName name="solver_lhs2" localSheetId="10" hidden="1">'STD20 (+15)'!$I$17:$I$24</definedName>
    <definedName name="solver_lhs2" localSheetId="8" hidden="1">'STD20 (+5)'!$I$17:$I$24</definedName>
    <definedName name="solver_lhs2" localSheetId="5" hidden="1">'STD20 (-10)'!$I$17:$I$24</definedName>
    <definedName name="solver_lhs2" localSheetId="4" hidden="1">'STD20 (-15)'!$I$17:$I$24</definedName>
    <definedName name="solver_lhs2" localSheetId="6" hidden="1">'STD20 (-5)'!$I$17:$I$24</definedName>
    <definedName name="solver_lhs3" localSheetId="11" hidden="1">JJ_Optim_Scenario!$I$25</definedName>
    <definedName name="solver_lhs3" localSheetId="7" hidden="1">'STD20 (+0)'!$I$25</definedName>
    <definedName name="solver_lhs3" localSheetId="9" hidden="1">'STD20 (+10)'!$I$25</definedName>
    <definedName name="solver_lhs3" localSheetId="10" hidden="1">'STD20 (+15)'!$I$25</definedName>
    <definedName name="solver_lhs3" localSheetId="8" hidden="1">'STD20 (+5)'!$I$25</definedName>
    <definedName name="solver_lhs3" localSheetId="5" hidden="1">'STD20 (-10)'!$I$25</definedName>
    <definedName name="solver_lhs3" localSheetId="4" hidden="1">'STD20 (-15)'!$I$25</definedName>
    <definedName name="solver_lhs3" localSheetId="6" hidden="1">'STD20 (-5)'!$I$25</definedName>
    <definedName name="solver_mip" localSheetId="11" hidden="1">2147483647</definedName>
    <definedName name="solver_mip" localSheetId="7" hidden="1">2147483647</definedName>
    <definedName name="solver_mip" localSheetId="9" hidden="1">2147483647</definedName>
    <definedName name="solver_mip" localSheetId="10" hidden="1">2147483647</definedName>
    <definedName name="solver_mip" localSheetId="8" hidden="1">2147483647</definedName>
    <definedName name="solver_mip" localSheetId="5" hidden="1">2147483647</definedName>
    <definedName name="solver_mip" localSheetId="4" hidden="1">2147483647</definedName>
    <definedName name="solver_mip" localSheetId="6" hidden="1">2147483647</definedName>
    <definedName name="solver_mni" localSheetId="11" hidden="1">30</definedName>
    <definedName name="solver_mni" localSheetId="7" hidden="1">30</definedName>
    <definedName name="solver_mni" localSheetId="9" hidden="1">30</definedName>
    <definedName name="solver_mni" localSheetId="10" hidden="1">30</definedName>
    <definedName name="solver_mni" localSheetId="8" hidden="1">30</definedName>
    <definedName name="solver_mni" localSheetId="5" hidden="1">30</definedName>
    <definedName name="solver_mni" localSheetId="4" hidden="1">30</definedName>
    <definedName name="solver_mni" localSheetId="6" hidden="1">30</definedName>
    <definedName name="solver_mrt" localSheetId="11" hidden="1">0.075</definedName>
    <definedName name="solver_mrt" localSheetId="7" hidden="1">0.075</definedName>
    <definedName name="solver_mrt" localSheetId="9" hidden="1">0.075</definedName>
    <definedName name="solver_mrt" localSheetId="10" hidden="1">0.075</definedName>
    <definedName name="solver_mrt" localSheetId="8" hidden="1">0.075</definedName>
    <definedName name="solver_mrt" localSheetId="5" hidden="1">0.075</definedName>
    <definedName name="solver_mrt" localSheetId="4" hidden="1">0.075</definedName>
    <definedName name="solver_mrt" localSheetId="6" hidden="1">0.075</definedName>
    <definedName name="solver_msl" localSheetId="11" hidden="1">2</definedName>
    <definedName name="solver_msl" localSheetId="7" hidden="1">2</definedName>
    <definedName name="solver_msl" localSheetId="9" hidden="1">2</definedName>
    <definedName name="solver_msl" localSheetId="10" hidden="1">2</definedName>
    <definedName name="solver_msl" localSheetId="8" hidden="1">2</definedName>
    <definedName name="solver_msl" localSheetId="5" hidden="1">2</definedName>
    <definedName name="solver_msl" localSheetId="4" hidden="1">2</definedName>
    <definedName name="solver_msl" localSheetId="6" hidden="1">2</definedName>
    <definedName name="solver_neg" localSheetId="11" hidden="1">1</definedName>
    <definedName name="solver_neg" localSheetId="7" hidden="1">1</definedName>
    <definedName name="solver_neg" localSheetId="9" hidden="1">1</definedName>
    <definedName name="solver_neg" localSheetId="10" hidden="1">1</definedName>
    <definedName name="solver_neg" localSheetId="8" hidden="1">1</definedName>
    <definedName name="solver_neg" localSheetId="5" hidden="1">1</definedName>
    <definedName name="solver_neg" localSheetId="4" hidden="1">1</definedName>
    <definedName name="solver_neg" localSheetId="6" hidden="1">1</definedName>
    <definedName name="solver_nod" localSheetId="11" hidden="1">2147483647</definedName>
    <definedName name="solver_nod" localSheetId="7" hidden="1">2147483647</definedName>
    <definedName name="solver_nod" localSheetId="9" hidden="1">2147483647</definedName>
    <definedName name="solver_nod" localSheetId="10" hidden="1">2147483647</definedName>
    <definedName name="solver_nod" localSheetId="8" hidden="1">2147483647</definedName>
    <definedName name="solver_nod" localSheetId="5" hidden="1">2147483647</definedName>
    <definedName name="solver_nod" localSheetId="4" hidden="1">2147483647</definedName>
    <definedName name="solver_nod" localSheetId="6" hidden="1">2147483647</definedName>
    <definedName name="solver_num" localSheetId="11" hidden="1">3</definedName>
    <definedName name="solver_num" localSheetId="7" hidden="1">3</definedName>
    <definedName name="solver_num" localSheetId="9" hidden="1">3</definedName>
    <definedName name="solver_num" localSheetId="10" hidden="1">3</definedName>
    <definedName name="solver_num" localSheetId="8" hidden="1">3</definedName>
    <definedName name="solver_num" localSheetId="5" hidden="1">3</definedName>
    <definedName name="solver_num" localSheetId="4" hidden="1">3</definedName>
    <definedName name="solver_num" localSheetId="6" hidden="1">3</definedName>
    <definedName name="solver_nwt" localSheetId="11" hidden="1">1</definedName>
    <definedName name="solver_nwt" localSheetId="7" hidden="1">1</definedName>
    <definedName name="solver_nwt" localSheetId="9" hidden="1">1</definedName>
    <definedName name="solver_nwt" localSheetId="10" hidden="1">1</definedName>
    <definedName name="solver_nwt" localSheetId="8" hidden="1">1</definedName>
    <definedName name="solver_nwt" localSheetId="5" hidden="1">1</definedName>
    <definedName name="solver_nwt" localSheetId="4" hidden="1">1</definedName>
    <definedName name="solver_nwt" localSheetId="6" hidden="1">1</definedName>
    <definedName name="solver_opt" localSheetId="11" hidden="1">JJ_Optim_Scenario!$B$9</definedName>
    <definedName name="solver_opt" localSheetId="7" hidden="1">'STD20 (+0)'!$B$9</definedName>
    <definedName name="solver_opt" localSheetId="9" hidden="1">'STD20 (+10)'!$B$9</definedName>
    <definedName name="solver_opt" localSheetId="10" hidden="1">'STD20 (+15)'!$B$9</definedName>
    <definedName name="solver_opt" localSheetId="8" hidden="1">'STD20 (+5)'!$B$9</definedName>
    <definedName name="solver_opt" localSheetId="5" hidden="1">'STD20 (-10)'!$B$9</definedName>
    <definedName name="solver_opt" localSheetId="4" hidden="1">'STD20 (-15)'!$B$9</definedName>
    <definedName name="solver_opt" localSheetId="6" hidden="1">'STD20 (-5)'!$B$9</definedName>
    <definedName name="solver_pre" localSheetId="11" hidden="1">0.000001</definedName>
    <definedName name="solver_pre" localSheetId="7" hidden="1">0.000001</definedName>
    <definedName name="solver_pre" localSheetId="9" hidden="1">0.000001</definedName>
    <definedName name="solver_pre" localSheetId="10" hidden="1">0.000001</definedName>
    <definedName name="solver_pre" localSheetId="8" hidden="1">0.000001</definedName>
    <definedName name="solver_pre" localSheetId="5" hidden="1">0.000001</definedName>
    <definedName name="solver_pre" localSheetId="4" hidden="1">0.000001</definedName>
    <definedName name="solver_pre" localSheetId="6" hidden="1">0.000001</definedName>
    <definedName name="solver_rbv" localSheetId="11" hidden="1">1</definedName>
    <definedName name="solver_rbv" localSheetId="7" hidden="1">1</definedName>
    <definedName name="solver_rbv" localSheetId="9" hidden="1">1</definedName>
    <definedName name="solver_rbv" localSheetId="10" hidden="1">1</definedName>
    <definedName name="solver_rbv" localSheetId="8" hidden="1">1</definedName>
    <definedName name="solver_rbv" localSheetId="5" hidden="1">1</definedName>
    <definedName name="solver_rbv" localSheetId="4" hidden="1">1</definedName>
    <definedName name="solver_rbv" localSheetId="6" hidden="1">1</definedName>
    <definedName name="solver_rel1" localSheetId="11" hidden="1">1</definedName>
    <definedName name="solver_rel1" localSheetId="7" hidden="1">1</definedName>
    <definedName name="solver_rel1" localSheetId="9" hidden="1">1</definedName>
    <definedName name="solver_rel1" localSheetId="10" hidden="1">1</definedName>
    <definedName name="solver_rel1" localSheetId="8" hidden="1">1</definedName>
    <definedName name="solver_rel1" localSheetId="5" hidden="1">1</definedName>
    <definedName name="solver_rel1" localSheetId="4" hidden="1">1</definedName>
    <definedName name="solver_rel1" localSheetId="6" hidden="1">1</definedName>
    <definedName name="solver_rel2" localSheetId="11" hidden="1">3</definedName>
    <definedName name="solver_rel2" localSheetId="7" hidden="1">3</definedName>
    <definedName name="solver_rel2" localSheetId="9" hidden="1">3</definedName>
    <definedName name="solver_rel2" localSheetId="10" hidden="1">3</definedName>
    <definedName name="solver_rel2" localSheetId="8" hidden="1">3</definedName>
    <definedName name="solver_rel2" localSheetId="5" hidden="1">3</definedName>
    <definedName name="solver_rel2" localSheetId="4" hidden="1">3</definedName>
    <definedName name="solver_rel2" localSheetId="6" hidden="1">3</definedName>
    <definedName name="solver_rel3" localSheetId="11" hidden="1">2</definedName>
    <definedName name="solver_rel3" localSheetId="7" hidden="1">2</definedName>
    <definedName name="solver_rel3" localSheetId="9" hidden="1">2</definedName>
    <definedName name="solver_rel3" localSheetId="10" hidden="1">2</definedName>
    <definedName name="solver_rel3" localSheetId="8" hidden="1">2</definedName>
    <definedName name="solver_rel3" localSheetId="5" hidden="1">2</definedName>
    <definedName name="solver_rel3" localSheetId="4" hidden="1">2</definedName>
    <definedName name="solver_rel3" localSheetId="6" hidden="1">2</definedName>
    <definedName name="solver_rhs1" localSheetId="11" hidden="1">JJ_Optim_Scenario!$H$17:$H$24</definedName>
    <definedName name="solver_rhs1" localSheetId="7" hidden="1">'STD20 (+0)'!$H$17:$H$24</definedName>
    <definedName name="solver_rhs1" localSheetId="9" hidden="1">'STD20 (+10)'!$H$17:$H$24</definedName>
    <definedName name="solver_rhs1" localSheetId="10" hidden="1">'STD20 (+15)'!$H$17:$H$24</definedName>
    <definedName name="solver_rhs1" localSheetId="8" hidden="1">'STD20 (+5)'!$H$17:$H$24</definedName>
    <definedName name="solver_rhs1" localSheetId="5" hidden="1">'STD20 (-10)'!$H$17:$H$24</definedName>
    <definedName name="solver_rhs1" localSheetId="4" hidden="1">'STD20 (-15)'!$H$17:$H$24</definedName>
    <definedName name="solver_rhs1" localSheetId="6" hidden="1">'STD20 (-5)'!$H$17:$H$24</definedName>
    <definedName name="solver_rhs2" localSheetId="11" hidden="1">JJ_Optim_Scenario!$G$17:$G$24</definedName>
    <definedName name="solver_rhs2" localSheetId="7" hidden="1">'STD20 (+0)'!$G$17:$G$24</definedName>
    <definedName name="solver_rhs2" localSheetId="9" hidden="1">'STD20 (+10)'!$G$17:$G$24</definedName>
    <definedName name="solver_rhs2" localSheetId="10" hidden="1">'STD20 (+15)'!$G$17:$G$24</definedName>
    <definedName name="solver_rhs2" localSheetId="8" hidden="1">'STD20 (+5)'!$G$17:$G$24</definedName>
    <definedName name="solver_rhs2" localSheetId="5" hidden="1">'STD20 (-10)'!$G$17:$G$24</definedName>
    <definedName name="solver_rhs2" localSheetId="4" hidden="1">'STD20 (-15)'!$G$17:$G$24</definedName>
    <definedName name="solver_rhs2" localSheetId="6" hidden="1">'STD20 (-5)'!$G$17:$G$24</definedName>
    <definedName name="solver_rhs3" localSheetId="11" hidden="1">JJ_Optim_Scenario!$B$12</definedName>
    <definedName name="solver_rhs3" localSheetId="7" hidden="1">'STD20 (+0)'!$B$12</definedName>
    <definedName name="solver_rhs3" localSheetId="9" hidden="1">'STD20 (+10)'!$B$12</definedName>
    <definedName name="solver_rhs3" localSheetId="10" hidden="1">'STD20 (+15)'!$B$12</definedName>
    <definedName name="solver_rhs3" localSheetId="8" hidden="1">'STD20 (+5)'!$B$12</definedName>
    <definedName name="solver_rhs3" localSheetId="5" hidden="1">'STD20 (-10)'!$B$12</definedName>
    <definedName name="solver_rhs3" localSheetId="4" hidden="1">'STD20 (-15)'!$B$12</definedName>
    <definedName name="solver_rhs3" localSheetId="6" hidden="1">'STD20 (-5)'!$B$12</definedName>
    <definedName name="solver_rlx" localSheetId="11" hidden="1">2</definedName>
    <definedName name="solver_rlx" localSheetId="7" hidden="1">2</definedName>
    <definedName name="solver_rlx" localSheetId="9" hidden="1">2</definedName>
    <definedName name="solver_rlx" localSheetId="10" hidden="1">2</definedName>
    <definedName name="solver_rlx" localSheetId="8" hidden="1">2</definedName>
    <definedName name="solver_rlx" localSheetId="5" hidden="1">2</definedName>
    <definedName name="solver_rlx" localSheetId="4" hidden="1">2</definedName>
    <definedName name="solver_rlx" localSheetId="6" hidden="1">2</definedName>
    <definedName name="solver_rsd" localSheetId="11" hidden="1">0</definedName>
    <definedName name="solver_rsd" localSheetId="7" hidden="1">0</definedName>
    <definedName name="solver_rsd" localSheetId="9" hidden="1">0</definedName>
    <definedName name="solver_rsd" localSheetId="10" hidden="1">0</definedName>
    <definedName name="solver_rsd" localSheetId="8" hidden="1">0</definedName>
    <definedName name="solver_rsd" localSheetId="5" hidden="1">0</definedName>
    <definedName name="solver_rsd" localSheetId="4" hidden="1">0</definedName>
    <definedName name="solver_rsd" localSheetId="6" hidden="1">0</definedName>
    <definedName name="solver_scl" localSheetId="11" hidden="1">1</definedName>
    <definedName name="solver_scl" localSheetId="7" hidden="1">1</definedName>
    <definedName name="solver_scl" localSheetId="9" hidden="1">1</definedName>
    <definedName name="solver_scl" localSheetId="10" hidden="1">1</definedName>
    <definedName name="solver_scl" localSheetId="8" hidden="1">1</definedName>
    <definedName name="solver_scl" localSheetId="5" hidden="1">1</definedName>
    <definedName name="solver_scl" localSheetId="4" hidden="1">1</definedName>
    <definedName name="solver_scl" localSheetId="6" hidden="1">1</definedName>
    <definedName name="solver_sho" localSheetId="11" hidden="1">2</definedName>
    <definedName name="solver_sho" localSheetId="7" hidden="1">2</definedName>
    <definedName name="solver_sho" localSheetId="9" hidden="1">2</definedName>
    <definedName name="solver_sho" localSheetId="10" hidden="1">2</definedName>
    <definedName name="solver_sho" localSheetId="8" hidden="1">2</definedName>
    <definedName name="solver_sho" localSheetId="5" hidden="1">2</definedName>
    <definedName name="solver_sho" localSheetId="4" hidden="1">2</definedName>
    <definedName name="solver_sho" localSheetId="6" hidden="1">2</definedName>
    <definedName name="solver_ssz" localSheetId="11" hidden="1">100</definedName>
    <definedName name="solver_ssz" localSheetId="7" hidden="1">100</definedName>
    <definedName name="solver_ssz" localSheetId="9" hidden="1">100</definedName>
    <definedName name="solver_ssz" localSheetId="10" hidden="1">100</definedName>
    <definedName name="solver_ssz" localSheetId="8" hidden="1">100</definedName>
    <definedName name="solver_ssz" localSheetId="5" hidden="1">100</definedName>
    <definedName name="solver_ssz" localSheetId="4" hidden="1">100</definedName>
    <definedName name="solver_ssz" localSheetId="6" hidden="1">100</definedName>
    <definedName name="solver_tim" localSheetId="11" hidden="1">2147483647</definedName>
    <definedName name="solver_tim" localSheetId="7" hidden="1">2147483647</definedName>
    <definedName name="solver_tim" localSheetId="9" hidden="1">2147483647</definedName>
    <definedName name="solver_tim" localSheetId="10" hidden="1">2147483647</definedName>
    <definedName name="solver_tim" localSheetId="8" hidden="1">2147483647</definedName>
    <definedName name="solver_tim" localSheetId="5" hidden="1">2147483647</definedName>
    <definedName name="solver_tim" localSheetId="4" hidden="1">2147483647</definedName>
    <definedName name="solver_tim" localSheetId="6" hidden="1">2147483647</definedName>
    <definedName name="solver_tol" localSheetId="11" hidden="1">0.01</definedName>
    <definedName name="solver_tol" localSheetId="7" hidden="1">0.01</definedName>
    <definedName name="solver_tol" localSheetId="9" hidden="1">0.01</definedName>
    <definedName name="solver_tol" localSheetId="10" hidden="1">0.01</definedName>
    <definedName name="solver_tol" localSheetId="8" hidden="1">0.01</definedName>
    <definedName name="solver_tol" localSheetId="5" hidden="1">0.01</definedName>
    <definedName name="solver_tol" localSheetId="4" hidden="1">0.01</definedName>
    <definedName name="solver_tol" localSheetId="6" hidden="1">0.01</definedName>
    <definedName name="solver_typ" localSheetId="11" hidden="1">1</definedName>
    <definedName name="solver_typ" localSheetId="7" hidden="1">1</definedName>
    <definedName name="solver_typ" localSheetId="9" hidden="1">1</definedName>
    <definedName name="solver_typ" localSheetId="10" hidden="1">1</definedName>
    <definedName name="solver_typ" localSheetId="8" hidden="1">1</definedName>
    <definedName name="solver_typ" localSheetId="5" hidden="1">1</definedName>
    <definedName name="solver_typ" localSheetId="4" hidden="1">1</definedName>
    <definedName name="solver_typ" localSheetId="6" hidden="1">1</definedName>
    <definedName name="solver_val" localSheetId="11" hidden="1">0</definedName>
    <definedName name="solver_val" localSheetId="7" hidden="1">0</definedName>
    <definedName name="solver_val" localSheetId="9" hidden="1">0</definedName>
    <definedName name="solver_val" localSheetId="10" hidden="1">0</definedName>
    <definedName name="solver_val" localSheetId="8" hidden="1">0</definedName>
    <definedName name="solver_val" localSheetId="5" hidden="1">0</definedName>
    <definedName name="solver_val" localSheetId="4" hidden="1">0</definedName>
    <definedName name="solver_val" localSheetId="6" hidden="1">0</definedName>
    <definedName name="solver_ver" localSheetId="11" hidden="1">3</definedName>
    <definedName name="solver_ver" localSheetId="7" hidden="1">3</definedName>
    <definedName name="solver_ver" localSheetId="9" hidden="1">3</definedName>
    <definedName name="solver_ver" localSheetId="10" hidden="1">3</definedName>
    <definedName name="solver_ver" localSheetId="8" hidden="1">3</definedName>
    <definedName name="solver_ver" localSheetId="5" hidden="1">3</definedName>
    <definedName name="solver_ver" localSheetId="4" hidden="1">3</definedName>
    <definedName name="solver_ver" localSheetId="6" hidden="1">3</definedName>
  </definedNames>
  <calcPr calcId="145621"/>
</workbook>
</file>

<file path=xl/calcChain.xml><?xml version="1.0" encoding="utf-8"?>
<calcChain xmlns="http://schemas.openxmlformats.org/spreadsheetml/2006/main">
  <c r="B12" i="23" l="1"/>
  <c r="B12" i="45"/>
  <c r="D12" i="45" s="1"/>
  <c r="C42" i="45"/>
  <c r="I41" i="45"/>
  <c r="J41" i="45" s="1"/>
  <c r="H41" i="45"/>
  <c r="K41" i="45" s="1"/>
  <c r="M41" i="45" s="1"/>
  <c r="F41" i="45"/>
  <c r="G41" i="45" s="1"/>
  <c r="D41" i="45"/>
  <c r="C41" i="45"/>
  <c r="I40" i="45"/>
  <c r="J40" i="45" s="1"/>
  <c r="L40" i="45" s="1"/>
  <c r="N40" i="45" s="1"/>
  <c r="H40" i="45"/>
  <c r="K40" i="45" s="1"/>
  <c r="M40" i="45" s="1"/>
  <c r="G40" i="45"/>
  <c r="F40" i="45"/>
  <c r="D40" i="45"/>
  <c r="C40" i="45"/>
  <c r="K39" i="45"/>
  <c r="M39" i="45" s="1"/>
  <c r="I39" i="45"/>
  <c r="J39" i="45" s="1"/>
  <c r="H39" i="45"/>
  <c r="G39" i="45"/>
  <c r="F39" i="45"/>
  <c r="D39" i="45"/>
  <c r="C39" i="45"/>
  <c r="K38" i="45"/>
  <c r="M38" i="45" s="1"/>
  <c r="I38" i="45"/>
  <c r="J38" i="45" s="1"/>
  <c r="H38" i="45"/>
  <c r="F38" i="45"/>
  <c r="G38" i="45" s="1"/>
  <c r="D38" i="45"/>
  <c r="C38" i="45"/>
  <c r="I37" i="45"/>
  <c r="J37" i="45" s="1"/>
  <c r="L37" i="45" s="1"/>
  <c r="N37" i="45" s="1"/>
  <c r="H37" i="45"/>
  <c r="K37" i="45" s="1"/>
  <c r="M37" i="45" s="1"/>
  <c r="F37" i="45"/>
  <c r="G37" i="45" s="1"/>
  <c r="D37" i="45"/>
  <c r="C37" i="45"/>
  <c r="I36" i="45"/>
  <c r="J36" i="45" s="1"/>
  <c r="L36" i="45" s="1"/>
  <c r="N36" i="45" s="1"/>
  <c r="H36" i="45"/>
  <c r="K36" i="45" s="1"/>
  <c r="M36" i="45" s="1"/>
  <c r="G36" i="45"/>
  <c r="F36" i="45"/>
  <c r="D36" i="45"/>
  <c r="C36" i="45"/>
  <c r="K35" i="45"/>
  <c r="M35" i="45" s="1"/>
  <c r="I35" i="45"/>
  <c r="J35" i="45" s="1"/>
  <c r="H35" i="45"/>
  <c r="G35" i="45"/>
  <c r="F35" i="45"/>
  <c r="D35" i="45"/>
  <c r="C35" i="45"/>
  <c r="K34" i="45"/>
  <c r="M34" i="45" s="1"/>
  <c r="I34" i="45"/>
  <c r="J34" i="45" s="1"/>
  <c r="H34" i="45"/>
  <c r="F34" i="45"/>
  <c r="G34" i="45" s="1"/>
  <c r="D34" i="45"/>
  <c r="D42" i="45" s="1"/>
  <c r="C34" i="45"/>
  <c r="C33" i="45"/>
  <c r="C32" i="45"/>
  <c r="I31" i="45"/>
  <c r="J25" i="45"/>
  <c r="I25" i="45"/>
  <c r="F25" i="45"/>
  <c r="E25" i="45"/>
  <c r="N24" i="45"/>
  <c r="L24" i="45"/>
  <c r="K24" i="45"/>
  <c r="M24" i="45" s="1"/>
  <c r="H24" i="45"/>
  <c r="G24" i="45"/>
  <c r="L23" i="45"/>
  <c r="N23" i="45" s="1"/>
  <c r="K23" i="45"/>
  <c r="M23" i="45" s="1"/>
  <c r="H23" i="45"/>
  <c r="G23" i="45"/>
  <c r="L22" i="45"/>
  <c r="N22" i="45" s="1"/>
  <c r="K22" i="45"/>
  <c r="M22" i="45" s="1"/>
  <c r="H22" i="45"/>
  <c r="G22" i="45"/>
  <c r="M21" i="45"/>
  <c r="L21" i="45"/>
  <c r="N21" i="45" s="1"/>
  <c r="K21" i="45"/>
  <c r="H21" i="45"/>
  <c r="G21" i="45"/>
  <c r="N20" i="45"/>
  <c r="L20" i="45"/>
  <c r="K20" i="45"/>
  <c r="M20" i="45" s="1"/>
  <c r="H20" i="45"/>
  <c r="G20" i="45"/>
  <c r="L19" i="45"/>
  <c r="N19" i="45" s="1"/>
  <c r="K19" i="45"/>
  <c r="M19" i="45" s="1"/>
  <c r="H19" i="45"/>
  <c r="G19" i="45"/>
  <c r="L18" i="45"/>
  <c r="N18" i="45" s="1"/>
  <c r="K18" i="45"/>
  <c r="M18" i="45" s="1"/>
  <c r="H18" i="45"/>
  <c r="H25" i="45" s="1"/>
  <c r="G18" i="45"/>
  <c r="M17" i="45"/>
  <c r="L17" i="45"/>
  <c r="N17" i="45" s="1"/>
  <c r="K17" i="45"/>
  <c r="H17" i="45"/>
  <c r="G17" i="45"/>
  <c r="G25" i="45" s="1"/>
  <c r="C12" i="45"/>
  <c r="B9" i="45"/>
  <c r="B12" i="44"/>
  <c r="C42" i="44"/>
  <c r="I41" i="44"/>
  <c r="J41" i="44" s="1"/>
  <c r="H41" i="44"/>
  <c r="K41" i="44" s="1"/>
  <c r="M41" i="44" s="1"/>
  <c r="F41" i="44"/>
  <c r="D41" i="44"/>
  <c r="C41" i="44"/>
  <c r="K40" i="44"/>
  <c r="M40" i="44" s="1"/>
  <c r="I40" i="44"/>
  <c r="J40" i="44" s="1"/>
  <c r="H40" i="44"/>
  <c r="G40" i="44"/>
  <c r="F40" i="44"/>
  <c r="D40" i="44"/>
  <c r="C40" i="44"/>
  <c r="K39" i="44"/>
  <c r="M39" i="44" s="1"/>
  <c r="I39" i="44"/>
  <c r="J39" i="44" s="1"/>
  <c r="H39" i="44"/>
  <c r="F39" i="44"/>
  <c r="G39" i="44" s="1"/>
  <c r="D39" i="44"/>
  <c r="C39" i="44"/>
  <c r="I38" i="44"/>
  <c r="J38" i="44" s="1"/>
  <c r="L38" i="44" s="1"/>
  <c r="N38" i="44" s="1"/>
  <c r="H38" i="44"/>
  <c r="K38" i="44" s="1"/>
  <c r="M38" i="44" s="1"/>
  <c r="F38" i="44"/>
  <c r="G38" i="44" s="1"/>
  <c r="D38" i="44"/>
  <c r="C38" i="44"/>
  <c r="I37" i="44"/>
  <c r="J37" i="44" s="1"/>
  <c r="L37" i="44" s="1"/>
  <c r="N37" i="44" s="1"/>
  <c r="H37" i="44"/>
  <c r="K37" i="44" s="1"/>
  <c r="M37" i="44" s="1"/>
  <c r="G37" i="44"/>
  <c r="F37" i="44"/>
  <c r="D37" i="44"/>
  <c r="C37" i="44"/>
  <c r="K36" i="44"/>
  <c r="M36" i="44" s="1"/>
  <c r="I36" i="44"/>
  <c r="J36" i="44" s="1"/>
  <c r="H36" i="44"/>
  <c r="G36" i="44"/>
  <c r="F36" i="44"/>
  <c r="D36" i="44"/>
  <c r="C36" i="44"/>
  <c r="K35" i="44"/>
  <c r="M35" i="44" s="1"/>
  <c r="I35" i="44"/>
  <c r="J35" i="44" s="1"/>
  <c r="L35" i="44" s="1"/>
  <c r="N35" i="44" s="1"/>
  <c r="H35" i="44"/>
  <c r="F35" i="44"/>
  <c r="G35" i="44" s="1"/>
  <c r="D35" i="44"/>
  <c r="C35" i="44"/>
  <c r="I34" i="44"/>
  <c r="J34" i="44" s="1"/>
  <c r="H34" i="44"/>
  <c r="H42" i="44" s="1"/>
  <c r="F34" i="44"/>
  <c r="G34" i="44" s="1"/>
  <c r="D34" i="44"/>
  <c r="D42" i="44" s="1"/>
  <c r="C34" i="44"/>
  <c r="C33" i="44"/>
  <c r="C32" i="44"/>
  <c r="I31" i="44"/>
  <c r="G41" i="44" s="1"/>
  <c r="J25" i="44"/>
  <c r="I25" i="44"/>
  <c r="F25" i="44"/>
  <c r="E25" i="44"/>
  <c r="N24" i="44"/>
  <c r="M24" i="44"/>
  <c r="L24" i="44"/>
  <c r="K24" i="44"/>
  <c r="H24" i="44"/>
  <c r="G24" i="44"/>
  <c r="L23" i="44"/>
  <c r="N23" i="44" s="1"/>
  <c r="K23" i="44"/>
  <c r="M23" i="44" s="1"/>
  <c r="H23" i="44"/>
  <c r="G23" i="44"/>
  <c r="L22" i="44"/>
  <c r="N22" i="44" s="1"/>
  <c r="K22" i="44"/>
  <c r="M22" i="44" s="1"/>
  <c r="H22" i="44"/>
  <c r="G22" i="44"/>
  <c r="L21" i="44"/>
  <c r="N21" i="44" s="1"/>
  <c r="K21" i="44"/>
  <c r="M21" i="44" s="1"/>
  <c r="H21" i="44"/>
  <c r="G21" i="44"/>
  <c r="N20" i="44"/>
  <c r="M20" i="44"/>
  <c r="L20" i="44"/>
  <c r="K20" i="44"/>
  <c r="H20" i="44"/>
  <c r="G20" i="44"/>
  <c r="L19" i="44"/>
  <c r="N19" i="44" s="1"/>
  <c r="K19" i="44"/>
  <c r="M19" i="44" s="1"/>
  <c r="H19" i="44"/>
  <c r="G19" i="44"/>
  <c r="L18" i="44"/>
  <c r="N18" i="44" s="1"/>
  <c r="K18" i="44"/>
  <c r="M18" i="44" s="1"/>
  <c r="H18" i="44"/>
  <c r="H25" i="44" s="1"/>
  <c r="G18" i="44"/>
  <c r="G25" i="44" s="1"/>
  <c r="L17" i="44"/>
  <c r="N17" i="44" s="1"/>
  <c r="K17" i="44"/>
  <c r="M17" i="44" s="1"/>
  <c r="H17" i="44"/>
  <c r="G17" i="44"/>
  <c r="D12" i="44"/>
  <c r="C12" i="44"/>
  <c r="B9" i="44"/>
  <c r="C42" i="43"/>
  <c r="H41" i="43"/>
  <c r="K41" i="43" s="1"/>
  <c r="M41" i="43" s="1"/>
  <c r="D41" i="43"/>
  <c r="C41" i="43"/>
  <c r="K40" i="43"/>
  <c r="M40" i="43" s="1"/>
  <c r="H40" i="43"/>
  <c r="D40" i="43"/>
  <c r="C40" i="43"/>
  <c r="K39" i="43"/>
  <c r="M39" i="43" s="1"/>
  <c r="H39" i="43"/>
  <c r="F39" i="43"/>
  <c r="G39" i="43" s="1"/>
  <c r="D39" i="43"/>
  <c r="C39" i="43"/>
  <c r="I38" i="43"/>
  <c r="J38" i="43" s="1"/>
  <c r="H38" i="43"/>
  <c r="K38" i="43" s="1"/>
  <c r="M38" i="43" s="1"/>
  <c r="F38" i="43"/>
  <c r="G38" i="43" s="1"/>
  <c r="D38" i="43"/>
  <c r="C38" i="43"/>
  <c r="H37" i="43"/>
  <c r="K37" i="43" s="1"/>
  <c r="M37" i="43" s="1"/>
  <c r="D37" i="43"/>
  <c r="C37" i="43"/>
  <c r="K36" i="43"/>
  <c r="M36" i="43" s="1"/>
  <c r="H36" i="43"/>
  <c r="D36" i="43"/>
  <c r="C36" i="43"/>
  <c r="K35" i="43"/>
  <c r="M35" i="43" s="1"/>
  <c r="H35" i="43"/>
  <c r="F35" i="43"/>
  <c r="G35" i="43" s="1"/>
  <c r="D35" i="43"/>
  <c r="C35" i="43"/>
  <c r="I34" i="43"/>
  <c r="J34" i="43" s="1"/>
  <c r="H34" i="43"/>
  <c r="H42" i="43" s="1"/>
  <c r="F34" i="43"/>
  <c r="G34" i="43" s="1"/>
  <c r="D34" i="43"/>
  <c r="D42" i="43" s="1"/>
  <c r="C34" i="43"/>
  <c r="C33" i="43"/>
  <c r="C32" i="43"/>
  <c r="I31" i="43"/>
  <c r="K25" i="43"/>
  <c r="M25" i="43" s="1"/>
  <c r="I25" i="43"/>
  <c r="G25" i="43"/>
  <c r="E25" i="43"/>
  <c r="M24" i="43"/>
  <c r="K24" i="43"/>
  <c r="I41" i="43"/>
  <c r="J41" i="43" s="1"/>
  <c r="H24" i="43"/>
  <c r="G24" i="43"/>
  <c r="F41" i="43"/>
  <c r="G41" i="43" s="1"/>
  <c r="M23" i="43"/>
  <c r="K23" i="43"/>
  <c r="I40" i="43"/>
  <c r="J40" i="43" s="1"/>
  <c r="L40" i="43" s="1"/>
  <c r="N40" i="43" s="1"/>
  <c r="H23" i="43"/>
  <c r="G23" i="43"/>
  <c r="F40" i="43"/>
  <c r="G40" i="43" s="1"/>
  <c r="M22" i="43"/>
  <c r="K22" i="43"/>
  <c r="I39" i="43"/>
  <c r="J39" i="43" s="1"/>
  <c r="H22" i="43"/>
  <c r="G22" i="43"/>
  <c r="M21" i="43"/>
  <c r="K21" i="43"/>
  <c r="L21" i="43"/>
  <c r="N21" i="43" s="1"/>
  <c r="H21" i="43"/>
  <c r="G21" i="43"/>
  <c r="M20" i="43"/>
  <c r="K20" i="43"/>
  <c r="H20" i="43"/>
  <c r="G20" i="43"/>
  <c r="M19" i="43"/>
  <c r="K19" i="43"/>
  <c r="I36" i="43"/>
  <c r="J36" i="43" s="1"/>
  <c r="L36" i="43" s="1"/>
  <c r="N36" i="43" s="1"/>
  <c r="H19" i="43"/>
  <c r="G19" i="43"/>
  <c r="F36" i="43"/>
  <c r="G36" i="43" s="1"/>
  <c r="M18" i="43"/>
  <c r="K18" i="43"/>
  <c r="I35" i="43"/>
  <c r="J35" i="43" s="1"/>
  <c r="H18" i="43"/>
  <c r="G18" i="43"/>
  <c r="M17" i="43"/>
  <c r="K17" i="43"/>
  <c r="H17" i="43"/>
  <c r="H25" i="43" s="1"/>
  <c r="G17" i="43"/>
  <c r="D12" i="43"/>
  <c r="C12" i="43"/>
  <c r="B12" i="43"/>
  <c r="C42" i="42"/>
  <c r="H41" i="42"/>
  <c r="K41" i="42" s="1"/>
  <c r="M41" i="42" s="1"/>
  <c r="D41" i="42"/>
  <c r="C41" i="42"/>
  <c r="H40" i="42"/>
  <c r="K40" i="42" s="1"/>
  <c r="M40" i="42" s="1"/>
  <c r="F40" i="42"/>
  <c r="G40" i="42" s="1"/>
  <c r="D40" i="42"/>
  <c r="C40" i="42"/>
  <c r="I39" i="42"/>
  <c r="J39" i="42" s="1"/>
  <c r="L39" i="42" s="1"/>
  <c r="N39" i="42" s="1"/>
  <c r="H39" i="42"/>
  <c r="F39" i="42"/>
  <c r="G39" i="42" s="1"/>
  <c r="D39" i="42"/>
  <c r="C39" i="42"/>
  <c r="I38" i="42"/>
  <c r="J38" i="42" s="1"/>
  <c r="L38" i="42" s="1"/>
  <c r="N38" i="42" s="1"/>
  <c r="H38" i="42"/>
  <c r="K38" i="42" s="1"/>
  <c r="M38" i="42" s="1"/>
  <c r="D38" i="42"/>
  <c r="C38" i="42"/>
  <c r="K37" i="42"/>
  <c r="M37" i="42" s="1"/>
  <c r="H37" i="42"/>
  <c r="D37" i="42"/>
  <c r="C37" i="42"/>
  <c r="K36" i="42"/>
  <c r="M36" i="42" s="1"/>
  <c r="H36" i="42"/>
  <c r="F36" i="42"/>
  <c r="G36" i="42" s="1"/>
  <c r="D36" i="42"/>
  <c r="C36" i="42"/>
  <c r="I35" i="42"/>
  <c r="J35" i="42" s="1"/>
  <c r="H35" i="42"/>
  <c r="K35" i="42" s="1"/>
  <c r="M35" i="42" s="1"/>
  <c r="F35" i="42"/>
  <c r="G35" i="42" s="1"/>
  <c r="D35" i="42"/>
  <c r="C35" i="42"/>
  <c r="I34" i="42"/>
  <c r="J34" i="42" s="1"/>
  <c r="H34" i="42"/>
  <c r="D34" i="42"/>
  <c r="D42" i="42" s="1"/>
  <c r="C34" i="42"/>
  <c r="C33" i="42"/>
  <c r="C32" i="42"/>
  <c r="I31" i="42"/>
  <c r="I25" i="42"/>
  <c r="E25" i="42"/>
  <c r="M24" i="42"/>
  <c r="L24" i="42"/>
  <c r="N24" i="42" s="1"/>
  <c r="K24" i="42"/>
  <c r="I41" i="42"/>
  <c r="J41" i="42" s="1"/>
  <c r="H24" i="42"/>
  <c r="G24" i="42"/>
  <c r="F41" i="42"/>
  <c r="G41" i="42" s="1"/>
  <c r="M23" i="42"/>
  <c r="L23" i="42"/>
  <c r="N23" i="42" s="1"/>
  <c r="K23" i="42"/>
  <c r="I40" i="42"/>
  <c r="J40" i="42" s="1"/>
  <c r="H23" i="42"/>
  <c r="G23" i="42"/>
  <c r="L22" i="42"/>
  <c r="N22" i="42" s="1"/>
  <c r="K22" i="42"/>
  <c r="M22" i="42" s="1"/>
  <c r="H22" i="42"/>
  <c r="G22" i="42"/>
  <c r="L21" i="42"/>
  <c r="N21" i="42" s="1"/>
  <c r="K21" i="42"/>
  <c r="M21" i="42" s="1"/>
  <c r="H21" i="42"/>
  <c r="G21" i="42"/>
  <c r="F38" i="42"/>
  <c r="G38" i="42" s="1"/>
  <c r="M20" i="42"/>
  <c r="K20" i="42"/>
  <c r="H20" i="42"/>
  <c r="G20" i="42"/>
  <c r="M19" i="42"/>
  <c r="L19" i="42"/>
  <c r="N19" i="42" s="1"/>
  <c r="K19" i="42"/>
  <c r="I36" i="42"/>
  <c r="J36" i="42" s="1"/>
  <c r="H19" i="42"/>
  <c r="G19" i="42"/>
  <c r="L18" i="42"/>
  <c r="N18" i="42" s="1"/>
  <c r="K18" i="42"/>
  <c r="M18" i="42" s="1"/>
  <c r="H18" i="42"/>
  <c r="G18" i="42"/>
  <c r="M17" i="42"/>
  <c r="L17" i="42"/>
  <c r="K17" i="42"/>
  <c r="K25" i="42" s="1"/>
  <c r="M25" i="42" s="1"/>
  <c r="H17" i="42"/>
  <c r="H25" i="42" s="1"/>
  <c r="G17" i="42"/>
  <c r="G25" i="42" s="1"/>
  <c r="F34" i="42"/>
  <c r="G34" i="42" s="1"/>
  <c r="B12" i="42"/>
  <c r="D12" i="42" s="1"/>
  <c r="C42" i="41"/>
  <c r="K41" i="41"/>
  <c r="M41" i="41" s="1"/>
  <c r="H41" i="41"/>
  <c r="D41" i="41"/>
  <c r="C41" i="41"/>
  <c r="K40" i="41"/>
  <c r="M40" i="41" s="1"/>
  <c r="H40" i="41"/>
  <c r="F40" i="41"/>
  <c r="G40" i="41" s="1"/>
  <c r="D40" i="41"/>
  <c r="C40" i="41"/>
  <c r="I39" i="41"/>
  <c r="J39" i="41" s="1"/>
  <c r="L39" i="41" s="1"/>
  <c r="N39" i="41" s="1"/>
  <c r="H39" i="41"/>
  <c r="F39" i="41"/>
  <c r="G39" i="41" s="1"/>
  <c r="D39" i="41"/>
  <c r="K39" i="41" s="1"/>
  <c r="M39" i="41" s="1"/>
  <c r="C39" i="41"/>
  <c r="I38" i="41"/>
  <c r="J38" i="41" s="1"/>
  <c r="H38" i="41"/>
  <c r="K38" i="41" s="1"/>
  <c r="M38" i="41" s="1"/>
  <c r="F38" i="41"/>
  <c r="G38" i="41" s="1"/>
  <c r="D38" i="41"/>
  <c r="C38" i="41"/>
  <c r="K37" i="41"/>
  <c r="M37" i="41" s="1"/>
  <c r="H37" i="41"/>
  <c r="D37" i="41"/>
  <c r="C37" i="41"/>
  <c r="K36" i="41"/>
  <c r="M36" i="41" s="1"/>
  <c r="H36" i="41"/>
  <c r="F36" i="41"/>
  <c r="G36" i="41" s="1"/>
  <c r="D36" i="41"/>
  <c r="C36" i="41"/>
  <c r="I35" i="41"/>
  <c r="J35" i="41" s="1"/>
  <c r="H35" i="41"/>
  <c r="F35" i="41"/>
  <c r="G35" i="41" s="1"/>
  <c r="D35" i="41"/>
  <c r="K35" i="41" s="1"/>
  <c r="M35" i="41" s="1"/>
  <c r="C35" i="41"/>
  <c r="I34" i="41"/>
  <c r="J34" i="41" s="1"/>
  <c r="H34" i="41"/>
  <c r="F34" i="41"/>
  <c r="G34" i="41" s="1"/>
  <c r="D34" i="41"/>
  <c r="D42" i="41" s="1"/>
  <c r="C34" i="41"/>
  <c r="C33" i="41"/>
  <c r="C32" i="41"/>
  <c r="I31" i="41"/>
  <c r="K25" i="41"/>
  <c r="M25" i="41" s="1"/>
  <c r="I25" i="41"/>
  <c r="E25" i="41"/>
  <c r="M24" i="41"/>
  <c r="L24" i="41"/>
  <c r="N24" i="41" s="1"/>
  <c r="K24" i="41"/>
  <c r="I41" i="41"/>
  <c r="J41" i="41" s="1"/>
  <c r="H24" i="41"/>
  <c r="G24" i="41"/>
  <c r="F41" i="41"/>
  <c r="G41" i="41" s="1"/>
  <c r="M23" i="41"/>
  <c r="L23" i="41"/>
  <c r="N23" i="41" s="1"/>
  <c r="K23" i="41"/>
  <c r="I40" i="41"/>
  <c r="J40" i="41" s="1"/>
  <c r="H23" i="41"/>
  <c r="G23" i="41"/>
  <c r="M22" i="41"/>
  <c r="L22" i="41"/>
  <c r="N22" i="41" s="1"/>
  <c r="K22" i="41"/>
  <c r="H22" i="41"/>
  <c r="G22" i="41"/>
  <c r="M21" i="41"/>
  <c r="L21" i="41"/>
  <c r="N21" i="41" s="1"/>
  <c r="K21" i="41"/>
  <c r="H21" i="41"/>
  <c r="G21" i="41"/>
  <c r="M20" i="41"/>
  <c r="K20" i="41"/>
  <c r="H20" i="41"/>
  <c r="G20" i="41"/>
  <c r="M19" i="41"/>
  <c r="L19" i="41"/>
  <c r="N19" i="41" s="1"/>
  <c r="K19" i="41"/>
  <c r="I36" i="41"/>
  <c r="J36" i="41" s="1"/>
  <c r="H19" i="41"/>
  <c r="G19" i="41"/>
  <c r="M18" i="41"/>
  <c r="L18" i="41"/>
  <c r="N18" i="41" s="1"/>
  <c r="K18" i="41"/>
  <c r="H18" i="41"/>
  <c r="G18" i="41"/>
  <c r="M17" i="41"/>
  <c r="L17" i="41"/>
  <c r="K17" i="41"/>
  <c r="H17" i="41"/>
  <c r="H25" i="41" s="1"/>
  <c r="G17" i="41"/>
  <c r="B12" i="41"/>
  <c r="C42" i="40"/>
  <c r="H41" i="40"/>
  <c r="K41" i="40" s="1"/>
  <c r="M41" i="40" s="1"/>
  <c r="D41" i="40"/>
  <c r="C41" i="40"/>
  <c r="K40" i="40"/>
  <c r="M40" i="40" s="1"/>
  <c r="H40" i="40"/>
  <c r="D40" i="40"/>
  <c r="C40" i="40"/>
  <c r="K39" i="40"/>
  <c r="M39" i="40" s="1"/>
  <c r="H39" i="40"/>
  <c r="F39" i="40"/>
  <c r="G39" i="40" s="1"/>
  <c r="D39" i="40"/>
  <c r="C39" i="40"/>
  <c r="I38" i="40"/>
  <c r="J38" i="40" s="1"/>
  <c r="H38" i="40"/>
  <c r="K38" i="40" s="1"/>
  <c r="M38" i="40" s="1"/>
  <c r="F38" i="40"/>
  <c r="G38" i="40" s="1"/>
  <c r="D38" i="40"/>
  <c r="C38" i="40"/>
  <c r="H37" i="40"/>
  <c r="K37" i="40" s="1"/>
  <c r="M37" i="40" s="1"/>
  <c r="D37" i="40"/>
  <c r="C37" i="40"/>
  <c r="K36" i="40"/>
  <c r="M36" i="40" s="1"/>
  <c r="H36" i="40"/>
  <c r="D36" i="40"/>
  <c r="C36" i="40"/>
  <c r="K35" i="40"/>
  <c r="M35" i="40" s="1"/>
  <c r="H35" i="40"/>
  <c r="F35" i="40"/>
  <c r="G35" i="40" s="1"/>
  <c r="D35" i="40"/>
  <c r="C35" i="40"/>
  <c r="I34" i="40"/>
  <c r="J34" i="40" s="1"/>
  <c r="H34" i="40"/>
  <c r="H42" i="40" s="1"/>
  <c r="F34" i="40"/>
  <c r="G34" i="40" s="1"/>
  <c r="D34" i="40"/>
  <c r="D42" i="40" s="1"/>
  <c r="C34" i="40"/>
  <c r="C33" i="40"/>
  <c r="C32" i="40"/>
  <c r="I31" i="40"/>
  <c r="K25" i="40"/>
  <c r="M25" i="40" s="1"/>
  <c r="I25" i="40"/>
  <c r="G25" i="40"/>
  <c r="E25" i="40"/>
  <c r="M24" i="40"/>
  <c r="K24" i="40"/>
  <c r="I41" i="40"/>
  <c r="J41" i="40" s="1"/>
  <c r="H24" i="40"/>
  <c r="G24" i="40"/>
  <c r="F41" i="40"/>
  <c r="G41" i="40" s="1"/>
  <c r="M23" i="40"/>
  <c r="K23" i="40"/>
  <c r="I40" i="40"/>
  <c r="J40" i="40" s="1"/>
  <c r="H23" i="40"/>
  <c r="G23" i="40"/>
  <c r="F40" i="40"/>
  <c r="G40" i="40" s="1"/>
  <c r="M22" i="40"/>
  <c r="K22" i="40"/>
  <c r="I39" i="40"/>
  <c r="J39" i="40" s="1"/>
  <c r="H22" i="40"/>
  <c r="G22" i="40"/>
  <c r="M21" i="40"/>
  <c r="K21" i="40"/>
  <c r="L21" i="40"/>
  <c r="N21" i="40" s="1"/>
  <c r="H21" i="40"/>
  <c r="G21" i="40"/>
  <c r="M20" i="40"/>
  <c r="K20" i="40"/>
  <c r="H20" i="40"/>
  <c r="G20" i="40"/>
  <c r="M19" i="40"/>
  <c r="K19" i="40"/>
  <c r="I36" i="40"/>
  <c r="J36" i="40" s="1"/>
  <c r="H19" i="40"/>
  <c r="G19" i="40"/>
  <c r="F36" i="40"/>
  <c r="G36" i="40" s="1"/>
  <c r="M18" i="40"/>
  <c r="K18" i="40"/>
  <c r="I35" i="40"/>
  <c r="J35" i="40" s="1"/>
  <c r="H18" i="40"/>
  <c r="G18" i="40"/>
  <c r="M17" i="40"/>
  <c r="K17" i="40"/>
  <c r="H17" i="40"/>
  <c r="H25" i="40" s="1"/>
  <c r="G17" i="40"/>
  <c r="D12" i="40"/>
  <c r="C12" i="40"/>
  <c r="B12" i="40"/>
  <c r="C42" i="39"/>
  <c r="H41" i="39"/>
  <c r="K41" i="39" s="1"/>
  <c r="M41" i="39" s="1"/>
  <c r="D41" i="39"/>
  <c r="C41" i="39"/>
  <c r="K40" i="39"/>
  <c r="M40" i="39" s="1"/>
  <c r="H40" i="39"/>
  <c r="D40" i="39"/>
  <c r="C40" i="39"/>
  <c r="K39" i="39"/>
  <c r="M39" i="39" s="1"/>
  <c r="H39" i="39"/>
  <c r="F39" i="39"/>
  <c r="G39" i="39" s="1"/>
  <c r="D39" i="39"/>
  <c r="C39" i="39"/>
  <c r="H38" i="39"/>
  <c r="K38" i="39" s="1"/>
  <c r="M38" i="39" s="1"/>
  <c r="F38" i="39"/>
  <c r="G38" i="39" s="1"/>
  <c r="D38" i="39"/>
  <c r="C38" i="39"/>
  <c r="H37" i="39"/>
  <c r="K37" i="39" s="1"/>
  <c r="M37" i="39" s="1"/>
  <c r="D37" i="39"/>
  <c r="C37" i="39"/>
  <c r="K36" i="39"/>
  <c r="M36" i="39" s="1"/>
  <c r="H36" i="39"/>
  <c r="D36" i="39"/>
  <c r="C36" i="39"/>
  <c r="K35" i="39"/>
  <c r="M35" i="39" s="1"/>
  <c r="H35" i="39"/>
  <c r="F35" i="39"/>
  <c r="G35" i="39" s="1"/>
  <c r="D35" i="39"/>
  <c r="C35" i="39"/>
  <c r="H34" i="39"/>
  <c r="H42" i="39" s="1"/>
  <c r="F34" i="39"/>
  <c r="G34" i="39" s="1"/>
  <c r="D34" i="39"/>
  <c r="D42" i="39" s="1"/>
  <c r="C34" i="39"/>
  <c r="C33" i="39"/>
  <c r="C32" i="39"/>
  <c r="I31" i="39"/>
  <c r="K25" i="39"/>
  <c r="M25" i="39" s="1"/>
  <c r="I25" i="39"/>
  <c r="G25" i="39"/>
  <c r="E25" i="39"/>
  <c r="M24" i="39"/>
  <c r="K24" i="39"/>
  <c r="H24" i="39"/>
  <c r="G24" i="39"/>
  <c r="F41" i="39"/>
  <c r="G41" i="39" s="1"/>
  <c r="M23" i="39"/>
  <c r="K23" i="39"/>
  <c r="H23" i="39"/>
  <c r="G23" i="39"/>
  <c r="F40" i="39"/>
  <c r="G40" i="39" s="1"/>
  <c r="M22" i="39"/>
  <c r="K22" i="39"/>
  <c r="H22" i="39"/>
  <c r="G22" i="39"/>
  <c r="M21" i="39"/>
  <c r="K21" i="39"/>
  <c r="H21" i="39"/>
  <c r="G21" i="39"/>
  <c r="M20" i="39"/>
  <c r="K20" i="39"/>
  <c r="H20" i="39"/>
  <c r="G20" i="39"/>
  <c r="M19" i="39"/>
  <c r="K19" i="39"/>
  <c r="H19" i="39"/>
  <c r="G19" i="39"/>
  <c r="F36" i="39"/>
  <c r="G36" i="39" s="1"/>
  <c r="M18" i="39"/>
  <c r="K18" i="39"/>
  <c r="H18" i="39"/>
  <c r="G18" i="39"/>
  <c r="M17" i="39"/>
  <c r="K17" i="39"/>
  <c r="H17" i="39"/>
  <c r="H25" i="39" s="1"/>
  <c r="G17" i="39"/>
  <c r="D12" i="39"/>
  <c r="C12" i="39"/>
  <c r="B12" i="39"/>
  <c r="H24" i="23"/>
  <c r="G24" i="23"/>
  <c r="H23" i="23"/>
  <c r="G23" i="23"/>
  <c r="H22" i="23"/>
  <c r="G22" i="23"/>
  <c r="H21" i="23"/>
  <c r="G21" i="23"/>
  <c r="H20" i="23"/>
  <c r="G20" i="23"/>
  <c r="H19" i="23"/>
  <c r="G19" i="23"/>
  <c r="H18" i="23"/>
  <c r="G18" i="23"/>
  <c r="J42" i="45" l="1"/>
  <c r="L39" i="45"/>
  <c r="N39" i="45" s="1"/>
  <c r="K25" i="45"/>
  <c r="M25" i="45" s="1"/>
  <c r="H42" i="45"/>
  <c r="L35" i="45"/>
  <c r="N35" i="45" s="1"/>
  <c r="L42" i="45"/>
  <c r="N42" i="45" s="1"/>
  <c r="G42" i="45"/>
  <c r="K42" i="45"/>
  <c r="M42" i="45" s="1"/>
  <c r="L38" i="45"/>
  <c r="N38" i="45" s="1"/>
  <c r="L41" i="45"/>
  <c r="J45" i="45"/>
  <c r="J44" i="45"/>
  <c r="J43" i="45"/>
  <c r="G43" i="45"/>
  <c r="G45" i="45"/>
  <c r="G44" i="45"/>
  <c r="L25" i="45"/>
  <c r="N25" i="45" s="1"/>
  <c r="L34" i="45"/>
  <c r="N34" i="45" s="1"/>
  <c r="L36" i="44"/>
  <c r="N36" i="44" s="1"/>
  <c r="L40" i="44"/>
  <c r="N40" i="44" s="1"/>
  <c r="G42" i="44"/>
  <c r="J44" i="44"/>
  <c r="J45" i="44"/>
  <c r="J43" i="44"/>
  <c r="L41" i="44"/>
  <c r="J42" i="44"/>
  <c r="L42" i="44" s="1"/>
  <c r="N42" i="44" s="1"/>
  <c r="L34" i="44"/>
  <c r="N34" i="44" s="1"/>
  <c r="L39" i="44"/>
  <c r="N39" i="44" s="1"/>
  <c r="G45" i="44"/>
  <c r="G44" i="44"/>
  <c r="G43" i="44"/>
  <c r="K42" i="44"/>
  <c r="M42" i="44" s="1"/>
  <c r="L25" i="44"/>
  <c r="N25" i="44" s="1"/>
  <c r="K25" i="44"/>
  <c r="M25" i="44" s="1"/>
  <c r="K34" i="44"/>
  <c r="M34" i="44" s="1"/>
  <c r="H42" i="42"/>
  <c r="K39" i="42"/>
  <c r="M39" i="42" s="1"/>
  <c r="L38" i="43"/>
  <c r="N38" i="43" s="1"/>
  <c r="L35" i="43"/>
  <c r="N35" i="43" s="1"/>
  <c r="L34" i="43"/>
  <c r="N34" i="43" s="1"/>
  <c r="L41" i="43"/>
  <c r="K42" i="43"/>
  <c r="M42" i="43" s="1"/>
  <c r="L39" i="43"/>
  <c r="N39" i="43" s="1"/>
  <c r="L17" i="43"/>
  <c r="L18" i="43"/>
  <c r="N18" i="43" s="1"/>
  <c r="L19" i="43"/>
  <c r="N19" i="43" s="1"/>
  <c r="L22" i="43"/>
  <c r="N22" i="43" s="1"/>
  <c r="L23" i="43"/>
  <c r="N23" i="43" s="1"/>
  <c r="L24" i="43"/>
  <c r="N24" i="43" s="1"/>
  <c r="K34" i="43"/>
  <c r="M34" i="43" s="1"/>
  <c r="L36" i="42"/>
  <c r="N36" i="42" s="1"/>
  <c r="K42" i="42"/>
  <c r="M42" i="42" s="1"/>
  <c r="L40" i="42"/>
  <c r="N40" i="42" s="1"/>
  <c r="L34" i="42"/>
  <c r="N34" i="42" s="1"/>
  <c r="L41" i="42"/>
  <c r="L35" i="42"/>
  <c r="N35" i="42" s="1"/>
  <c r="C12" i="42"/>
  <c r="N17" i="42"/>
  <c r="K34" i="42"/>
  <c r="M34" i="42" s="1"/>
  <c r="L38" i="41"/>
  <c r="N38" i="41" s="1"/>
  <c r="L36" i="41"/>
  <c r="N36" i="41" s="1"/>
  <c r="L40" i="41"/>
  <c r="N40" i="41" s="1"/>
  <c r="D12" i="41"/>
  <c r="C12" i="41"/>
  <c r="L34" i="41"/>
  <c r="N34" i="41" s="1"/>
  <c r="G25" i="41"/>
  <c r="N17" i="41"/>
  <c r="L35" i="41"/>
  <c r="N35" i="41" s="1"/>
  <c r="L41" i="41"/>
  <c r="H42" i="41"/>
  <c r="K42" i="41" s="1"/>
  <c r="M42" i="41" s="1"/>
  <c r="K34" i="41"/>
  <c r="M34" i="41" s="1"/>
  <c r="L36" i="40"/>
  <c r="N36" i="40" s="1"/>
  <c r="L40" i="40"/>
  <c r="N40" i="40" s="1"/>
  <c r="L38" i="40"/>
  <c r="N38" i="40" s="1"/>
  <c r="L35" i="40"/>
  <c r="N35" i="40" s="1"/>
  <c r="L39" i="40"/>
  <c r="N39" i="40" s="1"/>
  <c r="K42" i="40"/>
  <c r="M42" i="40" s="1"/>
  <c r="L34" i="40"/>
  <c r="N34" i="40" s="1"/>
  <c r="L41" i="40"/>
  <c r="L17" i="40"/>
  <c r="L18" i="40"/>
  <c r="N18" i="40" s="1"/>
  <c r="L19" i="40"/>
  <c r="N19" i="40" s="1"/>
  <c r="L22" i="40"/>
  <c r="N22" i="40" s="1"/>
  <c r="L23" i="40"/>
  <c r="N23" i="40" s="1"/>
  <c r="L24" i="40"/>
  <c r="N24" i="40" s="1"/>
  <c r="K34" i="40"/>
  <c r="M34" i="40" s="1"/>
  <c r="K42" i="39"/>
  <c r="M42" i="39" s="1"/>
  <c r="K34" i="39"/>
  <c r="M34" i="39" s="1"/>
  <c r="H17" i="23"/>
  <c r="G17" i="23"/>
  <c r="L45" i="45" l="1"/>
  <c r="M45" i="45" s="1"/>
  <c r="L43" i="45"/>
  <c r="M43" i="45" s="1"/>
  <c r="L44" i="45"/>
  <c r="M44" i="45" s="1"/>
  <c r="N41" i="45"/>
  <c r="N45" i="45"/>
  <c r="N43" i="44"/>
  <c r="L43" i="44"/>
  <c r="M43" i="44" s="1"/>
  <c r="N41" i="44"/>
  <c r="L44" i="44"/>
  <c r="M44" i="44" s="1"/>
  <c r="L45" i="44"/>
  <c r="M45" i="44" s="1"/>
  <c r="N41" i="43"/>
  <c r="N17" i="43"/>
  <c r="N41" i="42"/>
  <c r="N41" i="41"/>
  <c r="N17" i="40"/>
  <c r="N41" i="40"/>
  <c r="E23" i="34"/>
  <c r="E24" i="34"/>
  <c r="E25" i="34"/>
  <c r="E26" i="34"/>
  <c r="E27" i="34"/>
  <c r="E28" i="34"/>
  <c r="E29" i="34"/>
  <c r="E30" i="34"/>
  <c r="E31" i="34"/>
  <c r="E32" i="34"/>
  <c r="E33" i="34"/>
  <c r="E34" i="34"/>
  <c r="E35" i="34"/>
  <c r="E36" i="34"/>
  <c r="E37" i="34"/>
  <c r="E38" i="34"/>
  <c r="E39" i="34"/>
  <c r="E40" i="34"/>
  <c r="E41" i="34"/>
  <c r="E42" i="34"/>
  <c r="E22" i="34"/>
  <c r="E23" i="33"/>
  <c r="E24" i="33"/>
  <c r="E25" i="33"/>
  <c r="E26" i="33"/>
  <c r="E27" i="33"/>
  <c r="E28" i="33"/>
  <c r="E29" i="33"/>
  <c r="E30" i="33"/>
  <c r="E31" i="33"/>
  <c r="E32" i="33"/>
  <c r="E33" i="33"/>
  <c r="E34" i="33"/>
  <c r="E35" i="33"/>
  <c r="E36" i="33"/>
  <c r="E37" i="33"/>
  <c r="E38" i="33"/>
  <c r="E39" i="33"/>
  <c r="E40" i="33"/>
  <c r="E41" i="33"/>
  <c r="E42" i="33"/>
  <c r="E22" i="33"/>
  <c r="E23" i="32"/>
  <c r="E24" i="32"/>
  <c r="E25" i="32"/>
  <c r="E26" i="32"/>
  <c r="E27" i="32"/>
  <c r="E28" i="32"/>
  <c r="E29" i="32"/>
  <c r="E30" i="32"/>
  <c r="E31" i="32"/>
  <c r="E32" i="32"/>
  <c r="E33" i="32"/>
  <c r="E34" i="32"/>
  <c r="E35" i="32"/>
  <c r="E36" i="32"/>
  <c r="E37" i="32"/>
  <c r="E38" i="32"/>
  <c r="E39" i="32"/>
  <c r="E40" i="32"/>
  <c r="E41" i="32"/>
  <c r="E42" i="32"/>
  <c r="E22" i="32"/>
  <c r="E23" i="31"/>
  <c r="E24" i="31"/>
  <c r="E25" i="31"/>
  <c r="E26" i="31"/>
  <c r="E27" i="31"/>
  <c r="E28" i="31"/>
  <c r="E29" i="31"/>
  <c r="E30" i="31"/>
  <c r="E31" i="31"/>
  <c r="E32" i="31"/>
  <c r="E33" i="31"/>
  <c r="E34" i="31"/>
  <c r="E35" i="31"/>
  <c r="E36" i="31"/>
  <c r="E37" i="31"/>
  <c r="E38" i="31"/>
  <c r="E39" i="31"/>
  <c r="E40" i="31"/>
  <c r="E41" i="31"/>
  <c r="E42" i="31"/>
  <c r="E22" i="31"/>
  <c r="D24" i="29"/>
  <c r="D25" i="29"/>
  <c r="D26" i="29"/>
  <c r="D27" i="29"/>
  <c r="D28" i="29"/>
  <c r="D29" i="29"/>
  <c r="D30" i="29"/>
  <c r="D31" i="29"/>
  <c r="D32" i="29"/>
  <c r="D33" i="29"/>
  <c r="D34" i="29"/>
  <c r="D35" i="29"/>
  <c r="D36" i="29"/>
  <c r="D37" i="29"/>
  <c r="D38" i="29"/>
  <c r="D39" i="29"/>
  <c r="D40" i="29"/>
  <c r="D41" i="29"/>
  <c r="D42" i="29"/>
  <c r="D43" i="29"/>
  <c r="D23" i="29"/>
  <c r="D24" i="27"/>
  <c r="D25" i="27"/>
  <c r="D26" i="27"/>
  <c r="D27" i="27"/>
  <c r="D28" i="27"/>
  <c r="D29" i="27"/>
  <c r="D30" i="27"/>
  <c r="D31" i="27"/>
  <c r="D32" i="27"/>
  <c r="D33" i="27"/>
  <c r="D34" i="27"/>
  <c r="D35" i="27"/>
  <c r="D36" i="27"/>
  <c r="D37" i="27"/>
  <c r="D38" i="27"/>
  <c r="D39" i="27"/>
  <c r="D40" i="27"/>
  <c r="D41" i="27"/>
  <c r="D42" i="27"/>
  <c r="D43" i="27"/>
  <c r="D23" i="27"/>
  <c r="D24" i="26"/>
  <c r="D25" i="26"/>
  <c r="D26" i="26"/>
  <c r="D27" i="26"/>
  <c r="D28" i="26"/>
  <c r="D29" i="26"/>
  <c r="D30" i="26"/>
  <c r="D31" i="26"/>
  <c r="D32" i="26"/>
  <c r="D33" i="26"/>
  <c r="D34" i="26"/>
  <c r="D35" i="26"/>
  <c r="D36" i="26"/>
  <c r="D37" i="26"/>
  <c r="D38" i="26"/>
  <c r="D39" i="26"/>
  <c r="D40" i="26"/>
  <c r="D41" i="26"/>
  <c r="D42" i="26"/>
  <c r="D43" i="26"/>
  <c r="D23" i="26"/>
  <c r="H14" i="34"/>
  <c r="G14" i="34"/>
  <c r="H14" i="33"/>
  <c r="G14" i="33"/>
  <c r="H14" i="32"/>
  <c r="G14" i="32"/>
  <c r="H14" i="31"/>
  <c r="G14" i="31"/>
  <c r="E12" i="30"/>
  <c r="D12" i="30"/>
  <c r="I13" i="29"/>
  <c r="H13" i="29"/>
  <c r="I13" i="27"/>
  <c r="H13" i="27"/>
  <c r="I13" i="26"/>
  <c r="H13" i="26"/>
  <c r="D43" i="25"/>
  <c r="D42" i="25"/>
  <c r="D41" i="25"/>
  <c r="D40" i="25"/>
  <c r="D39" i="25"/>
  <c r="D38" i="25"/>
  <c r="D37" i="25"/>
  <c r="D36" i="25"/>
  <c r="D35" i="25"/>
  <c r="D34" i="25"/>
  <c r="D33" i="25"/>
  <c r="D32" i="25"/>
  <c r="D31" i="25"/>
  <c r="D30" i="25"/>
  <c r="D29" i="25"/>
  <c r="D28" i="25"/>
  <c r="D27" i="25"/>
  <c r="D26" i="25"/>
  <c r="D25" i="25"/>
  <c r="D24" i="25"/>
  <c r="D23" i="25"/>
  <c r="I13" i="25"/>
  <c r="H13" i="25"/>
  <c r="N43" i="45" l="1"/>
  <c r="N44" i="45"/>
  <c r="N44" i="44"/>
  <c r="N45" i="44"/>
  <c r="D9" i="34"/>
  <c r="C9" i="34"/>
  <c r="B9" i="34"/>
  <c r="D9" i="33"/>
  <c r="C9" i="33"/>
  <c r="B9" i="33"/>
  <c r="D9" i="32"/>
  <c r="C9" i="32"/>
  <c r="B9" i="32"/>
  <c r="D9" i="31"/>
  <c r="C9" i="31"/>
  <c r="B9" i="31"/>
  <c r="D9" i="30"/>
  <c r="C9" i="30"/>
  <c r="B9" i="30"/>
  <c r="D9" i="29"/>
  <c r="C9" i="29"/>
  <c r="B9" i="29"/>
  <c r="D9" i="26"/>
  <c r="C9" i="26"/>
  <c r="B9" i="26"/>
  <c r="D9" i="25"/>
  <c r="C9" i="25"/>
  <c r="B9" i="25"/>
  <c r="I12" i="34"/>
  <c r="I12" i="33"/>
  <c r="I12" i="32"/>
  <c r="I12" i="31"/>
  <c r="C12" i="30"/>
  <c r="G13" i="29"/>
  <c r="G13" i="26"/>
  <c r="G13" i="25"/>
  <c r="G9" i="34"/>
  <c r="G9" i="33"/>
  <c r="G9" i="32"/>
  <c r="G9" i="31"/>
  <c r="G9" i="30"/>
  <c r="G9" i="29"/>
  <c r="G9" i="26"/>
  <c r="D35" i="23"/>
  <c r="F17" i="23"/>
  <c r="G9" i="25"/>
  <c r="F34" i="23"/>
  <c r="G34" i="23" s="1"/>
  <c r="I31" i="23"/>
  <c r="H41" i="23"/>
  <c r="K41" i="23" s="1"/>
  <c r="M41" i="23" s="1"/>
  <c r="H40" i="23"/>
  <c r="K40" i="23" s="1"/>
  <c r="M40" i="23" s="1"/>
  <c r="H39" i="23"/>
  <c r="K39" i="23" s="1"/>
  <c r="M39" i="23" s="1"/>
  <c r="H38" i="23"/>
  <c r="K38" i="23" s="1"/>
  <c r="M38" i="23" s="1"/>
  <c r="H37" i="23"/>
  <c r="K37" i="23" s="1"/>
  <c r="M37" i="23" s="1"/>
  <c r="H36" i="23"/>
  <c r="K36" i="23" s="1"/>
  <c r="M36" i="23" s="1"/>
  <c r="H35" i="23"/>
  <c r="H34" i="23"/>
  <c r="I25" i="23"/>
  <c r="D34" i="23"/>
  <c r="D36" i="23"/>
  <c r="D37" i="23"/>
  <c r="D38" i="23"/>
  <c r="D39" i="23"/>
  <c r="D40" i="23"/>
  <c r="D41" i="23"/>
  <c r="C32" i="23"/>
  <c r="C33" i="23"/>
  <c r="C34" i="23"/>
  <c r="C35" i="23"/>
  <c r="C36" i="23"/>
  <c r="C37" i="23"/>
  <c r="C38" i="23"/>
  <c r="C39" i="23"/>
  <c r="C40" i="23"/>
  <c r="C41" i="23"/>
  <c r="C42" i="23"/>
  <c r="D12" i="23"/>
  <c r="C12" i="23"/>
  <c r="E25" i="23"/>
  <c r="H42" i="23" l="1"/>
  <c r="K34" i="23"/>
  <c r="M34" i="23" s="1"/>
  <c r="D42" i="23"/>
  <c r="K35" i="23"/>
  <c r="M35" i="23" s="1"/>
  <c r="K42" i="23" l="1"/>
  <c r="M42" i="23" s="1"/>
  <c r="K24" i="23" l="1"/>
  <c r="K23" i="23"/>
  <c r="M24" i="23" l="1"/>
  <c r="M23" i="23"/>
  <c r="A22" i="34"/>
  <c r="A23" i="34" s="1"/>
  <c r="A24" i="34" s="1"/>
  <c r="A25" i="34" s="1"/>
  <c r="A26" i="34" s="1"/>
  <c r="A27" i="34" s="1"/>
  <c r="A28" i="34" s="1"/>
  <c r="A29" i="34" s="1"/>
  <c r="A30" i="34" s="1"/>
  <c r="A31" i="34" s="1"/>
  <c r="A32" i="34" s="1"/>
  <c r="A33" i="34" s="1"/>
  <c r="A34" i="34" s="1"/>
  <c r="A35" i="34" s="1"/>
  <c r="A36" i="34" s="1"/>
  <c r="A37" i="34" s="1"/>
  <c r="A38" i="34" s="1"/>
  <c r="A39" i="34" s="1"/>
  <c r="A40" i="34" s="1"/>
  <c r="A41" i="34" s="1"/>
  <c r="A42" i="34" s="1"/>
  <c r="O12" i="34"/>
  <c r="N12" i="34"/>
  <c r="L12" i="34"/>
  <c r="M12" i="34" s="1"/>
  <c r="H12" i="34"/>
  <c r="H12" i="32"/>
  <c r="B42" i="31"/>
  <c r="B41" i="31"/>
  <c r="B40" i="31"/>
  <c r="B39" i="31"/>
  <c r="B38" i="31"/>
  <c r="B37" i="31"/>
  <c r="B36" i="31"/>
  <c r="B35" i="31"/>
  <c r="B34" i="31"/>
  <c r="B33" i="31"/>
  <c r="B32" i="31"/>
  <c r="B31" i="31"/>
  <c r="B30" i="31"/>
  <c r="B29" i="31"/>
  <c r="B28" i="31"/>
  <c r="B27" i="31"/>
  <c r="B26" i="31"/>
  <c r="B25" i="31"/>
  <c r="B24" i="31"/>
  <c r="B23" i="31"/>
  <c r="B22" i="31"/>
  <c r="H9" i="31"/>
  <c r="I9" i="31" s="1"/>
  <c r="H12" i="31"/>
  <c r="B42" i="33"/>
  <c r="B41" i="33"/>
  <c r="B40" i="33"/>
  <c r="B39" i="33"/>
  <c r="B38" i="33"/>
  <c r="B37" i="33"/>
  <c r="B36" i="33"/>
  <c r="B35" i="33"/>
  <c r="B34" i="33"/>
  <c r="B33" i="33"/>
  <c r="B32" i="33"/>
  <c r="B31" i="33"/>
  <c r="B30" i="33"/>
  <c r="B29" i="33"/>
  <c r="B28" i="33"/>
  <c r="B27" i="33"/>
  <c r="B26" i="33"/>
  <c r="B25" i="33"/>
  <c r="B24" i="33"/>
  <c r="B23" i="33"/>
  <c r="B22" i="33"/>
  <c r="H9" i="33"/>
  <c r="I9" i="33" s="1"/>
  <c r="F23" i="23" s="1"/>
  <c r="F40" i="23" s="1"/>
  <c r="G40" i="23" s="1"/>
  <c r="E9" i="33"/>
  <c r="A22" i="33"/>
  <c r="A23" i="33" s="1"/>
  <c r="A24" i="33" s="1"/>
  <c r="A25" i="33" s="1"/>
  <c r="A26" i="33" s="1"/>
  <c r="A27" i="33" s="1"/>
  <c r="A28" i="33" s="1"/>
  <c r="A29" i="33" s="1"/>
  <c r="A30" i="33" s="1"/>
  <c r="A31" i="33" s="1"/>
  <c r="A32" i="33" s="1"/>
  <c r="A33" i="33" s="1"/>
  <c r="A34" i="33" s="1"/>
  <c r="A35" i="33" s="1"/>
  <c r="A36" i="33" s="1"/>
  <c r="A37" i="33" s="1"/>
  <c r="A38" i="33" s="1"/>
  <c r="A39" i="33" s="1"/>
  <c r="A40" i="33" s="1"/>
  <c r="A41" i="33" s="1"/>
  <c r="A42" i="33" s="1"/>
  <c r="O12" i="33"/>
  <c r="N12" i="33"/>
  <c r="L12" i="33"/>
  <c r="M12" i="33" s="1"/>
  <c r="P12" i="33" s="1"/>
  <c r="H12" i="33"/>
  <c r="A22" i="32"/>
  <c r="A23" i="32" s="1"/>
  <c r="A24" i="32" s="1"/>
  <c r="A25" i="32" s="1"/>
  <c r="A26" i="32" s="1"/>
  <c r="A27" i="32" s="1"/>
  <c r="A28" i="32" s="1"/>
  <c r="A29" i="32" s="1"/>
  <c r="A30" i="32" s="1"/>
  <c r="A31" i="32" s="1"/>
  <c r="A32" i="32" s="1"/>
  <c r="A33" i="32" s="1"/>
  <c r="A34" i="32" s="1"/>
  <c r="A35" i="32" s="1"/>
  <c r="A36" i="32" s="1"/>
  <c r="A37" i="32" s="1"/>
  <c r="A38" i="32" s="1"/>
  <c r="A39" i="32" s="1"/>
  <c r="A40" i="32" s="1"/>
  <c r="A41" i="32" s="1"/>
  <c r="A42" i="32" s="1"/>
  <c r="O12" i="32"/>
  <c r="N12" i="32"/>
  <c r="L12" i="32"/>
  <c r="M12" i="32" s="1"/>
  <c r="P12" i="32" s="1"/>
  <c r="A22" i="31"/>
  <c r="A23" i="31" s="1"/>
  <c r="A24" i="31" s="1"/>
  <c r="A25" i="31" s="1"/>
  <c r="A26" i="31" s="1"/>
  <c r="A27" i="31" s="1"/>
  <c r="A28" i="31" s="1"/>
  <c r="A29" i="31" s="1"/>
  <c r="A30" i="31" s="1"/>
  <c r="A31" i="31" s="1"/>
  <c r="A32" i="31" s="1"/>
  <c r="A33" i="31" s="1"/>
  <c r="A34" i="31" s="1"/>
  <c r="A35" i="31" s="1"/>
  <c r="A36" i="31" s="1"/>
  <c r="A37" i="31" s="1"/>
  <c r="A38" i="31" s="1"/>
  <c r="A39" i="31" s="1"/>
  <c r="A40" i="31" s="1"/>
  <c r="A41" i="31" s="1"/>
  <c r="A42" i="31" s="1"/>
  <c r="O12" i="31"/>
  <c r="N12" i="31"/>
  <c r="M12" i="31"/>
  <c r="P12" i="31" s="1"/>
  <c r="L12" i="31"/>
  <c r="E9" i="31"/>
  <c r="J9" i="31" l="1"/>
  <c r="F21" i="23"/>
  <c r="F38" i="23" s="1"/>
  <c r="G38" i="23" s="1"/>
  <c r="R12" i="34"/>
  <c r="P12" i="34"/>
  <c r="Q12" i="34" s="1"/>
  <c r="Q12" i="33"/>
  <c r="J9" i="33"/>
  <c r="R12" i="33"/>
  <c r="Q12" i="32"/>
  <c r="R12" i="32"/>
  <c r="Q12" i="31"/>
  <c r="R12" i="31"/>
  <c r="D16" i="30"/>
  <c r="D20" i="30"/>
  <c r="D19" i="30"/>
  <c r="D18" i="30"/>
  <c r="D17" i="30"/>
  <c r="D14" i="30"/>
  <c r="D15" i="30"/>
  <c r="C20" i="30"/>
  <c r="C19" i="30"/>
  <c r="C18" i="30"/>
  <c r="C17" i="30"/>
  <c r="C15" i="30"/>
  <c r="J9" i="29"/>
  <c r="J9" i="27"/>
  <c r="A30" i="30"/>
  <c r="A31" i="30" s="1"/>
  <c r="A24" i="29"/>
  <c r="A25" i="29" s="1"/>
  <c r="B23" i="29"/>
  <c r="A23" i="29"/>
  <c r="C23" i="29" s="1"/>
  <c r="I9" i="29"/>
  <c r="F19" i="23" s="1"/>
  <c r="F36" i="23" s="1"/>
  <c r="G36" i="23" s="1"/>
  <c r="H9" i="29"/>
  <c r="F9" i="29"/>
  <c r="E9" i="29"/>
  <c r="A24" i="27"/>
  <c r="A25" i="27" s="1"/>
  <c r="B23" i="27"/>
  <c r="A23" i="27"/>
  <c r="C23" i="27" s="1"/>
  <c r="I9" i="27"/>
  <c r="H9" i="27"/>
  <c r="F9" i="27"/>
  <c r="E9" i="27"/>
  <c r="A23" i="26"/>
  <c r="B23" i="26" s="1"/>
  <c r="I9" i="26"/>
  <c r="F18" i="23" s="1"/>
  <c r="H9" i="26"/>
  <c r="F9" i="26"/>
  <c r="E9" i="26"/>
  <c r="B24" i="25"/>
  <c r="C24" i="25"/>
  <c r="B25" i="25"/>
  <c r="C25" i="25"/>
  <c r="B26" i="25"/>
  <c r="C26" i="25"/>
  <c r="B27" i="25"/>
  <c r="C27" i="25"/>
  <c r="B28" i="25"/>
  <c r="C28" i="25"/>
  <c r="B29" i="25"/>
  <c r="C29" i="25"/>
  <c r="B30" i="25"/>
  <c r="C30" i="25"/>
  <c r="B31" i="25"/>
  <c r="C31" i="25"/>
  <c r="B32" i="25"/>
  <c r="C32" i="25"/>
  <c r="B33" i="25"/>
  <c r="C33" i="25"/>
  <c r="B34" i="25"/>
  <c r="C34" i="25"/>
  <c r="B35" i="25"/>
  <c r="C35" i="25"/>
  <c r="B36" i="25"/>
  <c r="C36" i="25"/>
  <c r="B37" i="25"/>
  <c r="C37" i="25"/>
  <c r="B38" i="25"/>
  <c r="C38" i="25"/>
  <c r="B39" i="25"/>
  <c r="C39" i="25"/>
  <c r="B40" i="25"/>
  <c r="C40" i="25"/>
  <c r="B41" i="25"/>
  <c r="C41" i="25"/>
  <c r="B42" i="25"/>
  <c r="C42" i="25"/>
  <c r="B43" i="25"/>
  <c r="C43" i="25"/>
  <c r="C23" i="25"/>
  <c r="B23" i="25"/>
  <c r="I9" i="25"/>
  <c r="J9" i="25" s="1"/>
  <c r="H9" i="25"/>
  <c r="F9" i="25"/>
  <c r="E9" i="25"/>
  <c r="A24" i="25"/>
  <c r="A25" i="25" s="1"/>
  <c r="A23" i="25"/>
  <c r="K22" i="23"/>
  <c r="K21" i="23"/>
  <c r="K20" i="23"/>
  <c r="K19" i="23"/>
  <c r="K18" i="23"/>
  <c r="K17" i="23"/>
  <c r="H14" i="30" a="1"/>
  <c r="J18" i="23" l="1"/>
  <c r="I35" i="23" s="1"/>
  <c r="J35" i="23" s="1"/>
  <c r="J19" i="23"/>
  <c r="I36" i="23" s="1"/>
  <c r="J36" i="23" s="1"/>
  <c r="L36" i="23" s="1"/>
  <c r="N36" i="23" s="1"/>
  <c r="J17" i="23"/>
  <c r="I34" i="23" s="1"/>
  <c r="J34" i="23" s="1"/>
  <c r="K25" i="23"/>
  <c r="M25" i="23" s="1"/>
  <c r="B41" i="32"/>
  <c r="B37" i="32"/>
  <c r="B33" i="32"/>
  <c r="B29" i="32"/>
  <c r="B25" i="32"/>
  <c r="H9" i="32"/>
  <c r="I9" i="32" s="1"/>
  <c r="B40" i="32"/>
  <c r="B36" i="32"/>
  <c r="B32" i="32"/>
  <c r="B28" i="32"/>
  <c r="B24" i="32"/>
  <c r="B39" i="32"/>
  <c r="B35" i="32"/>
  <c r="B31" i="32"/>
  <c r="B27" i="32"/>
  <c r="B23" i="32"/>
  <c r="E9" i="32"/>
  <c r="F9" i="32" s="1"/>
  <c r="B42" i="32"/>
  <c r="B38" i="32"/>
  <c r="B34" i="32"/>
  <c r="B30" i="32"/>
  <c r="B26" i="32"/>
  <c r="B22" i="32"/>
  <c r="C22" i="32" s="1"/>
  <c r="F35" i="23"/>
  <c r="G35" i="23" s="1"/>
  <c r="J9" i="26"/>
  <c r="G25" i="23"/>
  <c r="H25" i="23"/>
  <c r="M18" i="23"/>
  <c r="M20" i="23"/>
  <c r="M21" i="23"/>
  <c r="M22" i="23"/>
  <c r="M19" i="23"/>
  <c r="M17" i="23"/>
  <c r="B42" i="34"/>
  <c r="B41" i="34"/>
  <c r="B40" i="34"/>
  <c r="B39" i="34"/>
  <c r="B38" i="34"/>
  <c r="B37" i="34"/>
  <c r="B36" i="34"/>
  <c r="B35" i="34"/>
  <c r="B34" i="34"/>
  <c r="B33" i="34"/>
  <c r="B32" i="34"/>
  <c r="B31" i="34"/>
  <c r="B30" i="34"/>
  <c r="B29" i="34"/>
  <c r="B28" i="34"/>
  <c r="B27" i="34"/>
  <c r="B26" i="34"/>
  <c r="B25" i="34"/>
  <c r="B24" i="34"/>
  <c r="B23" i="34"/>
  <c r="B22" i="34"/>
  <c r="C22" i="34" s="1"/>
  <c r="E9" i="34"/>
  <c r="F9" i="34" s="1"/>
  <c r="H9" i="34"/>
  <c r="I9" i="34" s="1"/>
  <c r="C22" i="33"/>
  <c r="F9" i="33"/>
  <c r="C22" i="31"/>
  <c r="F9" i="31"/>
  <c r="A32" i="30"/>
  <c r="K14" i="30"/>
  <c r="O14" i="30"/>
  <c r="K15" i="30"/>
  <c r="O15" i="30"/>
  <c r="K16" i="30"/>
  <c r="O16" i="30"/>
  <c r="K17" i="30"/>
  <c r="O17" i="30"/>
  <c r="K18" i="30"/>
  <c r="O18" i="30"/>
  <c r="K19" i="30"/>
  <c r="O19" i="30"/>
  <c r="K20" i="30"/>
  <c r="O20" i="30"/>
  <c r="M14" i="30"/>
  <c r="N14" i="30"/>
  <c r="H14" i="30"/>
  <c r="L14" i="30"/>
  <c r="H15" i="30"/>
  <c r="L15" i="30"/>
  <c r="H16" i="30"/>
  <c r="L16" i="30"/>
  <c r="H17" i="30"/>
  <c r="L17" i="30"/>
  <c r="H18" i="30"/>
  <c r="L18" i="30"/>
  <c r="H19" i="30"/>
  <c r="L19" i="30"/>
  <c r="H20" i="30"/>
  <c r="L20" i="30"/>
  <c r="I14" i="30"/>
  <c r="I15" i="30"/>
  <c r="M15" i="30"/>
  <c r="I16" i="30"/>
  <c r="M16" i="30"/>
  <c r="I17" i="30"/>
  <c r="M17" i="30"/>
  <c r="I18" i="30"/>
  <c r="M18" i="30"/>
  <c r="I19" i="30"/>
  <c r="M19" i="30"/>
  <c r="I20" i="30"/>
  <c r="M20" i="30"/>
  <c r="J14" i="30"/>
  <c r="J15" i="30"/>
  <c r="N15" i="30"/>
  <c r="J16" i="30"/>
  <c r="N16" i="30"/>
  <c r="J17" i="30"/>
  <c r="N17" i="30"/>
  <c r="J18" i="30"/>
  <c r="N18" i="30"/>
  <c r="J19" i="30"/>
  <c r="N19" i="30"/>
  <c r="J20" i="30"/>
  <c r="N20" i="30"/>
  <c r="C24" i="29"/>
  <c r="A26" i="29"/>
  <c r="C25" i="29"/>
  <c r="B25" i="29"/>
  <c r="B24" i="29"/>
  <c r="C24" i="27"/>
  <c r="A26" i="27"/>
  <c r="C25" i="27"/>
  <c r="B25" i="27"/>
  <c r="B24" i="27"/>
  <c r="C23" i="26"/>
  <c r="A24" i="26"/>
  <c r="A26" i="25"/>
  <c r="H9" i="30"/>
  <c r="B32" i="30"/>
  <c r="B31" i="30"/>
  <c r="B30" i="30"/>
  <c r="E9" i="30"/>
  <c r="L19" i="23" l="1"/>
  <c r="N19" i="23" s="1"/>
  <c r="J24" i="23"/>
  <c r="I41" i="23" s="1"/>
  <c r="J41" i="23" s="1"/>
  <c r="J22" i="23"/>
  <c r="I39" i="23" s="1"/>
  <c r="J39" i="23" s="1"/>
  <c r="I36" i="39"/>
  <c r="J36" i="39" s="1"/>
  <c r="L36" i="39" s="1"/>
  <c r="N36" i="39" s="1"/>
  <c r="L19" i="39"/>
  <c r="N19" i="39" s="1"/>
  <c r="J23" i="23"/>
  <c r="L23" i="23" s="1"/>
  <c r="N23" i="23" s="1"/>
  <c r="I34" i="39"/>
  <c r="J34" i="39" s="1"/>
  <c r="L34" i="39" s="1"/>
  <c r="N34" i="39" s="1"/>
  <c r="L17" i="39"/>
  <c r="N17" i="39" s="1"/>
  <c r="I35" i="39"/>
  <c r="J35" i="39" s="1"/>
  <c r="L35" i="39" s="1"/>
  <c r="N35" i="39" s="1"/>
  <c r="L18" i="39"/>
  <c r="N18" i="39" s="1"/>
  <c r="J21" i="23"/>
  <c r="I38" i="23" s="1"/>
  <c r="J38" i="23" s="1"/>
  <c r="L38" i="23" s="1"/>
  <c r="N38" i="23" s="1"/>
  <c r="D32" i="30"/>
  <c r="D30" i="30"/>
  <c r="D31" i="30"/>
  <c r="F22" i="23"/>
  <c r="J9" i="32"/>
  <c r="J9" i="34"/>
  <c r="F24" i="23"/>
  <c r="L35" i="23"/>
  <c r="N35" i="23" s="1"/>
  <c r="L34" i="23"/>
  <c r="N34" i="23" s="1"/>
  <c r="D28" i="34"/>
  <c r="C28" i="34"/>
  <c r="C32" i="34"/>
  <c r="D32" i="34"/>
  <c r="D40" i="34"/>
  <c r="C40" i="34"/>
  <c r="C25" i="34"/>
  <c r="D25" i="34"/>
  <c r="C29" i="34"/>
  <c r="D29" i="34"/>
  <c r="D37" i="34"/>
  <c r="C37" i="34"/>
  <c r="D41" i="34"/>
  <c r="C41" i="34"/>
  <c r="D23" i="34"/>
  <c r="C23" i="34"/>
  <c r="C27" i="34"/>
  <c r="D27" i="34"/>
  <c r="D31" i="34"/>
  <c r="C31" i="34"/>
  <c r="D35" i="34"/>
  <c r="C35" i="34"/>
  <c r="C39" i="34"/>
  <c r="D39" i="34"/>
  <c r="D24" i="34"/>
  <c r="C24" i="34"/>
  <c r="D36" i="34"/>
  <c r="C36" i="34"/>
  <c r="D33" i="34"/>
  <c r="C33" i="34"/>
  <c r="D26" i="34"/>
  <c r="C26" i="34"/>
  <c r="D30" i="34"/>
  <c r="C30" i="34"/>
  <c r="C34" i="34"/>
  <c r="D34" i="34"/>
  <c r="D38" i="34"/>
  <c r="C38" i="34"/>
  <c r="C42" i="34"/>
  <c r="D42" i="34"/>
  <c r="C38" i="33"/>
  <c r="D38" i="33"/>
  <c r="C24" i="33"/>
  <c r="D24" i="33"/>
  <c r="C28" i="33"/>
  <c r="D28" i="33"/>
  <c r="C32" i="33"/>
  <c r="D32" i="33"/>
  <c r="C36" i="33"/>
  <c r="D36" i="33"/>
  <c r="C40" i="33"/>
  <c r="D40" i="33"/>
  <c r="C25" i="33"/>
  <c r="D25" i="33"/>
  <c r="C29" i="33"/>
  <c r="D29" i="33"/>
  <c r="C33" i="33"/>
  <c r="D33" i="33"/>
  <c r="C37" i="33"/>
  <c r="D37" i="33"/>
  <c r="C41" i="33"/>
  <c r="D41" i="33"/>
  <c r="C26" i="33"/>
  <c r="D26" i="33"/>
  <c r="C30" i="33"/>
  <c r="D30" i="33"/>
  <c r="C34" i="33"/>
  <c r="D34" i="33"/>
  <c r="C42" i="33"/>
  <c r="D42" i="33"/>
  <c r="C23" i="33"/>
  <c r="D23" i="33"/>
  <c r="C27" i="33"/>
  <c r="D27" i="33"/>
  <c r="C31" i="33"/>
  <c r="D31" i="33"/>
  <c r="C35" i="33"/>
  <c r="D35" i="33"/>
  <c r="C39" i="33"/>
  <c r="D39" i="33"/>
  <c r="C26" i="32"/>
  <c r="D26" i="32"/>
  <c r="C30" i="32"/>
  <c r="D30" i="32"/>
  <c r="C38" i="32"/>
  <c r="D38" i="32"/>
  <c r="C42" i="32"/>
  <c r="D42" i="32"/>
  <c r="C24" i="32"/>
  <c r="D24" i="32"/>
  <c r="C28" i="32"/>
  <c r="D28" i="32"/>
  <c r="C32" i="32"/>
  <c r="D32" i="32"/>
  <c r="C36" i="32"/>
  <c r="D36" i="32"/>
  <c r="C40" i="32"/>
  <c r="D40" i="32"/>
  <c r="C25" i="32"/>
  <c r="D25" i="32"/>
  <c r="C29" i="32"/>
  <c r="D29" i="32"/>
  <c r="C33" i="32"/>
  <c r="D33" i="32"/>
  <c r="C37" i="32"/>
  <c r="D37" i="32"/>
  <c r="C41" i="32"/>
  <c r="D41" i="32"/>
  <c r="C34" i="32"/>
  <c r="D34" i="32"/>
  <c r="C23" i="32"/>
  <c r="D23" i="32"/>
  <c r="C27" i="32"/>
  <c r="D27" i="32"/>
  <c r="C31" i="32"/>
  <c r="D31" i="32"/>
  <c r="C35" i="32"/>
  <c r="D35" i="32"/>
  <c r="C39" i="32"/>
  <c r="D39" i="32"/>
  <c r="C30" i="30"/>
  <c r="C31" i="30"/>
  <c r="I9" i="30"/>
  <c r="F9" i="30"/>
  <c r="C30" i="31"/>
  <c r="D30" i="31"/>
  <c r="C38" i="31"/>
  <c r="D38" i="31"/>
  <c r="C24" i="31"/>
  <c r="D24" i="31"/>
  <c r="C28" i="31"/>
  <c r="D28" i="31"/>
  <c r="C32" i="31"/>
  <c r="D32" i="31"/>
  <c r="C36" i="31"/>
  <c r="D36" i="31"/>
  <c r="C40" i="31"/>
  <c r="D40" i="31"/>
  <c r="C25" i="31"/>
  <c r="D25" i="31"/>
  <c r="C29" i="31"/>
  <c r="D29" i="31"/>
  <c r="C33" i="31"/>
  <c r="D33" i="31"/>
  <c r="C37" i="31"/>
  <c r="D37" i="31"/>
  <c r="C41" i="31"/>
  <c r="D41" i="31"/>
  <c r="C26" i="31"/>
  <c r="D26" i="31"/>
  <c r="C34" i="31"/>
  <c r="D34" i="31"/>
  <c r="C42" i="31"/>
  <c r="D42" i="31"/>
  <c r="C23" i="31"/>
  <c r="D23" i="31"/>
  <c r="C27" i="31"/>
  <c r="D27" i="31"/>
  <c r="C31" i="31"/>
  <c r="D31" i="31"/>
  <c r="C35" i="31"/>
  <c r="D35" i="31"/>
  <c r="C39" i="31"/>
  <c r="D39" i="31"/>
  <c r="C32" i="30"/>
  <c r="A33" i="30"/>
  <c r="B26" i="29"/>
  <c r="A27" i="29"/>
  <c r="C26" i="29"/>
  <c r="B26" i="27"/>
  <c r="A27" i="27"/>
  <c r="C26" i="27"/>
  <c r="C24" i="26"/>
  <c r="B24" i="26"/>
  <c r="A25" i="26"/>
  <c r="A27" i="25"/>
  <c r="B33" i="30"/>
  <c r="L20" i="43" l="1"/>
  <c r="I37" i="43"/>
  <c r="J37" i="43" s="1"/>
  <c r="B9" i="43"/>
  <c r="J25" i="43"/>
  <c r="F37" i="43"/>
  <c r="G37" i="43" s="1"/>
  <c r="F25" i="43"/>
  <c r="F37" i="42"/>
  <c r="G37" i="42" s="1"/>
  <c r="F25" i="42"/>
  <c r="B9" i="42"/>
  <c r="J25" i="42"/>
  <c r="I37" i="42"/>
  <c r="J37" i="42" s="1"/>
  <c r="L20" i="42"/>
  <c r="I37" i="41"/>
  <c r="J37" i="41" s="1"/>
  <c r="J25" i="41"/>
  <c r="L20" i="41"/>
  <c r="B9" i="41"/>
  <c r="F37" i="41"/>
  <c r="G37" i="41" s="1"/>
  <c r="F25" i="41"/>
  <c r="I37" i="40"/>
  <c r="J37" i="40" s="1"/>
  <c r="B9" i="40"/>
  <c r="J25" i="40"/>
  <c r="F25" i="39"/>
  <c r="I40" i="23"/>
  <c r="J40" i="23" s="1"/>
  <c r="L40" i="23" s="1"/>
  <c r="N40" i="23" s="1"/>
  <c r="I40" i="39"/>
  <c r="J40" i="39" s="1"/>
  <c r="L40" i="39" s="1"/>
  <c r="N40" i="39" s="1"/>
  <c r="L23" i="39"/>
  <c r="N23" i="39" s="1"/>
  <c r="I39" i="39"/>
  <c r="J39" i="39" s="1"/>
  <c r="L39" i="39" s="1"/>
  <c r="N39" i="39" s="1"/>
  <c r="L22" i="39"/>
  <c r="N22" i="39" s="1"/>
  <c r="L21" i="23"/>
  <c r="N21" i="23" s="1"/>
  <c r="L21" i="39"/>
  <c r="N21" i="39" s="1"/>
  <c r="I38" i="39"/>
  <c r="J38" i="39" s="1"/>
  <c r="L38" i="39" s="1"/>
  <c r="N38" i="39" s="1"/>
  <c r="I41" i="39"/>
  <c r="J41" i="39" s="1"/>
  <c r="L41" i="39" s="1"/>
  <c r="N41" i="39" s="1"/>
  <c r="L24" i="39"/>
  <c r="N24" i="39" s="1"/>
  <c r="J20" i="23"/>
  <c r="I37" i="23" s="1"/>
  <c r="J37" i="23" s="1"/>
  <c r="F37" i="39"/>
  <c r="G37" i="39" s="1"/>
  <c r="D33" i="30"/>
  <c r="F39" i="23"/>
  <c r="G39" i="23" s="1"/>
  <c r="L39" i="23" s="1"/>
  <c r="N39" i="23" s="1"/>
  <c r="L22" i="23"/>
  <c r="N22" i="23" s="1"/>
  <c r="F41" i="23"/>
  <c r="G41" i="23" s="1"/>
  <c r="L41" i="23" s="1"/>
  <c r="N41" i="23" s="1"/>
  <c r="L24" i="23"/>
  <c r="N24" i="23" s="1"/>
  <c r="J9" i="30"/>
  <c r="F20" i="23"/>
  <c r="C33" i="30"/>
  <c r="A34" i="30"/>
  <c r="C27" i="29"/>
  <c r="B27" i="29"/>
  <c r="A28" i="29"/>
  <c r="C27" i="27"/>
  <c r="B27" i="27"/>
  <c r="A28" i="27"/>
  <c r="A26" i="26"/>
  <c r="C25" i="26"/>
  <c r="B25" i="26"/>
  <c r="A28" i="25"/>
  <c r="B34" i="30"/>
  <c r="G43" i="43" l="1"/>
  <c r="G45" i="43"/>
  <c r="G44" i="43"/>
  <c r="G42" i="43"/>
  <c r="N20" i="43"/>
  <c r="L25" i="43"/>
  <c r="N25" i="43" s="1"/>
  <c r="L37" i="43"/>
  <c r="J42" i="43"/>
  <c r="L42" i="43" s="1"/>
  <c r="N42" i="43" s="1"/>
  <c r="J44" i="43"/>
  <c r="J45" i="43"/>
  <c r="J43" i="43"/>
  <c r="N20" i="42"/>
  <c r="L25" i="42"/>
  <c r="N25" i="42" s="1"/>
  <c r="L37" i="42"/>
  <c r="J45" i="42"/>
  <c r="J42" i="42"/>
  <c r="J44" i="42"/>
  <c r="J43" i="42"/>
  <c r="G43" i="42"/>
  <c r="G42" i="42"/>
  <c r="G45" i="42"/>
  <c r="G44" i="42"/>
  <c r="N20" i="41"/>
  <c r="L25" i="41"/>
  <c r="N25" i="41" s="1"/>
  <c r="G44" i="41"/>
  <c r="G43" i="41"/>
  <c r="G45" i="41"/>
  <c r="G42" i="41"/>
  <c r="L37" i="41"/>
  <c r="J45" i="41"/>
  <c r="J44" i="41"/>
  <c r="J42" i="41"/>
  <c r="L42" i="41" s="1"/>
  <c r="N42" i="41" s="1"/>
  <c r="J43" i="41"/>
  <c r="J42" i="40"/>
  <c r="J45" i="40"/>
  <c r="J43" i="40"/>
  <c r="J44" i="40"/>
  <c r="F37" i="40"/>
  <c r="G37" i="40" s="1"/>
  <c r="F25" i="40"/>
  <c r="L20" i="40"/>
  <c r="J45" i="23"/>
  <c r="J43" i="23"/>
  <c r="J42" i="23"/>
  <c r="J44" i="23"/>
  <c r="G42" i="39"/>
  <c r="G44" i="39"/>
  <c r="G43" i="39"/>
  <c r="G45" i="39"/>
  <c r="L20" i="39"/>
  <c r="I37" i="39"/>
  <c r="J37" i="39" s="1"/>
  <c r="J25" i="39"/>
  <c r="B9" i="39"/>
  <c r="D34" i="30"/>
  <c r="F37" i="23"/>
  <c r="G37" i="23" s="1"/>
  <c r="F25" i="23"/>
  <c r="L20" i="23"/>
  <c r="C34" i="30"/>
  <c r="A35" i="30"/>
  <c r="A29" i="29"/>
  <c r="C28" i="29"/>
  <c r="B28" i="29"/>
  <c r="A29" i="27"/>
  <c r="C28" i="27"/>
  <c r="B28" i="27"/>
  <c r="A27" i="26"/>
  <c r="C26" i="26"/>
  <c r="B26" i="26"/>
  <c r="A29" i="25"/>
  <c r="A23" i="13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A22" i="13"/>
  <c r="L12" i="13"/>
  <c r="K12" i="13"/>
  <c r="J12" i="13"/>
  <c r="M12" i="13" s="1"/>
  <c r="I12" i="13"/>
  <c r="G9" i="13"/>
  <c r="F9" i="13"/>
  <c r="D9" i="13" s="1"/>
  <c r="C9" i="13"/>
  <c r="B9" i="13"/>
  <c r="B35" i="30"/>
  <c r="N37" i="43" l="1"/>
  <c r="L43" i="43"/>
  <c r="M43" i="43" s="1"/>
  <c r="L45" i="43"/>
  <c r="M45" i="43" s="1"/>
  <c r="L44" i="43"/>
  <c r="M44" i="43" s="1"/>
  <c r="N37" i="42"/>
  <c r="L43" i="42"/>
  <c r="M43" i="42" s="1"/>
  <c r="L45" i="42"/>
  <c r="M45" i="42" s="1"/>
  <c r="L44" i="42"/>
  <c r="L42" i="42"/>
  <c r="N42" i="42" s="1"/>
  <c r="N37" i="41"/>
  <c r="L43" i="41"/>
  <c r="M43" i="41" s="1"/>
  <c r="L45" i="41"/>
  <c r="M45" i="41" s="1"/>
  <c r="L44" i="41"/>
  <c r="M44" i="41" s="1"/>
  <c r="N20" i="40"/>
  <c r="L25" i="40"/>
  <c r="N25" i="40" s="1"/>
  <c r="G44" i="40"/>
  <c r="G43" i="40"/>
  <c r="G42" i="40"/>
  <c r="G45" i="40"/>
  <c r="L42" i="40"/>
  <c r="N42" i="40" s="1"/>
  <c r="L37" i="40"/>
  <c r="L37" i="39"/>
  <c r="J42" i="39"/>
  <c r="L42" i="39" s="1"/>
  <c r="N42" i="39" s="1"/>
  <c r="J44" i="39"/>
  <c r="J45" i="39"/>
  <c r="J43" i="39"/>
  <c r="N20" i="39"/>
  <c r="L25" i="39"/>
  <c r="N25" i="39" s="1"/>
  <c r="D35" i="30"/>
  <c r="G44" i="23"/>
  <c r="G45" i="23"/>
  <c r="G43" i="23"/>
  <c r="N20" i="23"/>
  <c r="L37" i="23"/>
  <c r="G42" i="23"/>
  <c r="C35" i="30"/>
  <c r="A36" i="30"/>
  <c r="A30" i="29"/>
  <c r="C29" i="29"/>
  <c r="B29" i="29"/>
  <c r="A30" i="27"/>
  <c r="C29" i="27"/>
  <c r="B29" i="27"/>
  <c r="B27" i="26"/>
  <c r="A28" i="26"/>
  <c r="C27" i="26"/>
  <c r="A30" i="25"/>
  <c r="N12" i="13"/>
  <c r="O12" i="13"/>
  <c r="B36" i="30"/>
  <c r="M44" i="42" l="1"/>
  <c r="N45" i="43"/>
  <c r="N43" i="43"/>
  <c r="N44" i="43"/>
  <c r="N45" i="42"/>
  <c r="N44" i="42"/>
  <c r="N43" i="42"/>
  <c r="N43" i="41"/>
  <c r="N44" i="41"/>
  <c r="N45" i="41"/>
  <c r="N37" i="40"/>
  <c r="L45" i="40"/>
  <c r="M45" i="40" s="1"/>
  <c r="L43" i="40"/>
  <c r="M43" i="40" s="1"/>
  <c r="L44" i="40"/>
  <c r="M44" i="40" s="1"/>
  <c r="N37" i="39"/>
  <c r="L44" i="39"/>
  <c r="M44" i="39" s="1"/>
  <c r="L43" i="39"/>
  <c r="M43" i="39" s="1"/>
  <c r="L45" i="39"/>
  <c r="M45" i="39" s="1"/>
  <c r="D36" i="30"/>
  <c r="N37" i="23"/>
  <c r="L43" i="23"/>
  <c r="L45" i="23"/>
  <c r="L44" i="23"/>
  <c r="L42" i="23"/>
  <c r="C36" i="30"/>
  <c r="A37" i="30"/>
  <c r="B30" i="29"/>
  <c r="A31" i="29"/>
  <c r="C30" i="29"/>
  <c r="B30" i="27"/>
  <c r="A31" i="27"/>
  <c r="C30" i="27"/>
  <c r="C28" i="26"/>
  <c r="B28" i="26"/>
  <c r="A29" i="26"/>
  <c r="A31" i="25"/>
  <c r="B41" i="13"/>
  <c r="B37" i="13"/>
  <c r="B33" i="13"/>
  <c r="B29" i="13"/>
  <c r="B25" i="13"/>
  <c r="B22" i="13"/>
  <c r="B42" i="13"/>
  <c r="C42" i="13" s="1"/>
  <c r="B38" i="13"/>
  <c r="B34" i="13"/>
  <c r="B30" i="13"/>
  <c r="C30" i="13" s="1"/>
  <c r="B26" i="13"/>
  <c r="C26" i="13" s="1"/>
  <c r="B39" i="13"/>
  <c r="C39" i="13" s="1"/>
  <c r="B35" i="13"/>
  <c r="C35" i="13" s="1"/>
  <c r="B31" i="13"/>
  <c r="C31" i="13" s="1"/>
  <c r="B27" i="13"/>
  <c r="C27" i="13" s="1"/>
  <c r="B23" i="13"/>
  <c r="B40" i="13"/>
  <c r="C40" i="13" s="1"/>
  <c r="B36" i="13"/>
  <c r="C36" i="13" s="1"/>
  <c r="B32" i="13"/>
  <c r="C32" i="13" s="1"/>
  <c r="B28" i="13"/>
  <c r="B24" i="13"/>
  <c r="C24" i="13" s="1"/>
  <c r="E9" i="13"/>
  <c r="B37" i="30"/>
  <c r="N44" i="40" l="1"/>
  <c r="N43" i="40"/>
  <c r="N45" i="40"/>
  <c r="N43" i="39"/>
  <c r="N44" i="39"/>
  <c r="N45" i="39"/>
  <c r="D37" i="30"/>
  <c r="M45" i="23"/>
  <c r="M44" i="23"/>
  <c r="M43" i="23"/>
  <c r="N42" i="23"/>
  <c r="N44" i="23" s="1"/>
  <c r="C37" i="30"/>
  <c r="A38" i="30"/>
  <c r="C31" i="29"/>
  <c r="B31" i="29"/>
  <c r="A32" i="29"/>
  <c r="C31" i="27"/>
  <c r="B31" i="27"/>
  <c r="A32" i="27"/>
  <c r="A30" i="26"/>
  <c r="C29" i="26"/>
  <c r="B29" i="26"/>
  <c r="A32" i="25"/>
  <c r="C33" i="13"/>
  <c r="C28" i="13"/>
  <c r="C23" i="13"/>
  <c r="C38" i="13"/>
  <c r="C29" i="13"/>
  <c r="C37" i="13"/>
  <c r="C34" i="13"/>
  <c r="C25" i="13"/>
  <c r="C41" i="13"/>
  <c r="F12" i="5" a="1"/>
  <c r="B38" i="30"/>
  <c r="N45" i="23" l="1"/>
  <c r="N43" i="23"/>
  <c r="D38" i="30"/>
  <c r="B9" i="23"/>
  <c r="J25" i="23"/>
  <c r="L18" i="23"/>
  <c r="N18" i="23" s="1"/>
  <c r="C38" i="30"/>
  <c r="A39" i="30"/>
  <c r="A33" i="29"/>
  <c r="C32" i="29"/>
  <c r="B32" i="29"/>
  <c r="A33" i="27"/>
  <c r="C32" i="27"/>
  <c r="B32" i="27"/>
  <c r="A31" i="26"/>
  <c r="C30" i="26"/>
  <c r="B30" i="26"/>
  <c r="A33" i="25"/>
  <c r="L17" i="23"/>
  <c r="F12" i="5"/>
  <c r="J12" i="5"/>
  <c r="F13" i="5"/>
  <c r="J13" i="5"/>
  <c r="F14" i="5"/>
  <c r="J14" i="5"/>
  <c r="F15" i="5"/>
  <c r="J15" i="5"/>
  <c r="F16" i="5"/>
  <c r="J16" i="5"/>
  <c r="F17" i="5"/>
  <c r="J17" i="5"/>
  <c r="G12" i="5"/>
  <c r="K12" i="5"/>
  <c r="G13" i="5"/>
  <c r="K13" i="5"/>
  <c r="G14" i="5"/>
  <c r="K14" i="5"/>
  <c r="G15" i="5"/>
  <c r="K15" i="5"/>
  <c r="G16" i="5"/>
  <c r="K16" i="5"/>
  <c r="G17" i="5"/>
  <c r="K17" i="5"/>
  <c r="L12" i="5"/>
  <c r="H13" i="5"/>
  <c r="L13" i="5"/>
  <c r="H14" i="5"/>
  <c r="L14" i="5"/>
  <c r="L15" i="5"/>
  <c r="H16" i="5"/>
  <c r="L16" i="5"/>
  <c r="H17" i="5"/>
  <c r="H12" i="5"/>
  <c r="H15" i="5"/>
  <c r="L17" i="5"/>
  <c r="I12" i="5"/>
  <c r="M12" i="5"/>
  <c r="I13" i="5"/>
  <c r="M13" i="5"/>
  <c r="I14" i="5"/>
  <c r="M14" i="5"/>
  <c r="I15" i="5"/>
  <c r="M15" i="5"/>
  <c r="I16" i="5"/>
  <c r="M16" i="5"/>
  <c r="I17" i="5"/>
  <c r="M17" i="5"/>
  <c r="A27" i="5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B23" i="4"/>
  <c r="G9" i="4"/>
  <c r="E9" i="4"/>
  <c r="A24" i="4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B43" i="4" s="1"/>
  <c r="A23" i="4"/>
  <c r="B35" i="5"/>
  <c r="E9" i="5"/>
  <c r="B45" i="5"/>
  <c r="B39" i="5"/>
  <c r="B39" i="30"/>
  <c r="B31" i="5"/>
  <c r="B36" i="5"/>
  <c r="B46" i="5"/>
  <c r="B38" i="5"/>
  <c r="B42" i="5"/>
  <c r="B30" i="5"/>
  <c r="B29" i="5"/>
  <c r="B44" i="5"/>
  <c r="B41" i="5"/>
  <c r="B37" i="5"/>
  <c r="B34" i="5"/>
  <c r="B32" i="5"/>
  <c r="B27" i="5"/>
  <c r="B43" i="5"/>
  <c r="B33" i="5"/>
  <c r="B40" i="5"/>
  <c r="B28" i="5"/>
  <c r="B47" i="5"/>
  <c r="D39" i="30" l="1"/>
  <c r="L25" i="23"/>
  <c r="N25" i="23" s="1"/>
  <c r="C39" i="30"/>
  <c r="A40" i="30"/>
  <c r="A34" i="29"/>
  <c r="C33" i="29"/>
  <c r="B33" i="29"/>
  <c r="A34" i="27"/>
  <c r="C33" i="27"/>
  <c r="B33" i="27"/>
  <c r="B31" i="26"/>
  <c r="A32" i="26"/>
  <c r="C31" i="26"/>
  <c r="A34" i="25"/>
  <c r="N17" i="23"/>
  <c r="B24" i="4"/>
  <c r="B28" i="4"/>
  <c r="B32" i="4"/>
  <c r="B36" i="4"/>
  <c r="B40" i="4"/>
  <c r="B25" i="4"/>
  <c r="B29" i="4"/>
  <c r="B33" i="4"/>
  <c r="B37" i="4"/>
  <c r="B41" i="4"/>
  <c r="B26" i="4"/>
  <c r="B30" i="4"/>
  <c r="B34" i="4"/>
  <c r="B38" i="4"/>
  <c r="B42" i="4"/>
  <c r="B27" i="4"/>
  <c r="B31" i="4"/>
  <c r="B35" i="4"/>
  <c r="B39" i="4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A41" i="2"/>
  <c r="A42" i="2"/>
  <c r="A34" i="2"/>
  <c r="A35" i="2" s="1"/>
  <c r="A36" i="2" s="1"/>
  <c r="A37" i="2" s="1"/>
  <c r="A38" i="2" s="1"/>
  <c r="A39" i="2" s="1"/>
  <c r="A40" i="2" s="1"/>
  <c r="A24" i="2"/>
  <c r="A25" i="2" s="1"/>
  <c r="A26" i="2" s="1"/>
  <c r="A27" i="2" s="1"/>
  <c r="A28" i="2" s="1"/>
  <c r="A29" i="2" s="1"/>
  <c r="A30" i="2" s="1"/>
  <c r="A31" i="2" s="1"/>
  <c r="A32" i="2" s="1"/>
  <c r="A33" i="2" s="1"/>
  <c r="B22" i="2"/>
  <c r="A23" i="2"/>
  <c r="A22" i="2"/>
  <c r="E9" i="2"/>
  <c r="J12" i="2"/>
  <c r="I12" i="2"/>
  <c r="H12" i="2"/>
  <c r="G9" i="2"/>
  <c r="F9" i="2"/>
  <c r="B40" i="30"/>
  <c r="D40" i="30" l="1"/>
  <c r="C40" i="30"/>
  <c r="A41" i="30"/>
  <c r="B34" i="29"/>
  <c r="A35" i="29"/>
  <c r="C34" i="29"/>
  <c r="B34" i="27"/>
  <c r="A35" i="27"/>
  <c r="C34" i="27"/>
  <c r="C32" i="26"/>
  <c r="B32" i="26"/>
  <c r="A33" i="26"/>
  <c r="A35" i="25"/>
  <c r="B41" i="30"/>
  <c r="D41" i="30" l="1"/>
  <c r="C41" i="30"/>
  <c r="A42" i="30"/>
  <c r="C35" i="29"/>
  <c r="B35" i="29"/>
  <c r="A36" i="29"/>
  <c r="C35" i="27"/>
  <c r="B35" i="27"/>
  <c r="A36" i="27"/>
  <c r="A34" i="26"/>
  <c r="C33" i="26"/>
  <c r="B33" i="26"/>
  <c r="A36" i="25"/>
  <c r="B42" i="30"/>
  <c r="D42" i="30" l="1"/>
  <c r="C42" i="30"/>
  <c r="A43" i="30"/>
  <c r="A37" i="29"/>
  <c r="C36" i="29"/>
  <c r="B36" i="29"/>
  <c r="A37" i="27"/>
  <c r="C36" i="27"/>
  <c r="B36" i="27"/>
  <c r="A35" i="26"/>
  <c r="C34" i="26"/>
  <c r="B34" i="26"/>
  <c r="A37" i="25"/>
  <c r="B43" i="30"/>
  <c r="D43" i="30" l="1"/>
  <c r="C43" i="30"/>
  <c r="A44" i="30"/>
  <c r="A38" i="29"/>
  <c r="C37" i="29"/>
  <c r="B37" i="29"/>
  <c r="A38" i="27"/>
  <c r="C37" i="27"/>
  <c r="B37" i="27"/>
  <c r="B35" i="26"/>
  <c r="A36" i="26"/>
  <c r="C35" i="26"/>
  <c r="A38" i="25"/>
  <c r="B44" i="30"/>
  <c r="D44" i="30" l="1"/>
  <c r="C44" i="30"/>
  <c r="A45" i="30"/>
  <c r="B38" i="29"/>
  <c r="A39" i="29"/>
  <c r="C38" i="29"/>
  <c r="B38" i="27"/>
  <c r="A39" i="27"/>
  <c r="C38" i="27"/>
  <c r="C36" i="26"/>
  <c r="B36" i="26"/>
  <c r="A37" i="26"/>
  <c r="A39" i="25"/>
  <c r="B45" i="30"/>
  <c r="D45" i="30" l="1"/>
  <c r="C45" i="30"/>
  <c r="A46" i="30"/>
  <c r="C39" i="29"/>
  <c r="B39" i="29"/>
  <c r="A40" i="29"/>
  <c r="C39" i="27"/>
  <c r="B39" i="27"/>
  <c r="A40" i="27"/>
  <c r="A38" i="26"/>
  <c r="C37" i="26"/>
  <c r="B37" i="26"/>
  <c r="A40" i="25"/>
  <c r="B46" i="30"/>
  <c r="D46" i="30" l="1"/>
  <c r="C46" i="30"/>
  <c r="A47" i="30"/>
  <c r="A41" i="29"/>
  <c r="C40" i="29"/>
  <c r="B40" i="29"/>
  <c r="A41" i="27"/>
  <c r="C40" i="27"/>
  <c r="B40" i="27"/>
  <c r="A39" i="26"/>
  <c r="C38" i="26"/>
  <c r="B38" i="26"/>
  <c r="A41" i="25"/>
  <c r="B47" i="30"/>
  <c r="D47" i="30" l="1"/>
  <c r="C47" i="30"/>
  <c r="A48" i="30"/>
  <c r="A42" i="29"/>
  <c r="C41" i="29"/>
  <c r="B41" i="29"/>
  <c r="A42" i="27"/>
  <c r="C41" i="27"/>
  <c r="B41" i="27"/>
  <c r="B39" i="26"/>
  <c r="A40" i="26"/>
  <c r="C39" i="26"/>
  <c r="A42" i="25"/>
  <c r="B48" i="30"/>
  <c r="D48" i="30" l="1"/>
  <c r="C48" i="30"/>
  <c r="A49" i="30"/>
  <c r="B42" i="29"/>
  <c r="A43" i="29"/>
  <c r="C42" i="29"/>
  <c r="B42" i="27"/>
  <c r="A43" i="27"/>
  <c r="C42" i="27"/>
  <c r="C40" i="26"/>
  <c r="B40" i="26"/>
  <c r="A41" i="26"/>
  <c r="A43" i="25"/>
  <c r="B49" i="30"/>
  <c r="D49" i="30" l="1"/>
  <c r="C49" i="30"/>
  <c r="A50" i="30"/>
  <c r="C43" i="29"/>
  <c r="B43" i="29"/>
  <c r="C43" i="27"/>
  <c r="B43" i="27"/>
  <c r="A42" i="26"/>
  <c r="C41" i="26"/>
  <c r="B41" i="26"/>
  <c r="B50" i="30"/>
  <c r="D50" i="30" l="1"/>
  <c r="C50" i="30"/>
  <c r="A43" i="26"/>
  <c r="C42" i="26"/>
  <c r="B42" i="26"/>
  <c r="B43" i="26" l="1"/>
  <c r="C43" i="26"/>
</calcChain>
</file>

<file path=xl/sharedStrings.xml><?xml version="1.0" encoding="utf-8"?>
<sst xmlns="http://schemas.openxmlformats.org/spreadsheetml/2006/main" count="1733" uniqueCount="222">
  <si>
    <t>Purpose</t>
  </si>
  <si>
    <t>Creates a S type curve given (Xcurr,Ycurr), Ymin, Ymax. Uses equation proposed by Lodish.</t>
  </si>
  <si>
    <t>Product</t>
  </si>
  <si>
    <t>Channel</t>
  </si>
  <si>
    <t>X unit</t>
  </si>
  <si>
    <t>Y unit</t>
  </si>
  <si>
    <t>Spend $</t>
  </si>
  <si>
    <t>Incr. NRx</t>
  </si>
  <si>
    <t>Optimization Details</t>
  </si>
  <si>
    <t>Constraints</t>
  </si>
  <si>
    <t>Min</t>
  </si>
  <si>
    <t>Max</t>
  </si>
  <si>
    <t>Objective Function</t>
  </si>
  <si>
    <t>Januvia</t>
  </si>
  <si>
    <t>DTC</t>
  </si>
  <si>
    <t>Inputs</t>
  </si>
  <si>
    <t>X current</t>
  </si>
  <si>
    <t>Y current</t>
  </si>
  <si>
    <t>Y min</t>
  </si>
  <si>
    <t>Y max</t>
  </si>
  <si>
    <t>Optimal X value</t>
  </si>
  <si>
    <t>Optimal Y value</t>
  </si>
  <si>
    <t>Starting X value</t>
  </si>
  <si>
    <t>Starting Y value</t>
  </si>
  <si>
    <t>Initial Starting Values (optional)</t>
  </si>
  <si>
    <t>Temporary Values</t>
  </si>
  <si>
    <t>A</t>
  </si>
  <si>
    <t>B</t>
  </si>
  <si>
    <t>C</t>
  </si>
  <si>
    <t>* Note: To avoid singularity when Ymin is 0, the whole curve is lifted up in Y axis by one unit and then in the final objective function estimation, they are brought down by one unit.</t>
  </si>
  <si>
    <t>*Note: All values are positive. Only Ymin could be zero.  Y min &lt; Y curr &lt; Ymax.</t>
  </si>
  <si>
    <t>Xaxis Max</t>
  </si>
  <si>
    <t>Xaxis MIN</t>
  </si>
  <si>
    <t>Intervals</t>
  </si>
  <si>
    <t>Axis Configuration for Plotting</t>
  </si>
  <si>
    <t>X</t>
  </si>
  <si>
    <t>Y</t>
  </si>
  <si>
    <t>Data Values</t>
  </si>
  <si>
    <t>Function Type</t>
  </si>
  <si>
    <t>S type curve estimation</t>
  </si>
  <si>
    <t>Creates a polynomial or semi-log or any other curve based on single mathematical equation</t>
  </si>
  <si>
    <t>Polynomial or Semi-Log or any other Equation</t>
  </si>
  <si>
    <t>Inputs (Polynomial OR Semi-Log)</t>
  </si>
  <si>
    <t>X  [a]</t>
  </si>
  <si>
    <t>X^2  [b]</t>
  </si>
  <si>
    <t>X^3  [c]</t>
  </si>
  <si>
    <t>SLOPES of Polynomial Eqn. Y=K+a*X+b*X^2+c*X^3</t>
  </si>
  <si>
    <t>Constant (if any) [K]</t>
  </si>
  <si>
    <t>SLOPE of Semi-Log Y=p*LOG(X+1)</t>
  </si>
  <si>
    <t>LOG(X+1)    [p]</t>
  </si>
  <si>
    <t>Note 1: YELLOW cells need user input (some are optional)</t>
  </si>
  <si>
    <r>
      <t xml:space="preserve">Note2 : ORANGE cells need </t>
    </r>
    <r>
      <rPr>
        <u/>
        <sz val="10"/>
        <color theme="1"/>
        <rFont val="Calibri"/>
        <family val="2"/>
        <scheme val="minor"/>
      </rPr>
      <t>formula</t>
    </r>
    <r>
      <rPr>
        <sz val="10"/>
        <color theme="1"/>
        <rFont val="Calibri"/>
        <family val="2"/>
        <scheme val="minor"/>
      </rPr>
      <t xml:space="preserve"> input (i.e., the equation)</t>
    </r>
  </si>
  <si>
    <t>*Note: The above inputs are most common curve types: polynomial or semi-log functions. Polynomials of upto 3rd degree is represented here. For linear polynomial only slope [a] is needed and the equations in orange cells are modified accordingly. For the functions not covered in the inputs, enter the equations directly in the orange cells.</t>
  </si>
  <si>
    <t>Details</t>
  </si>
  <si>
    <t>The initial starting values may be historic mean</t>
  </si>
  <si>
    <t>Given a set of X and Y values, a cubic spline function (i.e., a smooth continuous curve) is fit for each pair of values</t>
  </si>
  <si>
    <t>Sample</t>
  </si>
  <si>
    <t>Cubic Spline Interpolation</t>
  </si>
  <si>
    <t>STEP 1. First compute FACT table (size: NUMROWS, 8) using CSsplineA() function with Option 2 in the last parameter.</t>
  </si>
  <si>
    <t>STEP 2. Then predict Y value for a given X value using CSplinePred() function</t>
  </si>
  <si>
    <t>Input Points</t>
  </si>
  <si>
    <t xml:space="preserve">X </t>
  </si>
  <si>
    <t xml:space="preserve">Y </t>
  </si>
  <si>
    <t>col1</t>
  </si>
  <si>
    <t>col2</t>
  </si>
  <si>
    <t>col3</t>
  </si>
  <si>
    <t>col4</t>
  </si>
  <si>
    <t>col5</t>
  </si>
  <si>
    <t>col6</t>
  </si>
  <si>
    <t>col7</t>
  </si>
  <si>
    <t>col8</t>
  </si>
  <si>
    <t>Temporary Values for predicting Y for a given X [FACT Table (NUMROWS,8)]</t>
  </si>
  <si>
    <t>Note2 : ORANGE cells need CSplinePred() function call modifications</t>
  </si>
  <si>
    <r>
      <t xml:space="preserve">Usage of Spline Prediction Function (returns predicted Y value for a given X value): </t>
    </r>
    <r>
      <rPr>
        <b/>
        <sz val="10"/>
        <color theme="4"/>
        <rFont val="Calibri"/>
        <family val="2"/>
        <scheme val="minor"/>
      </rPr>
      <t>CSplinePred(Initial X vals, Initial Y vals, FACTS table reference, X value for prediction)</t>
    </r>
  </si>
  <si>
    <r>
      <t>*Note:  Expand this according to the number of points (or line segments) available for interpolation. The POINTS should cover</t>
    </r>
    <r>
      <rPr>
        <b/>
        <i/>
        <u/>
        <sz val="10"/>
        <color rgb="FFFF0000"/>
        <rFont val="Calibri"/>
        <family val="2"/>
        <scheme val="minor"/>
      </rPr>
      <t xml:space="preserve"> ATLEAST</t>
    </r>
    <r>
      <rPr>
        <sz val="10"/>
        <color theme="1"/>
        <rFont val="Calibri"/>
        <family val="2"/>
        <scheme val="minor"/>
      </rPr>
      <t xml:space="preserve"> Minimum and Maximum X values</t>
    </r>
  </si>
  <si>
    <r>
      <t>* Note: FACT Table has various constant coefficients computed during interpolation step. This has same number of rows as number of knots (i.e., points) available for interpolation and 8 columns. This is computed using array function CSplineA() with option 2 for the last function input. THIS IS</t>
    </r>
    <r>
      <rPr>
        <b/>
        <i/>
        <sz val="10"/>
        <color theme="1"/>
        <rFont val="Calibri"/>
        <family val="2"/>
        <scheme val="minor"/>
      </rPr>
      <t xml:space="preserve"> </t>
    </r>
    <r>
      <rPr>
        <b/>
        <i/>
        <u/>
        <sz val="10"/>
        <color rgb="FFFF0000"/>
        <rFont val="Calibri"/>
        <family val="2"/>
        <scheme val="minor"/>
      </rPr>
      <t>FIRST STEP</t>
    </r>
    <r>
      <rPr>
        <sz val="10"/>
        <color theme="1"/>
        <rFont val="Calibri"/>
        <family val="2"/>
        <scheme val="minor"/>
      </rPr>
      <t xml:space="preserve">IN SETTING UP SPLINE INTERPOLATION. 
</t>
    </r>
    <r>
      <rPr>
        <b/>
        <sz val="10"/>
        <color theme="1"/>
        <rFont val="Calibri"/>
        <family val="2"/>
        <scheme val="minor"/>
      </rPr>
      <t xml:space="preserve">Usage: CSplineA(Initial X vals, Initial Y vals, Set of X vals to Predict, 2). </t>
    </r>
    <r>
      <rPr>
        <sz val="10"/>
        <color theme="1"/>
        <rFont val="Calibri"/>
        <family val="2"/>
        <scheme val="minor"/>
      </rPr>
      <t>Option 2 generaes FACT table. Option 1 (default) gives predited Y's (for the given X's to predict) and various other values like slopes etc.</t>
    </r>
  </si>
  <si>
    <t>Products</t>
  </si>
  <si>
    <t>Channels</t>
  </si>
  <si>
    <t>Scenario Description</t>
  </si>
  <si>
    <t>X axis unit</t>
  </si>
  <si>
    <t>Y axis unit</t>
  </si>
  <si>
    <t>Scenario Setup</t>
  </si>
  <si>
    <t>Global Constraints</t>
  </si>
  <si>
    <t>Optimal Total Y</t>
  </si>
  <si>
    <t>Total Budget</t>
  </si>
  <si>
    <t>Products and Channels Setup</t>
  </si>
  <si>
    <t>Current Values</t>
  </si>
  <si>
    <t>X min</t>
  </si>
  <si>
    <t>X max</t>
  </si>
  <si>
    <t>Optimal Values</t>
  </si>
  <si>
    <t>Optimal Values: Change from current values</t>
  </si>
  <si>
    <t>Delta X (%)</t>
  </si>
  <si>
    <t>Delta Y (%)</t>
  </si>
  <si>
    <t>Samples</t>
  </si>
  <si>
    <t>MMF</t>
  </si>
  <si>
    <t>Vouchers</t>
  </si>
  <si>
    <t>MCM</t>
  </si>
  <si>
    <t>Keep adding more global constraints as appropriate</t>
  </si>
  <si>
    <r>
      <t xml:space="preserve">These cells are refered </t>
    </r>
    <r>
      <rPr>
        <b/>
        <i/>
        <u/>
        <sz val="10"/>
        <color rgb="FFFF0000"/>
        <rFont val="Calibri"/>
        <family val="2"/>
        <scheme val="minor"/>
      </rPr>
      <t>BY</t>
    </r>
    <r>
      <rPr>
        <sz val="10"/>
        <color theme="1"/>
        <rFont val="Calibri"/>
        <family val="2"/>
        <scheme val="minor"/>
      </rPr>
      <t xml:space="preserve"> individual tabs</t>
    </r>
  </si>
  <si>
    <r>
      <t xml:space="preserve">These cells are got </t>
    </r>
    <r>
      <rPr>
        <b/>
        <i/>
        <u/>
        <sz val="10"/>
        <color rgb="FFFF0000"/>
        <rFont val="Calibri"/>
        <family val="2"/>
        <scheme val="minor"/>
      </rPr>
      <t>FROM</t>
    </r>
    <r>
      <rPr>
        <sz val="10"/>
        <color theme="1"/>
        <rFont val="Calibri"/>
        <family val="2"/>
        <scheme val="minor"/>
      </rPr>
      <t xml:space="preserve"> individual tabs</t>
    </r>
  </si>
  <si>
    <t>Min Global Budget</t>
  </si>
  <si>
    <t>Max Global Budget</t>
  </si>
  <si>
    <t>Quadractic Eqn.</t>
  </si>
  <si>
    <t>TOTAL</t>
  </si>
  <si>
    <t>Januvia Family</t>
  </si>
  <si>
    <t>Note 1: YELLOW cells may need user input (either reference to optim sheet or a value)</t>
  </si>
  <si>
    <t>Jantot</t>
  </si>
  <si>
    <t>Note 1: YELLOW cells need user input (some or optional)</t>
  </si>
  <si>
    <t>HCC</t>
  </si>
  <si>
    <t>Ybase</t>
  </si>
  <si>
    <t xml:space="preserve"> NRx</t>
  </si>
  <si>
    <t>S type curve estimation(Lodish). Adjusted with respect to Y base</t>
  </si>
  <si>
    <t>In here, lodish curve is applied to YLmin = Ybase + Ymin and YLmax = YLmin + Ymax.</t>
  </si>
  <si>
    <t xml:space="preserve">In terms of NRx, Ybase = Curr NRx; YLmin =  Curr NRx - Curr Incr. NRx(Yc).; YLMax = Curr NRx + Max Possible Incr. NRx (Ymax); Ymin = min Incr NRx for no investmet = 0; </t>
  </si>
  <si>
    <t>Y Base</t>
  </si>
  <si>
    <t>YL min [=YBase - Ycurrent]</t>
  </si>
  <si>
    <t>YL max [=YLmin + Ymax]</t>
  </si>
  <si>
    <t>XL current [=Xcurrent]</t>
  </si>
  <si>
    <t>YL current [=YBase]</t>
  </si>
  <si>
    <t xml:space="preserve">*Note: All values are positive. Only Ymin could be zero.  Y min &lt; Y curr &lt; Ymax. Here, Y Base represents observed total business (i.e., observed NRx or observed Total Revenue) in the presence of current level of promotions. </t>
  </si>
  <si>
    <t>* Note: To avoid singularity when YLmin is 0, the whole curve is lifted up in Y axis by one unit and then in the final objective function estimation, they are brought down by one unit.</t>
  </si>
  <si>
    <t>Assumption</t>
  </si>
  <si>
    <t>YT unit</t>
  </si>
  <si>
    <t>Incr. TRx</t>
  </si>
  <si>
    <t>Optimal YT value</t>
  </si>
  <si>
    <t>Multiplication Factor (3yr Adherence Rxs)</t>
  </si>
  <si>
    <t>YT Current</t>
  </si>
  <si>
    <t>Y (Incr. NRx)</t>
  </si>
  <si>
    <t>YT (Incr. TRx)</t>
  </si>
  <si>
    <t>Incr. NRx slope</t>
  </si>
  <si>
    <t>HCC Pharmacy Acquisition</t>
  </si>
  <si>
    <t>Equation: Quadratic Polynomial</t>
  </si>
  <si>
    <t>X  [at]</t>
  </si>
  <si>
    <t>X^2  [bt]</t>
  </si>
  <si>
    <t>Response Function Scaling Factor (for sensitivity analysis)</t>
  </si>
  <si>
    <t>*Note: The above inputs are for quadratic polynomial. Y represents original scale (here, Incr. NRx) used for response function modeling. YT is the transformed Y (here, Incr. TRx) and brings the Response function to the same Y scale needed for optimization.</t>
  </si>
  <si>
    <t>Note2 : ORANGE cells need formulas</t>
  </si>
  <si>
    <r>
      <t xml:space="preserve">SLOPES of Polynomial Eqn for YT. </t>
    </r>
    <r>
      <rPr>
        <b/>
        <sz val="10"/>
        <color rgb="FFC00000"/>
        <rFont val="Calibri"/>
        <family val="2"/>
        <scheme val="minor"/>
      </rPr>
      <t>YT</t>
    </r>
    <r>
      <rPr>
        <sz val="10"/>
        <color rgb="FFC00000"/>
        <rFont val="Calibri"/>
        <family val="2"/>
        <scheme val="minor"/>
      </rPr>
      <t>=at*X+bt*X^2</t>
    </r>
  </si>
  <si>
    <r>
      <t xml:space="preserve">SLOPES of Polynomial Eqn. </t>
    </r>
    <r>
      <rPr>
        <b/>
        <sz val="10"/>
        <color rgb="FFC00000"/>
        <rFont val="Calibri"/>
        <family val="2"/>
        <scheme val="minor"/>
      </rPr>
      <t>Y</t>
    </r>
    <r>
      <rPr>
        <sz val="10"/>
        <color rgb="FFC00000"/>
        <rFont val="Calibri"/>
        <family val="2"/>
        <scheme val="minor"/>
      </rPr>
      <t>=a*X+b*X^2</t>
    </r>
  </si>
  <si>
    <r>
      <t xml:space="preserve">Represents quadratic polynomial response curve for </t>
    </r>
    <r>
      <rPr>
        <b/>
        <sz val="10"/>
        <color rgb="FFC00000"/>
        <rFont val="Calibri"/>
        <family val="2"/>
        <scheme val="minor"/>
      </rPr>
      <t>Januvia Samples</t>
    </r>
    <r>
      <rPr>
        <sz val="10"/>
        <color theme="1"/>
        <rFont val="Calibri"/>
        <family val="2"/>
        <scheme val="minor"/>
      </rPr>
      <t xml:space="preserve"> (single mathematical equation)</t>
    </r>
  </si>
  <si>
    <t>Starting YT value</t>
  </si>
  <si>
    <r>
      <t xml:space="preserve">Represents quadratic polynomial response curve for </t>
    </r>
    <r>
      <rPr>
        <b/>
        <sz val="10"/>
        <color rgb="FFC00000"/>
        <rFont val="Calibri"/>
        <family val="2"/>
        <scheme val="minor"/>
      </rPr>
      <t>Janumet Samples</t>
    </r>
    <r>
      <rPr>
        <sz val="10"/>
        <color theme="1"/>
        <rFont val="Calibri"/>
        <family val="2"/>
        <scheme val="minor"/>
      </rPr>
      <t xml:space="preserve"> (single mathematical equation)</t>
    </r>
  </si>
  <si>
    <t>&lt;-- Spend per Incr. TRx</t>
  </si>
  <si>
    <t>Current Values (optional)</t>
  </si>
  <si>
    <t>The current values here represents 2013 levels</t>
  </si>
  <si>
    <r>
      <t xml:space="preserve">Represents quadratic polynomial response curve for </t>
    </r>
    <r>
      <rPr>
        <b/>
        <sz val="10"/>
        <color rgb="FFC00000"/>
        <rFont val="Calibri"/>
        <family val="2"/>
        <scheme val="minor"/>
      </rPr>
      <t>Januvia Family (JANTOT) Vouchers</t>
    </r>
    <r>
      <rPr>
        <sz val="10"/>
        <color theme="1"/>
        <rFont val="Calibri"/>
        <family val="2"/>
        <scheme val="minor"/>
      </rPr>
      <t xml:space="preserve"> (single mathematical equation)</t>
    </r>
  </si>
  <si>
    <t>Janumet</t>
  </si>
  <si>
    <r>
      <t xml:space="preserve">Temporary Values for </t>
    </r>
    <r>
      <rPr>
        <u/>
        <sz val="10"/>
        <color rgb="FFC00000"/>
        <rFont val="Calibri"/>
        <family val="2"/>
        <scheme val="minor"/>
      </rPr>
      <t xml:space="preserve">predicting </t>
    </r>
    <r>
      <rPr>
        <b/>
        <u/>
        <sz val="10"/>
        <color rgb="FFC00000"/>
        <rFont val="Calibri"/>
        <family val="2"/>
        <scheme val="minor"/>
      </rPr>
      <t>Y</t>
    </r>
    <r>
      <rPr>
        <sz val="10"/>
        <color rgb="FFC00000"/>
        <rFont val="Calibri"/>
        <family val="2"/>
        <scheme val="minor"/>
      </rPr>
      <t xml:space="preserve"> for a given X [FACT Table (NUMROWS,8)]</t>
    </r>
  </si>
  <si>
    <t>Inputs for Transformation and Scaling</t>
  </si>
  <si>
    <t>3-Yr Adherence Rxs per New Patient</t>
  </si>
  <si>
    <t>15% increment to Incr. NRx linear projection</t>
  </si>
  <si>
    <t>20% reduction from Incr. NRx linear projection</t>
  </si>
  <si>
    <t>35% reduction from Incr. NRx linear projection</t>
  </si>
  <si>
    <t>60% reduction from Incr. NRx linear projection</t>
  </si>
  <si>
    <t>10% reduction from Incr. NRx linear projection</t>
  </si>
  <si>
    <t>Mean Est. of Incr. NRx from ROI point estimate</t>
  </si>
  <si>
    <t>Y (Incr. TRx)</t>
  </si>
  <si>
    <r>
      <rPr>
        <b/>
        <sz val="10"/>
        <color rgb="FFC00000"/>
        <rFont val="Calibri"/>
        <family val="2"/>
        <scheme val="minor"/>
      </rPr>
      <t>Januvia Family MMF</t>
    </r>
    <r>
      <rPr>
        <sz val="10"/>
        <color theme="1"/>
        <rFont val="Calibri"/>
        <family val="2"/>
        <scheme val="minor"/>
      </rPr>
      <t>. Given a set of X and Y values, a cubic spline function (i.e., a smooth continuous curve) is fit for each pair of values</t>
    </r>
  </si>
  <si>
    <r>
      <rPr>
        <b/>
        <sz val="10"/>
        <color rgb="FFC00000"/>
        <rFont val="Calibri"/>
        <family val="2"/>
        <scheme val="minor"/>
      </rPr>
      <t>Januvia Family HCC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</si>
  <si>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r>
      <rPr>
        <b/>
        <sz val="10"/>
        <color rgb="FFC00000"/>
        <rFont val="Calibri"/>
        <family val="2"/>
        <scheme val="minor"/>
      </rPr>
      <t>Januvia Family MCM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</si>
  <si>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r>
      <rPr>
        <b/>
        <sz val="10"/>
        <color rgb="FFC00000"/>
        <rFont val="Calibri"/>
        <family val="2"/>
        <scheme val="minor"/>
      </rPr>
      <t>Januvia Family HCC Pharmacy Acquisition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</si>
  <si>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HCC Adherence</t>
  </si>
  <si>
    <r>
      <rPr>
        <b/>
        <sz val="10"/>
        <color rgb="FFC00000"/>
        <rFont val="Calibri"/>
        <family val="2"/>
        <scheme val="minor"/>
      </rPr>
      <t>Januvia Family HCC Adherence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</si>
  <si>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Multiplication Factor (=1 since Y and YT units are same Incr. TRx here)</t>
  </si>
  <si>
    <t xml:space="preserve"> TRx</t>
  </si>
  <si>
    <t>Samples, Vouchers, MMF, HCC, MCM, HCC Pharmacy Acquisition and Adherence</t>
  </si>
  <si>
    <r>
      <t xml:space="preserve">To optimize allocation of spend across represented channels. All used response functions are converted to </t>
    </r>
    <r>
      <rPr>
        <b/>
        <sz val="10"/>
        <color theme="1"/>
        <rFont val="Calibri"/>
        <family val="2"/>
        <scheme val="minor"/>
      </rPr>
      <t>Channel Spend vs.  Incr. TRx scale</t>
    </r>
  </si>
  <si>
    <t>Spend in $</t>
  </si>
  <si>
    <t xml:space="preserve">Incremental TRx </t>
  </si>
  <si>
    <t>Response Scaling Factor for Sensitivity Analysis</t>
  </si>
  <si>
    <t>Janumet + XR</t>
  </si>
  <si>
    <t>Adherence</t>
  </si>
  <si>
    <t>Scurve Est. [Base Adjusted]</t>
  </si>
  <si>
    <t>Spline [Assumed Response Decays]</t>
  </si>
  <si>
    <t>Phar. Acquisition</t>
  </si>
  <si>
    <t>TRx</t>
  </si>
  <si>
    <t>NRx</t>
  </si>
  <si>
    <t>Delta X 
($ Spend)</t>
  </si>
  <si>
    <t>Delta Y 
(Incr. TRx)</t>
  </si>
  <si>
    <t>Local Constraints ($ Spend)</t>
  </si>
  <si>
    <t>Incremental Revenue vs. Channel Spend</t>
  </si>
  <si>
    <t>Measured Unit of Response</t>
  </si>
  <si>
    <t>2013 Planned Spend ($)</t>
  </si>
  <si>
    <t>Incremental Rxs (in Response Units)</t>
  </si>
  <si>
    <t>Year 1</t>
  </si>
  <si>
    <t>Year 2</t>
  </si>
  <si>
    <t>Year 3</t>
  </si>
  <si>
    <t>2013 Optimal Spend ($)</t>
  </si>
  <si>
    <t>Optimal Incremental Rxs (in Response Units)</t>
  </si>
  <si>
    <t>Delta between Optimal and Current Values</t>
  </si>
  <si>
    <t>Delta in Spend ($)</t>
  </si>
  <si>
    <t>Delta in Incr. Revenue ($)</t>
  </si>
  <si>
    <t>Delta in Spend (%)</t>
  </si>
  <si>
    <t>Delta in Incr. Revenue (%)</t>
  </si>
  <si>
    <t>3-Yr Pre-Tax NPV</t>
  </si>
  <si>
    <t>Pre-Tax PGM</t>
  </si>
  <si>
    <t>Tax Rate</t>
  </si>
  <si>
    <t>After-Tax PGM</t>
  </si>
  <si>
    <t>3-Yr Post-Tax NPV</t>
  </si>
  <si>
    <t>Total post-tax 3-year Incremental Revenue ($)</t>
  </si>
  <si>
    <t>Optimized post-tax 3-year Incremental Revenue ($)</t>
  </si>
  <si>
    <t>X opt 
($ Spend)</t>
  </si>
  <si>
    <t>Y opt 
(Incr. TRx)</t>
  </si>
  <si>
    <t>X curr 
($ Spend)</t>
  </si>
  <si>
    <t>Y curr 
(Incr. TRx)</t>
  </si>
  <si>
    <t>Post Tax PGM ($)</t>
  </si>
  <si>
    <t>3-yr post tax NPV</t>
  </si>
  <si>
    <t>3-yr Incr. Rev.</t>
  </si>
  <si>
    <t xml:space="preserve"> Incr. Rev.</t>
  </si>
  <si>
    <t>New Patient</t>
  </si>
  <si>
    <t>Equal Impact Distribution</t>
  </si>
  <si>
    <t>STANDARD 20% SCENARIOS</t>
  </si>
  <si>
    <t>Considered budgets are:</t>
  </si>
  <si>
    <t>Current Total - $15MM</t>
  </si>
  <si>
    <t>Current Total - $10MM</t>
  </si>
  <si>
    <t>Current Total - $5MM</t>
  </si>
  <si>
    <t>Current Total</t>
  </si>
  <si>
    <t>Current Total + $5MM</t>
  </si>
  <si>
    <t>Current Total + $10MM</t>
  </si>
  <si>
    <t>Current Total + $15MM</t>
  </si>
  <si>
    <r>
      <t xml:space="preserve">In here, we build set of scenarios with budget increments of + or - $5MM. </t>
    </r>
    <r>
      <rPr>
        <b/>
        <sz val="11"/>
        <color theme="1"/>
        <rFont val="Calibri"/>
        <family val="2"/>
        <scheme val="minor"/>
      </rPr>
      <t>All scenarios have + or - 20% local constraints.</t>
    </r>
  </si>
  <si>
    <r>
      <t xml:space="preserve">CASE 5: </t>
    </r>
    <r>
      <rPr>
        <sz val="10"/>
        <color rgb="FF0000FF"/>
        <rFont val="Calibri"/>
        <family val="2"/>
        <scheme val="minor"/>
      </rPr>
      <t>Standard cases with budget increments of $5MM and local constrints of + or - 20%.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</si>
</sst>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5" formatCode="&quot;$&quot;#,##0_);\(&quot;$&quot;#,##0\)"/>
    <numFmt numFmtId="6" formatCode="&quot;$&quot;#,##0_);[Red]\(&quot;$&quot;#,##0\)"/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  <numFmt numFmtId="166" formatCode="&quot;$&quot;#,##0"/>
    <numFmt numFmtId="167" formatCode="0.00000"/>
    <numFmt numFmtId="168" formatCode="&quot;$&quot;#,##0.00"/>
  </numFmts>
  <fonts count="42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C00000"/>
      <name val="Calibri"/>
      <family val="2"/>
      <scheme val="minor"/>
    </font>
    <font>
      <b/>
      <sz val="10"/>
      <color theme="4" tint="-0.499984740745262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0"/>
      <color theme="1"/>
      <name val="Calibri"/>
      <family val="2"/>
      <scheme val="minor"/>
    </font>
    <font>
      <sz val="10"/>
      <name val="Arial"/>
      <family val="2"/>
    </font>
    <font>
      <b/>
      <sz val="10"/>
      <color theme="4"/>
      <name val="Calibri"/>
      <family val="2"/>
      <scheme val="minor"/>
    </font>
    <font>
      <b/>
      <i/>
      <u/>
      <sz val="10"/>
      <color rgb="FFFF000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3"/>
      <name val="Calibri"/>
      <family val="2"/>
      <scheme val="minor"/>
    </font>
    <font>
      <sz val="10"/>
      <name val="MS Sans Serif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u/>
      <sz val="10"/>
      <color rgb="FFC00000"/>
      <name val="Calibri"/>
      <family val="2"/>
      <scheme val="minor"/>
    </font>
    <font>
      <b/>
      <u/>
      <sz val="10"/>
      <color rgb="FFC0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color rgb="FFC00000"/>
      <name val="Calibri"/>
      <family val="2"/>
      <scheme val="minor"/>
    </font>
    <font>
      <sz val="10"/>
      <color rgb="FF0000FF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0"/>
      <color rgb="FF000000"/>
      <name val="Arial"/>
      <family val="2"/>
    </font>
    <font>
      <i/>
      <sz val="10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</fonts>
  <fills count="42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</fills>
  <borders count="71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57">
    <xf numFmtId="0" fontId="0" fillId="0" borderId="0"/>
    <xf numFmtId="0" fontId="7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3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7" fillId="0" borderId="0"/>
    <xf numFmtId="0" fontId="13" fillId="0" borderId="0"/>
    <xf numFmtId="9" fontId="13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52" applyNumberFormat="0" applyFill="0" applyAlignment="0" applyProtection="0"/>
    <xf numFmtId="0" fontId="16" fillId="0" borderId="53" applyNumberFormat="0" applyFill="0" applyAlignment="0" applyProtection="0"/>
    <xf numFmtId="0" fontId="17" fillId="0" borderId="54" applyNumberFormat="0" applyFill="0" applyAlignment="0" applyProtection="0"/>
    <xf numFmtId="0" fontId="17" fillId="0" borderId="0" applyNumberFormat="0" applyFill="0" applyBorder="0" applyAlignment="0" applyProtection="0"/>
    <xf numFmtId="0" fontId="18" fillId="10" borderId="0" applyNumberFormat="0" applyBorder="0" applyAlignment="0" applyProtection="0"/>
    <xf numFmtId="0" fontId="19" fillId="11" borderId="0" applyNumberFormat="0" applyBorder="0" applyAlignment="0" applyProtection="0"/>
    <xf numFmtId="0" fontId="20" fillId="12" borderId="0" applyNumberFormat="0" applyBorder="0" applyAlignment="0" applyProtection="0"/>
    <xf numFmtId="0" fontId="21" fillId="13" borderId="55" applyNumberFormat="0" applyAlignment="0" applyProtection="0"/>
    <xf numFmtId="0" fontId="22" fillId="14" borderId="56" applyNumberFormat="0" applyAlignment="0" applyProtection="0"/>
    <xf numFmtId="0" fontId="23" fillId="14" borderId="55" applyNumberFormat="0" applyAlignment="0" applyProtection="0"/>
    <xf numFmtId="0" fontId="24" fillId="0" borderId="57" applyNumberFormat="0" applyFill="0" applyAlignment="0" applyProtection="0"/>
    <xf numFmtId="0" fontId="25" fillId="15" borderId="58" applyNumberFormat="0" applyAlignment="0" applyProtection="0"/>
    <xf numFmtId="0" fontId="26" fillId="0" borderId="0" applyNumberFormat="0" applyFill="0" applyBorder="0" applyAlignment="0" applyProtection="0"/>
    <xf numFmtId="0" fontId="11" fillId="16" borderId="59" applyNumberFormat="0" applyFont="0" applyAlignment="0" applyProtection="0"/>
    <xf numFmtId="0" fontId="27" fillId="0" borderId="0" applyNumberFormat="0" applyFill="0" applyBorder="0" applyAlignment="0" applyProtection="0"/>
    <xf numFmtId="0" fontId="28" fillId="0" borderId="60" applyNumberFormat="0" applyFill="0" applyAlignment="0" applyProtection="0"/>
    <xf numFmtId="0" fontId="29" fillId="17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29" fillId="20" borderId="0" applyNumberFormat="0" applyBorder="0" applyAlignment="0" applyProtection="0"/>
    <xf numFmtId="0" fontId="29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3" borderId="0" applyNumberFormat="0" applyBorder="0" applyAlignment="0" applyProtection="0"/>
    <xf numFmtId="0" fontId="29" fillId="24" borderId="0" applyNumberFormat="0" applyBorder="0" applyAlignment="0" applyProtection="0"/>
    <xf numFmtId="0" fontId="29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29" fillId="28" borderId="0" applyNumberFormat="0" applyBorder="0" applyAlignment="0" applyProtection="0"/>
    <xf numFmtId="0" fontId="29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29" fillId="32" borderId="0" applyNumberFormat="0" applyBorder="0" applyAlignment="0" applyProtection="0"/>
    <xf numFmtId="0" fontId="29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29" fillId="36" borderId="0" applyNumberFormat="0" applyBorder="0" applyAlignment="0" applyProtection="0"/>
    <xf numFmtId="0" fontId="29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29" fillId="40" borderId="0" applyNumberFormat="0" applyBorder="0" applyAlignment="0" applyProtection="0"/>
    <xf numFmtId="0" fontId="38" fillId="0" borderId="0"/>
    <xf numFmtId="0" fontId="38" fillId="0" borderId="0"/>
    <xf numFmtId="43" fontId="38" fillId="0" borderId="0" applyFont="0" applyFill="0" applyBorder="0" applyAlignment="0" applyProtection="0"/>
    <xf numFmtId="0" fontId="38" fillId="0" borderId="0"/>
  </cellStyleXfs>
  <cellXfs count="293">
    <xf numFmtId="0" fontId="0" fillId="0" borderId="0" xfId="0"/>
    <xf numFmtId="0" fontId="1" fillId="0" borderId="0" xfId="0" applyFont="1"/>
    <xf numFmtId="0" fontId="1" fillId="0" borderId="2" xfId="0" applyFont="1" applyBorder="1"/>
    <xf numFmtId="0" fontId="2" fillId="3" borderId="2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1" fillId="2" borderId="10" xfId="0" applyFont="1" applyFill="1" applyBorder="1" applyAlignment="1">
      <alignment vertical="center" wrapText="1"/>
    </xf>
    <xf numFmtId="0" fontId="2" fillId="3" borderId="12" xfId="0" applyFont="1" applyFill="1" applyBorder="1"/>
    <xf numFmtId="0" fontId="2" fillId="3" borderId="4" xfId="0" applyFont="1" applyFill="1" applyBorder="1"/>
    <xf numFmtId="0" fontId="1" fillId="2" borderId="5" xfId="0" applyFont="1" applyFill="1" applyBorder="1"/>
    <xf numFmtId="0" fontId="2" fillId="3" borderId="5" xfId="0" applyFont="1" applyFill="1" applyBorder="1"/>
    <xf numFmtId="0" fontId="1" fillId="2" borderId="6" xfId="0" applyFont="1" applyFill="1" applyBorder="1"/>
    <xf numFmtId="0" fontId="2" fillId="3" borderId="9" xfId="0" applyFont="1" applyFill="1" applyBorder="1"/>
    <xf numFmtId="0" fontId="1" fillId="2" borderId="10" xfId="0" applyFont="1" applyFill="1" applyBorder="1"/>
    <xf numFmtId="0" fontId="2" fillId="3" borderId="10" xfId="0" applyFont="1" applyFill="1" applyBorder="1"/>
    <xf numFmtId="0" fontId="1" fillId="2" borderId="11" xfId="0" applyFont="1" applyFill="1" applyBorder="1"/>
    <xf numFmtId="0" fontId="2" fillId="3" borderId="6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16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vertical="center" wrapText="1"/>
    </xf>
    <xf numFmtId="0" fontId="2" fillId="3" borderId="22" xfId="0" applyFont="1" applyFill="1" applyBorder="1" applyAlignment="1">
      <alignment horizontal="center" vertical="center" wrapText="1"/>
    </xf>
    <xf numFmtId="0" fontId="1" fillId="2" borderId="14" xfId="0" applyFont="1" applyFill="1" applyBorder="1"/>
    <xf numFmtId="0" fontId="2" fillId="3" borderId="5" xfId="0" applyFont="1" applyFill="1" applyBorder="1" applyAlignment="1">
      <alignment horizontal="center" vertical="center" wrapText="1"/>
    </xf>
    <xf numFmtId="0" fontId="3" fillId="5" borderId="23" xfId="0" applyFont="1" applyFill="1" applyBorder="1"/>
    <xf numFmtId="0" fontId="3" fillId="5" borderId="17" xfId="0" applyFont="1" applyFill="1" applyBorder="1"/>
    <xf numFmtId="0" fontId="1" fillId="4" borderId="10" xfId="0" applyFont="1" applyFill="1" applyBorder="1" applyAlignment="1">
      <alignment horizontal="center" vertical="center" wrapText="1"/>
    </xf>
    <xf numFmtId="0" fontId="1" fillId="4" borderId="11" xfId="0" applyFont="1" applyFill="1" applyBorder="1" applyAlignment="1">
      <alignment horizontal="center" vertical="center" wrapText="1"/>
    </xf>
    <xf numFmtId="0" fontId="1" fillId="4" borderId="11" xfId="0" applyFont="1" applyFill="1" applyBorder="1"/>
    <xf numFmtId="0" fontId="1" fillId="2" borderId="12" xfId="0" applyFont="1" applyFill="1" applyBorder="1"/>
    <xf numFmtId="0" fontId="1" fillId="2" borderId="31" xfId="0" applyFont="1" applyFill="1" applyBorder="1"/>
    <xf numFmtId="0" fontId="2" fillId="3" borderId="33" xfId="0" applyFont="1" applyFill="1" applyBorder="1"/>
    <xf numFmtId="0" fontId="2" fillId="3" borderId="37" xfId="0" applyFont="1" applyFill="1" applyBorder="1" applyAlignment="1">
      <alignment horizontal="center" vertical="center" wrapText="1"/>
    </xf>
    <xf numFmtId="0" fontId="2" fillId="3" borderId="4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vertical="center" wrapText="1"/>
    </xf>
    <xf numFmtId="0" fontId="3" fillId="6" borderId="17" xfId="0" applyFont="1" applyFill="1" applyBorder="1"/>
    <xf numFmtId="0" fontId="1" fillId="6" borderId="11" xfId="0" applyFont="1" applyFill="1" applyBorder="1"/>
    <xf numFmtId="0" fontId="1" fillId="6" borderId="2" xfId="0" applyFont="1" applyFill="1" applyBorder="1"/>
    <xf numFmtId="0" fontId="1" fillId="2" borderId="43" xfId="0" applyFont="1" applyFill="1" applyBorder="1"/>
    <xf numFmtId="0" fontId="4" fillId="0" borderId="40" xfId="0" applyFont="1" applyFill="1" applyBorder="1" applyAlignment="1"/>
    <xf numFmtId="0" fontId="4" fillId="0" borderId="0" xfId="0" applyFont="1" applyFill="1" applyBorder="1" applyAlignment="1"/>
    <xf numFmtId="0" fontId="4" fillId="0" borderId="0" xfId="0" applyFont="1" applyFill="1" applyBorder="1"/>
    <xf numFmtId="0" fontId="4" fillId="2" borderId="2" xfId="0" applyFont="1" applyFill="1" applyBorder="1" applyAlignment="1">
      <alignment vertical="center" wrapText="1"/>
    </xf>
    <xf numFmtId="0" fontId="4" fillId="2" borderId="2" xfId="0" applyFont="1" applyFill="1" applyBorder="1" applyAlignment="1"/>
    <xf numFmtId="0" fontId="4" fillId="7" borderId="2" xfId="0" applyFont="1" applyFill="1" applyBorder="1" applyAlignment="1">
      <alignment horizontal="center" vertical="center" wrapText="1"/>
    </xf>
    <xf numFmtId="0" fontId="4" fillId="7" borderId="2" xfId="0" applyFont="1" applyFill="1" applyBorder="1"/>
    <xf numFmtId="0" fontId="4" fillId="7" borderId="12" xfId="0" applyFont="1" applyFill="1" applyBorder="1" applyAlignment="1">
      <alignment horizontal="center" vertical="center" wrapText="1"/>
    </xf>
    <xf numFmtId="0" fontId="4" fillId="7" borderId="12" xfId="0" applyFont="1" applyFill="1" applyBorder="1"/>
    <xf numFmtId="0" fontId="7" fillId="0" borderId="0" xfId="1" applyFont="1"/>
    <xf numFmtId="0" fontId="2" fillId="3" borderId="2" xfId="0" applyFont="1" applyFill="1" applyBorder="1"/>
    <xf numFmtId="0" fontId="2" fillId="3" borderId="2" xfId="0" applyFont="1" applyFill="1" applyBorder="1" applyAlignment="1">
      <alignment wrapText="1"/>
    </xf>
    <xf numFmtId="0" fontId="2" fillId="0" borderId="0" xfId="0" applyFont="1" applyFill="1" applyBorder="1"/>
    <xf numFmtId="0" fontId="2" fillId="3" borderId="51" xfId="0" applyFont="1" applyFill="1" applyBorder="1" applyAlignment="1">
      <alignment horizontal="center" vertical="center" wrapText="1"/>
    </xf>
    <xf numFmtId="0" fontId="2" fillId="3" borderId="50" xfId="0" applyFont="1" applyFill="1" applyBorder="1"/>
    <xf numFmtId="0" fontId="2" fillId="3" borderId="50" xfId="0" applyFont="1" applyFill="1" applyBorder="1" applyAlignment="1">
      <alignment horizontal="center" vertical="center" wrapText="1"/>
    </xf>
    <xf numFmtId="0" fontId="1" fillId="0" borderId="12" xfId="0" applyFont="1" applyBorder="1"/>
    <xf numFmtId="0" fontId="1" fillId="0" borderId="37" xfId="0" applyFont="1" applyBorder="1"/>
    <xf numFmtId="3" fontId="1" fillId="2" borderId="12" xfId="2" applyNumberFormat="1" applyFont="1" applyFill="1" applyBorder="1"/>
    <xf numFmtId="3" fontId="1" fillId="2" borderId="37" xfId="2" applyNumberFormat="1" applyFont="1" applyFill="1" applyBorder="1"/>
    <xf numFmtId="3" fontId="1" fillId="9" borderId="12" xfId="0" applyNumberFormat="1" applyFont="1" applyFill="1" applyBorder="1"/>
    <xf numFmtId="9" fontId="1" fillId="9" borderId="12" xfId="3" applyFont="1" applyFill="1" applyBorder="1"/>
    <xf numFmtId="3" fontId="1" fillId="9" borderId="37" xfId="0" applyNumberFormat="1" applyFont="1" applyFill="1" applyBorder="1"/>
    <xf numFmtId="9" fontId="1" fillId="9" borderId="37" xfId="3" applyFont="1" applyFill="1" applyBorder="1"/>
    <xf numFmtId="0" fontId="2" fillId="8" borderId="2" xfId="0" applyFont="1" applyFill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3" fontId="12" fillId="8" borderId="12" xfId="2" applyNumberFormat="1" applyFont="1" applyFill="1" applyBorder="1"/>
    <xf numFmtId="3" fontId="12" fillId="8" borderId="37" xfId="2" applyNumberFormat="1" applyFont="1" applyFill="1" applyBorder="1"/>
    <xf numFmtId="3" fontId="12" fillId="8" borderId="35" xfId="0" applyNumberFormat="1" applyFont="1" applyFill="1" applyBorder="1"/>
    <xf numFmtId="0" fontId="2" fillId="3" borderId="13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164" fontId="1" fillId="2" borderId="12" xfId="4" applyNumberFormat="1" applyFont="1" applyFill="1" applyBorder="1"/>
    <xf numFmtId="164" fontId="1" fillId="2" borderId="37" xfId="4" applyNumberFormat="1" applyFont="1" applyFill="1" applyBorder="1"/>
    <xf numFmtId="0" fontId="1" fillId="5" borderId="2" xfId="0" applyFont="1" applyFill="1" applyBorder="1"/>
    <xf numFmtId="164" fontId="1" fillId="5" borderId="2" xfId="0" applyNumberFormat="1" applyFont="1" applyFill="1" applyBorder="1"/>
    <xf numFmtId="3" fontId="1" fillId="5" borderId="2" xfId="0" applyNumberFormat="1" applyFont="1" applyFill="1" applyBorder="1"/>
    <xf numFmtId="9" fontId="1" fillId="0" borderId="0" xfId="0" applyNumberFormat="1" applyFont="1"/>
    <xf numFmtId="9" fontId="1" fillId="5" borderId="2" xfId="3" applyFont="1" applyFill="1" applyBorder="1"/>
    <xf numFmtId="164" fontId="1" fillId="2" borderId="10" xfId="4" applyNumberFormat="1" applyFont="1" applyFill="1" applyBorder="1"/>
    <xf numFmtId="6" fontId="1" fillId="2" borderId="10" xfId="0" applyNumberFormat="1" applyFont="1" applyFill="1" applyBorder="1"/>
    <xf numFmtId="6" fontId="1" fillId="2" borderId="11" xfId="0" applyNumberFormat="1" applyFont="1" applyFill="1" applyBorder="1"/>
    <xf numFmtId="164" fontId="1" fillId="6" borderId="2" xfId="0" applyNumberFormat="1" applyFont="1" applyFill="1" applyBorder="1"/>
    <xf numFmtId="3" fontId="1" fillId="2" borderId="11" xfId="0" applyNumberFormat="1" applyFont="1" applyFill="1" applyBorder="1"/>
    <xf numFmtId="3" fontId="3" fillId="6" borderId="17" xfId="0" applyNumberFormat="1" applyFont="1" applyFill="1" applyBorder="1"/>
    <xf numFmtId="3" fontId="1" fillId="2" borderId="10" xfId="0" applyNumberFormat="1" applyFont="1" applyFill="1" applyBorder="1"/>
    <xf numFmtId="0" fontId="2" fillId="3" borderId="13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30" xfId="0" applyFont="1" applyFill="1" applyBorder="1"/>
    <xf numFmtId="164" fontId="3" fillId="5" borderId="23" xfId="4" applyNumberFormat="1" applyFont="1" applyFill="1" applyBorder="1"/>
    <xf numFmtId="3" fontId="3" fillId="5" borderId="17" xfId="0" applyNumberFormat="1" applyFont="1" applyFill="1" applyBorder="1"/>
    <xf numFmtId="165" fontId="1" fillId="2" borderId="11" xfId="2" applyNumberFormat="1" applyFont="1" applyFill="1" applyBorder="1"/>
    <xf numFmtId="165" fontId="1" fillId="4" borderId="10" xfId="0" applyNumberFormat="1" applyFont="1" applyFill="1" applyBorder="1" applyAlignment="1">
      <alignment horizontal="center" vertical="center" wrapText="1"/>
    </xf>
    <xf numFmtId="164" fontId="1" fillId="4" borderId="10" xfId="4" applyNumberFormat="1" applyFont="1" applyFill="1" applyBorder="1" applyAlignment="1">
      <alignment horizontal="center" vertical="center" wrapText="1"/>
    </xf>
    <xf numFmtId="0" fontId="1" fillId="4" borderId="10" xfId="0" applyNumberFormat="1" applyFont="1" applyFill="1" applyBorder="1" applyAlignment="1">
      <alignment horizontal="center" vertical="center" wrapText="1"/>
    </xf>
    <xf numFmtId="165" fontId="1" fillId="4" borderId="11" xfId="0" applyNumberFormat="1" applyFont="1" applyFill="1" applyBorder="1" applyAlignment="1">
      <alignment horizontal="center" vertical="center" wrapText="1"/>
    </xf>
    <xf numFmtId="166" fontId="1" fillId="2" borderId="10" xfId="4" applyNumberFormat="1" applyFont="1" applyFill="1" applyBorder="1"/>
    <xf numFmtId="166" fontId="1" fillId="2" borderId="10" xfId="0" applyNumberFormat="1" applyFont="1" applyFill="1" applyBorder="1"/>
    <xf numFmtId="167" fontId="1" fillId="0" borderId="0" xfId="0" applyNumberFormat="1" applyFont="1"/>
    <xf numFmtId="0" fontId="2" fillId="3" borderId="2" xfId="0" applyFont="1" applyFill="1" applyBorder="1" applyAlignment="1">
      <alignment horizontal="center" vertical="center" wrapText="1"/>
    </xf>
    <xf numFmtId="3" fontId="1" fillId="0" borderId="2" xfId="0" applyNumberFormat="1" applyFont="1" applyBorder="1"/>
    <xf numFmtId="0" fontId="2" fillId="3" borderId="29" xfId="0" applyFont="1" applyFill="1" applyBorder="1"/>
    <xf numFmtId="0" fontId="2" fillId="3" borderId="63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wrapText="1"/>
    </xf>
    <xf numFmtId="0" fontId="5" fillId="0" borderId="0" xfId="0" applyFont="1" applyFill="1" applyBorder="1"/>
    <xf numFmtId="43" fontId="1" fillId="2" borderId="10" xfId="2" applyNumberFormat="1" applyFont="1" applyFill="1" applyBorder="1"/>
    <xf numFmtId="166" fontId="1" fillId="2" borderId="10" xfId="0" applyNumberFormat="1" applyFont="1" applyFill="1" applyBorder="1" applyAlignment="1">
      <alignment vertical="center" wrapText="1"/>
    </xf>
    <xf numFmtId="166" fontId="1" fillId="2" borderId="17" xfId="0" applyNumberFormat="1" applyFont="1" applyFill="1" applyBorder="1" applyAlignment="1">
      <alignment vertical="center" wrapText="1"/>
    </xf>
    <xf numFmtId="166" fontId="3" fillId="5" borderId="23" xfId="0" applyNumberFormat="1" applyFont="1" applyFill="1" applyBorder="1"/>
    <xf numFmtId="3" fontId="1" fillId="6" borderId="11" xfId="0" applyNumberFormat="1" applyFont="1" applyFill="1" applyBorder="1"/>
    <xf numFmtId="3" fontId="1" fillId="6" borderId="2" xfId="0" applyNumberFormat="1" applyFont="1" applyFill="1" applyBorder="1"/>
    <xf numFmtId="166" fontId="3" fillId="5" borderId="10" xfId="0" applyNumberFormat="1" applyFont="1" applyFill="1" applyBorder="1"/>
    <xf numFmtId="3" fontId="3" fillId="6" borderId="10" xfId="0" applyNumberFormat="1" applyFont="1" applyFill="1" applyBorder="1"/>
    <xf numFmtId="3" fontId="4" fillId="6" borderId="10" xfId="0" applyNumberFormat="1" applyFont="1" applyFill="1" applyBorder="1"/>
    <xf numFmtId="166" fontId="1" fillId="2" borderId="23" xfId="0" applyNumberFormat="1" applyFont="1" applyFill="1" applyBorder="1"/>
    <xf numFmtId="3" fontId="1" fillId="6" borderId="10" xfId="0" applyNumberFormat="1" applyFont="1" applyFill="1" applyBorder="1"/>
    <xf numFmtId="166" fontId="1" fillId="0" borderId="2" xfId="0" applyNumberFormat="1" applyFont="1" applyBorder="1"/>
    <xf numFmtId="168" fontId="1" fillId="0" borderId="0" xfId="0" applyNumberFormat="1" applyFont="1"/>
    <xf numFmtId="166" fontId="4" fillId="2" borderId="2" xfId="0" applyNumberFormat="1" applyFont="1" applyFill="1" applyBorder="1" applyAlignment="1">
      <alignment vertical="center" wrapText="1"/>
    </xf>
    <xf numFmtId="166" fontId="4" fillId="2" borderId="2" xfId="0" applyNumberFormat="1" applyFont="1" applyFill="1" applyBorder="1" applyAlignment="1">
      <alignment horizontal="right" wrapText="1"/>
    </xf>
    <xf numFmtId="3" fontId="2" fillId="2" borderId="2" xfId="0" applyNumberFormat="1" applyFont="1" applyFill="1" applyBorder="1" applyAlignment="1">
      <alignment horizontal="right" vertical="center" wrapText="1"/>
    </xf>
    <xf numFmtId="3" fontId="4" fillId="2" borderId="2" xfId="0" applyNumberFormat="1" applyFont="1" applyFill="1" applyBorder="1" applyAlignment="1">
      <alignment horizontal="right" vertical="center" wrapText="1"/>
    </xf>
    <xf numFmtId="0" fontId="30" fillId="0" borderId="0" xfId="0" applyFont="1" applyBorder="1" applyAlignment="1"/>
    <xf numFmtId="0" fontId="5" fillId="0" borderId="0" xfId="0" applyFont="1" applyBorder="1"/>
    <xf numFmtId="0" fontId="0" fillId="0" borderId="0" xfId="0" applyFont="1" applyBorder="1" applyAlignment="1"/>
    <xf numFmtId="0" fontId="34" fillId="0" borderId="0" xfId="0" applyFont="1" applyBorder="1" applyAlignment="1"/>
    <xf numFmtId="9" fontId="34" fillId="0" borderId="0" xfId="0" applyNumberFormat="1" applyFont="1" applyBorder="1" applyAlignment="1"/>
    <xf numFmtId="3" fontId="4" fillId="2" borderId="8" xfId="0" applyNumberFormat="1" applyFont="1" applyFill="1" applyBorder="1" applyAlignment="1">
      <alignment horizontal="right" vertical="center" wrapText="1"/>
    </xf>
    <xf numFmtId="166" fontId="4" fillId="2" borderId="10" xfId="0" applyNumberFormat="1" applyFont="1" applyFill="1" applyBorder="1" applyAlignment="1"/>
    <xf numFmtId="3" fontId="4" fillId="2" borderId="10" xfId="0" applyNumberFormat="1" applyFont="1" applyFill="1" applyBorder="1" applyAlignment="1">
      <alignment horizontal="right"/>
    </xf>
    <xf numFmtId="3" fontId="4" fillId="2" borderId="11" xfId="0" applyNumberFormat="1" applyFont="1" applyFill="1" applyBorder="1" applyAlignment="1">
      <alignment horizontal="right"/>
    </xf>
    <xf numFmtId="0" fontId="2" fillId="3" borderId="10" xfId="0" applyFont="1" applyFill="1" applyBorder="1" applyAlignment="1">
      <alignment horizontal="center" vertical="center" wrapText="1"/>
    </xf>
    <xf numFmtId="166" fontId="2" fillId="2" borderId="2" xfId="0" applyNumberFormat="1" applyFont="1" applyFill="1" applyBorder="1" applyAlignment="1">
      <alignment vertical="center" wrapText="1"/>
    </xf>
    <xf numFmtId="3" fontId="2" fillId="2" borderId="8" xfId="0" applyNumberFormat="1" applyFont="1" applyFill="1" applyBorder="1" applyAlignment="1">
      <alignment horizontal="right" vertical="center" wrapText="1"/>
    </xf>
    <xf numFmtId="0" fontId="4" fillId="7" borderId="32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vertical="center" wrapText="1"/>
    </xf>
    <xf numFmtId="0" fontId="2" fillId="0" borderId="0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vertical="center" wrapText="1"/>
    </xf>
    <xf numFmtId="0" fontId="2" fillId="3" borderId="69" xfId="0" applyFont="1" applyFill="1" applyBorder="1" applyAlignment="1">
      <alignment horizontal="center" vertical="center" wrapText="1"/>
    </xf>
    <xf numFmtId="3" fontId="3" fillId="6" borderId="64" xfId="0" applyNumberFormat="1" applyFont="1" applyFill="1" applyBorder="1"/>
    <xf numFmtId="3" fontId="1" fillId="6" borderId="70" xfId="0" applyNumberFormat="1" applyFont="1" applyFill="1" applyBorder="1"/>
    <xf numFmtId="0" fontId="1" fillId="2" borderId="10" xfId="0" applyFont="1" applyFill="1" applyBorder="1" applyAlignment="1">
      <alignment wrapText="1"/>
    </xf>
    <xf numFmtId="43" fontId="1" fillId="2" borderId="9" xfId="2" applyNumberFormat="1" applyFont="1" applyFill="1" applyBorder="1"/>
    <xf numFmtId="0" fontId="35" fillId="3" borderId="6" xfId="0" applyFont="1" applyFill="1" applyBorder="1" applyAlignment="1">
      <alignment horizontal="center" vertical="center" wrapText="1"/>
    </xf>
    <xf numFmtId="0" fontId="35" fillId="3" borderId="4" xfId="0" applyFont="1" applyFill="1" applyBorder="1" applyAlignment="1">
      <alignment horizontal="center" vertical="center" wrapText="1"/>
    </xf>
    <xf numFmtId="43" fontId="31" fillId="2" borderId="9" xfId="2" applyNumberFormat="1" applyFont="1" applyFill="1" applyBorder="1"/>
    <xf numFmtId="164" fontId="1" fillId="2" borderId="10" xfId="4" applyNumberFormat="1" applyFont="1" applyFill="1" applyBorder="1"/>
    <xf numFmtId="9" fontId="1" fillId="0" borderId="12" xfId="0" applyNumberFormat="1" applyFont="1" applyBorder="1"/>
    <xf numFmtId="9" fontId="1" fillId="0" borderId="37" xfId="0" applyNumberFormat="1" applyFont="1" applyBorder="1"/>
    <xf numFmtId="0" fontId="37" fillId="0" borderId="0" xfId="0" applyFont="1"/>
    <xf numFmtId="0" fontId="2" fillId="3" borderId="2" xfId="0" applyFont="1" applyFill="1" applyBorder="1" applyAlignment="1">
      <alignment horizontal="center" vertical="center" wrapText="1"/>
    </xf>
    <xf numFmtId="9" fontId="1" fillId="0" borderId="0" xfId="0" applyNumberFormat="1" applyFont="1"/>
    <xf numFmtId="164" fontId="1" fillId="2" borderId="10" xfId="4" applyNumberFormat="1" applyFont="1" applyFill="1" applyBorder="1"/>
    <xf numFmtId="0" fontId="5" fillId="0" borderId="0" xfId="0" applyFont="1"/>
    <xf numFmtId="0" fontId="1" fillId="0" borderId="0" xfId="0" applyFont="1" applyAlignment="1">
      <alignment wrapText="1"/>
    </xf>
    <xf numFmtId="0" fontId="0" fillId="0" borderId="0" xfId="0"/>
    <xf numFmtId="0" fontId="1" fillId="0" borderId="0" xfId="0" applyFont="1"/>
    <xf numFmtId="9" fontId="36" fillId="8" borderId="2" xfId="0" applyNumberFormat="1" applyFont="1" applyFill="1" applyBorder="1"/>
    <xf numFmtId="3" fontId="1" fillId="0" borderId="12" xfId="2" applyNumberFormat="1" applyFont="1" applyFill="1" applyBorder="1" applyAlignment="1">
      <alignment horizontal="right"/>
    </xf>
    <xf numFmtId="3" fontId="1" fillId="0" borderId="37" xfId="2" applyNumberFormat="1" applyFont="1" applyFill="1" applyBorder="1" applyAlignment="1">
      <alignment horizontal="right"/>
    </xf>
    <xf numFmtId="164" fontId="1" fillId="0" borderId="12" xfId="4" applyNumberFormat="1" applyFont="1" applyFill="1" applyBorder="1"/>
    <xf numFmtId="164" fontId="1" fillId="0" borderId="37" xfId="4" applyNumberFormat="1" applyFont="1" applyFill="1" applyBorder="1"/>
    <xf numFmtId="3" fontId="1" fillId="0" borderId="12" xfId="2" applyNumberFormat="1" applyFont="1" applyFill="1" applyBorder="1"/>
    <xf numFmtId="3" fontId="1" fillId="0" borderId="37" xfId="2" applyNumberFormat="1" applyFont="1" applyFill="1" applyBorder="1"/>
    <xf numFmtId="42" fontId="1" fillId="41" borderId="12" xfId="2" applyNumberFormat="1" applyFont="1" applyFill="1" applyBorder="1" applyAlignment="1">
      <alignment horizontal="left"/>
    </xf>
    <xf numFmtId="42" fontId="1" fillId="41" borderId="37" xfId="2" applyNumberFormat="1" applyFont="1" applyFill="1" applyBorder="1" applyAlignment="1">
      <alignment horizontal="left"/>
    </xf>
    <xf numFmtId="42" fontId="1" fillId="5" borderId="2" xfId="0" applyNumberFormat="1" applyFont="1" applyFill="1" applyBorder="1" applyAlignment="1">
      <alignment horizontal="left"/>
    </xf>
    <xf numFmtId="42" fontId="12" fillId="8" borderId="12" xfId="2" applyNumberFormat="1" applyFont="1" applyFill="1" applyBorder="1"/>
    <xf numFmtId="42" fontId="12" fillId="8" borderId="37" xfId="2" applyNumberFormat="1" applyFont="1" applyFill="1" applyBorder="1"/>
    <xf numFmtId="37" fontId="1" fillId="5" borderId="2" xfId="0" applyNumberFormat="1" applyFont="1" applyFill="1" applyBorder="1"/>
    <xf numFmtId="164" fontId="1" fillId="8" borderId="12" xfId="4" applyNumberFormat="1" applyFont="1" applyFill="1" applyBorder="1"/>
    <xf numFmtId="164" fontId="1" fillId="8" borderId="37" xfId="4" applyNumberFormat="1" applyFont="1" applyFill="1" applyBorder="1"/>
    <xf numFmtId="164" fontId="1" fillId="8" borderId="2" xfId="0" applyNumberFormat="1" applyFont="1" applyFill="1" applyBorder="1"/>
    <xf numFmtId="42" fontId="1" fillId="8" borderId="12" xfId="2" applyNumberFormat="1" applyFont="1" applyFill="1" applyBorder="1" applyAlignment="1">
      <alignment horizontal="left"/>
    </xf>
    <xf numFmtId="42" fontId="1" fillId="8" borderId="37" xfId="2" applyNumberFormat="1" applyFont="1" applyFill="1" applyBorder="1" applyAlignment="1">
      <alignment horizontal="left"/>
    </xf>
    <xf numFmtId="42" fontId="1" fillId="8" borderId="2" xfId="0" applyNumberFormat="1" applyFont="1" applyFill="1" applyBorder="1" applyAlignment="1">
      <alignment horizontal="left"/>
    </xf>
    <xf numFmtId="9" fontId="1" fillId="0" borderId="12" xfId="3" applyFont="1" applyFill="1" applyBorder="1"/>
    <xf numFmtId="9" fontId="1" fillId="0" borderId="12" xfId="3" applyFont="1" applyFill="1" applyBorder="1" applyAlignment="1">
      <alignment horizontal="left"/>
    </xf>
    <xf numFmtId="9" fontId="1" fillId="0" borderId="37" xfId="3" applyFont="1" applyFill="1" applyBorder="1"/>
    <xf numFmtId="9" fontId="1" fillId="0" borderId="37" xfId="3" applyFont="1" applyFill="1" applyBorder="1" applyAlignment="1">
      <alignment horizontal="left"/>
    </xf>
    <xf numFmtId="9" fontId="1" fillId="5" borderId="2" xfId="3" applyFont="1" applyFill="1" applyBorder="1" applyAlignment="1">
      <alignment horizontal="left"/>
    </xf>
    <xf numFmtId="3" fontId="39" fillId="0" borderId="37" xfId="2" applyNumberFormat="1" applyFont="1" applyFill="1" applyBorder="1" applyAlignment="1">
      <alignment horizontal="right"/>
    </xf>
    <xf numFmtId="9" fontId="1" fillId="2" borderId="0" xfId="0" applyNumberFormat="1" applyFont="1" applyFill="1"/>
    <xf numFmtId="164" fontId="1" fillId="0" borderId="0" xfId="0" applyNumberFormat="1" applyFont="1"/>
    <xf numFmtId="9" fontId="1" fillId="0" borderId="0" xfId="3" applyFont="1" applyAlignment="1">
      <alignment horizontal="left"/>
    </xf>
    <xf numFmtId="0" fontId="1" fillId="9" borderId="2" xfId="0" applyFont="1" applyFill="1" applyBorder="1" applyAlignment="1">
      <alignment wrapText="1"/>
    </xf>
    <xf numFmtId="0" fontId="1" fillId="9" borderId="2" xfId="0" applyFont="1" applyFill="1" applyBorder="1"/>
    <xf numFmtId="164" fontId="1" fillId="9" borderId="2" xfId="4" applyNumberFormat="1" applyFont="1" applyFill="1" applyBorder="1"/>
    <xf numFmtId="6" fontId="1" fillId="9" borderId="2" xfId="0" applyNumberFormat="1" applyFont="1" applyFill="1" applyBorder="1"/>
    <xf numFmtId="9" fontId="1" fillId="9" borderId="2" xfId="0" applyNumberFormat="1" applyFont="1" applyFill="1" applyBorder="1"/>
    <xf numFmtId="9" fontId="1" fillId="2" borderId="11" xfId="0" applyNumberFormat="1" applyFont="1" applyFill="1" applyBorder="1"/>
    <xf numFmtId="9" fontId="1" fillId="2" borderId="11" xfId="3" applyFont="1" applyFill="1" applyBorder="1" applyAlignment="1">
      <alignment horizontal="right" vertical="center" wrapText="1"/>
    </xf>
    <xf numFmtId="0" fontId="2" fillId="3" borderId="2" xfId="0" applyFont="1" applyFill="1" applyBorder="1" applyAlignment="1">
      <alignment horizontal="center" vertical="center" wrapText="1"/>
    </xf>
    <xf numFmtId="5" fontId="1" fillId="5" borderId="2" xfId="4" applyNumberFormat="1" applyFont="1" applyFill="1" applyBorder="1"/>
    <xf numFmtId="164" fontId="5" fillId="5" borderId="2" xfId="0" applyNumberFormat="1" applyFont="1" applyFill="1" applyBorder="1"/>
    <xf numFmtId="9" fontId="1" fillId="0" borderId="0" xfId="3" applyFont="1"/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41" fillId="0" borderId="0" xfId="0" applyFont="1"/>
    <xf numFmtId="0" fontId="28" fillId="0" borderId="0" xfId="0" applyFont="1"/>
    <xf numFmtId="0" fontId="2" fillId="3" borderId="37" xfId="0" applyFont="1" applyFill="1" applyBorder="1" applyAlignment="1">
      <alignment horizontal="center" vertical="center" wrapText="1"/>
    </xf>
    <xf numFmtId="0" fontId="2" fillId="3" borderId="32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8" borderId="41" xfId="0" applyFont="1" applyFill="1" applyBorder="1" applyAlignment="1">
      <alignment horizontal="center" vertical="center"/>
    </xf>
    <xf numFmtId="0" fontId="2" fillId="8" borderId="42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1" fillId="6" borderId="41" xfId="0" applyFont="1" applyFill="1" applyBorder="1" applyAlignment="1">
      <alignment horizontal="left"/>
    </xf>
    <xf numFmtId="0" fontId="1" fillId="6" borderId="42" xfId="0" applyFont="1" applyFill="1" applyBorder="1" applyAlignment="1">
      <alignment horizontal="left"/>
    </xf>
    <xf numFmtId="0" fontId="1" fillId="6" borderId="13" xfId="0" applyFont="1" applyFill="1" applyBorder="1" applyAlignment="1">
      <alignment horizontal="left"/>
    </xf>
    <xf numFmtId="0" fontId="2" fillId="8" borderId="4" xfId="0" applyFont="1" applyFill="1" applyBorder="1" applyAlignment="1">
      <alignment horizontal="center" vertical="center" wrapText="1"/>
    </xf>
    <xf numFmtId="0" fontId="2" fillId="8" borderId="9" xfId="0" applyFont="1" applyFill="1" applyBorder="1" applyAlignment="1">
      <alignment horizontal="center" vertical="center" wrapText="1"/>
    </xf>
    <xf numFmtId="0" fontId="2" fillId="3" borderId="38" xfId="0" applyFont="1" applyFill="1" applyBorder="1" applyAlignment="1">
      <alignment horizontal="center" vertical="center" wrapText="1"/>
    </xf>
    <xf numFmtId="0" fontId="2" fillId="3" borderId="41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0" fontId="2" fillId="8" borderId="13" xfId="0" applyFont="1" applyFill="1" applyBorder="1" applyAlignment="1">
      <alignment horizontal="center" vertical="center" wrapText="1"/>
    </xf>
    <xf numFmtId="0" fontId="2" fillId="3" borderId="4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 vertical="center" wrapText="1"/>
    </xf>
    <xf numFmtId="0" fontId="1" fillId="2" borderId="42" xfId="0" applyFont="1" applyFill="1" applyBorder="1" applyAlignment="1">
      <alignment horizontal="left" vertical="center" wrapText="1"/>
    </xf>
    <xf numFmtId="0" fontId="1" fillId="2" borderId="13" xfId="0" applyFont="1" applyFill="1" applyBorder="1" applyAlignment="1">
      <alignment horizontal="left" vertical="center" wrapText="1"/>
    </xf>
    <xf numFmtId="0" fontId="1" fillId="6" borderId="41" xfId="0" applyFont="1" applyFill="1" applyBorder="1" applyAlignment="1">
      <alignment horizontal="left" vertical="center"/>
    </xf>
    <xf numFmtId="0" fontId="1" fillId="6" borderId="42" xfId="0" applyFont="1" applyFill="1" applyBorder="1" applyAlignment="1">
      <alignment horizontal="left" vertical="center"/>
    </xf>
    <xf numFmtId="0" fontId="1" fillId="6" borderId="13" xfId="0" applyFont="1" applyFill="1" applyBorder="1" applyAlignment="1">
      <alignment horizontal="left" vertical="center"/>
    </xf>
    <xf numFmtId="0" fontId="1" fillId="3" borderId="44" xfId="0" applyFont="1" applyFill="1" applyBorder="1" applyAlignment="1">
      <alignment horizontal="center"/>
    </xf>
    <xf numFmtId="0" fontId="1" fillId="3" borderId="45" xfId="0" applyFont="1" applyFill="1" applyBorder="1" applyAlignment="1">
      <alignment horizontal="center"/>
    </xf>
    <xf numFmtId="0" fontId="1" fillId="3" borderId="46" xfId="0" applyFont="1" applyFill="1" applyBorder="1" applyAlignment="1">
      <alignment horizontal="center"/>
    </xf>
    <xf numFmtId="0" fontId="2" fillId="3" borderId="65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1" fillId="0" borderId="32" xfId="0" applyFont="1" applyBorder="1" applyAlignment="1">
      <alignment horizontal="left" vertical="center" wrapText="1"/>
    </xf>
    <xf numFmtId="0" fontId="1" fillId="0" borderId="2" xfId="0" applyFont="1" applyBorder="1" applyAlignment="1">
      <alignment horizontal="left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 wrapText="1"/>
    </xf>
    <xf numFmtId="0" fontId="2" fillId="3" borderId="28" xfId="0" applyFont="1" applyFill="1" applyBorder="1" applyAlignment="1">
      <alignment horizontal="center" vertical="center" wrapText="1"/>
    </xf>
    <xf numFmtId="0" fontId="2" fillId="3" borderId="29" xfId="0" applyFont="1" applyFill="1" applyBorder="1" applyAlignment="1">
      <alignment horizontal="center" vertical="center" wrapText="1"/>
    </xf>
    <xf numFmtId="0" fontId="5" fillId="0" borderId="2" xfId="0" applyFont="1" applyBorder="1" applyAlignment="1">
      <alignment horizontal="left" wrapText="1"/>
    </xf>
    <xf numFmtId="0" fontId="1" fillId="0" borderId="68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2" fillId="3" borderId="28" xfId="0" applyFont="1" applyFill="1" applyBorder="1" applyAlignment="1">
      <alignment horizontal="left" vertical="center" wrapText="1"/>
    </xf>
    <xf numFmtId="0" fontId="2" fillId="3" borderId="36" xfId="0" applyFont="1" applyFill="1" applyBorder="1" applyAlignment="1">
      <alignment horizontal="left" vertical="center" wrapText="1"/>
    </xf>
    <xf numFmtId="0" fontId="2" fillId="3" borderId="66" xfId="0" applyFont="1" applyFill="1" applyBorder="1" applyAlignment="1">
      <alignment horizontal="left" vertical="center" wrapText="1"/>
    </xf>
    <xf numFmtId="0" fontId="1" fillId="0" borderId="40" xfId="0" applyFont="1" applyBorder="1" applyAlignment="1">
      <alignment horizontal="left" vertical="center" wrapText="1"/>
    </xf>
    <xf numFmtId="0" fontId="1" fillId="0" borderId="0" xfId="0" applyFont="1" applyBorder="1" applyAlignment="1">
      <alignment horizontal="left" vertical="center" wrapText="1"/>
    </xf>
    <xf numFmtId="0" fontId="1" fillId="0" borderId="67" xfId="0" applyFont="1" applyBorder="1" applyAlignment="1">
      <alignment horizontal="left" vertical="center" wrapText="1"/>
    </xf>
    <xf numFmtId="0" fontId="1" fillId="0" borderId="25" xfId="0" applyFont="1" applyBorder="1" applyAlignment="1">
      <alignment horizontal="left" vertical="center" wrapText="1"/>
    </xf>
    <xf numFmtId="0" fontId="1" fillId="0" borderId="20" xfId="0" applyFont="1" applyBorder="1" applyAlignment="1">
      <alignment horizontal="left" vertical="center" wrapText="1"/>
    </xf>
    <xf numFmtId="0" fontId="1" fillId="0" borderId="27" xfId="0" applyFont="1" applyBorder="1" applyAlignment="1">
      <alignment horizontal="left" vertical="center" wrapText="1"/>
    </xf>
    <xf numFmtId="0" fontId="1" fillId="3" borderId="61" xfId="0" applyFont="1" applyFill="1" applyBorder="1" applyAlignment="1">
      <alignment horizontal="center" wrapText="1"/>
    </xf>
    <xf numFmtId="0" fontId="1" fillId="3" borderId="62" xfId="0" applyFont="1" applyFill="1" applyBorder="1" applyAlignment="1">
      <alignment horizontal="center" wrapText="1"/>
    </xf>
    <xf numFmtId="0" fontId="2" fillId="3" borderId="18" xfId="0" applyFont="1" applyFill="1" applyBorder="1" applyAlignment="1">
      <alignment horizontal="center" vertical="center" wrapText="1"/>
    </xf>
    <xf numFmtId="0" fontId="2" fillId="3" borderId="19" xfId="0" applyFont="1" applyFill="1" applyBorder="1" applyAlignment="1">
      <alignment horizontal="center" vertical="center" wrapText="1"/>
    </xf>
    <xf numFmtId="0" fontId="2" fillId="3" borderId="21" xfId="0" applyFont="1" applyFill="1" applyBorder="1" applyAlignment="1">
      <alignment horizontal="center" vertical="center" wrapText="1"/>
    </xf>
    <xf numFmtId="0" fontId="1" fillId="0" borderId="24" xfId="0" applyFont="1" applyBorder="1" applyAlignment="1">
      <alignment horizontal="left" vertical="center" wrapText="1"/>
    </xf>
    <xf numFmtId="0" fontId="1" fillId="0" borderId="3" xfId="0" applyFont="1" applyBorder="1" applyAlignment="1">
      <alignment horizontal="left" vertical="center" wrapText="1"/>
    </xf>
    <xf numFmtId="0" fontId="1" fillId="0" borderId="26" xfId="0" applyFont="1" applyBorder="1" applyAlignment="1">
      <alignment horizontal="left" vertical="center" wrapText="1"/>
    </xf>
    <xf numFmtId="0" fontId="1" fillId="3" borderId="34" xfId="0" applyFont="1" applyFill="1" applyBorder="1" applyAlignment="1">
      <alignment horizontal="left"/>
    </xf>
    <xf numFmtId="0" fontId="1" fillId="3" borderId="35" xfId="0" applyFont="1" applyFill="1" applyBorder="1" applyAlignment="1">
      <alignment horizontal="left"/>
    </xf>
    <xf numFmtId="0" fontId="1" fillId="0" borderId="24" xfId="0" applyFont="1" applyBorder="1" applyAlignment="1">
      <alignment horizontal="left" wrapText="1"/>
    </xf>
    <xf numFmtId="0" fontId="1" fillId="0" borderId="3" xfId="0" applyFont="1" applyBorder="1" applyAlignment="1">
      <alignment horizontal="left" wrapText="1"/>
    </xf>
    <xf numFmtId="0" fontId="1" fillId="0" borderId="26" xfId="0" applyFont="1" applyBorder="1" applyAlignment="1">
      <alignment horizontal="left" wrapText="1"/>
    </xf>
    <xf numFmtId="0" fontId="1" fillId="0" borderId="25" xfId="0" applyFont="1" applyBorder="1" applyAlignment="1">
      <alignment horizontal="left" wrapText="1"/>
    </xf>
    <xf numFmtId="0" fontId="1" fillId="0" borderId="20" xfId="0" applyFont="1" applyBorder="1" applyAlignment="1">
      <alignment horizontal="left" wrapText="1"/>
    </xf>
    <xf numFmtId="0" fontId="1" fillId="0" borderId="27" xfId="0" applyFont="1" applyBorder="1" applyAlignment="1">
      <alignment horizontal="left" wrapText="1"/>
    </xf>
    <xf numFmtId="0" fontId="2" fillId="3" borderId="1" xfId="0" applyFont="1" applyFill="1" applyBorder="1" applyAlignment="1">
      <alignment horizontal="center" vertical="center" wrapText="1"/>
    </xf>
    <xf numFmtId="0" fontId="1" fillId="3" borderId="44" xfId="0" applyFont="1" applyFill="1" applyBorder="1" applyAlignment="1">
      <alignment horizontal="left" wrapText="1"/>
    </xf>
    <xf numFmtId="0" fontId="1" fillId="3" borderId="45" xfId="0" applyFont="1" applyFill="1" applyBorder="1" applyAlignment="1">
      <alignment horizontal="left" wrapText="1"/>
    </xf>
    <xf numFmtId="0" fontId="1" fillId="3" borderId="46" xfId="0" applyFont="1" applyFill="1" applyBorder="1" applyAlignment="1">
      <alignment horizontal="left" wrapText="1"/>
    </xf>
    <xf numFmtId="0" fontId="2" fillId="3" borderId="39" xfId="0" applyFont="1" applyFill="1" applyBorder="1" applyAlignment="1">
      <alignment horizontal="center" vertical="center" wrapText="1"/>
    </xf>
    <xf numFmtId="0" fontId="2" fillId="3" borderId="36" xfId="0" applyFont="1" applyFill="1" applyBorder="1" applyAlignment="1">
      <alignment horizontal="center" vertical="center" wrapText="1"/>
    </xf>
    <xf numFmtId="0" fontId="2" fillId="3" borderId="30" xfId="0" applyFont="1" applyFill="1" applyBorder="1" applyAlignment="1">
      <alignment horizontal="center" vertical="center" wrapText="1"/>
    </xf>
    <xf numFmtId="0" fontId="1" fillId="0" borderId="47" xfId="0" applyFont="1" applyBorder="1" applyAlignment="1">
      <alignment horizontal="left" vertical="center" wrapText="1"/>
    </xf>
    <xf numFmtId="0" fontId="1" fillId="0" borderId="48" xfId="0" applyFont="1" applyBorder="1" applyAlignment="1">
      <alignment horizontal="left" vertical="center" wrapText="1"/>
    </xf>
    <xf numFmtId="0" fontId="1" fillId="0" borderId="49" xfId="0" applyFont="1" applyBorder="1" applyAlignment="1">
      <alignment horizontal="left" vertical="center" wrapText="1"/>
    </xf>
    <xf numFmtId="0" fontId="1" fillId="3" borderId="34" xfId="0" applyFont="1" applyFill="1" applyBorder="1" applyAlignment="1">
      <alignment horizontal="center" wrapText="1"/>
    </xf>
    <xf numFmtId="0" fontId="1" fillId="3" borderId="35" xfId="0" applyFont="1" applyFill="1" applyBorder="1" applyAlignment="1">
      <alignment horizontal="center" wrapText="1"/>
    </xf>
    <xf numFmtId="0" fontId="40" fillId="0" borderId="40" xfId="0" applyFont="1" applyBorder="1" applyAlignment="1">
      <alignment horizontal="left" vertical="center" wrapText="1"/>
    </xf>
    <xf numFmtId="0" fontId="36" fillId="0" borderId="0" xfId="0" applyFont="1" applyAlignment="1">
      <alignment horizontal="left" vertical="center" wrapText="1"/>
    </xf>
  </cellXfs>
  <cellStyles count="57">
    <cellStyle name="20% - Accent1" xfId="30" builtinId="30" customBuiltin="1"/>
    <cellStyle name="20% - Accent2" xfId="34" builtinId="34" customBuiltin="1"/>
    <cellStyle name="20% - Accent3" xfId="38" builtinId="38" customBuiltin="1"/>
    <cellStyle name="20% - Accent4" xfId="42" builtinId="42" customBuiltin="1"/>
    <cellStyle name="20% - Accent5" xfId="46" builtinId="46" customBuiltin="1"/>
    <cellStyle name="20% - Accent6" xfId="50" builtinId="50" customBuiltin="1"/>
    <cellStyle name="40% - Accent1" xfId="31" builtinId="31" customBuiltin="1"/>
    <cellStyle name="40% - Accent2" xfId="35" builtinId="35" customBuiltin="1"/>
    <cellStyle name="40% - Accent3" xfId="39" builtinId="39" customBuiltin="1"/>
    <cellStyle name="40% - Accent4" xfId="43" builtinId="43" customBuiltin="1"/>
    <cellStyle name="40% - Accent5" xfId="47" builtinId="47" customBuiltin="1"/>
    <cellStyle name="40% - Accent6" xfId="51" builtinId="51" customBuiltin="1"/>
    <cellStyle name="60% - Accent1" xfId="32" builtinId="32" customBuiltin="1"/>
    <cellStyle name="60% - Accent2" xfId="36" builtinId="36" customBuiltin="1"/>
    <cellStyle name="60% - Accent3" xfId="40" builtinId="40" customBuiltin="1"/>
    <cellStyle name="60% - Accent4" xfId="44" builtinId="44" customBuiltin="1"/>
    <cellStyle name="60% - Accent5" xfId="48" builtinId="48" customBuiltin="1"/>
    <cellStyle name="60% - Accent6" xfId="52" builtinId="52" customBuiltin="1"/>
    <cellStyle name="Accent1" xfId="29" builtinId="29" customBuiltin="1"/>
    <cellStyle name="Accent2" xfId="33" builtinId="33" customBuiltin="1"/>
    <cellStyle name="Accent3" xfId="37" builtinId="37" customBuiltin="1"/>
    <cellStyle name="Accent4" xfId="41" builtinId="41" customBuiltin="1"/>
    <cellStyle name="Accent5" xfId="45" builtinId="45" customBuiltin="1"/>
    <cellStyle name="Accent6" xfId="49" builtinId="49" customBuiltin="1"/>
    <cellStyle name="Bad" xfId="18" builtinId="27" customBuiltin="1"/>
    <cellStyle name="Calculation" xfId="22" builtinId="22" customBuiltin="1"/>
    <cellStyle name="Check Cell" xfId="24" builtinId="23" customBuiltin="1"/>
    <cellStyle name="Comma" xfId="2" builtinId="3"/>
    <cellStyle name="Comma 2" xfId="5"/>
    <cellStyle name="Comma 2 2" xfId="6"/>
    <cellStyle name="Comma 2 3" xfId="7"/>
    <cellStyle name="Comma 3" xfId="55"/>
    <cellStyle name="Currency" xfId="4" builtinId="4"/>
    <cellStyle name="Currency 2" xfId="8"/>
    <cellStyle name="Explanatory Text" xfId="27" builtinId="53" customBuiltin="1"/>
    <cellStyle name="Good" xfId="17" builtinId="26" customBuiltin="1"/>
    <cellStyle name="Heading 1" xfId="13" builtinId="16" customBuiltin="1"/>
    <cellStyle name="Heading 2" xfId="14" builtinId="17" customBuiltin="1"/>
    <cellStyle name="Heading 3" xfId="15" builtinId="18" customBuiltin="1"/>
    <cellStyle name="Heading 4" xfId="16" builtinId="19" customBuiltin="1"/>
    <cellStyle name="Input" xfId="20" builtinId="20" customBuiltin="1"/>
    <cellStyle name="Linked Cell" xfId="23" builtinId="24" customBuiltin="1"/>
    <cellStyle name="Neutral" xfId="19" builtinId="28" customBuiltin="1"/>
    <cellStyle name="Normal" xfId="0" builtinId="0"/>
    <cellStyle name="Normal 2" xfId="1"/>
    <cellStyle name="Normal 2 2" xfId="9"/>
    <cellStyle name="Normal 2 2 2" xfId="56"/>
    <cellStyle name="Normal 2 3" xfId="10"/>
    <cellStyle name="Normal 3" xfId="53"/>
    <cellStyle name="Normal 4" xfId="54"/>
    <cellStyle name="Note" xfId="26" builtinId="10" customBuiltin="1"/>
    <cellStyle name="Output" xfId="21" builtinId="21" customBuiltin="1"/>
    <cellStyle name="Percent" xfId="3" builtinId="5"/>
    <cellStyle name="Percent 2" xfId="11"/>
    <cellStyle name="Title" xfId="12" builtinId="15" customBuiltin="1"/>
    <cellStyle name="Total" xfId="28" builtinId="25" customBuiltin="1"/>
    <cellStyle name="Warning Text" xfId="25" builtinId="11" customBuiltin="1"/>
  </cellStyles>
  <dxfs count="0"/>
  <tableStyles count="0" defaultTableStyle="TableStyleMedium2" defaultPivotStyle="PivotStyleLight16"/>
  <colors>
    <mruColors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JANSample!$I$9</c:f>
              <c:numCache>
                <c:formatCode>#,##0</c:formatCode>
                <c:ptCount val="1"/>
                <c:pt idx="0">
                  <c:v>2310765.2787946975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JANSample!$F$2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292618.45056716667</c:v>
                </c:pt>
                <c:pt idx="2">
                  <c:v>584274.49594190461</c:v>
                </c:pt>
                <c:pt idx="3">
                  <c:v>874968.13612421392</c:v>
                </c:pt>
                <c:pt idx="4">
                  <c:v>1164699.3711140943</c:v>
                </c:pt>
                <c:pt idx="5">
                  <c:v>1453468.2009115461</c:v>
                </c:pt>
                <c:pt idx="6">
                  <c:v>1741274.625516569</c:v>
                </c:pt>
                <c:pt idx="7">
                  <c:v>2028118.6449291632</c:v>
                </c:pt>
                <c:pt idx="8">
                  <c:v>2314000.2591493283</c:v>
                </c:pt>
                <c:pt idx="9">
                  <c:v>2598919.4681770657</c:v>
                </c:pt>
                <c:pt idx="10">
                  <c:v>2882876.2720123734</c:v>
                </c:pt>
                <c:pt idx="11">
                  <c:v>3165870.6706552524</c:v>
                </c:pt>
                <c:pt idx="12">
                  <c:v>3447902.6641057036</c:v>
                </c:pt>
                <c:pt idx="13">
                  <c:v>3728972.2523637251</c:v>
                </c:pt>
                <c:pt idx="14">
                  <c:v>4009079.4354293179</c:v>
                </c:pt>
                <c:pt idx="15">
                  <c:v>4288224.2133024819</c:v>
                </c:pt>
                <c:pt idx="16">
                  <c:v>4566406.5859832177</c:v>
                </c:pt>
                <c:pt idx="17">
                  <c:v>4843626.5534715252</c:v>
                </c:pt>
                <c:pt idx="18">
                  <c:v>5119884.1157674035</c:v>
                </c:pt>
                <c:pt idx="19">
                  <c:v>5395179.2728708526</c:v>
                </c:pt>
                <c:pt idx="20">
                  <c:v>5669512.0247818725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JANSample!$B$9</c:f>
              <c:numCache>
                <c:formatCode>"$"#,##0</c:formatCode>
                <c:ptCount val="1"/>
                <c:pt idx="0">
                  <c:v>4793199.2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JANSample!$C$9</c:f>
              <c:numCache>
                <c:formatCode>"$"#,##0</c:formatCode>
                <c:ptCount val="1"/>
                <c:pt idx="0">
                  <c:v>7189798.7999999998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JANSample!$D$9</c:f>
              <c:numCache>
                <c:formatCode>"$"#,##0</c:formatCode>
                <c:ptCount val="1"/>
                <c:pt idx="0">
                  <c:v>7189798.7999999998</c:v>
                </c:pt>
              </c:numCache>
            </c:numRef>
          </c:xVal>
          <c:yVal>
            <c:numRef>
              <c:f>JANSample!$F$9</c:f>
              <c:numCache>
                <c:formatCode>#,##0</c:formatCode>
                <c:ptCount val="1"/>
                <c:pt idx="0">
                  <c:v>2765547.9922391665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0533632"/>
        <c:axId val="340535936"/>
      </c:scatterChart>
      <c:valAx>
        <c:axId val="34053363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340535936"/>
        <c:crosses val="autoZero"/>
        <c:crossBetween val="midCat"/>
        <c:dispUnits>
          <c:builtInUnit val="thousands"/>
        </c:dispUnits>
      </c:valAx>
      <c:valAx>
        <c:axId val="3405359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40533632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Janumet: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JMTSample!$I$9</c:f>
              <c:numCache>
                <c:formatCode>#,##0</c:formatCode>
                <c:ptCount val="1"/>
                <c:pt idx="0">
                  <c:v>2662664.8484120537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JMTSample!$F$2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340843.72051351675</c:v>
                </c:pt>
                <c:pt idx="2">
                  <c:v>681774.24980389187</c:v>
                </c:pt>
                <c:pt idx="3">
                  <c:v>1022791.5878711254</c:v>
                </c:pt>
                <c:pt idx="4">
                  <c:v>1363895.7347152175</c:v>
                </c:pt>
                <c:pt idx="5">
                  <c:v>1705086.690336168</c:v>
                </c:pt>
                <c:pt idx="6">
                  <c:v>2046364.4547339769</c:v>
                </c:pt>
                <c:pt idx="7">
                  <c:v>2387729.0279086442</c:v>
                </c:pt>
                <c:pt idx="8">
                  <c:v>2729180.40986017</c:v>
                </c:pt>
                <c:pt idx="9">
                  <c:v>3070718.6005885541</c:v>
                </c:pt>
                <c:pt idx="10">
                  <c:v>3412343.6000937968</c:v>
                </c:pt>
                <c:pt idx="11">
                  <c:v>3754055.4083758979</c:v>
                </c:pt>
                <c:pt idx="12">
                  <c:v>4095854.0254348577</c:v>
                </c:pt>
                <c:pt idx="13">
                  <c:v>4437739.4512706762</c:v>
                </c:pt>
                <c:pt idx="14">
                  <c:v>4779711.6858833525</c:v>
                </c:pt>
                <c:pt idx="15">
                  <c:v>5121770.7292728871</c:v>
                </c:pt>
                <c:pt idx="16">
                  <c:v>5463916.58143928</c:v>
                </c:pt>
                <c:pt idx="17">
                  <c:v>5806149.242382532</c:v>
                </c:pt>
                <c:pt idx="18">
                  <c:v>6148468.7121026423</c:v>
                </c:pt>
                <c:pt idx="19">
                  <c:v>6490874.9905996108</c:v>
                </c:pt>
                <c:pt idx="20">
                  <c:v>6833368.0778734377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JMTSample!$B$9</c:f>
              <c:numCache>
                <c:formatCode>"$"#,##0</c:formatCode>
                <c:ptCount val="1"/>
                <c:pt idx="0">
                  <c:v>12488348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JMTSample!$C$9</c:f>
              <c:numCache>
                <c:formatCode>"$"#,##0</c:formatCode>
                <c:ptCount val="1"/>
                <c:pt idx="0">
                  <c:v>18732522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JMTSample!$D$9</c:f>
              <c:numCache>
                <c:formatCode>"$"#,##0</c:formatCode>
                <c:ptCount val="1"/>
                <c:pt idx="0">
                  <c:v>18732522</c:v>
                </c:pt>
              </c:numCache>
            </c:numRef>
          </c:xVal>
          <c:yVal>
            <c:numRef>
              <c:f>JMTSample!$F$9</c:f>
              <c:numCache>
                <c:formatCode>#,##0</c:formatCode>
                <c:ptCount val="1"/>
                <c:pt idx="0">
                  <c:v>3195832.4397713416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3280640"/>
        <c:axId val="343291392"/>
      </c:scatterChart>
      <c:valAx>
        <c:axId val="34328064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Janumet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343291392"/>
        <c:crosses val="autoZero"/>
        <c:crossBetween val="midCat"/>
        <c:dispUnits>
          <c:builtInUnit val="thousands"/>
        </c:dispUnits>
      </c:valAx>
      <c:valAx>
        <c:axId val="3432913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43280640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Voucher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>
              <c:idx val="0"/>
              <c:layout>
                <c:manualLayout>
                  <c:x val="1.4367816091954023E-2"/>
                  <c:y val="-6.9300069300069298E-3"/>
                </c:manualLayout>
              </c:layout>
              <c:dLblPos val="r"/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JJVCH!$I$9</c:f>
              <c:numCache>
                <c:formatCode>#,##0</c:formatCode>
                <c:ptCount val="1"/>
                <c:pt idx="0">
                  <c:v>150560.70106149331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JJVCH!$F$2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JJVCH!$C$23:$C$43</c:f>
              <c:numCache>
                <c:formatCode>#,##0</c:formatCode>
                <c:ptCount val="21"/>
                <c:pt idx="0">
                  <c:v>0</c:v>
                </c:pt>
                <c:pt idx="1">
                  <c:v>19785.409492227558</c:v>
                </c:pt>
                <c:pt idx="2">
                  <c:v>39571.016739094761</c:v>
                </c:pt>
                <c:pt idx="3">
                  <c:v>59356.821740601605</c:v>
                </c:pt>
                <c:pt idx="4">
                  <c:v>79142.824496748101</c:v>
                </c:pt>
                <c:pt idx="5">
                  <c:v>98929.025007534234</c:v>
                </c:pt>
                <c:pt idx="6">
                  <c:v>118715.42327296002</c:v>
                </c:pt>
                <c:pt idx="7">
                  <c:v>138502.01929302546</c:v>
                </c:pt>
                <c:pt idx="8">
                  <c:v>158288.81306773052</c:v>
                </c:pt>
                <c:pt idx="9">
                  <c:v>178075.80459707524</c:v>
                </c:pt>
                <c:pt idx="10">
                  <c:v>197862.99388105958</c:v>
                </c:pt>
                <c:pt idx="11">
                  <c:v>217650.38091968361</c:v>
                </c:pt>
                <c:pt idx="12">
                  <c:v>237437.96571294725</c:v>
                </c:pt>
                <c:pt idx="13">
                  <c:v>257225.74826085052</c:v>
                </c:pt>
                <c:pt idx="14">
                  <c:v>277013.72856339347</c:v>
                </c:pt>
                <c:pt idx="15">
                  <c:v>296801.9066205761</c:v>
                </c:pt>
                <c:pt idx="16">
                  <c:v>316590.28243239829</c:v>
                </c:pt>
                <c:pt idx="17">
                  <c:v>336378.85599886021</c:v>
                </c:pt>
                <c:pt idx="18">
                  <c:v>356167.62731996167</c:v>
                </c:pt>
                <c:pt idx="19">
                  <c:v>375956.59639570286</c:v>
                </c:pt>
                <c:pt idx="20">
                  <c:v>395745.76322608365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JJVCH!$B$9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JJVCH!$C$9</c:f>
              <c:numCache>
                <c:formatCode>"$"#,##0</c:formatCode>
                <c:ptCount val="1"/>
                <c:pt idx="0">
                  <c:v>4565659.2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dLbl>
              <c:idx val="0"/>
              <c:layout>
                <c:manualLayout>
                  <c:x val="-7.1839080459770114E-3"/>
                  <c:y val="3.1185031185031187E-2"/>
                </c:manualLayout>
              </c:layout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JJVCH!$D$9</c:f>
              <c:numCache>
                <c:formatCode>"$"#,##0</c:formatCode>
                <c:ptCount val="1"/>
                <c:pt idx="0">
                  <c:v>4565659.2</c:v>
                </c:pt>
              </c:numCache>
            </c:numRef>
          </c:xVal>
          <c:yVal>
            <c:numRef>
              <c:f>JJVCH!$F$9</c:f>
              <c:numCache>
                <c:formatCode>#,##0</c:formatCode>
                <c:ptCount val="1"/>
                <c:pt idx="0">
                  <c:v>180674.2153550259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3689088"/>
        <c:axId val="343691648"/>
      </c:scatterChart>
      <c:valAx>
        <c:axId val="34368908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Voucher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343691648"/>
        <c:crosses val="autoZero"/>
        <c:crossBetween val="midCat"/>
        <c:dispUnits>
          <c:builtInUnit val="thousands"/>
        </c:dispUnits>
      </c:valAx>
      <c:valAx>
        <c:axId val="3436916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43689088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 b="1" i="0" baseline="0">
                <a:effectLst/>
              </a:rPr>
              <a:t>Januvia Family: Estimated </a:t>
            </a:r>
            <a:r>
              <a:rPr lang="en-US" sz="1200" b="1" i="0" baseline="0">
                <a:solidFill>
                  <a:srgbClr val="0000FF"/>
                </a:solidFill>
                <a:effectLst/>
              </a:rPr>
              <a:t>Incr. TRx</a:t>
            </a:r>
            <a:r>
              <a:rPr lang="en-US" sz="1200" b="1" i="0" baseline="0">
                <a:effectLst/>
              </a:rPr>
              <a:t> from MMF Spend</a:t>
            </a:r>
            <a:endParaRPr lang="en-US" sz="1200">
              <a:effectLst/>
            </a:endParaRP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JJMMF!$I$9</c:f>
              <c:numCache>
                <c:formatCode>#,##0</c:formatCode>
                <c:ptCount val="1"/>
                <c:pt idx="0">
                  <c:v>25689.160192131658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JJMMF!$D$3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JJMMF!$C$30:$C$50</c:f>
              <c:numCache>
                <c:formatCode>#,##0</c:formatCode>
                <c:ptCount val="21"/>
                <c:pt idx="0">
                  <c:v>0</c:v>
                </c:pt>
                <c:pt idx="1">
                  <c:v>7258.8833029338202</c:v>
                </c:pt>
                <c:pt idx="2">
                  <c:v>13753.272832178851</c:v>
                </c:pt>
                <c:pt idx="3">
                  <c:v>19089.210151644824</c:v>
                </c:pt>
                <c:pt idx="4">
                  <c:v>23750.8035692349</c:v>
                </c:pt>
                <c:pt idx="5">
                  <c:v>28014.517917379791</c:v>
                </c:pt>
                <c:pt idx="6">
                  <c:v>31614.120163643827</c:v>
                </c:pt>
                <c:pt idx="7">
                  <c:v>34547.404669785858</c:v>
                </c:pt>
                <c:pt idx="8">
                  <c:v>37088.288548851007</c:v>
                </c:pt>
                <c:pt idx="9">
                  <c:v>39354.905170586644</c:v>
                </c:pt>
                <c:pt idx="10">
                  <c:v>41368.841130976209</c:v>
                </c:pt>
                <c:pt idx="11">
                  <c:v>43150.504674076452</c:v>
                </c:pt>
                <c:pt idx="12">
                  <c:v>44720.119604641892</c:v>
                </c:pt>
                <c:pt idx="13">
                  <c:v>46097.293990550279</c:v>
                </c:pt>
                <c:pt idx="14">
                  <c:v>47301.507562133454</c:v>
                </c:pt>
                <c:pt idx="15">
                  <c:v>48352.240049723267</c:v>
                </c:pt>
                <c:pt idx="16">
                  <c:v>49268.971183651505</c:v>
                </c:pt>
                <c:pt idx="17">
                  <c:v>50071.180694250041</c:v>
                </c:pt>
                <c:pt idx="18">
                  <c:v>50778.348311850685</c:v>
                </c:pt>
                <c:pt idx="19">
                  <c:v>51409.953766785278</c:v>
                </c:pt>
                <c:pt idx="20">
                  <c:v>51985.476789385641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JJMMF!$B$9</c:f>
              <c:numCache>
                <c:formatCode>"$"#,##0</c:formatCode>
                <c:ptCount val="1"/>
                <c:pt idx="0">
                  <c:v>3552000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JJMMF!$C$9</c:f>
              <c:numCache>
                <c:formatCode>"$"#,##0</c:formatCode>
                <c:ptCount val="1"/>
                <c:pt idx="0">
                  <c:v>5328000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JJMMF!$D$9</c:f>
              <c:numCache>
                <c:formatCode>"$"#,##0</c:formatCode>
                <c:ptCount val="1"/>
                <c:pt idx="0">
                  <c:v>4107540.0292513319</c:v>
                </c:pt>
              </c:numCache>
            </c:numRef>
          </c:xVal>
          <c:yVal>
            <c:numRef>
              <c:f>JJMMF!$F$9</c:f>
              <c:numCache>
                <c:formatCode>#,##0</c:formatCode>
                <c:ptCount val="1"/>
                <c:pt idx="0">
                  <c:v>24231.818614525357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3741184"/>
        <c:axId val="343743488"/>
      </c:scatterChart>
      <c:valAx>
        <c:axId val="34374118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MMF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343743488"/>
        <c:crosses val="autoZero"/>
        <c:crossBetween val="midCat"/>
        <c:dispUnits>
          <c:builtInUnit val="thousands"/>
        </c:dispUnits>
      </c:valAx>
      <c:valAx>
        <c:axId val="3437434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43741184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HCC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JJHCC!$I$9</c:f>
              <c:numCache>
                <c:formatCode>#,##0</c:formatCode>
                <c:ptCount val="1"/>
                <c:pt idx="0">
                  <c:v>1595892.0143603629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JJHCC!$C$22:$C$42</c:f>
              <c:numCache>
                <c:formatCode>#,##0</c:formatCode>
                <c:ptCount val="21"/>
                <c:pt idx="0">
                  <c:v>0</c:v>
                </c:pt>
                <c:pt idx="1">
                  <c:v>235071.42459140636</c:v>
                </c:pt>
                <c:pt idx="2">
                  <c:v>461742.9208223247</c:v>
                </c:pt>
                <c:pt idx="3">
                  <c:v>680245.96913645486</c:v>
                </c:pt>
                <c:pt idx="4">
                  <c:v>890811.1333111953</c:v>
                </c:pt>
                <c:pt idx="5">
                  <c:v>1093667.5546168792</c:v>
                </c:pt>
                <c:pt idx="6">
                  <c:v>1289042.4912357426</c:v>
                </c:pt>
                <c:pt idx="7">
                  <c:v>1477160.9011068591</c:v>
                </c:pt>
                <c:pt idx="8">
                  <c:v>1658245.0662689006</c:v>
                </c:pt>
                <c:pt idx="9">
                  <c:v>1832514.2567040266</c:v>
                </c:pt>
                <c:pt idx="10">
                  <c:v>2000184.4316435801</c:v>
                </c:pt>
                <c:pt idx="11">
                  <c:v>2161467.9762732317</c:v>
                </c:pt>
                <c:pt idx="12">
                  <c:v>2316573.4717730633</c:v>
                </c:pt>
                <c:pt idx="13">
                  <c:v>2465705.4966413723</c:v>
                </c:pt>
                <c:pt idx="14">
                  <c:v>2609064.4572786754</c:v>
                </c:pt>
                <c:pt idx="15">
                  <c:v>2746846.4458489963</c:v>
                </c:pt>
                <c:pt idx="16">
                  <c:v>2879243.1234853519</c:v>
                </c:pt>
                <c:pt idx="17">
                  <c:v>3006441.6269650906</c:v>
                </c:pt>
                <c:pt idx="18">
                  <c:v>3128624.4970466923</c:v>
                </c:pt>
                <c:pt idx="19">
                  <c:v>3245969.6267294786</c:v>
                </c:pt>
                <c:pt idx="20">
                  <c:v>3358650.2277734168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JJHCC!$B$9</c:f>
              <c:numCache>
                <c:formatCode>_("$"* #,##0_);_("$"* \(#,##0\);_("$"* "-"??_);_(@_)</c:formatCode>
                <c:ptCount val="1"/>
                <c:pt idx="0">
                  <c:v>18363200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JJHCC!$C$9</c:f>
              <c:numCache>
                <c:formatCode>_("$"* #,##0_);_("$"* \(#,##0\);_("$"* "-"??_);_(@_)</c:formatCode>
                <c:ptCount val="1"/>
                <c:pt idx="0">
                  <c:v>27544800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27544800</c:v>
                </c:pt>
              </c:numCache>
            </c:numRef>
          </c:xVal>
          <c:yVal>
            <c:numRef>
              <c:f>JJHCC!$F$9</c:f>
              <c:numCache>
                <c:formatCode>#,##0</c:formatCode>
                <c:ptCount val="1"/>
                <c:pt idx="0">
                  <c:v>1863447.2728889734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4856064"/>
        <c:axId val="344866816"/>
      </c:scatterChart>
      <c:valAx>
        <c:axId val="34485606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344866816"/>
        <c:crosses val="autoZero"/>
        <c:crossBetween val="midCat"/>
        <c:dispUnits>
          <c:builtInUnit val="thousands"/>
        </c:dispUnits>
      </c:valAx>
      <c:valAx>
        <c:axId val="3448668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44856064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MCM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>
              <c:idx val="0"/>
              <c:layout>
                <c:manualLayout>
                  <c:x val="0"/>
                  <c:y val="2.1097046413502109E-2"/>
                </c:manualLayout>
              </c:layout>
              <c:dLblPos val="r"/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JJMCM!$I$9</c:f>
              <c:numCache>
                <c:formatCode>#,##0</c:formatCode>
                <c:ptCount val="1"/>
                <c:pt idx="0">
                  <c:v>378283.24113526288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JJMCM!$F$2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JJMCM!$C$22:$C$42</c:f>
              <c:numCache>
                <c:formatCode>#,##0</c:formatCode>
                <c:ptCount val="21"/>
                <c:pt idx="0">
                  <c:v>0</c:v>
                </c:pt>
                <c:pt idx="1">
                  <c:v>79507.11028868884</c:v>
                </c:pt>
                <c:pt idx="2">
                  <c:v>155573.41787305035</c:v>
                </c:pt>
                <c:pt idx="3">
                  <c:v>228339.32048574736</c:v>
                </c:pt>
                <c:pt idx="4">
                  <c:v>297940.23231110803</c:v>
                </c:pt>
                <c:pt idx="5">
                  <c:v>364506.69405063009</c:v>
                </c:pt>
                <c:pt idx="6">
                  <c:v>428164.48713928397</c:v>
                </c:pt>
                <c:pt idx="7">
                  <c:v>489034.75126725488</c:v>
                </c:pt>
                <c:pt idx="8">
                  <c:v>547234.10443962505</c:v>
                </c:pt>
                <c:pt idx="9">
                  <c:v>602874.76487850724</c:v>
                </c:pt>
                <c:pt idx="10">
                  <c:v>656064.6741417466</c:v>
                </c:pt>
                <c:pt idx="11">
                  <c:v>706907.62089403975</c:v>
                </c:pt>
                <c:pt idx="12">
                  <c:v>755503.36482708924</c:v>
                </c:pt>
                <c:pt idx="13">
                  <c:v>801947.76027903578</c:v>
                </c:pt>
                <c:pt idx="14">
                  <c:v>846332.8791548044</c:v>
                </c:pt>
                <c:pt idx="15">
                  <c:v>888747.13279554097</c:v>
                </c:pt>
                <c:pt idx="16">
                  <c:v>929275.39248845901</c:v>
                </c:pt>
                <c:pt idx="17">
                  <c:v>967999.10834809521</c:v>
                </c:pt>
                <c:pt idx="18">
                  <c:v>1004996.4263360974</c:v>
                </c:pt>
                <c:pt idx="19">
                  <c:v>1040342.3032200276</c:v>
                </c:pt>
                <c:pt idx="20">
                  <c:v>1074108.6193015403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JJMCM!$B$9</c:f>
              <c:numCache>
                <c:formatCode>_("$"* #,##0_);_("$"* \(#,##0\);_("$"* "-"??_);_(@_)</c:formatCode>
                <c:ptCount val="1"/>
                <c:pt idx="0">
                  <c:v>6255187.2000000002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JJMCM!$C$9</c:f>
              <c:numCache>
                <c:formatCode>_("$"* #,##0_);_("$"* \(#,##0\);_("$"* "-"??_);_(@_)</c:formatCode>
                <c:ptCount val="1"/>
                <c:pt idx="0">
                  <c:v>9382780.7999999989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dLbl>
              <c:idx val="0"/>
              <c:layout>
                <c:manualLayout>
                  <c:x val="1.1887779362814982E-2"/>
                  <c:y val="-2.461322081575246E-2"/>
                </c:manualLayout>
              </c:layout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9382780.7999999989</c:v>
                </c:pt>
              </c:numCache>
            </c:numRef>
          </c:xVal>
          <c:yVal>
            <c:numRef>
              <c:f>JJMCM!$F$9</c:f>
              <c:numCache>
                <c:formatCode>#,##0</c:formatCode>
                <c:ptCount val="1"/>
                <c:pt idx="0">
                  <c:v>443957.99322214938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7341184"/>
        <c:axId val="347343488"/>
      </c:scatterChart>
      <c:valAx>
        <c:axId val="34734118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MCM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347343488"/>
        <c:crosses val="autoZero"/>
        <c:crossBetween val="midCat"/>
        <c:dispUnits>
          <c:builtInUnit val="thousands"/>
        </c:dispUnits>
      </c:valAx>
      <c:valAx>
        <c:axId val="3473434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47341184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HCC Pharmacy Acquisition</a:t>
            </a:r>
            <a:r>
              <a:rPr lang="en-US" sz="1200" baseline="0"/>
              <a:t> </a:t>
            </a:r>
            <a:r>
              <a:rPr lang="en-US" sz="1200"/>
              <a:t>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4782666</c:v>
                </c:pt>
              </c:numCache>
            </c:numRef>
          </c:xVal>
          <c:yVal>
            <c:numRef>
              <c:f>JJHCC_ACQ!$I$9</c:f>
              <c:numCache>
                <c:formatCode>#,##0</c:formatCode>
                <c:ptCount val="1"/>
                <c:pt idx="0">
                  <c:v>91344.414528190871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JJHCC_ACQ!$F$2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JJHCC_ACQ!$C$22:$C$42</c:f>
              <c:numCache>
                <c:formatCode>#,##0</c:formatCode>
                <c:ptCount val="21"/>
                <c:pt idx="0">
                  <c:v>0</c:v>
                </c:pt>
                <c:pt idx="1">
                  <c:v>19694.374199160717</c:v>
                </c:pt>
                <c:pt idx="2">
                  <c:v>39069.406487308843</c:v>
                </c:pt>
                <c:pt idx="3">
                  <c:v>58130.06781013259</c:v>
                </c:pt>
                <c:pt idx="4">
                  <c:v>76881.258540774928</c:v>
                </c:pt>
                <c:pt idx="5">
                  <c:v>95327.809255052722</c:v>
                </c:pt>
                <c:pt idx="6">
                  <c:v>113474.48150603171</c:v>
                </c:pt>
                <c:pt idx="7">
                  <c:v>131325.9685978927</c:v>
                </c:pt>
                <c:pt idx="8">
                  <c:v>148886.89635834811</c:v>
                </c:pt>
                <c:pt idx="9">
                  <c:v>166161.82390978068</c:v>
                </c:pt>
                <c:pt idx="10">
                  <c:v>183155.24443830978</c:v>
                </c:pt>
                <c:pt idx="11">
                  <c:v>199871.58596087093</c:v>
                </c:pt>
                <c:pt idx="12">
                  <c:v>216315.21208989044</c:v>
                </c:pt>
                <c:pt idx="13">
                  <c:v>232490.4227951568</c:v>
                </c:pt>
                <c:pt idx="14">
                  <c:v>248401.45516293292</c:v>
                </c:pt>
                <c:pt idx="15">
                  <c:v>264052.48415179277</c:v>
                </c:pt>
                <c:pt idx="16">
                  <c:v>279447.62334514031</c:v>
                </c:pt>
                <c:pt idx="17">
                  <c:v>294590.92570003413</c:v>
                </c:pt>
                <c:pt idx="18">
                  <c:v>309486.3842922973</c:v>
                </c:pt>
                <c:pt idx="19">
                  <c:v>324137.93305757787</c:v>
                </c:pt>
                <c:pt idx="20">
                  <c:v>338549.44752814772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JJHCC_ACQ!$B$9</c:f>
              <c:numCache>
                <c:formatCode>_("$"* #,##0_);_("$"* \(#,##0\);_("$"* "-"??_);_(@_)</c:formatCode>
                <c:ptCount val="1"/>
                <c:pt idx="0">
                  <c:v>3826132.8000000003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JJHCC_ACQ!$C$9</c:f>
              <c:numCache>
                <c:formatCode>_("$"* #,##0_);_("$"* \(#,##0\);_("$"* "-"??_);_(@_)</c:formatCode>
                <c:ptCount val="1"/>
                <c:pt idx="0">
                  <c:v>5739199.2000000002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dLbl>
              <c:idx val="0"/>
              <c:layout>
                <c:manualLayout>
                  <c:x val="-2.3946360153256703E-3"/>
                  <c:y val="2.5528811086797956E-2"/>
                </c:manualLayout>
              </c:layout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5739199.2000000002</c:v>
                </c:pt>
              </c:numCache>
            </c:numRef>
          </c:xVal>
          <c:yVal>
            <c:numRef>
              <c:f>JJHCC_ACQ!$F$9</c:f>
              <c:numCache>
                <c:formatCode>#,##0</c:formatCode>
                <c:ptCount val="1"/>
                <c:pt idx="0">
                  <c:v>108770.45724810039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7388928"/>
        <c:axId val="347399680"/>
      </c:scatterChart>
      <c:valAx>
        <c:axId val="34738892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Pharmacy Acquisition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347399680"/>
        <c:crosses val="autoZero"/>
        <c:crossBetween val="midCat"/>
        <c:dispUnits>
          <c:builtInUnit val="thousands"/>
        </c:dispUnits>
      </c:valAx>
      <c:valAx>
        <c:axId val="347399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47388928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HCC Adherence</a:t>
            </a:r>
            <a:r>
              <a:rPr lang="en-US" sz="1200" baseline="0"/>
              <a:t> </a:t>
            </a:r>
            <a:r>
              <a:rPr lang="en-US" sz="1200"/>
              <a:t>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JJHCC_ADH!$G$9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JJHCC_ADH!$I$9</c:f>
              <c:numCache>
                <c:formatCode>#,##0</c:formatCode>
                <c:ptCount val="1"/>
                <c:pt idx="0">
                  <c:v>360832.73711340129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JJHCC_ADH!$F$2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JJHCC_ADH!$C$22:$C$42</c:f>
              <c:numCache>
                <c:formatCode>#,##0</c:formatCode>
                <c:ptCount val="21"/>
                <c:pt idx="0">
                  <c:v>0</c:v>
                </c:pt>
                <c:pt idx="1">
                  <c:v>61226.401077322662</c:v>
                </c:pt>
                <c:pt idx="2">
                  <c:v>120994.72060368396</c:v>
                </c:pt>
                <c:pt idx="3">
                  <c:v>179325.91864795052</c:v>
                </c:pt>
                <c:pt idx="4">
                  <c:v>236241.44401214831</c:v>
                </c:pt>
                <c:pt idx="5">
                  <c:v>291763.17912199162</c:v>
                </c:pt>
                <c:pt idx="6">
                  <c:v>345913.38696239889</c:v>
                </c:pt>
                <c:pt idx="7">
                  <c:v>398714.66009361669</c:v>
                </c:pt>
                <c:pt idx="8">
                  <c:v>450189.87177247368</c:v>
                </c:pt>
                <c:pt idx="9">
                  <c:v>500362.12919285521</c:v>
                </c:pt>
                <c:pt idx="10">
                  <c:v>549254.72884996422</c:v>
                </c:pt>
                <c:pt idx="11">
                  <c:v>596891.11402404681</c:v>
                </c:pt>
                <c:pt idx="12">
                  <c:v>643294.8343712315</c:v>
                </c:pt>
                <c:pt idx="13">
                  <c:v>688489.50760174915</c:v>
                </c:pt>
                <c:pt idx="14">
                  <c:v>732498.78321923688</c:v>
                </c:pt>
                <c:pt idx="15">
                  <c:v>775346.30828877538</c:v>
                </c:pt>
                <c:pt idx="16">
                  <c:v>817055.69519616477</c:v>
                </c:pt>
                <c:pt idx="17">
                  <c:v>857650.49135614</c:v>
                </c:pt>
                <c:pt idx="18">
                  <c:v>897154.15082335845</c:v>
                </c:pt>
                <c:pt idx="19">
                  <c:v>935590.00775624253</c:v>
                </c:pt>
                <c:pt idx="20">
                  <c:v>972981.25168112665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JJHCC_ADH!$B$9</c:f>
              <c:numCache>
                <c:formatCode>_("$"* #,##0_);_("$"* \(#,##0\);_("$"* "-"??_);_(@_)</c:formatCode>
                <c:ptCount val="1"/>
                <c:pt idx="0">
                  <c:v>12560000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JJHCC_ADH!$C$9</c:f>
              <c:numCache>
                <c:formatCode>_("$"* #,##0_);_("$"* \(#,##0\);_("$"* "-"??_);_(@_)</c:formatCode>
                <c:ptCount val="1"/>
                <c:pt idx="0">
                  <c:v>18840000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dLbl>
              <c:idx val="0"/>
              <c:layout>
                <c:manualLayout>
                  <c:x val="-7.1024591386303982E-3"/>
                  <c:y val="6.1594202898550728E-2"/>
                </c:manualLayout>
              </c:layout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JJHCC_ADH!$D$9</c:f>
              <c:numCache>
                <c:formatCode>_("$"* #,##0_);_("$"* \(#,##0\);_("$"* "-"??_);_(@_)</c:formatCode>
                <c:ptCount val="1"/>
                <c:pt idx="0">
                  <c:v>18840000</c:v>
                </c:pt>
              </c:numCache>
            </c:numRef>
          </c:xVal>
          <c:yVal>
            <c:numRef>
              <c:f>JJHCC_ADH!$F$9</c:f>
              <c:numCache>
                <c:formatCode>#,##0</c:formatCode>
                <c:ptCount val="1"/>
                <c:pt idx="0">
                  <c:v>426468.80566668883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7467776"/>
        <c:axId val="347470080"/>
      </c:scatterChart>
      <c:valAx>
        <c:axId val="34746777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Adherence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347470080"/>
        <c:crosses val="autoZero"/>
        <c:crossBetween val="midCat"/>
        <c:dispUnits>
          <c:builtInUnit val="thousands"/>
        </c:dispUnits>
      </c:valAx>
      <c:valAx>
        <c:axId val="3474700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47467776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Januvia: Estimated 3-year </a:t>
            </a:r>
            <a:r>
              <a:rPr lang="en-US" sz="1200">
                <a:solidFill>
                  <a:sysClr val="windowText" lastClr="000000"/>
                </a:solidFill>
              </a:rPr>
              <a:t>Incr. Revenue </a:t>
            </a:r>
            <a:r>
              <a:rPr lang="en-US" sz="1200"/>
              <a:t>from Samples</a:t>
            </a:r>
          </a:p>
        </c:rich>
      </c:tx>
      <c:overlay val="0"/>
      <c:spPr>
        <a:solidFill>
          <a:sysClr val="window" lastClr="FFFFFF"/>
        </a:solidFill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numFmt formatCode="&quot;$&quot;#,##0.0" sourceLinked="0"/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JJ_Optim_Scenario!$G$34</c:f>
              <c:numCache>
                <c:formatCode>_("$"* #,##0_);_("$"* \(#,##0\);_("$"* "-"_);_(@_)</c:formatCode>
                <c:ptCount val="1"/>
                <c:pt idx="0">
                  <c:v>224062062.59258214</c:v>
                </c:pt>
              </c:numCache>
            </c:numRef>
          </c:yVal>
          <c:smooth val="0"/>
        </c:ser>
        <c:ser>
          <c:idx val="1"/>
          <c:order val="1"/>
          <c:tx>
            <c:v>Incr. Rev.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28373584.365489364</c:v>
                </c:pt>
                <c:pt idx="2">
                  <c:v>56653849.649874195</c:v>
                </c:pt>
                <c:pt idx="3">
                  <c:v>84840795.85315448</c:v>
                </c:pt>
                <c:pt idx="4">
                  <c:v>112934422.97533022</c:v>
                </c:pt>
                <c:pt idx="5">
                  <c:v>140934731.01640144</c:v>
                </c:pt>
                <c:pt idx="6">
                  <c:v>168841719.9763681</c:v>
                </c:pt>
                <c:pt idx="7">
                  <c:v>196655389.85523024</c:v>
                </c:pt>
                <c:pt idx="8">
                  <c:v>224375740.65298784</c:v>
                </c:pt>
                <c:pt idx="9">
                  <c:v>252002772.36964089</c:v>
                </c:pt>
                <c:pt idx="10">
                  <c:v>279536485.00518936</c:v>
                </c:pt>
                <c:pt idx="11">
                  <c:v>306976878.55963331</c:v>
                </c:pt>
                <c:pt idx="12">
                  <c:v>334323953.03297281</c:v>
                </c:pt>
                <c:pt idx="13">
                  <c:v>361577708.42520767</c:v>
                </c:pt>
                <c:pt idx="14">
                  <c:v>388738144.73633808</c:v>
                </c:pt>
                <c:pt idx="15">
                  <c:v>415805261.96636391</c:v>
                </c:pt>
                <c:pt idx="16">
                  <c:v>442779060.11528516</c:v>
                </c:pt>
                <c:pt idx="17">
                  <c:v>469659539.18310189</c:v>
                </c:pt>
                <c:pt idx="18">
                  <c:v>496446699.16981411</c:v>
                </c:pt>
                <c:pt idx="19">
                  <c:v>523140540.07542175</c:v>
                </c:pt>
                <c:pt idx="20">
                  <c:v>549741061.89992487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JANSample!$B$9</c:f>
              <c:numCache>
                <c:formatCode>"$"#,##0</c:formatCode>
                <c:ptCount val="1"/>
                <c:pt idx="0">
                  <c:v>4793199.2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JANSample!$C$9</c:f>
              <c:numCache>
                <c:formatCode>"$"#,##0</c:formatCode>
                <c:ptCount val="1"/>
                <c:pt idx="0">
                  <c:v>7189798.7999999998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numFmt formatCode="&quot;$&quot;#,##0.0" sourceLinked="0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JJ_Optim_Scenario!$H$34</c:f>
              <c:numCache>
                <c:formatCode>_("$"* #,##0_);_("$"* \(#,##0\);_("$"* "-"??_);_(@_)</c:formatCode>
                <c:ptCount val="1"/>
                <c:pt idx="0">
                  <c:v>7189798.7999999998</c:v>
                </c:pt>
              </c:numCache>
            </c:numRef>
          </c:xVal>
          <c:yVal>
            <c:numRef>
              <c:f>JJ_Optim_Scenario!$J$34</c:f>
              <c:numCache>
                <c:formatCode>_("$"* #,##0_);_("$"* \(#,##0\);_("$"* "-"_);_(@_)</c:formatCode>
                <c:ptCount val="1"/>
                <c:pt idx="0">
                  <c:v>268159813.99162084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7105920"/>
        <c:axId val="347112576"/>
      </c:scatterChart>
      <c:valAx>
        <c:axId val="34710592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Sample Spend (in MM $)</a:t>
                </a:r>
              </a:p>
            </c:rich>
          </c:tx>
          <c:overlay val="0"/>
        </c:title>
        <c:numFmt formatCode="&quot;$&quot;#,##0.0" sourceLinked="0"/>
        <c:majorTickMark val="out"/>
        <c:minorTickMark val="none"/>
        <c:tickLblPos val="nextTo"/>
        <c:crossAx val="347112576"/>
        <c:crosses val="autoZero"/>
        <c:crossBetween val="midCat"/>
        <c:dispUnits>
          <c:builtInUnit val="millions"/>
        </c:dispUnits>
      </c:valAx>
      <c:valAx>
        <c:axId val="3471125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r>
                  <a:rPr lang="en-US">
                    <a:solidFill>
                      <a:sysClr val="windowText" lastClr="000000"/>
                    </a:solidFill>
                  </a:rPr>
                  <a:t>3-year Incr. Revenue (in MM $)</a:t>
                </a:r>
              </a:p>
            </c:rich>
          </c:tx>
          <c:overlay val="0"/>
        </c:title>
        <c:numFmt formatCode="_(&quot;$&quot;* #,##0_);_(&quot;$&quot;* \(#,##0\);_(&quot;$&quot;* &quot;-&quot;_);_(@_)" sourceLinked="1"/>
        <c:majorTickMark val="out"/>
        <c:minorTickMark val="none"/>
        <c:tickLblPos val="nextTo"/>
        <c:crossAx val="347105920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Janumet: Estimated </a:t>
            </a:r>
            <a:r>
              <a:rPr lang="en-US" sz="1200" b="1" i="0" u="none" strike="noStrike" baseline="0">
                <a:effectLst/>
              </a:rPr>
              <a:t>3-year Incr. Revenue</a:t>
            </a:r>
            <a:r>
              <a:rPr lang="en-US" sz="1200">
                <a:solidFill>
                  <a:srgbClr val="0000FF"/>
                </a:solidFill>
              </a:rPr>
              <a:t> </a:t>
            </a:r>
            <a:r>
              <a:rPr lang="en-US" sz="1200"/>
              <a:t>from Samples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numFmt formatCode="&quot;$&quot;#,##0.0" sourceLinked="0"/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JJ_Optim_Scenario!$D$35</c:f>
              <c:numCache>
                <c:formatCode>_("$"* #,##0_);_("$"* \(#,##0\);_("$"* "-"??_);_(@_)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JJ_Optim_Scenario!$G$35</c:f>
              <c:numCache>
                <c:formatCode>_("$"* #,##0_);_("$"* \(#,##0\);_("$"* "-"_);_(@_)</c:formatCode>
                <c:ptCount val="1"/>
                <c:pt idx="0">
                  <c:v>258183807.50430843</c:v>
                </c:pt>
              </c:numCache>
            </c:numRef>
          </c:yVal>
          <c:smooth val="0"/>
        </c:ser>
        <c:ser>
          <c:idx val="1"/>
          <c:order val="1"/>
          <c:tx>
            <c:v>Incr. Rev.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33049720.688127641</c:v>
                </c:pt>
                <c:pt idx="2">
                  <c:v>66107858.740741633</c:v>
                </c:pt>
                <c:pt idx="3">
                  <c:v>99174414.15784201</c:v>
                </c:pt>
                <c:pt idx="4">
                  <c:v>132249386.93942873</c:v>
                </c:pt>
                <c:pt idx="5">
                  <c:v>165332777.08550182</c:v>
                </c:pt>
                <c:pt idx="6">
                  <c:v>198424584.59606126</c:v>
                </c:pt>
                <c:pt idx="7">
                  <c:v>231524809.47110707</c:v>
                </c:pt>
                <c:pt idx="8">
                  <c:v>264633451.71063921</c:v>
                </c:pt>
                <c:pt idx="9">
                  <c:v>297750511.31465775</c:v>
                </c:pt>
                <c:pt idx="10">
                  <c:v>330875988.28316259</c:v>
                </c:pt>
                <c:pt idx="11">
                  <c:v>364009882.61615384</c:v>
                </c:pt>
                <c:pt idx="12">
                  <c:v>397152194.31363147</c:v>
                </c:pt>
                <c:pt idx="13">
                  <c:v>430302923.37559539</c:v>
                </c:pt>
                <c:pt idx="14">
                  <c:v>463462069.8020457</c:v>
                </c:pt>
                <c:pt idx="15">
                  <c:v>496629633.59298241</c:v>
                </c:pt>
                <c:pt idx="16">
                  <c:v>529805614.74840552</c:v>
                </c:pt>
                <c:pt idx="17">
                  <c:v>562990013.26831484</c:v>
                </c:pt>
                <c:pt idx="18">
                  <c:v>596182829.15271056</c:v>
                </c:pt>
                <c:pt idx="19">
                  <c:v>629384062.40159273</c:v>
                </c:pt>
                <c:pt idx="20">
                  <c:v>662593713.01496136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JMTSample!$B$9</c:f>
              <c:numCache>
                <c:formatCode>"$"#,##0</c:formatCode>
                <c:ptCount val="1"/>
                <c:pt idx="0">
                  <c:v>12488348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JMTSample!$C$9</c:f>
              <c:numCache>
                <c:formatCode>"$"#,##0</c:formatCode>
                <c:ptCount val="1"/>
                <c:pt idx="0">
                  <c:v>18732522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numFmt formatCode="&quot;$&quot;#,##0.0" sourceLinked="0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JJ_Optim_Scenario!$H$35</c:f>
              <c:numCache>
                <c:formatCode>_("$"* #,##0_);_("$"* \(#,##0\);_("$"* "-"??_);_(@_)</c:formatCode>
                <c:ptCount val="1"/>
                <c:pt idx="0">
                  <c:v>18732522</c:v>
                </c:pt>
              </c:numCache>
            </c:numRef>
          </c:xVal>
          <c:yVal>
            <c:numRef>
              <c:f>JJ_Optim_Scenario!$J$35</c:f>
              <c:numCache>
                <c:formatCode>_("$"* #,##0_);_("$"* \(#,##0\);_("$"* "-"_);_(@_)</c:formatCode>
                <c:ptCount val="1"/>
                <c:pt idx="0">
                  <c:v>309882104.74105465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7514368"/>
        <c:axId val="347222016"/>
      </c:scatterChart>
      <c:valAx>
        <c:axId val="34751436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Janumet Sample Spend (in MM $)</a:t>
                </a:r>
              </a:p>
            </c:rich>
          </c:tx>
          <c:overlay val="0"/>
        </c:title>
        <c:numFmt formatCode="&quot;$&quot;#,##0.0" sourceLinked="0"/>
        <c:majorTickMark val="out"/>
        <c:minorTickMark val="none"/>
        <c:tickLblPos val="nextTo"/>
        <c:crossAx val="347222016"/>
        <c:crosses val="autoZero"/>
        <c:crossBetween val="midCat"/>
        <c:dispUnits>
          <c:builtInUnit val="millions"/>
        </c:dispUnits>
      </c:valAx>
      <c:valAx>
        <c:axId val="3472220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baseline="0">
                    <a:effectLst/>
                  </a:rPr>
                  <a:t>3-year Incr. Revenue (in MM $)</a:t>
                </a:r>
                <a:endParaRPr lang="en-US" sz="1000">
                  <a:effectLst/>
                </a:endParaRPr>
              </a:p>
            </c:rich>
          </c:tx>
          <c:overlay val="0"/>
        </c:title>
        <c:numFmt formatCode="_(&quot;$&quot;* #,##0_);_(&quot;$&quot;* \(#,##0\);_(&quot;$&quot;* &quot;-&quot;_);_(@_)" sourceLinked="1"/>
        <c:majorTickMark val="out"/>
        <c:minorTickMark val="none"/>
        <c:tickLblPos val="nextTo"/>
        <c:crossAx val="347514368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 b="1" i="0" u="none" strike="noStrike" baseline="0">
                <a:effectLst/>
              </a:rPr>
              <a:t>3-year Incr. Revenue</a:t>
            </a:r>
            <a:r>
              <a:rPr lang="en-US" sz="1200"/>
              <a:t> from Voucher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numFmt formatCode="&quot;$&quot;#,##0.0" sourceLinked="0"/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JJ_Optim_Scenario!$D$36</c:f>
              <c:numCache>
                <c:formatCode>_("$"* #,##0_);_("$"* \(#,##0\);_("$"* "-"??_);_(@_)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JJ_Optim_Scenario!$G$36</c:f>
              <c:numCache>
                <c:formatCode>_("$"* #,##0_);_("$"* \(#,##0\);_("$"* "-"_);_(@_)</c:formatCode>
                <c:ptCount val="1"/>
                <c:pt idx="0">
                  <c:v>14599034.153230662</c:v>
                </c:pt>
              </c:numCache>
            </c:numRef>
          </c:yVal>
          <c:smooth val="0"/>
        </c:ser>
        <c:ser>
          <c:idx val="1"/>
          <c:order val="1"/>
          <c:tx>
            <c:v>Incr. Rev.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1918481.163253288</c:v>
                </c:pt>
                <c:pt idx="2">
                  <c:v>3836981.5016745832</c:v>
                </c:pt>
                <c:pt idx="3">
                  <c:v>5755501.0152638862</c:v>
                </c:pt>
                <c:pt idx="4">
                  <c:v>7674039.7040211959</c:v>
                </c:pt>
                <c:pt idx="5">
                  <c:v>9592597.5679465123</c:v>
                </c:pt>
                <c:pt idx="6">
                  <c:v>11511174.607039837</c:v>
                </c:pt>
                <c:pt idx="7">
                  <c:v>13429770.821301168</c:v>
                </c:pt>
                <c:pt idx="8">
                  <c:v>15348386.210730504</c:v>
                </c:pt>
                <c:pt idx="9">
                  <c:v>17267020.775327854</c:v>
                </c:pt>
                <c:pt idx="10">
                  <c:v>19185674.515093207</c:v>
                </c:pt>
                <c:pt idx="11">
                  <c:v>21104347.430026565</c:v>
                </c:pt>
                <c:pt idx="12">
                  <c:v>23023039.520127933</c:v>
                </c:pt>
                <c:pt idx="13">
                  <c:v>24941750.785397302</c:v>
                </c:pt>
                <c:pt idx="14">
                  <c:v>26860481.22583469</c:v>
                </c:pt>
                <c:pt idx="15">
                  <c:v>28779230.841440078</c:v>
                </c:pt>
                <c:pt idx="16">
                  <c:v>30697999.63221347</c:v>
                </c:pt>
                <c:pt idx="17">
                  <c:v>32616787.598154876</c:v>
                </c:pt>
                <c:pt idx="18">
                  <c:v>34535594.739264287</c:v>
                </c:pt>
                <c:pt idx="19">
                  <c:v>36454421.055541702</c:v>
                </c:pt>
                <c:pt idx="20">
                  <c:v>38373266.546987124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JJVCH!$B$9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JJVCH!$C$9</c:f>
              <c:numCache>
                <c:formatCode>"$"#,##0</c:formatCode>
                <c:ptCount val="1"/>
                <c:pt idx="0">
                  <c:v>4565659.2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numFmt formatCode="&quot;$&quot;#,##0.0" sourceLinked="0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JJ_Optim_Scenario!$H$36</c:f>
              <c:numCache>
                <c:formatCode>_("$"* #,##0_);_("$"* \(#,##0\);_("$"* "-"??_);_(@_)</c:formatCode>
                <c:ptCount val="1"/>
                <c:pt idx="0">
                  <c:v>4565659.2</c:v>
                </c:pt>
              </c:numCache>
            </c:numRef>
          </c:xVal>
          <c:yVal>
            <c:numRef>
              <c:f>JJ_Optim_Scenario!$J$36</c:f>
              <c:numCache>
                <c:formatCode>_("$"* #,##0_);_("$"* \(#,##0\);_("$"* "-"_);_(@_)</c:formatCode>
                <c:ptCount val="1"/>
                <c:pt idx="0">
                  <c:v>17518974.220894966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7292032"/>
        <c:axId val="347294336"/>
      </c:scatterChart>
      <c:valAx>
        <c:axId val="34729203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Voucher Spend (in '000 $)</a:t>
                </a:r>
              </a:p>
            </c:rich>
          </c:tx>
          <c:overlay val="0"/>
        </c:title>
        <c:numFmt formatCode="&quot;$&quot;#,##0.0" sourceLinked="0"/>
        <c:majorTickMark val="out"/>
        <c:minorTickMark val="none"/>
        <c:tickLblPos val="nextTo"/>
        <c:crossAx val="347294336"/>
        <c:crosses val="autoZero"/>
        <c:crossBetween val="midCat"/>
        <c:dispUnits>
          <c:builtInUnit val="millions"/>
        </c:dispUnits>
      </c:valAx>
      <c:valAx>
        <c:axId val="3472943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00">
                    <a:solidFill>
                      <a:sysClr val="windowText" lastClr="000000"/>
                    </a:solidFill>
                  </a:defRPr>
                </a:pPr>
                <a:r>
                  <a:rPr lang="en-US" sz="1000" b="1" i="0" baseline="0">
                    <a:solidFill>
                      <a:sysClr val="windowText" lastClr="000000"/>
                    </a:solidFill>
                    <a:effectLst/>
                  </a:rPr>
                  <a:t>3-year Incr. Revenue (in MM $)</a:t>
                </a:r>
                <a:endParaRPr lang="en-US" sz="1000">
                  <a:solidFill>
                    <a:sysClr val="windowText" lastClr="000000"/>
                  </a:solidFill>
                  <a:effectLst/>
                </a:endParaRPr>
              </a:p>
            </c:rich>
          </c:tx>
          <c:overlay val="0"/>
        </c:title>
        <c:numFmt formatCode="_(&quot;$&quot;* #,##0_);_(&quot;$&quot;* \(#,##0\);_(&quot;$&quot;* &quot;-&quot;_);_(@_)" sourceLinked="1"/>
        <c:majorTickMark val="out"/>
        <c:minorTickMark val="none"/>
        <c:tickLblPos val="nextTo"/>
        <c:crossAx val="347292032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 b="1" i="0" baseline="0">
                <a:effectLst/>
              </a:rPr>
              <a:t>Januvia Family: Estimated </a:t>
            </a:r>
            <a:r>
              <a:rPr lang="en-US" sz="1200" b="1" i="0" u="none" strike="noStrike" baseline="0">
                <a:effectLst/>
              </a:rPr>
              <a:t>3-year Incr. Revenue</a:t>
            </a:r>
            <a:r>
              <a:rPr lang="en-US" sz="1200" b="1" i="0" baseline="0">
                <a:effectLst/>
              </a:rPr>
              <a:t> from MMF</a:t>
            </a:r>
            <a:endParaRPr lang="en-US" sz="1200">
              <a:effectLst/>
            </a:endParaRP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numFmt formatCode="&quot;$&quot;#,##0.0" sourceLinked="0"/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JJ_Optim_Scenario!$D$37</c:f>
              <c:numCache>
                <c:formatCode>_("$"* #,##0_);_("$"* \(#,##0\);_("$"* "-"??_);_(@_)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JJ_Optim_Scenario!$G$37</c:f>
              <c:numCache>
                <c:formatCode>_("$"* #,##0_);_("$"* \(#,##0\);_("$"* "-"_);_(@_)</c:formatCode>
                <c:ptCount val="1"/>
                <c:pt idx="0">
                  <c:v>2490935.0472509274</c:v>
                </c:pt>
              </c:numCache>
            </c:numRef>
          </c:yVal>
          <c:smooth val="0"/>
        </c:ser>
        <c:ser>
          <c:idx val="1"/>
          <c:order val="1"/>
          <c:tx>
            <c:v>Incr. Rev.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JJMMF!$D$30:$D$50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703853.55877536966</c:v>
                </c:pt>
                <c:pt idx="2">
                  <c:v>1333578.4064506467</c:v>
                </c:pt>
                <c:pt idx="3">
                  <c:v>1850974.5836547194</c:v>
                </c:pt>
                <c:pt idx="4">
                  <c:v>2302983.3816482755</c:v>
                </c:pt>
                <c:pt idx="5">
                  <c:v>2716412.0582507034</c:v>
                </c:pt>
                <c:pt idx="6">
                  <c:v>3065445.4764053603</c:v>
                </c:pt>
                <c:pt idx="7">
                  <c:v>3349869.7676340495</c:v>
                </c:pt>
                <c:pt idx="8">
                  <c:v>3596245.1515711565</c:v>
                </c:pt>
                <c:pt idx="9">
                  <c:v>3816026.364329217</c:v>
                </c:pt>
                <c:pt idx="10">
                  <c:v>4011306.5381120034</c:v>
                </c:pt>
                <c:pt idx="11">
                  <c:v>4184064.5468878993</c:v>
                </c:pt>
                <c:pt idx="12">
                  <c:v>4336261.3805715209</c:v>
                </c:pt>
                <c:pt idx="13">
                  <c:v>4469798.3244956825</c:v>
                </c:pt>
                <c:pt idx="14">
                  <c:v>4586564.2198148491</c:v>
                </c:pt>
                <c:pt idx="15">
                  <c:v>4688447.907683488</c:v>
                </c:pt>
                <c:pt idx="16">
                  <c:v>4777338.2292560609</c:v>
                </c:pt>
                <c:pt idx="17">
                  <c:v>4855124.025687038</c:v>
                </c:pt>
                <c:pt idx="18">
                  <c:v>4923694.1381308818</c:v>
                </c:pt>
                <c:pt idx="19">
                  <c:v>4984937.4077420589</c:v>
                </c:pt>
                <c:pt idx="20">
                  <c:v>5040742.6756750345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JJMMF!$B$9</c:f>
              <c:numCache>
                <c:formatCode>"$"#,##0</c:formatCode>
                <c:ptCount val="1"/>
                <c:pt idx="0">
                  <c:v>3552000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JJMMF!$C$9</c:f>
              <c:numCache>
                <c:formatCode>"$"#,##0</c:formatCode>
                <c:ptCount val="1"/>
                <c:pt idx="0">
                  <c:v>5328000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numFmt formatCode="&quot;$&quot;#,##0.0" sourceLinked="0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JJ_Optim_Scenario!$H$37</c:f>
              <c:numCache>
                <c:formatCode>_("$"* #,##0_);_("$"* \(#,##0\);_("$"* "-"??_);_(@_)</c:formatCode>
                <c:ptCount val="1"/>
                <c:pt idx="0">
                  <c:v>4107540.0292513319</c:v>
                </c:pt>
              </c:numCache>
            </c:numRef>
          </c:xVal>
          <c:yVal>
            <c:numRef>
              <c:f>JJ_Optim_Scenario!$J$37</c:f>
              <c:numCache>
                <c:formatCode>_("$"* #,##0_);_("$"* \(#,##0\);_("$"* "-"_);_(@_)</c:formatCode>
                <c:ptCount val="1"/>
                <c:pt idx="0">
                  <c:v>2349624.7364301258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7323392"/>
        <c:axId val="347805184"/>
      </c:scatterChart>
      <c:valAx>
        <c:axId val="34732339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MMF Spend (in MM $)</a:t>
                </a:r>
              </a:p>
            </c:rich>
          </c:tx>
          <c:overlay val="0"/>
        </c:title>
        <c:numFmt formatCode="&quot;$&quot;#,##0.0" sourceLinked="0"/>
        <c:majorTickMark val="out"/>
        <c:minorTickMark val="none"/>
        <c:tickLblPos val="nextTo"/>
        <c:crossAx val="347805184"/>
        <c:crosses val="autoZero"/>
        <c:crossBetween val="midCat"/>
        <c:dispUnits>
          <c:builtInUnit val="millions"/>
        </c:dispUnits>
      </c:valAx>
      <c:valAx>
        <c:axId val="3478051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rgbClr val="0000FF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baseline="0">
                    <a:solidFill>
                      <a:sysClr val="windowText" lastClr="000000"/>
                    </a:solidFill>
                    <a:effectLst/>
                  </a:rPr>
                  <a:t>3-year Incr. Revenue (in MM $)</a:t>
                </a:r>
                <a:endParaRPr lang="en-US" sz="1000">
                  <a:solidFill>
                    <a:sysClr val="windowText" lastClr="000000"/>
                  </a:solidFill>
                  <a:effectLst/>
                </a:endParaRPr>
              </a:p>
            </c:rich>
          </c:tx>
          <c:overlay val="0"/>
        </c:title>
        <c:numFmt formatCode="_(&quot;$&quot;* #,##0.0_);_(&quot;$&quot;* \(#,##0.0\);_(&quot;$&quot;* &quot;-&quot;?_);_(@_)" sourceLinked="0"/>
        <c:majorTickMark val="out"/>
        <c:minorTickMark val="none"/>
        <c:tickLblPos val="nextTo"/>
        <c:crossAx val="347323392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 b="1" i="0" u="none" strike="noStrike" baseline="0">
                <a:effectLst/>
              </a:rPr>
              <a:t>3-year Incr. Revenue</a:t>
            </a:r>
            <a:r>
              <a:rPr lang="en-US" sz="1200"/>
              <a:t> from HCC Programs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numFmt formatCode="&quot;$&quot;#,##0.0" sourceLinked="0"/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JJ_Optim_Scenario!$D$38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JJ_Optim_Scenario!$G$38</c:f>
              <c:numCache>
                <c:formatCode>_("$"* #,##0_);_("$"* \(#,##0\);_("$"* "-"_);_(@_)</c:formatCode>
                <c:ptCount val="1"/>
                <c:pt idx="0">
                  <c:v>154744776.41412714</c:v>
                </c:pt>
              </c:numCache>
            </c:numRef>
          </c:yVal>
          <c:smooth val="0"/>
        </c:ser>
        <c:ser>
          <c:idx val="1"/>
          <c:order val="1"/>
          <c:tx>
            <c:v>Incr. Rev.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22793569.184145041</c:v>
                </c:pt>
                <c:pt idx="2">
                  <c:v>44772644.013821252</c:v>
                </c:pt>
                <c:pt idx="3">
                  <c:v>65959669.860759467</c:v>
                </c:pt>
                <c:pt idx="4">
                  <c:v>86377003.212655365</c:v>
                </c:pt>
                <c:pt idx="5">
                  <c:v>106046862.62460285</c:v>
                </c:pt>
                <c:pt idx="6">
                  <c:v>124991284.05911189</c:v>
                </c:pt>
                <c:pt idx="7">
                  <c:v>143232080.436901</c:v>
                </c:pt>
                <c:pt idx="8">
                  <c:v>160790805.21150315</c:v>
                </c:pt>
                <c:pt idx="9">
                  <c:v>177688719.77407649</c:v>
                </c:pt>
                <c:pt idx="10">
                  <c:v>193946764.49067846</c:v>
                </c:pt>
                <c:pt idx="11">
                  <c:v>209585533.17202714</c:v>
                </c:pt>
                <c:pt idx="12">
                  <c:v>224625250.77556676</c:v>
                </c:pt>
                <c:pt idx="13">
                  <c:v>239085754.14094138</c:v>
                </c:pt>
                <c:pt idx="14">
                  <c:v>252986475.56266776</c:v>
                </c:pt>
                <c:pt idx="15">
                  <c:v>266346429.00773442</c:v>
                </c:pt>
                <c:pt idx="16">
                  <c:v>279184198.7906872</c:v>
                </c:pt>
                <c:pt idx="17">
                  <c:v>291517930.52445549</c:v>
                </c:pt>
                <c:pt idx="18">
                  <c:v>303365324.17157</c:v>
                </c:pt>
                <c:pt idx="19">
                  <c:v>314743629.02719492</c:v>
                </c:pt>
                <c:pt idx="20">
                  <c:v>325669640.47273898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JJHCC!$B$9</c:f>
              <c:numCache>
                <c:formatCode>_("$"* #,##0_);_("$"* \(#,##0\);_("$"* "-"??_);_(@_)</c:formatCode>
                <c:ptCount val="1"/>
                <c:pt idx="0">
                  <c:v>18363200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JJHCC!$C$9</c:f>
              <c:numCache>
                <c:formatCode>_("$"* #,##0_);_("$"* \(#,##0\);_("$"* "-"??_);_(@_)</c:formatCode>
                <c:ptCount val="1"/>
                <c:pt idx="0">
                  <c:v>27544800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numFmt formatCode="&quot;$&quot;#,##0.0" sourceLinked="0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JJ_Optim_Scenario!$H$38</c:f>
              <c:numCache>
                <c:formatCode>_("$"* #,##0_);_("$"* \(#,##0\);_("$"* "-"??_);_(@_)</c:formatCode>
                <c:ptCount val="1"/>
                <c:pt idx="0">
                  <c:v>27544800</c:v>
                </c:pt>
              </c:numCache>
            </c:numRef>
          </c:xVal>
          <c:yVal>
            <c:numRef>
              <c:f>JJ_Optim_Scenario!$J$38</c:f>
              <c:numCache>
                <c:formatCode>_("$"* #,##0_);_("$"* \(#,##0\);_("$"* "-"_);_(@_)</c:formatCode>
                <c:ptCount val="1"/>
                <c:pt idx="0">
                  <c:v>180688122.38420403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7850624"/>
        <c:axId val="347861376"/>
      </c:scatterChart>
      <c:valAx>
        <c:axId val="34785062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Spend (in MM $)</a:t>
                </a:r>
              </a:p>
            </c:rich>
          </c:tx>
          <c:overlay val="0"/>
        </c:title>
        <c:numFmt formatCode="&quot;$&quot;#,##0.0" sourceLinked="0"/>
        <c:majorTickMark val="out"/>
        <c:minorTickMark val="none"/>
        <c:tickLblPos val="nextTo"/>
        <c:crossAx val="347861376"/>
        <c:crosses val="autoZero"/>
        <c:crossBetween val="midCat"/>
        <c:dispUnits>
          <c:builtInUnit val="millions"/>
        </c:dispUnits>
      </c:valAx>
      <c:valAx>
        <c:axId val="3478613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rgbClr val="0000FF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baseline="0">
                    <a:solidFill>
                      <a:sysClr val="windowText" lastClr="000000"/>
                    </a:solidFill>
                    <a:effectLst/>
                  </a:rPr>
                  <a:t>3-year Incr. Revenue (in MM $)</a:t>
                </a:r>
                <a:endParaRPr lang="en-US" sz="1000">
                  <a:solidFill>
                    <a:sysClr val="windowText" lastClr="000000"/>
                  </a:solidFill>
                  <a:effectLst/>
                </a:endParaRPr>
              </a:p>
            </c:rich>
          </c:tx>
          <c:overlay val="0"/>
        </c:title>
        <c:numFmt formatCode="_(&quot;$&quot;* #,##0_);_(&quot;$&quot;* \(#,##0\);_(&quot;$&quot;* &quot;-&quot;_);_(@_)" sourceLinked="1"/>
        <c:majorTickMark val="out"/>
        <c:minorTickMark val="none"/>
        <c:tickLblPos val="nextTo"/>
        <c:crossAx val="347850624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 b="1" i="0" u="none" strike="noStrike" baseline="0">
                <a:effectLst/>
              </a:rPr>
              <a:t>3-year Incr. Revenue</a:t>
            </a:r>
            <a:r>
              <a:rPr lang="en-US" sz="1200"/>
              <a:t> from MCM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>
              <c:idx val="0"/>
              <c:layout>
                <c:manualLayout>
                  <c:x val="-1.1887779362815026E-2"/>
                  <c:y val="3.867791842475387E-2"/>
                </c:manualLayout>
              </c:layout>
              <c:dLblPos val="r"/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numFmt formatCode="&quot;$&quot;#,##0.0" sourceLinked="0"/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JJ_Optim_Scenario!$D$39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JJ_Optim_Scenario!$G$39</c:f>
              <c:numCache>
                <c:formatCode>_("$"* #,##0_);_("$"* \(#,##0\);_("$"* "-"_);_(@_)</c:formatCode>
                <c:ptCount val="1"/>
                <c:pt idx="0">
                  <c:v>36680022.861164257</c:v>
                </c:pt>
              </c:numCache>
            </c:numRef>
          </c:yVal>
          <c:smooth val="0"/>
        </c:ser>
        <c:ser>
          <c:idx val="1"/>
          <c:order val="1"/>
          <c:tx>
            <c:v>Incr. Rev.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7709362.4720515292</c:v>
                </c:pt>
                <c:pt idx="2">
                  <c:v>15085089.434698205</c:v>
                </c:pt>
                <c:pt idx="3">
                  <c:v>22140794.47554775</c:v>
                </c:pt>
                <c:pt idx="4">
                  <c:v>28889607.955231465</c:v>
                </c:pt>
                <c:pt idx="5">
                  <c:v>35344187.679844275</c:v>
                </c:pt>
                <c:pt idx="6">
                  <c:v>41516729.975864656</c:v>
                </c:pt>
                <c:pt idx="7">
                  <c:v>47418981.085584648</c:v>
                </c:pt>
                <c:pt idx="8">
                  <c:v>53062248.808629736</c:v>
                </c:pt>
                <c:pt idx="9">
                  <c:v>58457414.32213106</c:v>
                </c:pt>
                <c:pt idx="10">
                  <c:v>63614944.118861467</c:v>
                </c:pt>
                <c:pt idx="11">
                  <c:v>68544902.008632824</c:v>
                </c:pt>
                <c:pt idx="12">
                  <c:v>73256961.134144485</c:v>
                </c:pt>
                <c:pt idx="13">
                  <c:v>77760415.957672343</c:v>
                </c:pt>
                <c:pt idx="14">
                  <c:v>82064194.179971501</c:v>
                </c:pt>
                <c:pt idx="15">
                  <c:v>86176868.557277963</c:v>
                </c:pt>
                <c:pt idx="16">
                  <c:v>90106668.586478502</c:v>
                </c:pt>
                <c:pt idx="17">
                  <c:v>93861492.032365173</c:v>
                </c:pt>
                <c:pt idx="18">
                  <c:v>97448916.274393499</c:v>
                </c:pt>
                <c:pt idx="19">
                  <c:v>100876209.45359851</c:v>
                </c:pt>
                <c:pt idx="20">
                  <c:v>104150341.40321961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JJMCM!$B$9</c:f>
              <c:numCache>
                <c:formatCode>_("$"* #,##0_);_("$"* \(#,##0\);_("$"* "-"??_);_(@_)</c:formatCode>
                <c:ptCount val="1"/>
                <c:pt idx="0">
                  <c:v>6255187.2000000002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JJMCM!$C$9</c:f>
              <c:numCache>
                <c:formatCode>_("$"* #,##0_);_("$"* \(#,##0\);_("$"* "-"??_);_(@_)</c:formatCode>
                <c:ptCount val="1"/>
                <c:pt idx="0">
                  <c:v>9382780.7999999989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dLbl>
              <c:idx val="0"/>
              <c:layout>
                <c:manualLayout>
                  <c:x val="4.7551117451260106E-3"/>
                  <c:y val="-2.76864126161445E-7"/>
                </c:manualLayout>
              </c:layout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numFmt formatCode="&quot;$&quot;#,##0.0" sourceLinked="0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JJ_Optim_Scenario!$H$39</c:f>
              <c:numCache>
                <c:formatCode>_("$"* #,##0_);_("$"* \(#,##0\);_("$"* "-"??_);_(@_)</c:formatCode>
                <c:ptCount val="1"/>
                <c:pt idx="0">
                  <c:v>9382780.7999999989</c:v>
                </c:pt>
              </c:numCache>
            </c:numRef>
          </c:xVal>
          <c:yVal>
            <c:numRef>
              <c:f>JJ_Optim_Scenario!$J$39</c:f>
              <c:numCache>
                <c:formatCode>_("$"* #,##0_);_("$"* \(#,##0\);_("$"* "-"_);_(@_)</c:formatCode>
                <c:ptCount val="1"/>
                <c:pt idx="0">
                  <c:v>43048138.458140768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7915008"/>
        <c:axId val="347917312"/>
      </c:scatterChart>
      <c:valAx>
        <c:axId val="3479150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MCM Spend (in MM $)</a:t>
                </a:r>
              </a:p>
            </c:rich>
          </c:tx>
          <c:overlay val="0"/>
        </c:title>
        <c:numFmt formatCode="&quot;$&quot;#,##0.0" sourceLinked="0"/>
        <c:majorTickMark val="out"/>
        <c:minorTickMark val="none"/>
        <c:tickLblPos val="nextTo"/>
        <c:crossAx val="347917312"/>
        <c:crosses val="autoZero"/>
        <c:crossBetween val="midCat"/>
        <c:dispUnits>
          <c:builtInUnit val="millions"/>
        </c:dispUnits>
      </c:valAx>
      <c:valAx>
        <c:axId val="3479173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rgbClr val="0000FF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baseline="0">
                    <a:solidFill>
                      <a:sysClr val="windowText" lastClr="000000"/>
                    </a:solidFill>
                    <a:effectLst/>
                  </a:rPr>
                  <a:t>3-year Incr. Revenue (in MM $)</a:t>
                </a:r>
                <a:endParaRPr lang="en-US" sz="1000">
                  <a:solidFill>
                    <a:sysClr val="windowText" lastClr="000000"/>
                  </a:solidFill>
                  <a:effectLst/>
                </a:endParaRPr>
              </a:p>
            </c:rich>
          </c:tx>
          <c:overlay val="0"/>
        </c:title>
        <c:numFmt formatCode="_(&quot;$&quot;* #,##0_);_(&quot;$&quot;* \(#,##0\);_(&quot;$&quot;* &quot;-&quot;_);_(@_)" sourceLinked="1"/>
        <c:majorTickMark val="out"/>
        <c:minorTickMark val="none"/>
        <c:tickLblPos val="nextTo"/>
        <c:crossAx val="347915008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 b="1" i="0" u="none" strike="noStrike" baseline="0">
                <a:effectLst/>
              </a:rPr>
              <a:t>3-year Incr. Revenue</a:t>
            </a:r>
            <a:r>
              <a:rPr lang="en-US" sz="1200"/>
              <a:t> from Pharmacy Acquisition Programs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numFmt formatCode="&quot;$&quot;#,##0.0" sourceLinked="0"/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JJ_Optim_Scenario!$D$40</c:f>
              <c:numCache>
                <c:formatCode>_("$"* #,##0_);_("$"* \(#,##0\);_("$"* "-"??_);_(@_)</c:formatCode>
                <c:ptCount val="1"/>
                <c:pt idx="0">
                  <c:v>4782666</c:v>
                </c:pt>
              </c:numCache>
            </c:numRef>
          </c:xVal>
          <c:yVal>
            <c:numRef>
              <c:f>JJ_Optim_Scenario!$G$40</c:f>
              <c:numCache>
                <c:formatCode>_("$"* #,##0_);_("$"* \(#,##0\);_("$"* "-"_);_(@_)</c:formatCode>
                <c:ptCount val="1"/>
                <c:pt idx="0">
                  <c:v>8857160.0557257067</c:v>
                </c:pt>
              </c:numCache>
            </c:numRef>
          </c:yVal>
          <c:smooth val="0"/>
        </c:ser>
        <c:ser>
          <c:idx val="1"/>
          <c:order val="1"/>
          <c:tx>
            <c:v>Incr. Rev.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1909653.9769871365</c:v>
                </c:pt>
                <c:pt idx="2">
                  <c:v>3788343.14421607</c:v>
                </c:pt>
                <c:pt idx="3">
                  <c:v>5636549.5066546611</c:v>
                </c:pt>
                <c:pt idx="4">
                  <c:v>7454748.2262433972</c:v>
                </c:pt>
                <c:pt idx="5">
                  <c:v>9243407.6970640887</c:v>
                </c:pt>
                <c:pt idx="6">
                  <c:v>11002989.620446093</c:v>
                </c:pt>
                <c:pt idx="7">
                  <c:v>12733949.08000382</c:v>
                </c:pt>
                <c:pt idx="8">
                  <c:v>14436734.616533669</c:v>
                </c:pt>
                <c:pt idx="9">
                  <c:v>16111788.302787062</c:v>
                </c:pt>
                <c:pt idx="10">
                  <c:v>17759545.818042524</c:v>
                </c:pt>
                <c:pt idx="11">
                  <c:v>19380436.522485144</c:v>
                </c:pt>
                <c:pt idx="12">
                  <c:v>20974883.531352777</c:v>
                </c:pt>
                <c:pt idx="13">
                  <c:v>22543303.788810521</c:v>
                </c:pt>
                <c:pt idx="14">
                  <c:v>24086108.141557589</c:v>
                </c:pt>
                <c:pt idx="15">
                  <c:v>25603701.412116595</c:v>
                </c:pt>
                <c:pt idx="16">
                  <c:v>27096482.471801117</c:v>
                </c:pt>
                <c:pt idx="17">
                  <c:v>28564844.313325085</c:v>
                </c:pt>
                <c:pt idx="18">
                  <c:v>30009174.123051897</c:v>
                </c:pt>
                <c:pt idx="19">
                  <c:v>31429853.352851003</c:v>
                </c:pt>
                <c:pt idx="20">
                  <c:v>32827257.791541122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JJHCC_ACQ!$B$9</c:f>
              <c:numCache>
                <c:formatCode>_("$"* #,##0_);_("$"* \(#,##0\);_("$"* "-"??_);_(@_)</c:formatCode>
                <c:ptCount val="1"/>
                <c:pt idx="0">
                  <c:v>3826132.8000000003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JJHCC_ACQ!$C$9</c:f>
              <c:numCache>
                <c:formatCode>_("$"* #,##0_);_("$"* \(#,##0\);_("$"* "-"??_);_(@_)</c:formatCode>
                <c:ptCount val="1"/>
                <c:pt idx="0">
                  <c:v>5739199.2000000002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dLbl>
              <c:idx val="0"/>
              <c:layout>
                <c:manualLayout>
                  <c:x val="-9.5785440613026813E-3"/>
                  <c:y val="3.6469730123997082E-2"/>
                </c:manualLayout>
              </c:layout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numFmt formatCode="&quot;$&quot;#,##0.0" sourceLinked="0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JJ_Optim_Scenario!$H$40</c:f>
              <c:numCache>
                <c:formatCode>_("$"* #,##0_);_("$"* \(#,##0\);_("$"* "-"??_);_(@_)</c:formatCode>
                <c:ptCount val="1"/>
                <c:pt idx="0">
                  <c:v>5739199.2000000002</c:v>
                </c:pt>
              </c:numCache>
            </c:numRef>
          </c:xVal>
          <c:yVal>
            <c:numRef>
              <c:f>JJ_Optim_Scenario!$J$40</c:f>
              <c:numCache>
                <c:formatCode>_("$"* #,##0_);_("$"* \(#,##0\);_("$"* "-"_);_(@_)</c:formatCode>
                <c:ptCount val="1"/>
                <c:pt idx="0">
                  <c:v>10546866.539755095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7970944"/>
        <c:axId val="347981696"/>
      </c:scatterChart>
      <c:valAx>
        <c:axId val="34797094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Pharmacy Acquisition Spend (in MM $)</a:t>
                </a:r>
              </a:p>
            </c:rich>
          </c:tx>
          <c:overlay val="0"/>
        </c:title>
        <c:numFmt formatCode="&quot;$&quot;#,##0.0" sourceLinked="0"/>
        <c:majorTickMark val="out"/>
        <c:minorTickMark val="none"/>
        <c:tickLblPos val="nextTo"/>
        <c:crossAx val="347981696"/>
        <c:crosses val="autoZero"/>
        <c:crossBetween val="midCat"/>
        <c:dispUnits>
          <c:builtInUnit val="millions"/>
        </c:dispUnits>
      </c:valAx>
      <c:valAx>
        <c:axId val="3479816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rgbClr val="0000FF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baseline="0">
                    <a:solidFill>
                      <a:sysClr val="windowText" lastClr="000000"/>
                    </a:solidFill>
                    <a:effectLst/>
                  </a:rPr>
                  <a:t>3-year Incr. Revenue (in MM $)</a:t>
                </a:r>
                <a:endParaRPr lang="en-US" sz="1000">
                  <a:solidFill>
                    <a:sysClr val="windowText" lastClr="000000"/>
                  </a:solidFill>
                  <a:effectLst/>
                </a:endParaRPr>
              </a:p>
            </c:rich>
          </c:tx>
          <c:overlay val="0"/>
        </c:title>
        <c:numFmt formatCode="_(&quot;$&quot;* #,##0_);_(&quot;$&quot;* \(#,##0\);_(&quot;$&quot;* &quot;-&quot;_);_(@_)" sourceLinked="1"/>
        <c:majorTickMark val="out"/>
        <c:minorTickMark val="none"/>
        <c:tickLblPos val="nextTo"/>
        <c:crossAx val="347970944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 b="1" i="0" u="none" strike="noStrike" baseline="0">
                <a:effectLst/>
              </a:rPr>
              <a:t>3-year Incr. Revenue </a:t>
            </a:r>
            <a:r>
              <a:rPr lang="en-US" sz="1200"/>
              <a:t>from Adherence</a:t>
            </a:r>
            <a:r>
              <a:rPr lang="en-US" sz="1200" baseline="0"/>
              <a:t> Programs</a:t>
            </a:r>
            <a:endParaRPr lang="en-US" sz="1200"/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numFmt formatCode="&quot;$&quot;#,##0.0" sourceLinked="0"/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JJ_Optim_Scenario!$D$41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JJ_Optim_Scenario!$G$41</c:f>
              <c:numCache>
                <c:formatCode>_("$"* #,##0_);_("$"* \(#,##0\);_("$"* "-"_);_(@_)</c:formatCode>
                <c:ptCount val="1"/>
                <c:pt idx="0">
                  <c:v>42000930.599999905</c:v>
                </c:pt>
              </c:numCache>
            </c:numRef>
          </c:yVal>
          <c:smooth val="0"/>
        </c:ser>
        <c:ser>
          <c:idx val="1"/>
          <c:order val="1"/>
          <c:tx>
            <c:v>Incr. Rev.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7126753.0854003569</c:v>
                </c:pt>
                <c:pt idx="2">
                  <c:v>14083785.478268811</c:v>
                </c:pt>
                <c:pt idx="3">
                  <c:v>20873536.930621438</c:v>
                </c:pt>
                <c:pt idx="4">
                  <c:v>27498504.08301406</c:v>
                </c:pt>
                <c:pt idx="5">
                  <c:v>33961234.049799822</c:v>
                </c:pt>
                <c:pt idx="6">
                  <c:v>40264318.242423229</c:v>
                </c:pt>
                <c:pt idx="7">
                  <c:v>46410386.434896983</c:v>
                </c:pt>
                <c:pt idx="8">
                  <c:v>52402101.074315935</c:v>
                </c:pt>
                <c:pt idx="9">
                  <c:v>58242151.838048339</c:v>
                </c:pt>
                <c:pt idx="10">
                  <c:v>63933250.438135833</c:v>
                </c:pt>
                <c:pt idx="11">
                  <c:v>69478125.672399044</c:v>
                </c:pt>
                <c:pt idx="12">
                  <c:v>74879518.720811337</c:v>
                </c:pt>
                <c:pt idx="13">
                  <c:v>80140178.6848436</c:v>
                </c:pt>
                <c:pt idx="14">
                  <c:v>85262858.366719171</c:v>
                </c:pt>
                <c:pt idx="15">
                  <c:v>90250310.284813449</c:v>
                </c:pt>
                <c:pt idx="16">
                  <c:v>95105282.920833573</c:v>
                </c:pt>
                <c:pt idx="17">
                  <c:v>99830517.19385469</c:v>
                </c:pt>
                <c:pt idx="18">
                  <c:v>104428743.15583892</c:v>
                </c:pt>
                <c:pt idx="19">
                  <c:v>108902676.90282662</c:v>
                </c:pt>
                <c:pt idx="20">
                  <c:v>113255017.69568314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JJHCC_ADH!$B$9</c:f>
              <c:numCache>
                <c:formatCode>_("$"* #,##0_);_("$"* \(#,##0\);_("$"* "-"??_);_(@_)</c:formatCode>
                <c:ptCount val="1"/>
                <c:pt idx="0">
                  <c:v>12560000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JJHCC_ADH!$C$9</c:f>
              <c:numCache>
                <c:formatCode>_("$"* #,##0_);_("$"* \(#,##0\);_("$"* "-"??_);_(@_)</c:formatCode>
                <c:ptCount val="1"/>
                <c:pt idx="0">
                  <c:v>18840000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dLbl>
              <c:idx val="0"/>
              <c:layout>
                <c:manualLayout>
                  <c:x val="-2.3674242424242859E-3"/>
                  <c:y val="3.6231884057971016E-2"/>
                </c:manualLayout>
              </c:layout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numFmt formatCode="&quot;$&quot;#,##0.0" sourceLinked="0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JJ_Optim_Scenario!$H$41</c:f>
              <c:numCache>
                <c:formatCode>_("$"* #,##0_);_("$"* \(#,##0\);_("$"* "-"??_);_(@_)</c:formatCode>
                <c:ptCount val="1"/>
                <c:pt idx="0">
                  <c:v>18840000</c:v>
                </c:pt>
              </c:numCache>
            </c:numRef>
          </c:xVal>
          <c:yVal>
            <c:numRef>
              <c:f>JJ_Optim_Scenario!$J$41</c:f>
              <c:numCache>
                <c:formatCode>_("$"* #,##0_);_("$"* \(#,##0\);_("$"* "-"_);_(@_)</c:formatCode>
                <c:ptCount val="1"/>
                <c:pt idx="0">
                  <c:v>49640968.979602575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7638016"/>
        <c:axId val="347652864"/>
      </c:scatterChart>
      <c:valAx>
        <c:axId val="34763801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Adherence Spend (in MM $)</a:t>
                </a:r>
              </a:p>
            </c:rich>
          </c:tx>
          <c:overlay val="0"/>
        </c:title>
        <c:numFmt formatCode="&quot;$&quot;#,##0.0" sourceLinked="0"/>
        <c:majorTickMark val="out"/>
        <c:minorTickMark val="none"/>
        <c:tickLblPos val="nextTo"/>
        <c:crossAx val="347652864"/>
        <c:crosses val="autoZero"/>
        <c:crossBetween val="midCat"/>
        <c:dispUnits>
          <c:builtInUnit val="millions"/>
        </c:dispUnits>
      </c:valAx>
      <c:valAx>
        <c:axId val="3476528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rgbClr val="0000FF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baseline="0">
                    <a:solidFill>
                      <a:sysClr val="windowText" lastClr="000000"/>
                    </a:solidFill>
                    <a:effectLst/>
                  </a:rPr>
                  <a:t>3-year Incr. Revenue (in MM $)</a:t>
                </a:r>
                <a:endParaRPr lang="en-US" sz="1000">
                  <a:solidFill>
                    <a:sysClr val="windowText" lastClr="000000"/>
                  </a:solidFill>
                  <a:effectLst/>
                </a:endParaRPr>
              </a:p>
            </c:rich>
          </c:tx>
          <c:overlay val="0"/>
        </c:title>
        <c:numFmt formatCode="_(&quot;$&quot;* #,##0_);_(&quot;$&quot;* \(#,##0\);_(&quot;$&quot;* &quot;-&quot;_);_(@_)" sourceLinked="1"/>
        <c:majorTickMark val="out"/>
        <c:minorTickMark val="none"/>
        <c:tickLblPos val="nextTo"/>
        <c:crossAx val="347638016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3-year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Channel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24"/>
          <c:order val="24"/>
          <c:tx>
            <c:v>JANSample_Incr_TRx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292618.45056716667</c:v>
                </c:pt>
                <c:pt idx="2">
                  <c:v>584274.49594190461</c:v>
                </c:pt>
                <c:pt idx="3">
                  <c:v>874968.13612421392</c:v>
                </c:pt>
                <c:pt idx="4">
                  <c:v>1164699.3711140943</c:v>
                </c:pt>
                <c:pt idx="5">
                  <c:v>1453468.2009115461</c:v>
                </c:pt>
                <c:pt idx="6">
                  <c:v>1741274.625516569</c:v>
                </c:pt>
                <c:pt idx="7">
                  <c:v>2028118.6449291632</c:v>
                </c:pt>
                <c:pt idx="8">
                  <c:v>2314000.2591493283</c:v>
                </c:pt>
                <c:pt idx="9">
                  <c:v>2598919.4681770657</c:v>
                </c:pt>
                <c:pt idx="10">
                  <c:v>2882876.2720123734</c:v>
                </c:pt>
                <c:pt idx="11">
                  <c:v>3165870.6706552524</c:v>
                </c:pt>
                <c:pt idx="12">
                  <c:v>3447902.6641057036</c:v>
                </c:pt>
                <c:pt idx="13">
                  <c:v>3728972.2523637251</c:v>
                </c:pt>
                <c:pt idx="14">
                  <c:v>4009079.4354293179</c:v>
                </c:pt>
                <c:pt idx="15">
                  <c:v>4288224.2133024819</c:v>
                </c:pt>
                <c:pt idx="16">
                  <c:v>4566406.5859832177</c:v>
                </c:pt>
                <c:pt idx="17">
                  <c:v>4843626.5534715252</c:v>
                </c:pt>
                <c:pt idx="18">
                  <c:v>5119884.1157674035</c:v>
                </c:pt>
                <c:pt idx="19">
                  <c:v>5395179.2728708526</c:v>
                </c:pt>
                <c:pt idx="20">
                  <c:v>5669512.0247818725</c:v>
                </c:pt>
              </c:numCache>
            </c:numRef>
          </c:yVal>
          <c:smooth val="0"/>
        </c:ser>
        <c:ser>
          <c:idx val="25"/>
          <c:order val="25"/>
          <c:tx>
            <c:v>SC:</c:v>
          </c:tx>
          <c:spPr>
            <a:ln w="4445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JANSample!$I$9</c:f>
              <c:numCache>
                <c:formatCode>#,##0</c:formatCode>
                <c:ptCount val="1"/>
                <c:pt idx="0">
                  <c:v>2310765.2787946975</c:v>
                </c:pt>
              </c:numCache>
            </c:numRef>
          </c:yVal>
          <c:smooth val="0"/>
        </c:ser>
        <c:ser>
          <c:idx val="26"/>
          <c:order val="26"/>
          <c:tx>
            <c:v>SO: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JANSample!$D$9</c:f>
              <c:numCache>
                <c:formatCode>"$"#,##0</c:formatCode>
                <c:ptCount val="1"/>
                <c:pt idx="0">
                  <c:v>7189798.7999999998</c:v>
                </c:pt>
              </c:numCache>
            </c:numRef>
          </c:xVal>
          <c:yVal>
            <c:numRef>
              <c:f>JANSample!$F$9</c:f>
              <c:numCache>
                <c:formatCode>#,##0</c:formatCode>
                <c:ptCount val="1"/>
                <c:pt idx="0">
                  <c:v>2765547.9922391665</c:v>
                </c:pt>
              </c:numCache>
            </c:numRef>
          </c:yVal>
          <c:smooth val="0"/>
        </c:ser>
        <c:ser>
          <c:idx val="27"/>
          <c:order val="27"/>
          <c:tx>
            <c:v>JMTSample_Incr_TRx</c:v>
          </c:tx>
          <c:marker>
            <c:symbol val="none"/>
          </c:marker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340843.72051351675</c:v>
                </c:pt>
                <c:pt idx="2">
                  <c:v>681774.24980389187</c:v>
                </c:pt>
                <c:pt idx="3">
                  <c:v>1022791.5878711254</c:v>
                </c:pt>
                <c:pt idx="4">
                  <c:v>1363895.7347152175</c:v>
                </c:pt>
                <c:pt idx="5">
                  <c:v>1705086.690336168</c:v>
                </c:pt>
                <c:pt idx="6">
                  <c:v>2046364.4547339769</c:v>
                </c:pt>
                <c:pt idx="7">
                  <c:v>2387729.0279086442</c:v>
                </c:pt>
                <c:pt idx="8">
                  <c:v>2729180.40986017</c:v>
                </c:pt>
                <c:pt idx="9">
                  <c:v>3070718.6005885541</c:v>
                </c:pt>
                <c:pt idx="10">
                  <c:v>3412343.6000937968</c:v>
                </c:pt>
                <c:pt idx="11">
                  <c:v>3754055.4083758979</c:v>
                </c:pt>
                <c:pt idx="12">
                  <c:v>4095854.0254348577</c:v>
                </c:pt>
                <c:pt idx="13">
                  <c:v>4437739.4512706762</c:v>
                </c:pt>
                <c:pt idx="14">
                  <c:v>4779711.6858833525</c:v>
                </c:pt>
                <c:pt idx="15">
                  <c:v>5121770.7292728871</c:v>
                </c:pt>
                <c:pt idx="16">
                  <c:v>5463916.58143928</c:v>
                </c:pt>
                <c:pt idx="17">
                  <c:v>5806149.242382532</c:v>
                </c:pt>
                <c:pt idx="18">
                  <c:v>6148468.7121026423</c:v>
                </c:pt>
                <c:pt idx="19">
                  <c:v>6490874.9905996108</c:v>
                </c:pt>
                <c:pt idx="20">
                  <c:v>6833368.0778734377</c:v>
                </c:pt>
              </c:numCache>
            </c:numRef>
          </c:yVal>
          <c:smooth val="0"/>
        </c:ser>
        <c:ser>
          <c:idx val="28"/>
          <c:order val="28"/>
          <c:tx>
            <c:v>S2C:</c:v>
          </c:tx>
          <c:marker>
            <c:symbol val="none"/>
          </c:marker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JMTSample!$I$9</c:f>
              <c:numCache>
                <c:formatCode>#,##0</c:formatCode>
                <c:ptCount val="1"/>
                <c:pt idx="0">
                  <c:v>2662664.8484120537</c:v>
                </c:pt>
              </c:numCache>
            </c:numRef>
          </c:yVal>
          <c:smooth val="0"/>
        </c:ser>
        <c:ser>
          <c:idx val="29"/>
          <c:order val="29"/>
          <c:tx>
            <c:v>S2O:</c:v>
          </c:tx>
          <c:marker>
            <c:symbol val="none"/>
          </c:marker>
          <c:xVal>
            <c:numRef>
              <c:f>JMTSample!$D$9</c:f>
              <c:numCache>
                <c:formatCode>"$"#,##0</c:formatCode>
                <c:ptCount val="1"/>
                <c:pt idx="0">
                  <c:v>18732522</c:v>
                </c:pt>
              </c:numCache>
            </c:numRef>
          </c:xVal>
          <c:yVal>
            <c:numRef>
              <c:f>JMTSample!$F$9</c:f>
              <c:numCache>
                <c:formatCode>#,##0</c:formatCode>
                <c:ptCount val="1"/>
                <c:pt idx="0">
                  <c:v>3195832.4397713416</c:v>
                </c:pt>
              </c:numCache>
            </c:numRef>
          </c:yVal>
          <c:smooth val="0"/>
        </c:ser>
        <c:ser>
          <c:idx val="30"/>
          <c:order val="30"/>
          <c:tx>
            <c:v>VCH_Incr_TRx</c:v>
          </c:tx>
          <c:marker>
            <c:symbol val="none"/>
          </c:marker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JJVCH!$C$23:$C$43</c:f>
              <c:numCache>
                <c:formatCode>#,##0</c:formatCode>
                <c:ptCount val="21"/>
                <c:pt idx="0">
                  <c:v>0</c:v>
                </c:pt>
                <c:pt idx="1">
                  <c:v>19785.409492227558</c:v>
                </c:pt>
                <c:pt idx="2">
                  <c:v>39571.016739094761</c:v>
                </c:pt>
                <c:pt idx="3">
                  <c:v>59356.821740601605</c:v>
                </c:pt>
                <c:pt idx="4">
                  <c:v>79142.824496748101</c:v>
                </c:pt>
                <c:pt idx="5">
                  <c:v>98929.025007534234</c:v>
                </c:pt>
                <c:pt idx="6">
                  <c:v>118715.42327296002</c:v>
                </c:pt>
                <c:pt idx="7">
                  <c:v>138502.01929302546</c:v>
                </c:pt>
                <c:pt idx="8">
                  <c:v>158288.81306773052</c:v>
                </c:pt>
                <c:pt idx="9">
                  <c:v>178075.80459707524</c:v>
                </c:pt>
                <c:pt idx="10">
                  <c:v>197862.99388105958</c:v>
                </c:pt>
                <c:pt idx="11">
                  <c:v>217650.38091968361</c:v>
                </c:pt>
                <c:pt idx="12">
                  <c:v>237437.96571294725</c:v>
                </c:pt>
                <c:pt idx="13">
                  <c:v>257225.74826085052</c:v>
                </c:pt>
                <c:pt idx="14">
                  <c:v>277013.72856339347</c:v>
                </c:pt>
                <c:pt idx="15">
                  <c:v>296801.9066205761</c:v>
                </c:pt>
                <c:pt idx="16">
                  <c:v>316590.28243239829</c:v>
                </c:pt>
                <c:pt idx="17">
                  <c:v>336378.85599886021</c:v>
                </c:pt>
                <c:pt idx="18">
                  <c:v>356167.62731996167</c:v>
                </c:pt>
                <c:pt idx="19">
                  <c:v>375956.59639570286</c:v>
                </c:pt>
                <c:pt idx="20">
                  <c:v>395745.76322608365</c:v>
                </c:pt>
              </c:numCache>
            </c:numRef>
          </c:yVal>
          <c:smooth val="0"/>
        </c:ser>
        <c:ser>
          <c:idx val="31"/>
          <c:order val="31"/>
          <c:tx>
            <c:v>VC:</c:v>
          </c:tx>
          <c:marker>
            <c:symbol val="none"/>
          </c:marker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JJVCH!$I$9</c:f>
              <c:numCache>
                <c:formatCode>#,##0</c:formatCode>
                <c:ptCount val="1"/>
                <c:pt idx="0">
                  <c:v>150560.70106149331</c:v>
                </c:pt>
              </c:numCache>
            </c:numRef>
          </c:yVal>
          <c:smooth val="0"/>
        </c:ser>
        <c:ser>
          <c:idx val="32"/>
          <c:order val="32"/>
          <c:tx>
            <c:v>VO:</c:v>
          </c:tx>
          <c:marker>
            <c:symbol val="none"/>
          </c:marker>
          <c:xVal>
            <c:numRef>
              <c:f>JJVCH!$D$9</c:f>
              <c:numCache>
                <c:formatCode>"$"#,##0</c:formatCode>
                <c:ptCount val="1"/>
                <c:pt idx="0">
                  <c:v>4565659.2</c:v>
                </c:pt>
              </c:numCache>
            </c:numRef>
          </c:xVal>
          <c:yVal>
            <c:numRef>
              <c:f>JJVCH!$F$9</c:f>
              <c:numCache>
                <c:formatCode>#,##0</c:formatCode>
                <c:ptCount val="1"/>
                <c:pt idx="0">
                  <c:v>180674.2153550259</c:v>
                </c:pt>
              </c:numCache>
            </c:numRef>
          </c:yVal>
          <c:smooth val="0"/>
        </c:ser>
        <c:ser>
          <c:idx val="33"/>
          <c:order val="33"/>
          <c:tx>
            <c:v>MMF_Incr_TRx</c:v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JJMMF!$C$30:$C$50</c:f>
              <c:numCache>
                <c:formatCode>#,##0</c:formatCode>
                <c:ptCount val="21"/>
                <c:pt idx="0">
                  <c:v>0</c:v>
                </c:pt>
                <c:pt idx="1">
                  <c:v>7258.8833029338202</c:v>
                </c:pt>
                <c:pt idx="2">
                  <c:v>13753.272832178851</c:v>
                </c:pt>
                <c:pt idx="3">
                  <c:v>19089.210151644824</c:v>
                </c:pt>
                <c:pt idx="4">
                  <c:v>23750.8035692349</c:v>
                </c:pt>
                <c:pt idx="5">
                  <c:v>28014.517917379791</c:v>
                </c:pt>
                <c:pt idx="6">
                  <c:v>31614.120163643827</c:v>
                </c:pt>
                <c:pt idx="7">
                  <c:v>34547.404669785858</c:v>
                </c:pt>
                <c:pt idx="8">
                  <c:v>37088.288548851007</c:v>
                </c:pt>
                <c:pt idx="9">
                  <c:v>39354.905170586644</c:v>
                </c:pt>
                <c:pt idx="10">
                  <c:v>41368.841130976209</c:v>
                </c:pt>
                <c:pt idx="11">
                  <c:v>43150.504674076452</c:v>
                </c:pt>
                <c:pt idx="12">
                  <c:v>44720.119604641892</c:v>
                </c:pt>
                <c:pt idx="13">
                  <c:v>46097.293990550279</c:v>
                </c:pt>
                <c:pt idx="14">
                  <c:v>47301.507562133454</c:v>
                </c:pt>
                <c:pt idx="15">
                  <c:v>48352.240049723267</c:v>
                </c:pt>
                <c:pt idx="16">
                  <c:v>49268.971183651505</c:v>
                </c:pt>
                <c:pt idx="17">
                  <c:v>50071.180694250041</c:v>
                </c:pt>
                <c:pt idx="18">
                  <c:v>50778.348311850685</c:v>
                </c:pt>
                <c:pt idx="19">
                  <c:v>51409.953766785278</c:v>
                </c:pt>
                <c:pt idx="20">
                  <c:v>51985.476789385641</c:v>
                </c:pt>
              </c:numCache>
            </c:numRef>
          </c:yVal>
          <c:smooth val="0"/>
        </c:ser>
        <c:ser>
          <c:idx val="34"/>
          <c:order val="34"/>
          <c:tx>
            <c:v>MFC:</c:v>
          </c:tx>
          <c:marker>
            <c:symbol val="none"/>
          </c:marker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JJMMF!$I$9</c:f>
              <c:numCache>
                <c:formatCode>#,##0</c:formatCode>
                <c:ptCount val="1"/>
                <c:pt idx="0">
                  <c:v>25689.160192131658</c:v>
                </c:pt>
              </c:numCache>
            </c:numRef>
          </c:yVal>
          <c:smooth val="0"/>
        </c:ser>
        <c:ser>
          <c:idx val="35"/>
          <c:order val="35"/>
          <c:tx>
            <c:v>MFO:</c:v>
          </c:tx>
          <c:marker>
            <c:symbol val="none"/>
          </c:marker>
          <c:xVal>
            <c:numRef>
              <c:f>JJMMF!$D$9</c:f>
              <c:numCache>
                <c:formatCode>"$"#,##0</c:formatCode>
                <c:ptCount val="1"/>
                <c:pt idx="0">
                  <c:v>4107540.0292513319</c:v>
                </c:pt>
              </c:numCache>
            </c:numRef>
          </c:xVal>
          <c:yVal>
            <c:numRef>
              <c:f>JJMMF!$F$9</c:f>
              <c:numCache>
                <c:formatCode>#,##0</c:formatCode>
                <c:ptCount val="1"/>
                <c:pt idx="0">
                  <c:v>24231.818614525357</c:v>
                </c:pt>
              </c:numCache>
            </c:numRef>
          </c:yVal>
          <c:smooth val="0"/>
        </c:ser>
        <c:ser>
          <c:idx val="36"/>
          <c:order val="36"/>
          <c:tx>
            <c:v>HCC_Incr_TRx</c:v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JJHCC!$C$22:$C$42</c:f>
              <c:numCache>
                <c:formatCode>#,##0</c:formatCode>
                <c:ptCount val="21"/>
                <c:pt idx="0">
                  <c:v>0</c:v>
                </c:pt>
                <c:pt idx="1">
                  <c:v>235071.42459140636</c:v>
                </c:pt>
                <c:pt idx="2">
                  <c:v>461742.9208223247</c:v>
                </c:pt>
                <c:pt idx="3">
                  <c:v>680245.96913645486</c:v>
                </c:pt>
                <c:pt idx="4">
                  <c:v>890811.1333111953</c:v>
                </c:pt>
                <c:pt idx="5">
                  <c:v>1093667.5546168792</c:v>
                </c:pt>
                <c:pt idx="6">
                  <c:v>1289042.4912357426</c:v>
                </c:pt>
                <c:pt idx="7">
                  <c:v>1477160.9011068591</c:v>
                </c:pt>
                <c:pt idx="8">
                  <c:v>1658245.0662689006</c:v>
                </c:pt>
                <c:pt idx="9">
                  <c:v>1832514.2567040266</c:v>
                </c:pt>
                <c:pt idx="10">
                  <c:v>2000184.4316435801</c:v>
                </c:pt>
                <c:pt idx="11">
                  <c:v>2161467.9762732317</c:v>
                </c:pt>
                <c:pt idx="12">
                  <c:v>2316573.4717730633</c:v>
                </c:pt>
                <c:pt idx="13">
                  <c:v>2465705.4966413723</c:v>
                </c:pt>
                <c:pt idx="14">
                  <c:v>2609064.4572786754</c:v>
                </c:pt>
                <c:pt idx="15">
                  <c:v>2746846.4458489963</c:v>
                </c:pt>
                <c:pt idx="16">
                  <c:v>2879243.1234853519</c:v>
                </c:pt>
                <c:pt idx="17">
                  <c:v>3006441.6269650906</c:v>
                </c:pt>
                <c:pt idx="18">
                  <c:v>3128624.4970466923</c:v>
                </c:pt>
                <c:pt idx="19">
                  <c:v>3245969.6267294786</c:v>
                </c:pt>
                <c:pt idx="20">
                  <c:v>3358650.2277734168</c:v>
                </c:pt>
              </c:numCache>
            </c:numRef>
          </c:yVal>
          <c:smooth val="0"/>
        </c:ser>
        <c:ser>
          <c:idx val="37"/>
          <c:order val="37"/>
          <c:tx>
            <c:v>HC:</c:v>
          </c:tx>
          <c:marker>
            <c:symbol val="none"/>
          </c:marker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JJHCC!$I$9</c:f>
              <c:numCache>
                <c:formatCode>#,##0</c:formatCode>
                <c:ptCount val="1"/>
                <c:pt idx="0">
                  <c:v>1595892.0143603629</c:v>
                </c:pt>
              </c:numCache>
            </c:numRef>
          </c:yVal>
          <c:smooth val="0"/>
        </c:ser>
        <c:ser>
          <c:idx val="38"/>
          <c:order val="38"/>
          <c:tx>
            <c:v>HO:</c:v>
          </c:tx>
          <c:marker>
            <c:symbol val="none"/>
          </c:marker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27544800</c:v>
                </c:pt>
              </c:numCache>
            </c:numRef>
          </c:xVal>
          <c:yVal>
            <c:numRef>
              <c:f>JJHCC!$F$9</c:f>
              <c:numCache>
                <c:formatCode>#,##0</c:formatCode>
                <c:ptCount val="1"/>
                <c:pt idx="0">
                  <c:v>1863447.2728889734</c:v>
                </c:pt>
              </c:numCache>
            </c:numRef>
          </c:yVal>
          <c:smooth val="0"/>
        </c:ser>
        <c:ser>
          <c:idx val="39"/>
          <c:order val="39"/>
          <c:tx>
            <c:v>MCM_Incr_TRx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JJMCM!$C$22:$C$42</c:f>
              <c:numCache>
                <c:formatCode>#,##0</c:formatCode>
                <c:ptCount val="21"/>
                <c:pt idx="0">
                  <c:v>0</c:v>
                </c:pt>
                <c:pt idx="1">
                  <c:v>79507.11028868884</c:v>
                </c:pt>
                <c:pt idx="2">
                  <c:v>155573.41787305035</c:v>
                </c:pt>
                <c:pt idx="3">
                  <c:v>228339.32048574736</c:v>
                </c:pt>
                <c:pt idx="4">
                  <c:v>297940.23231110803</c:v>
                </c:pt>
                <c:pt idx="5">
                  <c:v>364506.69405063009</c:v>
                </c:pt>
                <c:pt idx="6">
                  <c:v>428164.48713928397</c:v>
                </c:pt>
                <c:pt idx="7">
                  <c:v>489034.75126725488</c:v>
                </c:pt>
                <c:pt idx="8">
                  <c:v>547234.10443962505</c:v>
                </c:pt>
                <c:pt idx="9">
                  <c:v>602874.76487850724</c:v>
                </c:pt>
                <c:pt idx="10">
                  <c:v>656064.6741417466</c:v>
                </c:pt>
                <c:pt idx="11">
                  <c:v>706907.62089403975</c:v>
                </c:pt>
                <c:pt idx="12">
                  <c:v>755503.36482708924</c:v>
                </c:pt>
                <c:pt idx="13">
                  <c:v>801947.76027903578</c:v>
                </c:pt>
                <c:pt idx="14">
                  <c:v>846332.8791548044</c:v>
                </c:pt>
                <c:pt idx="15">
                  <c:v>888747.13279554097</c:v>
                </c:pt>
                <c:pt idx="16">
                  <c:v>929275.39248845901</c:v>
                </c:pt>
                <c:pt idx="17">
                  <c:v>967999.10834809521</c:v>
                </c:pt>
                <c:pt idx="18">
                  <c:v>1004996.4263360974</c:v>
                </c:pt>
                <c:pt idx="19">
                  <c:v>1040342.3032200276</c:v>
                </c:pt>
                <c:pt idx="20">
                  <c:v>1074108.6193015403</c:v>
                </c:pt>
              </c:numCache>
            </c:numRef>
          </c:yVal>
          <c:smooth val="0"/>
        </c:ser>
        <c:ser>
          <c:idx val="40"/>
          <c:order val="40"/>
          <c:tx>
            <c:v>MCMC:</c:v>
          </c:tx>
          <c:marker>
            <c:symbol val="none"/>
          </c:marker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JJMCM!$I$9</c:f>
              <c:numCache>
                <c:formatCode>#,##0</c:formatCode>
                <c:ptCount val="1"/>
                <c:pt idx="0">
                  <c:v>378283.24113526288</c:v>
                </c:pt>
              </c:numCache>
            </c:numRef>
          </c:yVal>
          <c:smooth val="0"/>
        </c:ser>
        <c:ser>
          <c:idx val="41"/>
          <c:order val="41"/>
          <c:tx>
            <c:v>MCMO:</c:v>
          </c:tx>
          <c:marker>
            <c:symbol val="none"/>
          </c:marker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9382780.7999999989</c:v>
                </c:pt>
              </c:numCache>
            </c:numRef>
          </c:xVal>
          <c:yVal>
            <c:numRef>
              <c:f>JJMCM!$F$9</c:f>
              <c:numCache>
                <c:formatCode>#,##0</c:formatCode>
                <c:ptCount val="1"/>
                <c:pt idx="0">
                  <c:v>443957.99322214938</c:v>
                </c:pt>
              </c:numCache>
            </c:numRef>
          </c:yVal>
          <c:smooth val="0"/>
        </c:ser>
        <c:ser>
          <c:idx val="42"/>
          <c:order val="42"/>
          <c:tx>
            <c:v>ACQ_Incr_TRx</c:v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JJHCC_ACQ!$C$22:$C$42</c:f>
              <c:numCache>
                <c:formatCode>#,##0</c:formatCode>
                <c:ptCount val="21"/>
                <c:pt idx="0">
                  <c:v>0</c:v>
                </c:pt>
                <c:pt idx="1">
                  <c:v>19694.374199160717</c:v>
                </c:pt>
                <c:pt idx="2">
                  <c:v>39069.406487308843</c:v>
                </c:pt>
                <c:pt idx="3">
                  <c:v>58130.06781013259</c:v>
                </c:pt>
                <c:pt idx="4">
                  <c:v>76881.258540774928</c:v>
                </c:pt>
                <c:pt idx="5">
                  <c:v>95327.809255052722</c:v>
                </c:pt>
                <c:pt idx="6">
                  <c:v>113474.48150603171</c:v>
                </c:pt>
                <c:pt idx="7">
                  <c:v>131325.9685978927</c:v>
                </c:pt>
                <c:pt idx="8">
                  <c:v>148886.89635834811</c:v>
                </c:pt>
                <c:pt idx="9">
                  <c:v>166161.82390978068</c:v>
                </c:pt>
                <c:pt idx="10">
                  <c:v>183155.24443830978</c:v>
                </c:pt>
                <c:pt idx="11">
                  <c:v>199871.58596087093</c:v>
                </c:pt>
                <c:pt idx="12">
                  <c:v>216315.21208989044</c:v>
                </c:pt>
                <c:pt idx="13">
                  <c:v>232490.4227951568</c:v>
                </c:pt>
                <c:pt idx="14">
                  <c:v>248401.45516293292</c:v>
                </c:pt>
                <c:pt idx="15">
                  <c:v>264052.48415179277</c:v>
                </c:pt>
                <c:pt idx="16">
                  <c:v>279447.62334514031</c:v>
                </c:pt>
                <c:pt idx="17">
                  <c:v>294590.92570003413</c:v>
                </c:pt>
                <c:pt idx="18">
                  <c:v>309486.3842922973</c:v>
                </c:pt>
                <c:pt idx="19">
                  <c:v>324137.93305757787</c:v>
                </c:pt>
                <c:pt idx="20">
                  <c:v>338549.44752814772</c:v>
                </c:pt>
              </c:numCache>
            </c:numRef>
          </c:yVal>
          <c:smooth val="0"/>
        </c:ser>
        <c:ser>
          <c:idx val="43"/>
          <c:order val="43"/>
          <c:tx>
            <c:v>ACQC:</c:v>
          </c:tx>
          <c:marker>
            <c:symbol val="none"/>
          </c:marker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4782666</c:v>
                </c:pt>
              </c:numCache>
            </c:numRef>
          </c:xVal>
          <c:yVal>
            <c:numRef>
              <c:f>JJHCC_ACQ!$I$9</c:f>
              <c:numCache>
                <c:formatCode>#,##0</c:formatCode>
                <c:ptCount val="1"/>
                <c:pt idx="0">
                  <c:v>91344.414528190871</c:v>
                </c:pt>
              </c:numCache>
            </c:numRef>
          </c:yVal>
          <c:smooth val="0"/>
        </c:ser>
        <c:ser>
          <c:idx val="44"/>
          <c:order val="44"/>
          <c:tx>
            <c:v>ACQO:</c:v>
          </c:tx>
          <c:marker>
            <c:symbol val="none"/>
          </c:marker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5739199.2000000002</c:v>
                </c:pt>
              </c:numCache>
            </c:numRef>
          </c:xVal>
          <c:yVal>
            <c:numRef>
              <c:f>JJHCC_ACQ!$F$9</c:f>
              <c:numCache>
                <c:formatCode>#,##0</c:formatCode>
                <c:ptCount val="1"/>
                <c:pt idx="0">
                  <c:v>108770.45724810039</c:v>
                </c:pt>
              </c:numCache>
            </c:numRef>
          </c:yVal>
          <c:smooth val="0"/>
        </c:ser>
        <c:ser>
          <c:idx val="45"/>
          <c:order val="45"/>
          <c:tx>
            <c:v>ADH_Incr_TRx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JJHCC_ADH!$C$22:$C$42</c:f>
              <c:numCache>
                <c:formatCode>#,##0</c:formatCode>
                <c:ptCount val="21"/>
                <c:pt idx="0">
                  <c:v>0</c:v>
                </c:pt>
                <c:pt idx="1">
                  <c:v>61226.401077322662</c:v>
                </c:pt>
                <c:pt idx="2">
                  <c:v>120994.72060368396</c:v>
                </c:pt>
                <c:pt idx="3">
                  <c:v>179325.91864795052</c:v>
                </c:pt>
                <c:pt idx="4">
                  <c:v>236241.44401214831</c:v>
                </c:pt>
                <c:pt idx="5">
                  <c:v>291763.17912199162</c:v>
                </c:pt>
                <c:pt idx="6">
                  <c:v>345913.38696239889</c:v>
                </c:pt>
                <c:pt idx="7">
                  <c:v>398714.66009361669</c:v>
                </c:pt>
                <c:pt idx="8">
                  <c:v>450189.87177247368</c:v>
                </c:pt>
                <c:pt idx="9">
                  <c:v>500362.12919285521</c:v>
                </c:pt>
                <c:pt idx="10">
                  <c:v>549254.72884996422</c:v>
                </c:pt>
                <c:pt idx="11">
                  <c:v>596891.11402404681</c:v>
                </c:pt>
                <c:pt idx="12">
                  <c:v>643294.8343712315</c:v>
                </c:pt>
                <c:pt idx="13">
                  <c:v>688489.50760174915</c:v>
                </c:pt>
                <c:pt idx="14">
                  <c:v>732498.78321923688</c:v>
                </c:pt>
                <c:pt idx="15">
                  <c:v>775346.30828877538</c:v>
                </c:pt>
                <c:pt idx="16">
                  <c:v>817055.69519616477</c:v>
                </c:pt>
                <c:pt idx="17">
                  <c:v>857650.49135614</c:v>
                </c:pt>
                <c:pt idx="18">
                  <c:v>897154.15082335845</c:v>
                </c:pt>
                <c:pt idx="19">
                  <c:v>935590.00775624253</c:v>
                </c:pt>
                <c:pt idx="20">
                  <c:v>972981.25168112665</c:v>
                </c:pt>
              </c:numCache>
            </c:numRef>
          </c:yVal>
          <c:smooth val="0"/>
        </c:ser>
        <c:ser>
          <c:idx val="46"/>
          <c:order val="46"/>
          <c:tx>
            <c:v>ADHC:</c:v>
          </c:tx>
          <c:marker>
            <c:symbol val="none"/>
          </c:marker>
          <c:xVal>
            <c:numRef>
              <c:f>JJHCC_ADH!$G$9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JJHCC_ADH!$I$9</c:f>
              <c:numCache>
                <c:formatCode>#,##0</c:formatCode>
                <c:ptCount val="1"/>
                <c:pt idx="0">
                  <c:v>360832.73711340129</c:v>
                </c:pt>
              </c:numCache>
            </c:numRef>
          </c:yVal>
          <c:smooth val="0"/>
        </c:ser>
        <c:ser>
          <c:idx val="47"/>
          <c:order val="47"/>
          <c:tx>
            <c:v>ADHO:</c:v>
          </c:tx>
          <c:marker>
            <c:symbol val="none"/>
          </c:marker>
          <c:xVal>
            <c:numRef>
              <c:f>JJHCC_ADH!$D$9</c:f>
              <c:numCache>
                <c:formatCode>_("$"* #,##0_);_("$"* \(#,##0\);_("$"* "-"??_);_(@_)</c:formatCode>
                <c:ptCount val="1"/>
                <c:pt idx="0">
                  <c:v>18840000</c:v>
                </c:pt>
              </c:numCache>
            </c:numRef>
          </c:xVal>
          <c:yVal>
            <c:numRef>
              <c:f>JJHCC_ADH!$F$9</c:f>
              <c:numCache>
                <c:formatCode>#,##0</c:formatCode>
                <c:ptCount val="1"/>
                <c:pt idx="0">
                  <c:v>426468.80566668883</c:v>
                </c:pt>
              </c:numCache>
            </c:numRef>
          </c:yVal>
          <c:smooth val="0"/>
        </c:ser>
        <c:ser>
          <c:idx val="1"/>
          <c:order val="0"/>
          <c:tx>
            <c:v>JANSample_Incr_TRx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7"/>
              <c:layout>
                <c:manualLayout>
                  <c:x val="-0.17628205128205132"/>
                  <c:y val="2.018454440599769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Januvia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292618.45056716667</c:v>
                </c:pt>
                <c:pt idx="2">
                  <c:v>584274.49594190461</c:v>
                </c:pt>
                <c:pt idx="3">
                  <c:v>874968.13612421392</c:v>
                </c:pt>
                <c:pt idx="4">
                  <c:v>1164699.3711140943</c:v>
                </c:pt>
                <c:pt idx="5">
                  <c:v>1453468.2009115461</c:v>
                </c:pt>
                <c:pt idx="6">
                  <c:v>1741274.625516569</c:v>
                </c:pt>
                <c:pt idx="7">
                  <c:v>2028118.6449291632</c:v>
                </c:pt>
                <c:pt idx="8">
                  <c:v>2314000.2591493283</c:v>
                </c:pt>
                <c:pt idx="9">
                  <c:v>2598919.4681770657</c:v>
                </c:pt>
                <c:pt idx="10">
                  <c:v>2882876.2720123734</c:v>
                </c:pt>
                <c:pt idx="11">
                  <c:v>3165870.6706552524</c:v>
                </c:pt>
                <c:pt idx="12">
                  <c:v>3447902.6641057036</c:v>
                </c:pt>
                <c:pt idx="13">
                  <c:v>3728972.2523637251</c:v>
                </c:pt>
                <c:pt idx="14">
                  <c:v>4009079.4354293179</c:v>
                </c:pt>
                <c:pt idx="15">
                  <c:v>4288224.2133024819</c:v>
                </c:pt>
                <c:pt idx="16">
                  <c:v>4566406.5859832177</c:v>
                </c:pt>
                <c:pt idx="17">
                  <c:v>4843626.5534715252</c:v>
                </c:pt>
                <c:pt idx="18">
                  <c:v>5119884.1157674035</c:v>
                </c:pt>
                <c:pt idx="19">
                  <c:v>5395179.2728708526</c:v>
                </c:pt>
                <c:pt idx="20">
                  <c:v>5669512.0247818725</c:v>
                </c:pt>
              </c:numCache>
            </c:numRef>
          </c:yVal>
          <c:smooth val="0"/>
        </c:ser>
        <c:ser>
          <c:idx val="0"/>
          <c:order val="1"/>
          <c:tx>
            <c:v>SC: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7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JANSample!$I$9</c:f>
              <c:numCache>
                <c:formatCode>#,##0</c:formatCode>
                <c:ptCount val="1"/>
                <c:pt idx="0">
                  <c:v>2310765.2787946975</c:v>
                </c:pt>
              </c:numCache>
            </c:numRef>
          </c:yVal>
          <c:smooth val="0"/>
        </c:ser>
        <c:ser>
          <c:idx val="4"/>
          <c:order val="2"/>
          <c:tx>
            <c:v>SO: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JANSample!$D$9</c:f>
              <c:numCache>
                <c:formatCode>"$"#,##0</c:formatCode>
                <c:ptCount val="1"/>
                <c:pt idx="0">
                  <c:v>7189798.7999999998</c:v>
                </c:pt>
              </c:numCache>
            </c:numRef>
          </c:xVal>
          <c:yVal>
            <c:numRef>
              <c:f>JANSample!$F$9</c:f>
              <c:numCache>
                <c:formatCode>#,##0</c:formatCode>
                <c:ptCount val="1"/>
                <c:pt idx="0">
                  <c:v>2765547.9922391665</c:v>
                </c:pt>
              </c:numCache>
            </c:numRef>
          </c:yVal>
          <c:smooth val="0"/>
        </c:ser>
        <c:ser>
          <c:idx val="3"/>
          <c:order val="3"/>
          <c:tx>
            <c:v>JMTSample_Incr_TRx</c:v>
          </c:tx>
          <c:marker>
            <c:symbol val="none"/>
          </c:marker>
          <c:dLbls>
            <c:dLbl>
              <c:idx val="14"/>
              <c:layout>
                <c:manualLayout>
                  <c:x val="-0.21834935897435889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Janumet + XR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340843.72051351675</c:v>
                </c:pt>
                <c:pt idx="2">
                  <c:v>681774.24980389187</c:v>
                </c:pt>
                <c:pt idx="3">
                  <c:v>1022791.5878711254</c:v>
                </c:pt>
                <c:pt idx="4">
                  <c:v>1363895.7347152175</c:v>
                </c:pt>
                <c:pt idx="5">
                  <c:v>1705086.690336168</c:v>
                </c:pt>
                <c:pt idx="6">
                  <c:v>2046364.4547339769</c:v>
                </c:pt>
                <c:pt idx="7">
                  <c:v>2387729.0279086442</c:v>
                </c:pt>
                <c:pt idx="8">
                  <c:v>2729180.40986017</c:v>
                </c:pt>
                <c:pt idx="9">
                  <c:v>3070718.6005885541</c:v>
                </c:pt>
                <c:pt idx="10">
                  <c:v>3412343.6000937968</c:v>
                </c:pt>
                <c:pt idx="11">
                  <c:v>3754055.4083758979</c:v>
                </c:pt>
                <c:pt idx="12">
                  <c:v>4095854.0254348577</c:v>
                </c:pt>
                <c:pt idx="13">
                  <c:v>4437739.4512706762</c:v>
                </c:pt>
                <c:pt idx="14">
                  <c:v>4779711.6858833525</c:v>
                </c:pt>
                <c:pt idx="15">
                  <c:v>5121770.7292728871</c:v>
                </c:pt>
                <c:pt idx="16">
                  <c:v>5463916.58143928</c:v>
                </c:pt>
                <c:pt idx="17">
                  <c:v>5806149.242382532</c:v>
                </c:pt>
                <c:pt idx="18">
                  <c:v>6148468.7121026423</c:v>
                </c:pt>
                <c:pt idx="19">
                  <c:v>6490874.9905996108</c:v>
                </c:pt>
                <c:pt idx="20">
                  <c:v>6833368.0778734377</c:v>
                </c:pt>
              </c:numCache>
            </c:numRef>
          </c:yVal>
          <c:smooth val="0"/>
        </c:ser>
        <c:ser>
          <c:idx val="2"/>
          <c:order val="4"/>
          <c:tx>
            <c:v>S2C: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JMTSample!$I$9</c:f>
              <c:numCache>
                <c:formatCode>#,##0</c:formatCode>
                <c:ptCount val="1"/>
                <c:pt idx="0">
                  <c:v>2662664.8484120537</c:v>
                </c:pt>
              </c:numCache>
            </c:numRef>
          </c:yVal>
          <c:smooth val="0"/>
        </c:ser>
        <c:ser>
          <c:idx val="5"/>
          <c:order val="5"/>
          <c:tx>
            <c:v>S2O: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JMTSample!$D$9</c:f>
              <c:numCache>
                <c:formatCode>"$"#,##0</c:formatCode>
                <c:ptCount val="1"/>
                <c:pt idx="0">
                  <c:v>18732522</c:v>
                </c:pt>
              </c:numCache>
            </c:numRef>
          </c:xVal>
          <c:yVal>
            <c:numRef>
              <c:f>JMTSample!$F$9</c:f>
              <c:numCache>
                <c:formatCode>#,##0</c:formatCode>
                <c:ptCount val="1"/>
                <c:pt idx="0">
                  <c:v>3195832.4397713416</c:v>
                </c:pt>
              </c:numCache>
            </c:numRef>
          </c:yVal>
          <c:smooth val="0"/>
        </c:ser>
        <c:ser>
          <c:idx val="6"/>
          <c:order val="6"/>
          <c:tx>
            <c:v>VCH_Incr_TRx</c:v>
          </c:tx>
          <c:marker>
            <c:symbol val="none"/>
          </c:marker>
          <c:dLbls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Vouchers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JJVCH!$C$23:$C$43</c:f>
              <c:numCache>
                <c:formatCode>#,##0</c:formatCode>
                <c:ptCount val="21"/>
                <c:pt idx="0">
                  <c:v>0</c:v>
                </c:pt>
                <c:pt idx="1">
                  <c:v>19785.409492227558</c:v>
                </c:pt>
                <c:pt idx="2">
                  <c:v>39571.016739094761</c:v>
                </c:pt>
                <c:pt idx="3">
                  <c:v>59356.821740601605</c:v>
                </c:pt>
                <c:pt idx="4">
                  <c:v>79142.824496748101</c:v>
                </c:pt>
                <c:pt idx="5">
                  <c:v>98929.025007534234</c:v>
                </c:pt>
                <c:pt idx="6">
                  <c:v>118715.42327296002</c:v>
                </c:pt>
                <c:pt idx="7">
                  <c:v>138502.01929302546</c:v>
                </c:pt>
                <c:pt idx="8">
                  <c:v>158288.81306773052</c:v>
                </c:pt>
                <c:pt idx="9">
                  <c:v>178075.80459707524</c:v>
                </c:pt>
                <c:pt idx="10">
                  <c:v>197862.99388105958</c:v>
                </c:pt>
                <c:pt idx="11">
                  <c:v>217650.38091968361</c:v>
                </c:pt>
                <c:pt idx="12">
                  <c:v>237437.96571294725</c:v>
                </c:pt>
                <c:pt idx="13">
                  <c:v>257225.74826085052</c:v>
                </c:pt>
                <c:pt idx="14">
                  <c:v>277013.72856339347</c:v>
                </c:pt>
                <c:pt idx="15">
                  <c:v>296801.9066205761</c:v>
                </c:pt>
                <c:pt idx="16">
                  <c:v>316590.28243239829</c:v>
                </c:pt>
                <c:pt idx="17">
                  <c:v>336378.85599886021</c:v>
                </c:pt>
                <c:pt idx="18">
                  <c:v>356167.62731996167</c:v>
                </c:pt>
                <c:pt idx="19">
                  <c:v>375956.59639570286</c:v>
                </c:pt>
                <c:pt idx="20">
                  <c:v>395745.76322608365</c:v>
                </c:pt>
              </c:numCache>
            </c:numRef>
          </c:yVal>
          <c:smooth val="0"/>
        </c:ser>
        <c:ser>
          <c:idx val="7"/>
          <c:order val="7"/>
          <c:tx>
            <c:v>VC: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JJVCH!$I$9</c:f>
              <c:numCache>
                <c:formatCode>#,##0</c:formatCode>
                <c:ptCount val="1"/>
                <c:pt idx="0">
                  <c:v>150560.70106149331</c:v>
                </c:pt>
              </c:numCache>
            </c:numRef>
          </c:yVal>
          <c:smooth val="0"/>
        </c:ser>
        <c:ser>
          <c:idx val="8"/>
          <c:order val="8"/>
          <c:tx>
            <c:v>VO: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JJVCH!$D$9</c:f>
              <c:numCache>
                <c:formatCode>"$"#,##0</c:formatCode>
                <c:ptCount val="1"/>
                <c:pt idx="0">
                  <c:v>4565659.2</c:v>
                </c:pt>
              </c:numCache>
            </c:numRef>
          </c:xVal>
          <c:yVal>
            <c:numRef>
              <c:f>JJVCH!$F$9</c:f>
              <c:numCache>
                <c:formatCode>#,##0</c:formatCode>
                <c:ptCount val="1"/>
                <c:pt idx="0">
                  <c:v>180674.2153550259</c:v>
                </c:pt>
              </c:numCache>
            </c:numRef>
          </c:yVal>
          <c:smooth val="0"/>
        </c:ser>
        <c:ser>
          <c:idx val="9"/>
          <c:order val="9"/>
          <c:tx>
            <c:v>MMF_Incr_TRx</c:v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1.6025483292953766E-2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MMF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JJMMF!$C$30:$C$50</c:f>
              <c:numCache>
                <c:formatCode>#,##0</c:formatCode>
                <c:ptCount val="21"/>
                <c:pt idx="0">
                  <c:v>0</c:v>
                </c:pt>
                <c:pt idx="1">
                  <c:v>7258.8833029338202</c:v>
                </c:pt>
                <c:pt idx="2">
                  <c:v>13753.272832178851</c:v>
                </c:pt>
                <c:pt idx="3">
                  <c:v>19089.210151644824</c:v>
                </c:pt>
                <c:pt idx="4">
                  <c:v>23750.8035692349</c:v>
                </c:pt>
                <c:pt idx="5">
                  <c:v>28014.517917379791</c:v>
                </c:pt>
                <c:pt idx="6">
                  <c:v>31614.120163643827</c:v>
                </c:pt>
                <c:pt idx="7">
                  <c:v>34547.404669785858</c:v>
                </c:pt>
                <c:pt idx="8">
                  <c:v>37088.288548851007</c:v>
                </c:pt>
                <c:pt idx="9">
                  <c:v>39354.905170586644</c:v>
                </c:pt>
                <c:pt idx="10">
                  <c:v>41368.841130976209</c:v>
                </c:pt>
                <c:pt idx="11">
                  <c:v>43150.504674076452</c:v>
                </c:pt>
                <c:pt idx="12">
                  <c:v>44720.119604641892</c:v>
                </c:pt>
                <c:pt idx="13">
                  <c:v>46097.293990550279</c:v>
                </c:pt>
                <c:pt idx="14">
                  <c:v>47301.507562133454</c:v>
                </c:pt>
                <c:pt idx="15">
                  <c:v>48352.240049723267</c:v>
                </c:pt>
                <c:pt idx="16">
                  <c:v>49268.971183651505</c:v>
                </c:pt>
                <c:pt idx="17">
                  <c:v>50071.180694250041</c:v>
                </c:pt>
                <c:pt idx="18">
                  <c:v>50778.348311850685</c:v>
                </c:pt>
                <c:pt idx="19">
                  <c:v>51409.953766785278</c:v>
                </c:pt>
                <c:pt idx="20">
                  <c:v>51985.476789385641</c:v>
                </c:pt>
              </c:numCache>
            </c:numRef>
          </c:yVal>
          <c:smooth val="0"/>
        </c:ser>
        <c:ser>
          <c:idx val="10"/>
          <c:order val="10"/>
          <c:tx>
            <c:v>MFC: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JJMMF!$I$9</c:f>
              <c:numCache>
                <c:formatCode>#,##0</c:formatCode>
                <c:ptCount val="1"/>
                <c:pt idx="0">
                  <c:v>25689.160192131658</c:v>
                </c:pt>
              </c:numCache>
            </c:numRef>
          </c:yVal>
          <c:smooth val="0"/>
        </c:ser>
        <c:ser>
          <c:idx val="11"/>
          <c:order val="11"/>
          <c:tx>
            <c:v>MFO: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JJMMF!$D$9</c:f>
              <c:numCache>
                <c:formatCode>"$"#,##0</c:formatCode>
                <c:ptCount val="1"/>
                <c:pt idx="0">
                  <c:v>4107540.0292513319</c:v>
                </c:pt>
              </c:numCache>
            </c:numRef>
          </c:xVal>
          <c:yVal>
            <c:numRef>
              <c:f>JJMMF!$F$9</c:f>
              <c:numCache>
                <c:formatCode>#,##0</c:formatCode>
                <c:ptCount val="1"/>
                <c:pt idx="0">
                  <c:v>24231.818614525357</c:v>
                </c:pt>
              </c:numCache>
            </c:numRef>
          </c:yVal>
          <c:smooth val="0"/>
        </c:ser>
        <c:ser>
          <c:idx val="12"/>
          <c:order val="12"/>
          <c:tx>
            <c:v>HCC_Incr_TRx</c:v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dLbls>
            <c:dLbl>
              <c:idx val="13"/>
              <c:layout>
                <c:manualLayout>
                  <c:x val="-5.2083333333333336E-2"/>
                  <c:y val="-2.59515570934256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HCC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JJHCC!$C$22:$C$42</c:f>
              <c:numCache>
                <c:formatCode>#,##0</c:formatCode>
                <c:ptCount val="21"/>
                <c:pt idx="0">
                  <c:v>0</c:v>
                </c:pt>
                <c:pt idx="1">
                  <c:v>235071.42459140636</c:v>
                </c:pt>
                <c:pt idx="2">
                  <c:v>461742.9208223247</c:v>
                </c:pt>
                <c:pt idx="3">
                  <c:v>680245.96913645486</c:v>
                </c:pt>
                <c:pt idx="4">
                  <c:v>890811.1333111953</c:v>
                </c:pt>
                <c:pt idx="5">
                  <c:v>1093667.5546168792</c:v>
                </c:pt>
                <c:pt idx="6">
                  <c:v>1289042.4912357426</c:v>
                </c:pt>
                <c:pt idx="7">
                  <c:v>1477160.9011068591</c:v>
                </c:pt>
                <c:pt idx="8">
                  <c:v>1658245.0662689006</c:v>
                </c:pt>
                <c:pt idx="9">
                  <c:v>1832514.2567040266</c:v>
                </c:pt>
                <c:pt idx="10">
                  <c:v>2000184.4316435801</c:v>
                </c:pt>
                <c:pt idx="11">
                  <c:v>2161467.9762732317</c:v>
                </c:pt>
                <c:pt idx="12">
                  <c:v>2316573.4717730633</c:v>
                </c:pt>
                <c:pt idx="13">
                  <c:v>2465705.4966413723</c:v>
                </c:pt>
                <c:pt idx="14">
                  <c:v>2609064.4572786754</c:v>
                </c:pt>
                <c:pt idx="15">
                  <c:v>2746846.4458489963</c:v>
                </c:pt>
                <c:pt idx="16">
                  <c:v>2879243.1234853519</c:v>
                </c:pt>
                <c:pt idx="17">
                  <c:v>3006441.6269650906</c:v>
                </c:pt>
                <c:pt idx="18">
                  <c:v>3128624.4970466923</c:v>
                </c:pt>
                <c:pt idx="19">
                  <c:v>3245969.6267294786</c:v>
                </c:pt>
                <c:pt idx="20">
                  <c:v>3358650.2277734168</c:v>
                </c:pt>
              </c:numCache>
            </c:numRef>
          </c:yVal>
          <c:smooth val="0"/>
        </c:ser>
        <c:ser>
          <c:idx val="13"/>
          <c:order val="13"/>
          <c:tx>
            <c:v>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JJHCC!$I$9</c:f>
              <c:numCache>
                <c:formatCode>#,##0</c:formatCode>
                <c:ptCount val="1"/>
                <c:pt idx="0">
                  <c:v>1595892.0143603629</c:v>
                </c:pt>
              </c:numCache>
            </c:numRef>
          </c:yVal>
          <c:smooth val="0"/>
        </c:ser>
        <c:ser>
          <c:idx val="14"/>
          <c:order val="14"/>
          <c:tx>
            <c:v>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27544800</c:v>
                </c:pt>
              </c:numCache>
            </c:numRef>
          </c:xVal>
          <c:yVal>
            <c:numRef>
              <c:f>JJHCC!$F$9</c:f>
              <c:numCache>
                <c:formatCode>#,##0</c:formatCode>
                <c:ptCount val="1"/>
                <c:pt idx="0">
                  <c:v>1863447.2728889734</c:v>
                </c:pt>
              </c:numCache>
            </c:numRef>
          </c:yVal>
          <c:smooth val="0"/>
        </c:ser>
        <c:ser>
          <c:idx val="15"/>
          <c:order val="15"/>
          <c:tx>
            <c:v>MCM_Incr_TRx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-4.8076923076923003E-2"/>
                  <c:y val="-2.595155709342560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MCM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JJMCM!$C$22:$C$42</c:f>
              <c:numCache>
                <c:formatCode>#,##0</c:formatCode>
                <c:ptCount val="21"/>
                <c:pt idx="0">
                  <c:v>0</c:v>
                </c:pt>
                <c:pt idx="1">
                  <c:v>79507.11028868884</c:v>
                </c:pt>
                <c:pt idx="2">
                  <c:v>155573.41787305035</c:v>
                </c:pt>
                <c:pt idx="3">
                  <c:v>228339.32048574736</c:v>
                </c:pt>
                <c:pt idx="4">
                  <c:v>297940.23231110803</c:v>
                </c:pt>
                <c:pt idx="5">
                  <c:v>364506.69405063009</c:v>
                </c:pt>
                <c:pt idx="6">
                  <c:v>428164.48713928397</c:v>
                </c:pt>
                <c:pt idx="7">
                  <c:v>489034.75126725488</c:v>
                </c:pt>
                <c:pt idx="8">
                  <c:v>547234.10443962505</c:v>
                </c:pt>
                <c:pt idx="9">
                  <c:v>602874.76487850724</c:v>
                </c:pt>
                <c:pt idx="10">
                  <c:v>656064.6741417466</c:v>
                </c:pt>
                <c:pt idx="11">
                  <c:v>706907.62089403975</c:v>
                </c:pt>
                <c:pt idx="12">
                  <c:v>755503.36482708924</c:v>
                </c:pt>
                <c:pt idx="13">
                  <c:v>801947.76027903578</c:v>
                </c:pt>
                <c:pt idx="14">
                  <c:v>846332.8791548044</c:v>
                </c:pt>
                <c:pt idx="15">
                  <c:v>888747.13279554097</c:v>
                </c:pt>
                <c:pt idx="16">
                  <c:v>929275.39248845901</c:v>
                </c:pt>
                <c:pt idx="17">
                  <c:v>967999.10834809521</c:v>
                </c:pt>
                <c:pt idx="18">
                  <c:v>1004996.4263360974</c:v>
                </c:pt>
                <c:pt idx="19">
                  <c:v>1040342.3032200276</c:v>
                </c:pt>
                <c:pt idx="20">
                  <c:v>1074108.6193015403</c:v>
                </c:pt>
              </c:numCache>
            </c:numRef>
          </c:yVal>
          <c:smooth val="0"/>
        </c:ser>
        <c:ser>
          <c:idx val="16"/>
          <c:order val="16"/>
          <c:tx>
            <c:v>MCMC: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JJMCM!$I$9</c:f>
              <c:numCache>
                <c:formatCode>#,##0</c:formatCode>
                <c:ptCount val="1"/>
                <c:pt idx="0">
                  <c:v>378283.24113526288</c:v>
                </c:pt>
              </c:numCache>
            </c:numRef>
          </c:yVal>
          <c:smooth val="0"/>
        </c:ser>
        <c:ser>
          <c:idx val="17"/>
          <c:order val="17"/>
          <c:tx>
            <c:v>MCMO: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9382780.7999999989</c:v>
                </c:pt>
              </c:numCache>
            </c:numRef>
          </c:xVal>
          <c:yVal>
            <c:numRef>
              <c:f>JJMCM!$F$9</c:f>
              <c:numCache>
                <c:formatCode>#,##0</c:formatCode>
                <c:ptCount val="1"/>
                <c:pt idx="0">
                  <c:v>443957.99322214938</c:v>
                </c:pt>
              </c:numCache>
            </c:numRef>
          </c:yVal>
          <c:smooth val="0"/>
        </c:ser>
        <c:ser>
          <c:idx val="18"/>
          <c:order val="18"/>
          <c:tx>
            <c:v>ACQ_Incr_TRx</c:v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8.0128205128204393E-3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Acquisition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JJHCC_ACQ!$C$22:$C$42</c:f>
              <c:numCache>
                <c:formatCode>#,##0</c:formatCode>
                <c:ptCount val="21"/>
                <c:pt idx="0">
                  <c:v>0</c:v>
                </c:pt>
                <c:pt idx="1">
                  <c:v>19694.374199160717</c:v>
                </c:pt>
                <c:pt idx="2">
                  <c:v>39069.406487308843</c:v>
                </c:pt>
                <c:pt idx="3">
                  <c:v>58130.06781013259</c:v>
                </c:pt>
                <c:pt idx="4">
                  <c:v>76881.258540774928</c:v>
                </c:pt>
                <c:pt idx="5">
                  <c:v>95327.809255052722</c:v>
                </c:pt>
                <c:pt idx="6">
                  <c:v>113474.48150603171</c:v>
                </c:pt>
                <c:pt idx="7">
                  <c:v>131325.9685978927</c:v>
                </c:pt>
                <c:pt idx="8">
                  <c:v>148886.89635834811</c:v>
                </c:pt>
                <c:pt idx="9">
                  <c:v>166161.82390978068</c:v>
                </c:pt>
                <c:pt idx="10">
                  <c:v>183155.24443830978</c:v>
                </c:pt>
                <c:pt idx="11">
                  <c:v>199871.58596087093</c:v>
                </c:pt>
                <c:pt idx="12">
                  <c:v>216315.21208989044</c:v>
                </c:pt>
                <c:pt idx="13">
                  <c:v>232490.4227951568</c:v>
                </c:pt>
                <c:pt idx="14">
                  <c:v>248401.45516293292</c:v>
                </c:pt>
                <c:pt idx="15">
                  <c:v>264052.48415179277</c:v>
                </c:pt>
                <c:pt idx="16">
                  <c:v>279447.62334514031</c:v>
                </c:pt>
                <c:pt idx="17">
                  <c:v>294590.92570003413</c:v>
                </c:pt>
                <c:pt idx="18">
                  <c:v>309486.3842922973</c:v>
                </c:pt>
                <c:pt idx="19">
                  <c:v>324137.93305757787</c:v>
                </c:pt>
                <c:pt idx="20">
                  <c:v>338549.44752814772</c:v>
                </c:pt>
              </c:numCache>
            </c:numRef>
          </c:yVal>
          <c:smooth val="0"/>
        </c:ser>
        <c:ser>
          <c:idx val="19"/>
          <c:order val="19"/>
          <c:tx>
            <c:v>ACQC: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4782666</c:v>
                </c:pt>
              </c:numCache>
            </c:numRef>
          </c:xVal>
          <c:yVal>
            <c:numRef>
              <c:f>JJHCC_ACQ!$I$9</c:f>
              <c:numCache>
                <c:formatCode>#,##0</c:formatCode>
                <c:ptCount val="1"/>
                <c:pt idx="0">
                  <c:v>91344.414528190871</c:v>
                </c:pt>
              </c:numCache>
            </c:numRef>
          </c:yVal>
          <c:smooth val="0"/>
        </c:ser>
        <c:ser>
          <c:idx val="20"/>
          <c:order val="20"/>
          <c:tx>
            <c:v>ACQO: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5739199.2000000002</c:v>
                </c:pt>
              </c:numCache>
            </c:numRef>
          </c:xVal>
          <c:yVal>
            <c:numRef>
              <c:f>JJHCC_ACQ!$F$9</c:f>
              <c:numCache>
                <c:formatCode>#,##0</c:formatCode>
                <c:ptCount val="1"/>
                <c:pt idx="0">
                  <c:v>108770.45724810039</c:v>
                </c:pt>
              </c:numCache>
            </c:numRef>
          </c:yVal>
          <c:smooth val="0"/>
        </c:ser>
        <c:ser>
          <c:idx val="21"/>
          <c:order val="21"/>
          <c:tx>
            <c:v>ADH_Incr_TRx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5"/>
              <c:layout>
                <c:manualLayout>
                  <c:x val="-6.0096153846153848E-2"/>
                  <c:y val="-2.30680507497116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Adherence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JJHCC_ADH!$C$22:$C$42</c:f>
              <c:numCache>
                <c:formatCode>#,##0</c:formatCode>
                <c:ptCount val="21"/>
                <c:pt idx="0">
                  <c:v>0</c:v>
                </c:pt>
                <c:pt idx="1">
                  <c:v>61226.401077322662</c:v>
                </c:pt>
                <c:pt idx="2">
                  <c:v>120994.72060368396</c:v>
                </c:pt>
                <c:pt idx="3">
                  <c:v>179325.91864795052</c:v>
                </c:pt>
                <c:pt idx="4">
                  <c:v>236241.44401214831</c:v>
                </c:pt>
                <c:pt idx="5">
                  <c:v>291763.17912199162</c:v>
                </c:pt>
                <c:pt idx="6">
                  <c:v>345913.38696239889</c:v>
                </c:pt>
                <c:pt idx="7">
                  <c:v>398714.66009361669</c:v>
                </c:pt>
                <c:pt idx="8">
                  <c:v>450189.87177247368</c:v>
                </c:pt>
                <c:pt idx="9">
                  <c:v>500362.12919285521</c:v>
                </c:pt>
                <c:pt idx="10">
                  <c:v>549254.72884996422</c:v>
                </c:pt>
                <c:pt idx="11">
                  <c:v>596891.11402404681</c:v>
                </c:pt>
                <c:pt idx="12">
                  <c:v>643294.8343712315</c:v>
                </c:pt>
                <c:pt idx="13">
                  <c:v>688489.50760174915</c:v>
                </c:pt>
                <c:pt idx="14">
                  <c:v>732498.78321923688</c:v>
                </c:pt>
                <c:pt idx="15">
                  <c:v>775346.30828877538</c:v>
                </c:pt>
                <c:pt idx="16">
                  <c:v>817055.69519616477</c:v>
                </c:pt>
                <c:pt idx="17">
                  <c:v>857650.49135614</c:v>
                </c:pt>
                <c:pt idx="18">
                  <c:v>897154.15082335845</c:v>
                </c:pt>
                <c:pt idx="19">
                  <c:v>935590.00775624253</c:v>
                </c:pt>
                <c:pt idx="20">
                  <c:v>972981.25168112665</c:v>
                </c:pt>
              </c:numCache>
            </c:numRef>
          </c:yVal>
          <c:smooth val="0"/>
        </c:ser>
        <c:ser>
          <c:idx val="22"/>
          <c:order val="22"/>
          <c:tx>
            <c:v>ADHC: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JJHCC_ADH!$G$9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JJHCC_ADH!$I$9</c:f>
              <c:numCache>
                <c:formatCode>#,##0</c:formatCode>
                <c:ptCount val="1"/>
                <c:pt idx="0">
                  <c:v>360832.73711340129</c:v>
                </c:pt>
              </c:numCache>
            </c:numRef>
          </c:yVal>
          <c:smooth val="0"/>
        </c:ser>
        <c:ser>
          <c:idx val="23"/>
          <c:order val="23"/>
          <c:tx>
            <c:v>ADHO: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JJHCC_ADH!$D$9</c:f>
              <c:numCache>
                <c:formatCode>_("$"* #,##0_);_("$"* \(#,##0\);_("$"* "-"??_);_(@_)</c:formatCode>
                <c:ptCount val="1"/>
                <c:pt idx="0">
                  <c:v>18840000</c:v>
                </c:pt>
              </c:numCache>
            </c:numRef>
          </c:xVal>
          <c:yVal>
            <c:numRef>
              <c:f>JJHCC_ADH!$F$9</c:f>
              <c:numCache>
                <c:formatCode>#,##0</c:formatCode>
                <c:ptCount val="1"/>
                <c:pt idx="0">
                  <c:v>426468.80566668883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8170496"/>
        <c:axId val="348177536"/>
      </c:scatterChart>
      <c:valAx>
        <c:axId val="348170496"/>
        <c:scaling>
          <c:orientation val="minMax"/>
          <c:max val="4000000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200" b="0"/>
                </a:pPr>
                <a:r>
                  <a:rPr lang="en-US" sz="1200" b="0"/>
                  <a:t>Channel Spend (in MM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348177536"/>
        <c:crosses val="autoZero"/>
        <c:crossBetween val="midCat"/>
        <c:dispUnits>
          <c:builtInUnit val="millions"/>
        </c:dispUnits>
      </c:valAx>
      <c:valAx>
        <c:axId val="348177536"/>
        <c:scaling>
          <c:orientation val="minMax"/>
          <c:max val="50000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200" b="0">
                    <a:solidFill>
                      <a:sysClr val="windowText" lastClr="000000"/>
                    </a:solidFill>
                  </a:defRPr>
                </a:pPr>
                <a:r>
                  <a:rPr lang="en-US" sz="1200" b="0">
                    <a:solidFill>
                      <a:sysClr val="windowText" lastClr="000000"/>
                    </a:solidFill>
                  </a:rPr>
                  <a:t>3-year 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48170496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3-year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Channel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24"/>
          <c:order val="24"/>
          <c:tx>
            <c:v>JANSample_Incr_TRx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292618.45056716667</c:v>
                </c:pt>
                <c:pt idx="2">
                  <c:v>584274.49594190461</c:v>
                </c:pt>
                <c:pt idx="3">
                  <c:v>874968.13612421392</c:v>
                </c:pt>
                <c:pt idx="4">
                  <c:v>1164699.3711140943</c:v>
                </c:pt>
                <c:pt idx="5">
                  <c:v>1453468.2009115461</c:v>
                </c:pt>
                <c:pt idx="6">
                  <c:v>1741274.625516569</c:v>
                </c:pt>
                <c:pt idx="7">
                  <c:v>2028118.6449291632</c:v>
                </c:pt>
                <c:pt idx="8">
                  <c:v>2314000.2591493283</c:v>
                </c:pt>
                <c:pt idx="9">
                  <c:v>2598919.4681770657</c:v>
                </c:pt>
                <c:pt idx="10">
                  <c:v>2882876.2720123734</c:v>
                </c:pt>
                <c:pt idx="11">
                  <c:v>3165870.6706552524</c:v>
                </c:pt>
                <c:pt idx="12">
                  <c:v>3447902.6641057036</c:v>
                </c:pt>
                <c:pt idx="13">
                  <c:v>3728972.2523637251</c:v>
                </c:pt>
                <c:pt idx="14">
                  <c:v>4009079.4354293179</c:v>
                </c:pt>
                <c:pt idx="15">
                  <c:v>4288224.2133024819</c:v>
                </c:pt>
                <c:pt idx="16">
                  <c:v>4566406.5859832177</c:v>
                </c:pt>
                <c:pt idx="17">
                  <c:v>4843626.5534715252</c:v>
                </c:pt>
                <c:pt idx="18">
                  <c:v>5119884.1157674035</c:v>
                </c:pt>
                <c:pt idx="19">
                  <c:v>5395179.2728708526</c:v>
                </c:pt>
                <c:pt idx="20">
                  <c:v>5669512.0247818725</c:v>
                </c:pt>
              </c:numCache>
            </c:numRef>
          </c:yVal>
          <c:smooth val="0"/>
        </c:ser>
        <c:ser>
          <c:idx val="25"/>
          <c:order val="25"/>
          <c:tx>
            <c:v>SC:</c:v>
          </c:tx>
          <c:spPr>
            <a:ln w="4445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JANSample!$I$9</c:f>
              <c:numCache>
                <c:formatCode>#,##0</c:formatCode>
                <c:ptCount val="1"/>
                <c:pt idx="0">
                  <c:v>2310765.2787946975</c:v>
                </c:pt>
              </c:numCache>
            </c:numRef>
          </c:yVal>
          <c:smooth val="0"/>
        </c:ser>
        <c:ser>
          <c:idx val="26"/>
          <c:order val="26"/>
          <c:tx>
            <c:v>SO: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JANSample!$D$9</c:f>
              <c:numCache>
                <c:formatCode>"$"#,##0</c:formatCode>
                <c:ptCount val="1"/>
                <c:pt idx="0">
                  <c:v>7189798.7999999998</c:v>
                </c:pt>
              </c:numCache>
            </c:numRef>
          </c:xVal>
          <c:yVal>
            <c:numRef>
              <c:f>JANSample!$F$9</c:f>
              <c:numCache>
                <c:formatCode>#,##0</c:formatCode>
                <c:ptCount val="1"/>
                <c:pt idx="0">
                  <c:v>2765547.9922391665</c:v>
                </c:pt>
              </c:numCache>
            </c:numRef>
          </c:yVal>
          <c:smooth val="0"/>
        </c:ser>
        <c:ser>
          <c:idx val="27"/>
          <c:order val="27"/>
          <c:tx>
            <c:v>JMTSample_Incr_TRx</c:v>
          </c:tx>
          <c:marker>
            <c:symbol val="none"/>
          </c:marker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340843.72051351675</c:v>
                </c:pt>
                <c:pt idx="2">
                  <c:v>681774.24980389187</c:v>
                </c:pt>
                <c:pt idx="3">
                  <c:v>1022791.5878711254</c:v>
                </c:pt>
                <c:pt idx="4">
                  <c:v>1363895.7347152175</c:v>
                </c:pt>
                <c:pt idx="5">
                  <c:v>1705086.690336168</c:v>
                </c:pt>
                <c:pt idx="6">
                  <c:v>2046364.4547339769</c:v>
                </c:pt>
                <c:pt idx="7">
                  <c:v>2387729.0279086442</c:v>
                </c:pt>
                <c:pt idx="8">
                  <c:v>2729180.40986017</c:v>
                </c:pt>
                <c:pt idx="9">
                  <c:v>3070718.6005885541</c:v>
                </c:pt>
                <c:pt idx="10">
                  <c:v>3412343.6000937968</c:v>
                </c:pt>
                <c:pt idx="11">
                  <c:v>3754055.4083758979</c:v>
                </c:pt>
                <c:pt idx="12">
                  <c:v>4095854.0254348577</c:v>
                </c:pt>
                <c:pt idx="13">
                  <c:v>4437739.4512706762</c:v>
                </c:pt>
                <c:pt idx="14">
                  <c:v>4779711.6858833525</c:v>
                </c:pt>
                <c:pt idx="15">
                  <c:v>5121770.7292728871</c:v>
                </c:pt>
                <c:pt idx="16">
                  <c:v>5463916.58143928</c:v>
                </c:pt>
                <c:pt idx="17">
                  <c:v>5806149.242382532</c:v>
                </c:pt>
                <c:pt idx="18">
                  <c:v>6148468.7121026423</c:v>
                </c:pt>
                <c:pt idx="19">
                  <c:v>6490874.9905996108</c:v>
                </c:pt>
                <c:pt idx="20">
                  <c:v>6833368.0778734377</c:v>
                </c:pt>
              </c:numCache>
            </c:numRef>
          </c:yVal>
          <c:smooth val="0"/>
        </c:ser>
        <c:ser>
          <c:idx val="28"/>
          <c:order val="28"/>
          <c:tx>
            <c:v>S2C:</c:v>
          </c:tx>
          <c:marker>
            <c:symbol val="none"/>
          </c:marker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JMTSample!$I$9</c:f>
              <c:numCache>
                <c:formatCode>#,##0</c:formatCode>
                <c:ptCount val="1"/>
                <c:pt idx="0">
                  <c:v>2662664.8484120537</c:v>
                </c:pt>
              </c:numCache>
            </c:numRef>
          </c:yVal>
          <c:smooth val="0"/>
        </c:ser>
        <c:ser>
          <c:idx val="29"/>
          <c:order val="29"/>
          <c:tx>
            <c:v>S2O:</c:v>
          </c:tx>
          <c:marker>
            <c:symbol val="none"/>
          </c:marker>
          <c:xVal>
            <c:numRef>
              <c:f>JMTSample!$D$9</c:f>
              <c:numCache>
                <c:formatCode>"$"#,##0</c:formatCode>
                <c:ptCount val="1"/>
                <c:pt idx="0">
                  <c:v>18732522</c:v>
                </c:pt>
              </c:numCache>
            </c:numRef>
          </c:xVal>
          <c:yVal>
            <c:numRef>
              <c:f>JMTSample!$F$9</c:f>
              <c:numCache>
                <c:formatCode>#,##0</c:formatCode>
                <c:ptCount val="1"/>
                <c:pt idx="0">
                  <c:v>3195832.4397713416</c:v>
                </c:pt>
              </c:numCache>
            </c:numRef>
          </c:yVal>
          <c:smooth val="0"/>
        </c:ser>
        <c:ser>
          <c:idx val="30"/>
          <c:order val="30"/>
          <c:tx>
            <c:v>VCH_Incr_TRx</c:v>
          </c:tx>
          <c:marker>
            <c:symbol val="none"/>
          </c:marker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JJVCH!$C$23:$C$43</c:f>
              <c:numCache>
                <c:formatCode>#,##0</c:formatCode>
                <c:ptCount val="21"/>
                <c:pt idx="0">
                  <c:v>0</c:v>
                </c:pt>
                <c:pt idx="1">
                  <c:v>19785.409492227558</c:v>
                </c:pt>
                <c:pt idx="2">
                  <c:v>39571.016739094761</c:v>
                </c:pt>
                <c:pt idx="3">
                  <c:v>59356.821740601605</c:v>
                </c:pt>
                <c:pt idx="4">
                  <c:v>79142.824496748101</c:v>
                </c:pt>
                <c:pt idx="5">
                  <c:v>98929.025007534234</c:v>
                </c:pt>
                <c:pt idx="6">
                  <c:v>118715.42327296002</c:v>
                </c:pt>
                <c:pt idx="7">
                  <c:v>138502.01929302546</c:v>
                </c:pt>
                <c:pt idx="8">
                  <c:v>158288.81306773052</c:v>
                </c:pt>
                <c:pt idx="9">
                  <c:v>178075.80459707524</c:v>
                </c:pt>
                <c:pt idx="10">
                  <c:v>197862.99388105958</c:v>
                </c:pt>
                <c:pt idx="11">
                  <c:v>217650.38091968361</c:v>
                </c:pt>
                <c:pt idx="12">
                  <c:v>237437.96571294725</c:v>
                </c:pt>
                <c:pt idx="13">
                  <c:v>257225.74826085052</c:v>
                </c:pt>
                <c:pt idx="14">
                  <c:v>277013.72856339347</c:v>
                </c:pt>
                <c:pt idx="15">
                  <c:v>296801.9066205761</c:v>
                </c:pt>
                <c:pt idx="16">
                  <c:v>316590.28243239829</c:v>
                </c:pt>
                <c:pt idx="17">
                  <c:v>336378.85599886021</c:v>
                </c:pt>
                <c:pt idx="18">
                  <c:v>356167.62731996167</c:v>
                </c:pt>
                <c:pt idx="19">
                  <c:v>375956.59639570286</c:v>
                </c:pt>
                <c:pt idx="20">
                  <c:v>395745.76322608365</c:v>
                </c:pt>
              </c:numCache>
            </c:numRef>
          </c:yVal>
          <c:smooth val="0"/>
        </c:ser>
        <c:ser>
          <c:idx val="31"/>
          <c:order val="31"/>
          <c:tx>
            <c:v>VC:</c:v>
          </c:tx>
          <c:marker>
            <c:symbol val="none"/>
          </c:marker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JJVCH!$I$9</c:f>
              <c:numCache>
                <c:formatCode>#,##0</c:formatCode>
                <c:ptCount val="1"/>
                <c:pt idx="0">
                  <c:v>150560.70106149331</c:v>
                </c:pt>
              </c:numCache>
            </c:numRef>
          </c:yVal>
          <c:smooth val="0"/>
        </c:ser>
        <c:ser>
          <c:idx val="32"/>
          <c:order val="32"/>
          <c:tx>
            <c:v>VO:</c:v>
          </c:tx>
          <c:marker>
            <c:symbol val="none"/>
          </c:marker>
          <c:xVal>
            <c:numRef>
              <c:f>JJVCH!$D$9</c:f>
              <c:numCache>
                <c:formatCode>"$"#,##0</c:formatCode>
                <c:ptCount val="1"/>
                <c:pt idx="0">
                  <c:v>4565659.2</c:v>
                </c:pt>
              </c:numCache>
            </c:numRef>
          </c:xVal>
          <c:yVal>
            <c:numRef>
              <c:f>JJVCH!$F$9</c:f>
              <c:numCache>
                <c:formatCode>#,##0</c:formatCode>
                <c:ptCount val="1"/>
                <c:pt idx="0">
                  <c:v>180674.2153550259</c:v>
                </c:pt>
              </c:numCache>
            </c:numRef>
          </c:yVal>
          <c:smooth val="0"/>
        </c:ser>
        <c:ser>
          <c:idx val="33"/>
          <c:order val="33"/>
          <c:tx>
            <c:v>MMF_Incr_TRx</c:v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JJMMF!$C$30:$C$50</c:f>
              <c:numCache>
                <c:formatCode>#,##0</c:formatCode>
                <c:ptCount val="21"/>
                <c:pt idx="0">
                  <c:v>0</c:v>
                </c:pt>
                <c:pt idx="1">
                  <c:v>7258.8833029338202</c:v>
                </c:pt>
                <c:pt idx="2">
                  <c:v>13753.272832178851</c:v>
                </c:pt>
                <c:pt idx="3">
                  <c:v>19089.210151644824</c:v>
                </c:pt>
                <c:pt idx="4">
                  <c:v>23750.8035692349</c:v>
                </c:pt>
                <c:pt idx="5">
                  <c:v>28014.517917379791</c:v>
                </c:pt>
                <c:pt idx="6">
                  <c:v>31614.120163643827</c:v>
                </c:pt>
                <c:pt idx="7">
                  <c:v>34547.404669785858</c:v>
                </c:pt>
                <c:pt idx="8">
                  <c:v>37088.288548851007</c:v>
                </c:pt>
                <c:pt idx="9">
                  <c:v>39354.905170586644</c:v>
                </c:pt>
                <c:pt idx="10">
                  <c:v>41368.841130976209</c:v>
                </c:pt>
                <c:pt idx="11">
                  <c:v>43150.504674076452</c:v>
                </c:pt>
                <c:pt idx="12">
                  <c:v>44720.119604641892</c:v>
                </c:pt>
                <c:pt idx="13">
                  <c:v>46097.293990550279</c:v>
                </c:pt>
                <c:pt idx="14">
                  <c:v>47301.507562133454</c:v>
                </c:pt>
                <c:pt idx="15">
                  <c:v>48352.240049723267</c:v>
                </c:pt>
                <c:pt idx="16">
                  <c:v>49268.971183651505</c:v>
                </c:pt>
                <c:pt idx="17">
                  <c:v>50071.180694250041</c:v>
                </c:pt>
                <c:pt idx="18">
                  <c:v>50778.348311850685</c:v>
                </c:pt>
                <c:pt idx="19">
                  <c:v>51409.953766785278</c:v>
                </c:pt>
                <c:pt idx="20">
                  <c:v>51985.476789385641</c:v>
                </c:pt>
              </c:numCache>
            </c:numRef>
          </c:yVal>
          <c:smooth val="0"/>
        </c:ser>
        <c:ser>
          <c:idx val="34"/>
          <c:order val="34"/>
          <c:tx>
            <c:v>MFC:</c:v>
          </c:tx>
          <c:marker>
            <c:symbol val="none"/>
          </c:marker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JJMMF!$I$9</c:f>
              <c:numCache>
                <c:formatCode>#,##0</c:formatCode>
                <c:ptCount val="1"/>
                <c:pt idx="0">
                  <c:v>25689.160192131658</c:v>
                </c:pt>
              </c:numCache>
            </c:numRef>
          </c:yVal>
          <c:smooth val="0"/>
        </c:ser>
        <c:ser>
          <c:idx val="35"/>
          <c:order val="35"/>
          <c:tx>
            <c:v>MFO:</c:v>
          </c:tx>
          <c:marker>
            <c:symbol val="none"/>
          </c:marker>
          <c:xVal>
            <c:numRef>
              <c:f>JJMMF!$D$9</c:f>
              <c:numCache>
                <c:formatCode>"$"#,##0</c:formatCode>
                <c:ptCount val="1"/>
                <c:pt idx="0">
                  <c:v>4107540.0292513319</c:v>
                </c:pt>
              </c:numCache>
            </c:numRef>
          </c:xVal>
          <c:yVal>
            <c:numRef>
              <c:f>JJMMF!$F$9</c:f>
              <c:numCache>
                <c:formatCode>#,##0</c:formatCode>
                <c:ptCount val="1"/>
                <c:pt idx="0">
                  <c:v>24231.818614525357</c:v>
                </c:pt>
              </c:numCache>
            </c:numRef>
          </c:yVal>
          <c:smooth val="0"/>
        </c:ser>
        <c:ser>
          <c:idx val="36"/>
          <c:order val="36"/>
          <c:tx>
            <c:v>HCC_Incr_TRx</c:v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JJHCC!$C$22:$C$42</c:f>
              <c:numCache>
                <c:formatCode>#,##0</c:formatCode>
                <c:ptCount val="21"/>
                <c:pt idx="0">
                  <c:v>0</c:v>
                </c:pt>
                <c:pt idx="1">
                  <c:v>235071.42459140636</c:v>
                </c:pt>
                <c:pt idx="2">
                  <c:v>461742.9208223247</c:v>
                </c:pt>
                <c:pt idx="3">
                  <c:v>680245.96913645486</c:v>
                </c:pt>
                <c:pt idx="4">
                  <c:v>890811.1333111953</c:v>
                </c:pt>
                <c:pt idx="5">
                  <c:v>1093667.5546168792</c:v>
                </c:pt>
                <c:pt idx="6">
                  <c:v>1289042.4912357426</c:v>
                </c:pt>
                <c:pt idx="7">
                  <c:v>1477160.9011068591</c:v>
                </c:pt>
                <c:pt idx="8">
                  <c:v>1658245.0662689006</c:v>
                </c:pt>
                <c:pt idx="9">
                  <c:v>1832514.2567040266</c:v>
                </c:pt>
                <c:pt idx="10">
                  <c:v>2000184.4316435801</c:v>
                </c:pt>
                <c:pt idx="11">
                  <c:v>2161467.9762732317</c:v>
                </c:pt>
                <c:pt idx="12">
                  <c:v>2316573.4717730633</c:v>
                </c:pt>
                <c:pt idx="13">
                  <c:v>2465705.4966413723</c:v>
                </c:pt>
                <c:pt idx="14">
                  <c:v>2609064.4572786754</c:v>
                </c:pt>
                <c:pt idx="15">
                  <c:v>2746846.4458489963</c:v>
                </c:pt>
                <c:pt idx="16">
                  <c:v>2879243.1234853519</c:v>
                </c:pt>
                <c:pt idx="17">
                  <c:v>3006441.6269650906</c:v>
                </c:pt>
                <c:pt idx="18">
                  <c:v>3128624.4970466923</c:v>
                </c:pt>
                <c:pt idx="19">
                  <c:v>3245969.6267294786</c:v>
                </c:pt>
                <c:pt idx="20">
                  <c:v>3358650.2277734168</c:v>
                </c:pt>
              </c:numCache>
            </c:numRef>
          </c:yVal>
          <c:smooth val="0"/>
        </c:ser>
        <c:ser>
          <c:idx val="37"/>
          <c:order val="37"/>
          <c:tx>
            <c:v>HC:</c:v>
          </c:tx>
          <c:marker>
            <c:symbol val="none"/>
          </c:marker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JJHCC!$I$9</c:f>
              <c:numCache>
                <c:formatCode>#,##0</c:formatCode>
                <c:ptCount val="1"/>
                <c:pt idx="0">
                  <c:v>1595892.0143603629</c:v>
                </c:pt>
              </c:numCache>
            </c:numRef>
          </c:yVal>
          <c:smooth val="0"/>
        </c:ser>
        <c:ser>
          <c:idx val="38"/>
          <c:order val="38"/>
          <c:tx>
            <c:v>HO:</c:v>
          </c:tx>
          <c:marker>
            <c:symbol val="none"/>
          </c:marker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27544800</c:v>
                </c:pt>
              </c:numCache>
            </c:numRef>
          </c:xVal>
          <c:yVal>
            <c:numRef>
              <c:f>JJHCC!$F$9</c:f>
              <c:numCache>
                <c:formatCode>#,##0</c:formatCode>
                <c:ptCount val="1"/>
                <c:pt idx="0">
                  <c:v>1863447.2728889734</c:v>
                </c:pt>
              </c:numCache>
            </c:numRef>
          </c:yVal>
          <c:smooth val="0"/>
        </c:ser>
        <c:ser>
          <c:idx val="39"/>
          <c:order val="39"/>
          <c:tx>
            <c:v>MCM_Incr_TRx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JJMCM!$C$22:$C$42</c:f>
              <c:numCache>
                <c:formatCode>#,##0</c:formatCode>
                <c:ptCount val="21"/>
                <c:pt idx="0">
                  <c:v>0</c:v>
                </c:pt>
                <c:pt idx="1">
                  <c:v>79507.11028868884</c:v>
                </c:pt>
                <c:pt idx="2">
                  <c:v>155573.41787305035</c:v>
                </c:pt>
                <c:pt idx="3">
                  <c:v>228339.32048574736</c:v>
                </c:pt>
                <c:pt idx="4">
                  <c:v>297940.23231110803</c:v>
                </c:pt>
                <c:pt idx="5">
                  <c:v>364506.69405063009</c:v>
                </c:pt>
                <c:pt idx="6">
                  <c:v>428164.48713928397</c:v>
                </c:pt>
                <c:pt idx="7">
                  <c:v>489034.75126725488</c:v>
                </c:pt>
                <c:pt idx="8">
                  <c:v>547234.10443962505</c:v>
                </c:pt>
                <c:pt idx="9">
                  <c:v>602874.76487850724</c:v>
                </c:pt>
                <c:pt idx="10">
                  <c:v>656064.6741417466</c:v>
                </c:pt>
                <c:pt idx="11">
                  <c:v>706907.62089403975</c:v>
                </c:pt>
                <c:pt idx="12">
                  <c:v>755503.36482708924</c:v>
                </c:pt>
                <c:pt idx="13">
                  <c:v>801947.76027903578</c:v>
                </c:pt>
                <c:pt idx="14">
                  <c:v>846332.8791548044</c:v>
                </c:pt>
                <c:pt idx="15">
                  <c:v>888747.13279554097</c:v>
                </c:pt>
                <c:pt idx="16">
                  <c:v>929275.39248845901</c:v>
                </c:pt>
                <c:pt idx="17">
                  <c:v>967999.10834809521</c:v>
                </c:pt>
                <c:pt idx="18">
                  <c:v>1004996.4263360974</c:v>
                </c:pt>
                <c:pt idx="19">
                  <c:v>1040342.3032200276</c:v>
                </c:pt>
                <c:pt idx="20">
                  <c:v>1074108.6193015403</c:v>
                </c:pt>
              </c:numCache>
            </c:numRef>
          </c:yVal>
          <c:smooth val="0"/>
        </c:ser>
        <c:ser>
          <c:idx val="40"/>
          <c:order val="40"/>
          <c:tx>
            <c:v>MCMC:</c:v>
          </c:tx>
          <c:marker>
            <c:symbol val="none"/>
          </c:marker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JJMCM!$I$9</c:f>
              <c:numCache>
                <c:formatCode>#,##0</c:formatCode>
                <c:ptCount val="1"/>
                <c:pt idx="0">
                  <c:v>378283.24113526288</c:v>
                </c:pt>
              </c:numCache>
            </c:numRef>
          </c:yVal>
          <c:smooth val="0"/>
        </c:ser>
        <c:ser>
          <c:idx val="41"/>
          <c:order val="41"/>
          <c:tx>
            <c:v>MCMO:</c:v>
          </c:tx>
          <c:marker>
            <c:symbol val="none"/>
          </c:marker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9382780.7999999989</c:v>
                </c:pt>
              </c:numCache>
            </c:numRef>
          </c:xVal>
          <c:yVal>
            <c:numRef>
              <c:f>JJMCM!$F$9</c:f>
              <c:numCache>
                <c:formatCode>#,##0</c:formatCode>
                <c:ptCount val="1"/>
                <c:pt idx="0">
                  <c:v>443957.99322214938</c:v>
                </c:pt>
              </c:numCache>
            </c:numRef>
          </c:yVal>
          <c:smooth val="0"/>
        </c:ser>
        <c:ser>
          <c:idx val="42"/>
          <c:order val="42"/>
          <c:tx>
            <c:v>ACQ_Incr_TRx</c:v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JJHCC_ACQ!$C$22:$C$42</c:f>
              <c:numCache>
                <c:formatCode>#,##0</c:formatCode>
                <c:ptCount val="21"/>
                <c:pt idx="0">
                  <c:v>0</c:v>
                </c:pt>
                <c:pt idx="1">
                  <c:v>19694.374199160717</c:v>
                </c:pt>
                <c:pt idx="2">
                  <c:v>39069.406487308843</c:v>
                </c:pt>
                <c:pt idx="3">
                  <c:v>58130.06781013259</c:v>
                </c:pt>
                <c:pt idx="4">
                  <c:v>76881.258540774928</c:v>
                </c:pt>
                <c:pt idx="5">
                  <c:v>95327.809255052722</c:v>
                </c:pt>
                <c:pt idx="6">
                  <c:v>113474.48150603171</c:v>
                </c:pt>
                <c:pt idx="7">
                  <c:v>131325.9685978927</c:v>
                </c:pt>
                <c:pt idx="8">
                  <c:v>148886.89635834811</c:v>
                </c:pt>
                <c:pt idx="9">
                  <c:v>166161.82390978068</c:v>
                </c:pt>
                <c:pt idx="10">
                  <c:v>183155.24443830978</c:v>
                </c:pt>
                <c:pt idx="11">
                  <c:v>199871.58596087093</c:v>
                </c:pt>
                <c:pt idx="12">
                  <c:v>216315.21208989044</c:v>
                </c:pt>
                <c:pt idx="13">
                  <c:v>232490.4227951568</c:v>
                </c:pt>
                <c:pt idx="14">
                  <c:v>248401.45516293292</c:v>
                </c:pt>
                <c:pt idx="15">
                  <c:v>264052.48415179277</c:v>
                </c:pt>
                <c:pt idx="16">
                  <c:v>279447.62334514031</c:v>
                </c:pt>
                <c:pt idx="17">
                  <c:v>294590.92570003413</c:v>
                </c:pt>
                <c:pt idx="18">
                  <c:v>309486.3842922973</c:v>
                </c:pt>
                <c:pt idx="19">
                  <c:v>324137.93305757787</c:v>
                </c:pt>
                <c:pt idx="20">
                  <c:v>338549.44752814772</c:v>
                </c:pt>
              </c:numCache>
            </c:numRef>
          </c:yVal>
          <c:smooth val="0"/>
        </c:ser>
        <c:ser>
          <c:idx val="43"/>
          <c:order val="43"/>
          <c:tx>
            <c:v>ACQC:</c:v>
          </c:tx>
          <c:marker>
            <c:symbol val="none"/>
          </c:marker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4782666</c:v>
                </c:pt>
              </c:numCache>
            </c:numRef>
          </c:xVal>
          <c:yVal>
            <c:numRef>
              <c:f>JJHCC_ACQ!$I$9</c:f>
              <c:numCache>
                <c:formatCode>#,##0</c:formatCode>
                <c:ptCount val="1"/>
                <c:pt idx="0">
                  <c:v>91344.414528190871</c:v>
                </c:pt>
              </c:numCache>
            </c:numRef>
          </c:yVal>
          <c:smooth val="0"/>
        </c:ser>
        <c:ser>
          <c:idx val="44"/>
          <c:order val="44"/>
          <c:tx>
            <c:v>ACQO:</c:v>
          </c:tx>
          <c:marker>
            <c:symbol val="none"/>
          </c:marker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5739199.2000000002</c:v>
                </c:pt>
              </c:numCache>
            </c:numRef>
          </c:xVal>
          <c:yVal>
            <c:numRef>
              <c:f>JJHCC_ACQ!$F$9</c:f>
              <c:numCache>
                <c:formatCode>#,##0</c:formatCode>
                <c:ptCount val="1"/>
                <c:pt idx="0">
                  <c:v>108770.45724810039</c:v>
                </c:pt>
              </c:numCache>
            </c:numRef>
          </c:yVal>
          <c:smooth val="0"/>
        </c:ser>
        <c:ser>
          <c:idx val="45"/>
          <c:order val="45"/>
          <c:tx>
            <c:v>ADH_Incr_TRx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JJHCC_ADH!$C$22:$C$42</c:f>
              <c:numCache>
                <c:formatCode>#,##0</c:formatCode>
                <c:ptCount val="21"/>
                <c:pt idx="0">
                  <c:v>0</c:v>
                </c:pt>
                <c:pt idx="1">
                  <c:v>61226.401077322662</c:v>
                </c:pt>
                <c:pt idx="2">
                  <c:v>120994.72060368396</c:v>
                </c:pt>
                <c:pt idx="3">
                  <c:v>179325.91864795052</c:v>
                </c:pt>
                <c:pt idx="4">
                  <c:v>236241.44401214831</c:v>
                </c:pt>
                <c:pt idx="5">
                  <c:v>291763.17912199162</c:v>
                </c:pt>
                <c:pt idx="6">
                  <c:v>345913.38696239889</c:v>
                </c:pt>
                <c:pt idx="7">
                  <c:v>398714.66009361669</c:v>
                </c:pt>
                <c:pt idx="8">
                  <c:v>450189.87177247368</c:v>
                </c:pt>
                <c:pt idx="9">
                  <c:v>500362.12919285521</c:v>
                </c:pt>
                <c:pt idx="10">
                  <c:v>549254.72884996422</c:v>
                </c:pt>
                <c:pt idx="11">
                  <c:v>596891.11402404681</c:v>
                </c:pt>
                <c:pt idx="12">
                  <c:v>643294.8343712315</c:v>
                </c:pt>
                <c:pt idx="13">
                  <c:v>688489.50760174915</c:v>
                </c:pt>
                <c:pt idx="14">
                  <c:v>732498.78321923688</c:v>
                </c:pt>
                <c:pt idx="15">
                  <c:v>775346.30828877538</c:v>
                </c:pt>
                <c:pt idx="16">
                  <c:v>817055.69519616477</c:v>
                </c:pt>
                <c:pt idx="17">
                  <c:v>857650.49135614</c:v>
                </c:pt>
                <c:pt idx="18">
                  <c:v>897154.15082335845</c:v>
                </c:pt>
                <c:pt idx="19">
                  <c:v>935590.00775624253</c:v>
                </c:pt>
                <c:pt idx="20">
                  <c:v>972981.25168112665</c:v>
                </c:pt>
              </c:numCache>
            </c:numRef>
          </c:yVal>
          <c:smooth val="0"/>
        </c:ser>
        <c:ser>
          <c:idx val="46"/>
          <c:order val="46"/>
          <c:tx>
            <c:v>ADHC:</c:v>
          </c:tx>
          <c:marker>
            <c:symbol val="none"/>
          </c:marker>
          <c:xVal>
            <c:numRef>
              <c:f>JJHCC_ADH!$G$9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JJHCC_ADH!$I$9</c:f>
              <c:numCache>
                <c:formatCode>#,##0</c:formatCode>
                <c:ptCount val="1"/>
                <c:pt idx="0">
                  <c:v>360832.73711340129</c:v>
                </c:pt>
              </c:numCache>
            </c:numRef>
          </c:yVal>
          <c:smooth val="0"/>
        </c:ser>
        <c:ser>
          <c:idx val="47"/>
          <c:order val="47"/>
          <c:tx>
            <c:v>ADHO:</c:v>
          </c:tx>
          <c:marker>
            <c:symbol val="none"/>
          </c:marker>
          <c:xVal>
            <c:numRef>
              <c:f>JJHCC_ADH!$D$9</c:f>
              <c:numCache>
                <c:formatCode>_("$"* #,##0_);_("$"* \(#,##0\);_("$"* "-"??_);_(@_)</c:formatCode>
                <c:ptCount val="1"/>
                <c:pt idx="0">
                  <c:v>18840000</c:v>
                </c:pt>
              </c:numCache>
            </c:numRef>
          </c:xVal>
          <c:yVal>
            <c:numRef>
              <c:f>JJHCC_ADH!$F$9</c:f>
              <c:numCache>
                <c:formatCode>#,##0</c:formatCode>
                <c:ptCount val="1"/>
                <c:pt idx="0">
                  <c:v>426468.80566668883</c:v>
                </c:pt>
              </c:numCache>
            </c:numRef>
          </c:yVal>
          <c:smooth val="0"/>
        </c:ser>
        <c:ser>
          <c:idx val="1"/>
          <c:order val="0"/>
          <c:tx>
            <c:v>JANSample_Incr_TRx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7"/>
              <c:layout>
                <c:manualLayout>
                  <c:x val="-0.17628205128205132"/>
                  <c:y val="2.018454440599769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Januvia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292618.45056716667</c:v>
                </c:pt>
                <c:pt idx="2">
                  <c:v>584274.49594190461</c:v>
                </c:pt>
                <c:pt idx="3">
                  <c:v>874968.13612421392</c:v>
                </c:pt>
                <c:pt idx="4">
                  <c:v>1164699.3711140943</c:v>
                </c:pt>
                <c:pt idx="5">
                  <c:v>1453468.2009115461</c:v>
                </c:pt>
                <c:pt idx="6">
                  <c:v>1741274.625516569</c:v>
                </c:pt>
                <c:pt idx="7">
                  <c:v>2028118.6449291632</c:v>
                </c:pt>
                <c:pt idx="8">
                  <c:v>2314000.2591493283</c:v>
                </c:pt>
                <c:pt idx="9">
                  <c:v>2598919.4681770657</c:v>
                </c:pt>
                <c:pt idx="10">
                  <c:v>2882876.2720123734</c:v>
                </c:pt>
                <c:pt idx="11">
                  <c:v>3165870.6706552524</c:v>
                </c:pt>
                <c:pt idx="12">
                  <c:v>3447902.6641057036</c:v>
                </c:pt>
                <c:pt idx="13">
                  <c:v>3728972.2523637251</c:v>
                </c:pt>
                <c:pt idx="14">
                  <c:v>4009079.4354293179</c:v>
                </c:pt>
                <c:pt idx="15">
                  <c:v>4288224.2133024819</c:v>
                </c:pt>
                <c:pt idx="16">
                  <c:v>4566406.5859832177</c:v>
                </c:pt>
                <c:pt idx="17">
                  <c:v>4843626.5534715252</c:v>
                </c:pt>
                <c:pt idx="18">
                  <c:v>5119884.1157674035</c:v>
                </c:pt>
                <c:pt idx="19">
                  <c:v>5395179.2728708526</c:v>
                </c:pt>
                <c:pt idx="20">
                  <c:v>5669512.0247818725</c:v>
                </c:pt>
              </c:numCache>
            </c:numRef>
          </c:yVal>
          <c:smooth val="0"/>
        </c:ser>
        <c:ser>
          <c:idx val="0"/>
          <c:order val="1"/>
          <c:tx>
            <c:v>SC: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7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JANSample!$I$9</c:f>
              <c:numCache>
                <c:formatCode>#,##0</c:formatCode>
                <c:ptCount val="1"/>
                <c:pt idx="0">
                  <c:v>2310765.2787946975</c:v>
                </c:pt>
              </c:numCache>
            </c:numRef>
          </c:yVal>
          <c:smooth val="0"/>
        </c:ser>
        <c:ser>
          <c:idx val="4"/>
          <c:order val="2"/>
          <c:tx>
            <c:v>SO: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JANSample!$D$9</c:f>
              <c:numCache>
                <c:formatCode>"$"#,##0</c:formatCode>
                <c:ptCount val="1"/>
                <c:pt idx="0">
                  <c:v>7189798.7999999998</c:v>
                </c:pt>
              </c:numCache>
            </c:numRef>
          </c:xVal>
          <c:yVal>
            <c:numRef>
              <c:f>JANSample!$F$9</c:f>
              <c:numCache>
                <c:formatCode>#,##0</c:formatCode>
                <c:ptCount val="1"/>
                <c:pt idx="0">
                  <c:v>2765547.9922391665</c:v>
                </c:pt>
              </c:numCache>
            </c:numRef>
          </c:yVal>
          <c:smooth val="0"/>
        </c:ser>
        <c:ser>
          <c:idx val="3"/>
          <c:order val="3"/>
          <c:tx>
            <c:v>JMTSample_Incr_TRx</c:v>
          </c:tx>
          <c:marker>
            <c:symbol val="none"/>
          </c:marker>
          <c:dLbls>
            <c:dLbl>
              <c:idx val="14"/>
              <c:layout>
                <c:manualLayout>
                  <c:x val="-0.21834935897435889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Janumet + XR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340843.72051351675</c:v>
                </c:pt>
                <c:pt idx="2">
                  <c:v>681774.24980389187</c:v>
                </c:pt>
                <c:pt idx="3">
                  <c:v>1022791.5878711254</c:v>
                </c:pt>
                <c:pt idx="4">
                  <c:v>1363895.7347152175</c:v>
                </c:pt>
                <c:pt idx="5">
                  <c:v>1705086.690336168</c:v>
                </c:pt>
                <c:pt idx="6">
                  <c:v>2046364.4547339769</c:v>
                </c:pt>
                <c:pt idx="7">
                  <c:v>2387729.0279086442</c:v>
                </c:pt>
                <c:pt idx="8">
                  <c:v>2729180.40986017</c:v>
                </c:pt>
                <c:pt idx="9">
                  <c:v>3070718.6005885541</c:v>
                </c:pt>
                <c:pt idx="10">
                  <c:v>3412343.6000937968</c:v>
                </c:pt>
                <c:pt idx="11">
                  <c:v>3754055.4083758979</c:v>
                </c:pt>
                <c:pt idx="12">
                  <c:v>4095854.0254348577</c:v>
                </c:pt>
                <c:pt idx="13">
                  <c:v>4437739.4512706762</c:v>
                </c:pt>
                <c:pt idx="14">
                  <c:v>4779711.6858833525</c:v>
                </c:pt>
                <c:pt idx="15">
                  <c:v>5121770.7292728871</c:v>
                </c:pt>
                <c:pt idx="16">
                  <c:v>5463916.58143928</c:v>
                </c:pt>
                <c:pt idx="17">
                  <c:v>5806149.242382532</c:v>
                </c:pt>
                <c:pt idx="18">
                  <c:v>6148468.7121026423</c:v>
                </c:pt>
                <c:pt idx="19">
                  <c:v>6490874.9905996108</c:v>
                </c:pt>
                <c:pt idx="20">
                  <c:v>6833368.0778734377</c:v>
                </c:pt>
              </c:numCache>
            </c:numRef>
          </c:yVal>
          <c:smooth val="0"/>
        </c:ser>
        <c:ser>
          <c:idx val="2"/>
          <c:order val="4"/>
          <c:tx>
            <c:v>S2C: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JMTSample!$I$9</c:f>
              <c:numCache>
                <c:formatCode>#,##0</c:formatCode>
                <c:ptCount val="1"/>
                <c:pt idx="0">
                  <c:v>2662664.8484120537</c:v>
                </c:pt>
              </c:numCache>
            </c:numRef>
          </c:yVal>
          <c:smooth val="0"/>
        </c:ser>
        <c:ser>
          <c:idx val="5"/>
          <c:order val="5"/>
          <c:tx>
            <c:v>S2O: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JMTSample!$D$9</c:f>
              <c:numCache>
                <c:formatCode>"$"#,##0</c:formatCode>
                <c:ptCount val="1"/>
                <c:pt idx="0">
                  <c:v>18732522</c:v>
                </c:pt>
              </c:numCache>
            </c:numRef>
          </c:xVal>
          <c:yVal>
            <c:numRef>
              <c:f>JMTSample!$F$9</c:f>
              <c:numCache>
                <c:formatCode>#,##0</c:formatCode>
                <c:ptCount val="1"/>
                <c:pt idx="0">
                  <c:v>3195832.4397713416</c:v>
                </c:pt>
              </c:numCache>
            </c:numRef>
          </c:yVal>
          <c:smooth val="0"/>
        </c:ser>
        <c:ser>
          <c:idx val="6"/>
          <c:order val="6"/>
          <c:tx>
            <c:v>VCH_Incr_TRx</c:v>
          </c:tx>
          <c:marker>
            <c:symbol val="none"/>
          </c:marker>
          <c:dLbls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Vouchers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JJVCH!$C$23:$C$43</c:f>
              <c:numCache>
                <c:formatCode>#,##0</c:formatCode>
                <c:ptCount val="21"/>
                <c:pt idx="0">
                  <c:v>0</c:v>
                </c:pt>
                <c:pt idx="1">
                  <c:v>19785.409492227558</c:v>
                </c:pt>
                <c:pt idx="2">
                  <c:v>39571.016739094761</c:v>
                </c:pt>
                <c:pt idx="3">
                  <c:v>59356.821740601605</c:v>
                </c:pt>
                <c:pt idx="4">
                  <c:v>79142.824496748101</c:v>
                </c:pt>
                <c:pt idx="5">
                  <c:v>98929.025007534234</c:v>
                </c:pt>
                <c:pt idx="6">
                  <c:v>118715.42327296002</c:v>
                </c:pt>
                <c:pt idx="7">
                  <c:v>138502.01929302546</c:v>
                </c:pt>
                <c:pt idx="8">
                  <c:v>158288.81306773052</c:v>
                </c:pt>
                <c:pt idx="9">
                  <c:v>178075.80459707524</c:v>
                </c:pt>
                <c:pt idx="10">
                  <c:v>197862.99388105958</c:v>
                </c:pt>
                <c:pt idx="11">
                  <c:v>217650.38091968361</c:v>
                </c:pt>
                <c:pt idx="12">
                  <c:v>237437.96571294725</c:v>
                </c:pt>
                <c:pt idx="13">
                  <c:v>257225.74826085052</c:v>
                </c:pt>
                <c:pt idx="14">
                  <c:v>277013.72856339347</c:v>
                </c:pt>
                <c:pt idx="15">
                  <c:v>296801.9066205761</c:v>
                </c:pt>
                <c:pt idx="16">
                  <c:v>316590.28243239829</c:v>
                </c:pt>
                <c:pt idx="17">
                  <c:v>336378.85599886021</c:v>
                </c:pt>
                <c:pt idx="18">
                  <c:v>356167.62731996167</c:v>
                </c:pt>
                <c:pt idx="19">
                  <c:v>375956.59639570286</c:v>
                </c:pt>
                <c:pt idx="20">
                  <c:v>395745.76322608365</c:v>
                </c:pt>
              </c:numCache>
            </c:numRef>
          </c:yVal>
          <c:smooth val="0"/>
        </c:ser>
        <c:ser>
          <c:idx val="7"/>
          <c:order val="7"/>
          <c:tx>
            <c:v>VC: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JJVCH!$I$9</c:f>
              <c:numCache>
                <c:formatCode>#,##0</c:formatCode>
                <c:ptCount val="1"/>
                <c:pt idx="0">
                  <c:v>150560.70106149331</c:v>
                </c:pt>
              </c:numCache>
            </c:numRef>
          </c:yVal>
          <c:smooth val="0"/>
        </c:ser>
        <c:ser>
          <c:idx val="8"/>
          <c:order val="8"/>
          <c:tx>
            <c:v>VO: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JJVCH!$D$9</c:f>
              <c:numCache>
                <c:formatCode>"$"#,##0</c:formatCode>
                <c:ptCount val="1"/>
                <c:pt idx="0">
                  <c:v>4565659.2</c:v>
                </c:pt>
              </c:numCache>
            </c:numRef>
          </c:xVal>
          <c:yVal>
            <c:numRef>
              <c:f>JJVCH!$F$9</c:f>
              <c:numCache>
                <c:formatCode>#,##0</c:formatCode>
                <c:ptCount val="1"/>
                <c:pt idx="0">
                  <c:v>180674.2153550259</c:v>
                </c:pt>
              </c:numCache>
            </c:numRef>
          </c:yVal>
          <c:smooth val="0"/>
        </c:ser>
        <c:ser>
          <c:idx val="9"/>
          <c:order val="9"/>
          <c:tx>
            <c:v>MMF_Incr_TRx</c:v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1.6025483292953766E-2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MMF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JJMMF!$C$30:$C$50</c:f>
              <c:numCache>
                <c:formatCode>#,##0</c:formatCode>
                <c:ptCount val="21"/>
                <c:pt idx="0">
                  <c:v>0</c:v>
                </c:pt>
                <c:pt idx="1">
                  <c:v>7258.8833029338202</c:v>
                </c:pt>
                <c:pt idx="2">
                  <c:v>13753.272832178851</c:v>
                </c:pt>
                <c:pt idx="3">
                  <c:v>19089.210151644824</c:v>
                </c:pt>
                <c:pt idx="4">
                  <c:v>23750.8035692349</c:v>
                </c:pt>
                <c:pt idx="5">
                  <c:v>28014.517917379791</c:v>
                </c:pt>
                <c:pt idx="6">
                  <c:v>31614.120163643827</c:v>
                </c:pt>
                <c:pt idx="7">
                  <c:v>34547.404669785858</c:v>
                </c:pt>
                <c:pt idx="8">
                  <c:v>37088.288548851007</c:v>
                </c:pt>
                <c:pt idx="9">
                  <c:v>39354.905170586644</c:v>
                </c:pt>
                <c:pt idx="10">
                  <c:v>41368.841130976209</c:v>
                </c:pt>
                <c:pt idx="11">
                  <c:v>43150.504674076452</c:v>
                </c:pt>
                <c:pt idx="12">
                  <c:v>44720.119604641892</c:v>
                </c:pt>
                <c:pt idx="13">
                  <c:v>46097.293990550279</c:v>
                </c:pt>
                <c:pt idx="14">
                  <c:v>47301.507562133454</c:v>
                </c:pt>
                <c:pt idx="15">
                  <c:v>48352.240049723267</c:v>
                </c:pt>
                <c:pt idx="16">
                  <c:v>49268.971183651505</c:v>
                </c:pt>
                <c:pt idx="17">
                  <c:v>50071.180694250041</c:v>
                </c:pt>
                <c:pt idx="18">
                  <c:v>50778.348311850685</c:v>
                </c:pt>
                <c:pt idx="19">
                  <c:v>51409.953766785278</c:v>
                </c:pt>
                <c:pt idx="20">
                  <c:v>51985.476789385641</c:v>
                </c:pt>
              </c:numCache>
            </c:numRef>
          </c:yVal>
          <c:smooth val="0"/>
        </c:ser>
        <c:ser>
          <c:idx val="10"/>
          <c:order val="10"/>
          <c:tx>
            <c:v>MFC: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JJMMF!$I$9</c:f>
              <c:numCache>
                <c:formatCode>#,##0</c:formatCode>
                <c:ptCount val="1"/>
                <c:pt idx="0">
                  <c:v>25689.160192131658</c:v>
                </c:pt>
              </c:numCache>
            </c:numRef>
          </c:yVal>
          <c:smooth val="0"/>
        </c:ser>
        <c:ser>
          <c:idx val="11"/>
          <c:order val="11"/>
          <c:tx>
            <c:v>MFO: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JJMMF!$D$9</c:f>
              <c:numCache>
                <c:formatCode>"$"#,##0</c:formatCode>
                <c:ptCount val="1"/>
                <c:pt idx="0">
                  <c:v>4107540.0292513319</c:v>
                </c:pt>
              </c:numCache>
            </c:numRef>
          </c:xVal>
          <c:yVal>
            <c:numRef>
              <c:f>JJMMF!$F$9</c:f>
              <c:numCache>
                <c:formatCode>#,##0</c:formatCode>
                <c:ptCount val="1"/>
                <c:pt idx="0">
                  <c:v>24231.818614525357</c:v>
                </c:pt>
              </c:numCache>
            </c:numRef>
          </c:yVal>
          <c:smooth val="0"/>
        </c:ser>
        <c:ser>
          <c:idx val="12"/>
          <c:order val="12"/>
          <c:tx>
            <c:v>HCC_Incr_TRx</c:v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dLbls>
            <c:dLbl>
              <c:idx val="13"/>
              <c:layout>
                <c:manualLayout>
                  <c:x val="-5.2083333333333336E-2"/>
                  <c:y val="-2.59515570934256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HCC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JJHCC!$C$22:$C$42</c:f>
              <c:numCache>
                <c:formatCode>#,##0</c:formatCode>
                <c:ptCount val="21"/>
                <c:pt idx="0">
                  <c:v>0</c:v>
                </c:pt>
                <c:pt idx="1">
                  <c:v>235071.42459140636</c:v>
                </c:pt>
                <c:pt idx="2">
                  <c:v>461742.9208223247</c:v>
                </c:pt>
                <c:pt idx="3">
                  <c:v>680245.96913645486</c:v>
                </c:pt>
                <c:pt idx="4">
                  <c:v>890811.1333111953</c:v>
                </c:pt>
                <c:pt idx="5">
                  <c:v>1093667.5546168792</c:v>
                </c:pt>
                <c:pt idx="6">
                  <c:v>1289042.4912357426</c:v>
                </c:pt>
                <c:pt idx="7">
                  <c:v>1477160.9011068591</c:v>
                </c:pt>
                <c:pt idx="8">
                  <c:v>1658245.0662689006</c:v>
                </c:pt>
                <c:pt idx="9">
                  <c:v>1832514.2567040266</c:v>
                </c:pt>
                <c:pt idx="10">
                  <c:v>2000184.4316435801</c:v>
                </c:pt>
                <c:pt idx="11">
                  <c:v>2161467.9762732317</c:v>
                </c:pt>
                <c:pt idx="12">
                  <c:v>2316573.4717730633</c:v>
                </c:pt>
                <c:pt idx="13">
                  <c:v>2465705.4966413723</c:v>
                </c:pt>
                <c:pt idx="14">
                  <c:v>2609064.4572786754</c:v>
                </c:pt>
                <c:pt idx="15">
                  <c:v>2746846.4458489963</c:v>
                </c:pt>
                <c:pt idx="16">
                  <c:v>2879243.1234853519</c:v>
                </c:pt>
                <c:pt idx="17">
                  <c:v>3006441.6269650906</c:v>
                </c:pt>
                <c:pt idx="18">
                  <c:v>3128624.4970466923</c:v>
                </c:pt>
                <c:pt idx="19">
                  <c:v>3245969.6267294786</c:v>
                </c:pt>
                <c:pt idx="20">
                  <c:v>3358650.2277734168</c:v>
                </c:pt>
              </c:numCache>
            </c:numRef>
          </c:yVal>
          <c:smooth val="0"/>
        </c:ser>
        <c:ser>
          <c:idx val="13"/>
          <c:order val="13"/>
          <c:tx>
            <c:v>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JJHCC!$I$9</c:f>
              <c:numCache>
                <c:formatCode>#,##0</c:formatCode>
                <c:ptCount val="1"/>
                <c:pt idx="0">
                  <c:v>1595892.0143603629</c:v>
                </c:pt>
              </c:numCache>
            </c:numRef>
          </c:yVal>
          <c:smooth val="0"/>
        </c:ser>
        <c:ser>
          <c:idx val="14"/>
          <c:order val="14"/>
          <c:tx>
            <c:v>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27544800</c:v>
                </c:pt>
              </c:numCache>
            </c:numRef>
          </c:xVal>
          <c:yVal>
            <c:numRef>
              <c:f>JJHCC!$F$9</c:f>
              <c:numCache>
                <c:formatCode>#,##0</c:formatCode>
                <c:ptCount val="1"/>
                <c:pt idx="0">
                  <c:v>1863447.2728889734</c:v>
                </c:pt>
              </c:numCache>
            </c:numRef>
          </c:yVal>
          <c:smooth val="0"/>
        </c:ser>
        <c:ser>
          <c:idx val="15"/>
          <c:order val="15"/>
          <c:tx>
            <c:v>MCM_Incr_TRx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dLbls>
            <c:dLbl>
              <c:idx val="7"/>
              <c:layout>
                <c:manualLayout>
                  <c:x val="5.4086538461538464E-2"/>
                  <c:y val="-0.14129181084198386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MCM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dLbl>
              <c:idx val="19"/>
              <c:layout>
                <c:manualLayout>
                  <c:x val="-4.8076923076923003E-2"/>
                  <c:y val="-2.595155709342560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MCM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JJMCM!$C$22:$C$42</c:f>
              <c:numCache>
                <c:formatCode>#,##0</c:formatCode>
                <c:ptCount val="21"/>
                <c:pt idx="0">
                  <c:v>0</c:v>
                </c:pt>
                <c:pt idx="1">
                  <c:v>79507.11028868884</c:v>
                </c:pt>
                <c:pt idx="2">
                  <c:v>155573.41787305035</c:v>
                </c:pt>
                <c:pt idx="3">
                  <c:v>228339.32048574736</c:v>
                </c:pt>
                <c:pt idx="4">
                  <c:v>297940.23231110803</c:v>
                </c:pt>
                <c:pt idx="5">
                  <c:v>364506.69405063009</c:v>
                </c:pt>
                <c:pt idx="6">
                  <c:v>428164.48713928397</c:v>
                </c:pt>
                <c:pt idx="7">
                  <c:v>489034.75126725488</c:v>
                </c:pt>
                <c:pt idx="8">
                  <c:v>547234.10443962505</c:v>
                </c:pt>
                <c:pt idx="9">
                  <c:v>602874.76487850724</c:v>
                </c:pt>
                <c:pt idx="10">
                  <c:v>656064.6741417466</c:v>
                </c:pt>
                <c:pt idx="11">
                  <c:v>706907.62089403975</c:v>
                </c:pt>
                <c:pt idx="12">
                  <c:v>755503.36482708924</c:v>
                </c:pt>
                <c:pt idx="13">
                  <c:v>801947.76027903578</c:v>
                </c:pt>
                <c:pt idx="14">
                  <c:v>846332.8791548044</c:v>
                </c:pt>
                <c:pt idx="15">
                  <c:v>888747.13279554097</c:v>
                </c:pt>
                <c:pt idx="16">
                  <c:v>929275.39248845901</c:v>
                </c:pt>
                <c:pt idx="17">
                  <c:v>967999.10834809521</c:v>
                </c:pt>
                <c:pt idx="18">
                  <c:v>1004996.4263360974</c:v>
                </c:pt>
                <c:pt idx="19">
                  <c:v>1040342.3032200276</c:v>
                </c:pt>
                <c:pt idx="20">
                  <c:v>1074108.6193015403</c:v>
                </c:pt>
              </c:numCache>
            </c:numRef>
          </c:yVal>
          <c:smooth val="0"/>
        </c:ser>
        <c:ser>
          <c:idx val="16"/>
          <c:order val="16"/>
          <c:tx>
            <c:v>MCMC: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JJMCM!$I$9</c:f>
              <c:numCache>
                <c:formatCode>#,##0</c:formatCode>
                <c:ptCount val="1"/>
                <c:pt idx="0">
                  <c:v>378283.24113526288</c:v>
                </c:pt>
              </c:numCache>
            </c:numRef>
          </c:yVal>
          <c:smooth val="0"/>
        </c:ser>
        <c:ser>
          <c:idx val="17"/>
          <c:order val="17"/>
          <c:tx>
            <c:v>MCMO: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9382780.7999999989</c:v>
                </c:pt>
              </c:numCache>
            </c:numRef>
          </c:xVal>
          <c:yVal>
            <c:numRef>
              <c:f>JJMCM!$F$9</c:f>
              <c:numCache>
                <c:formatCode>#,##0</c:formatCode>
                <c:ptCount val="1"/>
                <c:pt idx="0">
                  <c:v>443957.99322214938</c:v>
                </c:pt>
              </c:numCache>
            </c:numRef>
          </c:yVal>
          <c:smooth val="0"/>
        </c:ser>
        <c:ser>
          <c:idx val="18"/>
          <c:order val="18"/>
          <c:tx>
            <c:v>ACQ_Incr_TRx</c:v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8.0128205128204393E-3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Acquisition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JJHCC_ACQ!$C$22:$C$42</c:f>
              <c:numCache>
                <c:formatCode>#,##0</c:formatCode>
                <c:ptCount val="21"/>
                <c:pt idx="0">
                  <c:v>0</c:v>
                </c:pt>
                <c:pt idx="1">
                  <c:v>19694.374199160717</c:v>
                </c:pt>
                <c:pt idx="2">
                  <c:v>39069.406487308843</c:v>
                </c:pt>
                <c:pt idx="3">
                  <c:v>58130.06781013259</c:v>
                </c:pt>
                <c:pt idx="4">
                  <c:v>76881.258540774928</c:v>
                </c:pt>
                <c:pt idx="5">
                  <c:v>95327.809255052722</c:v>
                </c:pt>
                <c:pt idx="6">
                  <c:v>113474.48150603171</c:v>
                </c:pt>
                <c:pt idx="7">
                  <c:v>131325.9685978927</c:v>
                </c:pt>
                <c:pt idx="8">
                  <c:v>148886.89635834811</c:v>
                </c:pt>
                <c:pt idx="9">
                  <c:v>166161.82390978068</c:v>
                </c:pt>
                <c:pt idx="10">
                  <c:v>183155.24443830978</c:v>
                </c:pt>
                <c:pt idx="11">
                  <c:v>199871.58596087093</c:v>
                </c:pt>
                <c:pt idx="12">
                  <c:v>216315.21208989044</c:v>
                </c:pt>
                <c:pt idx="13">
                  <c:v>232490.4227951568</c:v>
                </c:pt>
                <c:pt idx="14">
                  <c:v>248401.45516293292</c:v>
                </c:pt>
                <c:pt idx="15">
                  <c:v>264052.48415179277</c:v>
                </c:pt>
                <c:pt idx="16">
                  <c:v>279447.62334514031</c:v>
                </c:pt>
                <c:pt idx="17">
                  <c:v>294590.92570003413</c:v>
                </c:pt>
                <c:pt idx="18">
                  <c:v>309486.3842922973</c:v>
                </c:pt>
                <c:pt idx="19">
                  <c:v>324137.93305757787</c:v>
                </c:pt>
                <c:pt idx="20">
                  <c:v>338549.44752814772</c:v>
                </c:pt>
              </c:numCache>
            </c:numRef>
          </c:yVal>
          <c:smooth val="0"/>
        </c:ser>
        <c:ser>
          <c:idx val="19"/>
          <c:order val="19"/>
          <c:tx>
            <c:v>ACQC: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4782666</c:v>
                </c:pt>
              </c:numCache>
            </c:numRef>
          </c:xVal>
          <c:yVal>
            <c:numRef>
              <c:f>JJHCC_ACQ!$I$9</c:f>
              <c:numCache>
                <c:formatCode>#,##0</c:formatCode>
                <c:ptCount val="1"/>
                <c:pt idx="0">
                  <c:v>91344.414528190871</c:v>
                </c:pt>
              </c:numCache>
            </c:numRef>
          </c:yVal>
          <c:smooth val="0"/>
        </c:ser>
        <c:ser>
          <c:idx val="20"/>
          <c:order val="20"/>
          <c:tx>
            <c:v>ACQO: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5739199.2000000002</c:v>
                </c:pt>
              </c:numCache>
            </c:numRef>
          </c:xVal>
          <c:yVal>
            <c:numRef>
              <c:f>JJHCC_ACQ!$F$9</c:f>
              <c:numCache>
                <c:formatCode>#,##0</c:formatCode>
                <c:ptCount val="1"/>
                <c:pt idx="0">
                  <c:v>108770.45724810039</c:v>
                </c:pt>
              </c:numCache>
            </c:numRef>
          </c:yVal>
          <c:smooth val="0"/>
        </c:ser>
        <c:ser>
          <c:idx val="21"/>
          <c:order val="21"/>
          <c:tx>
            <c:v>ADH_Incr_TRx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9"/>
              <c:layout>
                <c:manualLayout>
                  <c:x val="-9.6153846153846159E-2"/>
                  <c:y val="-2.883506343713956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Adherence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dLbl>
              <c:idx val="15"/>
              <c:layout>
                <c:manualLayout>
                  <c:x val="-6.0096153846153848E-2"/>
                  <c:y val="-2.30680507497116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Adherence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JJHCC_ADH!$C$22:$C$42</c:f>
              <c:numCache>
                <c:formatCode>#,##0</c:formatCode>
                <c:ptCount val="21"/>
                <c:pt idx="0">
                  <c:v>0</c:v>
                </c:pt>
                <c:pt idx="1">
                  <c:v>61226.401077322662</c:v>
                </c:pt>
                <c:pt idx="2">
                  <c:v>120994.72060368396</c:v>
                </c:pt>
                <c:pt idx="3">
                  <c:v>179325.91864795052</c:v>
                </c:pt>
                <c:pt idx="4">
                  <c:v>236241.44401214831</c:v>
                </c:pt>
                <c:pt idx="5">
                  <c:v>291763.17912199162</c:v>
                </c:pt>
                <c:pt idx="6">
                  <c:v>345913.38696239889</c:v>
                </c:pt>
                <c:pt idx="7">
                  <c:v>398714.66009361669</c:v>
                </c:pt>
                <c:pt idx="8">
                  <c:v>450189.87177247368</c:v>
                </c:pt>
                <c:pt idx="9">
                  <c:v>500362.12919285521</c:v>
                </c:pt>
                <c:pt idx="10">
                  <c:v>549254.72884996422</c:v>
                </c:pt>
                <c:pt idx="11">
                  <c:v>596891.11402404681</c:v>
                </c:pt>
                <c:pt idx="12">
                  <c:v>643294.8343712315</c:v>
                </c:pt>
                <c:pt idx="13">
                  <c:v>688489.50760174915</c:v>
                </c:pt>
                <c:pt idx="14">
                  <c:v>732498.78321923688</c:v>
                </c:pt>
                <c:pt idx="15">
                  <c:v>775346.30828877538</c:v>
                </c:pt>
                <c:pt idx="16">
                  <c:v>817055.69519616477</c:v>
                </c:pt>
                <c:pt idx="17">
                  <c:v>857650.49135614</c:v>
                </c:pt>
                <c:pt idx="18">
                  <c:v>897154.15082335845</c:v>
                </c:pt>
                <c:pt idx="19">
                  <c:v>935590.00775624253</c:v>
                </c:pt>
                <c:pt idx="20">
                  <c:v>972981.25168112665</c:v>
                </c:pt>
              </c:numCache>
            </c:numRef>
          </c:yVal>
          <c:smooth val="0"/>
        </c:ser>
        <c:ser>
          <c:idx val="22"/>
          <c:order val="22"/>
          <c:tx>
            <c:v>ADHC: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JJHCC_ADH!$G$9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JJHCC_ADH!$I$9</c:f>
              <c:numCache>
                <c:formatCode>#,##0</c:formatCode>
                <c:ptCount val="1"/>
                <c:pt idx="0">
                  <c:v>360832.73711340129</c:v>
                </c:pt>
              </c:numCache>
            </c:numRef>
          </c:yVal>
          <c:smooth val="0"/>
        </c:ser>
        <c:ser>
          <c:idx val="23"/>
          <c:order val="23"/>
          <c:tx>
            <c:v>ADHO: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JJHCC_ADH!$D$9</c:f>
              <c:numCache>
                <c:formatCode>_("$"* #,##0_);_("$"* \(#,##0\);_("$"* "-"??_);_(@_)</c:formatCode>
                <c:ptCount val="1"/>
                <c:pt idx="0">
                  <c:v>18840000</c:v>
                </c:pt>
              </c:numCache>
            </c:numRef>
          </c:xVal>
          <c:yVal>
            <c:numRef>
              <c:f>JJHCC_ADH!$F$9</c:f>
              <c:numCache>
                <c:formatCode>#,##0</c:formatCode>
                <c:ptCount val="1"/>
                <c:pt idx="0">
                  <c:v>426468.80566668883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8539136"/>
        <c:axId val="348554368"/>
      </c:scatterChart>
      <c:valAx>
        <c:axId val="348539136"/>
        <c:scaling>
          <c:orientation val="minMax"/>
          <c:max val="2500000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200" b="0"/>
                </a:pPr>
                <a:r>
                  <a:rPr lang="en-US" sz="1200" b="0"/>
                  <a:t>Channel Spend (in MM $)</a:t>
                </a:r>
              </a:p>
            </c:rich>
          </c:tx>
          <c:layout>
            <c:manualLayout>
              <c:xMode val="edge"/>
              <c:yMode val="edge"/>
              <c:x val="0.38775126817080557"/>
              <c:y val="0.91738754325259508"/>
            </c:manualLayout>
          </c:layout>
          <c:overlay val="0"/>
        </c:title>
        <c:numFmt formatCode="&quot;$&quot;#,##0" sourceLinked="1"/>
        <c:majorTickMark val="out"/>
        <c:minorTickMark val="none"/>
        <c:tickLblPos val="nextTo"/>
        <c:crossAx val="348554368"/>
        <c:crosses val="autoZero"/>
        <c:crossBetween val="midCat"/>
        <c:dispUnits>
          <c:builtInUnit val="thousands"/>
        </c:dispUnits>
      </c:valAx>
      <c:valAx>
        <c:axId val="348554368"/>
        <c:scaling>
          <c:orientation val="minMax"/>
          <c:max val="9000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200" b="0">
                    <a:solidFill>
                      <a:sysClr val="windowText" lastClr="000000"/>
                    </a:solidFill>
                  </a:defRPr>
                </a:pPr>
                <a:r>
                  <a:rPr lang="en-US" sz="1200" b="0">
                    <a:solidFill>
                      <a:sysClr val="windowText" lastClr="000000"/>
                    </a:solidFill>
                  </a:rPr>
                  <a:t>3-year 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48539136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3-year </a:t>
            </a:r>
            <a:r>
              <a:rPr lang="en-US" sz="1200">
                <a:solidFill>
                  <a:srgbClr val="0000FF"/>
                </a:solidFill>
              </a:rPr>
              <a:t>Incr. Revenue </a:t>
            </a:r>
            <a:r>
              <a:rPr lang="en-US" sz="1200"/>
              <a:t>from Channel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JANSample_Incr_Rev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7"/>
              <c:layout>
                <c:manualLayout>
                  <c:x val="-0.17628205128205132"/>
                  <c:y val="2.018454440599769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Januvia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28373584.365489364</c:v>
                </c:pt>
                <c:pt idx="2">
                  <c:v>56653849.649874195</c:v>
                </c:pt>
                <c:pt idx="3">
                  <c:v>84840795.85315448</c:v>
                </c:pt>
                <c:pt idx="4">
                  <c:v>112934422.97533022</c:v>
                </c:pt>
                <c:pt idx="5">
                  <c:v>140934731.01640144</c:v>
                </c:pt>
                <c:pt idx="6">
                  <c:v>168841719.9763681</c:v>
                </c:pt>
                <c:pt idx="7">
                  <c:v>196655389.85523024</c:v>
                </c:pt>
                <c:pt idx="8">
                  <c:v>224375740.65298784</c:v>
                </c:pt>
                <c:pt idx="9">
                  <c:v>252002772.36964089</c:v>
                </c:pt>
                <c:pt idx="10">
                  <c:v>279536485.00518936</c:v>
                </c:pt>
                <c:pt idx="11">
                  <c:v>306976878.55963331</c:v>
                </c:pt>
                <c:pt idx="12">
                  <c:v>334323953.03297281</c:v>
                </c:pt>
                <c:pt idx="13">
                  <c:v>361577708.42520767</c:v>
                </c:pt>
                <c:pt idx="14">
                  <c:v>388738144.73633808</c:v>
                </c:pt>
                <c:pt idx="15">
                  <c:v>415805261.96636391</c:v>
                </c:pt>
                <c:pt idx="16">
                  <c:v>442779060.11528516</c:v>
                </c:pt>
                <c:pt idx="17">
                  <c:v>469659539.18310189</c:v>
                </c:pt>
                <c:pt idx="18">
                  <c:v>496446699.16981411</c:v>
                </c:pt>
                <c:pt idx="19">
                  <c:v>523140540.07542175</c:v>
                </c:pt>
                <c:pt idx="20">
                  <c:v>549741061.89992487</c:v>
                </c:pt>
              </c:numCache>
            </c:numRef>
          </c:yVal>
          <c:smooth val="0"/>
        </c:ser>
        <c:ser>
          <c:idx val="0"/>
          <c:order val="1"/>
          <c:tx>
            <c:v>SC: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7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xVal>
            <c:numRef>
              <c:f>JJ_Optim_Scenario!$D$34</c:f>
              <c:numCache>
                <c:formatCode>_("$"* #,##0_);_("$"* \(#,##0\);_("$"* "-"??_);_(@_)</c:formatCode>
                <c:ptCount val="1"/>
                <c:pt idx="0">
                  <c:v>5991499</c:v>
                </c:pt>
              </c:numCache>
            </c:numRef>
          </c:xVal>
          <c:yVal>
            <c:numRef>
              <c:f>JJ_Optim_Scenario!$G$34</c:f>
              <c:numCache>
                <c:formatCode>_("$"* #,##0_);_("$"* \(#,##0\);_("$"* "-"_);_(@_)</c:formatCode>
                <c:ptCount val="1"/>
                <c:pt idx="0">
                  <c:v>224062062.59258214</c:v>
                </c:pt>
              </c:numCache>
            </c:numRef>
          </c:yVal>
          <c:smooth val="0"/>
        </c:ser>
        <c:ser>
          <c:idx val="4"/>
          <c:order val="2"/>
          <c:tx>
            <c:v>SO: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JJ_Optim_Scenario!$H$34</c:f>
              <c:numCache>
                <c:formatCode>_("$"* #,##0_);_("$"* \(#,##0\);_("$"* "-"??_);_(@_)</c:formatCode>
                <c:ptCount val="1"/>
                <c:pt idx="0">
                  <c:v>7189798.7999999998</c:v>
                </c:pt>
              </c:numCache>
            </c:numRef>
          </c:xVal>
          <c:yVal>
            <c:numRef>
              <c:f>JJ_Optim_Scenario!$J$34</c:f>
              <c:numCache>
                <c:formatCode>_("$"* #,##0_);_("$"* \(#,##0\);_("$"* "-"_);_(@_)</c:formatCode>
                <c:ptCount val="1"/>
                <c:pt idx="0">
                  <c:v>268159813.99162084</c:v>
                </c:pt>
              </c:numCache>
            </c:numRef>
          </c:yVal>
          <c:smooth val="0"/>
        </c:ser>
        <c:ser>
          <c:idx val="3"/>
          <c:order val="3"/>
          <c:tx>
            <c:v>JMTSample_Incr_Rev</c:v>
          </c:tx>
          <c:marker>
            <c:symbol val="none"/>
          </c:marker>
          <c:dLbls>
            <c:dLbl>
              <c:idx val="14"/>
              <c:layout>
                <c:manualLayout>
                  <c:x val="-0.21834935897435889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Janumet + XR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33049720.688127641</c:v>
                </c:pt>
                <c:pt idx="2">
                  <c:v>66107858.740741633</c:v>
                </c:pt>
                <c:pt idx="3">
                  <c:v>99174414.15784201</c:v>
                </c:pt>
                <c:pt idx="4">
                  <c:v>132249386.93942873</c:v>
                </c:pt>
                <c:pt idx="5">
                  <c:v>165332777.08550182</c:v>
                </c:pt>
                <c:pt idx="6">
                  <c:v>198424584.59606126</c:v>
                </c:pt>
                <c:pt idx="7">
                  <c:v>231524809.47110707</c:v>
                </c:pt>
                <c:pt idx="8">
                  <c:v>264633451.71063921</c:v>
                </c:pt>
                <c:pt idx="9">
                  <c:v>297750511.31465775</c:v>
                </c:pt>
                <c:pt idx="10">
                  <c:v>330875988.28316259</c:v>
                </c:pt>
                <c:pt idx="11">
                  <c:v>364009882.61615384</c:v>
                </c:pt>
                <c:pt idx="12">
                  <c:v>397152194.31363147</c:v>
                </c:pt>
                <c:pt idx="13">
                  <c:v>430302923.37559539</c:v>
                </c:pt>
                <c:pt idx="14">
                  <c:v>463462069.8020457</c:v>
                </c:pt>
                <c:pt idx="15">
                  <c:v>496629633.59298241</c:v>
                </c:pt>
                <c:pt idx="16">
                  <c:v>529805614.74840552</c:v>
                </c:pt>
                <c:pt idx="17">
                  <c:v>562990013.26831484</c:v>
                </c:pt>
                <c:pt idx="18">
                  <c:v>596182829.15271056</c:v>
                </c:pt>
                <c:pt idx="19">
                  <c:v>629384062.40159273</c:v>
                </c:pt>
                <c:pt idx="20">
                  <c:v>662593713.01496136</c:v>
                </c:pt>
              </c:numCache>
            </c:numRef>
          </c:yVal>
          <c:smooth val="0"/>
        </c:ser>
        <c:ser>
          <c:idx val="2"/>
          <c:order val="4"/>
          <c:tx>
            <c:v>S2C: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JJ_Optim_Scenario!$D$35</c:f>
              <c:numCache>
                <c:formatCode>_("$"* #,##0_);_("$"* \(#,##0\);_("$"* "-"??_);_(@_)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JJ_Optim_Scenario!$G$35</c:f>
              <c:numCache>
                <c:formatCode>_("$"* #,##0_);_("$"* \(#,##0\);_("$"* "-"_);_(@_)</c:formatCode>
                <c:ptCount val="1"/>
                <c:pt idx="0">
                  <c:v>258183807.50430843</c:v>
                </c:pt>
              </c:numCache>
            </c:numRef>
          </c:yVal>
          <c:smooth val="0"/>
        </c:ser>
        <c:ser>
          <c:idx val="5"/>
          <c:order val="5"/>
          <c:tx>
            <c:v>S2O: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JJ_Optim_Scenario!$H$35</c:f>
              <c:numCache>
                <c:formatCode>_("$"* #,##0_);_("$"* \(#,##0\);_("$"* "-"??_);_(@_)</c:formatCode>
                <c:ptCount val="1"/>
                <c:pt idx="0">
                  <c:v>18732522</c:v>
                </c:pt>
              </c:numCache>
            </c:numRef>
          </c:xVal>
          <c:yVal>
            <c:numRef>
              <c:f>JJ_Optim_Scenario!$J$35</c:f>
              <c:numCache>
                <c:formatCode>_("$"* #,##0_);_("$"* \(#,##0\);_("$"* "-"_);_(@_)</c:formatCode>
                <c:ptCount val="1"/>
                <c:pt idx="0">
                  <c:v>309882104.74105465</c:v>
                </c:pt>
              </c:numCache>
            </c:numRef>
          </c:yVal>
          <c:smooth val="0"/>
        </c:ser>
        <c:ser>
          <c:idx val="6"/>
          <c:order val="6"/>
          <c:tx>
            <c:v>VCH_Incr_Rev</c:v>
          </c:tx>
          <c:marker>
            <c:symbol val="none"/>
          </c:marker>
          <c:dLbls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Vouchers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1918481.163253288</c:v>
                </c:pt>
                <c:pt idx="2">
                  <c:v>3836981.5016745832</c:v>
                </c:pt>
                <c:pt idx="3">
                  <c:v>5755501.0152638862</c:v>
                </c:pt>
                <c:pt idx="4">
                  <c:v>7674039.7040211959</c:v>
                </c:pt>
                <c:pt idx="5">
                  <c:v>9592597.5679465123</c:v>
                </c:pt>
                <c:pt idx="6">
                  <c:v>11511174.607039837</c:v>
                </c:pt>
                <c:pt idx="7">
                  <c:v>13429770.821301168</c:v>
                </c:pt>
                <c:pt idx="8">
                  <c:v>15348386.210730504</c:v>
                </c:pt>
                <c:pt idx="9">
                  <c:v>17267020.775327854</c:v>
                </c:pt>
                <c:pt idx="10">
                  <c:v>19185674.515093207</c:v>
                </c:pt>
                <c:pt idx="11">
                  <c:v>21104347.430026565</c:v>
                </c:pt>
                <c:pt idx="12">
                  <c:v>23023039.520127933</c:v>
                </c:pt>
                <c:pt idx="13">
                  <c:v>24941750.785397302</c:v>
                </c:pt>
                <c:pt idx="14">
                  <c:v>26860481.22583469</c:v>
                </c:pt>
                <c:pt idx="15">
                  <c:v>28779230.841440078</c:v>
                </c:pt>
                <c:pt idx="16">
                  <c:v>30697999.63221347</c:v>
                </c:pt>
                <c:pt idx="17">
                  <c:v>32616787.598154876</c:v>
                </c:pt>
                <c:pt idx="18">
                  <c:v>34535594.739264287</c:v>
                </c:pt>
                <c:pt idx="19">
                  <c:v>36454421.055541702</c:v>
                </c:pt>
                <c:pt idx="20">
                  <c:v>38373266.546987124</c:v>
                </c:pt>
              </c:numCache>
            </c:numRef>
          </c:yVal>
          <c:smooth val="0"/>
        </c:ser>
        <c:ser>
          <c:idx val="7"/>
          <c:order val="7"/>
          <c:tx>
            <c:v>VC: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JJ_Optim_Scenario!$D$36</c:f>
              <c:numCache>
                <c:formatCode>_("$"* #,##0_);_("$"* \(#,##0\);_("$"* "-"??_);_(@_)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JJ_Optim_Scenario!$G$36</c:f>
              <c:numCache>
                <c:formatCode>_("$"* #,##0_);_("$"* \(#,##0\);_("$"* "-"_);_(@_)</c:formatCode>
                <c:ptCount val="1"/>
                <c:pt idx="0">
                  <c:v>14599034.153230662</c:v>
                </c:pt>
              </c:numCache>
            </c:numRef>
          </c:yVal>
          <c:smooth val="0"/>
        </c:ser>
        <c:ser>
          <c:idx val="8"/>
          <c:order val="8"/>
          <c:tx>
            <c:v>VO: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JJ_Optim_Scenario!$H$36</c:f>
              <c:numCache>
                <c:formatCode>_("$"* #,##0_);_("$"* \(#,##0\);_("$"* "-"??_);_(@_)</c:formatCode>
                <c:ptCount val="1"/>
                <c:pt idx="0">
                  <c:v>4565659.2</c:v>
                </c:pt>
              </c:numCache>
            </c:numRef>
          </c:xVal>
          <c:yVal>
            <c:numRef>
              <c:f>JJ_Optim_Scenario!$J$36</c:f>
              <c:numCache>
                <c:formatCode>_("$"* #,##0_);_("$"* \(#,##0\);_("$"* "-"_);_(@_)</c:formatCode>
                <c:ptCount val="1"/>
                <c:pt idx="0">
                  <c:v>17518974.220894966</c:v>
                </c:pt>
              </c:numCache>
            </c:numRef>
          </c:yVal>
          <c:smooth val="0"/>
        </c:ser>
        <c:ser>
          <c:idx val="9"/>
          <c:order val="9"/>
          <c:tx>
            <c:v>MMF_Incr_Rev</c:v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1.6025483292953766E-2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MMF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JJMMF!$D$30:$D$50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703853.55877536966</c:v>
                </c:pt>
                <c:pt idx="2">
                  <c:v>1333578.4064506467</c:v>
                </c:pt>
                <c:pt idx="3">
                  <c:v>1850974.5836547194</c:v>
                </c:pt>
                <c:pt idx="4">
                  <c:v>2302983.3816482755</c:v>
                </c:pt>
                <c:pt idx="5">
                  <c:v>2716412.0582507034</c:v>
                </c:pt>
                <c:pt idx="6">
                  <c:v>3065445.4764053603</c:v>
                </c:pt>
                <c:pt idx="7">
                  <c:v>3349869.7676340495</c:v>
                </c:pt>
                <c:pt idx="8">
                  <c:v>3596245.1515711565</c:v>
                </c:pt>
                <c:pt idx="9">
                  <c:v>3816026.364329217</c:v>
                </c:pt>
                <c:pt idx="10">
                  <c:v>4011306.5381120034</c:v>
                </c:pt>
                <c:pt idx="11">
                  <c:v>4184064.5468878993</c:v>
                </c:pt>
                <c:pt idx="12">
                  <c:v>4336261.3805715209</c:v>
                </c:pt>
                <c:pt idx="13">
                  <c:v>4469798.3244956825</c:v>
                </c:pt>
                <c:pt idx="14">
                  <c:v>4586564.2198148491</c:v>
                </c:pt>
                <c:pt idx="15">
                  <c:v>4688447.907683488</c:v>
                </c:pt>
                <c:pt idx="16">
                  <c:v>4777338.2292560609</c:v>
                </c:pt>
                <c:pt idx="17">
                  <c:v>4855124.025687038</c:v>
                </c:pt>
                <c:pt idx="18">
                  <c:v>4923694.1381308818</c:v>
                </c:pt>
                <c:pt idx="19">
                  <c:v>4984937.4077420589</c:v>
                </c:pt>
                <c:pt idx="20">
                  <c:v>5040742.6756750345</c:v>
                </c:pt>
              </c:numCache>
            </c:numRef>
          </c:yVal>
          <c:smooth val="0"/>
        </c:ser>
        <c:ser>
          <c:idx val="10"/>
          <c:order val="10"/>
          <c:tx>
            <c:v>MFC: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JJ_Optim_Scenario!$D$37</c:f>
              <c:numCache>
                <c:formatCode>_("$"* #,##0_);_("$"* \(#,##0\);_("$"* "-"??_);_(@_)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JJ_Optim_Scenario!$G$37</c:f>
              <c:numCache>
                <c:formatCode>_("$"* #,##0_);_("$"* \(#,##0\);_("$"* "-"_);_(@_)</c:formatCode>
                <c:ptCount val="1"/>
                <c:pt idx="0">
                  <c:v>2490935.0472509274</c:v>
                </c:pt>
              </c:numCache>
            </c:numRef>
          </c:yVal>
          <c:smooth val="0"/>
        </c:ser>
        <c:ser>
          <c:idx val="11"/>
          <c:order val="11"/>
          <c:tx>
            <c:v>MFO: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JJ_Optim_Scenario!$H$37</c:f>
              <c:numCache>
                <c:formatCode>_("$"* #,##0_);_("$"* \(#,##0\);_("$"* "-"??_);_(@_)</c:formatCode>
                <c:ptCount val="1"/>
                <c:pt idx="0">
                  <c:v>4107540.0292513319</c:v>
                </c:pt>
              </c:numCache>
            </c:numRef>
          </c:xVal>
          <c:yVal>
            <c:numRef>
              <c:f>JJ_Optim_Scenario!$J$37</c:f>
              <c:numCache>
                <c:formatCode>_("$"* #,##0_);_("$"* \(#,##0\);_("$"* "-"_);_(@_)</c:formatCode>
                <c:ptCount val="1"/>
                <c:pt idx="0">
                  <c:v>2349624.7364301258</c:v>
                </c:pt>
              </c:numCache>
            </c:numRef>
          </c:yVal>
          <c:smooth val="0"/>
        </c:ser>
        <c:ser>
          <c:idx val="12"/>
          <c:order val="12"/>
          <c:tx>
            <c:v>HCC_Incr_Rev</c:v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dLbls>
            <c:dLbl>
              <c:idx val="13"/>
              <c:layout>
                <c:manualLayout>
                  <c:x val="-5.2083333333333336E-2"/>
                  <c:y val="-2.59515570934256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HCC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22793569.184145041</c:v>
                </c:pt>
                <c:pt idx="2">
                  <c:v>44772644.013821252</c:v>
                </c:pt>
                <c:pt idx="3">
                  <c:v>65959669.860759467</c:v>
                </c:pt>
                <c:pt idx="4">
                  <c:v>86377003.212655365</c:v>
                </c:pt>
                <c:pt idx="5">
                  <c:v>106046862.62460285</c:v>
                </c:pt>
                <c:pt idx="6">
                  <c:v>124991284.05911189</c:v>
                </c:pt>
                <c:pt idx="7">
                  <c:v>143232080.436901</c:v>
                </c:pt>
                <c:pt idx="8">
                  <c:v>160790805.21150315</c:v>
                </c:pt>
                <c:pt idx="9">
                  <c:v>177688719.77407649</c:v>
                </c:pt>
                <c:pt idx="10">
                  <c:v>193946764.49067846</c:v>
                </c:pt>
                <c:pt idx="11">
                  <c:v>209585533.17202714</c:v>
                </c:pt>
                <c:pt idx="12">
                  <c:v>224625250.77556676</c:v>
                </c:pt>
                <c:pt idx="13">
                  <c:v>239085754.14094138</c:v>
                </c:pt>
                <c:pt idx="14">
                  <c:v>252986475.56266776</c:v>
                </c:pt>
                <c:pt idx="15">
                  <c:v>266346429.00773442</c:v>
                </c:pt>
                <c:pt idx="16">
                  <c:v>279184198.7906872</c:v>
                </c:pt>
                <c:pt idx="17">
                  <c:v>291517930.52445549</c:v>
                </c:pt>
                <c:pt idx="18">
                  <c:v>303365324.17157</c:v>
                </c:pt>
                <c:pt idx="19">
                  <c:v>314743629.02719492</c:v>
                </c:pt>
                <c:pt idx="20">
                  <c:v>325669640.47273898</c:v>
                </c:pt>
              </c:numCache>
            </c:numRef>
          </c:yVal>
          <c:smooth val="0"/>
        </c:ser>
        <c:ser>
          <c:idx val="13"/>
          <c:order val="13"/>
          <c:tx>
            <c:v>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JJ_Optim_Scenario!$D$38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JJ_Optim_Scenario!$G$38</c:f>
              <c:numCache>
                <c:formatCode>_("$"* #,##0_);_("$"* \(#,##0\);_("$"* "-"_);_(@_)</c:formatCode>
                <c:ptCount val="1"/>
                <c:pt idx="0">
                  <c:v>154744776.41412714</c:v>
                </c:pt>
              </c:numCache>
            </c:numRef>
          </c:yVal>
          <c:smooth val="0"/>
        </c:ser>
        <c:ser>
          <c:idx val="14"/>
          <c:order val="14"/>
          <c:tx>
            <c:v>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JJ_Optim_Scenario!$H$38</c:f>
              <c:numCache>
                <c:formatCode>_("$"* #,##0_);_("$"* \(#,##0\);_("$"* "-"??_);_(@_)</c:formatCode>
                <c:ptCount val="1"/>
                <c:pt idx="0">
                  <c:v>27544800</c:v>
                </c:pt>
              </c:numCache>
            </c:numRef>
          </c:xVal>
          <c:yVal>
            <c:numRef>
              <c:f>JJ_Optim_Scenario!$J$38</c:f>
              <c:numCache>
                <c:formatCode>_("$"* #,##0_);_("$"* \(#,##0\);_("$"* "-"_);_(@_)</c:formatCode>
                <c:ptCount val="1"/>
                <c:pt idx="0">
                  <c:v>180688122.38420403</c:v>
                </c:pt>
              </c:numCache>
            </c:numRef>
          </c:yVal>
          <c:smooth val="0"/>
        </c:ser>
        <c:ser>
          <c:idx val="15"/>
          <c:order val="15"/>
          <c:tx>
            <c:v>MCM_Incr_Rev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-4.8076923076923003E-2"/>
                  <c:y val="-2.595155709342560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MCM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7709362.4720515292</c:v>
                </c:pt>
                <c:pt idx="2">
                  <c:v>15085089.434698205</c:v>
                </c:pt>
                <c:pt idx="3">
                  <c:v>22140794.47554775</c:v>
                </c:pt>
                <c:pt idx="4">
                  <c:v>28889607.955231465</c:v>
                </c:pt>
                <c:pt idx="5">
                  <c:v>35344187.679844275</c:v>
                </c:pt>
                <c:pt idx="6">
                  <c:v>41516729.975864656</c:v>
                </c:pt>
                <c:pt idx="7">
                  <c:v>47418981.085584648</c:v>
                </c:pt>
                <c:pt idx="8">
                  <c:v>53062248.808629736</c:v>
                </c:pt>
                <c:pt idx="9">
                  <c:v>58457414.32213106</c:v>
                </c:pt>
                <c:pt idx="10">
                  <c:v>63614944.118861467</c:v>
                </c:pt>
                <c:pt idx="11">
                  <c:v>68544902.008632824</c:v>
                </c:pt>
                <c:pt idx="12">
                  <c:v>73256961.134144485</c:v>
                </c:pt>
                <c:pt idx="13">
                  <c:v>77760415.957672343</c:v>
                </c:pt>
                <c:pt idx="14">
                  <c:v>82064194.179971501</c:v>
                </c:pt>
                <c:pt idx="15">
                  <c:v>86176868.557277963</c:v>
                </c:pt>
                <c:pt idx="16">
                  <c:v>90106668.586478502</c:v>
                </c:pt>
                <c:pt idx="17">
                  <c:v>93861492.032365173</c:v>
                </c:pt>
                <c:pt idx="18">
                  <c:v>97448916.274393499</c:v>
                </c:pt>
                <c:pt idx="19">
                  <c:v>100876209.45359851</c:v>
                </c:pt>
                <c:pt idx="20">
                  <c:v>104150341.40321961</c:v>
                </c:pt>
              </c:numCache>
            </c:numRef>
          </c:yVal>
          <c:smooth val="0"/>
        </c:ser>
        <c:ser>
          <c:idx val="16"/>
          <c:order val="16"/>
          <c:tx>
            <c:v>MCMC: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JJ_Optim_Scenario!$G$39</c:f>
              <c:numCache>
                <c:formatCode>_("$"* #,##0_);_("$"* \(#,##0\);_("$"* "-"_);_(@_)</c:formatCode>
                <c:ptCount val="1"/>
                <c:pt idx="0">
                  <c:v>36680022.861164257</c:v>
                </c:pt>
              </c:numCache>
            </c:numRef>
          </c:yVal>
          <c:smooth val="0"/>
        </c:ser>
        <c:ser>
          <c:idx val="17"/>
          <c:order val="17"/>
          <c:tx>
            <c:v>MCMO: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JJ_Optim_Scenario!$H$39</c:f>
              <c:numCache>
                <c:formatCode>_("$"* #,##0_);_("$"* \(#,##0\);_("$"* "-"??_);_(@_)</c:formatCode>
                <c:ptCount val="1"/>
                <c:pt idx="0">
                  <c:v>9382780.7999999989</c:v>
                </c:pt>
              </c:numCache>
            </c:numRef>
          </c:xVal>
          <c:yVal>
            <c:numRef>
              <c:f>JJ_Optim_Scenario!$J$39</c:f>
              <c:numCache>
                <c:formatCode>_("$"* #,##0_);_("$"* \(#,##0\);_("$"* "-"_);_(@_)</c:formatCode>
                <c:ptCount val="1"/>
                <c:pt idx="0">
                  <c:v>43048138.458140768</c:v>
                </c:pt>
              </c:numCache>
            </c:numRef>
          </c:yVal>
          <c:smooth val="0"/>
        </c:ser>
        <c:ser>
          <c:idx val="18"/>
          <c:order val="18"/>
          <c:tx>
            <c:v>ACQ_Incr_Rev</c:v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8.0128205128204393E-3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Acquisition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1909653.9769871365</c:v>
                </c:pt>
                <c:pt idx="2">
                  <c:v>3788343.14421607</c:v>
                </c:pt>
                <c:pt idx="3">
                  <c:v>5636549.5066546611</c:v>
                </c:pt>
                <c:pt idx="4">
                  <c:v>7454748.2262433972</c:v>
                </c:pt>
                <c:pt idx="5">
                  <c:v>9243407.6970640887</c:v>
                </c:pt>
                <c:pt idx="6">
                  <c:v>11002989.620446093</c:v>
                </c:pt>
                <c:pt idx="7">
                  <c:v>12733949.08000382</c:v>
                </c:pt>
                <c:pt idx="8">
                  <c:v>14436734.616533669</c:v>
                </c:pt>
                <c:pt idx="9">
                  <c:v>16111788.302787062</c:v>
                </c:pt>
                <c:pt idx="10">
                  <c:v>17759545.818042524</c:v>
                </c:pt>
                <c:pt idx="11">
                  <c:v>19380436.522485144</c:v>
                </c:pt>
                <c:pt idx="12">
                  <c:v>20974883.531352777</c:v>
                </c:pt>
                <c:pt idx="13">
                  <c:v>22543303.788810521</c:v>
                </c:pt>
                <c:pt idx="14">
                  <c:v>24086108.141557589</c:v>
                </c:pt>
                <c:pt idx="15">
                  <c:v>25603701.412116595</c:v>
                </c:pt>
                <c:pt idx="16">
                  <c:v>27096482.471801117</c:v>
                </c:pt>
                <c:pt idx="17">
                  <c:v>28564844.313325085</c:v>
                </c:pt>
                <c:pt idx="18">
                  <c:v>30009174.123051897</c:v>
                </c:pt>
                <c:pt idx="19">
                  <c:v>31429853.352851003</c:v>
                </c:pt>
                <c:pt idx="20">
                  <c:v>32827257.791541122</c:v>
                </c:pt>
              </c:numCache>
            </c:numRef>
          </c:yVal>
          <c:smooth val="0"/>
        </c:ser>
        <c:ser>
          <c:idx val="19"/>
          <c:order val="19"/>
          <c:tx>
            <c:v>ACQC: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JJ_Optim_Scenario!$D$40</c:f>
              <c:numCache>
                <c:formatCode>_("$"* #,##0_);_("$"* \(#,##0\);_("$"* "-"??_);_(@_)</c:formatCode>
                <c:ptCount val="1"/>
                <c:pt idx="0">
                  <c:v>4782666</c:v>
                </c:pt>
              </c:numCache>
            </c:numRef>
          </c:xVal>
          <c:yVal>
            <c:numRef>
              <c:f>JJ_Optim_Scenario!$G$40</c:f>
              <c:numCache>
                <c:formatCode>_("$"* #,##0_);_("$"* \(#,##0\);_("$"* "-"_);_(@_)</c:formatCode>
                <c:ptCount val="1"/>
                <c:pt idx="0">
                  <c:v>8857160.0557257067</c:v>
                </c:pt>
              </c:numCache>
            </c:numRef>
          </c:yVal>
          <c:smooth val="0"/>
        </c:ser>
        <c:ser>
          <c:idx val="20"/>
          <c:order val="20"/>
          <c:tx>
            <c:v>ACQO: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JJ_Optim_Scenario!$H$40</c:f>
              <c:numCache>
                <c:formatCode>_("$"* #,##0_);_("$"* \(#,##0\);_("$"* "-"??_);_(@_)</c:formatCode>
                <c:ptCount val="1"/>
                <c:pt idx="0">
                  <c:v>5739199.2000000002</c:v>
                </c:pt>
              </c:numCache>
            </c:numRef>
          </c:xVal>
          <c:yVal>
            <c:numRef>
              <c:f>JJ_Optim_Scenario!$J$40</c:f>
              <c:numCache>
                <c:formatCode>_("$"* #,##0_);_("$"* \(#,##0\);_("$"* "-"_);_(@_)</c:formatCode>
                <c:ptCount val="1"/>
                <c:pt idx="0">
                  <c:v>10546866.539755095</c:v>
                </c:pt>
              </c:numCache>
            </c:numRef>
          </c:yVal>
          <c:smooth val="0"/>
        </c:ser>
        <c:ser>
          <c:idx val="21"/>
          <c:order val="21"/>
          <c:tx>
            <c:v>ADH_Incr_Rev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5"/>
              <c:layout>
                <c:manualLayout>
                  <c:x val="-6.0096153846153848E-2"/>
                  <c:y val="-2.30680507497116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Adherence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7126753.0854003569</c:v>
                </c:pt>
                <c:pt idx="2">
                  <c:v>14083785.478268811</c:v>
                </c:pt>
                <c:pt idx="3">
                  <c:v>20873536.930621438</c:v>
                </c:pt>
                <c:pt idx="4">
                  <c:v>27498504.08301406</c:v>
                </c:pt>
                <c:pt idx="5">
                  <c:v>33961234.049799822</c:v>
                </c:pt>
                <c:pt idx="6">
                  <c:v>40264318.242423229</c:v>
                </c:pt>
                <c:pt idx="7">
                  <c:v>46410386.434896983</c:v>
                </c:pt>
                <c:pt idx="8">
                  <c:v>52402101.074315935</c:v>
                </c:pt>
                <c:pt idx="9">
                  <c:v>58242151.838048339</c:v>
                </c:pt>
                <c:pt idx="10">
                  <c:v>63933250.438135833</c:v>
                </c:pt>
                <c:pt idx="11">
                  <c:v>69478125.672399044</c:v>
                </c:pt>
                <c:pt idx="12">
                  <c:v>74879518.720811337</c:v>
                </c:pt>
                <c:pt idx="13">
                  <c:v>80140178.6848436</c:v>
                </c:pt>
                <c:pt idx="14">
                  <c:v>85262858.366719171</c:v>
                </c:pt>
                <c:pt idx="15">
                  <c:v>90250310.284813449</c:v>
                </c:pt>
                <c:pt idx="16">
                  <c:v>95105282.920833573</c:v>
                </c:pt>
                <c:pt idx="17">
                  <c:v>99830517.19385469</c:v>
                </c:pt>
                <c:pt idx="18">
                  <c:v>104428743.15583892</c:v>
                </c:pt>
                <c:pt idx="19">
                  <c:v>108902676.90282662</c:v>
                </c:pt>
                <c:pt idx="20">
                  <c:v>113255017.69568314</c:v>
                </c:pt>
              </c:numCache>
            </c:numRef>
          </c:yVal>
          <c:smooth val="0"/>
        </c:ser>
        <c:ser>
          <c:idx val="22"/>
          <c:order val="22"/>
          <c:tx>
            <c:v>ADHC: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JJ_Optim_Scenario!$D$41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JJ_Optim_Scenario!$G$41</c:f>
              <c:numCache>
                <c:formatCode>_("$"* #,##0_);_("$"* \(#,##0\);_("$"* "-"_);_(@_)</c:formatCode>
                <c:ptCount val="1"/>
                <c:pt idx="0">
                  <c:v>42000930.599999905</c:v>
                </c:pt>
              </c:numCache>
            </c:numRef>
          </c:yVal>
          <c:smooth val="0"/>
        </c:ser>
        <c:ser>
          <c:idx val="23"/>
          <c:order val="23"/>
          <c:tx>
            <c:v>ADHO: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JJ_Optim_Scenario!$H$41</c:f>
              <c:numCache>
                <c:formatCode>_("$"* #,##0_);_("$"* \(#,##0\);_("$"* "-"??_);_(@_)</c:formatCode>
                <c:ptCount val="1"/>
                <c:pt idx="0">
                  <c:v>18840000</c:v>
                </c:pt>
              </c:numCache>
            </c:numRef>
          </c:xVal>
          <c:yVal>
            <c:numRef>
              <c:f>JJ_Optim_Scenario!$J$41</c:f>
              <c:numCache>
                <c:formatCode>_("$"* #,##0_);_("$"* \(#,##0\);_("$"* "-"_);_(@_)</c:formatCode>
                <c:ptCount val="1"/>
                <c:pt idx="0">
                  <c:v>49640968.979602575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8619520"/>
        <c:axId val="348622208"/>
      </c:scatterChart>
      <c:valAx>
        <c:axId val="348619520"/>
        <c:scaling>
          <c:orientation val="minMax"/>
          <c:max val="6000000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Channel Spend (in MM)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348622208"/>
        <c:crosses val="autoZero"/>
        <c:crossBetween val="midCat"/>
        <c:dispUnits>
          <c:builtInUnit val="millions"/>
        </c:dispUnits>
      </c:valAx>
      <c:valAx>
        <c:axId val="348622208"/>
        <c:scaling>
          <c:orientation val="minMax"/>
          <c:max val="5000000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1">
                    <a:solidFill>
                      <a:sysClr val="windowText" lastClr="000000"/>
                    </a:solidFill>
                  </a:defRPr>
                </a:pPr>
                <a:r>
                  <a:rPr lang="en-US" b="1">
                    <a:solidFill>
                      <a:sysClr val="windowText" lastClr="000000"/>
                    </a:solidFill>
                  </a:rPr>
                  <a:t>3-year Incr. Revenue (in MM)</a:t>
                </a:r>
              </a:p>
            </c:rich>
          </c:tx>
          <c:overlay val="0"/>
        </c:title>
        <c:numFmt formatCode="&quot;$&quot;#,##0_);\(&quot;$&quot;#,##0\)" sourceLinked="1"/>
        <c:majorTickMark val="out"/>
        <c:minorTickMark val="none"/>
        <c:tickLblPos val="nextTo"/>
        <c:crossAx val="348619520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3-year </a:t>
            </a:r>
            <a:r>
              <a:rPr lang="en-US" sz="1200">
                <a:solidFill>
                  <a:srgbClr val="0000FF"/>
                </a:solidFill>
              </a:rPr>
              <a:t>Incr. Revenue </a:t>
            </a:r>
            <a:r>
              <a:rPr lang="en-US" sz="1200"/>
              <a:t>from Channel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JANSample_Incr_Rev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7"/>
              <c:layout>
                <c:manualLayout>
                  <c:x val="-0.17628205128205132"/>
                  <c:y val="2.018454440599769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Januvia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28373584.365489364</c:v>
                </c:pt>
                <c:pt idx="2">
                  <c:v>56653849.649874195</c:v>
                </c:pt>
                <c:pt idx="3">
                  <c:v>84840795.85315448</c:v>
                </c:pt>
                <c:pt idx="4">
                  <c:v>112934422.97533022</c:v>
                </c:pt>
                <c:pt idx="5">
                  <c:v>140934731.01640144</c:v>
                </c:pt>
                <c:pt idx="6">
                  <c:v>168841719.9763681</c:v>
                </c:pt>
                <c:pt idx="7">
                  <c:v>196655389.85523024</c:v>
                </c:pt>
                <c:pt idx="8">
                  <c:v>224375740.65298784</c:v>
                </c:pt>
                <c:pt idx="9">
                  <c:v>252002772.36964089</c:v>
                </c:pt>
                <c:pt idx="10">
                  <c:v>279536485.00518936</c:v>
                </c:pt>
                <c:pt idx="11">
                  <c:v>306976878.55963331</c:v>
                </c:pt>
                <c:pt idx="12">
                  <c:v>334323953.03297281</c:v>
                </c:pt>
                <c:pt idx="13">
                  <c:v>361577708.42520767</c:v>
                </c:pt>
                <c:pt idx="14">
                  <c:v>388738144.73633808</c:v>
                </c:pt>
                <c:pt idx="15">
                  <c:v>415805261.96636391</c:v>
                </c:pt>
                <c:pt idx="16">
                  <c:v>442779060.11528516</c:v>
                </c:pt>
                <c:pt idx="17">
                  <c:v>469659539.18310189</c:v>
                </c:pt>
                <c:pt idx="18">
                  <c:v>496446699.16981411</c:v>
                </c:pt>
                <c:pt idx="19">
                  <c:v>523140540.07542175</c:v>
                </c:pt>
                <c:pt idx="20">
                  <c:v>549741061.89992487</c:v>
                </c:pt>
              </c:numCache>
            </c:numRef>
          </c:yVal>
          <c:smooth val="0"/>
        </c:ser>
        <c:ser>
          <c:idx val="0"/>
          <c:order val="1"/>
          <c:tx>
            <c:v>SC: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7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xVal>
            <c:numRef>
              <c:f>JJ_Optim_Scenario!$D$34</c:f>
              <c:numCache>
                <c:formatCode>_("$"* #,##0_);_("$"* \(#,##0\);_("$"* "-"??_);_(@_)</c:formatCode>
                <c:ptCount val="1"/>
                <c:pt idx="0">
                  <c:v>5991499</c:v>
                </c:pt>
              </c:numCache>
            </c:numRef>
          </c:xVal>
          <c:yVal>
            <c:numRef>
              <c:f>JJ_Optim_Scenario!$G$34</c:f>
              <c:numCache>
                <c:formatCode>_("$"* #,##0_);_("$"* \(#,##0\);_("$"* "-"_);_(@_)</c:formatCode>
                <c:ptCount val="1"/>
                <c:pt idx="0">
                  <c:v>224062062.59258214</c:v>
                </c:pt>
              </c:numCache>
            </c:numRef>
          </c:yVal>
          <c:smooth val="0"/>
        </c:ser>
        <c:ser>
          <c:idx val="4"/>
          <c:order val="2"/>
          <c:tx>
            <c:v>SO: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JJ_Optim_Scenario!$H$34</c:f>
              <c:numCache>
                <c:formatCode>_("$"* #,##0_);_("$"* \(#,##0\);_("$"* "-"??_);_(@_)</c:formatCode>
                <c:ptCount val="1"/>
                <c:pt idx="0">
                  <c:v>7189798.7999999998</c:v>
                </c:pt>
              </c:numCache>
            </c:numRef>
          </c:xVal>
          <c:yVal>
            <c:numRef>
              <c:f>JJ_Optim_Scenario!$J$34</c:f>
              <c:numCache>
                <c:formatCode>_("$"* #,##0_);_("$"* \(#,##0\);_("$"* "-"_);_(@_)</c:formatCode>
                <c:ptCount val="1"/>
                <c:pt idx="0">
                  <c:v>268159813.99162084</c:v>
                </c:pt>
              </c:numCache>
            </c:numRef>
          </c:yVal>
          <c:smooth val="0"/>
        </c:ser>
        <c:ser>
          <c:idx val="3"/>
          <c:order val="3"/>
          <c:tx>
            <c:v>JMTSample_Incr_Rev</c:v>
          </c:tx>
          <c:marker>
            <c:symbol val="none"/>
          </c:marker>
          <c:dLbls>
            <c:dLbl>
              <c:idx val="14"/>
              <c:layout>
                <c:manualLayout>
                  <c:x val="-0.21834935897435889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Janumet + XR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33049720.688127641</c:v>
                </c:pt>
                <c:pt idx="2">
                  <c:v>66107858.740741633</c:v>
                </c:pt>
                <c:pt idx="3">
                  <c:v>99174414.15784201</c:v>
                </c:pt>
                <c:pt idx="4">
                  <c:v>132249386.93942873</c:v>
                </c:pt>
                <c:pt idx="5">
                  <c:v>165332777.08550182</c:v>
                </c:pt>
                <c:pt idx="6">
                  <c:v>198424584.59606126</c:v>
                </c:pt>
                <c:pt idx="7">
                  <c:v>231524809.47110707</c:v>
                </c:pt>
                <c:pt idx="8">
                  <c:v>264633451.71063921</c:v>
                </c:pt>
                <c:pt idx="9">
                  <c:v>297750511.31465775</c:v>
                </c:pt>
                <c:pt idx="10">
                  <c:v>330875988.28316259</c:v>
                </c:pt>
                <c:pt idx="11">
                  <c:v>364009882.61615384</c:v>
                </c:pt>
                <c:pt idx="12">
                  <c:v>397152194.31363147</c:v>
                </c:pt>
                <c:pt idx="13">
                  <c:v>430302923.37559539</c:v>
                </c:pt>
                <c:pt idx="14">
                  <c:v>463462069.8020457</c:v>
                </c:pt>
                <c:pt idx="15">
                  <c:v>496629633.59298241</c:v>
                </c:pt>
                <c:pt idx="16">
                  <c:v>529805614.74840552</c:v>
                </c:pt>
                <c:pt idx="17">
                  <c:v>562990013.26831484</c:v>
                </c:pt>
                <c:pt idx="18">
                  <c:v>596182829.15271056</c:v>
                </c:pt>
                <c:pt idx="19">
                  <c:v>629384062.40159273</c:v>
                </c:pt>
                <c:pt idx="20">
                  <c:v>662593713.01496136</c:v>
                </c:pt>
              </c:numCache>
            </c:numRef>
          </c:yVal>
          <c:smooth val="0"/>
        </c:ser>
        <c:ser>
          <c:idx val="2"/>
          <c:order val="4"/>
          <c:tx>
            <c:v>S2C: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JJ_Optim_Scenario!$D$35</c:f>
              <c:numCache>
                <c:formatCode>_("$"* #,##0_);_("$"* \(#,##0\);_("$"* "-"??_);_(@_)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JJ_Optim_Scenario!$G$35</c:f>
              <c:numCache>
                <c:formatCode>_("$"* #,##0_);_("$"* \(#,##0\);_("$"* "-"_);_(@_)</c:formatCode>
                <c:ptCount val="1"/>
                <c:pt idx="0">
                  <c:v>258183807.50430843</c:v>
                </c:pt>
              </c:numCache>
            </c:numRef>
          </c:yVal>
          <c:smooth val="0"/>
        </c:ser>
        <c:ser>
          <c:idx val="5"/>
          <c:order val="5"/>
          <c:tx>
            <c:v>S2O: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JJ_Optim_Scenario!$H$35</c:f>
              <c:numCache>
                <c:formatCode>_("$"* #,##0_);_("$"* \(#,##0\);_("$"* "-"??_);_(@_)</c:formatCode>
                <c:ptCount val="1"/>
                <c:pt idx="0">
                  <c:v>18732522</c:v>
                </c:pt>
              </c:numCache>
            </c:numRef>
          </c:xVal>
          <c:yVal>
            <c:numRef>
              <c:f>JJ_Optim_Scenario!$J$35</c:f>
              <c:numCache>
                <c:formatCode>_("$"* #,##0_);_("$"* \(#,##0\);_("$"* "-"_);_(@_)</c:formatCode>
                <c:ptCount val="1"/>
                <c:pt idx="0">
                  <c:v>309882104.74105465</c:v>
                </c:pt>
              </c:numCache>
            </c:numRef>
          </c:yVal>
          <c:smooth val="0"/>
        </c:ser>
        <c:ser>
          <c:idx val="6"/>
          <c:order val="6"/>
          <c:tx>
            <c:v>VCH_Incr_Rev</c:v>
          </c:tx>
          <c:marker>
            <c:symbol val="none"/>
          </c:marker>
          <c:dLbls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Vouchers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1918481.163253288</c:v>
                </c:pt>
                <c:pt idx="2">
                  <c:v>3836981.5016745832</c:v>
                </c:pt>
                <c:pt idx="3">
                  <c:v>5755501.0152638862</c:v>
                </c:pt>
                <c:pt idx="4">
                  <c:v>7674039.7040211959</c:v>
                </c:pt>
                <c:pt idx="5">
                  <c:v>9592597.5679465123</c:v>
                </c:pt>
                <c:pt idx="6">
                  <c:v>11511174.607039837</c:v>
                </c:pt>
                <c:pt idx="7">
                  <c:v>13429770.821301168</c:v>
                </c:pt>
                <c:pt idx="8">
                  <c:v>15348386.210730504</c:v>
                </c:pt>
                <c:pt idx="9">
                  <c:v>17267020.775327854</c:v>
                </c:pt>
                <c:pt idx="10">
                  <c:v>19185674.515093207</c:v>
                </c:pt>
                <c:pt idx="11">
                  <c:v>21104347.430026565</c:v>
                </c:pt>
                <c:pt idx="12">
                  <c:v>23023039.520127933</c:v>
                </c:pt>
                <c:pt idx="13">
                  <c:v>24941750.785397302</c:v>
                </c:pt>
                <c:pt idx="14">
                  <c:v>26860481.22583469</c:v>
                </c:pt>
                <c:pt idx="15">
                  <c:v>28779230.841440078</c:v>
                </c:pt>
                <c:pt idx="16">
                  <c:v>30697999.63221347</c:v>
                </c:pt>
                <c:pt idx="17">
                  <c:v>32616787.598154876</c:v>
                </c:pt>
                <c:pt idx="18">
                  <c:v>34535594.739264287</c:v>
                </c:pt>
                <c:pt idx="19">
                  <c:v>36454421.055541702</c:v>
                </c:pt>
                <c:pt idx="20">
                  <c:v>38373266.546987124</c:v>
                </c:pt>
              </c:numCache>
            </c:numRef>
          </c:yVal>
          <c:smooth val="0"/>
        </c:ser>
        <c:ser>
          <c:idx val="7"/>
          <c:order val="7"/>
          <c:tx>
            <c:v>VC: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JJ_Optim_Scenario!$D$36</c:f>
              <c:numCache>
                <c:formatCode>_("$"* #,##0_);_("$"* \(#,##0\);_("$"* "-"??_);_(@_)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JJ_Optim_Scenario!$G$36</c:f>
              <c:numCache>
                <c:formatCode>_("$"* #,##0_);_("$"* \(#,##0\);_("$"* "-"_);_(@_)</c:formatCode>
                <c:ptCount val="1"/>
                <c:pt idx="0">
                  <c:v>14599034.153230662</c:v>
                </c:pt>
              </c:numCache>
            </c:numRef>
          </c:yVal>
          <c:smooth val="0"/>
        </c:ser>
        <c:ser>
          <c:idx val="8"/>
          <c:order val="8"/>
          <c:tx>
            <c:v>VO: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JJ_Optim_Scenario!$H$36</c:f>
              <c:numCache>
                <c:formatCode>_("$"* #,##0_);_("$"* \(#,##0\);_("$"* "-"??_);_(@_)</c:formatCode>
                <c:ptCount val="1"/>
                <c:pt idx="0">
                  <c:v>4565659.2</c:v>
                </c:pt>
              </c:numCache>
            </c:numRef>
          </c:xVal>
          <c:yVal>
            <c:numRef>
              <c:f>JJ_Optim_Scenario!$J$36</c:f>
              <c:numCache>
                <c:formatCode>_("$"* #,##0_);_("$"* \(#,##0\);_("$"* "-"_);_(@_)</c:formatCode>
                <c:ptCount val="1"/>
                <c:pt idx="0">
                  <c:v>17518974.220894966</c:v>
                </c:pt>
              </c:numCache>
            </c:numRef>
          </c:yVal>
          <c:smooth val="0"/>
        </c:ser>
        <c:ser>
          <c:idx val="9"/>
          <c:order val="9"/>
          <c:tx>
            <c:v>MMF_Incr_Rev</c:v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1.6025483292953766E-2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MMF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JJMMF!$D$30:$D$50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703853.55877536966</c:v>
                </c:pt>
                <c:pt idx="2">
                  <c:v>1333578.4064506467</c:v>
                </c:pt>
                <c:pt idx="3">
                  <c:v>1850974.5836547194</c:v>
                </c:pt>
                <c:pt idx="4">
                  <c:v>2302983.3816482755</c:v>
                </c:pt>
                <c:pt idx="5">
                  <c:v>2716412.0582507034</c:v>
                </c:pt>
                <c:pt idx="6">
                  <c:v>3065445.4764053603</c:v>
                </c:pt>
                <c:pt idx="7">
                  <c:v>3349869.7676340495</c:v>
                </c:pt>
                <c:pt idx="8">
                  <c:v>3596245.1515711565</c:v>
                </c:pt>
                <c:pt idx="9">
                  <c:v>3816026.364329217</c:v>
                </c:pt>
                <c:pt idx="10">
                  <c:v>4011306.5381120034</c:v>
                </c:pt>
                <c:pt idx="11">
                  <c:v>4184064.5468878993</c:v>
                </c:pt>
                <c:pt idx="12">
                  <c:v>4336261.3805715209</c:v>
                </c:pt>
                <c:pt idx="13">
                  <c:v>4469798.3244956825</c:v>
                </c:pt>
                <c:pt idx="14">
                  <c:v>4586564.2198148491</c:v>
                </c:pt>
                <c:pt idx="15">
                  <c:v>4688447.907683488</c:v>
                </c:pt>
                <c:pt idx="16">
                  <c:v>4777338.2292560609</c:v>
                </c:pt>
                <c:pt idx="17">
                  <c:v>4855124.025687038</c:v>
                </c:pt>
                <c:pt idx="18">
                  <c:v>4923694.1381308818</c:v>
                </c:pt>
                <c:pt idx="19">
                  <c:v>4984937.4077420589</c:v>
                </c:pt>
                <c:pt idx="20">
                  <c:v>5040742.6756750345</c:v>
                </c:pt>
              </c:numCache>
            </c:numRef>
          </c:yVal>
          <c:smooth val="0"/>
        </c:ser>
        <c:ser>
          <c:idx val="10"/>
          <c:order val="10"/>
          <c:tx>
            <c:v>MFC: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JJ_Optim_Scenario!$D$37</c:f>
              <c:numCache>
                <c:formatCode>_("$"* #,##0_);_("$"* \(#,##0\);_("$"* "-"??_);_(@_)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JJ_Optim_Scenario!$G$37</c:f>
              <c:numCache>
                <c:formatCode>_("$"* #,##0_);_("$"* \(#,##0\);_("$"* "-"_);_(@_)</c:formatCode>
                <c:ptCount val="1"/>
                <c:pt idx="0">
                  <c:v>2490935.0472509274</c:v>
                </c:pt>
              </c:numCache>
            </c:numRef>
          </c:yVal>
          <c:smooth val="0"/>
        </c:ser>
        <c:ser>
          <c:idx val="11"/>
          <c:order val="11"/>
          <c:tx>
            <c:v>MFO: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JJ_Optim_Scenario!$H$37</c:f>
              <c:numCache>
                <c:formatCode>_("$"* #,##0_);_("$"* \(#,##0\);_("$"* "-"??_);_(@_)</c:formatCode>
                <c:ptCount val="1"/>
                <c:pt idx="0">
                  <c:v>4107540.0292513319</c:v>
                </c:pt>
              </c:numCache>
            </c:numRef>
          </c:xVal>
          <c:yVal>
            <c:numRef>
              <c:f>JJ_Optim_Scenario!$J$37</c:f>
              <c:numCache>
                <c:formatCode>_("$"* #,##0_);_("$"* \(#,##0\);_("$"* "-"_);_(@_)</c:formatCode>
                <c:ptCount val="1"/>
                <c:pt idx="0">
                  <c:v>2349624.7364301258</c:v>
                </c:pt>
              </c:numCache>
            </c:numRef>
          </c:yVal>
          <c:smooth val="0"/>
        </c:ser>
        <c:ser>
          <c:idx val="12"/>
          <c:order val="12"/>
          <c:tx>
            <c:v>HCC_Incr_Rev</c:v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dLbls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HCC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dLbl>
              <c:idx val="13"/>
              <c:layout>
                <c:manualLayout>
                  <c:x val="-5.2083333333333336E-2"/>
                  <c:y val="-2.59515570934256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HCC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22793569.184145041</c:v>
                </c:pt>
                <c:pt idx="2">
                  <c:v>44772644.013821252</c:v>
                </c:pt>
                <c:pt idx="3">
                  <c:v>65959669.860759467</c:v>
                </c:pt>
                <c:pt idx="4">
                  <c:v>86377003.212655365</c:v>
                </c:pt>
                <c:pt idx="5">
                  <c:v>106046862.62460285</c:v>
                </c:pt>
                <c:pt idx="6">
                  <c:v>124991284.05911189</c:v>
                </c:pt>
                <c:pt idx="7">
                  <c:v>143232080.436901</c:v>
                </c:pt>
                <c:pt idx="8">
                  <c:v>160790805.21150315</c:v>
                </c:pt>
                <c:pt idx="9">
                  <c:v>177688719.77407649</c:v>
                </c:pt>
                <c:pt idx="10">
                  <c:v>193946764.49067846</c:v>
                </c:pt>
                <c:pt idx="11">
                  <c:v>209585533.17202714</c:v>
                </c:pt>
                <c:pt idx="12">
                  <c:v>224625250.77556676</c:v>
                </c:pt>
                <c:pt idx="13">
                  <c:v>239085754.14094138</c:v>
                </c:pt>
                <c:pt idx="14">
                  <c:v>252986475.56266776</c:v>
                </c:pt>
                <c:pt idx="15">
                  <c:v>266346429.00773442</c:v>
                </c:pt>
                <c:pt idx="16">
                  <c:v>279184198.7906872</c:v>
                </c:pt>
                <c:pt idx="17">
                  <c:v>291517930.52445549</c:v>
                </c:pt>
                <c:pt idx="18">
                  <c:v>303365324.17157</c:v>
                </c:pt>
                <c:pt idx="19">
                  <c:v>314743629.02719492</c:v>
                </c:pt>
                <c:pt idx="20">
                  <c:v>325669640.47273898</c:v>
                </c:pt>
              </c:numCache>
            </c:numRef>
          </c:yVal>
          <c:smooth val="0"/>
        </c:ser>
        <c:ser>
          <c:idx val="13"/>
          <c:order val="13"/>
          <c:tx>
            <c:v>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JJ_Optim_Scenario!$D$38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JJ_Optim_Scenario!$G$38</c:f>
              <c:numCache>
                <c:formatCode>_("$"* #,##0_);_("$"* \(#,##0\);_("$"* "-"_);_(@_)</c:formatCode>
                <c:ptCount val="1"/>
                <c:pt idx="0">
                  <c:v>154744776.41412714</c:v>
                </c:pt>
              </c:numCache>
            </c:numRef>
          </c:yVal>
          <c:smooth val="0"/>
        </c:ser>
        <c:ser>
          <c:idx val="14"/>
          <c:order val="14"/>
          <c:tx>
            <c:v>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JJ_Optim_Scenario!$H$38</c:f>
              <c:numCache>
                <c:formatCode>_("$"* #,##0_);_("$"* \(#,##0\);_("$"* "-"??_);_(@_)</c:formatCode>
                <c:ptCount val="1"/>
                <c:pt idx="0">
                  <c:v>27544800</c:v>
                </c:pt>
              </c:numCache>
            </c:numRef>
          </c:xVal>
          <c:yVal>
            <c:numRef>
              <c:f>JJ_Optim_Scenario!$J$38</c:f>
              <c:numCache>
                <c:formatCode>_("$"* #,##0_);_("$"* \(#,##0\);_("$"* "-"_);_(@_)</c:formatCode>
                <c:ptCount val="1"/>
                <c:pt idx="0">
                  <c:v>180688122.38420403</c:v>
                </c:pt>
              </c:numCache>
            </c:numRef>
          </c:yVal>
          <c:smooth val="0"/>
        </c:ser>
        <c:ser>
          <c:idx val="15"/>
          <c:order val="15"/>
          <c:tx>
            <c:v>MCM_Incr_Rev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dLbls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MCM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dLbl>
              <c:idx val="19"/>
              <c:layout>
                <c:manualLayout>
                  <c:x val="-4.8076923076923003E-2"/>
                  <c:y val="-2.595155709342560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MCM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7709362.4720515292</c:v>
                </c:pt>
                <c:pt idx="2">
                  <c:v>15085089.434698205</c:v>
                </c:pt>
                <c:pt idx="3">
                  <c:v>22140794.47554775</c:v>
                </c:pt>
                <c:pt idx="4">
                  <c:v>28889607.955231465</c:v>
                </c:pt>
                <c:pt idx="5">
                  <c:v>35344187.679844275</c:v>
                </c:pt>
                <c:pt idx="6">
                  <c:v>41516729.975864656</c:v>
                </c:pt>
                <c:pt idx="7">
                  <c:v>47418981.085584648</c:v>
                </c:pt>
                <c:pt idx="8">
                  <c:v>53062248.808629736</c:v>
                </c:pt>
                <c:pt idx="9">
                  <c:v>58457414.32213106</c:v>
                </c:pt>
                <c:pt idx="10">
                  <c:v>63614944.118861467</c:v>
                </c:pt>
                <c:pt idx="11">
                  <c:v>68544902.008632824</c:v>
                </c:pt>
                <c:pt idx="12">
                  <c:v>73256961.134144485</c:v>
                </c:pt>
                <c:pt idx="13">
                  <c:v>77760415.957672343</c:v>
                </c:pt>
                <c:pt idx="14">
                  <c:v>82064194.179971501</c:v>
                </c:pt>
                <c:pt idx="15">
                  <c:v>86176868.557277963</c:v>
                </c:pt>
                <c:pt idx="16">
                  <c:v>90106668.586478502</c:v>
                </c:pt>
                <c:pt idx="17">
                  <c:v>93861492.032365173</c:v>
                </c:pt>
                <c:pt idx="18">
                  <c:v>97448916.274393499</c:v>
                </c:pt>
                <c:pt idx="19">
                  <c:v>100876209.45359851</c:v>
                </c:pt>
                <c:pt idx="20">
                  <c:v>104150341.40321961</c:v>
                </c:pt>
              </c:numCache>
            </c:numRef>
          </c:yVal>
          <c:smooth val="0"/>
        </c:ser>
        <c:ser>
          <c:idx val="16"/>
          <c:order val="16"/>
          <c:tx>
            <c:v>MCMC: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JJ_Optim_Scenario!$G$39</c:f>
              <c:numCache>
                <c:formatCode>_("$"* #,##0_);_("$"* \(#,##0\);_("$"* "-"_);_(@_)</c:formatCode>
                <c:ptCount val="1"/>
                <c:pt idx="0">
                  <c:v>36680022.861164257</c:v>
                </c:pt>
              </c:numCache>
            </c:numRef>
          </c:yVal>
          <c:smooth val="0"/>
        </c:ser>
        <c:ser>
          <c:idx val="17"/>
          <c:order val="17"/>
          <c:tx>
            <c:v>MCMO: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JJ_Optim_Scenario!$H$39</c:f>
              <c:numCache>
                <c:formatCode>_("$"* #,##0_);_("$"* \(#,##0\);_("$"* "-"??_);_(@_)</c:formatCode>
                <c:ptCount val="1"/>
                <c:pt idx="0">
                  <c:v>9382780.7999999989</c:v>
                </c:pt>
              </c:numCache>
            </c:numRef>
          </c:xVal>
          <c:yVal>
            <c:numRef>
              <c:f>JJ_Optim_Scenario!$J$39</c:f>
              <c:numCache>
                <c:formatCode>_("$"* #,##0_);_("$"* \(#,##0\);_("$"* "-"_);_(@_)</c:formatCode>
                <c:ptCount val="1"/>
                <c:pt idx="0">
                  <c:v>43048138.458140768</c:v>
                </c:pt>
              </c:numCache>
            </c:numRef>
          </c:yVal>
          <c:smooth val="0"/>
        </c:ser>
        <c:ser>
          <c:idx val="18"/>
          <c:order val="18"/>
          <c:tx>
            <c:v>ACQ_Incr_Rev</c:v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8.0128205128204393E-3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Acquisition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1909653.9769871365</c:v>
                </c:pt>
                <c:pt idx="2">
                  <c:v>3788343.14421607</c:v>
                </c:pt>
                <c:pt idx="3">
                  <c:v>5636549.5066546611</c:v>
                </c:pt>
                <c:pt idx="4">
                  <c:v>7454748.2262433972</c:v>
                </c:pt>
                <c:pt idx="5">
                  <c:v>9243407.6970640887</c:v>
                </c:pt>
                <c:pt idx="6">
                  <c:v>11002989.620446093</c:v>
                </c:pt>
                <c:pt idx="7">
                  <c:v>12733949.08000382</c:v>
                </c:pt>
                <c:pt idx="8">
                  <c:v>14436734.616533669</c:v>
                </c:pt>
                <c:pt idx="9">
                  <c:v>16111788.302787062</c:v>
                </c:pt>
                <c:pt idx="10">
                  <c:v>17759545.818042524</c:v>
                </c:pt>
                <c:pt idx="11">
                  <c:v>19380436.522485144</c:v>
                </c:pt>
                <c:pt idx="12">
                  <c:v>20974883.531352777</c:v>
                </c:pt>
                <c:pt idx="13">
                  <c:v>22543303.788810521</c:v>
                </c:pt>
                <c:pt idx="14">
                  <c:v>24086108.141557589</c:v>
                </c:pt>
                <c:pt idx="15">
                  <c:v>25603701.412116595</c:v>
                </c:pt>
                <c:pt idx="16">
                  <c:v>27096482.471801117</c:v>
                </c:pt>
                <c:pt idx="17">
                  <c:v>28564844.313325085</c:v>
                </c:pt>
                <c:pt idx="18">
                  <c:v>30009174.123051897</c:v>
                </c:pt>
                <c:pt idx="19">
                  <c:v>31429853.352851003</c:v>
                </c:pt>
                <c:pt idx="20">
                  <c:v>32827257.791541122</c:v>
                </c:pt>
              </c:numCache>
            </c:numRef>
          </c:yVal>
          <c:smooth val="0"/>
        </c:ser>
        <c:ser>
          <c:idx val="19"/>
          <c:order val="19"/>
          <c:tx>
            <c:v>ACQC: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JJ_Optim_Scenario!$D$40</c:f>
              <c:numCache>
                <c:formatCode>_("$"* #,##0_);_("$"* \(#,##0\);_("$"* "-"??_);_(@_)</c:formatCode>
                <c:ptCount val="1"/>
                <c:pt idx="0">
                  <c:v>4782666</c:v>
                </c:pt>
              </c:numCache>
            </c:numRef>
          </c:xVal>
          <c:yVal>
            <c:numRef>
              <c:f>JJ_Optim_Scenario!$G$40</c:f>
              <c:numCache>
                <c:formatCode>_("$"* #,##0_);_("$"* \(#,##0\);_("$"* "-"_);_(@_)</c:formatCode>
                <c:ptCount val="1"/>
                <c:pt idx="0">
                  <c:v>8857160.0557257067</c:v>
                </c:pt>
              </c:numCache>
            </c:numRef>
          </c:yVal>
          <c:smooth val="0"/>
        </c:ser>
        <c:ser>
          <c:idx val="20"/>
          <c:order val="20"/>
          <c:tx>
            <c:v>ACQO: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JJ_Optim_Scenario!$H$40</c:f>
              <c:numCache>
                <c:formatCode>_("$"* #,##0_);_("$"* \(#,##0\);_("$"* "-"??_);_(@_)</c:formatCode>
                <c:ptCount val="1"/>
                <c:pt idx="0">
                  <c:v>5739199.2000000002</c:v>
                </c:pt>
              </c:numCache>
            </c:numRef>
          </c:xVal>
          <c:yVal>
            <c:numRef>
              <c:f>JJ_Optim_Scenario!$J$40</c:f>
              <c:numCache>
                <c:formatCode>_("$"* #,##0_);_("$"* \(#,##0\);_("$"* "-"_);_(@_)</c:formatCode>
                <c:ptCount val="1"/>
                <c:pt idx="0">
                  <c:v>10546866.539755095</c:v>
                </c:pt>
              </c:numCache>
            </c:numRef>
          </c:yVal>
          <c:smooth val="0"/>
        </c:ser>
        <c:ser>
          <c:idx val="21"/>
          <c:order val="21"/>
          <c:tx>
            <c:v>ADH_Incr_Rev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Adherence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dLbl>
              <c:idx val="15"/>
              <c:layout>
                <c:manualLayout>
                  <c:x val="-6.0096153846153848E-2"/>
                  <c:y val="-2.30680507497116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Adherence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7126753.0854003569</c:v>
                </c:pt>
                <c:pt idx="2">
                  <c:v>14083785.478268811</c:v>
                </c:pt>
                <c:pt idx="3">
                  <c:v>20873536.930621438</c:v>
                </c:pt>
                <c:pt idx="4">
                  <c:v>27498504.08301406</c:v>
                </c:pt>
                <c:pt idx="5">
                  <c:v>33961234.049799822</c:v>
                </c:pt>
                <c:pt idx="6">
                  <c:v>40264318.242423229</c:v>
                </c:pt>
                <c:pt idx="7">
                  <c:v>46410386.434896983</c:v>
                </c:pt>
                <c:pt idx="8">
                  <c:v>52402101.074315935</c:v>
                </c:pt>
                <c:pt idx="9">
                  <c:v>58242151.838048339</c:v>
                </c:pt>
                <c:pt idx="10">
                  <c:v>63933250.438135833</c:v>
                </c:pt>
                <c:pt idx="11">
                  <c:v>69478125.672399044</c:v>
                </c:pt>
                <c:pt idx="12">
                  <c:v>74879518.720811337</c:v>
                </c:pt>
                <c:pt idx="13">
                  <c:v>80140178.6848436</c:v>
                </c:pt>
                <c:pt idx="14">
                  <c:v>85262858.366719171</c:v>
                </c:pt>
                <c:pt idx="15">
                  <c:v>90250310.284813449</c:v>
                </c:pt>
                <c:pt idx="16">
                  <c:v>95105282.920833573</c:v>
                </c:pt>
                <c:pt idx="17">
                  <c:v>99830517.19385469</c:v>
                </c:pt>
                <c:pt idx="18">
                  <c:v>104428743.15583892</c:v>
                </c:pt>
                <c:pt idx="19">
                  <c:v>108902676.90282662</c:v>
                </c:pt>
                <c:pt idx="20">
                  <c:v>113255017.69568314</c:v>
                </c:pt>
              </c:numCache>
            </c:numRef>
          </c:yVal>
          <c:smooth val="0"/>
        </c:ser>
        <c:ser>
          <c:idx val="22"/>
          <c:order val="22"/>
          <c:tx>
            <c:v>ADHC: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JJ_Optim_Scenario!$D$41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JJ_Optim_Scenario!$G$41</c:f>
              <c:numCache>
                <c:formatCode>_("$"* #,##0_);_("$"* \(#,##0\);_("$"* "-"_);_(@_)</c:formatCode>
                <c:ptCount val="1"/>
                <c:pt idx="0">
                  <c:v>42000930.599999905</c:v>
                </c:pt>
              </c:numCache>
            </c:numRef>
          </c:yVal>
          <c:smooth val="0"/>
        </c:ser>
        <c:ser>
          <c:idx val="23"/>
          <c:order val="23"/>
          <c:tx>
            <c:v>ADHO: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JJ_Optim_Scenario!$H$41</c:f>
              <c:numCache>
                <c:formatCode>_("$"* #,##0_);_("$"* \(#,##0\);_("$"* "-"??_);_(@_)</c:formatCode>
                <c:ptCount val="1"/>
                <c:pt idx="0">
                  <c:v>18840000</c:v>
                </c:pt>
              </c:numCache>
            </c:numRef>
          </c:xVal>
          <c:yVal>
            <c:numRef>
              <c:f>JJ_Optim_Scenario!$J$41</c:f>
              <c:numCache>
                <c:formatCode>_("$"* #,##0_);_("$"* \(#,##0\);_("$"* "-"_);_(@_)</c:formatCode>
                <c:ptCount val="1"/>
                <c:pt idx="0">
                  <c:v>49640968.979602575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8911104"/>
        <c:axId val="348918144"/>
      </c:scatterChart>
      <c:valAx>
        <c:axId val="348911104"/>
        <c:scaling>
          <c:orientation val="minMax"/>
          <c:max val="2000000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Channel Spend (in MM)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348918144"/>
        <c:crosses val="autoZero"/>
        <c:crossBetween val="midCat"/>
        <c:dispUnits>
          <c:builtInUnit val="millions"/>
        </c:dispUnits>
      </c:valAx>
      <c:valAx>
        <c:axId val="348918144"/>
        <c:scaling>
          <c:orientation val="minMax"/>
          <c:max val="1000000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1">
                    <a:solidFill>
                      <a:sysClr val="windowText" lastClr="000000"/>
                    </a:solidFill>
                  </a:defRPr>
                </a:pPr>
                <a:r>
                  <a:rPr lang="en-US" b="1">
                    <a:solidFill>
                      <a:sysClr val="windowText" lastClr="000000"/>
                    </a:solidFill>
                  </a:rPr>
                  <a:t>3-year Incr. Revenue (in MM)</a:t>
                </a:r>
              </a:p>
            </c:rich>
          </c:tx>
          <c:overlay val="0"/>
        </c:title>
        <c:numFmt formatCode="&quot;$&quot;#,##0_);\(&quot;$&quot;#,##0\)" sourceLinked="1"/>
        <c:majorTickMark val="out"/>
        <c:minorTickMark val="none"/>
        <c:tickLblPos val="nextTo"/>
        <c:crossAx val="348911104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Sample Spend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JANSample!$I$9</c:f>
              <c:numCache>
                <c:formatCode>#,##0</c:formatCode>
                <c:ptCount val="1"/>
                <c:pt idx="0">
                  <c:v>2310765.2787946975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JANSample!$F$2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292618.45056716667</c:v>
                </c:pt>
                <c:pt idx="2">
                  <c:v>584274.49594190461</c:v>
                </c:pt>
                <c:pt idx="3">
                  <c:v>874968.13612421392</c:v>
                </c:pt>
                <c:pt idx="4">
                  <c:v>1164699.3711140943</c:v>
                </c:pt>
                <c:pt idx="5">
                  <c:v>1453468.2009115461</c:v>
                </c:pt>
                <c:pt idx="6">
                  <c:v>1741274.625516569</c:v>
                </c:pt>
                <c:pt idx="7">
                  <c:v>2028118.6449291632</c:v>
                </c:pt>
                <c:pt idx="8">
                  <c:v>2314000.2591493283</c:v>
                </c:pt>
                <c:pt idx="9">
                  <c:v>2598919.4681770657</c:v>
                </c:pt>
                <c:pt idx="10">
                  <c:v>2882876.2720123734</c:v>
                </c:pt>
                <c:pt idx="11">
                  <c:v>3165870.6706552524</c:v>
                </c:pt>
                <c:pt idx="12">
                  <c:v>3447902.6641057036</c:v>
                </c:pt>
                <c:pt idx="13">
                  <c:v>3728972.2523637251</c:v>
                </c:pt>
                <c:pt idx="14">
                  <c:v>4009079.4354293179</c:v>
                </c:pt>
                <c:pt idx="15">
                  <c:v>4288224.2133024819</c:v>
                </c:pt>
                <c:pt idx="16">
                  <c:v>4566406.5859832177</c:v>
                </c:pt>
                <c:pt idx="17">
                  <c:v>4843626.5534715252</c:v>
                </c:pt>
                <c:pt idx="18">
                  <c:v>5119884.1157674035</c:v>
                </c:pt>
                <c:pt idx="19">
                  <c:v>5395179.2728708526</c:v>
                </c:pt>
                <c:pt idx="20">
                  <c:v>5669512.0247818725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JANSample!$B$9</c:f>
              <c:numCache>
                <c:formatCode>"$"#,##0</c:formatCode>
                <c:ptCount val="1"/>
                <c:pt idx="0">
                  <c:v>4793199.2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JANSample!$C$9</c:f>
              <c:numCache>
                <c:formatCode>"$"#,##0</c:formatCode>
                <c:ptCount val="1"/>
                <c:pt idx="0">
                  <c:v>7189798.7999999998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JANSample!$D$9</c:f>
              <c:numCache>
                <c:formatCode>"$"#,##0</c:formatCode>
                <c:ptCount val="1"/>
                <c:pt idx="0">
                  <c:v>7189798.7999999998</c:v>
                </c:pt>
              </c:numCache>
            </c:numRef>
          </c:xVal>
          <c:yVal>
            <c:numRef>
              <c:f>JANSample!$F$9</c:f>
              <c:numCache>
                <c:formatCode>#,##0</c:formatCode>
                <c:ptCount val="1"/>
                <c:pt idx="0">
                  <c:v>2765547.9922391665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3024384"/>
        <c:axId val="343026688"/>
      </c:scatterChart>
      <c:valAx>
        <c:axId val="34302438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Sample Spend (in '000 $)</a:t>
                </a:r>
              </a:p>
            </c:rich>
          </c:tx>
          <c:layout/>
          <c:overlay val="0"/>
        </c:title>
        <c:numFmt formatCode="&quot;$&quot;#,##0" sourceLinked="1"/>
        <c:majorTickMark val="out"/>
        <c:minorTickMark val="none"/>
        <c:tickLblPos val="nextTo"/>
        <c:crossAx val="343026688"/>
        <c:crosses val="autoZero"/>
        <c:crossBetween val="midCat"/>
        <c:dispUnits>
          <c:builtInUnit val="thousands"/>
        </c:dispUnits>
      </c:valAx>
      <c:valAx>
        <c:axId val="3430266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layout/>
          <c:overlay val="0"/>
        </c:title>
        <c:numFmt formatCode="#,##0" sourceLinked="1"/>
        <c:majorTickMark val="out"/>
        <c:minorTickMark val="none"/>
        <c:tickLblPos val="nextTo"/>
        <c:crossAx val="343024384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Januvia: Estimated Incr. NRx 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JANSample!$H$9</c:f>
              <c:numCache>
                <c:formatCode>#,##0</c:formatCode>
                <c:ptCount val="1"/>
                <c:pt idx="0">
                  <c:v>200413.29391107528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JANSample!$D$3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JANSample!$B$23:$B$43</c:f>
              <c:numCache>
                <c:formatCode>#,##0</c:formatCode>
                <c:ptCount val="21"/>
                <c:pt idx="0">
                  <c:v>0</c:v>
                </c:pt>
                <c:pt idx="1">
                  <c:v>25378.876892208733</c:v>
                </c:pt>
                <c:pt idx="2">
                  <c:v>50674.284123322177</c:v>
                </c:pt>
                <c:pt idx="3">
                  <c:v>75886.221693340325</c:v>
                </c:pt>
                <c:pt idx="4">
                  <c:v>101014.68960226317</c:v>
                </c:pt>
                <c:pt idx="5">
                  <c:v>126059.68785009073</c:v>
                </c:pt>
                <c:pt idx="6">
                  <c:v>151021.21643682299</c:v>
                </c:pt>
                <c:pt idx="7">
                  <c:v>175899.27536245997</c:v>
                </c:pt>
                <c:pt idx="8">
                  <c:v>200693.86462700163</c:v>
                </c:pt>
                <c:pt idx="9">
                  <c:v>225404.98423044803</c:v>
                </c:pt>
                <c:pt idx="10">
                  <c:v>250032.63417279909</c:v>
                </c:pt>
                <c:pt idx="11">
                  <c:v>274576.81445405487</c:v>
                </c:pt>
                <c:pt idx="12">
                  <c:v>299037.52507421537</c:v>
                </c:pt>
                <c:pt idx="13">
                  <c:v>323414.76603328058</c:v>
                </c:pt>
                <c:pt idx="14">
                  <c:v>347708.5373312505</c:v>
                </c:pt>
                <c:pt idx="15">
                  <c:v>371918.83896812511</c:v>
                </c:pt>
                <c:pt idx="16">
                  <c:v>396045.67094390444</c:v>
                </c:pt>
                <c:pt idx="17">
                  <c:v>420089.03325858846</c:v>
                </c:pt>
                <c:pt idx="18">
                  <c:v>444048.92591217719</c:v>
                </c:pt>
                <c:pt idx="19">
                  <c:v>467925.34890467062</c:v>
                </c:pt>
                <c:pt idx="20">
                  <c:v>491718.30223606876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JANSample!$B$9</c:f>
              <c:numCache>
                <c:formatCode>"$"#,##0</c:formatCode>
                <c:ptCount val="1"/>
                <c:pt idx="0">
                  <c:v>4793199.2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JANSample!$C$9</c:f>
              <c:numCache>
                <c:formatCode>"$"#,##0</c:formatCode>
                <c:ptCount val="1"/>
                <c:pt idx="0">
                  <c:v>7189798.7999999998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JANSample!$D$9</c:f>
              <c:numCache>
                <c:formatCode>"$"#,##0</c:formatCode>
                <c:ptCount val="1"/>
                <c:pt idx="0">
                  <c:v>7189798.7999999998</c:v>
                </c:pt>
              </c:numCache>
            </c:numRef>
          </c:xVal>
          <c:yVal>
            <c:numRef>
              <c:f>JANSample!$E$9</c:f>
              <c:numCache>
                <c:formatCode>#,##0</c:formatCode>
                <c:ptCount val="1"/>
                <c:pt idx="0">
                  <c:v>239856.72092273776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3073152"/>
        <c:axId val="343075456"/>
      </c:scatterChart>
      <c:valAx>
        <c:axId val="34307315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343075456"/>
        <c:crosses val="autoZero"/>
        <c:crossBetween val="midCat"/>
        <c:dispUnits>
          <c:builtInUnit val="thousands"/>
        </c:dispUnits>
      </c:valAx>
      <c:valAx>
        <c:axId val="3430754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43073152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Janumet: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Sample Spend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JMTSample!$I$9</c:f>
              <c:numCache>
                <c:formatCode>#,##0</c:formatCode>
                <c:ptCount val="1"/>
                <c:pt idx="0">
                  <c:v>2662664.8484120537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JMTSample!$F$2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340843.72051351675</c:v>
                </c:pt>
                <c:pt idx="2">
                  <c:v>681774.24980389187</c:v>
                </c:pt>
                <c:pt idx="3">
                  <c:v>1022791.5878711254</c:v>
                </c:pt>
                <c:pt idx="4">
                  <c:v>1363895.7347152175</c:v>
                </c:pt>
                <c:pt idx="5">
                  <c:v>1705086.690336168</c:v>
                </c:pt>
                <c:pt idx="6">
                  <c:v>2046364.4547339769</c:v>
                </c:pt>
                <c:pt idx="7">
                  <c:v>2387729.0279086442</c:v>
                </c:pt>
                <c:pt idx="8">
                  <c:v>2729180.40986017</c:v>
                </c:pt>
                <c:pt idx="9">
                  <c:v>3070718.6005885541</c:v>
                </c:pt>
                <c:pt idx="10">
                  <c:v>3412343.6000937968</c:v>
                </c:pt>
                <c:pt idx="11">
                  <c:v>3754055.4083758979</c:v>
                </c:pt>
                <c:pt idx="12">
                  <c:v>4095854.0254348577</c:v>
                </c:pt>
                <c:pt idx="13">
                  <c:v>4437739.4512706762</c:v>
                </c:pt>
                <c:pt idx="14">
                  <c:v>4779711.6858833525</c:v>
                </c:pt>
                <c:pt idx="15">
                  <c:v>5121770.7292728871</c:v>
                </c:pt>
                <c:pt idx="16">
                  <c:v>5463916.58143928</c:v>
                </c:pt>
                <c:pt idx="17">
                  <c:v>5806149.242382532</c:v>
                </c:pt>
                <c:pt idx="18">
                  <c:v>6148468.7121026423</c:v>
                </c:pt>
                <c:pt idx="19">
                  <c:v>6490874.9905996108</c:v>
                </c:pt>
                <c:pt idx="20">
                  <c:v>6833368.0778734377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JMTSample!$B$9</c:f>
              <c:numCache>
                <c:formatCode>"$"#,##0</c:formatCode>
                <c:ptCount val="1"/>
                <c:pt idx="0">
                  <c:v>12488348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JMTSample!$C$9</c:f>
              <c:numCache>
                <c:formatCode>"$"#,##0</c:formatCode>
                <c:ptCount val="1"/>
                <c:pt idx="0">
                  <c:v>18732522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JMTSample!$D$9</c:f>
              <c:numCache>
                <c:formatCode>"$"#,##0</c:formatCode>
                <c:ptCount val="1"/>
                <c:pt idx="0">
                  <c:v>18732522</c:v>
                </c:pt>
              </c:numCache>
            </c:numRef>
          </c:xVal>
          <c:yVal>
            <c:numRef>
              <c:f>JMTSample!$F$9</c:f>
              <c:numCache>
                <c:formatCode>#,##0</c:formatCode>
                <c:ptCount val="1"/>
                <c:pt idx="0">
                  <c:v>3195832.4397713416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9111040"/>
        <c:axId val="349113344"/>
      </c:scatterChart>
      <c:valAx>
        <c:axId val="34911104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Janumet Sample Spend (in '000 $)</a:t>
                </a:r>
              </a:p>
            </c:rich>
          </c:tx>
          <c:layout/>
          <c:overlay val="0"/>
        </c:title>
        <c:numFmt formatCode="&quot;$&quot;#,##0" sourceLinked="1"/>
        <c:majorTickMark val="out"/>
        <c:minorTickMark val="none"/>
        <c:tickLblPos val="nextTo"/>
        <c:crossAx val="349113344"/>
        <c:crosses val="autoZero"/>
        <c:crossBetween val="midCat"/>
        <c:dispUnits>
          <c:builtInUnit val="thousands"/>
        </c:dispUnits>
      </c:valAx>
      <c:valAx>
        <c:axId val="3491133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layout/>
          <c:overlay val="0"/>
        </c:title>
        <c:numFmt formatCode="#,##0" sourceLinked="1"/>
        <c:majorTickMark val="out"/>
        <c:minorTickMark val="none"/>
        <c:tickLblPos val="nextTo"/>
        <c:crossAx val="349111040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Janumet: Estimated Incr. NRx from Sample Spend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JMTSample!$H$9</c:f>
              <c:numCache>
                <c:formatCode>#,##0</c:formatCode>
                <c:ptCount val="1"/>
                <c:pt idx="0">
                  <c:v>230933.63819705584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JMTSample!$D$3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JMTSample!$B$23:$B$43</c:f>
              <c:numCache>
                <c:formatCode>#,##0</c:formatCode>
                <c:ptCount val="21"/>
                <c:pt idx="0">
                  <c:v>0</c:v>
                </c:pt>
                <c:pt idx="1">
                  <c:v>29561.46752068662</c:v>
                </c:pt>
                <c:pt idx="2">
                  <c:v>59130.463989929907</c:v>
                </c:pt>
                <c:pt idx="3">
                  <c:v>88706.989407729881</c:v>
                </c:pt>
                <c:pt idx="4">
                  <c:v>118291.04377408652</c:v>
                </c:pt>
                <c:pt idx="5">
                  <c:v>147882.62708899984</c:v>
                </c:pt>
                <c:pt idx="6">
                  <c:v>177481.73935246983</c:v>
                </c:pt>
                <c:pt idx="7">
                  <c:v>207088.38056449647</c:v>
                </c:pt>
                <c:pt idx="8">
                  <c:v>236702.55072507978</c:v>
                </c:pt>
                <c:pt idx="9">
                  <c:v>266324.24983421981</c:v>
                </c:pt>
                <c:pt idx="10">
                  <c:v>295953.47789191647</c:v>
                </c:pt>
                <c:pt idx="11">
                  <c:v>325590.23489816982</c:v>
                </c:pt>
                <c:pt idx="12">
                  <c:v>355234.52085297985</c:v>
                </c:pt>
                <c:pt idx="13">
                  <c:v>384886.33575634653</c:v>
                </c:pt>
                <c:pt idx="14">
                  <c:v>414545.67960826989</c:v>
                </c:pt>
                <c:pt idx="15">
                  <c:v>444212.55240874994</c:v>
                </c:pt>
                <c:pt idx="16">
                  <c:v>473886.95415778668</c:v>
                </c:pt>
                <c:pt idx="17">
                  <c:v>503568.88485537999</c:v>
                </c:pt>
                <c:pt idx="18">
                  <c:v>533258.34450153005</c:v>
                </c:pt>
                <c:pt idx="19">
                  <c:v>562955.33309623681</c:v>
                </c:pt>
                <c:pt idx="20">
                  <c:v>592659.85063950031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JMTSample!$B$9</c:f>
              <c:numCache>
                <c:formatCode>"$"#,##0</c:formatCode>
                <c:ptCount val="1"/>
                <c:pt idx="0">
                  <c:v>12488348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JMTSample!$C$9</c:f>
              <c:numCache>
                <c:formatCode>"$"#,##0</c:formatCode>
                <c:ptCount val="1"/>
                <c:pt idx="0">
                  <c:v>18732522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JMTSample!$D$9</c:f>
              <c:numCache>
                <c:formatCode>"$"#,##0</c:formatCode>
                <c:ptCount val="1"/>
                <c:pt idx="0">
                  <c:v>18732522</c:v>
                </c:pt>
              </c:numCache>
            </c:numRef>
          </c:xVal>
          <c:yVal>
            <c:numRef>
              <c:f>JMTSample!$E$9</c:f>
              <c:numCache>
                <c:formatCode>#,##0</c:formatCode>
                <c:ptCount val="1"/>
                <c:pt idx="0">
                  <c:v>277175.40674512938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9454720"/>
        <c:axId val="349457024"/>
      </c:scatterChart>
      <c:valAx>
        <c:axId val="34945472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Janumet Sample Spend (in '000 $)</a:t>
                </a:r>
              </a:p>
            </c:rich>
          </c:tx>
          <c:layout/>
          <c:overlay val="0"/>
        </c:title>
        <c:numFmt formatCode="&quot;$&quot;#,##0" sourceLinked="1"/>
        <c:majorTickMark val="out"/>
        <c:minorTickMark val="none"/>
        <c:tickLblPos val="nextTo"/>
        <c:crossAx val="349457024"/>
        <c:crosses val="autoZero"/>
        <c:crossBetween val="midCat"/>
        <c:dispUnits>
          <c:builtInUnit val="thousands"/>
        </c:dispUnits>
      </c:valAx>
      <c:valAx>
        <c:axId val="3494570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layout/>
          <c:overlay val="0"/>
        </c:title>
        <c:numFmt formatCode="#,##0" sourceLinked="1"/>
        <c:majorTickMark val="out"/>
        <c:minorTickMark val="none"/>
        <c:tickLblPos val="nextTo"/>
        <c:crossAx val="349454720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TOTSample!$G$9</c:f>
              <c:numCache>
                <c:formatCode>"$"#,##0</c:formatCode>
                <c:ptCount val="1"/>
                <c:pt idx="0">
                  <c:v>21601934</c:v>
                </c:pt>
              </c:numCache>
            </c:numRef>
          </c:xVal>
          <c:yVal>
            <c:numRef>
              <c:f>TOTSample!$I$9</c:f>
              <c:numCache>
                <c:formatCode>#,##0</c:formatCode>
                <c:ptCount val="1"/>
                <c:pt idx="0">
                  <c:v>4641896.9426420452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TOTSample!$F$2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TOTSample!$A$23:$A$43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TOTSample!$C$23:$C$43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644000.83781159297</c:v>
                </c:pt>
                <c:pt idx="2">
                  <c:v>1288211.1218520165</c:v>
                </c:pt>
                <c:pt idx="3">
                  <c:v>1932630.8521212705</c:v>
                </c:pt>
                <c:pt idx="4">
                  <c:v>2577260.0286193546</c:v>
                </c:pt>
                <c:pt idx="5">
                  <c:v>3222098.6513462695</c:v>
                </c:pt>
                <c:pt idx="6">
                  <c:v>3867146.7203020151</c:v>
                </c:pt>
                <c:pt idx="7">
                  <c:v>4512404.2354865903</c:v>
                </c:pt>
                <c:pt idx="8">
                  <c:v>5157871.1968999971</c:v>
                </c:pt>
                <c:pt idx="9">
                  <c:v>5803547.604542234</c:v>
                </c:pt>
                <c:pt idx="10">
                  <c:v>6449433.458413301</c:v>
                </c:pt>
                <c:pt idx="11">
                  <c:v>7095528.7585131992</c:v>
                </c:pt>
                <c:pt idx="12">
                  <c:v>7741833.5048419265</c:v>
                </c:pt>
                <c:pt idx="13">
                  <c:v>8388347.6973994859</c:v>
                </c:pt>
                <c:pt idx="14">
                  <c:v>9035071.3361858744</c:v>
                </c:pt>
                <c:pt idx="15">
                  <c:v>9682004.421201095</c:v>
                </c:pt>
                <c:pt idx="16">
                  <c:v>10329146.952445144</c:v>
                </c:pt>
                <c:pt idx="17">
                  <c:v>10976498.929918025</c:v>
                </c:pt>
                <c:pt idx="18">
                  <c:v>11624060.353619734</c:v>
                </c:pt>
                <c:pt idx="19">
                  <c:v>12271831.223550277</c:v>
                </c:pt>
                <c:pt idx="20">
                  <c:v>12919811.539709648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TOTSample!$B$9</c:f>
              <c:numCache>
                <c:formatCode>"$"#,##0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TOTSample!$C$9</c:f>
              <c:numCache>
                <c:formatCode>"$"#,##0</c:formatCode>
                <c:ptCount val="1"/>
                <c:pt idx="0">
                  <c:v>50000000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TOTSample!$D$9</c:f>
              <c:numCache>
                <c:formatCode>"$"#,##0</c:formatCode>
                <c:ptCount val="1"/>
                <c:pt idx="0">
                  <c:v>21601934</c:v>
                </c:pt>
              </c:numCache>
            </c:numRef>
          </c:xVal>
          <c:yVal>
            <c:numRef>
              <c:f>TOTSample!$F$9</c:f>
              <c:numCache>
                <c:formatCode>#,##0</c:formatCode>
                <c:ptCount val="1"/>
                <c:pt idx="0">
                  <c:v>4641896.9426420452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9229824"/>
        <c:axId val="349232128"/>
      </c:scatterChart>
      <c:valAx>
        <c:axId val="34922982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349232128"/>
        <c:crosses val="autoZero"/>
        <c:crossBetween val="midCat"/>
        <c:dispUnits>
          <c:builtInUnit val="thousands"/>
        </c:dispUnits>
      </c:valAx>
      <c:valAx>
        <c:axId val="3492321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49229824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Incr. NRx 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TOTSample!$G$9</c:f>
              <c:numCache>
                <c:formatCode>"$"#,##0</c:formatCode>
                <c:ptCount val="1"/>
                <c:pt idx="0">
                  <c:v>21601934</c:v>
                </c:pt>
              </c:numCache>
            </c:numRef>
          </c:xVal>
          <c:yVal>
            <c:numRef>
              <c:f>TOTSample!$H$9</c:f>
              <c:numCache>
                <c:formatCode>#,##0</c:formatCode>
                <c:ptCount val="1"/>
                <c:pt idx="0">
                  <c:v>402592.96987355122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TOTSample!$D$3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TOTSample!$A$23:$A$43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TOTSample!$B$23:$B$43</c:f>
              <c:numCache>
                <c:formatCode>#,##0</c:formatCode>
                <c:ptCount val="21"/>
                <c:pt idx="0">
                  <c:v>0</c:v>
                </c:pt>
                <c:pt idx="1">
                  <c:v>55854.365811933487</c:v>
                </c:pt>
                <c:pt idx="2">
                  <c:v>111726.89695160596</c:v>
                </c:pt>
                <c:pt idx="3">
                  <c:v>167617.59341901742</c:v>
                </c:pt>
                <c:pt idx="4">
                  <c:v>223526.45521416783</c:v>
                </c:pt>
                <c:pt idx="5">
                  <c:v>279453.48233705724</c:v>
                </c:pt>
                <c:pt idx="6">
                  <c:v>335398.67478768562</c:v>
                </c:pt>
                <c:pt idx="7">
                  <c:v>391362.03256605304</c:v>
                </c:pt>
                <c:pt idx="8">
                  <c:v>447343.55567215936</c:v>
                </c:pt>
                <c:pt idx="9">
                  <c:v>503343.24410600471</c:v>
                </c:pt>
                <c:pt idx="10">
                  <c:v>559361.09786758909</c:v>
                </c:pt>
                <c:pt idx="11">
                  <c:v>615397.11695691233</c:v>
                </c:pt>
                <c:pt idx="12">
                  <c:v>671451.30137397465</c:v>
                </c:pt>
                <c:pt idx="13">
                  <c:v>727523.65111877583</c:v>
                </c:pt>
                <c:pt idx="14">
                  <c:v>783614.16619131609</c:v>
                </c:pt>
                <c:pt idx="15">
                  <c:v>839722.84659159533</c:v>
                </c:pt>
                <c:pt idx="16">
                  <c:v>895849.69231961353</c:v>
                </c:pt>
                <c:pt idx="17">
                  <c:v>951994.70337537082</c:v>
                </c:pt>
                <c:pt idx="18">
                  <c:v>1008157.879758867</c:v>
                </c:pt>
                <c:pt idx="19">
                  <c:v>1064339.2214701022</c:v>
                </c:pt>
                <c:pt idx="20">
                  <c:v>1120538.7285090764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TOTSample!$B$9</c:f>
              <c:numCache>
                <c:formatCode>"$"#,##0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TOTSample!$C$9</c:f>
              <c:numCache>
                <c:formatCode>"$"#,##0</c:formatCode>
                <c:ptCount val="1"/>
                <c:pt idx="0">
                  <c:v>50000000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TOTSample!$D$9</c:f>
              <c:numCache>
                <c:formatCode>"$"#,##0</c:formatCode>
                <c:ptCount val="1"/>
                <c:pt idx="0">
                  <c:v>21601934</c:v>
                </c:pt>
              </c:numCache>
            </c:numRef>
          </c:xVal>
          <c:yVal>
            <c:numRef>
              <c:f>TOTSample!$E$9</c:f>
              <c:numCache>
                <c:formatCode>#,##0</c:formatCode>
                <c:ptCount val="1"/>
                <c:pt idx="0">
                  <c:v>402592.96987355122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9426048"/>
        <c:axId val="349428352"/>
      </c:scatterChart>
      <c:valAx>
        <c:axId val="34942604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349428352"/>
        <c:crosses val="autoZero"/>
        <c:crossBetween val="midCat"/>
        <c:dispUnits>
          <c:builtInUnit val="thousands"/>
        </c:dispUnits>
      </c:valAx>
      <c:valAx>
        <c:axId val="3494283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49426048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Voucher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JJVCH!$I$9</c:f>
              <c:numCache>
                <c:formatCode>#,##0</c:formatCode>
                <c:ptCount val="1"/>
                <c:pt idx="0">
                  <c:v>150560.70106149331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JJVCH!$F$2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JJVCH!$C$23:$C$43</c:f>
              <c:numCache>
                <c:formatCode>#,##0</c:formatCode>
                <c:ptCount val="21"/>
                <c:pt idx="0">
                  <c:v>0</c:v>
                </c:pt>
                <c:pt idx="1">
                  <c:v>19785.409492227558</c:v>
                </c:pt>
                <c:pt idx="2">
                  <c:v>39571.016739094761</c:v>
                </c:pt>
                <c:pt idx="3">
                  <c:v>59356.821740601605</c:v>
                </c:pt>
                <c:pt idx="4">
                  <c:v>79142.824496748101</c:v>
                </c:pt>
                <c:pt idx="5">
                  <c:v>98929.025007534234</c:v>
                </c:pt>
                <c:pt idx="6">
                  <c:v>118715.42327296002</c:v>
                </c:pt>
                <c:pt idx="7">
                  <c:v>138502.01929302546</c:v>
                </c:pt>
                <c:pt idx="8">
                  <c:v>158288.81306773052</c:v>
                </c:pt>
                <c:pt idx="9">
                  <c:v>178075.80459707524</c:v>
                </c:pt>
                <c:pt idx="10">
                  <c:v>197862.99388105958</c:v>
                </c:pt>
                <c:pt idx="11">
                  <c:v>217650.38091968361</c:v>
                </c:pt>
                <c:pt idx="12">
                  <c:v>237437.96571294725</c:v>
                </c:pt>
                <c:pt idx="13">
                  <c:v>257225.74826085052</c:v>
                </c:pt>
                <c:pt idx="14">
                  <c:v>277013.72856339347</c:v>
                </c:pt>
                <c:pt idx="15">
                  <c:v>296801.9066205761</c:v>
                </c:pt>
                <c:pt idx="16">
                  <c:v>316590.28243239829</c:v>
                </c:pt>
                <c:pt idx="17">
                  <c:v>336378.85599886021</c:v>
                </c:pt>
                <c:pt idx="18">
                  <c:v>356167.62731996167</c:v>
                </c:pt>
                <c:pt idx="19">
                  <c:v>375956.59639570286</c:v>
                </c:pt>
                <c:pt idx="20">
                  <c:v>395745.76322608365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JJVCH!$B$9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JJVCH!$C$9</c:f>
              <c:numCache>
                <c:formatCode>"$"#,##0</c:formatCode>
                <c:ptCount val="1"/>
                <c:pt idx="0">
                  <c:v>4565659.2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JJVCH!$D$9</c:f>
              <c:numCache>
                <c:formatCode>"$"#,##0</c:formatCode>
                <c:ptCount val="1"/>
                <c:pt idx="0">
                  <c:v>4565659.2</c:v>
                </c:pt>
              </c:numCache>
            </c:numRef>
          </c:xVal>
          <c:yVal>
            <c:numRef>
              <c:f>JJVCH!$F$9</c:f>
              <c:numCache>
                <c:formatCode>#,##0</c:formatCode>
                <c:ptCount val="1"/>
                <c:pt idx="0">
                  <c:v>180674.2153550259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9569792"/>
        <c:axId val="349572096"/>
      </c:scatterChart>
      <c:valAx>
        <c:axId val="34956979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Voucher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349572096"/>
        <c:crosses val="autoZero"/>
        <c:crossBetween val="midCat"/>
        <c:dispUnits>
          <c:builtInUnit val="thousands"/>
        </c:dispUnits>
      </c:valAx>
      <c:valAx>
        <c:axId val="3495720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49569792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Incr. NRx from Voucher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JJVCH!$H$9</c:f>
              <c:numCache>
                <c:formatCode>#,##0</c:formatCode>
                <c:ptCount val="1"/>
                <c:pt idx="0">
                  <c:v>13058.170083390574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JJVCH!$D$3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JJVCH!$B$23:$B$43</c:f>
              <c:numCache>
                <c:formatCode>#,##0</c:formatCode>
                <c:ptCount val="21"/>
                <c:pt idx="0">
                  <c:v>0</c:v>
                </c:pt>
                <c:pt idx="1">
                  <c:v>1715.9938848419392</c:v>
                </c:pt>
                <c:pt idx="2">
                  <c:v>3432.0049209969438</c:v>
                </c:pt>
                <c:pt idx="3">
                  <c:v>5148.0331084650143</c:v>
                </c:pt>
                <c:pt idx="4">
                  <c:v>6864.0784472461501</c:v>
                </c:pt>
                <c:pt idx="5">
                  <c:v>8580.1409373403512</c:v>
                </c:pt>
                <c:pt idx="6">
                  <c:v>10296.220578747618</c:v>
                </c:pt>
                <c:pt idx="7">
                  <c:v>12012.317371467951</c:v>
                </c:pt>
                <c:pt idx="8">
                  <c:v>13728.431315501346</c:v>
                </c:pt>
                <c:pt idx="9">
                  <c:v>15444.562410847811</c:v>
                </c:pt>
                <c:pt idx="10">
                  <c:v>17160.710657507341</c:v>
                </c:pt>
                <c:pt idx="11">
                  <c:v>18876.876055479934</c:v>
                </c:pt>
                <c:pt idx="12">
                  <c:v>20593.058604765592</c:v>
                </c:pt>
                <c:pt idx="13">
                  <c:v>22309.258305364314</c:v>
                </c:pt>
                <c:pt idx="14">
                  <c:v>24025.475157276109</c:v>
                </c:pt>
                <c:pt idx="15">
                  <c:v>25741.709160500963</c:v>
                </c:pt>
                <c:pt idx="16">
                  <c:v>27457.960315038883</c:v>
                </c:pt>
                <c:pt idx="17">
                  <c:v>29174.228620889873</c:v>
                </c:pt>
                <c:pt idx="18">
                  <c:v>30890.514078053922</c:v>
                </c:pt>
                <c:pt idx="19">
                  <c:v>32606.816686531038</c:v>
                </c:pt>
                <c:pt idx="20">
                  <c:v>34323.136446321223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JJVCH!$B$9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JJVCH!$C$9</c:f>
              <c:numCache>
                <c:formatCode>"$"#,##0</c:formatCode>
                <c:ptCount val="1"/>
                <c:pt idx="0">
                  <c:v>4565659.2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JJVCH!$D$9</c:f>
              <c:numCache>
                <c:formatCode>"$"#,##0</c:formatCode>
                <c:ptCount val="1"/>
                <c:pt idx="0">
                  <c:v>4565659.2</c:v>
                </c:pt>
              </c:numCache>
            </c:numRef>
          </c:xVal>
          <c:yVal>
            <c:numRef>
              <c:f>JJVCH!$E$9</c:f>
              <c:numCache>
                <c:formatCode>#,##0</c:formatCode>
                <c:ptCount val="1"/>
                <c:pt idx="0">
                  <c:v>15669.92327450355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9704576"/>
        <c:axId val="349706880"/>
      </c:scatterChart>
      <c:valAx>
        <c:axId val="34970457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Voucher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349706880"/>
        <c:crosses val="autoZero"/>
        <c:crossBetween val="midCat"/>
        <c:dispUnits>
          <c:builtInUnit val="thousands"/>
        </c:dispUnits>
      </c:valAx>
      <c:valAx>
        <c:axId val="3497068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49704576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 b="1" i="0" baseline="0">
                <a:effectLst/>
              </a:rPr>
              <a:t>Januvia Family: Estimated </a:t>
            </a:r>
            <a:r>
              <a:rPr lang="en-US" sz="1200" b="1" i="0" baseline="0">
                <a:solidFill>
                  <a:srgbClr val="0000FF"/>
                </a:solidFill>
                <a:effectLst/>
              </a:rPr>
              <a:t>Incr. TRx</a:t>
            </a:r>
            <a:r>
              <a:rPr lang="en-US" sz="1200" b="1" i="0" baseline="0">
                <a:effectLst/>
              </a:rPr>
              <a:t> from MMF Spend</a:t>
            </a:r>
            <a:endParaRPr lang="en-US" sz="1200">
              <a:effectLst/>
            </a:endParaRP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JJMMF!$I$9</c:f>
              <c:numCache>
                <c:formatCode>#,##0</c:formatCode>
                <c:ptCount val="1"/>
                <c:pt idx="0">
                  <c:v>25689.160192131658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JJMMF!$D$3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JJMMF!$C$30:$C$50</c:f>
              <c:numCache>
                <c:formatCode>#,##0</c:formatCode>
                <c:ptCount val="21"/>
                <c:pt idx="0">
                  <c:v>0</c:v>
                </c:pt>
                <c:pt idx="1">
                  <c:v>7258.8833029338202</c:v>
                </c:pt>
                <c:pt idx="2">
                  <c:v>13753.272832178851</c:v>
                </c:pt>
                <c:pt idx="3">
                  <c:v>19089.210151644824</c:v>
                </c:pt>
                <c:pt idx="4">
                  <c:v>23750.8035692349</c:v>
                </c:pt>
                <c:pt idx="5">
                  <c:v>28014.517917379791</c:v>
                </c:pt>
                <c:pt idx="6">
                  <c:v>31614.120163643827</c:v>
                </c:pt>
                <c:pt idx="7">
                  <c:v>34547.404669785858</c:v>
                </c:pt>
                <c:pt idx="8">
                  <c:v>37088.288548851007</c:v>
                </c:pt>
                <c:pt idx="9">
                  <c:v>39354.905170586644</c:v>
                </c:pt>
                <c:pt idx="10">
                  <c:v>41368.841130976209</c:v>
                </c:pt>
                <c:pt idx="11">
                  <c:v>43150.504674076452</c:v>
                </c:pt>
                <c:pt idx="12">
                  <c:v>44720.119604641892</c:v>
                </c:pt>
                <c:pt idx="13">
                  <c:v>46097.293990550279</c:v>
                </c:pt>
                <c:pt idx="14">
                  <c:v>47301.507562133454</c:v>
                </c:pt>
                <c:pt idx="15">
                  <c:v>48352.240049723267</c:v>
                </c:pt>
                <c:pt idx="16">
                  <c:v>49268.971183651505</c:v>
                </c:pt>
                <c:pt idx="17">
                  <c:v>50071.180694250041</c:v>
                </c:pt>
                <c:pt idx="18">
                  <c:v>50778.348311850685</c:v>
                </c:pt>
                <c:pt idx="19">
                  <c:v>51409.953766785278</c:v>
                </c:pt>
                <c:pt idx="20">
                  <c:v>51985.476789385641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JJMMF!$B$9</c:f>
              <c:numCache>
                <c:formatCode>"$"#,##0</c:formatCode>
                <c:ptCount val="1"/>
                <c:pt idx="0">
                  <c:v>3552000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JJMMF!$C$9</c:f>
              <c:numCache>
                <c:formatCode>"$"#,##0</c:formatCode>
                <c:ptCount val="1"/>
                <c:pt idx="0">
                  <c:v>5328000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JJMMF!$D$9</c:f>
              <c:numCache>
                <c:formatCode>"$"#,##0</c:formatCode>
                <c:ptCount val="1"/>
                <c:pt idx="0">
                  <c:v>4107540.0292513319</c:v>
                </c:pt>
              </c:numCache>
            </c:numRef>
          </c:xVal>
          <c:yVal>
            <c:numRef>
              <c:f>JJMMF!$F$9</c:f>
              <c:numCache>
                <c:formatCode>#,##0</c:formatCode>
                <c:ptCount val="1"/>
                <c:pt idx="0">
                  <c:v>24231.818614525357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9807360"/>
        <c:axId val="349809664"/>
      </c:scatterChart>
      <c:valAx>
        <c:axId val="34980736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MMF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349809664"/>
        <c:crosses val="autoZero"/>
        <c:crossBetween val="midCat"/>
        <c:dispUnits>
          <c:builtInUnit val="thousands"/>
        </c:dispUnits>
      </c:valAx>
      <c:valAx>
        <c:axId val="3498096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49807360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 b="1" i="0" baseline="0">
                <a:effectLst/>
              </a:rPr>
              <a:t>Januvia Family: Estimated Incr. NRx from MMF Spend</a:t>
            </a:r>
            <a:endParaRPr lang="en-US" sz="1200">
              <a:effectLst/>
            </a:endParaRP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JJMMF!$H$9</c:f>
              <c:numCache>
                <c:formatCode>#,##0</c:formatCode>
                <c:ptCount val="1"/>
                <c:pt idx="0">
                  <c:v>2228.0277703496668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JJMMF!$D$3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JJMMF!$B$30:$B$50</c:f>
              <c:numCache>
                <c:formatCode>#,##0</c:formatCode>
                <c:ptCount val="21"/>
                <c:pt idx="0">
                  <c:v>0</c:v>
                </c:pt>
                <c:pt idx="1">
                  <c:v>629.56490051464186</c:v>
                </c:pt>
                <c:pt idx="2">
                  <c:v>1192.8250504925284</c:v>
                </c:pt>
                <c:pt idx="3">
                  <c:v>1655.6123288503752</c:v>
                </c:pt>
                <c:pt idx="4">
                  <c:v>2059.9135792918387</c:v>
                </c:pt>
                <c:pt idx="5">
                  <c:v>2429.7066710650297</c:v>
                </c:pt>
                <c:pt idx="6">
                  <c:v>2741.9011416863686</c:v>
                </c:pt>
                <c:pt idx="7">
                  <c:v>2996.3056955581837</c:v>
                </c:pt>
                <c:pt idx="8">
                  <c:v>3216.6772375412847</c:v>
                </c:pt>
                <c:pt idx="9">
                  <c:v>3413.2615065556502</c:v>
                </c:pt>
                <c:pt idx="10">
                  <c:v>3587.9307138747795</c:v>
                </c:pt>
                <c:pt idx="11">
                  <c:v>3742.4548719927543</c:v>
                </c:pt>
                <c:pt idx="12">
                  <c:v>3878.5879969333819</c:v>
                </c:pt>
                <c:pt idx="13">
                  <c:v>3998.0307016956012</c:v>
                </c:pt>
                <c:pt idx="14">
                  <c:v>4102.4724685284873</c:v>
                </c:pt>
                <c:pt idx="15">
                  <c:v>4193.6027796811159</c:v>
                </c:pt>
                <c:pt idx="16">
                  <c:v>4273.1111174025591</c:v>
                </c:pt>
                <c:pt idx="17">
                  <c:v>4342.6869639418946</c:v>
                </c:pt>
                <c:pt idx="18">
                  <c:v>4404.0198015481947</c:v>
                </c:pt>
                <c:pt idx="19">
                  <c:v>4458.7991124705359</c:v>
                </c:pt>
                <c:pt idx="20">
                  <c:v>4508.7143789579914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JJMMF!$B$9</c:f>
              <c:numCache>
                <c:formatCode>"$"#,##0</c:formatCode>
                <c:ptCount val="1"/>
                <c:pt idx="0">
                  <c:v>3552000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JJMMF!$C$9</c:f>
              <c:numCache>
                <c:formatCode>"$"#,##0</c:formatCode>
                <c:ptCount val="1"/>
                <c:pt idx="0">
                  <c:v>5328000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JJMMF!$D$9</c:f>
              <c:numCache>
                <c:formatCode>"$"#,##0</c:formatCode>
                <c:ptCount val="1"/>
                <c:pt idx="0">
                  <c:v>4107540.0292513319</c:v>
                </c:pt>
              </c:numCache>
            </c:numRef>
          </c:xVal>
          <c:yVal>
            <c:numRef>
              <c:f>JJMMF!$E$9</c:f>
              <c:numCache>
                <c:formatCode>#,##0</c:formatCode>
                <c:ptCount val="1"/>
                <c:pt idx="0">
                  <c:v>2101.6321434974293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9884800"/>
        <c:axId val="349887104"/>
      </c:scatterChart>
      <c:valAx>
        <c:axId val="34988480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MMF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349887104"/>
        <c:crosses val="autoZero"/>
        <c:crossBetween val="midCat"/>
        <c:dispUnits>
          <c:builtInUnit val="thousands"/>
        </c:dispUnits>
      </c:valAx>
      <c:valAx>
        <c:axId val="3498871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49884800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HCC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JJHCC!$I$9</c:f>
              <c:numCache>
                <c:formatCode>#,##0</c:formatCode>
                <c:ptCount val="1"/>
                <c:pt idx="0">
                  <c:v>1595892.0143603629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JJHCC!$C$22:$C$42</c:f>
              <c:numCache>
                <c:formatCode>#,##0</c:formatCode>
                <c:ptCount val="21"/>
                <c:pt idx="0">
                  <c:v>0</c:v>
                </c:pt>
                <c:pt idx="1">
                  <c:v>235071.42459140636</c:v>
                </c:pt>
                <c:pt idx="2">
                  <c:v>461742.9208223247</c:v>
                </c:pt>
                <c:pt idx="3">
                  <c:v>680245.96913645486</c:v>
                </c:pt>
                <c:pt idx="4">
                  <c:v>890811.1333111953</c:v>
                </c:pt>
                <c:pt idx="5">
                  <c:v>1093667.5546168792</c:v>
                </c:pt>
                <c:pt idx="6">
                  <c:v>1289042.4912357426</c:v>
                </c:pt>
                <c:pt idx="7">
                  <c:v>1477160.9011068591</c:v>
                </c:pt>
                <c:pt idx="8">
                  <c:v>1658245.0662689006</c:v>
                </c:pt>
                <c:pt idx="9">
                  <c:v>1832514.2567040266</c:v>
                </c:pt>
                <c:pt idx="10">
                  <c:v>2000184.4316435801</c:v>
                </c:pt>
                <c:pt idx="11">
                  <c:v>2161467.9762732317</c:v>
                </c:pt>
                <c:pt idx="12">
                  <c:v>2316573.4717730633</c:v>
                </c:pt>
                <c:pt idx="13">
                  <c:v>2465705.4966413723</c:v>
                </c:pt>
                <c:pt idx="14">
                  <c:v>2609064.4572786754</c:v>
                </c:pt>
                <c:pt idx="15">
                  <c:v>2746846.4458489963</c:v>
                </c:pt>
                <c:pt idx="16">
                  <c:v>2879243.1234853519</c:v>
                </c:pt>
                <c:pt idx="17">
                  <c:v>3006441.6269650906</c:v>
                </c:pt>
                <c:pt idx="18">
                  <c:v>3128624.4970466923</c:v>
                </c:pt>
                <c:pt idx="19">
                  <c:v>3245969.6267294786</c:v>
                </c:pt>
                <c:pt idx="20">
                  <c:v>3358650.2277734168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JJHCC!$B$9</c:f>
              <c:numCache>
                <c:formatCode>_("$"* #,##0_);_("$"* \(#,##0\);_("$"* "-"??_);_(@_)</c:formatCode>
                <c:ptCount val="1"/>
                <c:pt idx="0">
                  <c:v>18363200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JJHCC!$C$9</c:f>
              <c:numCache>
                <c:formatCode>_("$"* #,##0_);_("$"* \(#,##0\);_("$"* "-"??_);_(@_)</c:formatCode>
                <c:ptCount val="1"/>
                <c:pt idx="0">
                  <c:v>27544800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27544800</c:v>
                </c:pt>
              </c:numCache>
            </c:numRef>
          </c:xVal>
          <c:yVal>
            <c:numRef>
              <c:f>JJHCC!$F$9</c:f>
              <c:numCache>
                <c:formatCode>#,##0</c:formatCode>
                <c:ptCount val="1"/>
                <c:pt idx="0">
                  <c:v>1863447.2728889734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0044160"/>
        <c:axId val="350046464"/>
      </c:scatterChart>
      <c:valAx>
        <c:axId val="35004416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350046464"/>
        <c:crosses val="autoZero"/>
        <c:crossBetween val="midCat"/>
        <c:dispUnits>
          <c:builtInUnit val="thousands"/>
        </c:dispUnits>
      </c:valAx>
      <c:valAx>
        <c:axId val="3500464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50044160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Incr. NRx from HCC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JJHCC!$H$9</c:f>
              <c:numCache>
                <c:formatCode>#,##0</c:formatCode>
                <c:ptCount val="1"/>
                <c:pt idx="0">
                  <c:v>138412.14348311909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JJHCC!$B$22:$B$42</c:f>
              <c:numCache>
                <c:formatCode>#,##0</c:formatCode>
                <c:ptCount val="21"/>
                <c:pt idx="0">
                  <c:v>0</c:v>
                </c:pt>
                <c:pt idx="1">
                  <c:v>20387.807857017033</c:v>
                </c:pt>
                <c:pt idx="2">
                  <c:v>40047.087668891996</c:v>
                </c:pt>
                <c:pt idx="3">
                  <c:v>58997.915796743706</c:v>
                </c:pt>
                <c:pt idx="4">
                  <c:v>77260.28909897618</c:v>
                </c:pt>
                <c:pt idx="5">
                  <c:v>94854.081059573218</c:v>
                </c:pt>
                <c:pt idx="6">
                  <c:v>111799.00184178166</c:v>
                </c:pt>
                <c:pt idx="7">
                  <c:v>128114.56210814044</c:v>
                </c:pt>
                <c:pt idx="8">
                  <c:v>143820.04043962713</c:v>
                </c:pt>
                <c:pt idx="9">
                  <c:v>158934.4541807482</c:v>
                </c:pt>
                <c:pt idx="10">
                  <c:v>173476.53353370167</c:v>
                </c:pt>
                <c:pt idx="11">
                  <c:v>187464.69872274343</c:v>
                </c:pt>
                <c:pt idx="12">
                  <c:v>200917.04004970193</c:v>
                </c:pt>
                <c:pt idx="13">
                  <c:v>213851.30066273827</c:v>
                </c:pt>
                <c:pt idx="14">
                  <c:v>226284.86186285131</c:v>
                </c:pt>
                <c:pt idx="15">
                  <c:v>238234.73077614885</c:v>
                </c:pt>
                <c:pt idx="16">
                  <c:v>249717.53022422828</c:v>
                </c:pt>
                <c:pt idx="17">
                  <c:v>260749.49063010328</c:v>
                </c:pt>
                <c:pt idx="18">
                  <c:v>271346.44380283542</c:v>
                </c:pt>
                <c:pt idx="19">
                  <c:v>281523.81845008489</c:v>
                </c:pt>
                <c:pt idx="20">
                  <c:v>291296.63727436401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JJHCC!$B$9</c:f>
              <c:numCache>
                <c:formatCode>_("$"* #,##0_);_("$"* \(#,##0\);_("$"* "-"??_);_(@_)</c:formatCode>
                <c:ptCount val="1"/>
                <c:pt idx="0">
                  <c:v>18363200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JJHCC!$C$9</c:f>
              <c:numCache>
                <c:formatCode>_("$"* #,##0_);_("$"* \(#,##0\);_("$"* "-"??_);_(@_)</c:formatCode>
                <c:ptCount val="1"/>
                <c:pt idx="0">
                  <c:v>27544800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27544800</c:v>
                </c:pt>
              </c:numCache>
            </c:numRef>
          </c:xVal>
          <c:yVal>
            <c:numRef>
              <c:f>JJHCC!$E$9</c:f>
              <c:numCache>
                <c:formatCode>#,##0</c:formatCode>
                <c:ptCount val="1"/>
                <c:pt idx="0">
                  <c:v>161617.28299123794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0088576"/>
        <c:axId val="350107520"/>
      </c:scatterChart>
      <c:valAx>
        <c:axId val="35008857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350107520"/>
        <c:crosses val="autoZero"/>
        <c:crossBetween val="midCat"/>
        <c:dispUnits>
          <c:builtInUnit val="thousands"/>
        </c:dispUnits>
      </c:valAx>
      <c:valAx>
        <c:axId val="3501075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50088576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MCM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JJMCM!$I$9</c:f>
              <c:numCache>
                <c:formatCode>#,##0</c:formatCode>
                <c:ptCount val="1"/>
                <c:pt idx="0">
                  <c:v>378283.24113526288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JJMCM!$F$2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JJMCM!$C$22:$C$42</c:f>
              <c:numCache>
                <c:formatCode>#,##0</c:formatCode>
                <c:ptCount val="21"/>
                <c:pt idx="0">
                  <c:v>0</c:v>
                </c:pt>
                <c:pt idx="1">
                  <c:v>79507.11028868884</c:v>
                </c:pt>
                <c:pt idx="2">
                  <c:v>155573.41787305035</c:v>
                </c:pt>
                <c:pt idx="3">
                  <c:v>228339.32048574736</c:v>
                </c:pt>
                <c:pt idx="4">
                  <c:v>297940.23231110803</c:v>
                </c:pt>
                <c:pt idx="5">
                  <c:v>364506.69405063009</c:v>
                </c:pt>
                <c:pt idx="6">
                  <c:v>428164.48713928397</c:v>
                </c:pt>
                <c:pt idx="7">
                  <c:v>489034.75126725488</c:v>
                </c:pt>
                <c:pt idx="8">
                  <c:v>547234.10443962505</c:v>
                </c:pt>
                <c:pt idx="9">
                  <c:v>602874.76487850724</c:v>
                </c:pt>
                <c:pt idx="10">
                  <c:v>656064.6741417466</c:v>
                </c:pt>
                <c:pt idx="11">
                  <c:v>706907.62089403975</c:v>
                </c:pt>
                <c:pt idx="12">
                  <c:v>755503.36482708924</c:v>
                </c:pt>
                <c:pt idx="13">
                  <c:v>801947.76027903578</c:v>
                </c:pt>
                <c:pt idx="14">
                  <c:v>846332.8791548044</c:v>
                </c:pt>
                <c:pt idx="15">
                  <c:v>888747.13279554097</c:v>
                </c:pt>
                <c:pt idx="16">
                  <c:v>929275.39248845901</c:v>
                </c:pt>
                <c:pt idx="17">
                  <c:v>967999.10834809521</c:v>
                </c:pt>
                <c:pt idx="18">
                  <c:v>1004996.4263360974</c:v>
                </c:pt>
                <c:pt idx="19">
                  <c:v>1040342.3032200276</c:v>
                </c:pt>
                <c:pt idx="20">
                  <c:v>1074108.6193015403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JJMCM!$B$9</c:f>
              <c:numCache>
                <c:formatCode>_("$"* #,##0_);_("$"* \(#,##0\);_("$"* "-"??_);_(@_)</c:formatCode>
                <c:ptCount val="1"/>
                <c:pt idx="0">
                  <c:v>6255187.2000000002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JJMCM!$C$9</c:f>
              <c:numCache>
                <c:formatCode>_("$"* #,##0_);_("$"* \(#,##0\);_("$"* "-"??_);_(@_)</c:formatCode>
                <c:ptCount val="1"/>
                <c:pt idx="0">
                  <c:v>9382780.7999999989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9382780.7999999989</c:v>
                </c:pt>
              </c:numCache>
            </c:numRef>
          </c:xVal>
          <c:yVal>
            <c:numRef>
              <c:f>JJMCM!$F$9</c:f>
              <c:numCache>
                <c:formatCode>#,##0</c:formatCode>
                <c:ptCount val="1"/>
                <c:pt idx="0">
                  <c:v>443957.99322214938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0178688"/>
        <c:axId val="350197632"/>
      </c:scatterChart>
      <c:valAx>
        <c:axId val="35017868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MCM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350197632"/>
        <c:crosses val="autoZero"/>
        <c:crossBetween val="midCat"/>
        <c:dispUnits>
          <c:builtInUnit val="thousands"/>
        </c:dispUnits>
      </c:valAx>
      <c:valAx>
        <c:axId val="3501976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50178688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Incr. NRx from MCM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JJMCM!$H$9</c:f>
              <c:numCache>
                <c:formatCode>#,##0</c:formatCode>
                <c:ptCount val="1"/>
                <c:pt idx="0">
                  <c:v>32808.607210343704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JJMCM!$D$3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JJMCM!$B$22:$B$42</c:f>
              <c:numCache>
                <c:formatCode>#,##0</c:formatCode>
                <c:ptCount val="21"/>
                <c:pt idx="0">
                  <c:v>0</c:v>
                </c:pt>
                <c:pt idx="1">
                  <c:v>6895.6730519244447</c:v>
                </c:pt>
                <c:pt idx="2">
                  <c:v>13492.924360195175</c:v>
                </c:pt>
                <c:pt idx="3">
                  <c:v>19803.930657913908</c:v>
                </c:pt>
                <c:pt idx="4">
                  <c:v>25840.436453695409</c:v>
                </c:pt>
                <c:pt idx="5">
                  <c:v>31613.763577678241</c:v>
                </c:pt>
                <c:pt idx="6">
                  <c:v>37134.821087535471</c:v>
                </c:pt>
                <c:pt idx="7">
                  <c:v>42414.115461166948</c:v>
                </c:pt>
                <c:pt idx="8">
                  <c:v>47461.761009507813</c:v>
                </c:pt>
                <c:pt idx="9">
                  <c:v>52287.490449133329</c:v>
                </c:pt>
                <c:pt idx="10">
                  <c:v>56900.665580376983</c:v>
                </c:pt>
                <c:pt idx="11">
                  <c:v>61310.288022032939</c:v>
                </c:pt>
                <c:pt idx="12">
                  <c:v>65525.00995898433</c:v>
                </c:pt>
                <c:pt idx="13">
                  <c:v>69553.144863749854</c:v>
                </c:pt>
                <c:pt idx="14">
                  <c:v>73402.678157398477</c:v>
                </c:pt>
                <c:pt idx="15">
                  <c:v>77081.277779318392</c:v>
                </c:pt>
                <c:pt idx="16">
                  <c:v>80596.304639068432</c:v>
                </c:pt>
                <c:pt idx="17">
                  <c:v>83954.822926981375</c:v>
                </c:pt>
                <c:pt idx="18">
                  <c:v>87163.610263321549</c:v>
                </c:pt>
                <c:pt idx="19">
                  <c:v>90229.167668692768</c:v>
                </c:pt>
                <c:pt idx="20">
                  <c:v>93157.729340983555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JJMCM!$B$9</c:f>
              <c:numCache>
                <c:formatCode>_("$"* #,##0_);_("$"* \(#,##0\);_("$"* "-"??_);_(@_)</c:formatCode>
                <c:ptCount val="1"/>
                <c:pt idx="0">
                  <c:v>6255187.2000000002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JJMCM!$C$9</c:f>
              <c:numCache>
                <c:formatCode>_("$"* #,##0_);_("$"* \(#,##0\);_("$"* "-"??_);_(@_)</c:formatCode>
                <c:ptCount val="1"/>
                <c:pt idx="0">
                  <c:v>9382780.7999999989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9382780.7999999989</c:v>
                </c:pt>
              </c:numCache>
            </c:numRef>
          </c:xVal>
          <c:yVal>
            <c:numRef>
              <c:f>JJMCM!$E$9</c:f>
              <c:numCache>
                <c:formatCode>#,##0</c:formatCode>
                <c:ptCount val="1"/>
                <c:pt idx="0">
                  <c:v>38504.59611640498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0256128"/>
        <c:axId val="350275072"/>
      </c:scatterChart>
      <c:valAx>
        <c:axId val="35025612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MCM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350275072"/>
        <c:crosses val="autoZero"/>
        <c:crossBetween val="midCat"/>
        <c:dispUnits>
          <c:builtInUnit val="thousands"/>
        </c:dispUnits>
      </c:valAx>
      <c:valAx>
        <c:axId val="3502750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50256128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HCC Pharmacy Acquisition</a:t>
            </a:r>
            <a:r>
              <a:rPr lang="en-US" sz="1200" baseline="0"/>
              <a:t> </a:t>
            </a:r>
            <a:r>
              <a:rPr lang="en-US" sz="1200"/>
              <a:t>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4782666</c:v>
                </c:pt>
              </c:numCache>
            </c:numRef>
          </c:xVal>
          <c:yVal>
            <c:numRef>
              <c:f>JJHCC_ACQ!$I$9</c:f>
              <c:numCache>
                <c:formatCode>#,##0</c:formatCode>
                <c:ptCount val="1"/>
                <c:pt idx="0">
                  <c:v>91344.414528190871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JJHCC_ACQ!$F$2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JJHCC_ACQ!$C$22:$C$42</c:f>
              <c:numCache>
                <c:formatCode>#,##0</c:formatCode>
                <c:ptCount val="21"/>
                <c:pt idx="0">
                  <c:v>0</c:v>
                </c:pt>
                <c:pt idx="1">
                  <c:v>19694.374199160717</c:v>
                </c:pt>
                <c:pt idx="2">
                  <c:v>39069.406487308843</c:v>
                </c:pt>
                <c:pt idx="3">
                  <c:v>58130.06781013259</c:v>
                </c:pt>
                <c:pt idx="4">
                  <c:v>76881.258540774928</c:v>
                </c:pt>
                <c:pt idx="5">
                  <c:v>95327.809255052722</c:v>
                </c:pt>
                <c:pt idx="6">
                  <c:v>113474.48150603171</c:v>
                </c:pt>
                <c:pt idx="7">
                  <c:v>131325.9685978927</c:v>
                </c:pt>
                <c:pt idx="8">
                  <c:v>148886.89635834811</c:v>
                </c:pt>
                <c:pt idx="9">
                  <c:v>166161.82390978068</c:v>
                </c:pt>
                <c:pt idx="10">
                  <c:v>183155.24443830978</c:v>
                </c:pt>
                <c:pt idx="11">
                  <c:v>199871.58596087093</c:v>
                </c:pt>
                <c:pt idx="12">
                  <c:v>216315.21208989044</c:v>
                </c:pt>
                <c:pt idx="13">
                  <c:v>232490.4227951568</c:v>
                </c:pt>
                <c:pt idx="14">
                  <c:v>248401.45516293292</c:v>
                </c:pt>
                <c:pt idx="15">
                  <c:v>264052.48415179277</c:v>
                </c:pt>
                <c:pt idx="16">
                  <c:v>279447.62334514031</c:v>
                </c:pt>
                <c:pt idx="17">
                  <c:v>294590.92570003413</c:v>
                </c:pt>
                <c:pt idx="18">
                  <c:v>309486.3842922973</c:v>
                </c:pt>
                <c:pt idx="19">
                  <c:v>324137.93305757787</c:v>
                </c:pt>
                <c:pt idx="20">
                  <c:v>338549.44752814772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JJHCC_ACQ!$B$9</c:f>
              <c:numCache>
                <c:formatCode>_("$"* #,##0_);_("$"* \(#,##0\);_("$"* "-"??_);_(@_)</c:formatCode>
                <c:ptCount val="1"/>
                <c:pt idx="0">
                  <c:v>3826132.8000000003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JJHCC_ACQ!$C$9</c:f>
              <c:numCache>
                <c:formatCode>_("$"* #,##0_);_("$"* \(#,##0\);_("$"* "-"??_);_(@_)</c:formatCode>
                <c:ptCount val="1"/>
                <c:pt idx="0">
                  <c:v>5739199.2000000002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5739199.2000000002</c:v>
                </c:pt>
              </c:numCache>
            </c:numRef>
          </c:xVal>
          <c:yVal>
            <c:numRef>
              <c:f>JJHCC_ACQ!$F$9</c:f>
              <c:numCache>
                <c:formatCode>#,##0</c:formatCode>
                <c:ptCount val="1"/>
                <c:pt idx="0">
                  <c:v>108770.45724810039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0538752"/>
        <c:axId val="350553600"/>
      </c:scatterChart>
      <c:valAx>
        <c:axId val="35053875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Pharmacy Acquisition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350553600"/>
        <c:crosses val="autoZero"/>
        <c:crossBetween val="midCat"/>
        <c:dispUnits>
          <c:builtInUnit val="thousands"/>
        </c:dispUnits>
      </c:valAx>
      <c:valAx>
        <c:axId val="3505536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50538752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Incr. NRx from HCC Pharmacy Acquisition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4782666</c:v>
                </c:pt>
              </c:numCache>
            </c:numRef>
          </c:xVal>
          <c:yVal>
            <c:numRef>
              <c:f>JJHCC_ACQ!$H$9</c:f>
              <c:numCache>
                <c:formatCode>#,##0</c:formatCode>
                <c:ptCount val="1"/>
                <c:pt idx="0">
                  <c:v>7922.3256312394515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JJHCC_ACQ!$D$3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JJHCC_ACQ!$B$22:$B$42</c:f>
              <c:numCache>
                <c:formatCode>#,##0</c:formatCode>
                <c:ptCount val="21"/>
                <c:pt idx="0">
                  <c:v>0</c:v>
                </c:pt>
                <c:pt idx="1">
                  <c:v>1708.0983693981543</c:v>
                </c:pt>
                <c:pt idx="2">
                  <c:v>3388.5001289946958</c:v>
                </c:pt>
                <c:pt idx="3">
                  <c:v>5041.6364102456719</c:v>
                </c:pt>
                <c:pt idx="4">
                  <c:v>6667.9322238313034</c:v>
                </c:pt>
                <c:pt idx="5">
                  <c:v>8267.8065268909559</c:v>
                </c:pt>
                <c:pt idx="6">
                  <c:v>9841.6722902022302</c:v>
                </c:pt>
                <c:pt idx="7">
                  <c:v>11389.936565298587</c:v>
                </c:pt>
                <c:pt idx="8">
                  <c:v>12913.000551461242</c:v>
                </c:pt>
                <c:pt idx="9">
                  <c:v>14411.259662600234</c:v>
                </c:pt>
                <c:pt idx="10">
                  <c:v>15885.103593955748</c:v>
                </c:pt>
                <c:pt idx="11">
                  <c:v>17334.916388627142</c:v>
                </c:pt>
                <c:pt idx="12">
                  <c:v>18761.07650389336</c:v>
                </c:pt>
                <c:pt idx="13">
                  <c:v>20163.956877290271</c:v>
                </c:pt>
                <c:pt idx="14">
                  <c:v>21543.92499244865</c:v>
                </c:pt>
                <c:pt idx="15">
                  <c:v>22901.342944648117</c:v>
                </c:pt>
                <c:pt idx="16">
                  <c:v>24236.567506083287</c:v>
                </c:pt>
                <c:pt idx="17">
                  <c:v>25549.950190809555</c:v>
                </c:pt>
                <c:pt idx="18">
                  <c:v>26841.837319366634</c:v>
                </c:pt>
                <c:pt idx="19">
                  <c:v>28112.570083050989</c:v>
                </c:pt>
                <c:pt idx="20">
                  <c:v>29362.484607818536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JJHCC_ACQ!$B$9</c:f>
              <c:numCache>
                <c:formatCode>_("$"* #,##0_);_("$"* \(#,##0\);_("$"* "-"??_);_(@_)</c:formatCode>
                <c:ptCount val="1"/>
                <c:pt idx="0">
                  <c:v>3826132.8000000003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JJHCC_ACQ!$C$9</c:f>
              <c:numCache>
                <c:formatCode>_("$"* #,##0_);_("$"* \(#,##0\);_("$"* "-"??_);_(@_)</c:formatCode>
                <c:ptCount val="1"/>
                <c:pt idx="0">
                  <c:v>5739199.2000000002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5739199.2000000002</c:v>
                </c:pt>
              </c:numCache>
            </c:numRef>
          </c:xVal>
          <c:yVal>
            <c:numRef>
              <c:f>JJHCC_ACQ!$E$9</c:f>
              <c:numCache>
                <c:formatCode>#,##0</c:formatCode>
                <c:ptCount val="1"/>
                <c:pt idx="0">
                  <c:v>9433.6910015698522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0595712"/>
        <c:axId val="350614656"/>
      </c:scatterChart>
      <c:valAx>
        <c:axId val="35059571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Pharmacy Acquisition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350614656"/>
        <c:crosses val="autoZero"/>
        <c:crossBetween val="midCat"/>
        <c:dispUnits>
          <c:builtInUnit val="thousands"/>
        </c:dispUnits>
      </c:valAx>
      <c:valAx>
        <c:axId val="3506146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50595712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HCC Adherence</a:t>
            </a:r>
            <a:r>
              <a:rPr lang="en-US" sz="1200" baseline="0"/>
              <a:t> </a:t>
            </a:r>
            <a:r>
              <a:rPr lang="en-US" sz="1200"/>
              <a:t>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JJHCC_ADH!$G$9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JJHCC_ADH!$I$9</c:f>
              <c:numCache>
                <c:formatCode>#,##0</c:formatCode>
                <c:ptCount val="1"/>
                <c:pt idx="0">
                  <c:v>360832.73711340129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JJHCC_ADH!$F$2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JJHCC_ADH!$C$22:$C$42</c:f>
              <c:numCache>
                <c:formatCode>#,##0</c:formatCode>
                <c:ptCount val="21"/>
                <c:pt idx="0">
                  <c:v>0</c:v>
                </c:pt>
                <c:pt idx="1">
                  <c:v>61226.401077322662</c:v>
                </c:pt>
                <c:pt idx="2">
                  <c:v>120994.72060368396</c:v>
                </c:pt>
                <c:pt idx="3">
                  <c:v>179325.91864795052</c:v>
                </c:pt>
                <c:pt idx="4">
                  <c:v>236241.44401214831</c:v>
                </c:pt>
                <c:pt idx="5">
                  <c:v>291763.17912199162</c:v>
                </c:pt>
                <c:pt idx="6">
                  <c:v>345913.38696239889</c:v>
                </c:pt>
                <c:pt idx="7">
                  <c:v>398714.66009361669</c:v>
                </c:pt>
                <c:pt idx="8">
                  <c:v>450189.87177247368</c:v>
                </c:pt>
                <c:pt idx="9">
                  <c:v>500362.12919285521</c:v>
                </c:pt>
                <c:pt idx="10">
                  <c:v>549254.72884996422</c:v>
                </c:pt>
                <c:pt idx="11">
                  <c:v>596891.11402404681</c:v>
                </c:pt>
                <c:pt idx="12">
                  <c:v>643294.8343712315</c:v>
                </c:pt>
                <c:pt idx="13">
                  <c:v>688489.50760174915</c:v>
                </c:pt>
                <c:pt idx="14">
                  <c:v>732498.78321923688</c:v>
                </c:pt>
                <c:pt idx="15">
                  <c:v>775346.30828877538</c:v>
                </c:pt>
                <c:pt idx="16">
                  <c:v>817055.69519616477</c:v>
                </c:pt>
                <c:pt idx="17">
                  <c:v>857650.49135614</c:v>
                </c:pt>
                <c:pt idx="18">
                  <c:v>897154.15082335845</c:v>
                </c:pt>
                <c:pt idx="19">
                  <c:v>935590.00775624253</c:v>
                </c:pt>
                <c:pt idx="20">
                  <c:v>972981.25168112665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JJHCC_ADH!$B$9</c:f>
              <c:numCache>
                <c:formatCode>_("$"* #,##0_);_("$"* \(#,##0\);_("$"* "-"??_);_(@_)</c:formatCode>
                <c:ptCount val="1"/>
                <c:pt idx="0">
                  <c:v>12560000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JJHCC_ADH!$C$9</c:f>
              <c:numCache>
                <c:formatCode>_("$"* #,##0_);_("$"* \(#,##0\);_("$"* "-"??_);_(@_)</c:formatCode>
                <c:ptCount val="1"/>
                <c:pt idx="0">
                  <c:v>18840000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JJHCC_ADH!$D$9</c:f>
              <c:numCache>
                <c:formatCode>_("$"* #,##0_);_("$"* \(#,##0\);_("$"* "-"??_);_(@_)</c:formatCode>
                <c:ptCount val="1"/>
                <c:pt idx="0">
                  <c:v>18840000</c:v>
                </c:pt>
              </c:numCache>
            </c:numRef>
          </c:xVal>
          <c:yVal>
            <c:numRef>
              <c:f>JJHCC_ADH!$F$9</c:f>
              <c:numCache>
                <c:formatCode>#,##0</c:formatCode>
                <c:ptCount val="1"/>
                <c:pt idx="0">
                  <c:v>426468.80566668883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0972544"/>
        <c:axId val="350991488"/>
      </c:scatterChart>
      <c:valAx>
        <c:axId val="35097254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Adherence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350991488"/>
        <c:crosses val="autoZero"/>
        <c:crossBetween val="midCat"/>
        <c:dispUnits>
          <c:builtInUnit val="thousands"/>
        </c:dispUnits>
      </c:valAx>
      <c:valAx>
        <c:axId val="3509914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50972544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FT_SCurveEst!$B$12</c:f>
              <c:numCache>
                <c:formatCode>General</c:formatCode>
                <c:ptCount val="1"/>
                <c:pt idx="0">
                  <c:v>20</c:v>
                </c:pt>
              </c:numCache>
            </c:numRef>
          </c:xVal>
          <c:yVal>
            <c:numRef>
              <c:f>FT_SCurveEst!$C$12</c:f>
              <c:numCache>
                <c:formatCode>General</c:formatCode>
                <c:ptCount val="1"/>
                <c:pt idx="0">
                  <c:v>30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FT_SCurveEst!$D$3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xVal>
          <c:yVal>
            <c:numRef>
              <c:f>FT_SCurveEst!$B$22:$B$42</c:f>
              <c:numCache>
                <c:formatCode>General</c:formatCode>
                <c:ptCount val="21"/>
                <c:pt idx="0">
                  <c:v>-1.4084507042253946E-2</c:v>
                </c:pt>
                <c:pt idx="1">
                  <c:v>1.6126444390094603</c:v>
                </c:pt>
                <c:pt idx="2">
                  <c:v>5.6642426174498821</c:v>
                </c:pt>
                <c:pt idx="3">
                  <c:v>14.549143800281053</c:v>
                </c:pt>
                <c:pt idx="4">
                  <c:v>29.563380281690133</c:v>
                </c:pt>
                <c:pt idx="5">
                  <c:v>46.443381393398674</c:v>
                </c:pt>
                <c:pt idx="6">
                  <c:v>58.565058904816425</c:v>
                </c:pt>
                <c:pt idx="7">
                  <c:v>64.755462936002587</c:v>
                </c:pt>
                <c:pt idx="8">
                  <c:v>67.373747640482065</c:v>
                </c:pt>
                <c:pt idx="9">
                  <c:v>68.391855033022836</c:v>
                </c:pt>
                <c:pt idx="10">
                  <c:v>68.774681657683672</c:v>
                </c:pt>
                <c:pt idx="11">
                  <c:v>68.91680823426843</c:v>
                </c:pt>
                <c:pt idx="12">
                  <c:v>68.969323452015516</c:v>
                </c:pt>
                <c:pt idx="13">
                  <c:v>68.988693537060527</c:v>
                </c:pt>
                <c:pt idx="14">
                  <c:v>68.995833502451546</c:v>
                </c:pt>
                <c:pt idx="15">
                  <c:v>68.998464720255058</c:v>
                </c:pt>
                <c:pt idx="16">
                  <c:v>68.999434290332985</c:v>
                </c:pt>
                <c:pt idx="17">
                  <c:v>68.999791552888652</c:v>
                </c:pt>
                <c:pt idx="18">
                  <c:v>68.999923193714523</c:v>
                </c:pt>
                <c:pt idx="19">
                  <c:v>68.999971699303273</c:v>
                </c:pt>
                <c:pt idx="20">
                  <c:v>68.999989572089319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FT_SCurveEst!$B$9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FT_SCurveEst!$C$9</c:f>
              <c:numCache>
                <c:formatCode>General</c:formatCode>
                <c:ptCount val="1"/>
                <c:pt idx="0">
                  <c:v>100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FT_SCurveEst!$D$9</c:f>
              <c:numCache>
                <c:formatCode>General</c:formatCode>
                <c:ptCount val="1"/>
                <c:pt idx="0">
                  <c:v>25</c:v>
                </c:pt>
              </c:numCache>
            </c:numRef>
          </c:xVal>
          <c:yVal>
            <c:numRef>
              <c:f>FT_SCurveEst!$E$9</c:f>
              <c:numCache>
                <c:formatCode>General</c:formatCode>
                <c:ptCount val="1"/>
                <c:pt idx="0">
                  <c:v>46.443381393398674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0760320"/>
        <c:axId val="350766592"/>
      </c:scatterChart>
      <c:valAx>
        <c:axId val="35076032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0766592"/>
        <c:crosses val="autoZero"/>
        <c:crossBetween val="midCat"/>
      </c:valAx>
      <c:valAx>
        <c:axId val="350766592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0760320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Equation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Initial Values: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FT_Equation!$F$9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FT_Equation!$G$9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FT_Equation!$D$3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FT_Equation!$A$23:$A$43</c:f>
              <c:numCache>
                <c:formatCode>General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FT_Equation!$B$23:$B$43</c:f>
              <c:numCache>
                <c:formatCode>General</c:formatCode>
                <c:ptCount val="21"/>
                <c:pt idx="0">
                  <c:v>0</c:v>
                </c:pt>
                <c:pt idx="1">
                  <c:v>10000</c:v>
                </c:pt>
                <c:pt idx="2">
                  <c:v>20000</c:v>
                </c:pt>
                <c:pt idx="3">
                  <c:v>30000</c:v>
                </c:pt>
                <c:pt idx="4">
                  <c:v>40000</c:v>
                </c:pt>
                <c:pt idx="5">
                  <c:v>50000</c:v>
                </c:pt>
                <c:pt idx="6">
                  <c:v>60000</c:v>
                </c:pt>
                <c:pt idx="7">
                  <c:v>70000</c:v>
                </c:pt>
                <c:pt idx="8">
                  <c:v>80000</c:v>
                </c:pt>
                <c:pt idx="9">
                  <c:v>90000</c:v>
                </c:pt>
                <c:pt idx="10">
                  <c:v>100000</c:v>
                </c:pt>
                <c:pt idx="11">
                  <c:v>110000</c:v>
                </c:pt>
                <c:pt idx="12">
                  <c:v>120000</c:v>
                </c:pt>
                <c:pt idx="13">
                  <c:v>130000</c:v>
                </c:pt>
                <c:pt idx="14">
                  <c:v>140000</c:v>
                </c:pt>
                <c:pt idx="15">
                  <c:v>150000</c:v>
                </c:pt>
                <c:pt idx="16">
                  <c:v>160000</c:v>
                </c:pt>
                <c:pt idx="17">
                  <c:v>170000</c:v>
                </c:pt>
                <c:pt idx="18">
                  <c:v>180000</c:v>
                </c:pt>
                <c:pt idx="19">
                  <c:v>190000</c:v>
                </c:pt>
                <c:pt idx="20">
                  <c:v>200000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FT_Equation!$B$9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FT_Equation!$C$9</c:f>
              <c:numCache>
                <c:formatCode>General</c:formatCode>
                <c:ptCount val="1"/>
                <c:pt idx="0">
                  <c:v>10000000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FT_Equation!$D$9</c:f>
              <c:numCache>
                <c:formatCode>General</c:formatCode>
                <c:ptCount val="1"/>
                <c:pt idx="0">
                  <c:v>1000000</c:v>
                </c:pt>
              </c:numCache>
            </c:numRef>
          </c:xVal>
          <c:yVal>
            <c:numRef>
              <c:f>FT_Equation!$E$9</c:f>
              <c:numCache>
                <c:formatCode>General</c:formatCode>
                <c:ptCount val="1"/>
                <c:pt idx="0">
                  <c:v>10000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9264896"/>
        <c:axId val="349275264"/>
      </c:scatterChart>
      <c:valAx>
        <c:axId val="34926489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49275264"/>
        <c:crosses val="autoZero"/>
        <c:crossBetween val="midCat"/>
      </c:valAx>
      <c:valAx>
        <c:axId val="349275264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49264896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Cubic Spline Interpolation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FT_Interpolate!$F$9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FT_Interpolate!$G$9</c:f>
              <c:numCache>
                <c:formatCode>General</c:formatCode>
                <c:ptCount val="1"/>
                <c:pt idx="0">
                  <c:v>0.5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FT_Interpolate!$D$3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FT_Interpolate!$A$27:$A$47</c:f>
              <c:numCache>
                <c:formatCode>General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</c:numCache>
            </c:numRef>
          </c:xVal>
          <c:yVal>
            <c:numRef>
              <c:f>FT_Interpolate!$B$27:$B$47</c:f>
              <c:numCache>
                <c:formatCode>General</c:formatCode>
                <c:ptCount val="21"/>
                <c:pt idx="0">
                  <c:v>0</c:v>
                </c:pt>
                <c:pt idx="1">
                  <c:v>0.25057939593301437</c:v>
                </c:pt>
                <c:pt idx="2">
                  <c:v>0.475927033492823</c:v>
                </c:pt>
                <c:pt idx="3">
                  <c:v>0.65081115430622016</c:v>
                </c:pt>
                <c:pt idx="4">
                  <c:v>0.75</c:v>
                </c:pt>
                <c:pt idx="5">
                  <c:v>0.75005607057416268</c:v>
                </c:pt>
                <c:pt idx="6">
                  <c:v>0.63471889952153115</c:v>
                </c:pt>
                <c:pt idx="7">
                  <c:v>0.389522278708134</c:v>
                </c:pt>
                <c:pt idx="8">
                  <c:v>0</c:v>
                </c:pt>
                <c:pt idx="9">
                  <c:v>-0.51252242822966498</c:v>
                </c:pt>
                <c:pt idx="10">
                  <c:v>-0.98355263157894723</c:v>
                </c:pt>
                <c:pt idx="11">
                  <c:v>-1.2128065191387558</c:v>
                </c:pt>
                <c:pt idx="12">
                  <c:v>-1</c:v>
                </c:pt>
                <c:pt idx="13">
                  <c:v>-0.22731010765550241</c:v>
                </c:pt>
                <c:pt idx="14">
                  <c:v>0.89324162679425823</c:v>
                </c:pt>
                <c:pt idx="15">
                  <c:v>2.0671725478468899</c:v>
                </c:pt>
                <c:pt idx="16">
                  <c:v>3</c:v>
                </c:pt>
                <c:pt idx="17">
                  <c:v>3.4686378588516744</c:v>
                </c:pt>
                <c:pt idx="18">
                  <c:v>3.535586124401914</c:v>
                </c:pt>
                <c:pt idx="19">
                  <c:v>3.3347413277511961</c:v>
                </c:pt>
                <c:pt idx="20">
                  <c:v>2.9999999999999996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FT_Interpolate!$B$9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FT_Interpolate!$C$9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FT_Interpolate!$D$9</c:f>
              <c:numCache>
                <c:formatCode>General</c:formatCode>
                <c:ptCount val="1"/>
                <c:pt idx="0">
                  <c:v>3.5</c:v>
                </c:pt>
              </c:numCache>
            </c:numRef>
          </c:xVal>
          <c:yVal>
            <c:numRef>
              <c:f>FT_Interpolate!$E$9</c:f>
              <c:numCache>
                <c:formatCode>General</c:formatCode>
                <c:ptCount val="1"/>
                <c:pt idx="0">
                  <c:v>0.89324162679425823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1341184"/>
        <c:axId val="351355648"/>
      </c:scatterChart>
      <c:valAx>
        <c:axId val="35134118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1355648"/>
        <c:crosses val="autoZero"/>
        <c:crossBetween val="midCat"/>
      </c:valAx>
      <c:valAx>
        <c:axId val="351355648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1341184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 Values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FT_SCurve3Est!$B$12</c:f>
              <c:numCache>
                <c:formatCode>_("$"* #,##0_);_("$"* \(#,##0\);_("$"* "-"??_);_(@_)</c:formatCode>
                <c:ptCount val="1"/>
                <c:pt idx="0">
                  <c:v>22434506</c:v>
                </c:pt>
              </c:numCache>
            </c:numRef>
          </c:xVal>
          <c:yVal>
            <c:numRef>
              <c:f>FT_SCurve3Est!$C$12</c:f>
              <c:numCache>
                <c:formatCode>#,##0</c:formatCode>
                <c:ptCount val="1"/>
                <c:pt idx="0">
                  <c:v>135699.3691208323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FT_SCurve3Est!$D$3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FT_SCurve3Est!$A$22:$A$42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10000000</c:v>
                </c:pt>
                <c:pt idx="2">
                  <c:v>20000000</c:v>
                </c:pt>
                <c:pt idx="3">
                  <c:v>30000000</c:v>
                </c:pt>
                <c:pt idx="4">
                  <c:v>40000000</c:v>
                </c:pt>
                <c:pt idx="5">
                  <c:v>50000000</c:v>
                </c:pt>
                <c:pt idx="6">
                  <c:v>60000000</c:v>
                </c:pt>
                <c:pt idx="7">
                  <c:v>70000000</c:v>
                </c:pt>
                <c:pt idx="8">
                  <c:v>80000000</c:v>
                </c:pt>
                <c:pt idx="9">
                  <c:v>90000000</c:v>
                </c:pt>
                <c:pt idx="10">
                  <c:v>100000000</c:v>
                </c:pt>
                <c:pt idx="11">
                  <c:v>110000000</c:v>
                </c:pt>
                <c:pt idx="12">
                  <c:v>120000000</c:v>
                </c:pt>
                <c:pt idx="13">
                  <c:v>130000000</c:v>
                </c:pt>
                <c:pt idx="14">
                  <c:v>140000000</c:v>
                </c:pt>
                <c:pt idx="15">
                  <c:v>150000000</c:v>
                </c:pt>
                <c:pt idx="16">
                  <c:v>160000000</c:v>
                </c:pt>
                <c:pt idx="17">
                  <c:v>170000000</c:v>
                </c:pt>
                <c:pt idx="18">
                  <c:v>180000000</c:v>
                </c:pt>
                <c:pt idx="19">
                  <c:v>190000000</c:v>
                </c:pt>
                <c:pt idx="20">
                  <c:v>200000000</c:v>
                </c:pt>
              </c:numCache>
            </c:numRef>
          </c:xVal>
          <c:yVal>
            <c:numRef>
              <c:f>FT_SCurve3Est!$B$22:$B$42</c:f>
              <c:numCache>
                <c:formatCode>General</c:formatCode>
                <c:ptCount val="21"/>
                <c:pt idx="0">
                  <c:v>0</c:v>
                </c:pt>
                <c:pt idx="1">
                  <c:v>65160.884199584834</c:v>
                </c:pt>
                <c:pt idx="2">
                  <c:v>122744.77582018357</c:v>
                </c:pt>
                <c:pt idx="3">
                  <c:v>173476.53353370167</c:v>
                </c:pt>
                <c:pt idx="4">
                  <c:v>218050.60666741617</c:v>
                </c:pt>
                <c:pt idx="5">
                  <c:v>257121.2781913355</c:v>
                </c:pt>
                <c:pt idx="6">
                  <c:v>291296.63727436401</c:v>
                </c:pt>
                <c:pt idx="7">
                  <c:v>321135.50980218779</c:v>
                </c:pt>
                <c:pt idx="8">
                  <c:v>347146.64896780811</c:v>
                </c:pt>
                <c:pt idx="9">
                  <c:v>369789.58456045669</c:v>
                </c:pt>
                <c:pt idx="10">
                  <c:v>389476.63249957375</c:v>
                </c:pt>
                <c:pt idx="11">
                  <c:v>406575.66504135821</c:v>
                </c:pt>
                <c:pt idx="12">
                  <c:v>421413.33103184588</c:v>
                </c:pt>
                <c:pt idx="13">
                  <c:v>434278.49192497414</c:v>
                </c:pt>
                <c:pt idx="14">
                  <c:v>445425.7024764372</c:v>
                </c:pt>
                <c:pt idx="15">
                  <c:v>455078.61578376312</c:v>
                </c:pt>
                <c:pt idx="16">
                  <c:v>463433.23205492459</c:v>
                </c:pt>
                <c:pt idx="17">
                  <c:v>470660.94080024865</c:v>
                </c:pt>
                <c:pt idx="18">
                  <c:v>476911.32871761266</c:v>
                </c:pt>
                <c:pt idx="19">
                  <c:v>482314.74191566277</c:v>
                </c:pt>
                <c:pt idx="20">
                  <c:v>486984.60263799503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1385856"/>
        <c:axId val="351400704"/>
      </c:scatterChart>
      <c:valAx>
        <c:axId val="35138585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($ MM)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351400704"/>
        <c:crosses val="autoZero"/>
        <c:crossBetween val="midCat"/>
        <c:dispUnits>
          <c:builtInUnit val="millions"/>
        </c:dispUnits>
      </c:valAx>
      <c:valAx>
        <c:axId val="351400704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51385856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6.xml"/><Relationship Id="rId1" Type="http://schemas.openxmlformats.org/officeDocument/2006/relationships/chart" Target="../charts/chart3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2</xdr:row>
      <xdr:rowOff>7620</xdr:rowOff>
    </xdr:from>
    <xdr:to>
      <xdr:col>8</xdr:col>
      <xdr:colOff>449580</xdr:colOff>
      <xdr:row>20</xdr:row>
      <xdr:rowOff>144780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22860</xdr:colOff>
      <xdr:row>2</xdr:row>
      <xdr:rowOff>15240</xdr:rowOff>
    </xdr:from>
    <xdr:to>
      <xdr:col>17</xdr:col>
      <xdr:colOff>502920</xdr:colOff>
      <xdr:row>20</xdr:row>
      <xdr:rowOff>160020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38100</xdr:colOff>
      <xdr:row>20</xdr:row>
      <xdr:rowOff>167640</xdr:rowOff>
    </xdr:from>
    <xdr:to>
      <xdr:col>8</xdr:col>
      <xdr:colOff>464820</xdr:colOff>
      <xdr:row>40</xdr:row>
      <xdr:rowOff>175260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22860</xdr:colOff>
      <xdr:row>21</xdr:row>
      <xdr:rowOff>15240</xdr:rowOff>
    </xdr:from>
    <xdr:to>
      <xdr:col>17</xdr:col>
      <xdr:colOff>518160</xdr:colOff>
      <xdr:row>41</xdr:row>
      <xdr:rowOff>22860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45720</xdr:colOff>
      <xdr:row>41</xdr:row>
      <xdr:rowOff>68580</xdr:rowOff>
    </xdr:from>
    <xdr:to>
      <xdr:col>8</xdr:col>
      <xdr:colOff>480060</xdr:colOff>
      <xdr:row>61</xdr:row>
      <xdr:rowOff>22860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502920</xdr:colOff>
      <xdr:row>41</xdr:row>
      <xdr:rowOff>76200</xdr:rowOff>
    </xdr:from>
    <xdr:to>
      <xdr:col>17</xdr:col>
      <xdr:colOff>358140</xdr:colOff>
      <xdr:row>61</xdr:row>
      <xdr:rowOff>30480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53340</xdr:colOff>
      <xdr:row>61</xdr:row>
      <xdr:rowOff>38100</xdr:rowOff>
    </xdr:from>
    <xdr:to>
      <xdr:col>8</xdr:col>
      <xdr:colOff>480060</xdr:colOff>
      <xdr:row>80</xdr:row>
      <xdr:rowOff>45720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502920</xdr:colOff>
      <xdr:row>61</xdr:row>
      <xdr:rowOff>53340</xdr:rowOff>
    </xdr:from>
    <xdr:to>
      <xdr:col>17</xdr:col>
      <xdr:colOff>381000</xdr:colOff>
      <xdr:row>80</xdr:row>
      <xdr:rowOff>83820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2</xdr:row>
      <xdr:rowOff>7620</xdr:rowOff>
    </xdr:from>
    <xdr:to>
      <xdr:col>8</xdr:col>
      <xdr:colOff>449580</xdr:colOff>
      <xdr:row>20</xdr:row>
      <xdr:rowOff>144780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22860</xdr:colOff>
      <xdr:row>2</xdr:row>
      <xdr:rowOff>15240</xdr:rowOff>
    </xdr:from>
    <xdr:to>
      <xdr:col>17</xdr:col>
      <xdr:colOff>502920</xdr:colOff>
      <xdr:row>20</xdr:row>
      <xdr:rowOff>160020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38100</xdr:colOff>
      <xdr:row>20</xdr:row>
      <xdr:rowOff>167640</xdr:rowOff>
    </xdr:from>
    <xdr:to>
      <xdr:col>8</xdr:col>
      <xdr:colOff>464820</xdr:colOff>
      <xdr:row>40</xdr:row>
      <xdr:rowOff>175260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22860</xdr:colOff>
      <xdr:row>21</xdr:row>
      <xdr:rowOff>15240</xdr:rowOff>
    </xdr:from>
    <xdr:to>
      <xdr:col>17</xdr:col>
      <xdr:colOff>518160</xdr:colOff>
      <xdr:row>41</xdr:row>
      <xdr:rowOff>22860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45720</xdr:colOff>
      <xdr:row>41</xdr:row>
      <xdr:rowOff>68580</xdr:rowOff>
    </xdr:from>
    <xdr:to>
      <xdr:col>8</xdr:col>
      <xdr:colOff>480060</xdr:colOff>
      <xdr:row>61</xdr:row>
      <xdr:rowOff>22860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502920</xdr:colOff>
      <xdr:row>41</xdr:row>
      <xdr:rowOff>76200</xdr:rowOff>
    </xdr:from>
    <xdr:to>
      <xdr:col>17</xdr:col>
      <xdr:colOff>358140</xdr:colOff>
      <xdr:row>61</xdr:row>
      <xdr:rowOff>30480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68580</xdr:colOff>
      <xdr:row>61</xdr:row>
      <xdr:rowOff>30480</xdr:rowOff>
    </xdr:from>
    <xdr:to>
      <xdr:col>8</xdr:col>
      <xdr:colOff>495300</xdr:colOff>
      <xdr:row>80</xdr:row>
      <xdr:rowOff>38100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518160</xdr:colOff>
      <xdr:row>61</xdr:row>
      <xdr:rowOff>30480</xdr:rowOff>
    </xdr:from>
    <xdr:to>
      <xdr:col>17</xdr:col>
      <xdr:colOff>396240</xdr:colOff>
      <xdr:row>80</xdr:row>
      <xdr:rowOff>60960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205740</xdr:colOff>
      <xdr:row>1</xdr:row>
      <xdr:rowOff>83820</xdr:rowOff>
    </xdr:from>
    <xdr:to>
      <xdr:col>10</xdr:col>
      <xdr:colOff>449580</xdr:colOff>
      <xdr:row>25</xdr:row>
      <xdr:rowOff>99060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220980</xdr:colOff>
      <xdr:row>26</xdr:row>
      <xdr:rowOff>175260</xdr:rowOff>
    </xdr:from>
    <xdr:to>
      <xdr:col>10</xdr:col>
      <xdr:colOff>464820</xdr:colOff>
      <xdr:row>51</xdr:row>
      <xdr:rowOff>7620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91440</xdr:colOff>
      <xdr:row>1</xdr:row>
      <xdr:rowOff>83820</xdr:rowOff>
    </xdr:from>
    <xdr:to>
      <xdr:col>21</xdr:col>
      <xdr:colOff>335280</xdr:colOff>
      <xdr:row>25</xdr:row>
      <xdr:rowOff>99060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129540</xdr:colOff>
      <xdr:row>27</xdr:row>
      <xdr:rowOff>0</xdr:rowOff>
    </xdr:from>
    <xdr:to>
      <xdr:col>21</xdr:col>
      <xdr:colOff>373380</xdr:colOff>
      <xdr:row>51</xdr:row>
      <xdr:rowOff>15240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419100</xdr:colOff>
      <xdr:row>19</xdr:row>
      <xdr:rowOff>171450</xdr:rowOff>
    </xdr:from>
    <xdr:to>
      <xdr:col>12</xdr:col>
      <xdr:colOff>335280</xdr:colOff>
      <xdr:row>43</xdr:row>
      <xdr:rowOff>53340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403860</xdr:colOff>
      <xdr:row>44</xdr:row>
      <xdr:rowOff>99060</xdr:rowOff>
    </xdr:from>
    <xdr:to>
      <xdr:col>12</xdr:col>
      <xdr:colOff>320040</xdr:colOff>
      <xdr:row>68</xdr:row>
      <xdr:rowOff>80010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419100</xdr:colOff>
      <xdr:row>19</xdr:row>
      <xdr:rowOff>171450</xdr:rowOff>
    </xdr:from>
    <xdr:to>
      <xdr:col>12</xdr:col>
      <xdr:colOff>335280</xdr:colOff>
      <xdr:row>43</xdr:row>
      <xdr:rowOff>53340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403860</xdr:colOff>
      <xdr:row>44</xdr:row>
      <xdr:rowOff>99060</xdr:rowOff>
    </xdr:from>
    <xdr:to>
      <xdr:col>12</xdr:col>
      <xdr:colOff>320040</xdr:colOff>
      <xdr:row>68</xdr:row>
      <xdr:rowOff>80010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419100</xdr:colOff>
      <xdr:row>19</xdr:row>
      <xdr:rowOff>171450</xdr:rowOff>
    </xdr:from>
    <xdr:to>
      <xdr:col>12</xdr:col>
      <xdr:colOff>335280</xdr:colOff>
      <xdr:row>43</xdr:row>
      <xdr:rowOff>53340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403860</xdr:colOff>
      <xdr:row>44</xdr:row>
      <xdr:rowOff>99060</xdr:rowOff>
    </xdr:from>
    <xdr:to>
      <xdr:col>12</xdr:col>
      <xdr:colOff>320040</xdr:colOff>
      <xdr:row>68</xdr:row>
      <xdr:rowOff>80010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419100</xdr:colOff>
      <xdr:row>19</xdr:row>
      <xdr:rowOff>171450</xdr:rowOff>
    </xdr:from>
    <xdr:to>
      <xdr:col>12</xdr:col>
      <xdr:colOff>335280</xdr:colOff>
      <xdr:row>43</xdr:row>
      <xdr:rowOff>53340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403860</xdr:colOff>
      <xdr:row>44</xdr:row>
      <xdr:rowOff>99060</xdr:rowOff>
    </xdr:from>
    <xdr:to>
      <xdr:col>12</xdr:col>
      <xdr:colOff>320040</xdr:colOff>
      <xdr:row>68</xdr:row>
      <xdr:rowOff>80010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678180</xdr:colOff>
      <xdr:row>26</xdr:row>
      <xdr:rowOff>133350</xdr:rowOff>
    </xdr:from>
    <xdr:to>
      <xdr:col>12</xdr:col>
      <xdr:colOff>358140</xdr:colOff>
      <xdr:row>48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670560</xdr:colOff>
      <xdr:row>49</xdr:row>
      <xdr:rowOff>91440</xdr:rowOff>
    </xdr:from>
    <xdr:to>
      <xdr:col>12</xdr:col>
      <xdr:colOff>350520</xdr:colOff>
      <xdr:row>70</xdr:row>
      <xdr:rowOff>171450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129540</xdr:colOff>
      <xdr:row>17</xdr:row>
      <xdr:rowOff>220980</xdr:rowOff>
    </xdr:from>
    <xdr:to>
      <xdr:col>12</xdr:col>
      <xdr:colOff>510540</xdr:colOff>
      <xdr:row>41</xdr:row>
      <xdr:rowOff>80010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160020</xdr:colOff>
      <xdr:row>42</xdr:row>
      <xdr:rowOff>144780</xdr:rowOff>
    </xdr:from>
    <xdr:to>
      <xdr:col>12</xdr:col>
      <xdr:colOff>541020</xdr:colOff>
      <xdr:row>66</xdr:row>
      <xdr:rowOff>125730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167640</xdr:colOff>
      <xdr:row>18</xdr:row>
      <xdr:rowOff>160020</xdr:rowOff>
    </xdr:from>
    <xdr:to>
      <xdr:col>12</xdr:col>
      <xdr:colOff>548640</xdr:colOff>
      <xdr:row>42</xdr:row>
      <xdr:rowOff>140970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243840</xdr:colOff>
      <xdr:row>43</xdr:row>
      <xdr:rowOff>91440</xdr:rowOff>
    </xdr:from>
    <xdr:to>
      <xdr:col>12</xdr:col>
      <xdr:colOff>624840</xdr:colOff>
      <xdr:row>67</xdr:row>
      <xdr:rowOff>72390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121920</xdr:colOff>
      <xdr:row>16</xdr:row>
      <xdr:rowOff>396240</xdr:rowOff>
    </xdr:from>
    <xdr:to>
      <xdr:col>11</xdr:col>
      <xdr:colOff>800100</xdr:colOff>
      <xdr:row>37</xdr:row>
      <xdr:rowOff>137160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129540</xdr:colOff>
      <xdr:row>38</xdr:row>
      <xdr:rowOff>129540</xdr:rowOff>
    </xdr:from>
    <xdr:to>
      <xdr:col>12</xdr:col>
      <xdr:colOff>22860</xdr:colOff>
      <xdr:row>59</xdr:row>
      <xdr:rowOff>129540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121920</xdr:colOff>
      <xdr:row>16</xdr:row>
      <xdr:rowOff>396240</xdr:rowOff>
    </xdr:from>
    <xdr:to>
      <xdr:col>11</xdr:col>
      <xdr:colOff>800100</xdr:colOff>
      <xdr:row>37</xdr:row>
      <xdr:rowOff>137160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198120</xdr:colOff>
      <xdr:row>19</xdr:row>
      <xdr:rowOff>87630</xdr:rowOff>
    </xdr:from>
    <xdr:to>
      <xdr:col>9</xdr:col>
      <xdr:colOff>457200</xdr:colOff>
      <xdr:row>40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20</xdr:row>
      <xdr:rowOff>19050</xdr:rowOff>
    </xdr:from>
    <xdr:to>
      <xdr:col>10</xdr:col>
      <xdr:colOff>525780</xdr:colOff>
      <xdr:row>43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23</xdr:row>
      <xdr:rowOff>171450</xdr:rowOff>
    </xdr:from>
    <xdr:to>
      <xdr:col>10</xdr:col>
      <xdr:colOff>289560</xdr:colOff>
      <xdr:row>45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19</xdr:row>
      <xdr:rowOff>19050</xdr:rowOff>
    </xdr:from>
    <xdr:to>
      <xdr:col>9</xdr:col>
      <xdr:colOff>114300</xdr:colOff>
      <xdr:row>34</xdr:row>
      <xdr:rowOff>133350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"/>
  <sheetViews>
    <sheetView topLeftCell="G46" workbookViewId="0">
      <selection activeCell="V61" sqref="V61"/>
    </sheetView>
  </sheetViews>
  <sheetFormatPr defaultRowHeight="14.4" x14ac:dyDescent="0.3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"/>
  <sheetViews>
    <sheetView topLeftCell="A4" workbookViewId="0">
      <selection activeCell="I30" sqref="I30"/>
    </sheetView>
  </sheetViews>
  <sheetFormatPr defaultRowHeight="14.4" x14ac:dyDescent="0.3"/>
  <cols>
    <col min="1" max="16384" width="8.88671875" style="161"/>
  </cols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"/>
  <sheetViews>
    <sheetView workbookViewId="0"/>
  </sheetViews>
  <sheetFormatPr defaultRowHeight="14.4" x14ac:dyDescent="0.3"/>
  <cols>
    <col min="1" max="16384" width="8.88671875" style="161"/>
  </cols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CC"/>
  </sheetPr>
  <dimension ref="A1:G11"/>
  <sheetViews>
    <sheetView workbookViewId="0">
      <selection activeCell="A4" sqref="A4"/>
    </sheetView>
  </sheetViews>
  <sheetFormatPr defaultRowHeight="14.4" x14ac:dyDescent="0.3"/>
  <cols>
    <col min="1" max="1" width="23.109375" customWidth="1"/>
    <col min="2" max="2" width="15.44140625" customWidth="1"/>
    <col min="3" max="3" width="14.109375" customWidth="1"/>
    <col min="4" max="4" width="13.6640625" customWidth="1"/>
    <col min="5" max="5" width="14.44140625" customWidth="1"/>
    <col min="7" max="7" width="11.88671875" customWidth="1"/>
  </cols>
  <sheetData>
    <row r="1" spans="1:7" x14ac:dyDescent="0.3">
      <c r="A1" s="155" t="s">
        <v>211</v>
      </c>
    </row>
    <row r="2" spans="1:7" x14ac:dyDescent="0.3">
      <c r="A2" t="s">
        <v>220</v>
      </c>
    </row>
    <row r="3" spans="1:7" x14ac:dyDescent="0.3">
      <c r="A3" s="206" t="s">
        <v>212</v>
      </c>
      <c r="B3" s="161"/>
      <c r="C3" s="161"/>
      <c r="D3" s="161"/>
      <c r="E3" s="161"/>
      <c r="F3" s="161"/>
      <c r="G3" s="161"/>
    </row>
    <row r="4" spans="1:7" x14ac:dyDescent="0.3">
      <c r="A4" t="s">
        <v>213</v>
      </c>
    </row>
    <row r="5" spans="1:7" x14ac:dyDescent="0.3">
      <c r="A5" s="161" t="s">
        <v>214</v>
      </c>
    </row>
    <row r="6" spans="1:7" x14ac:dyDescent="0.3">
      <c r="A6" s="161" t="s">
        <v>215</v>
      </c>
    </row>
    <row r="7" spans="1:7" x14ac:dyDescent="0.3">
      <c r="A7" s="205" t="s">
        <v>216</v>
      </c>
    </row>
    <row r="8" spans="1:7" x14ac:dyDescent="0.3">
      <c r="A8" s="161" t="s">
        <v>217</v>
      </c>
    </row>
    <row r="9" spans="1:7" x14ac:dyDescent="0.3">
      <c r="A9" s="161" t="s">
        <v>218</v>
      </c>
    </row>
    <row r="10" spans="1:7" x14ac:dyDescent="0.3">
      <c r="A10" s="161" t="s">
        <v>219</v>
      </c>
    </row>
    <row r="11" spans="1:7" x14ac:dyDescent="0.3">
      <c r="A11" s="161"/>
    </row>
  </sheetData>
  <pageMargins left="0.7" right="0.7" top="0.75" bottom="0.75" header="0.3" footer="0.3"/>
  <pageSetup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N47"/>
  <sheetViews>
    <sheetView topLeftCell="D10" workbookViewId="0">
      <selection activeCell="I17" sqref="I17"/>
    </sheetView>
  </sheetViews>
  <sheetFormatPr defaultRowHeight="13.8" x14ac:dyDescent="0.3"/>
  <cols>
    <col min="1" max="1" width="14.109375" style="162" customWidth="1"/>
    <col min="2" max="2" width="14.21875" style="162" customWidth="1"/>
    <col min="3" max="3" width="13.88671875" style="162" customWidth="1"/>
    <col min="4" max="4" width="12.44140625" style="162" customWidth="1"/>
    <col min="5" max="5" width="13.88671875" style="162" customWidth="1"/>
    <col min="6" max="6" width="12.44140625" style="162" customWidth="1"/>
    <col min="7" max="7" width="13.77734375" style="162" customWidth="1"/>
    <col min="8" max="8" width="14" style="162" customWidth="1"/>
    <col min="9" max="9" width="14.6640625" style="162" customWidth="1"/>
    <col min="10" max="10" width="14.77734375" style="162" customWidth="1"/>
    <col min="11" max="11" width="13.88671875" style="162" customWidth="1"/>
    <col min="12" max="12" width="13.5546875" style="162" customWidth="1"/>
    <col min="13" max="13" width="11.21875" style="162" customWidth="1"/>
    <col min="14" max="14" width="10.5546875" style="162" customWidth="1"/>
    <col min="15" max="16384" width="8.88671875" style="162"/>
  </cols>
  <sheetData>
    <row r="1" spans="1:14" x14ac:dyDescent="0.3">
      <c r="A1" s="48" t="s">
        <v>0</v>
      </c>
      <c r="B1" s="162" t="s">
        <v>166</v>
      </c>
    </row>
    <row r="2" spans="1:14" x14ac:dyDescent="0.3">
      <c r="A2" s="48" t="s">
        <v>76</v>
      </c>
      <c r="B2" s="162" t="s">
        <v>104</v>
      </c>
    </row>
    <row r="3" spans="1:14" x14ac:dyDescent="0.3">
      <c r="A3" s="48" t="s">
        <v>77</v>
      </c>
      <c r="B3" s="162" t="s">
        <v>165</v>
      </c>
    </row>
    <row r="4" spans="1:14" ht="23.4" customHeight="1" x14ac:dyDescent="0.3">
      <c r="A4" s="49" t="s">
        <v>78</v>
      </c>
      <c r="B4" s="291" t="s">
        <v>221</v>
      </c>
      <c r="C4" s="292"/>
      <c r="D4" s="292"/>
      <c r="E4" s="292"/>
      <c r="F4" s="292"/>
      <c r="G4" s="292"/>
      <c r="H4" s="292"/>
      <c r="I4" s="292"/>
    </row>
    <row r="5" spans="1:14" x14ac:dyDescent="0.3">
      <c r="A5" s="48" t="s">
        <v>79</v>
      </c>
      <c r="B5" s="162" t="s">
        <v>167</v>
      </c>
      <c r="E5" s="216" t="s">
        <v>50</v>
      </c>
      <c r="F5" s="217"/>
      <c r="G5" s="217"/>
      <c r="H5" s="217"/>
      <c r="I5" s="218"/>
    </row>
    <row r="6" spans="1:14" x14ac:dyDescent="0.3">
      <c r="A6" s="48" t="s">
        <v>80</v>
      </c>
      <c r="B6" s="162" t="s">
        <v>168</v>
      </c>
      <c r="E6" s="219" t="s">
        <v>51</v>
      </c>
      <c r="F6" s="220"/>
      <c r="G6" s="220"/>
      <c r="H6" s="220"/>
      <c r="I6" s="221"/>
    </row>
    <row r="7" spans="1:14" ht="14.4" thickBot="1" x14ac:dyDescent="0.35"/>
    <row r="8" spans="1:14" ht="14.4" thickBot="1" x14ac:dyDescent="0.35">
      <c r="A8" s="52" t="s">
        <v>81</v>
      </c>
    </row>
    <row r="9" spans="1:14" ht="14.4" thickBot="1" x14ac:dyDescent="0.35">
      <c r="A9" s="29" t="s">
        <v>83</v>
      </c>
      <c r="B9" s="66">
        <f>SUM(J17:J24)</f>
        <v>6579458.9391220864</v>
      </c>
    </row>
    <row r="10" spans="1:14" ht="14.4" thickBot="1" x14ac:dyDescent="0.35">
      <c r="A10" s="50"/>
    </row>
    <row r="11" spans="1:14" ht="27.6" x14ac:dyDescent="0.3">
      <c r="A11" s="222" t="s">
        <v>82</v>
      </c>
      <c r="B11" s="51" t="s">
        <v>84</v>
      </c>
      <c r="C11" s="203" t="s">
        <v>100</v>
      </c>
      <c r="D11" s="204" t="s">
        <v>101</v>
      </c>
      <c r="E11" s="162" t="s">
        <v>97</v>
      </c>
    </row>
    <row r="12" spans="1:14" ht="14.4" thickBot="1" x14ac:dyDescent="0.35">
      <c r="A12" s="223"/>
      <c r="B12" s="158">
        <f>81102300 - 15000000</f>
        <v>66102300</v>
      </c>
      <c r="C12" s="81">
        <f>1*B12 - 1</f>
        <v>66102299</v>
      </c>
      <c r="D12" s="82">
        <f>1*B12 + 1</f>
        <v>66102301</v>
      </c>
    </row>
    <row r="13" spans="1:14" ht="14.4" thickBot="1" x14ac:dyDescent="0.35"/>
    <row r="14" spans="1:14" ht="60.6" customHeight="1" thickBot="1" x14ac:dyDescent="0.35">
      <c r="A14" s="53" t="s">
        <v>85</v>
      </c>
      <c r="D14" s="160" t="s">
        <v>98</v>
      </c>
      <c r="E14" s="160" t="s">
        <v>98</v>
      </c>
      <c r="F14" s="160" t="s">
        <v>99</v>
      </c>
      <c r="G14" s="163">
        <v>0.8</v>
      </c>
      <c r="H14" s="163">
        <v>1.2</v>
      </c>
      <c r="I14" s="160" t="s">
        <v>98</v>
      </c>
      <c r="J14" s="160" t="s">
        <v>99</v>
      </c>
    </row>
    <row r="15" spans="1:14" ht="27.6" customHeight="1" x14ac:dyDescent="0.3">
      <c r="A15" s="224" t="s">
        <v>2</v>
      </c>
      <c r="B15" s="209" t="s">
        <v>3</v>
      </c>
      <c r="C15" s="209" t="s">
        <v>38</v>
      </c>
      <c r="D15" s="209" t="s">
        <v>169</v>
      </c>
      <c r="E15" s="225" t="s">
        <v>86</v>
      </c>
      <c r="F15" s="226"/>
      <c r="G15" s="227" t="s">
        <v>179</v>
      </c>
      <c r="H15" s="228"/>
      <c r="I15" s="227" t="s">
        <v>89</v>
      </c>
      <c r="J15" s="228"/>
      <c r="K15" s="225" t="s">
        <v>90</v>
      </c>
      <c r="L15" s="229"/>
      <c r="M15" s="229"/>
      <c r="N15" s="226"/>
    </row>
    <row r="16" spans="1:14" ht="27.6" x14ac:dyDescent="0.3">
      <c r="A16" s="208"/>
      <c r="B16" s="208"/>
      <c r="C16" s="208"/>
      <c r="D16" s="208"/>
      <c r="E16" s="202" t="s">
        <v>203</v>
      </c>
      <c r="F16" s="202" t="s">
        <v>204</v>
      </c>
      <c r="G16" s="202" t="s">
        <v>87</v>
      </c>
      <c r="H16" s="202" t="s">
        <v>88</v>
      </c>
      <c r="I16" s="62" t="s">
        <v>201</v>
      </c>
      <c r="J16" s="62" t="s">
        <v>202</v>
      </c>
      <c r="K16" s="202" t="s">
        <v>177</v>
      </c>
      <c r="L16" s="202" t="s">
        <v>178</v>
      </c>
      <c r="M16" s="202" t="s">
        <v>91</v>
      </c>
      <c r="N16" s="202" t="s">
        <v>92</v>
      </c>
    </row>
    <row r="17" spans="1:14" x14ac:dyDescent="0.3">
      <c r="A17" s="54" t="s">
        <v>13</v>
      </c>
      <c r="B17" s="54" t="s">
        <v>93</v>
      </c>
      <c r="C17" s="55" t="s">
        <v>102</v>
      </c>
      <c r="D17" s="153">
        <v>1</v>
      </c>
      <c r="E17" s="73">
        <v>5991499</v>
      </c>
      <c r="F17" s="56">
        <v>2310765.2787946975</v>
      </c>
      <c r="G17" s="73">
        <f>E17*$G$14</f>
        <v>4793199.2</v>
      </c>
      <c r="H17" s="73">
        <f>E17*$H$14</f>
        <v>7189798.7999999998</v>
      </c>
      <c r="I17" s="173">
        <v>6013659.2371734157</v>
      </c>
      <c r="J17" s="64">
        <v>2319197.8879450941</v>
      </c>
      <c r="K17" s="58">
        <f>I17-E17</f>
        <v>22160.23717341572</v>
      </c>
      <c r="L17" s="58">
        <f>J17-F17</f>
        <v>8432.60915039666</v>
      </c>
      <c r="M17" s="59">
        <f>K17/E17</f>
        <v>3.6986131806774434E-3</v>
      </c>
      <c r="N17" s="59">
        <f>L17/F17</f>
        <v>3.6492711863816544E-3</v>
      </c>
    </row>
    <row r="18" spans="1:14" x14ac:dyDescent="0.3">
      <c r="A18" s="55" t="s">
        <v>170</v>
      </c>
      <c r="B18" s="55" t="s">
        <v>93</v>
      </c>
      <c r="C18" s="55" t="s">
        <v>102</v>
      </c>
      <c r="D18" s="154">
        <v>1</v>
      </c>
      <c r="E18" s="74">
        <v>15610435</v>
      </c>
      <c r="F18" s="57">
        <v>2662664.8484120537</v>
      </c>
      <c r="G18" s="74">
        <f t="shared" ref="G18:G24" si="0">E18*$G$14</f>
        <v>12488348</v>
      </c>
      <c r="H18" s="74">
        <f t="shared" ref="H18:H24" si="1">E18*$H$14</f>
        <v>18732522</v>
      </c>
      <c r="I18" s="174">
        <v>12488348</v>
      </c>
      <c r="J18" s="65">
        <v>2129708.7976117251</v>
      </c>
      <c r="K18" s="60">
        <f t="shared" ref="K18:L24" si="2">I18-E18</f>
        <v>-3122087</v>
      </c>
      <c r="L18" s="60">
        <f t="shared" si="2"/>
        <v>-532956.05080032861</v>
      </c>
      <c r="M18" s="61">
        <f t="shared" ref="M18:N25" si="3">K18/E18</f>
        <v>-0.2</v>
      </c>
      <c r="N18" s="61">
        <f t="shared" si="3"/>
        <v>-0.2001588938683628</v>
      </c>
    </row>
    <row r="19" spans="1:14" x14ac:dyDescent="0.3">
      <c r="A19" s="55" t="s">
        <v>104</v>
      </c>
      <c r="B19" s="55" t="s">
        <v>95</v>
      </c>
      <c r="C19" s="55" t="s">
        <v>102</v>
      </c>
      <c r="D19" s="154">
        <v>1</v>
      </c>
      <c r="E19" s="74">
        <v>3804716</v>
      </c>
      <c r="F19" s="57">
        <v>150560.70106149331</v>
      </c>
      <c r="G19" s="74">
        <f t="shared" si="0"/>
        <v>3043772.8000000003</v>
      </c>
      <c r="H19" s="74">
        <f t="shared" si="1"/>
        <v>4565659.2</v>
      </c>
      <c r="I19" s="174">
        <v>3043772.8000000003</v>
      </c>
      <c r="J19" s="65">
        <v>120447.64479503871</v>
      </c>
      <c r="K19" s="60">
        <f t="shared" si="2"/>
        <v>-760943.19999999972</v>
      </c>
      <c r="L19" s="60">
        <f t="shared" si="2"/>
        <v>-30113.056266454601</v>
      </c>
      <c r="M19" s="61">
        <f t="shared" si="3"/>
        <v>-0.19999999999999993</v>
      </c>
      <c r="N19" s="61">
        <f t="shared" si="3"/>
        <v>-0.20000608428460734</v>
      </c>
    </row>
    <row r="20" spans="1:14" x14ac:dyDescent="0.3">
      <c r="A20" s="55" t="s">
        <v>104</v>
      </c>
      <c r="B20" s="55" t="s">
        <v>94</v>
      </c>
      <c r="C20" s="55" t="s">
        <v>173</v>
      </c>
      <c r="D20" s="154">
        <v>1</v>
      </c>
      <c r="E20" s="74">
        <v>4440000</v>
      </c>
      <c r="F20" s="57">
        <v>25689.160192131658</v>
      </c>
      <c r="G20" s="74">
        <f t="shared" si="0"/>
        <v>3552000</v>
      </c>
      <c r="H20" s="74">
        <f t="shared" si="1"/>
        <v>5328000</v>
      </c>
      <c r="I20" s="174">
        <v>3552000</v>
      </c>
      <c r="J20" s="65">
        <v>21708.278592683026</v>
      </c>
      <c r="K20" s="60">
        <f t="shared" si="2"/>
        <v>-888000</v>
      </c>
      <c r="L20" s="60">
        <f t="shared" si="2"/>
        <v>-3980.8815994486322</v>
      </c>
      <c r="M20" s="61">
        <f t="shared" si="3"/>
        <v>-0.2</v>
      </c>
      <c r="N20" s="61">
        <f t="shared" si="3"/>
        <v>-0.15496347757868464</v>
      </c>
    </row>
    <row r="21" spans="1:14" x14ac:dyDescent="0.3">
      <c r="A21" s="55" t="s">
        <v>104</v>
      </c>
      <c r="B21" s="55" t="s">
        <v>108</v>
      </c>
      <c r="C21" s="55" t="s">
        <v>172</v>
      </c>
      <c r="D21" s="154">
        <v>1</v>
      </c>
      <c r="E21" s="74">
        <v>22954000</v>
      </c>
      <c r="F21" s="57">
        <v>1595892.0143603629</v>
      </c>
      <c r="G21" s="74">
        <f t="shared" si="0"/>
        <v>18363200</v>
      </c>
      <c r="H21" s="74">
        <f t="shared" si="1"/>
        <v>27544800</v>
      </c>
      <c r="I21" s="174">
        <v>18363200</v>
      </c>
      <c r="J21" s="65">
        <v>1312198.9960396814</v>
      </c>
      <c r="K21" s="60">
        <f t="shared" si="2"/>
        <v>-4590800</v>
      </c>
      <c r="L21" s="60">
        <f t="shared" si="2"/>
        <v>-283693.01832068153</v>
      </c>
      <c r="M21" s="61">
        <f t="shared" si="3"/>
        <v>-0.2</v>
      </c>
      <c r="N21" s="61">
        <f t="shared" si="3"/>
        <v>-0.17776454532507097</v>
      </c>
    </row>
    <row r="22" spans="1:14" x14ac:dyDescent="0.3">
      <c r="A22" s="55" t="s">
        <v>104</v>
      </c>
      <c r="B22" s="55" t="s">
        <v>96</v>
      </c>
      <c r="C22" s="55" t="s">
        <v>172</v>
      </c>
      <c r="D22" s="154">
        <v>1</v>
      </c>
      <c r="E22" s="74">
        <v>7818984</v>
      </c>
      <c r="F22" s="57">
        <v>378283.24113526288</v>
      </c>
      <c r="G22" s="74">
        <f t="shared" si="0"/>
        <v>6255187.2000000002</v>
      </c>
      <c r="H22" s="74">
        <f t="shared" si="1"/>
        <v>9382780.7999999989</v>
      </c>
      <c r="I22" s="174">
        <v>6255187.2000000002</v>
      </c>
      <c r="J22" s="65">
        <v>309475.52118794719</v>
      </c>
      <c r="K22" s="60">
        <f t="shared" si="2"/>
        <v>-1563796.7999999998</v>
      </c>
      <c r="L22" s="60">
        <f t="shared" si="2"/>
        <v>-68807.719947315694</v>
      </c>
      <c r="M22" s="61">
        <f t="shared" si="3"/>
        <v>-0.19999999999999998</v>
      </c>
      <c r="N22" s="61">
        <f t="shared" si="3"/>
        <v>-0.18189470868658464</v>
      </c>
    </row>
    <row r="23" spans="1:14" x14ac:dyDescent="0.3">
      <c r="A23" s="55" t="s">
        <v>104</v>
      </c>
      <c r="B23" s="55" t="s">
        <v>174</v>
      </c>
      <c r="C23" s="55" t="s">
        <v>172</v>
      </c>
      <c r="D23" s="154">
        <v>1</v>
      </c>
      <c r="E23" s="74">
        <v>4782666</v>
      </c>
      <c r="F23" s="57">
        <v>91344.414528190871</v>
      </c>
      <c r="G23" s="74">
        <f t="shared" si="0"/>
        <v>3826132.8000000003</v>
      </c>
      <c r="H23" s="74">
        <f t="shared" si="1"/>
        <v>5739199.2000000002</v>
      </c>
      <c r="I23" s="174">
        <v>3826132.8000000003</v>
      </c>
      <c r="J23" s="65">
        <v>73643.055219609683</v>
      </c>
      <c r="K23" s="60">
        <f t="shared" si="2"/>
        <v>-956533.19999999972</v>
      </c>
      <c r="L23" s="60">
        <f t="shared" si="2"/>
        <v>-17701.359308581188</v>
      </c>
      <c r="M23" s="61">
        <f t="shared" si="3"/>
        <v>-0.19999999999999993</v>
      </c>
      <c r="N23" s="61">
        <f t="shared" si="3"/>
        <v>-0.19378699179376932</v>
      </c>
    </row>
    <row r="24" spans="1:14" x14ac:dyDescent="0.3">
      <c r="A24" s="55" t="s">
        <v>104</v>
      </c>
      <c r="B24" s="55" t="s">
        <v>171</v>
      </c>
      <c r="C24" s="55" t="s">
        <v>172</v>
      </c>
      <c r="D24" s="154">
        <v>1</v>
      </c>
      <c r="E24" s="74">
        <v>15700000</v>
      </c>
      <c r="F24" s="57">
        <v>360832.73711340129</v>
      </c>
      <c r="G24" s="74">
        <f t="shared" si="0"/>
        <v>12560000</v>
      </c>
      <c r="H24" s="74">
        <f t="shared" si="1"/>
        <v>18840000</v>
      </c>
      <c r="I24" s="174">
        <v>12560000</v>
      </c>
      <c r="J24" s="65">
        <v>293078.75773030706</v>
      </c>
      <c r="K24" s="60">
        <f t="shared" si="2"/>
        <v>-3140000</v>
      </c>
      <c r="L24" s="60">
        <f t="shared" si="2"/>
        <v>-67753.979383094236</v>
      </c>
      <c r="M24" s="61">
        <f t="shared" si="3"/>
        <v>-0.2</v>
      </c>
      <c r="N24" s="61">
        <f t="shared" si="3"/>
        <v>-0.18777115381801054</v>
      </c>
    </row>
    <row r="25" spans="1:14" x14ac:dyDescent="0.3">
      <c r="A25" s="75" t="s">
        <v>104</v>
      </c>
      <c r="B25" s="75" t="s">
        <v>103</v>
      </c>
      <c r="C25" s="75"/>
      <c r="D25" s="75"/>
      <c r="E25" s="76">
        <f t="shared" ref="E25:J25" si="4">SUM(E17:E24)</f>
        <v>81102300</v>
      </c>
      <c r="F25" s="77">
        <f t="shared" si="4"/>
        <v>7576032.3955975948</v>
      </c>
      <c r="G25" s="76">
        <f t="shared" si="4"/>
        <v>64881840</v>
      </c>
      <c r="H25" s="76">
        <f t="shared" si="4"/>
        <v>97322760</v>
      </c>
      <c r="I25" s="83">
        <f t="shared" si="4"/>
        <v>66102300.03717342</v>
      </c>
      <c r="J25" s="175">
        <f t="shared" si="4"/>
        <v>6579458.9391220864</v>
      </c>
      <c r="K25" s="76">
        <f>SUM(K17:K24)</f>
        <v>-14999999.962826584</v>
      </c>
      <c r="L25" s="175">
        <f>SUM(L17:L24)</f>
        <v>-996573.45647550782</v>
      </c>
      <c r="M25" s="79">
        <f>K25/E25</f>
        <v>-0.18495159770840758</v>
      </c>
      <c r="N25" s="79">
        <f t="shared" si="3"/>
        <v>-0.13154292437484996</v>
      </c>
    </row>
    <row r="30" spans="1:14" ht="55.2" x14ac:dyDescent="0.3">
      <c r="A30" s="215" t="s">
        <v>180</v>
      </c>
      <c r="D30" s="191" t="s">
        <v>149</v>
      </c>
      <c r="E30" s="191" t="s">
        <v>194</v>
      </c>
      <c r="F30" s="191" t="s">
        <v>198</v>
      </c>
      <c r="G30" s="191" t="s">
        <v>195</v>
      </c>
      <c r="H30" s="191" t="s">
        <v>196</v>
      </c>
      <c r="I30" s="191" t="s">
        <v>197</v>
      </c>
    </row>
    <row r="31" spans="1:14" x14ac:dyDescent="0.3">
      <c r="A31" s="215"/>
      <c r="D31" s="192">
        <v>11.53</v>
      </c>
      <c r="E31" s="193">
        <v>1876</v>
      </c>
      <c r="F31" s="193">
        <v>1118</v>
      </c>
      <c r="G31" s="194">
        <v>194</v>
      </c>
      <c r="H31" s="195">
        <v>0.4</v>
      </c>
      <c r="I31" s="194">
        <f>(1-H31)*G31</f>
        <v>116.39999999999999</v>
      </c>
    </row>
    <row r="32" spans="1:14" ht="13.8" customHeight="1" x14ac:dyDescent="0.3">
      <c r="A32" s="207" t="s">
        <v>2</v>
      </c>
      <c r="B32" s="209" t="s">
        <v>3</v>
      </c>
      <c r="C32" s="209" t="str">
        <f t="shared" ref="C32:D42" si="5">D15</f>
        <v>Response Scaling Factor for Sensitivity Analysis</v>
      </c>
      <c r="D32" s="210" t="s">
        <v>86</v>
      </c>
      <c r="E32" s="211"/>
      <c r="F32" s="211"/>
      <c r="G32" s="212"/>
      <c r="H32" s="213" t="s">
        <v>89</v>
      </c>
      <c r="I32" s="214"/>
      <c r="J32" s="214"/>
      <c r="K32" s="210" t="s">
        <v>189</v>
      </c>
      <c r="L32" s="211"/>
      <c r="M32" s="211"/>
      <c r="N32" s="212"/>
    </row>
    <row r="33" spans="1:14" ht="74.400000000000006" customHeight="1" x14ac:dyDescent="0.3">
      <c r="A33" s="208"/>
      <c r="B33" s="208"/>
      <c r="C33" s="208">
        <f t="shared" si="5"/>
        <v>0</v>
      </c>
      <c r="D33" s="202" t="s">
        <v>182</v>
      </c>
      <c r="E33" s="202" t="s">
        <v>181</v>
      </c>
      <c r="F33" s="202" t="s">
        <v>183</v>
      </c>
      <c r="G33" s="202" t="s">
        <v>199</v>
      </c>
      <c r="H33" s="62" t="s">
        <v>187</v>
      </c>
      <c r="I33" s="62" t="s">
        <v>188</v>
      </c>
      <c r="J33" s="62" t="s">
        <v>200</v>
      </c>
      <c r="K33" s="202" t="s">
        <v>190</v>
      </c>
      <c r="L33" s="202" t="s">
        <v>191</v>
      </c>
      <c r="M33" s="202" t="s">
        <v>192</v>
      </c>
      <c r="N33" s="202" t="s">
        <v>193</v>
      </c>
    </row>
    <row r="34" spans="1:14" x14ac:dyDescent="0.3">
      <c r="A34" s="54" t="s">
        <v>13</v>
      </c>
      <c r="B34" s="54" t="s">
        <v>93</v>
      </c>
      <c r="C34" s="153">
        <f t="shared" si="5"/>
        <v>1</v>
      </c>
      <c r="D34" s="166">
        <f t="shared" si="5"/>
        <v>5991499</v>
      </c>
      <c r="E34" s="164" t="s">
        <v>176</v>
      </c>
      <c r="F34" s="168">
        <f>F17/$D$31</f>
        <v>200413.29391107525</v>
      </c>
      <c r="G34" s="170">
        <f>F34*$F$31</f>
        <v>224062062.59258214</v>
      </c>
      <c r="H34" s="176">
        <f t="shared" ref="H34:H41" si="6">I17</f>
        <v>6013659.2371734157</v>
      </c>
      <c r="I34" s="168">
        <f>J17/$D$31</f>
        <v>201144.65636991279</v>
      </c>
      <c r="J34" s="179">
        <f>I34*$F$31</f>
        <v>224879725.8215625</v>
      </c>
      <c r="K34" s="166">
        <f>H34-D34</f>
        <v>22160.23717341572</v>
      </c>
      <c r="L34" s="166">
        <f>J34-G34</f>
        <v>817663.22898036242</v>
      </c>
      <c r="M34" s="182">
        <f>K34/D34</f>
        <v>3.6986131806774434E-3</v>
      </c>
      <c r="N34" s="183">
        <f>L34/G34</f>
        <v>3.6492711863816978E-3</v>
      </c>
    </row>
    <row r="35" spans="1:14" x14ac:dyDescent="0.3">
      <c r="A35" s="55" t="s">
        <v>170</v>
      </c>
      <c r="B35" s="55" t="s">
        <v>93</v>
      </c>
      <c r="C35" s="154">
        <f t="shared" si="5"/>
        <v>1</v>
      </c>
      <c r="D35" s="167">
        <f t="shared" si="5"/>
        <v>15610435</v>
      </c>
      <c r="E35" s="165" t="s">
        <v>176</v>
      </c>
      <c r="F35" s="169">
        <f t="shared" ref="F35:F40" si="7">F18/$D$31</f>
        <v>230933.63819705584</v>
      </c>
      <c r="G35" s="171">
        <f t="shared" ref="G35:G40" si="8">F35*$F$31</f>
        <v>258183807.50430843</v>
      </c>
      <c r="H35" s="177">
        <f t="shared" si="6"/>
        <v>12488348</v>
      </c>
      <c r="I35" s="169">
        <f t="shared" ref="I35:I40" si="9">J18/$D$31</f>
        <v>184710.21661853645</v>
      </c>
      <c r="J35" s="180">
        <f t="shared" ref="J35:J40" si="10">I35*$F$31</f>
        <v>206506022.17952374</v>
      </c>
      <c r="K35" s="167">
        <f t="shared" ref="K35:K42" si="11">H35-D35</f>
        <v>-3122087</v>
      </c>
      <c r="L35" s="167">
        <f t="shared" ref="L35:L42" si="12">J35-G35</f>
        <v>-51677785.324784696</v>
      </c>
      <c r="M35" s="184">
        <f t="shared" ref="M35:M42" si="13">K35/D35</f>
        <v>-0.2</v>
      </c>
      <c r="N35" s="185">
        <f t="shared" ref="N35:N42" si="14">L35/G35</f>
        <v>-0.20015889386836286</v>
      </c>
    </row>
    <row r="36" spans="1:14" x14ac:dyDescent="0.3">
      <c r="A36" s="55" t="s">
        <v>104</v>
      </c>
      <c r="B36" s="55" t="s">
        <v>95</v>
      </c>
      <c r="C36" s="154">
        <f t="shared" si="5"/>
        <v>1</v>
      </c>
      <c r="D36" s="167">
        <f t="shared" si="5"/>
        <v>3804716</v>
      </c>
      <c r="E36" s="165" t="s">
        <v>176</v>
      </c>
      <c r="F36" s="169">
        <f t="shared" si="7"/>
        <v>13058.170083390574</v>
      </c>
      <c r="G36" s="171">
        <f t="shared" si="8"/>
        <v>14599034.153230662</v>
      </c>
      <c r="H36" s="177">
        <f t="shared" si="6"/>
        <v>3043772.8000000003</v>
      </c>
      <c r="I36" s="169">
        <f t="shared" si="9"/>
        <v>10446.456617089221</v>
      </c>
      <c r="J36" s="180">
        <f t="shared" si="10"/>
        <v>11679138.49790575</v>
      </c>
      <c r="K36" s="167">
        <f t="shared" si="11"/>
        <v>-760943.19999999972</v>
      </c>
      <c r="L36" s="167">
        <f t="shared" si="12"/>
        <v>-2919895.6553249117</v>
      </c>
      <c r="M36" s="184">
        <f t="shared" si="13"/>
        <v>-0.19999999999999993</v>
      </c>
      <c r="N36" s="185">
        <f t="shared" si="14"/>
        <v>-0.20000608428460726</v>
      </c>
    </row>
    <row r="37" spans="1:14" x14ac:dyDescent="0.3">
      <c r="A37" s="55" t="s">
        <v>104</v>
      </c>
      <c r="B37" s="55" t="s">
        <v>94</v>
      </c>
      <c r="C37" s="154">
        <f t="shared" si="5"/>
        <v>1</v>
      </c>
      <c r="D37" s="167">
        <f t="shared" si="5"/>
        <v>4440000</v>
      </c>
      <c r="E37" s="165" t="s">
        <v>176</v>
      </c>
      <c r="F37" s="169">
        <f t="shared" si="7"/>
        <v>2228.0277703496668</v>
      </c>
      <c r="G37" s="171">
        <f t="shared" si="8"/>
        <v>2490935.0472509274</v>
      </c>
      <c r="H37" s="177">
        <f t="shared" si="6"/>
        <v>3552000</v>
      </c>
      <c r="I37" s="169">
        <f t="shared" si="9"/>
        <v>1882.7648389143997</v>
      </c>
      <c r="J37" s="180">
        <f t="shared" si="10"/>
        <v>2104931.089906299</v>
      </c>
      <c r="K37" s="167">
        <f t="shared" si="11"/>
        <v>-888000</v>
      </c>
      <c r="L37" s="167">
        <f t="shared" si="12"/>
        <v>-386003.9573446284</v>
      </c>
      <c r="M37" s="184">
        <f t="shared" si="13"/>
        <v>-0.2</v>
      </c>
      <c r="N37" s="185">
        <f t="shared" si="14"/>
        <v>-0.15496347757868445</v>
      </c>
    </row>
    <row r="38" spans="1:14" x14ac:dyDescent="0.3">
      <c r="A38" s="55" t="s">
        <v>104</v>
      </c>
      <c r="B38" s="55" t="s">
        <v>108</v>
      </c>
      <c r="C38" s="154">
        <f t="shared" si="5"/>
        <v>1</v>
      </c>
      <c r="D38" s="167">
        <f t="shared" si="5"/>
        <v>22954000</v>
      </c>
      <c r="E38" s="165" t="s">
        <v>176</v>
      </c>
      <c r="F38" s="169">
        <f t="shared" si="7"/>
        <v>138412.14348311909</v>
      </c>
      <c r="G38" s="171">
        <f t="shared" si="8"/>
        <v>154744776.41412714</v>
      </c>
      <c r="H38" s="177">
        <f t="shared" si="6"/>
        <v>18363200</v>
      </c>
      <c r="I38" s="169">
        <f t="shared" si="9"/>
        <v>113807.37172937393</v>
      </c>
      <c r="J38" s="180">
        <f t="shared" si="10"/>
        <v>127236641.59344006</v>
      </c>
      <c r="K38" s="167">
        <f t="shared" si="11"/>
        <v>-4590800</v>
      </c>
      <c r="L38" s="167">
        <f t="shared" si="12"/>
        <v>-27508134.820687085</v>
      </c>
      <c r="M38" s="184">
        <f t="shared" si="13"/>
        <v>-0.2</v>
      </c>
      <c r="N38" s="185">
        <f t="shared" si="14"/>
        <v>-0.17776454532507102</v>
      </c>
    </row>
    <row r="39" spans="1:14" x14ac:dyDescent="0.3">
      <c r="A39" s="55" t="s">
        <v>104</v>
      </c>
      <c r="B39" s="55" t="s">
        <v>96</v>
      </c>
      <c r="C39" s="154">
        <f t="shared" si="5"/>
        <v>1</v>
      </c>
      <c r="D39" s="167">
        <f t="shared" si="5"/>
        <v>7818984</v>
      </c>
      <c r="E39" s="165" t="s">
        <v>176</v>
      </c>
      <c r="F39" s="169">
        <f t="shared" si="7"/>
        <v>32808.607210343704</v>
      </c>
      <c r="G39" s="171">
        <f t="shared" si="8"/>
        <v>36680022.861164257</v>
      </c>
      <c r="H39" s="177">
        <f t="shared" si="6"/>
        <v>6255187.2000000002</v>
      </c>
      <c r="I39" s="169">
        <f t="shared" si="9"/>
        <v>26840.895159405656</v>
      </c>
      <c r="J39" s="180">
        <f t="shared" si="10"/>
        <v>30008120.788215525</v>
      </c>
      <c r="K39" s="167">
        <f t="shared" si="11"/>
        <v>-1563796.7999999998</v>
      </c>
      <c r="L39" s="167">
        <f t="shared" si="12"/>
        <v>-6671902.0729487315</v>
      </c>
      <c r="M39" s="184">
        <f t="shared" si="13"/>
        <v>-0.19999999999999998</v>
      </c>
      <c r="N39" s="185">
        <f t="shared" si="14"/>
        <v>-0.18189470868658447</v>
      </c>
    </row>
    <row r="40" spans="1:14" x14ac:dyDescent="0.3">
      <c r="A40" s="55" t="s">
        <v>104</v>
      </c>
      <c r="B40" s="55" t="s">
        <v>174</v>
      </c>
      <c r="C40" s="154">
        <f t="shared" si="5"/>
        <v>1</v>
      </c>
      <c r="D40" s="167">
        <f t="shared" si="5"/>
        <v>4782666</v>
      </c>
      <c r="E40" s="165" t="s">
        <v>176</v>
      </c>
      <c r="F40" s="169">
        <f t="shared" si="7"/>
        <v>7922.3256312394515</v>
      </c>
      <c r="G40" s="171">
        <f t="shared" si="8"/>
        <v>8857160.0557257067</v>
      </c>
      <c r="H40" s="177">
        <f t="shared" si="6"/>
        <v>3826132.8000000003</v>
      </c>
      <c r="I40" s="169">
        <f t="shared" si="9"/>
        <v>6387.0819791508839</v>
      </c>
      <c r="J40" s="180">
        <f t="shared" si="10"/>
        <v>7140757.6526906881</v>
      </c>
      <c r="K40" s="167">
        <f t="shared" si="11"/>
        <v>-956533.19999999972</v>
      </c>
      <c r="L40" s="167">
        <f t="shared" si="12"/>
        <v>-1716402.4030350186</v>
      </c>
      <c r="M40" s="184">
        <f t="shared" si="13"/>
        <v>-0.19999999999999993</v>
      </c>
      <c r="N40" s="185">
        <f t="shared" si="14"/>
        <v>-0.19378699179376929</v>
      </c>
    </row>
    <row r="41" spans="1:14" x14ac:dyDescent="0.3">
      <c r="A41" s="55" t="s">
        <v>104</v>
      </c>
      <c r="B41" s="55" t="s">
        <v>171</v>
      </c>
      <c r="C41" s="154">
        <f t="shared" si="5"/>
        <v>1</v>
      </c>
      <c r="D41" s="167">
        <f t="shared" si="5"/>
        <v>15700000</v>
      </c>
      <c r="E41" s="187" t="s">
        <v>175</v>
      </c>
      <c r="F41" s="169">
        <f t="shared" ref="F41" si="15">F24</f>
        <v>360832.73711340129</v>
      </c>
      <c r="G41" s="171">
        <f>F41*$I$31</f>
        <v>42000930.599999905</v>
      </c>
      <c r="H41" s="177">
        <f t="shared" si="6"/>
        <v>12560000</v>
      </c>
      <c r="I41" s="169">
        <f>J24</f>
        <v>293078.75773030706</v>
      </c>
      <c r="J41" s="180">
        <f>I41*$I$31</f>
        <v>34114367.399807736</v>
      </c>
      <c r="K41" s="167">
        <f t="shared" si="11"/>
        <v>-3140000</v>
      </c>
      <c r="L41" s="167">
        <f t="shared" si="12"/>
        <v>-7886563.2001921684</v>
      </c>
      <c r="M41" s="184">
        <f t="shared" si="13"/>
        <v>-0.2</v>
      </c>
      <c r="N41" s="185">
        <f t="shared" si="14"/>
        <v>-0.18777115381801054</v>
      </c>
    </row>
    <row r="42" spans="1:14" x14ac:dyDescent="0.3">
      <c r="A42" s="75" t="s">
        <v>104</v>
      </c>
      <c r="B42" s="75" t="s">
        <v>103</v>
      </c>
      <c r="C42" s="75">
        <f t="shared" si="5"/>
        <v>0</v>
      </c>
      <c r="D42" s="76">
        <f>SUM(D34:D41)</f>
        <v>81102300</v>
      </c>
      <c r="E42" s="77"/>
      <c r="F42" s="77"/>
      <c r="G42" s="172">
        <f>SUM(G34:G41)</f>
        <v>741618729.22838914</v>
      </c>
      <c r="H42" s="178">
        <f>SUM(H34:H41)</f>
        <v>66102300.03717342</v>
      </c>
      <c r="I42" s="77"/>
      <c r="J42" s="181">
        <f>SUM(J34:J41)</f>
        <v>643669705.0230521</v>
      </c>
      <c r="K42" s="76">
        <f t="shared" si="11"/>
        <v>-14999999.96282658</v>
      </c>
      <c r="L42" s="200">
        <f t="shared" si="12"/>
        <v>-97949024.205337048</v>
      </c>
      <c r="M42" s="79">
        <f t="shared" si="13"/>
        <v>-0.18495159770840752</v>
      </c>
      <c r="N42" s="186">
        <f t="shared" si="14"/>
        <v>-0.13207463666302935</v>
      </c>
    </row>
    <row r="43" spans="1:14" x14ac:dyDescent="0.3">
      <c r="D43" s="188">
        <v>0.54</v>
      </c>
      <c r="E43" s="188">
        <v>0.34</v>
      </c>
      <c r="F43" s="159" t="s">
        <v>184</v>
      </c>
      <c r="G43" s="189">
        <f>SUM(G34:G40)*$E$43 + (G41*$D$43)</f>
        <v>260550554.05765232</v>
      </c>
      <c r="I43" s="157"/>
      <c r="J43" s="189">
        <f>SUM(J34:J40)*$E$43 + (J41*$D$43)</f>
        <v>225670573.18779927</v>
      </c>
      <c r="L43" s="189">
        <f>SUM(L34:L40)*$E$43 + (L41*$D$43)</f>
        <v>-34879980.869852975</v>
      </c>
      <c r="M43" s="201">
        <f>L43/L42</f>
        <v>0.35610340330427137</v>
      </c>
      <c r="N43" s="190">
        <f>N42*(L43/L42)</f>
        <v>-4.7032227605879849E-2</v>
      </c>
    </row>
    <row r="44" spans="1:14" x14ac:dyDescent="0.3">
      <c r="D44" s="188">
        <v>0.46</v>
      </c>
      <c r="E44" s="188">
        <v>0.39</v>
      </c>
      <c r="F44" s="159" t="s">
        <v>185</v>
      </c>
      <c r="G44" s="189">
        <f>SUM(G34:G40)*$E$44 + (G41*$D$44)</f>
        <v>292171369.54107177</v>
      </c>
      <c r="I44" s="157"/>
      <c r="J44" s="189">
        <f>SUM(J34:J40)*$E$44 + (J41*$D$44)</f>
        <v>253419190.67697689</v>
      </c>
      <c r="L44" s="189">
        <f>SUM(L34:L40)*$E$44 + (L41*$D$44)</f>
        <v>-38752178.864094839</v>
      </c>
      <c r="M44" s="201">
        <f>L44/L42</f>
        <v>0.39563619115649451</v>
      </c>
      <c r="N44" s="190">
        <f>N42*(L44/L42)</f>
        <v>-5.2253506197738837E-2</v>
      </c>
    </row>
    <row r="45" spans="1:14" x14ac:dyDescent="0.3">
      <c r="D45" s="188">
        <v>0</v>
      </c>
      <c r="E45" s="188">
        <v>0.27</v>
      </c>
      <c r="F45" s="159" t="s">
        <v>186</v>
      </c>
      <c r="G45" s="189">
        <f>SUM(G34:G40)*$E$45 + (G41*$D$45)</f>
        <v>188896805.62966511</v>
      </c>
      <c r="I45" s="157"/>
      <c r="J45" s="189">
        <f>SUM(J34:J40)*$E$45 + (J41*$D$45)</f>
        <v>164579941.15827599</v>
      </c>
      <c r="L45" s="189">
        <f>SUM(L34:L40)*$E$45 + (L41*$D$45)</f>
        <v>-24316864.471389074</v>
      </c>
      <c r="M45" s="201">
        <f>L45/L42</f>
        <v>0.24826040553923248</v>
      </c>
      <c r="N45" s="190">
        <f>N42*(L45/L42)</f>
        <v>-3.2788902859410447E-2</v>
      </c>
    </row>
    <row r="46" spans="1:14" x14ac:dyDescent="0.3">
      <c r="D46" s="162" t="s">
        <v>175</v>
      </c>
      <c r="E46" s="162" t="s">
        <v>209</v>
      </c>
    </row>
    <row r="47" spans="1:14" ht="27.6" x14ac:dyDescent="0.3">
      <c r="D47" s="160" t="s">
        <v>210</v>
      </c>
    </row>
  </sheetData>
  <mergeCells count="19">
    <mergeCell ref="I15:J15"/>
    <mergeCell ref="K15:N15"/>
    <mergeCell ref="A30:A31"/>
    <mergeCell ref="A32:A33"/>
    <mergeCell ref="B32:B33"/>
    <mergeCell ref="C32:C33"/>
    <mergeCell ref="D32:G32"/>
    <mergeCell ref="H32:J32"/>
    <mergeCell ref="K32:N32"/>
    <mergeCell ref="B4:I4"/>
    <mergeCell ref="E5:I5"/>
    <mergeCell ref="E6:I6"/>
    <mergeCell ref="A11:A12"/>
    <mergeCell ref="A15:A16"/>
    <mergeCell ref="B15:B16"/>
    <mergeCell ref="C15:C16"/>
    <mergeCell ref="D15:D16"/>
    <mergeCell ref="E15:F15"/>
    <mergeCell ref="G15:H15"/>
  </mergeCells>
  <pageMargins left="0.7" right="0.7" top="0.75" bottom="0.75" header="0.3" footer="0.3"/>
  <pageSetup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N47"/>
  <sheetViews>
    <sheetView topLeftCell="D10" workbookViewId="0">
      <selection activeCell="A4" sqref="A4"/>
    </sheetView>
  </sheetViews>
  <sheetFormatPr defaultRowHeight="13.8" x14ac:dyDescent="0.3"/>
  <cols>
    <col min="1" max="1" width="14.109375" style="162" customWidth="1"/>
    <col min="2" max="2" width="14.21875" style="162" customWidth="1"/>
    <col min="3" max="3" width="13.88671875" style="162" customWidth="1"/>
    <col min="4" max="4" width="12.44140625" style="162" customWidth="1"/>
    <col min="5" max="5" width="13.88671875" style="162" customWidth="1"/>
    <col min="6" max="6" width="12.44140625" style="162" customWidth="1"/>
    <col min="7" max="7" width="13.77734375" style="162" customWidth="1"/>
    <col min="8" max="8" width="14" style="162" customWidth="1"/>
    <col min="9" max="9" width="14.6640625" style="162" customWidth="1"/>
    <col min="10" max="10" width="14.77734375" style="162" customWidth="1"/>
    <col min="11" max="11" width="13.88671875" style="162" customWidth="1"/>
    <col min="12" max="12" width="13.5546875" style="162" customWidth="1"/>
    <col min="13" max="13" width="11.21875" style="162" customWidth="1"/>
    <col min="14" max="14" width="10.5546875" style="162" customWidth="1"/>
    <col min="15" max="16384" width="8.88671875" style="162"/>
  </cols>
  <sheetData>
    <row r="1" spans="1:14" x14ac:dyDescent="0.3">
      <c r="A1" s="48" t="s">
        <v>0</v>
      </c>
      <c r="B1" s="162" t="s">
        <v>166</v>
      </c>
    </row>
    <row r="2" spans="1:14" x14ac:dyDescent="0.3">
      <c r="A2" s="48" t="s">
        <v>76</v>
      </c>
      <c r="B2" s="162" t="s">
        <v>104</v>
      </c>
    </row>
    <row r="3" spans="1:14" x14ac:dyDescent="0.3">
      <c r="A3" s="48" t="s">
        <v>77</v>
      </c>
      <c r="B3" s="162" t="s">
        <v>165</v>
      </c>
    </row>
    <row r="4" spans="1:14" ht="29.4" customHeight="1" x14ac:dyDescent="0.3">
      <c r="A4" s="49" t="s">
        <v>78</v>
      </c>
      <c r="B4" s="291" t="s">
        <v>221</v>
      </c>
      <c r="C4" s="292"/>
      <c r="D4" s="292"/>
      <c r="E4" s="292"/>
      <c r="F4" s="292"/>
      <c r="G4" s="292"/>
      <c r="H4" s="292"/>
      <c r="I4" s="292"/>
    </row>
    <row r="5" spans="1:14" x14ac:dyDescent="0.3">
      <c r="A5" s="48" t="s">
        <v>79</v>
      </c>
      <c r="B5" s="162" t="s">
        <v>167</v>
      </c>
      <c r="E5" s="216" t="s">
        <v>50</v>
      </c>
      <c r="F5" s="217"/>
      <c r="G5" s="217"/>
      <c r="H5" s="217"/>
      <c r="I5" s="218"/>
    </row>
    <row r="6" spans="1:14" x14ac:dyDescent="0.3">
      <c r="A6" s="48" t="s">
        <v>80</v>
      </c>
      <c r="B6" s="162" t="s">
        <v>168</v>
      </c>
      <c r="E6" s="219" t="s">
        <v>51</v>
      </c>
      <c r="F6" s="220"/>
      <c r="G6" s="220"/>
      <c r="H6" s="220"/>
      <c r="I6" s="221"/>
    </row>
    <row r="7" spans="1:14" ht="14.4" thickBot="1" x14ac:dyDescent="0.35"/>
    <row r="8" spans="1:14" ht="14.4" thickBot="1" x14ac:dyDescent="0.35">
      <c r="A8" s="52" t="s">
        <v>81</v>
      </c>
    </row>
    <row r="9" spans="1:14" ht="14.4" thickBot="1" x14ac:dyDescent="0.35">
      <c r="A9" s="29" t="s">
        <v>83</v>
      </c>
      <c r="B9" s="66">
        <f>SUM(J17:J24)</f>
        <v>7678590.4868183406</v>
      </c>
    </row>
    <row r="10" spans="1:14" ht="14.4" thickBot="1" x14ac:dyDescent="0.35">
      <c r="A10" s="50"/>
    </row>
    <row r="11" spans="1:14" ht="27.6" x14ac:dyDescent="0.3">
      <c r="A11" s="222" t="s">
        <v>82</v>
      </c>
      <c r="B11" s="51" t="s">
        <v>84</v>
      </c>
      <c r="C11" s="203" t="s">
        <v>100</v>
      </c>
      <c r="D11" s="204" t="s">
        <v>101</v>
      </c>
      <c r="E11" s="162" t="s">
        <v>97</v>
      </c>
    </row>
    <row r="12" spans="1:14" ht="14.4" thickBot="1" x14ac:dyDescent="0.35">
      <c r="A12" s="223"/>
      <c r="B12" s="158">
        <f>81102300 - 10000000</f>
        <v>71102300</v>
      </c>
      <c r="C12" s="81">
        <f>1*B12 - 1</f>
        <v>71102299</v>
      </c>
      <c r="D12" s="82">
        <f>1*B12 + 1</f>
        <v>71102301</v>
      </c>
    </row>
    <row r="13" spans="1:14" ht="14.4" thickBot="1" x14ac:dyDescent="0.35"/>
    <row r="14" spans="1:14" ht="60.6" customHeight="1" thickBot="1" x14ac:dyDescent="0.35">
      <c r="A14" s="53" t="s">
        <v>85</v>
      </c>
      <c r="D14" s="160" t="s">
        <v>98</v>
      </c>
      <c r="E14" s="160" t="s">
        <v>98</v>
      </c>
      <c r="F14" s="160" t="s">
        <v>99</v>
      </c>
      <c r="G14" s="163">
        <v>0.8</v>
      </c>
      <c r="H14" s="163">
        <v>1.2</v>
      </c>
      <c r="I14" s="160" t="s">
        <v>98</v>
      </c>
      <c r="J14" s="160" t="s">
        <v>99</v>
      </c>
    </row>
    <row r="15" spans="1:14" ht="27.6" customHeight="1" x14ac:dyDescent="0.3">
      <c r="A15" s="224" t="s">
        <v>2</v>
      </c>
      <c r="B15" s="209" t="s">
        <v>3</v>
      </c>
      <c r="C15" s="209" t="s">
        <v>38</v>
      </c>
      <c r="D15" s="209" t="s">
        <v>169</v>
      </c>
      <c r="E15" s="225" t="s">
        <v>86</v>
      </c>
      <c r="F15" s="226"/>
      <c r="G15" s="227" t="s">
        <v>179</v>
      </c>
      <c r="H15" s="228"/>
      <c r="I15" s="227" t="s">
        <v>89</v>
      </c>
      <c r="J15" s="228"/>
      <c r="K15" s="225" t="s">
        <v>90</v>
      </c>
      <c r="L15" s="229"/>
      <c r="M15" s="229"/>
      <c r="N15" s="226"/>
    </row>
    <row r="16" spans="1:14" ht="27.6" x14ac:dyDescent="0.3">
      <c r="A16" s="208"/>
      <c r="B16" s="208"/>
      <c r="C16" s="208"/>
      <c r="D16" s="208"/>
      <c r="E16" s="202" t="s">
        <v>203</v>
      </c>
      <c r="F16" s="202" t="s">
        <v>204</v>
      </c>
      <c r="G16" s="202" t="s">
        <v>87</v>
      </c>
      <c r="H16" s="202" t="s">
        <v>88</v>
      </c>
      <c r="I16" s="62" t="s">
        <v>201</v>
      </c>
      <c r="J16" s="62" t="s">
        <v>202</v>
      </c>
      <c r="K16" s="202" t="s">
        <v>177</v>
      </c>
      <c r="L16" s="202" t="s">
        <v>178</v>
      </c>
      <c r="M16" s="202" t="s">
        <v>91</v>
      </c>
      <c r="N16" s="202" t="s">
        <v>92</v>
      </c>
    </row>
    <row r="17" spans="1:14" x14ac:dyDescent="0.3">
      <c r="A17" s="54" t="s">
        <v>13</v>
      </c>
      <c r="B17" s="54" t="s">
        <v>93</v>
      </c>
      <c r="C17" s="55" t="s">
        <v>102</v>
      </c>
      <c r="D17" s="153">
        <v>1</v>
      </c>
      <c r="E17" s="73">
        <v>5991499</v>
      </c>
      <c r="F17" s="56">
        <v>2310765.2787946975</v>
      </c>
      <c r="G17" s="73">
        <f>E17*$G$14</f>
        <v>4793199.2</v>
      </c>
      <c r="H17" s="73">
        <f>E17*$H$14</f>
        <v>7189798.7999999998</v>
      </c>
      <c r="I17" s="173">
        <v>7189798.8000000007</v>
      </c>
      <c r="J17" s="64">
        <v>2765547.9922391665</v>
      </c>
      <c r="K17" s="58">
        <f>I17-E17</f>
        <v>1198299.8000000007</v>
      </c>
      <c r="L17" s="58">
        <f>J17-F17</f>
        <v>454782.71344446903</v>
      </c>
      <c r="M17" s="59">
        <f>K17/E17</f>
        <v>0.20000000000000012</v>
      </c>
      <c r="N17" s="59">
        <f>L17/F17</f>
        <v>0.19681043229180123</v>
      </c>
    </row>
    <row r="18" spans="1:14" x14ac:dyDescent="0.3">
      <c r="A18" s="55" t="s">
        <v>170</v>
      </c>
      <c r="B18" s="55" t="s">
        <v>93</v>
      </c>
      <c r="C18" s="55" t="s">
        <v>102</v>
      </c>
      <c r="D18" s="154">
        <v>1</v>
      </c>
      <c r="E18" s="74">
        <v>15610435</v>
      </c>
      <c r="F18" s="57">
        <v>2662664.8484120537</v>
      </c>
      <c r="G18" s="74">
        <f t="shared" ref="G18:G24" si="0">E18*$G$14</f>
        <v>12488348</v>
      </c>
      <c r="H18" s="74">
        <f t="shared" ref="H18:H24" si="1">E18*$H$14</f>
        <v>18732522</v>
      </c>
      <c r="I18" s="174">
        <v>16312208.417728445</v>
      </c>
      <c r="J18" s="65">
        <v>2782490.2410139074</v>
      </c>
      <c r="K18" s="60">
        <f t="shared" ref="K18:L24" si="2">I18-E18</f>
        <v>701773.41772844456</v>
      </c>
      <c r="L18" s="60">
        <f t="shared" si="2"/>
        <v>119825.3926018537</v>
      </c>
      <c r="M18" s="61">
        <f t="shared" ref="M18:N25" si="3">K18/E18</f>
        <v>4.4955404364352726E-2</v>
      </c>
      <c r="N18" s="61">
        <f t="shared" si="3"/>
        <v>4.5002055994134808E-2</v>
      </c>
    </row>
    <row r="19" spans="1:14" x14ac:dyDescent="0.3">
      <c r="A19" s="55" t="s">
        <v>104</v>
      </c>
      <c r="B19" s="55" t="s">
        <v>95</v>
      </c>
      <c r="C19" s="55" t="s">
        <v>102</v>
      </c>
      <c r="D19" s="154">
        <v>1</v>
      </c>
      <c r="E19" s="74">
        <v>3804716</v>
      </c>
      <c r="F19" s="57">
        <v>150560.70106149331</v>
      </c>
      <c r="G19" s="74">
        <f t="shared" si="0"/>
        <v>3043772.8000000003</v>
      </c>
      <c r="H19" s="74">
        <f t="shared" si="1"/>
        <v>4565659.2</v>
      </c>
      <c r="I19" s="174">
        <v>3043772.8000000003</v>
      </c>
      <c r="J19" s="65">
        <v>120447.64479503871</v>
      </c>
      <c r="K19" s="60">
        <f t="shared" si="2"/>
        <v>-760943.19999999972</v>
      </c>
      <c r="L19" s="60">
        <f t="shared" si="2"/>
        <v>-30113.056266454601</v>
      </c>
      <c r="M19" s="61">
        <f t="shared" si="3"/>
        <v>-0.19999999999999993</v>
      </c>
      <c r="N19" s="61">
        <f t="shared" si="3"/>
        <v>-0.20000608428460734</v>
      </c>
    </row>
    <row r="20" spans="1:14" x14ac:dyDescent="0.3">
      <c r="A20" s="55" t="s">
        <v>104</v>
      </c>
      <c r="B20" s="55" t="s">
        <v>94</v>
      </c>
      <c r="C20" s="55" t="s">
        <v>173</v>
      </c>
      <c r="D20" s="154">
        <v>1</v>
      </c>
      <c r="E20" s="74">
        <v>4440000</v>
      </c>
      <c r="F20" s="57">
        <v>25689.160192131658</v>
      </c>
      <c r="G20" s="74">
        <f t="shared" si="0"/>
        <v>3552000</v>
      </c>
      <c r="H20" s="74">
        <f t="shared" si="1"/>
        <v>5328000</v>
      </c>
      <c r="I20" s="174">
        <v>3552000</v>
      </c>
      <c r="J20" s="65">
        <v>21708.278592683026</v>
      </c>
      <c r="K20" s="60">
        <f t="shared" si="2"/>
        <v>-888000</v>
      </c>
      <c r="L20" s="60">
        <f t="shared" si="2"/>
        <v>-3980.8815994486322</v>
      </c>
      <c r="M20" s="61">
        <f t="shared" si="3"/>
        <v>-0.2</v>
      </c>
      <c r="N20" s="61">
        <f t="shared" si="3"/>
        <v>-0.15496347757868464</v>
      </c>
    </row>
    <row r="21" spans="1:14" x14ac:dyDescent="0.3">
      <c r="A21" s="55" t="s">
        <v>104</v>
      </c>
      <c r="B21" s="55" t="s">
        <v>108</v>
      </c>
      <c r="C21" s="55" t="s">
        <v>172</v>
      </c>
      <c r="D21" s="154">
        <v>1</v>
      </c>
      <c r="E21" s="74">
        <v>22954000</v>
      </c>
      <c r="F21" s="57">
        <v>1595892.0143603629</v>
      </c>
      <c r="G21" s="74">
        <f t="shared" si="0"/>
        <v>18363200</v>
      </c>
      <c r="H21" s="74">
        <f t="shared" si="1"/>
        <v>27544800</v>
      </c>
      <c r="I21" s="174">
        <v>18363200</v>
      </c>
      <c r="J21" s="65">
        <v>1312198.9960396814</v>
      </c>
      <c r="K21" s="60">
        <f t="shared" si="2"/>
        <v>-4590800</v>
      </c>
      <c r="L21" s="60">
        <f t="shared" si="2"/>
        <v>-283693.01832068153</v>
      </c>
      <c r="M21" s="61">
        <f t="shared" si="3"/>
        <v>-0.2</v>
      </c>
      <c r="N21" s="61">
        <f t="shared" si="3"/>
        <v>-0.17776454532507097</v>
      </c>
    </row>
    <row r="22" spans="1:14" x14ac:dyDescent="0.3">
      <c r="A22" s="55" t="s">
        <v>104</v>
      </c>
      <c r="B22" s="55" t="s">
        <v>96</v>
      </c>
      <c r="C22" s="55" t="s">
        <v>172</v>
      </c>
      <c r="D22" s="154">
        <v>1</v>
      </c>
      <c r="E22" s="74">
        <v>7818984</v>
      </c>
      <c r="F22" s="57">
        <v>378283.24113526288</v>
      </c>
      <c r="G22" s="74">
        <f t="shared" si="0"/>
        <v>6255187.2000000002</v>
      </c>
      <c r="H22" s="74">
        <f t="shared" si="1"/>
        <v>9382780.7999999989</v>
      </c>
      <c r="I22" s="174">
        <v>6255187.2000000002</v>
      </c>
      <c r="J22" s="65">
        <v>309475.52118794719</v>
      </c>
      <c r="K22" s="60">
        <f t="shared" si="2"/>
        <v>-1563796.7999999998</v>
      </c>
      <c r="L22" s="60">
        <f t="shared" si="2"/>
        <v>-68807.719947315694</v>
      </c>
      <c r="M22" s="61">
        <f t="shared" si="3"/>
        <v>-0.19999999999999998</v>
      </c>
      <c r="N22" s="61">
        <f t="shared" si="3"/>
        <v>-0.18189470868658464</v>
      </c>
    </row>
    <row r="23" spans="1:14" x14ac:dyDescent="0.3">
      <c r="A23" s="55" t="s">
        <v>104</v>
      </c>
      <c r="B23" s="55" t="s">
        <v>174</v>
      </c>
      <c r="C23" s="55" t="s">
        <v>172</v>
      </c>
      <c r="D23" s="154">
        <v>1</v>
      </c>
      <c r="E23" s="74">
        <v>4782666</v>
      </c>
      <c r="F23" s="57">
        <v>91344.414528190871</v>
      </c>
      <c r="G23" s="74">
        <f t="shared" si="0"/>
        <v>3826132.8000000003</v>
      </c>
      <c r="H23" s="74">
        <f t="shared" si="1"/>
        <v>5739199.2000000002</v>
      </c>
      <c r="I23" s="174">
        <v>3826132.8000000003</v>
      </c>
      <c r="J23" s="65">
        <v>73643.055219609683</v>
      </c>
      <c r="K23" s="60">
        <f t="shared" si="2"/>
        <v>-956533.19999999972</v>
      </c>
      <c r="L23" s="60">
        <f t="shared" si="2"/>
        <v>-17701.359308581188</v>
      </c>
      <c r="M23" s="61">
        <f t="shared" si="3"/>
        <v>-0.19999999999999993</v>
      </c>
      <c r="N23" s="61">
        <f t="shared" si="3"/>
        <v>-0.19378699179376932</v>
      </c>
    </row>
    <row r="24" spans="1:14" x14ac:dyDescent="0.3">
      <c r="A24" s="55" t="s">
        <v>104</v>
      </c>
      <c r="B24" s="55" t="s">
        <v>171</v>
      </c>
      <c r="C24" s="55" t="s">
        <v>172</v>
      </c>
      <c r="D24" s="154">
        <v>1</v>
      </c>
      <c r="E24" s="74">
        <v>15700000</v>
      </c>
      <c r="F24" s="57">
        <v>360832.73711340129</v>
      </c>
      <c r="G24" s="74">
        <f t="shared" si="0"/>
        <v>12560000</v>
      </c>
      <c r="H24" s="74">
        <f t="shared" si="1"/>
        <v>18840000</v>
      </c>
      <c r="I24" s="174">
        <v>12560000</v>
      </c>
      <c r="J24" s="65">
        <v>293078.75773030706</v>
      </c>
      <c r="K24" s="60">
        <f t="shared" si="2"/>
        <v>-3140000</v>
      </c>
      <c r="L24" s="60">
        <f t="shared" si="2"/>
        <v>-67753.979383094236</v>
      </c>
      <c r="M24" s="61">
        <f t="shared" si="3"/>
        <v>-0.2</v>
      </c>
      <c r="N24" s="61">
        <f t="shared" si="3"/>
        <v>-0.18777115381801054</v>
      </c>
    </row>
    <row r="25" spans="1:14" x14ac:dyDescent="0.3">
      <c r="A25" s="75" t="s">
        <v>104</v>
      </c>
      <c r="B25" s="75" t="s">
        <v>103</v>
      </c>
      <c r="C25" s="75"/>
      <c r="D25" s="75"/>
      <c r="E25" s="76">
        <f t="shared" ref="E25:J25" si="4">SUM(E17:E24)</f>
        <v>81102300</v>
      </c>
      <c r="F25" s="77">
        <f t="shared" si="4"/>
        <v>7576032.3955975948</v>
      </c>
      <c r="G25" s="76">
        <f t="shared" si="4"/>
        <v>64881840</v>
      </c>
      <c r="H25" s="76">
        <f t="shared" si="4"/>
        <v>97322760</v>
      </c>
      <c r="I25" s="83">
        <f t="shared" si="4"/>
        <v>71102300.017728448</v>
      </c>
      <c r="J25" s="175">
        <f t="shared" si="4"/>
        <v>7678590.4868183406</v>
      </c>
      <c r="K25" s="76">
        <f>SUM(K17:K24)</f>
        <v>-9999999.9822715539</v>
      </c>
      <c r="L25" s="175">
        <f>SUM(L17:L24)</f>
        <v>102558.09122074684</v>
      </c>
      <c r="M25" s="79">
        <f>K25/E25</f>
        <v>-0.12330106522591287</v>
      </c>
      <c r="N25" s="79">
        <f t="shared" si="3"/>
        <v>1.3537176963544001E-2</v>
      </c>
    </row>
    <row r="30" spans="1:14" ht="55.2" x14ac:dyDescent="0.3">
      <c r="A30" s="215" t="s">
        <v>180</v>
      </c>
      <c r="D30" s="191" t="s">
        <v>149</v>
      </c>
      <c r="E30" s="191" t="s">
        <v>194</v>
      </c>
      <c r="F30" s="191" t="s">
        <v>198</v>
      </c>
      <c r="G30" s="191" t="s">
        <v>195</v>
      </c>
      <c r="H30" s="191" t="s">
        <v>196</v>
      </c>
      <c r="I30" s="191" t="s">
        <v>197</v>
      </c>
    </row>
    <row r="31" spans="1:14" x14ac:dyDescent="0.3">
      <c r="A31" s="215"/>
      <c r="D31" s="192">
        <v>11.53</v>
      </c>
      <c r="E31" s="193">
        <v>1876</v>
      </c>
      <c r="F31" s="193">
        <v>1118</v>
      </c>
      <c r="G31" s="194">
        <v>194</v>
      </c>
      <c r="H31" s="195">
        <v>0.4</v>
      </c>
      <c r="I31" s="194">
        <f>(1-H31)*G31</f>
        <v>116.39999999999999</v>
      </c>
    </row>
    <row r="32" spans="1:14" ht="13.8" customHeight="1" x14ac:dyDescent="0.3">
      <c r="A32" s="207" t="s">
        <v>2</v>
      </c>
      <c r="B32" s="209" t="s">
        <v>3</v>
      </c>
      <c r="C32" s="209" t="str">
        <f t="shared" ref="C32:D42" si="5">D15</f>
        <v>Response Scaling Factor for Sensitivity Analysis</v>
      </c>
      <c r="D32" s="210" t="s">
        <v>86</v>
      </c>
      <c r="E32" s="211"/>
      <c r="F32" s="211"/>
      <c r="G32" s="212"/>
      <c r="H32" s="213" t="s">
        <v>89</v>
      </c>
      <c r="I32" s="214"/>
      <c r="J32" s="214"/>
      <c r="K32" s="210" t="s">
        <v>189</v>
      </c>
      <c r="L32" s="211"/>
      <c r="M32" s="211"/>
      <c r="N32" s="212"/>
    </row>
    <row r="33" spans="1:14" ht="74.400000000000006" customHeight="1" x14ac:dyDescent="0.3">
      <c r="A33" s="208"/>
      <c r="B33" s="208"/>
      <c r="C33" s="208">
        <f t="shared" si="5"/>
        <v>0</v>
      </c>
      <c r="D33" s="202" t="s">
        <v>182</v>
      </c>
      <c r="E33" s="202" t="s">
        <v>181</v>
      </c>
      <c r="F33" s="202" t="s">
        <v>183</v>
      </c>
      <c r="G33" s="202" t="s">
        <v>199</v>
      </c>
      <c r="H33" s="62" t="s">
        <v>187</v>
      </c>
      <c r="I33" s="62" t="s">
        <v>188</v>
      </c>
      <c r="J33" s="62" t="s">
        <v>200</v>
      </c>
      <c r="K33" s="202" t="s">
        <v>190</v>
      </c>
      <c r="L33" s="202" t="s">
        <v>191</v>
      </c>
      <c r="M33" s="202" t="s">
        <v>192</v>
      </c>
      <c r="N33" s="202" t="s">
        <v>193</v>
      </c>
    </row>
    <row r="34" spans="1:14" x14ac:dyDescent="0.3">
      <c r="A34" s="54" t="s">
        <v>13</v>
      </c>
      <c r="B34" s="54" t="s">
        <v>93</v>
      </c>
      <c r="C34" s="153">
        <f t="shared" si="5"/>
        <v>1</v>
      </c>
      <c r="D34" s="166">
        <f t="shared" si="5"/>
        <v>5991499</v>
      </c>
      <c r="E34" s="164" t="s">
        <v>176</v>
      </c>
      <c r="F34" s="168">
        <f>F17/$D$31</f>
        <v>200413.29391107525</v>
      </c>
      <c r="G34" s="170">
        <f>F34*$F$31</f>
        <v>224062062.59258214</v>
      </c>
      <c r="H34" s="176">
        <f t="shared" ref="H34:H41" si="6">I17</f>
        <v>7189798.8000000007</v>
      </c>
      <c r="I34" s="168">
        <f>J17/$D$31</f>
        <v>239856.72092273779</v>
      </c>
      <c r="J34" s="179">
        <f>I34*$F$31</f>
        <v>268159813.99162084</v>
      </c>
      <c r="K34" s="166">
        <f>H34-D34</f>
        <v>1198299.8000000007</v>
      </c>
      <c r="L34" s="166">
        <f>J34-G34</f>
        <v>44097751.399038702</v>
      </c>
      <c r="M34" s="182">
        <f>K34/D34</f>
        <v>0.20000000000000012</v>
      </c>
      <c r="N34" s="183">
        <f>L34/G34</f>
        <v>0.19681043229180117</v>
      </c>
    </row>
    <row r="35" spans="1:14" x14ac:dyDescent="0.3">
      <c r="A35" s="55" t="s">
        <v>170</v>
      </c>
      <c r="B35" s="55" t="s">
        <v>93</v>
      </c>
      <c r="C35" s="154">
        <f t="shared" si="5"/>
        <v>1</v>
      </c>
      <c r="D35" s="167">
        <f t="shared" si="5"/>
        <v>15610435</v>
      </c>
      <c r="E35" s="165" t="s">
        <v>176</v>
      </c>
      <c r="F35" s="169">
        <f t="shared" ref="F35:F40" si="7">F18/$D$31</f>
        <v>230933.63819705584</v>
      </c>
      <c r="G35" s="171">
        <f t="shared" ref="G35:G40" si="8">F35*$F$31</f>
        <v>258183807.50430843</v>
      </c>
      <c r="H35" s="177">
        <f t="shared" si="6"/>
        <v>16312208.417728445</v>
      </c>
      <c r="I35" s="169">
        <f t="shared" ref="I35:I40" si="9">J18/$D$31</f>
        <v>241326.126714129</v>
      </c>
      <c r="J35" s="180">
        <f t="shared" ref="J35:J40" si="10">I35*$F$31</f>
        <v>269802609.6663962</v>
      </c>
      <c r="K35" s="167">
        <f t="shared" ref="K35:K42" si="11">H35-D35</f>
        <v>701773.41772844456</v>
      </c>
      <c r="L35" s="167">
        <f t="shared" ref="L35:L42" si="12">J35-G35</f>
        <v>11618802.162087768</v>
      </c>
      <c r="M35" s="184">
        <f t="shared" ref="M35:M42" si="13">K35/D35</f>
        <v>4.4955404364352726E-2</v>
      </c>
      <c r="N35" s="185">
        <f t="shared" ref="N35:N42" si="14">L35/G35</f>
        <v>4.5002055994134642E-2</v>
      </c>
    </row>
    <row r="36" spans="1:14" x14ac:dyDescent="0.3">
      <c r="A36" s="55" t="s">
        <v>104</v>
      </c>
      <c r="B36" s="55" t="s">
        <v>95</v>
      </c>
      <c r="C36" s="154">
        <f t="shared" si="5"/>
        <v>1</v>
      </c>
      <c r="D36" s="167">
        <f t="shared" si="5"/>
        <v>3804716</v>
      </c>
      <c r="E36" s="165" t="s">
        <v>176</v>
      </c>
      <c r="F36" s="169">
        <f t="shared" si="7"/>
        <v>13058.170083390574</v>
      </c>
      <c r="G36" s="171">
        <f t="shared" si="8"/>
        <v>14599034.153230662</v>
      </c>
      <c r="H36" s="177">
        <f t="shared" si="6"/>
        <v>3043772.8000000003</v>
      </c>
      <c r="I36" s="169">
        <f t="shared" si="9"/>
        <v>10446.456617089221</v>
      </c>
      <c r="J36" s="180">
        <f t="shared" si="10"/>
        <v>11679138.49790575</v>
      </c>
      <c r="K36" s="167">
        <f t="shared" si="11"/>
        <v>-760943.19999999972</v>
      </c>
      <c r="L36" s="167">
        <f t="shared" si="12"/>
        <v>-2919895.6553249117</v>
      </c>
      <c r="M36" s="184">
        <f t="shared" si="13"/>
        <v>-0.19999999999999993</v>
      </c>
      <c r="N36" s="185">
        <f t="shared" si="14"/>
        <v>-0.20000608428460726</v>
      </c>
    </row>
    <row r="37" spans="1:14" x14ac:dyDescent="0.3">
      <c r="A37" s="55" t="s">
        <v>104</v>
      </c>
      <c r="B37" s="55" t="s">
        <v>94</v>
      </c>
      <c r="C37" s="154">
        <f t="shared" si="5"/>
        <v>1</v>
      </c>
      <c r="D37" s="167">
        <f t="shared" si="5"/>
        <v>4440000</v>
      </c>
      <c r="E37" s="165" t="s">
        <v>176</v>
      </c>
      <c r="F37" s="169">
        <f t="shared" si="7"/>
        <v>2228.0277703496668</v>
      </c>
      <c r="G37" s="171">
        <f t="shared" si="8"/>
        <v>2490935.0472509274</v>
      </c>
      <c r="H37" s="177">
        <f t="shared" si="6"/>
        <v>3552000</v>
      </c>
      <c r="I37" s="169">
        <f t="shared" si="9"/>
        <v>1882.7648389143997</v>
      </c>
      <c r="J37" s="180">
        <f t="shared" si="10"/>
        <v>2104931.089906299</v>
      </c>
      <c r="K37" s="167">
        <f t="shared" si="11"/>
        <v>-888000</v>
      </c>
      <c r="L37" s="167">
        <f t="shared" si="12"/>
        <v>-386003.9573446284</v>
      </c>
      <c r="M37" s="184">
        <f t="shared" si="13"/>
        <v>-0.2</v>
      </c>
      <c r="N37" s="185">
        <f t="shared" si="14"/>
        <v>-0.15496347757868445</v>
      </c>
    </row>
    <row r="38" spans="1:14" x14ac:dyDescent="0.3">
      <c r="A38" s="55" t="s">
        <v>104</v>
      </c>
      <c r="B38" s="55" t="s">
        <v>108</v>
      </c>
      <c r="C38" s="154">
        <f t="shared" si="5"/>
        <v>1</v>
      </c>
      <c r="D38" s="167">
        <f t="shared" si="5"/>
        <v>22954000</v>
      </c>
      <c r="E38" s="165" t="s">
        <v>176</v>
      </c>
      <c r="F38" s="169">
        <f t="shared" si="7"/>
        <v>138412.14348311909</v>
      </c>
      <c r="G38" s="171">
        <f t="shared" si="8"/>
        <v>154744776.41412714</v>
      </c>
      <c r="H38" s="177">
        <f t="shared" si="6"/>
        <v>18363200</v>
      </c>
      <c r="I38" s="169">
        <f t="shared" si="9"/>
        <v>113807.37172937393</v>
      </c>
      <c r="J38" s="180">
        <f t="shared" si="10"/>
        <v>127236641.59344006</v>
      </c>
      <c r="K38" s="167">
        <f t="shared" si="11"/>
        <v>-4590800</v>
      </c>
      <c r="L38" s="167">
        <f t="shared" si="12"/>
        <v>-27508134.820687085</v>
      </c>
      <c r="M38" s="184">
        <f t="shared" si="13"/>
        <v>-0.2</v>
      </c>
      <c r="N38" s="185">
        <f t="shared" si="14"/>
        <v>-0.17776454532507102</v>
      </c>
    </row>
    <row r="39" spans="1:14" x14ac:dyDescent="0.3">
      <c r="A39" s="55" t="s">
        <v>104</v>
      </c>
      <c r="B39" s="55" t="s">
        <v>96</v>
      </c>
      <c r="C39" s="154">
        <f t="shared" si="5"/>
        <v>1</v>
      </c>
      <c r="D39" s="167">
        <f t="shared" si="5"/>
        <v>7818984</v>
      </c>
      <c r="E39" s="165" t="s">
        <v>176</v>
      </c>
      <c r="F39" s="169">
        <f t="shared" si="7"/>
        <v>32808.607210343704</v>
      </c>
      <c r="G39" s="171">
        <f t="shared" si="8"/>
        <v>36680022.861164257</v>
      </c>
      <c r="H39" s="177">
        <f t="shared" si="6"/>
        <v>6255187.2000000002</v>
      </c>
      <c r="I39" s="169">
        <f t="shared" si="9"/>
        <v>26840.895159405656</v>
      </c>
      <c r="J39" s="180">
        <f t="shared" si="10"/>
        <v>30008120.788215525</v>
      </c>
      <c r="K39" s="167">
        <f t="shared" si="11"/>
        <v>-1563796.7999999998</v>
      </c>
      <c r="L39" s="167">
        <f t="shared" si="12"/>
        <v>-6671902.0729487315</v>
      </c>
      <c r="M39" s="184">
        <f t="shared" si="13"/>
        <v>-0.19999999999999998</v>
      </c>
      <c r="N39" s="185">
        <f t="shared" si="14"/>
        <v>-0.18189470868658447</v>
      </c>
    </row>
    <row r="40" spans="1:14" x14ac:dyDescent="0.3">
      <c r="A40" s="55" t="s">
        <v>104</v>
      </c>
      <c r="B40" s="55" t="s">
        <v>174</v>
      </c>
      <c r="C40" s="154">
        <f t="shared" si="5"/>
        <v>1</v>
      </c>
      <c r="D40" s="167">
        <f t="shared" si="5"/>
        <v>4782666</v>
      </c>
      <c r="E40" s="165" t="s">
        <v>176</v>
      </c>
      <c r="F40" s="169">
        <f t="shared" si="7"/>
        <v>7922.3256312394515</v>
      </c>
      <c r="G40" s="171">
        <f t="shared" si="8"/>
        <v>8857160.0557257067</v>
      </c>
      <c r="H40" s="177">
        <f t="shared" si="6"/>
        <v>3826132.8000000003</v>
      </c>
      <c r="I40" s="169">
        <f t="shared" si="9"/>
        <v>6387.0819791508839</v>
      </c>
      <c r="J40" s="180">
        <f t="shared" si="10"/>
        <v>7140757.6526906881</v>
      </c>
      <c r="K40" s="167">
        <f t="shared" si="11"/>
        <v>-956533.19999999972</v>
      </c>
      <c r="L40" s="167">
        <f t="shared" si="12"/>
        <v>-1716402.4030350186</v>
      </c>
      <c r="M40" s="184">
        <f t="shared" si="13"/>
        <v>-0.19999999999999993</v>
      </c>
      <c r="N40" s="185">
        <f t="shared" si="14"/>
        <v>-0.19378699179376929</v>
      </c>
    </row>
    <row r="41" spans="1:14" x14ac:dyDescent="0.3">
      <c r="A41" s="55" t="s">
        <v>104</v>
      </c>
      <c r="B41" s="55" t="s">
        <v>171</v>
      </c>
      <c r="C41" s="154">
        <f t="shared" si="5"/>
        <v>1</v>
      </c>
      <c r="D41" s="167">
        <f t="shared" si="5"/>
        <v>15700000</v>
      </c>
      <c r="E41" s="187" t="s">
        <v>175</v>
      </c>
      <c r="F41" s="169">
        <f t="shared" ref="F41" si="15">F24</f>
        <v>360832.73711340129</v>
      </c>
      <c r="G41" s="171">
        <f>F41*$I$31</f>
        <v>42000930.599999905</v>
      </c>
      <c r="H41" s="177">
        <f t="shared" si="6"/>
        <v>12560000</v>
      </c>
      <c r="I41" s="169">
        <f>J24</f>
        <v>293078.75773030706</v>
      </c>
      <c r="J41" s="180">
        <f>I41*$I$31</f>
        <v>34114367.399807736</v>
      </c>
      <c r="K41" s="167">
        <f t="shared" si="11"/>
        <v>-3140000</v>
      </c>
      <c r="L41" s="167">
        <f t="shared" si="12"/>
        <v>-7886563.2001921684</v>
      </c>
      <c r="M41" s="184">
        <f t="shared" si="13"/>
        <v>-0.2</v>
      </c>
      <c r="N41" s="185">
        <f t="shared" si="14"/>
        <v>-0.18777115381801054</v>
      </c>
    </row>
    <row r="42" spans="1:14" x14ac:dyDescent="0.3">
      <c r="A42" s="75" t="s">
        <v>104</v>
      </c>
      <c r="B42" s="75" t="s">
        <v>103</v>
      </c>
      <c r="C42" s="75">
        <f t="shared" si="5"/>
        <v>0</v>
      </c>
      <c r="D42" s="76">
        <f>SUM(D34:D41)</f>
        <v>81102300</v>
      </c>
      <c r="E42" s="77"/>
      <c r="F42" s="77"/>
      <c r="G42" s="172">
        <f>SUM(G34:G41)</f>
        <v>741618729.22838914</v>
      </c>
      <c r="H42" s="178">
        <f>SUM(H34:H41)</f>
        <v>71102300.017728448</v>
      </c>
      <c r="I42" s="77"/>
      <c r="J42" s="181">
        <f>SUM(J34:J41)</f>
        <v>750246380.67998302</v>
      </c>
      <c r="K42" s="76">
        <f t="shared" si="11"/>
        <v>-9999999.9822715521</v>
      </c>
      <c r="L42" s="200">
        <f t="shared" si="12"/>
        <v>8627651.4515938759</v>
      </c>
      <c r="M42" s="79">
        <f t="shared" si="13"/>
        <v>-0.12330106522591286</v>
      </c>
      <c r="N42" s="186">
        <f t="shared" si="14"/>
        <v>1.1633540405014369E-2</v>
      </c>
    </row>
    <row r="43" spans="1:14" x14ac:dyDescent="0.3">
      <c r="D43" s="188">
        <v>0.54</v>
      </c>
      <c r="E43" s="188">
        <v>0.34</v>
      </c>
      <c r="F43" s="159" t="s">
        <v>184</v>
      </c>
      <c r="G43" s="189">
        <f>SUM(G34:G40)*$E$43 + (G41*$D$43)</f>
        <v>260550554.05765232</v>
      </c>
      <c r="I43" s="157"/>
      <c r="J43" s="189">
        <f>SUM(J34:J40)*$E$43 + (J41*$D$43)</f>
        <v>261906642.91115579</v>
      </c>
      <c r="L43" s="189">
        <f>SUM(L34:L40)*$E$43 + (L41*$D$43)</f>
        <v>1356088.853503501</v>
      </c>
      <c r="M43" s="201">
        <f>L43/L42</f>
        <v>0.15717937391327702</v>
      </c>
      <c r="N43" s="190">
        <f>N42*(L43/L42)</f>
        <v>1.8285525972549697E-3</v>
      </c>
    </row>
    <row r="44" spans="1:14" x14ac:dyDescent="0.3">
      <c r="D44" s="188">
        <v>0.46</v>
      </c>
      <c r="E44" s="188">
        <v>0.39</v>
      </c>
      <c r="F44" s="159" t="s">
        <v>185</v>
      </c>
      <c r="G44" s="189">
        <f>SUM(G34:G40)*$E$44 + (G41*$D$44)</f>
        <v>292171369.54107177</v>
      </c>
      <c r="I44" s="157"/>
      <c r="J44" s="189">
        <f>SUM(J34:J40)*$E$44 + (J41*$D$44)</f>
        <v>294984094.18317991</v>
      </c>
      <c r="L44" s="189">
        <f>SUM(L34:L40)*$E$44 + (L41*$D$44)</f>
        <v>2812724.6421081792</v>
      </c>
      <c r="M44" s="201">
        <f>L44/L42</f>
        <v>0.32601278086964852</v>
      </c>
      <c r="N44" s="190">
        <f>N42*(L44/L42)</f>
        <v>3.7926828587981514E-3</v>
      </c>
    </row>
    <row r="45" spans="1:14" x14ac:dyDescent="0.3">
      <c r="D45" s="188">
        <v>0</v>
      </c>
      <c r="E45" s="188">
        <v>0.27</v>
      </c>
      <c r="F45" s="159" t="s">
        <v>186</v>
      </c>
      <c r="G45" s="189">
        <f>SUM(G34:G40)*$E$45 + (G41*$D$45)</f>
        <v>188896805.62966511</v>
      </c>
      <c r="I45" s="157"/>
      <c r="J45" s="189">
        <f>SUM(J34:J40)*$E$45 + (J41*$D$45)</f>
        <v>193355643.58564734</v>
      </c>
      <c r="L45" s="189">
        <f>SUM(L34:L40)*$E$45 + (L41*$D$45)</f>
        <v>4458837.9559822455</v>
      </c>
      <c r="M45" s="201">
        <f>L45/L42</f>
        <v>0.51680784521708023</v>
      </c>
      <c r="N45" s="190">
        <f>N42*(L45/L42)</f>
        <v>6.0123049489613145E-3</v>
      </c>
    </row>
    <row r="46" spans="1:14" x14ac:dyDescent="0.3">
      <c r="D46" s="162" t="s">
        <v>175</v>
      </c>
      <c r="E46" s="162" t="s">
        <v>209</v>
      </c>
    </row>
    <row r="47" spans="1:14" ht="27.6" x14ac:dyDescent="0.3">
      <c r="D47" s="160" t="s">
        <v>210</v>
      </c>
    </row>
  </sheetData>
  <mergeCells count="19">
    <mergeCell ref="I15:J15"/>
    <mergeCell ref="K15:N15"/>
    <mergeCell ref="A30:A31"/>
    <mergeCell ref="A32:A33"/>
    <mergeCell ref="B32:B33"/>
    <mergeCell ref="C32:C33"/>
    <mergeCell ref="D32:G32"/>
    <mergeCell ref="H32:J32"/>
    <mergeCell ref="K32:N32"/>
    <mergeCell ref="B4:I4"/>
    <mergeCell ref="E5:I5"/>
    <mergeCell ref="E6:I6"/>
    <mergeCell ref="A11:A12"/>
    <mergeCell ref="A15:A16"/>
    <mergeCell ref="B15:B16"/>
    <mergeCell ref="C15:C16"/>
    <mergeCell ref="D15:D16"/>
    <mergeCell ref="E15:F15"/>
    <mergeCell ref="G15:H15"/>
  </mergeCells>
  <pageMargins left="0.7" right="0.7" top="0.75" bottom="0.75" header="0.3" footer="0.3"/>
  <pageSetup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N47"/>
  <sheetViews>
    <sheetView topLeftCell="D10" workbookViewId="0">
      <selection activeCell="J28" sqref="J28"/>
    </sheetView>
  </sheetViews>
  <sheetFormatPr defaultRowHeight="13.8" x14ac:dyDescent="0.3"/>
  <cols>
    <col min="1" max="1" width="14.109375" style="162" customWidth="1"/>
    <col min="2" max="2" width="14.21875" style="162" customWidth="1"/>
    <col min="3" max="3" width="13.88671875" style="162" customWidth="1"/>
    <col min="4" max="4" width="12.44140625" style="162" customWidth="1"/>
    <col min="5" max="5" width="13.88671875" style="162" customWidth="1"/>
    <col min="6" max="6" width="12.44140625" style="162" customWidth="1"/>
    <col min="7" max="7" width="13.77734375" style="162" customWidth="1"/>
    <col min="8" max="8" width="14" style="162" customWidth="1"/>
    <col min="9" max="9" width="14.6640625" style="162" customWidth="1"/>
    <col min="10" max="10" width="14.77734375" style="162" customWidth="1"/>
    <col min="11" max="11" width="13.88671875" style="162" customWidth="1"/>
    <col min="12" max="12" width="13.5546875" style="162" customWidth="1"/>
    <col min="13" max="13" width="11.21875" style="162" customWidth="1"/>
    <col min="14" max="14" width="10.5546875" style="162" customWidth="1"/>
    <col min="15" max="16384" width="8.88671875" style="162"/>
  </cols>
  <sheetData>
    <row r="1" spans="1:14" x14ac:dyDescent="0.3">
      <c r="A1" s="48" t="s">
        <v>0</v>
      </c>
      <c r="B1" s="162" t="s">
        <v>166</v>
      </c>
    </row>
    <row r="2" spans="1:14" x14ac:dyDescent="0.3">
      <c r="A2" s="48" t="s">
        <v>76</v>
      </c>
      <c r="B2" s="162" t="s">
        <v>104</v>
      </c>
    </row>
    <row r="3" spans="1:14" x14ac:dyDescent="0.3">
      <c r="A3" s="48" t="s">
        <v>77</v>
      </c>
      <c r="B3" s="162" t="s">
        <v>165</v>
      </c>
    </row>
    <row r="4" spans="1:14" ht="23.4" customHeight="1" x14ac:dyDescent="0.3">
      <c r="A4" s="49" t="s">
        <v>78</v>
      </c>
      <c r="B4" s="291" t="s">
        <v>221</v>
      </c>
      <c r="C4" s="292"/>
      <c r="D4" s="292"/>
      <c r="E4" s="292"/>
      <c r="F4" s="292"/>
      <c r="G4" s="292"/>
      <c r="H4" s="292"/>
      <c r="I4" s="292"/>
    </row>
    <row r="5" spans="1:14" x14ac:dyDescent="0.3">
      <c r="A5" s="48" t="s">
        <v>79</v>
      </c>
      <c r="B5" s="162" t="s">
        <v>167</v>
      </c>
      <c r="E5" s="216" t="s">
        <v>50</v>
      </c>
      <c r="F5" s="217"/>
      <c r="G5" s="217"/>
      <c r="H5" s="217"/>
      <c r="I5" s="218"/>
    </row>
    <row r="6" spans="1:14" x14ac:dyDescent="0.3">
      <c r="A6" s="48" t="s">
        <v>80</v>
      </c>
      <c r="B6" s="162" t="s">
        <v>168</v>
      </c>
      <c r="E6" s="219" t="s">
        <v>51</v>
      </c>
      <c r="F6" s="220"/>
      <c r="G6" s="220"/>
      <c r="H6" s="220"/>
      <c r="I6" s="221"/>
    </row>
    <row r="7" spans="1:14" ht="14.4" thickBot="1" x14ac:dyDescent="0.35"/>
    <row r="8" spans="1:14" ht="14.4" thickBot="1" x14ac:dyDescent="0.35">
      <c r="A8" s="52" t="s">
        <v>81</v>
      </c>
    </row>
    <row r="9" spans="1:14" ht="14.4" thickBot="1" x14ac:dyDescent="0.35">
      <c r="A9" s="29" t="s">
        <v>83</v>
      </c>
      <c r="B9" s="66">
        <f>SUM(J17:J24)</f>
        <v>8253379.6013743347</v>
      </c>
    </row>
    <row r="10" spans="1:14" ht="14.4" thickBot="1" x14ac:dyDescent="0.35">
      <c r="A10" s="50"/>
    </row>
    <row r="11" spans="1:14" ht="27.6" x14ac:dyDescent="0.3">
      <c r="A11" s="222" t="s">
        <v>82</v>
      </c>
      <c r="B11" s="51" t="s">
        <v>84</v>
      </c>
      <c r="C11" s="203" t="s">
        <v>100</v>
      </c>
      <c r="D11" s="204" t="s">
        <v>101</v>
      </c>
      <c r="E11" s="162" t="s">
        <v>97</v>
      </c>
    </row>
    <row r="12" spans="1:14" ht="14.4" thickBot="1" x14ac:dyDescent="0.35">
      <c r="A12" s="223"/>
      <c r="B12" s="158">
        <f>81102300 - 5000000</f>
        <v>76102300</v>
      </c>
      <c r="C12" s="81">
        <f>1*B12 - 1</f>
        <v>76102299</v>
      </c>
      <c r="D12" s="82">
        <f>1*B12 + 1</f>
        <v>76102301</v>
      </c>
    </row>
    <row r="13" spans="1:14" ht="14.4" thickBot="1" x14ac:dyDescent="0.35"/>
    <row r="14" spans="1:14" ht="60.6" customHeight="1" thickBot="1" x14ac:dyDescent="0.35">
      <c r="A14" s="53" t="s">
        <v>85</v>
      </c>
      <c r="D14" s="160" t="s">
        <v>98</v>
      </c>
      <c r="E14" s="160" t="s">
        <v>98</v>
      </c>
      <c r="F14" s="160" t="s">
        <v>99</v>
      </c>
      <c r="G14" s="163">
        <v>0.8</v>
      </c>
      <c r="H14" s="163">
        <v>1.2</v>
      </c>
      <c r="I14" s="160" t="s">
        <v>98</v>
      </c>
      <c r="J14" s="160" t="s">
        <v>99</v>
      </c>
    </row>
    <row r="15" spans="1:14" ht="27.6" customHeight="1" x14ac:dyDescent="0.3">
      <c r="A15" s="224" t="s">
        <v>2</v>
      </c>
      <c r="B15" s="209" t="s">
        <v>3</v>
      </c>
      <c r="C15" s="209" t="s">
        <v>38</v>
      </c>
      <c r="D15" s="209" t="s">
        <v>169</v>
      </c>
      <c r="E15" s="225" t="s">
        <v>86</v>
      </c>
      <c r="F15" s="226"/>
      <c r="G15" s="227" t="s">
        <v>179</v>
      </c>
      <c r="H15" s="228"/>
      <c r="I15" s="227" t="s">
        <v>89</v>
      </c>
      <c r="J15" s="228"/>
      <c r="K15" s="225" t="s">
        <v>90</v>
      </c>
      <c r="L15" s="229"/>
      <c r="M15" s="229"/>
      <c r="N15" s="226"/>
    </row>
    <row r="16" spans="1:14" ht="27.6" x14ac:dyDescent="0.3">
      <c r="A16" s="208"/>
      <c r="B16" s="208"/>
      <c r="C16" s="208"/>
      <c r="D16" s="208"/>
      <c r="E16" s="202" t="s">
        <v>203</v>
      </c>
      <c r="F16" s="202" t="s">
        <v>204</v>
      </c>
      <c r="G16" s="202" t="s">
        <v>87</v>
      </c>
      <c r="H16" s="202" t="s">
        <v>88</v>
      </c>
      <c r="I16" s="62" t="s">
        <v>201</v>
      </c>
      <c r="J16" s="62" t="s">
        <v>202</v>
      </c>
      <c r="K16" s="202" t="s">
        <v>177</v>
      </c>
      <c r="L16" s="202" t="s">
        <v>178</v>
      </c>
      <c r="M16" s="202" t="s">
        <v>91</v>
      </c>
      <c r="N16" s="202" t="s">
        <v>92</v>
      </c>
    </row>
    <row r="17" spans="1:14" x14ac:dyDescent="0.3">
      <c r="A17" s="54" t="s">
        <v>13</v>
      </c>
      <c r="B17" s="54" t="s">
        <v>93</v>
      </c>
      <c r="C17" s="55" t="s">
        <v>102</v>
      </c>
      <c r="D17" s="153">
        <v>1</v>
      </c>
      <c r="E17" s="73">
        <v>5991499</v>
      </c>
      <c r="F17" s="56">
        <v>2310765.2787946975</v>
      </c>
      <c r="G17" s="73">
        <f>E17*$G$14</f>
        <v>4793199.2</v>
      </c>
      <c r="H17" s="73">
        <f>E17*$H$14</f>
        <v>7189798.7999999998</v>
      </c>
      <c r="I17" s="173">
        <v>7189798.7999999998</v>
      </c>
      <c r="J17" s="64">
        <v>2765547.9922391665</v>
      </c>
      <c r="K17" s="58">
        <f>I17-E17</f>
        <v>1198299.7999999998</v>
      </c>
      <c r="L17" s="58">
        <f>J17-F17</f>
        <v>454782.71344446903</v>
      </c>
      <c r="M17" s="59">
        <f>K17/E17</f>
        <v>0.19999999999999996</v>
      </c>
      <c r="N17" s="59">
        <f>L17/F17</f>
        <v>0.19681043229180123</v>
      </c>
    </row>
    <row r="18" spans="1:14" x14ac:dyDescent="0.3">
      <c r="A18" s="55" t="s">
        <v>170</v>
      </c>
      <c r="B18" s="55" t="s">
        <v>93</v>
      </c>
      <c r="C18" s="55" t="s">
        <v>102</v>
      </c>
      <c r="D18" s="154">
        <v>1</v>
      </c>
      <c r="E18" s="74">
        <v>15610435</v>
      </c>
      <c r="F18" s="57">
        <v>2662664.8484120537</v>
      </c>
      <c r="G18" s="74">
        <f t="shared" ref="G18:G24" si="0">E18*$G$14</f>
        <v>12488348</v>
      </c>
      <c r="H18" s="74">
        <f t="shared" ref="H18:H24" si="1">E18*$H$14</f>
        <v>18732522</v>
      </c>
      <c r="I18" s="174">
        <v>18732522</v>
      </c>
      <c r="J18" s="65">
        <v>3195832.4397713416</v>
      </c>
      <c r="K18" s="60">
        <f t="shared" ref="K18:L24" si="2">I18-E18</f>
        <v>3122087</v>
      </c>
      <c r="L18" s="60">
        <f t="shared" si="2"/>
        <v>533167.59135928797</v>
      </c>
      <c r="M18" s="61">
        <f t="shared" ref="M18:N25" si="3">K18/E18</f>
        <v>0.2</v>
      </c>
      <c r="N18" s="61">
        <f t="shared" si="3"/>
        <v>0.20023834080254438</v>
      </c>
    </row>
    <row r="19" spans="1:14" x14ac:dyDescent="0.3">
      <c r="A19" s="55" t="s">
        <v>104</v>
      </c>
      <c r="B19" s="55" t="s">
        <v>95</v>
      </c>
      <c r="C19" s="55" t="s">
        <v>102</v>
      </c>
      <c r="D19" s="154">
        <v>1</v>
      </c>
      <c r="E19" s="74">
        <v>3804716</v>
      </c>
      <c r="F19" s="57">
        <v>150560.70106149331</v>
      </c>
      <c r="G19" s="74">
        <f t="shared" si="0"/>
        <v>3043772.8000000003</v>
      </c>
      <c r="H19" s="74">
        <f t="shared" si="1"/>
        <v>4565659.2</v>
      </c>
      <c r="I19" s="174">
        <v>3043772.8000000003</v>
      </c>
      <c r="J19" s="65">
        <v>120447.64479503871</v>
      </c>
      <c r="K19" s="60">
        <f t="shared" si="2"/>
        <v>-760943.19999999972</v>
      </c>
      <c r="L19" s="60">
        <f t="shared" si="2"/>
        <v>-30113.056266454601</v>
      </c>
      <c r="M19" s="61">
        <f t="shared" si="3"/>
        <v>-0.19999999999999993</v>
      </c>
      <c r="N19" s="61">
        <f t="shared" si="3"/>
        <v>-0.20000608428460734</v>
      </c>
    </row>
    <row r="20" spans="1:14" x14ac:dyDescent="0.3">
      <c r="A20" s="55" t="s">
        <v>104</v>
      </c>
      <c r="B20" s="55" t="s">
        <v>94</v>
      </c>
      <c r="C20" s="55" t="s">
        <v>173</v>
      </c>
      <c r="D20" s="154">
        <v>1</v>
      </c>
      <c r="E20" s="74">
        <v>4440000</v>
      </c>
      <c r="F20" s="57">
        <v>25689.160192131658</v>
      </c>
      <c r="G20" s="74">
        <f t="shared" si="0"/>
        <v>3552000</v>
      </c>
      <c r="H20" s="74">
        <f t="shared" si="1"/>
        <v>5328000</v>
      </c>
      <c r="I20" s="174">
        <v>3552000</v>
      </c>
      <c r="J20" s="65">
        <v>21708.278592683026</v>
      </c>
      <c r="K20" s="60">
        <f t="shared" si="2"/>
        <v>-888000</v>
      </c>
      <c r="L20" s="60">
        <f t="shared" si="2"/>
        <v>-3980.8815994486322</v>
      </c>
      <c r="M20" s="61">
        <f t="shared" si="3"/>
        <v>-0.2</v>
      </c>
      <c r="N20" s="61">
        <f t="shared" si="3"/>
        <v>-0.15496347757868464</v>
      </c>
    </row>
    <row r="21" spans="1:14" x14ac:dyDescent="0.3">
      <c r="A21" s="55" t="s">
        <v>104</v>
      </c>
      <c r="B21" s="55" t="s">
        <v>108</v>
      </c>
      <c r="C21" s="55" t="s">
        <v>172</v>
      </c>
      <c r="D21" s="154">
        <v>1</v>
      </c>
      <c r="E21" s="74">
        <v>22954000</v>
      </c>
      <c r="F21" s="57">
        <v>1595892.0143603629</v>
      </c>
      <c r="G21" s="74">
        <f t="shared" si="0"/>
        <v>18363200</v>
      </c>
      <c r="H21" s="74">
        <f t="shared" si="1"/>
        <v>27544800</v>
      </c>
      <c r="I21" s="174">
        <v>20942886.394585267</v>
      </c>
      <c r="J21" s="65">
        <v>1473645.9118382414</v>
      </c>
      <c r="K21" s="60">
        <f t="shared" si="2"/>
        <v>-2011113.6054147333</v>
      </c>
      <c r="L21" s="60">
        <f t="shared" si="2"/>
        <v>-122246.10252212151</v>
      </c>
      <c r="M21" s="61">
        <f t="shared" si="3"/>
        <v>-8.761495187831024E-2</v>
      </c>
      <c r="N21" s="61">
        <f t="shared" si="3"/>
        <v>-7.6600485134401791E-2</v>
      </c>
    </row>
    <row r="22" spans="1:14" x14ac:dyDescent="0.3">
      <c r="A22" s="55" t="s">
        <v>104</v>
      </c>
      <c r="B22" s="55" t="s">
        <v>96</v>
      </c>
      <c r="C22" s="55" t="s">
        <v>172</v>
      </c>
      <c r="D22" s="154">
        <v>1</v>
      </c>
      <c r="E22" s="74">
        <v>7818984</v>
      </c>
      <c r="F22" s="57">
        <v>378283.24113526288</v>
      </c>
      <c r="G22" s="74">
        <f t="shared" si="0"/>
        <v>6255187.2000000002</v>
      </c>
      <c r="H22" s="74">
        <f t="shared" si="1"/>
        <v>9382780.7999999989</v>
      </c>
      <c r="I22" s="174">
        <v>6255187.2000000002</v>
      </c>
      <c r="J22" s="65">
        <v>309475.52118794719</v>
      </c>
      <c r="K22" s="60">
        <f t="shared" si="2"/>
        <v>-1563796.7999999998</v>
      </c>
      <c r="L22" s="60">
        <f t="shared" si="2"/>
        <v>-68807.719947315694</v>
      </c>
      <c r="M22" s="61">
        <f t="shared" si="3"/>
        <v>-0.19999999999999998</v>
      </c>
      <c r="N22" s="61">
        <f t="shared" si="3"/>
        <v>-0.18189470868658464</v>
      </c>
    </row>
    <row r="23" spans="1:14" x14ac:dyDescent="0.3">
      <c r="A23" s="55" t="s">
        <v>104</v>
      </c>
      <c r="B23" s="55" t="s">
        <v>174</v>
      </c>
      <c r="C23" s="55" t="s">
        <v>172</v>
      </c>
      <c r="D23" s="154">
        <v>1</v>
      </c>
      <c r="E23" s="74">
        <v>4782666</v>
      </c>
      <c r="F23" s="57">
        <v>91344.414528190871</v>
      </c>
      <c r="G23" s="74">
        <f t="shared" si="0"/>
        <v>3826132.8000000003</v>
      </c>
      <c r="H23" s="74">
        <f t="shared" si="1"/>
        <v>5739199.2000000002</v>
      </c>
      <c r="I23" s="174">
        <v>3826132.8000000003</v>
      </c>
      <c r="J23" s="65">
        <v>73643.055219609683</v>
      </c>
      <c r="K23" s="60">
        <f t="shared" si="2"/>
        <v>-956533.19999999972</v>
      </c>
      <c r="L23" s="60">
        <f t="shared" si="2"/>
        <v>-17701.359308581188</v>
      </c>
      <c r="M23" s="61">
        <f t="shared" si="3"/>
        <v>-0.19999999999999993</v>
      </c>
      <c r="N23" s="61">
        <f t="shared" si="3"/>
        <v>-0.19378699179376932</v>
      </c>
    </row>
    <row r="24" spans="1:14" x14ac:dyDescent="0.3">
      <c r="A24" s="55" t="s">
        <v>104</v>
      </c>
      <c r="B24" s="55" t="s">
        <v>171</v>
      </c>
      <c r="C24" s="55" t="s">
        <v>172</v>
      </c>
      <c r="D24" s="154">
        <v>1</v>
      </c>
      <c r="E24" s="74">
        <v>15700000</v>
      </c>
      <c r="F24" s="57">
        <v>360832.73711340129</v>
      </c>
      <c r="G24" s="74">
        <f t="shared" si="0"/>
        <v>12560000</v>
      </c>
      <c r="H24" s="74">
        <f t="shared" si="1"/>
        <v>18840000</v>
      </c>
      <c r="I24" s="174">
        <v>12560000</v>
      </c>
      <c r="J24" s="65">
        <v>293078.75773030706</v>
      </c>
      <c r="K24" s="60">
        <f t="shared" si="2"/>
        <v>-3140000</v>
      </c>
      <c r="L24" s="60">
        <f t="shared" si="2"/>
        <v>-67753.979383094236</v>
      </c>
      <c r="M24" s="61">
        <f t="shared" si="3"/>
        <v>-0.2</v>
      </c>
      <c r="N24" s="61">
        <f t="shared" si="3"/>
        <v>-0.18777115381801054</v>
      </c>
    </row>
    <row r="25" spans="1:14" x14ac:dyDescent="0.3">
      <c r="A25" s="75" t="s">
        <v>104</v>
      </c>
      <c r="B25" s="75" t="s">
        <v>103</v>
      </c>
      <c r="C25" s="75"/>
      <c r="D25" s="75"/>
      <c r="E25" s="76">
        <f t="shared" ref="E25:J25" si="4">SUM(E17:E24)</f>
        <v>81102300</v>
      </c>
      <c r="F25" s="77">
        <f t="shared" si="4"/>
        <v>7576032.3955975948</v>
      </c>
      <c r="G25" s="76">
        <f t="shared" si="4"/>
        <v>64881840</v>
      </c>
      <c r="H25" s="76">
        <f t="shared" si="4"/>
        <v>97322760</v>
      </c>
      <c r="I25" s="83">
        <f t="shared" si="4"/>
        <v>76102299.994585276</v>
      </c>
      <c r="J25" s="175">
        <f t="shared" si="4"/>
        <v>8253379.6013743347</v>
      </c>
      <c r="K25" s="76">
        <f>SUM(K17:K24)</f>
        <v>-5000000.0054147327</v>
      </c>
      <c r="L25" s="175">
        <f>SUM(L17:L24)</f>
        <v>677347.20577674115</v>
      </c>
      <c r="M25" s="79">
        <f>K25/E25</f>
        <v>-6.1650532789017484E-2</v>
      </c>
      <c r="N25" s="79">
        <f t="shared" si="3"/>
        <v>8.9406587829580192E-2</v>
      </c>
    </row>
    <row r="30" spans="1:14" ht="55.2" x14ac:dyDescent="0.3">
      <c r="A30" s="215" t="s">
        <v>180</v>
      </c>
      <c r="D30" s="191" t="s">
        <v>149</v>
      </c>
      <c r="E30" s="191" t="s">
        <v>194</v>
      </c>
      <c r="F30" s="191" t="s">
        <v>198</v>
      </c>
      <c r="G30" s="191" t="s">
        <v>195</v>
      </c>
      <c r="H30" s="191" t="s">
        <v>196</v>
      </c>
      <c r="I30" s="191" t="s">
        <v>197</v>
      </c>
    </row>
    <row r="31" spans="1:14" x14ac:dyDescent="0.3">
      <c r="A31" s="215"/>
      <c r="D31" s="192">
        <v>11.53</v>
      </c>
      <c r="E31" s="193">
        <v>1876</v>
      </c>
      <c r="F31" s="193">
        <v>1118</v>
      </c>
      <c r="G31" s="194">
        <v>194</v>
      </c>
      <c r="H31" s="195">
        <v>0.4</v>
      </c>
      <c r="I31" s="194">
        <f>(1-H31)*G31</f>
        <v>116.39999999999999</v>
      </c>
    </row>
    <row r="32" spans="1:14" ht="13.8" customHeight="1" x14ac:dyDescent="0.3">
      <c r="A32" s="207" t="s">
        <v>2</v>
      </c>
      <c r="B32" s="209" t="s">
        <v>3</v>
      </c>
      <c r="C32" s="209" t="str">
        <f t="shared" ref="C32:D42" si="5">D15</f>
        <v>Response Scaling Factor for Sensitivity Analysis</v>
      </c>
      <c r="D32" s="210" t="s">
        <v>86</v>
      </c>
      <c r="E32" s="211"/>
      <c r="F32" s="211"/>
      <c r="G32" s="212"/>
      <c r="H32" s="213" t="s">
        <v>89</v>
      </c>
      <c r="I32" s="214"/>
      <c r="J32" s="214"/>
      <c r="K32" s="210" t="s">
        <v>189</v>
      </c>
      <c r="L32" s="211"/>
      <c r="M32" s="211"/>
      <c r="N32" s="212"/>
    </row>
    <row r="33" spans="1:14" ht="74.400000000000006" customHeight="1" x14ac:dyDescent="0.3">
      <c r="A33" s="208"/>
      <c r="B33" s="208"/>
      <c r="C33" s="208">
        <f t="shared" si="5"/>
        <v>0</v>
      </c>
      <c r="D33" s="202" t="s">
        <v>182</v>
      </c>
      <c r="E33" s="202" t="s">
        <v>181</v>
      </c>
      <c r="F33" s="202" t="s">
        <v>183</v>
      </c>
      <c r="G33" s="202" t="s">
        <v>199</v>
      </c>
      <c r="H33" s="62" t="s">
        <v>187</v>
      </c>
      <c r="I33" s="62" t="s">
        <v>188</v>
      </c>
      <c r="J33" s="62" t="s">
        <v>200</v>
      </c>
      <c r="K33" s="202" t="s">
        <v>190</v>
      </c>
      <c r="L33" s="202" t="s">
        <v>191</v>
      </c>
      <c r="M33" s="202" t="s">
        <v>192</v>
      </c>
      <c r="N33" s="202" t="s">
        <v>193</v>
      </c>
    </row>
    <row r="34" spans="1:14" x14ac:dyDescent="0.3">
      <c r="A34" s="54" t="s">
        <v>13</v>
      </c>
      <c r="B34" s="54" t="s">
        <v>93</v>
      </c>
      <c r="C34" s="153">
        <f t="shared" si="5"/>
        <v>1</v>
      </c>
      <c r="D34" s="166">
        <f t="shared" si="5"/>
        <v>5991499</v>
      </c>
      <c r="E34" s="164" t="s">
        <v>176</v>
      </c>
      <c r="F34" s="168">
        <f>F17/$D$31</f>
        <v>200413.29391107525</v>
      </c>
      <c r="G34" s="170">
        <f>F34*$F$31</f>
        <v>224062062.59258214</v>
      </c>
      <c r="H34" s="176">
        <f t="shared" ref="H34:H41" si="6">I17</f>
        <v>7189798.7999999998</v>
      </c>
      <c r="I34" s="168">
        <f>J17/$D$31</f>
        <v>239856.72092273779</v>
      </c>
      <c r="J34" s="179">
        <f>I34*$F$31</f>
        <v>268159813.99162084</v>
      </c>
      <c r="K34" s="166">
        <f>H34-D34</f>
        <v>1198299.7999999998</v>
      </c>
      <c r="L34" s="166">
        <f>J34-G34</f>
        <v>44097751.399038702</v>
      </c>
      <c r="M34" s="182">
        <f>K34/D34</f>
        <v>0.19999999999999996</v>
      </c>
      <c r="N34" s="183">
        <f>L34/G34</f>
        <v>0.19681043229180117</v>
      </c>
    </row>
    <row r="35" spans="1:14" x14ac:dyDescent="0.3">
      <c r="A35" s="55" t="s">
        <v>170</v>
      </c>
      <c r="B35" s="55" t="s">
        <v>93</v>
      </c>
      <c r="C35" s="154">
        <f t="shared" si="5"/>
        <v>1</v>
      </c>
      <c r="D35" s="167">
        <f t="shared" si="5"/>
        <v>15610435</v>
      </c>
      <c r="E35" s="165" t="s">
        <v>176</v>
      </c>
      <c r="F35" s="169">
        <f t="shared" ref="F35:F40" si="7">F18/$D$31</f>
        <v>230933.63819705584</v>
      </c>
      <c r="G35" s="171">
        <f t="shared" ref="G35:G40" si="8">F35*$F$31</f>
        <v>258183807.50430843</v>
      </c>
      <c r="H35" s="177">
        <f t="shared" si="6"/>
        <v>18732522</v>
      </c>
      <c r="I35" s="169">
        <f t="shared" ref="I35:I40" si="9">J18/$D$31</f>
        <v>277175.40674512938</v>
      </c>
      <c r="J35" s="180">
        <f t="shared" ref="J35:J40" si="10">I35*$F$31</f>
        <v>309882104.74105465</v>
      </c>
      <c r="K35" s="167">
        <f t="shared" ref="K35:K42" si="11">H35-D35</f>
        <v>3122087</v>
      </c>
      <c r="L35" s="167">
        <f t="shared" ref="L35:L42" si="12">J35-G35</f>
        <v>51698297.236746222</v>
      </c>
      <c r="M35" s="184">
        <f t="shared" ref="M35:M42" si="13">K35/D35</f>
        <v>0.2</v>
      </c>
      <c r="N35" s="185">
        <f t="shared" ref="N35:N42" si="14">L35/G35</f>
        <v>0.20023834080254435</v>
      </c>
    </row>
    <row r="36" spans="1:14" x14ac:dyDescent="0.3">
      <c r="A36" s="55" t="s">
        <v>104</v>
      </c>
      <c r="B36" s="55" t="s">
        <v>95</v>
      </c>
      <c r="C36" s="154">
        <f t="shared" si="5"/>
        <v>1</v>
      </c>
      <c r="D36" s="167">
        <f t="shared" si="5"/>
        <v>3804716</v>
      </c>
      <c r="E36" s="165" t="s">
        <v>176</v>
      </c>
      <c r="F36" s="169">
        <f t="shared" si="7"/>
        <v>13058.170083390574</v>
      </c>
      <c r="G36" s="171">
        <f t="shared" si="8"/>
        <v>14599034.153230662</v>
      </c>
      <c r="H36" s="177">
        <f t="shared" si="6"/>
        <v>3043772.8000000003</v>
      </c>
      <c r="I36" s="169">
        <f t="shared" si="9"/>
        <v>10446.456617089221</v>
      </c>
      <c r="J36" s="180">
        <f t="shared" si="10"/>
        <v>11679138.49790575</v>
      </c>
      <c r="K36" s="167">
        <f t="shared" si="11"/>
        <v>-760943.19999999972</v>
      </c>
      <c r="L36" s="167">
        <f t="shared" si="12"/>
        <v>-2919895.6553249117</v>
      </c>
      <c r="M36" s="184">
        <f t="shared" si="13"/>
        <v>-0.19999999999999993</v>
      </c>
      <c r="N36" s="185">
        <f t="shared" si="14"/>
        <v>-0.20000608428460726</v>
      </c>
    </row>
    <row r="37" spans="1:14" x14ac:dyDescent="0.3">
      <c r="A37" s="55" t="s">
        <v>104</v>
      </c>
      <c r="B37" s="55" t="s">
        <v>94</v>
      </c>
      <c r="C37" s="154">
        <f t="shared" si="5"/>
        <v>1</v>
      </c>
      <c r="D37" s="167">
        <f t="shared" si="5"/>
        <v>4440000</v>
      </c>
      <c r="E37" s="165" t="s">
        <v>176</v>
      </c>
      <c r="F37" s="169">
        <f t="shared" si="7"/>
        <v>2228.0277703496668</v>
      </c>
      <c r="G37" s="171">
        <f t="shared" si="8"/>
        <v>2490935.0472509274</v>
      </c>
      <c r="H37" s="177">
        <f t="shared" si="6"/>
        <v>3552000</v>
      </c>
      <c r="I37" s="169">
        <f t="shared" si="9"/>
        <v>1882.7648389143997</v>
      </c>
      <c r="J37" s="180">
        <f t="shared" si="10"/>
        <v>2104931.089906299</v>
      </c>
      <c r="K37" s="167">
        <f t="shared" si="11"/>
        <v>-888000</v>
      </c>
      <c r="L37" s="167">
        <f t="shared" si="12"/>
        <v>-386003.9573446284</v>
      </c>
      <c r="M37" s="184">
        <f t="shared" si="13"/>
        <v>-0.2</v>
      </c>
      <c r="N37" s="185">
        <f t="shared" si="14"/>
        <v>-0.15496347757868445</v>
      </c>
    </row>
    <row r="38" spans="1:14" x14ac:dyDescent="0.3">
      <c r="A38" s="55" t="s">
        <v>104</v>
      </c>
      <c r="B38" s="55" t="s">
        <v>108</v>
      </c>
      <c r="C38" s="154">
        <f t="shared" si="5"/>
        <v>1</v>
      </c>
      <c r="D38" s="167">
        <f t="shared" si="5"/>
        <v>22954000</v>
      </c>
      <c r="E38" s="165" t="s">
        <v>176</v>
      </c>
      <c r="F38" s="169">
        <f t="shared" si="7"/>
        <v>138412.14348311909</v>
      </c>
      <c r="G38" s="171">
        <f t="shared" si="8"/>
        <v>154744776.41412714</v>
      </c>
      <c r="H38" s="177">
        <f t="shared" si="6"/>
        <v>20942886.394585267</v>
      </c>
      <c r="I38" s="169">
        <f t="shared" si="9"/>
        <v>127809.70614381973</v>
      </c>
      <c r="J38" s="180">
        <f t="shared" si="10"/>
        <v>142891251.46879044</v>
      </c>
      <c r="K38" s="167">
        <f t="shared" si="11"/>
        <v>-2011113.6054147333</v>
      </c>
      <c r="L38" s="167">
        <f t="shared" si="12"/>
        <v>-11853524.945336699</v>
      </c>
      <c r="M38" s="184">
        <f t="shared" si="13"/>
        <v>-8.761495187831024E-2</v>
      </c>
      <c r="N38" s="185">
        <f t="shared" si="14"/>
        <v>-7.6600485134401944E-2</v>
      </c>
    </row>
    <row r="39" spans="1:14" x14ac:dyDescent="0.3">
      <c r="A39" s="55" t="s">
        <v>104</v>
      </c>
      <c r="B39" s="55" t="s">
        <v>96</v>
      </c>
      <c r="C39" s="154">
        <f t="shared" si="5"/>
        <v>1</v>
      </c>
      <c r="D39" s="167">
        <f t="shared" si="5"/>
        <v>7818984</v>
      </c>
      <c r="E39" s="165" t="s">
        <v>176</v>
      </c>
      <c r="F39" s="169">
        <f t="shared" si="7"/>
        <v>32808.607210343704</v>
      </c>
      <c r="G39" s="171">
        <f t="shared" si="8"/>
        <v>36680022.861164257</v>
      </c>
      <c r="H39" s="177">
        <f t="shared" si="6"/>
        <v>6255187.2000000002</v>
      </c>
      <c r="I39" s="169">
        <f t="shared" si="9"/>
        <v>26840.895159405656</v>
      </c>
      <c r="J39" s="180">
        <f t="shared" si="10"/>
        <v>30008120.788215525</v>
      </c>
      <c r="K39" s="167">
        <f t="shared" si="11"/>
        <v>-1563796.7999999998</v>
      </c>
      <c r="L39" s="167">
        <f t="shared" si="12"/>
        <v>-6671902.0729487315</v>
      </c>
      <c r="M39" s="184">
        <f t="shared" si="13"/>
        <v>-0.19999999999999998</v>
      </c>
      <c r="N39" s="185">
        <f t="shared" si="14"/>
        <v>-0.18189470868658447</v>
      </c>
    </row>
    <row r="40" spans="1:14" x14ac:dyDescent="0.3">
      <c r="A40" s="55" t="s">
        <v>104</v>
      </c>
      <c r="B40" s="55" t="s">
        <v>174</v>
      </c>
      <c r="C40" s="154">
        <f t="shared" si="5"/>
        <v>1</v>
      </c>
      <c r="D40" s="167">
        <f t="shared" si="5"/>
        <v>4782666</v>
      </c>
      <c r="E40" s="165" t="s">
        <v>176</v>
      </c>
      <c r="F40" s="169">
        <f t="shared" si="7"/>
        <v>7922.3256312394515</v>
      </c>
      <c r="G40" s="171">
        <f t="shared" si="8"/>
        <v>8857160.0557257067</v>
      </c>
      <c r="H40" s="177">
        <f t="shared" si="6"/>
        <v>3826132.8000000003</v>
      </c>
      <c r="I40" s="169">
        <f t="shared" si="9"/>
        <v>6387.0819791508839</v>
      </c>
      <c r="J40" s="180">
        <f t="shared" si="10"/>
        <v>7140757.6526906881</v>
      </c>
      <c r="K40" s="167">
        <f t="shared" si="11"/>
        <v>-956533.19999999972</v>
      </c>
      <c r="L40" s="167">
        <f t="shared" si="12"/>
        <v>-1716402.4030350186</v>
      </c>
      <c r="M40" s="184">
        <f t="shared" si="13"/>
        <v>-0.19999999999999993</v>
      </c>
      <c r="N40" s="185">
        <f t="shared" si="14"/>
        <v>-0.19378699179376929</v>
      </c>
    </row>
    <row r="41" spans="1:14" x14ac:dyDescent="0.3">
      <c r="A41" s="55" t="s">
        <v>104</v>
      </c>
      <c r="B41" s="55" t="s">
        <v>171</v>
      </c>
      <c r="C41" s="154">
        <f t="shared" si="5"/>
        <v>1</v>
      </c>
      <c r="D41" s="167">
        <f t="shared" si="5"/>
        <v>15700000</v>
      </c>
      <c r="E41" s="187" t="s">
        <v>175</v>
      </c>
      <c r="F41" s="169">
        <f t="shared" ref="F41" si="15">F24</f>
        <v>360832.73711340129</v>
      </c>
      <c r="G41" s="171">
        <f>F41*$I$31</f>
        <v>42000930.599999905</v>
      </c>
      <c r="H41" s="177">
        <f t="shared" si="6"/>
        <v>12560000</v>
      </c>
      <c r="I41" s="169">
        <f>J24</f>
        <v>293078.75773030706</v>
      </c>
      <c r="J41" s="180">
        <f>I41*$I$31</f>
        <v>34114367.399807736</v>
      </c>
      <c r="K41" s="167">
        <f t="shared" si="11"/>
        <v>-3140000</v>
      </c>
      <c r="L41" s="167">
        <f t="shared" si="12"/>
        <v>-7886563.2001921684</v>
      </c>
      <c r="M41" s="184">
        <f t="shared" si="13"/>
        <v>-0.2</v>
      </c>
      <c r="N41" s="185">
        <f t="shared" si="14"/>
        <v>-0.18777115381801054</v>
      </c>
    </row>
    <row r="42" spans="1:14" x14ac:dyDescent="0.3">
      <c r="A42" s="75" t="s">
        <v>104</v>
      </c>
      <c r="B42" s="75" t="s">
        <v>103</v>
      </c>
      <c r="C42" s="75">
        <f t="shared" si="5"/>
        <v>0</v>
      </c>
      <c r="D42" s="76">
        <f>SUM(D34:D41)</f>
        <v>81102300</v>
      </c>
      <c r="E42" s="77"/>
      <c r="F42" s="77"/>
      <c r="G42" s="172">
        <f>SUM(G34:G41)</f>
        <v>741618729.22838914</v>
      </c>
      <c r="H42" s="178">
        <f>SUM(H34:H41)</f>
        <v>76102299.994585276</v>
      </c>
      <c r="I42" s="77"/>
      <c r="J42" s="181">
        <f>SUM(J34:J41)</f>
        <v>805980485.62999189</v>
      </c>
      <c r="K42" s="76">
        <f t="shared" si="11"/>
        <v>-5000000.0054147243</v>
      </c>
      <c r="L42" s="200">
        <f t="shared" si="12"/>
        <v>64361756.401602745</v>
      </c>
      <c r="M42" s="79">
        <f t="shared" si="13"/>
        <v>-6.165053278901738E-2</v>
      </c>
      <c r="N42" s="186">
        <f t="shared" si="14"/>
        <v>8.6785505631131216E-2</v>
      </c>
    </row>
    <row r="43" spans="1:14" x14ac:dyDescent="0.3">
      <c r="D43" s="188">
        <v>0.54</v>
      </c>
      <c r="E43" s="188">
        <v>0.34</v>
      </c>
      <c r="F43" s="159" t="s">
        <v>184</v>
      </c>
      <c r="G43" s="189">
        <f>SUM(G34:G40)*$E$43 + (G41*$D$43)</f>
        <v>260550554.05765232</v>
      </c>
      <c r="I43" s="157"/>
      <c r="J43" s="189">
        <f>SUM(J34:J40)*$E$43 + (J41*$D$43)</f>
        <v>280856238.59415883</v>
      </c>
      <c r="L43" s="189">
        <f>SUM(L34:L40)*$E$43 + (L41*$D$43)</f>
        <v>20305684.536506519</v>
      </c>
      <c r="M43" s="201">
        <f>L43/L42</f>
        <v>0.31549301435783789</v>
      </c>
      <c r="N43" s="190">
        <f>N42*(L43/L42)</f>
        <v>2.7380220774134701E-2</v>
      </c>
    </row>
    <row r="44" spans="1:14" x14ac:dyDescent="0.3">
      <c r="D44" s="188">
        <v>0.46</v>
      </c>
      <c r="E44" s="188">
        <v>0.39</v>
      </c>
      <c r="F44" s="159" t="s">
        <v>185</v>
      </c>
      <c r="G44" s="189">
        <f>SUM(G34:G40)*$E$44 + (G41*$D$44)</f>
        <v>292171369.54107177</v>
      </c>
      <c r="I44" s="157"/>
      <c r="J44" s="189">
        <f>SUM(J34:J40)*$E$44 + (J41*$D$44)</f>
        <v>316720395.1136834</v>
      </c>
      <c r="L44" s="189">
        <f>SUM(L34:L40)*$E$44 + (L41*$D$44)</f>
        <v>24549025.572611637</v>
      </c>
      <c r="M44" s="201">
        <f>L44/L42</f>
        <v>0.38142255502524341</v>
      </c>
      <c r="N44" s="190">
        <f>N42*(L44/L42)</f>
        <v>3.3101949296983721E-2</v>
      </c>
    </row>
    <row r="45" spans="1:14" x14ac:dyDescent="0.3">
      <c r="D45" s="188">
        <v>0</v>
      </c>
      <c r="E45" s="188">
        <v>0.27</v>
      </c>
      <c r="F45" s="159" t="s">
        <v>186</v>
      </c>
      <c r="G45" s="189">
        <f>SUM(G34:G40)*$E$45 + (G41*$D$45)</f>
        <v>188896805.62966511</v>
      </c>
      <c r="I45" s="157"/>
      <c r="J45" s="189">
        <f>SUM(J34:J40)*$E$45 + (J41*$D$45)</f>
        <v>208403851.92214975</v>
      </c>
      <c r="L45" s="189">
        <f>SUM(L34:L40)*$E$45 + (L41*$D$45)</f>
        <v>19507046.292484641</v>
      </c>
      <c r="M45" s="201">
        <f>L45/L42</f>
        <v>0.30308443061691948</v>
      </c>
      <c r="N45" s="190">
        <f>N42*(L45/L42)</f>
        <v>2.6303335560012863E-2</v>
      </c>
    </row>
    <row r="46" spans="1:14" x14ac:dyDescent="0.3">
      <c r="D46" s="162" t="s">
        <v>175</v>
      </c>
      <c r="E46" s="162" t="s">
        <v>209</v>
      </c>
    </row>
    <row r="47" spans="1:14" ht="27.6" x14ac:dyDescent="0.3">
      <c r="D47" s="160" t="s">
        <v>210</v>
      </c>
    </row>
  </sheetData>
  <mergeCells count="19">
    <mergeCell ref="I15:J15"/>
    <mergeCell ref="K15:N15"/>
    <mergeCell ref="A30:A31"/>
    <mergeCell ref="A32:A33"/>
    <mergeCell ref="B32:B33"/>
    <mergeCell ref="C32:C33"/>
    <mergeCell ref="D32:G32"/>
    <mergeCell ref="H32:J32"/>
    <mergeCell ref="K32:N32"/>
    <mergeCell ref="B4:I4"/>
    <mergeCell ref="E5:I5"/>
    <mergeCell ref="E6:I6"/>
    <mergeCell ref="A11:A12"/>
    <mergeCell ref="A15:A16"/>
    <mergeCell ref="B15:B16"/>
    <mergeCell ref="C15:C16"/>
    <mergeCell ref="D15:D16"/>
    <mergeCell ref="E15:F15"/>
    <mergeCell ref="G15:H15"/>
  </mergeCells>
  <pageMargins left="0.7" right="0.7" top="0.75" bottom="0.75" header="0.3" footer="0.3"/>
  <pageSetup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N47"/>
  <sheetViews>
    <sheetView topLeftCell="A13" workbookViewId="0">
      <selection activeCell="B14" sqref="B14"/>
    </sheetView>
  </sheetViews>
  <sheetFormatPr defaultRowHeight="13.8" x14ac:dyDescent="0.3"/>
  <cols>
    <col min="1" max="1" width="14.109375" style="162" customWidth="1"/>
    <col min="2" max="2" width="14.21875" style="162" customWidth="1"/>
    <col min="3" max="3" width="13.88671875" style="162" customWidth="1"/>
    <col min="4" max="4" width="12.44140625" style="162" customWidth="1"/>
    <col min="5" max="5" width="13.88671875" style="162" customWidth="1"/>
    <col min="6" max="6" width="12.44140625" style="162" customWidth="1"/>
    <col min="7" max="7" width="13.77734375" style="162" customWidth="1"/>
    <col min="8" max="8" width="14" style="162" customWidth="1"/>
    <col min="9" max="9" width="14.6640625" style="162" customWidth="1"/>
    <col min="10" max="10" width="14.77734375" style="162" customWidth="1"/>
    <col min="11" max="11" width="13.88671875" style="162" customWidth="1"/>
    <col min="12" max="12" width="13.5546875" style="162" customWidth="1"/>
    <col min="13" max="13" width="11.21875" style="162" customWidth="1"/>
    <col min="14" max="14" width="10.5546875" style="162" customWidth="1"/>
    <col min="15" max="16384" width="8.88671875" style="162"/>
  </cols>
  <sheetData>
    <row r="1" spans="1:14" x14ac:dyDescent="0.3">
      <c r="A1" s="48" t="s">
        <v>0</v>
      </c>
      <c r="B1" s="162" t="s">
        <v>166</v>
      </c>
    </row>
    <row r="2" spans="1:14" x14ac:dyDescent="0.3">
      <c r="A2" s="48" t="s">
        <v>76</v>
      </c>
      <c r="B2" s="162" t="s">
        <v>104</v>
      </c>
    </row>
    <row r="3" spans="1:14" x14ac:dyDescent="0.3">
      <c r="A3" s="48" t="s">
        <v>77</v>
      </c>
      <c r="B3" s="162" t="s">
        <v>165</v>
      </c>
    </row>
    <row r="4" spans="1:14" ht="23.4" customHeight="1" x14ac:dyDescent="0.3">
      <c r="A4" s="49" t="s">
        <v>78</v>
      </c>
      <c r="B4" s="291" t="s">
        <v>221</v>
      </c>
      <c r="C4" s="292"/>
      <c r="D4" s="292"/>
      <c r="E4" s="292"/>
      <c r="F4" s="292"/>
      <c r="G4" s="292"/>
      <c r="H4" s="292"/>
      <c r="I4" s="292"/>
    </row>
    <row r="5" spans="1:14" x14ac:dyDescent="0.3">
      <c r="A5" s="48" t="s">
        <v>79</v>
      </c>
      <c r="B5" s="162" t="s">
        <v>167</v>
      </c>
      <c r="E5" s="216" t="s">
        <v>50</v>
      </c>
      <c r="F5" s="217"/>
      <c r="G5" s="217"/>
      <c r="H5" s="217"/>
      <c r="I5" s="218"/>
    </row>
    <row r="6" spans="1:14" x14ac:dyDescent="0.3">
      <c r="A6" s="48" t="s">
        <v>80</v>
      </c>
      <c r="B6" s="162" t="s">
        <v>168</v>
      </c>
      <c r="E6" s="219" t="s">
        <v>51</v>
      </c>
      <c r="F6" s="220"/>
      <c r="G6" s="220"/>
      <c r="H6" s="220"/>
      <c r="I6" s="221"/>
    </row>
    <row r="7" spans="1:14" ht="14.4" thickBot="1" x14ac:dyDescent="0.35"/>
    <row r="8" spans="1:14" ht="14.4" thickBot="1" x14ac:dyDescent="0.35">
      <c r="A8" s="52" t="s">
        <v>81</v>
      </c>
    </row>
    <row r="9" spans="1:14" ht="14.4" thickBot="1" x14ac:dyDescent="0.35">
      <c r="A9" s="29" t="s">
        <v>83</v>
      </c>
      <c r="B9" s="66">
        <f>SUM(J17:J24)</f>
        <v>8551604.4975071549</v>
      </c>
    </row>
    <row r="10" spans="1:14" ht="14.4" thickBot="1" x14ac:dyDescent="0.35">
      <c r="A10" s="50"/>
    </row>
    <row r="11" spans="1:14" ht="27.6" x14ac:dyDescent="0.3">
      <c r="A11" s="222" t="s">
        <v>82</v>
      </c>
      <c r="B11" s="51" t="s">
        <v>84</v>
      </c>
      <c r="C11" s="203" t="s">
        <v>100</v>
      </c>
      <c r="D11" s="204" t="s">
        <v>101</v>
      </c>
      <c r="E11" s="162" t="s">
        <v>97</v>
      </c>
    </row>
    <row r="12" spans="1:14" ht="14.4" thickBot="1" x14ac:dyDescent="0.35">
      <c r="A12" s="223"/>
      <c r="B12" s="158">
        <f>81102300 - 0</f>
        <v>81102300</v>
      </c>
      <c r="C12" s="81">
        <f>1*B12 - 1</f>
        <v>81102299</v>
      </c>
      <c r="D12" s="82">
        <f>1*B12 + 1</f>
        <v>81102301</v>
      </c>
    </row>
    <row r="13" spans="1:14" ht="14.4" thickBot="1" x14ac:dyDescent="0.35"/>
    <row r="14" spans="1:14" ht="60.6" customHeight="1" thickBot="1" x14ac:dyDescent="0.35">
      <c r="A14" s="53" t="s">
        <v>85</v>
      </c>
      <c r="D14" s="160" t="s">
        <v>98</v>
      </c>
      <c r="E14" s="160" t="s">
        <v>98</v>
      </c>
      <c r="F14" s="160" t="s">
        <v>99</v>
      </c>
      <c r="G14" s="163">
        <v>0.8</v>
      </c>
      <c r="H14" s="163">
        <v>1.2</v>
      </c>
      <c r="I14" s="160" t="s">
        <v>98</v>
      </c>
      <c r="J14" s="160" t="s">
        <v>99</v>
      </c>
    </row>
    <row r="15" spans="1:14" ht="27.6" customHeight="1" x14ac:dyDescent="0.3">
      <c r="A15" s="224" t="s">
        <v>2</v>
      </c>
      <c r="B15" s="209" t="s">
        <v>3</v>
      </c>
      <c r="C15" s="209" t="s">
        <v>38</v>
      </c>
      <c r="D15" s="209" t="s">
        <v>169</v>
      </c>
      <c r="E15" s="225" t="s">
        <v>86</v>
      </c>
      <c r="F15" s="226"/>
      <c r="G15" s="227" t="s">
        <v>179</v>
      </c>
      <c r="H15" s="228"/>
      <c r="I15" s="227" t="s">
        <v>89</v>
      </c>
      <c r="J15" s="228"/>
      <c r="K15" s="225" t="s">
        <v>90</v>
      </c>
      <c r="L15" s="229"/>
      <c r="M15" s="229"/>
      <c r="N15" s="226"/>
    </row>
    <row r="16" spans="1:14" ht="27.6" x14ac:dyDescent="0.3">
      <c r="A16" s="208"/>
      <c r="B16" s="208"/>
      <c r="C16" s="208"/>
      <c r="D16" s="208"/>
      <c r="E16" s="202" t="s">
        <v>203</v>
      </c>
      <c r="F16" s="202" t="s">
        <v>204</v>
      </c>
      <c r="G16" s="202" t="s">
        <v>87</v>
      </c>
      <c r="H16" s="202" t="s">
        <v>88</v>
      </c>
      <c r="I16" s="62" t="s">
        <v>201</v>
      </c>
      <c r="J16" s="62" t="s">
        <v>202</v>
      </c>
      <c r="K16" s="202" t="s">
        <v>177</v>
      </c>
      <c r="L16" s="202" t="s">
        <v>178</v>
      </c>
      <c r="M16" s="202" t="s">
        <v>91</v>
      </c>
      <c r="N16" s="202" t="s">
        <v>92</v>
      </c>
    </row>
    <row r="17" spans="1:14" x14ac:dyDescent="0.3">
      <c r="A17" s="54" t="s">
        <v>13</v>
      </c>
      <c r="B17" s="54" t="s">
        <v>93</v>
      </c>
      <c r="C17" s="55" t="s">
        <v>102</v>
      </c>
      <c r="D17" s="153">
        <v>1</v>
      </c>
      <c r="E17" s="73">
        <v>5991499</v>
      </c>
      <c r="F17" s="56">
        <v>2310765.2787946975</v>
      </c>
      <c r="G17" s="73">
        <f>E17*$G$14</f>
        <v>4793199.2</v>
      </c>
      <c r="H17" s="73">
        <f>E17*$H$14</f>
        <v>7189798.7999999998</v>
      </c>
      <c r="I17" s="173">
        <v>7189798.7999999998</v>
      </c>
      <c r="J17" s="64">
        <v>2765547.9922391665</v>
      </c>
      <c r="K17" s="58">
        <f>I17-E17</f>
        <v>1198299.7999999998</v>
      </c>
      <c r="L17" s="58">
        <f>J17-F17</f>
        <v>454782.71344446903</v>
      </c>
      <c r="M17" s="59">
        <f>K17/E17</f>
        <v>0.19999999999999996</v>
      </c>
      <c r="N17" s="59">
        <f>L17/F17</f>
        <v>0.19681043229180123</v>
      </c>
    </row>
    <row r="18" spans="1:14" x14ac:dyDescent="0.3">
      <c r="A18" s="55" t="s">
        <v>170</v>
      </c>
      <c r="B18" s="55" t="s">
        <v>93</v>
      </c>
      <c r="C18" s="55" t="s">
        <v>102</v>
      </c>
      <c r="D18" s="154">
        <v>1</v>
      </c>
      <c r="E18" s="74">
        <v>15610435</v>
      </c>
      <c r="F18" s="57">
        <v>2662664.8484120537</v>
      </c>
      <c r="G18" s="74">
        <f t="shared" ref="G18:G24" si="0">E18*$G$14</f>
        <v>12488348</v>
      </c>
      <c r="H18" s="74">
        <f t="shared" ref="H18:H24" si="1">E18*$H$14</f>
        <v>18732522</v>
      </c>
      <c r="I18" s="174">
        <v>18732522</v>
      </c>
      <c r="J18" s="65">
        <v>3195832.4397713416</v>
      </c>
      <c r="K18" s="60">
        <f t="shared" ref="K18:L24" si="2">I18-E18</f>
        <v>3122087</v>
      </c>
      <c r="L18" s="60">
        <f t="shared" si="2"/>
        <v>533167.59135928797</v>
      </c>
      <c r="M18" s="61">
        <f t="shared" ref="M18:N25" si="3">K18/E18</f>
        <v>0.2</v>
      </c>
      <c r="N18" s="61">
        <f t="shared" si="3"/>
        <v>0.20023834080254438</v>
      </c>
    </row>
    <row r="19" spans="1:14" x14ac:dyDescent="0.3">
      <c r="A19" s="55" t="s">
        <v>104</v>
      </c>
      <c r="B19" s="55" t="s">
        <v>95</v>
      </c>
      <c r="C19" s="55" t="s">
        <v>102</v>
      </c>
      <c r="D19" s="154">
        <v>1</v>
      </c>
      <c r="E19" s="74">
        <v>3804716</v>
      </c>
      <c r="F19" s="57">
        <v>150560.70106149331</v>
      </c>
      <c r="G19" s="74">
        <f t="shared" si="0"/>
        <v>3043772.8000000003</v>
      </c>
      <c r="H19" s="74">
        <f t="shared" si="1"/>
        <v>4565659.2</v>
      </c>
      <c r="I19" s="174">
        <v>3043772.8000000003</v>
      </c>
      <c r="J19" s="65">
        <v>120447.64479503871</v>
      </c>
      <c r="K19" s="60">
        <f t="shared" si="2"/>
        <v>-760943.19999999972</v>
      </c>
      <c r="L19" s="60">
        <f t="shared" si="2"/>
        <v>-30113.056266454601</v>
      </c>
      <c r="M19" s="61">
        <f t="shared" si="3"/>
        <v>-0.19999999999999993</v>
      </c>
      <c r="N19" s="61">
        <f t="shared" si="3"/>
        <v>-0.20000608428460734</v>
      </c>
    </row>
    <row r="20" spans="1:14" x14ac:dyDescent="0.3">
      <c r="A20" s="55" t="s">
        <v>104</v>
      </c>
      <c r="B20" s="55" t="s">
        <v>94</v>
      </c>
      <c r="C20" s="55" t="s">
        <v>173</v>
      </c>
      <c r="D20" s="154">
        <v>1</v>
      </c>
      <c r="E20" s="74">
        <v>4440000</v>
      </c>
      <c r="F20" s="57">
        <v>25689.160192131658</v>
      </c>
      <c r="G20" s="74">
        <f t="shared" si="0"/>
        <v>3552000</v>
      </c>
      <c r="H20" s="74">
        <f t="shared" si="1"/>
        <v>5328000</v>
      </c>
      <c r="I20" s="174">
        <v>3552000</v>
      </c>
      <c r="J20" s="65">
        <v>21708.278592683026</v>
      </c>
      <c r="K20" s="60">
        <f t="shared" si="2"/>
        <v>-888000</v>
      </c>
      <c r="L20" s="60">
        <f t="shared" si="2"/>
        <v>-3980.8815994486322</v>
      </c>
      <c r="M20" s="61">
        <f t="shared" si="3"/>
        <v>-0.2</v>
      </c>
      <c r="N20" s="61">
        <f t="shared" si="3"/>
        <v>-0.15496347757868464</v>
      </c>
    </row>
    <row r="21" spans="1:14" x14ac:dyDescent="0.3">
      <c r="A21" s="55" t="s">
        <v>104</v>
      </c>
      <c r="B21" s="55" t="s">
        <v>108</v>
      </c>
      <c r="C21" s="55" t="s">
        <v>172</v>
      </c>
      <c r="D21" s="154">
        <v>1</v>
      </c>
      <c r="E21" s="74">
        <v>22954000</v>
      </c>
      <c r="F21" s="57">
        <v>1595892.0143603629</v>
      </c>
      <c r="G21" s="74">
        <f t="shared" si="0"/>
        <v>18363200</v>
      </c>
      <c r="H21" s="74">
        <f t="shared" si="1"/>
        <v>27544800</v>
      </c>
      <c r="I21" s="174">
        <v>25942886.287335217</v>
      </c>
      <c r="J21" s="65">
        <v>1771870.8079710603</v>
      </c>
      <c r="K21" s="60">
        <f t="shared" si="2"/>
        <v>2988886.287335217</v>
      </c>
      <c r="L21" s="60">
        <f t="shared" si="2"/>
        <v>175978.79361069738</v>
      </c>
      <c r="M21" s="61">
        <f t="shared" si="3"/>
        <v>0.13021200171365413</v>
      </c>
      <c r="N21" s="61">
        <f t="shared" si="3"/>
        <v>0.1102698628899588</v>
      </c>
    </row>
    <row r="22" spans="1:14" x14ac:dyDescent="0.3">
      <c r="A22" s="55" t="s">
        <v>104</v>
      </c>
      <c r="B22" s="55" t="s">
        <v>96</v>
      </c>
      <c r="C22" s="55" t="s">
        <v>172</v>
      </c>
      <c r="D22" s="154">
        <v>1</v>
      </c>
      <c r="E22" s="74">
        <v>7818984</v>
      </c>
      <c r="F22" s="57">
        <v>378283.24113526288</v>
      </c>
      <c r="G22" s="74">
        <f t="shared" si="0"/>
        <v>6255187.2000000002</v>
      </c>
      <c r="H22" s="74">
        <f t="shared" si="1"/>
        <v>9382780.7999999989</v>
      </c>
      <c r="I22" s="174">
        <v>6255187.2000000002</v>
      </c>
      <c r="J22" s="65">
        <v>309475.52118794719</v>
      </c>
      <c r="K22" s="60">
        <f t="shared" si="2"/>
        <v>-1563796.7999999998</v>
      </c>
      <c r="L22" s="60">
        <f t="shared" si="2"/>
        <v>-68807.719947315694</v>
      </c>
      <c r="M22" s="61">
        <f t="shared" si="3"/>
        <v>-0.19999999999999998</v>
      </c>
      <c r="N22" s="61">
        <f t="shared" si="3"/>
        <v>-0.18189470868658464</v>
      </c>
    </row>
    <row r="23" spans="1:14" x14ac:dyDescent="0.3">
      <c r="A23" s="55" t="s">
        <v>104</v>
      </c>
      <c r="B23" s="55" t="s">
        <v>174</v>
      </c>
      <c r="C23" s="55" t="s">
        <v>172</v>
      </c>
      <c r="D23" s="154">
        <v>1</v>
      </c>
      <c r="E23" s="74">
        <v>4782666</v>
      </c>
      <c r="F23" s="57">
        <v>91344.414528190871</v>
      </c>
      <c r="G23" s="74">
        <f t="shared" si="0"/>
        <v>3826132.8000000003</v>
      </c>
      <c r="H23" s="74">
        <f t="shared" si="1"/>
        <v>5739199.2000000002</v>
      </c>
      <c r="I23" s="174">
        <v>3826132.8000000003</v>
      </c>
      <c r="J23" s="65">
        <v>73643.055219609683</v>
      </c>
      <c r="K23" s="60">
        <f t="shared" si="2"/>
        <v>-956533.19999999972</v>
      </c>
      <c r="L23" s="60">
        <f t="shared" si="2"/>
        <v>-17701.359308581188</v>
      </c>
      <c r="M23" s="61">
        <f t="shared" si="3"/>
        <v>-0.19999999999999993</v>
      </c>
      <c r="N23" s="61">
        <f t="shared" si="3"/>
        <v>-0.19378699179376932</v>
      </c>
    </row>
    <row r="24" spans="1:14" x14ac:dyDescent="0.3">
      <c r="A24" s="55" t="s">
        <v>104</v>
      </c>
      <c r="B24" s="55" t="s">
        <v>171</v>
      </c>
      <c r="C24" s="55" t="s">
        <v>172</v>
      </c>
      <c r="D24" s="154">
        <v>1</v>
      </c>
      <c r="E24" s="74">
        <v>15700000</v>
      </c>
      <c r="F24" s="57">
        <v>360832.73711340129</v>
      </c>
      <c r="G24" s="74">
        <f t="shared" si="0"/>
        <v>12560000</v>
      </c>
      <c r="H24" s="74">
        <f t="shared" si="1"/>
        <v>18840000</v>
      </c>
      <c r="I24" s="174">
        <v>12560000</v>
      </c>
      <c r="J24" s="65">
        <v>293078.75773030706</v>
      </c>
      <c r="K24" s="60">
        <f t="shared" si="2"/>
        <v>-3140000</v>
      </c>
      <c r="L24" s="60">
        <f t="shared" si="2"/>
        <v>-67753.979383094236</v>
      </c>
      <c r="M24" s="61">
        <f t="shared" si="3"/>
        <v>-0.2</v>
      </c>
      <c r="N24" s="61">
        <f t="shared" si="3"/>
        <v>-0.18777115381801054</v>
      </c>
    </row>
    <row r="25" spans="1:14" x14ac:dyDescent="0.3">
      <c r="A25" s="75" t="s">
        <v>104</v>
      </c>
      <c r="B25" s="75" t="s">
        <v>103</v>
      </c>
      <c r="C25" s="75"/>
      <c r="D25" s="75"/>
      <c r="E25" s="76">
        <f t="shared" ref="E25:J25" si="4">SUM(E17:E24)</f>
        <v>81102300</v>
      </c>
      <c r="F25" s="77">
        <f t="shared" si="4"/>
        <v>7576032.3955975948</v>
      </c>
      <c r="G25" s="76">
        <f t="shared" si="4"/>
        <v>64881840</v>
      </c>
      <c r="H25" s="76">
        <f t="shared" si="4"/>
        <v>97322760</v>
      </c>
      <c r="I25" s="83">
        <f t="shared" si="4"/>
        <v>81102299.887335226</v>
      </c>
      <c r="J25" s="175">
        <f t="shared" si="4"/>
        <v>8551604.4975071549</v>
      </c>
      <c r="K25" s="76">
        <f>SUM(K17:K24)</f>
        <v>-0.11266478290781379</v>
      </c>
      <c r="L25" s="175">
        <f>SUM(L17:L24)</f>
        <v>975572.1019095598</v>
      </c>
      <c r="M25" s="79">
        <f>K25/E25</f>
        <v>-1.3891687770607467E-9</v>
      </c>
      <c r="N25" s="79">
        <f t="shared" si="3"/>
        <v>0.1287708461326619</v>
      </c>
    </row>
    <row r="30" spans="1:14" ht="55.2" x14ac:dyDescent="0.3">
      <c r="A30" s="215" t="s">
        <v>180</v>
      </c>
      <c r="D30" s="191" t="s">
        <v>149</v>
      </c>
      <c r="E30" s="191" t="s">
        <v>194</v>
      </c>
      <c r="F30" s="191" t="s">
        <v>198</v>
      </c>
      <c r="G30" s="191" t="s">
        <v>195</v>
      </c>
      <c r="H30" s="191" t="s">
        <v>196</v>
      </c>
      <c r="I30" s="191" t="s">
        <v>197</v>
      </c>
    </row>
    <row r="31" spans="1:14" x14ac:dyDescent="0.3">
      <c r="A31" s="215"/>
      <c r="D31" s="192">
        <v>11.53</v>
      </c>
      <c r="E31" s="193">
        <v>1876</v>
      </c>
      <c r="F31" s="193">
        <v>1118</v>
      </c>
      <c r="G31" s="194">
        <v>194</v>
      </c>
      <c r="H31" s="195">
        <v>0.4</v>
      </c>
      <c r="I31" s="194">
        <f>(1-H31)*G31</f>
        <v>116.39999999999999</v>
      </c>
    </row>
    <row r="32" spans="1:14" ht="13.8" customHeight="1" x14ac:dyDescent="0.3">
      <c r="A32" s="207" t="s">
        <v>2</v>
      </c>
      <c r="B32" s="209" t="s">
        <v>3</v>
      </c>
      <c r="C32" s="209" t="str">
        <f t="shared" ref="C32:D42" si="5">D15</f>
        <v>Response Scaling Factor for Sensitivity Analysis</v>
      </c>
      <c r="D32" s="210" t="s">
        <v>86</v>
      </c>
      <c r="E32" s="211"/>
      <c r="F32" s="211"/>
      <c r="G32" s="212"/>
      <c r="H32" s="213" t="s">
        <v>89</v>
      </c>
      <c r="I32" s="214"/>
      <c r="J32" s="214"/>
      <c r="K32" s="210" t="s">
        <v>189</v>
      </c>
      <c r="L32" s="211"/>
      <c r="M32" s="211"/>
      <c r="N32" s="212"/>
    </row>
    <row r="33" spans="1:14" ht="74.400000000000006" customHeight="1" x14ac:dyDescent="0.3">
      <c r="A33" s="208"/>
      <c r="B33" s="208"/>
      <c r="C33" s="208">
        <f t="shared" si="5"/>
        <v>0</v>
      </c>
      <c r="D33" s="202" t="s">
        <v>182</v>
      </c>
      <c r="E33" s="202" t="s">
        <v>181</v>
      </c>
      <c r="F33" s="202" t="s">
        <v>183</v>
      </c>
      <c r="G33" s="202" t="s">
        <v>199</v>
      </c>
      <c r="H33" s="62" t="s">
        <v>187</v>
      </c>
      <c r="I33" s="62" t="s">
        <v>188</v>
      </c>
      <c r="J33" s="62" t="s">
        <v>200</v>
      </c>
      <c r="K33" s="202" t="s">
        <v>190</v>
      </c>
      <c r="L33" s="202" t="s">
        <v>191</v>
      </c>
      <c r="M33" s="202" t="s">
        <v>192</v>
      </c>
      <c r="N33" s="202" t="s">
        <v>193</v>
      </c>
    </row>
    <row r="34" spans="1:14" x14ac:dyDescent="0.3">
      <c r="A34" s="54" t="s">
        <v>13</v>
      </c>
      <c r="B34" s="54" t="s">
        <v>93</v>
      </c>
      <c r="C34" s="153">
        <f t="shared" si="5"/>
        <v>1</v>
      </c>
      <c r="D34" s="166">
        <f t="shared" si="5"/>
        <v>5991499</v>
      </c>
      <c r="E34" s="164" t="s">
        <v>176</v>
      </c>
      <c r="F34" s="168">
        <f>F17/$D$31</f>
        <v>200413.29391107525</v>
      </c>
      <c r="G34" s="170">
        <f>F34*$F$31</f>
        <v>224062062.59258214</v>
      </c>
      <c r="H34" s="176">
        <f t="shared" ref="H34:H41" si="6">I17</f>
        <v>7189798.7999999998</v>
      </c>
      <c r="I34" s="168">
        <f>J17/$D$31</f>
        <v>239856.72092273779</v>
      </c>
      <c r="J34" s="179">
        <f>I34*$F$31</f>
        <v>268159813.99162084</v>
      </c>
      <c r="K34" s="166">
        <f>H34-D34</f>
        <v>1198299.7999999998</v>
      </c>
      <c r="L34" s="166">
        <f>J34-G34</f>
        <v>44097751.399038702</v>
      </c>
      <c r="M34" s="182">
        <f>K34/D34</f>
        <v>0.19999999999999996</v>
      </c>
      <c r="N34" s="183">
        <f>L34/G34</f>
        <v>0.19681043229180117</v>
      </c>
    </row>
    <row r="35" spans="1:14" x14ac:dyDescent="0.3">
      <c r="A35" s="55" t="s">
        <v>170</v>
      </c>
      <c r="B35" s="55" t="s">
        <v>93</v>
      </c>
      <c r="C35" s="154">
        <f t="shared" si="5"/>
        <v>1</v>
      </c>
      <c r="D35" s="167">
        <f t="shared" si="5"/>
        <v>15610435</v>
      </c>
      <c r="E35" s="165" t="s">
        <v>176</v>
      </c>
      <c r="F35" s="169">
        <f t="shared" ref="F35:F40" si="7">F18/$D$31</f>
        <v>230933.63819705584</v>
      </c>
      <c r="G35" s="171">
        <f t="shared" ref="G35:G40" si="8">F35*$F$31</f>
        <v>258183807.50430843</v>
      </c>
      <c r="H35" s="177">
        <f t="shared" si="6"/>
        <v>18732522</v>
      </c>
      <c r="I35" s="169">
        <f t="shared" ref="I35:I40" si="9">J18/$D$31</f>
        <v>277175.40674512938</v>
      </c>
      <c r="J35" s="180">
        <f t="shared" ref="J35:J40" si="10">I35*$F$31</f>
        <v>309882104.74105465</v>
      </c>
      <c r="K35" s="167">
        <f t="shared" ref="K35:K42" si="11">H35-D35</f>
        <v>3122087</v>
      </c>
      <c r="L35" s="167">
        <f t="shared" ref="L35:L42" si="12">J35-G35</f>
        <v>51698297.236746222</v>
      </c>
      <c r="M35" s="184">
        <f t="shared" ref="M35:M42" si="13">K35/D35</f>
        <v>0.2</v>
      </c>
      <c r="N35" s="185">
        <f t="shared" ref="N35:N42" si="14">L35/G35</f>
        <v>0.20023834080254435</v>
      </c>
    </row>
    <row r="36" spans="1:14" x14ac:dyDescent="0.3">
      <c r="A36" s="55" t="s">
        <v>104</v>
      </c>
      <c r="B36" s="55" t="s">
        <v>95</v>
      </c>
      <c r="C36" s="154">
        <f t="shared" si="5"/>
        <v>1</v>
      </c>
      <c r="D36" s="167">
        <f t="shared" si="5"/>
        <v>3804716</v>
      </c>
      <c r="E36" s="165" t="s">
        <v>176</v>
      </c>
      <c r="F36" s="169">
        <f t="shared" si="7"/>
        <v>13058.170083390574</v>
      </c>
      <c r="G36" s="171">
        <f t="shared" si="8"/>
        <v>14599034.153230662</v>
      </c>
      <c r="H36" s="177">
        <f t="shared" si="6"/>
        <v>3043772.8000000003</v>
      </c>
      <c r="I36" s="169">
        <f t="shared" si="9"/>
        <v>10446.456617089221</v>
      </c>
      <c r="J36" s="180">
        <f t="shared" si="10"/>
        <v>11679138.49790575</v>
      </c>
      <c r="K36" s="167">
        <f t="shared" si="11"/>
        <v>-760943.19999999972</v>
      </c>
      <c r="L36" s="167">
        <f t="shared" si="12"/>
        <v>-2919895.6553249117</v>
      </c>
      <c r="M36" s="184">
        <f t="shared" si="13"/>
        <v>-0.19999999999999993</v>
      </c>
      <c r="N36" s="185">
        <f t="shared" si="14"/>
        <v>-0.20000608428460726</v>
      </c>
    </row>
    <row r="37" spans="1:14" x14ac:dyDescent="0.3">
      <c r="A37" s="55" t="s">
        <v>104</v>
      </c>
      <c r="B37" s="55" t="s">
        <v>94</v>
      </c>
      <c r="C37" s="154">
        <f t="shared" si="5"/>
        <v>1</v>
      </c>
      <c r="D37" s="167">
        <f t="shared" si="5"/>
        <v>4440000</v>
      </c>
      <c r="E37" s="165" t="s">
        <v>176</v>
      </c>
      <c r="F37" s="169">
        <f t="shared" si="7"/>
        <v>2228.0277703496668</v>
      </c>
      <c r="G37" s="171">
        <f t="shared" si="8"/>
        <v>2490935.0472509274</v>
      </c>
      <c r="H37" s="177">
        <f t="shared" si="6"/>
        <v>3552000</v>
      </c>
      <c r="I37" s="169">
        <f t="shared" si="9"/>
        <v>1882.7648389143997</v>
      </c>
      <c r="J37" s="180">
        <f t="shared" si="10"/>
        <v>2104931.089906299</v>
      </c>
      <c r="K37" s="167">
        <f t="shared" si="11"/>
        <v>-888000</v>
      </c>
      <c r="L37" s="167">
        <f t="shared" si="12"/>
        <v>-386003.9573446284</v>
      </c>
      <c r="M37" s="184">
        <f t="shared" si="13"/>
        <v>-0.2</v>
      </c>
      <c r="N37" s="185">
        <f t="shared" si="14"/>
        <v>-0.15496347757868445</v>
      </c>
    </row>
    <row r="38" spans="1:14" x14ac:dyDescent="0.3">
      <c r="A38" s="55" t="s">
        <v>104</v>
      </c>
      <c r="B38" s="55" t="s">
        <v>108</v>
      </c>
      <c r="C38" s="154">
        <f t="shared" si="5"/>
        <v>1</v>
      </c>
      <c r="D38" s="167">
        <f t="shared" si="5"/>
        <v>22954000</v>
      </c>
      <c r="E38" s="165" t="s">
        <v>176</v>
      </c>
      <c r="F38" s="169">
        <f t="shared" si="7"/>
        <v>138412.14348311909</v>
      </c>
      <c r="G38" s="171">
        <f t="shared" si="8"/>
        <v>154744776.41412714</v>
      </c>
      <c r="H38" s="177">
        <f t="shared" si="6"/>
        <v>25942886.287335217</v>
      </c>
      <c r="I38" s="169">
        <f t="shared" si="9"/>
        <v>153674.83156730793</v>
      </c>
      <c r="J38" s="180">
        <f t="shared" si="10"/>
        <v>171808461.69225028</v>
      </c>
      <c r="K38" s="167">
        <f t="shared" si="11"/>
        <v>2988886.287335217</v>
      </c>
      <c r="L38" s="167">
        <f t="shared" si="12"/>
        <v>17063685.27812314</v>
      </c>
      <c r="M38" s="184">
        <f t="shared" si="13"/>
        <v>0.13021200171365413</v>
      </c>
      <c r="N38" s="185">
        <f t="shared" si="14"/>
        <v>0.11026986288995887</v>
      </c>
    </row>
    <row r="39" spans="1:14" x14ac:dyDescent="0.3">
      <c r="A39" s="55" t="s">
        <v>104</v>
      </c>
      <c r="B39" s="55" t="s">
        <v>96</v>
      </c>
      <c r="C39" s="154">
        <f t="shared" si="5"/>
        <v>1</v>
      </c>
      <c r="D39" s="167">
        <f t="shared" si="5"/>
        <v>7818984</v>
      </c>
      <c r="E39" s="165" t="s">
        <v>176</v>
      </c>
      <c r="F39" s="169">
        <f t="shared" si="7"/>
        <v>32808.607210343704</v>
      </c>
      <c r="G39" s="171">
        <f t="shared" si="8"/>
        <v>36680022.861164257</v>
      </c>
      <c r="H39" s="177">
        <f t="shared" si="6"/>
        <v>6255187.2000000002</v>
      </c>
      <c r="I39" s="169">
        <f t="shared" si="9"/>
        <v>26840.895159405656</v>
      </c>
      <c r="J39" s="180">
        <f t="shared" si="10"/>
        <v>30008120.788215525</v>
      </c>
      <c r="K39" s="167">
        <f t="shared" si="11"/>
        <v>-1563796.7999999998</v>
      </c>
      <c r="L39" s="167">
        <f t="shared" si="12"/>
        <v>-6671902.0729487315</v>
      </c>
      <c r="M39" s="184">
        <f t="shared" si="13"/>
        <v>-0.19999999999999998</v>
      </c>
      <c r="N39" s="185">
        <f t="shared" si="14"/>
        <v>-0.18189470868658447</v>
      </c>
    </row>
    <row r="40" spans="1:14" x14ac:dyDescent="0.3">
      <c r="A40" s="55" t="s">
        <v>104</v>
      </c>
      <c r="B40" s="55" t="s">
        <v>174</v>
      </c>
      <c r="C40" s="154">
        <f t="shared" si="5"/>
        <v>1</v>
      </c>
      <c r="D40" s="167">
        <f t="shared" si="5"/>
        <v>4782666</v>
      </c>
      <c r="E40" s="165" t="s">
        <v>176</v>
      </c>
      <c r="F40" s="169">
        <f t="shared" si="7"/>
        <v>7922.3256312394515</v>
      </c>
      <c r="G40" s="171">
        <f t="shared" si="8"/>
        <v>8857160.0557257067</v>
      </c>
      <c r="H40" s="177">
        <f t="shared" si="6"/>
        <v>3826132.8000000003</v>
      </c>
      <c r="I40" s="169">
        <f t="shared" si="9"/>
        <v>6387.0819791508839</v>
      </c>
      <c r="J40" s="180">
        <f t="shared" si="10"/>
        <v>7140757.6526906881</v>
      </c>
      <c r="K40" s="167">
        <f t="shared" si="11"/>
        <v>-956533.19999999972</v>
      </c>
      <c r="L40" s="167">
        <f t="shared" si="12"/>
        <v>-1716402.4030350186</v>
      </c>
      <c r="M40" s="184">
        <f t="shared" si="13"/>
        <v>-0.19999999999999993</v>
      </c>
      <c r="N40" s="185">
        <f t="shared" si="14"/>
        <v>-0.19378699179376929</v>
      </c>
    </row>
    <row r="41" spans="1:14" x14ac:dyDescent="0.3">
      <c r="A41" s="55" t="s">
        <v>104</v>
      </c>
      <c r="B41" s="55" t="s">
        <v>171</v>
      </c>
      <c r="C41" s="154">
        <f t="shared" si="5"/>
        <v>1</v>
      </c>
      <c r="D41" s="167">
        <f t="shared" si="5"/>
        <v>15700000</v>
      </c>
      <c r="E41" s="187" t="s">
        <v>175</v>
      </c>
      <c r="F41" s="169">
        <f t="shared" ref="F41" si="15">F24</f>
        <v>360832.73711340129</v>
      </c>
      <c r="G41" s="171">
        <f>F41*$I$31</f>
        <v>42000930.599999905</v>
      </c>
      <c r="H41" s="177">
        <f t="shared" si="6"/>
        <v>12560000</v>
      </c>
      <c r="I41" s="169">
        <f>J24</f>
        <v>293078.75773030706</v>
      </c>
      <c r="J41" s="180">
        <f>I41*$I$31</f>
        <v>34114367.399807736</v>
      </c>
      <c r="K41" s="167">
        <f t="shared" si="11"/>
        <v>-3140000</v>
      </c>
      <c r="L41" s="167">
        <f t="shared" si="12"/>
        <v>-7886563.2001921684</v>
      </c>
      <c r="M41" s="184">
        <f t="shared" si="13"/>
        <v>-0.2</v>
      </c>
      <c r="N41" s="185">
        <f t="shared" si="14"/>
        <v>-0.18777115381801054</v>
      </c>
    </row>
    <row r="42" spans="1:14" x14ac:dyDescent="0.3">
      <c r="A42" s="75" t="s">
        <v>104</v>
      </c>
      <c r="B42" s="75" t="s">
        <v>103</v>
      </c>
      <c r="C42" s="75">
        <f t="shared" si="5"/>
        <v>0</v>
      </c>
      <c r="D42" s="76">
        <f>SUM(D34:D41)</f>
        <v>81102300</v>
      </c>
      <c r="E42" s="77"/>
      <c r="F42" s="77"/>
      <c r="G42" s="172">
        <f>SUM(G34:G41)</f>
        <v>741618729.22838914</v>
      </c>
      <c r="H42" s="178">
        <f>SUM(H34:H41)</f>
        <v>81102299.887335226</v>
      </c>
      <c r="I42" s="77"/>
      <c r="J42" s="181">
        <f>SUM(J34:J41)</f>
        <v>834897695.85345173</v>
      </c>
      <c r="K42" s="76">
        <f t="shared" si="11"/>
        <v>-0.11266477406024933</v>
      </c>
      <c r="L42" s="200">
        <f t="shared" si="12"/>
        <v>93278966.625062585</v>
      </c>
      <c r="M42" s="79">
        <f t="shared" si="13"/>
        <v>-1.3891686679693342E-9</v>
      </c>
      <c r="N42" s="186">
        <f t="shared" si="14"/>
        <v>0.12577752280085197</v>
      </c>
    </row>
    <row r="43" spans="1:14" x14ac:dyDescent="0.3">
      <c r="D43" s="188">
        <v>0.54</v>
      </c>
      <c r="E43" s="188">
        <v>0.34</v>
      </c>
      <c r="F43" s="159" t="s">
        <v>184</v>
      </c>
      <c r="G43" s="189">
        <f>SUM(G34:G40)*$E$43 + (G41*$D$43)</f>
        <v>260550554.05765232</v>
      </c>
      <c r="I43" s="157"/>
      <c r="J43" s="189">
        <f>SUM(J34:J40)*$E$43 + (J41*$D$43)</f>
        <v>290688090.07013518</v>
      </c>
      <c r="L43" s="189">
        <f>SUM(L34:L40)*$E$43 + (L41*$D$43)</f>
        <v>30137536.012482867</v>
      </c>
      <c r="M43" s="201">
        <f>L43/L42</f>
        <v>0.32309037184793798</v>
      </c>
      <c r="N43" s="190">
        <f>N42*(L43/L42)</f>
        <v>4.0637506611839763E-2</v>
      </c>
    </row>
    <row r="44" spans="1:14" x14ac:dyDescent="0.3">
      <c r="D44" s="188">
        <v>0.46</v>
      </c>
      <c r="E44" s="188">
        <v>0.39</v>
      </c>
      <c r="F44" s="159" t="s">
        <v>185</v>
      </c>
      <c r="G44" s="189">
        <f>SUM(G34:G40)*$E$44 + (G41*$D$44)</f>
        <v>292171369.54107177</v>
      </c>
      <c r="I44" s="157"/>
      <c r="J44" s="189">
        <f>SUM(J34:J40)*$E$44 + (J41*$D$44)</f>
        <v>327998107.10083276</v>
      </c>
      <c r="L44" s="189">
        <f>SUM(L34:L40)*$E$44 + (L41*$D$44)</f>
        <v>35826737.559760973</v>
      </c>
      <c r="M44" s="201">
        <f>L44/L42</f>
        <v>0.38408163014677837</v>
      </c>
      <c r="N44" s="190">
        <f>N42*(L44/L42)</f>
        <v>4.8308835993174808E-2</v>
      </c>
    </row>
    <row r="45" spans="1:14" x14ac:dyDescent="0.3">
      <c r="D45" s="188">
        <v>0</v>
      </c>
      <c r="E45" s="188">
        <v>0.27</v>
      </c>
      <c r="F45" s="159" t="s">
        <v>186</v>
      </c>
      <c r="G45" s="189">
        <f>SUM(G34:G40)*$E$45 + (G41*$D$45)</f>
        <v>188896805.62966511</v>
      </c>
      <c r="I45" s="157"/>
      <c r="J45" s="189">
        <f>SUM(J34:J40)*$E$45 + (J41*$D$45)</f>
        <v>216211498.68248391</v>
      </c>
      <c r="L45" s="189">
        <f>SUM(L34:L40)*$E$45 + (L41*$D$45)</f>
        <v>27314693.052818798</v>
      </c>
      <c r="M45" s="201">
        <f>L45/L42</f>
        <v>0.2928279980052842</v>
      </c>
      <c r="N45" s="190">
        <f>N42*(L45/L42)</f>
        <v>3.6831180195837469E-2</v>
      </c>
    </row>
    <row r="46" spans="1:14" x14ac:dyDescent="0.3">
      <c r="D46" s="162" t="s">
        <v>175</v>
      </c>
      <c r="E46" s="162" t="s">
        <v>209</v>
      </c>
    </row>
    <row r="47" spans="1:14" ht="27.6" x14ac:dyDescent="0.3">
      <c r="D47" s="160" t="s">
        <v>210</v>
      </c>
    </row>
  </sheetData>
  <mergeCells count="19">
    <mergeCell ref="I15:J15"/>
    <mergeCell ref="K15:N15"/>
    <mergeCell ref="A30:A31"/>
    <mergeCell ref="A32:A33"/>
    <mergeCell ref="B32:B33"/>
    <mergeCell ref="C32:C33"/>
    <mergeCell ref="D32:G32"/>
    <mergeCell ref="H32:J32"/>
    <mergeCell ref="K32:N32"/>
    <mergeCell ref="B4:I4"/>
    <mergeCell ref="E5:I5"/>
    <mergeCell ref="E6:I6"/>
    <mergeCell ref="A11:A12"/>
    <mergeCell ref="A15:A16"/>
    <mergeCell ref="B15:B16"/>
    <mergeCell ref="C15:C16"/>
    <mergeCell ref="D15:D16"/>
    <mergeCell ref="E15:F15"/>
    <mergeCell ref="G15:H15"/>
  </mergeCells>
  <pageMargins left="0.7" right="0.7" top="0.75" bottom="0.75" header="0.3" footer="0.3"/>
  <pageSetup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N47"/>
  <sheetViews>
    <sheetView topLeftCell="C13" workbookViewId="0">
      <selection activeCell="I22" sqref="I22"/>
    </sheetView>
  </sheetViews>
  <sheetFormatPr defaultRowHeight="13.8" x14ac:dyDescent="0.3"/>
  <cols>
    <col min="1" max="1" width="14.109375" style="162" customWidth="1"/>
    <col min="2" max="2" width="14.21875" style="162" customWidth="1"/>
    <col min="3" max="3" width="13.88671875" style="162" customWidth="1"/>
    <col min="4" max="4" width="12.44140625" style="162" customWidth="1"/>
    <col min="5" max="5" width="13.88671875" style="162" customWidth="1"/>
    <col min="6" max="6" width="12.44140625" style="162" customWidth="1"/>
    <col min="7" max="7" width="13.77734375" style="162" customWidth="1"/>
    <col min="8" max="8" width="14" style="162" customWidth="1"/>
    <col min="9" max="9" width="14.6640625" style="162" customWidth="1"/>
    <col min="10" max="10" width="14.77734375" style="162" customWidth="1"/>
    <col min="11" max="11" width="13.88671875" style="162" customWidth="1"/>
    <col min="12" max="12" width="13.5546875" style="162" customWidth="1"/>
    <col min="13" max="13" width="11.21875" style="162" customWidth="1"/>
    <col min="14" max="14" width="10.5546875" style="162" customWidth="1"/>
    <col min="15" max="16384" width="8.88671875" style="162"/>
  </cols>
  <sheetData>
    <row r="1" spans="1:14" x14ac:dyDescent="0.3">
      <c r="A1" s="48" t="s">
        <v>0</v>
      </c>
      <c r="B1" s="162" t="s">
        <v>166</v>
      </c>
    </row>
    <row r="2" spans="1:14" x14ac:dyDescent="0.3">
      <c r="A2" s="48" t="s">
        <v>76</v>
      </c>
      <c r="B2" s="162" t="s">
        <v>104</v>
      </c>
    </row>
    <row r="3" spans="1:14" x14ac:dyDescent="0.3">
      <c r="A3" s="48" t="s">
        <v>77</v>
      </c>
      <c r="B3" s="162" t="s">
        <v>165</v>
      </c>
    </row>
    <row r="4" spans="1:14" ht="23.4" customHeight="1" x14ac:dyDescent="0.3">
      <c r="A4" s="49" t="s">
        <v>78</v>
      </c>
      <c r="B4" s="291" t="s">
        <v>221</v>
      </c>
      <c r="C4" s="292"/>
      <c r="D4" s="292"/>
      <c r="E4" s="292"/>
      <c r="F4" s="292"/>
      <c r="G4" s="292"/>
      <c r="H4" s="292"/>
      <c r="I4" s="292"/>
    </row>
    <row r="5" spans="1:14" x14ac:dyDescent="0.3">
      <c r="A5" s="48" t="s">
        <v>79</v>
      </c>
      <c r="B5" s="162" t="s">
        <v>167</v>
      </c>
      <c r="E5" s="216" t="s">
        <v>50</v>
      </c>
      <c r="F5" s="217"/>
      <c r="G5" s="217"/>
      <c r="H5" s="217"/>
      <c r="I5" s="218"/>
    </row>
    <row r="6" spans="1:14" x14ac:dyDescent="0.3">
      <c r="A6" s="48" t="s">
        <v>80</v>
      </c>
      <c r="B6" s="162" t="s">
        <v>168</v>
      </c>
      <c r="E6" s="219" t="s">
        <v>51</v>
      </c>
      <c r="F6" s="220"/>
      <c r="G6" s="220"/>
      <c r="H6" s="220"/>
      <c r="I6" s="221"/>
    </row>
    <row r="7" spans="1:14" ht="14.4" thickBot="1" x14ac:dyDescent="0.35"/>
    <row r="8" spans="1:14" ht="14.4" thickBot="1" x14ac:dyDescent="0.35">
      <c r="A8" s="52" t="s">
        <v>81</v>
      </c>
    </row>
    <row r="9" spans="1:14" ht="14.4" thickBot="1" x14ac:dyDescent="0.35">
      <c r="A9" s="29" t="s">
        <v>83</v>
      </c>
      <c r="B9" s="66">
        <f>SUM(J17:J24)</f>
        <v>8788367.6827623099</v>
      </c>
    </row>
    <row r="10" spans="1:14" ht="14.4" thickBot="1" x14ac:dyDescent="0.35">
      <c r="A10" s="50"/>
    </row>
    <row r="11" spans="1:14" ht="27.6" x14ac:dyDescent="0.3">
      <c r="A11" s="222" t="s">
        <v>82</v>
      </c>
      <c r="B11" s="51" t="s">
        <v>84</v>
      </c>
      <c r="C11" s="203" t="s">
        <v>100</v>
      </c>
      <c r="D11" s="204" t="s">
        <v>101</v>
      </c>
      <c r="E11" s="162" t="s">
        <v>97</v>
      </c>
    </row>
    <row r="12" spans="1:14" ht="14.4" thickBot="1" x14ac:dyDescent="0.35">
      <c r="A12" s="223"/>
      <c r="B12" s="158">
        <f>81102300 + 5000000</f>
        <v>86102300</v>
      </c>
      <c r="C12" s="81">
        <f>1*B12 - 1</f>
        <v>86102299</v>
      </c>
      <c r="D12" s="82">
        <f>1*B12 + 1</f>
        <v>86102301</v>
      </c>
    </row>
    <row r="13" spans="1:14" ht="14.4" thickBot="1" x14ac:dyDescent="0.35"/>
    <row r="14" spans="1:14" ht="60.6" customHeight="1" thickBot="1" x14ac:dyDescent="0.35">
      <c r="A14" s="53" t="s">
        <v>85</v>
      </c>
      <c r="D14" s="160" t="s">
        <v>98</v>
      </c>
      <c r="E14" s="160" t="s">
        <v>98</v>
      </c>
      <c r="F14" s="160" t="s">
        <v>99</v>
      </c>
      <c r="G14" s="163">
        <v>0.8</v>
      </c>
      <c r="H14" s="163">
        <v>1.2</v>
      </c>
      <c r="I14" s="160" t="s">
        <v>98</v>
      </c>
      <c r="J14" s="160" t="s">
        <v>99</v>
      </c>
    </row>
    <row r="15" spans="1:14" ht="27.6" customHeight="1" x14ac:dyDescent="0.3">
      <c r="A15" s="224" t="s">
        <v>2</v>
      </c>
      <c r="B15" s="209" t="s">
        <v>3</v>
      </c>
      <c r="C15" s="209" t="s">
        <v>38</v>
      </c>
      <c r="D15" s="209" t="s">
        <v>169</v>
      </c>
      <c r="E15" s="225" t="s">
        <v>86</v>
      </c>
      <c r="F15" s="226"/>
      <c r="G15" s="227" t="s">
        <v>179</v>
      </c>
      <c r="H15" s="228"/>
      <c r="I15" s="227" t="s">
        <v>89</v>
      </c>
      <c r="J15" s="228"/>
      <c r="K15" s="225" t="s">
        <v>90</v>
      </c>
      <c r="L15" s="229"/>
      <c r="M15" s="229"/>
      <c r="N15" s="226"/>
    </row>
    <row r="16" spans="1:14" ht="27.6" x14ac:dyDescent="0.3">
      <c r="A16" s="208"/>
      <c r="B16" s="208"/>
      <c r="C16" s="208"/>
      <c r="D16" s="208"/>
      <c r="E16" s="202" t="s">
        <v>203</v>
      </c>
      <c r="F16" s="202" t="s">
        <v>204</v>
      </c>
      <c r="G16" s="202" t="s">
        <v>87</v>
      </c>
      <c r="H16" s="202" t="s">
        <v>88</v>
      </c>
      <c r="I16" s="62" t="s">
        <v>201</v>
      </c>
      <c r="J16" s="62" t="s">
        <v>202</v>
      </c>
      <c r="K16" s="202" t="s">
        <v>177</v>
      </c>
      <c r="L16" s="202" t="s">
        <v>178</v>
      </c>
      <c r="M16" s="202" t="s">
        <v>91</v>
      </c>
      <c r="N16" s="202" t="s">
        <v>92</v>
      </c>
    </row>
    <row r="17" spans="1:14" x14ac:dyDescent="0.3">
      <c r="A17" s="54" t="s">
        <v>13</v>
      </c>
      <c r="B17" s="54" t="s">
        <v>93</v>
      </c>
      <c r="C17" s="55" t="s">
        <v>102</v>
      </c>
      <c r="D17" s="153">
        <v>1</v>
      </c>
      <c r="E17" s="73">
        <v>5991499</v>
      </c>
      <c r="F17" s="56">
        <v>2310765.2787946975</v>
      </c>
      <c r="G17" s="73">
        <f>E17*$G$14</f>
        <v>4793199.2</v>
      </c>
      <c r="H17" s="73">
        <f>E17*$H$14</f>
        <v>7189798.7999999998</v>
      </c>
      <c r="I17" s="173">
        <v>7189798.7999999998</v>
      </c>
      <c r="J17" s="64">
        <v>2765547.9922391665</v>
      </c>
      <c r="K17" s="58">
        <f>I17-E17</f>
        <v>1198299.7999999998</v>
      </c>
      <c r="L17" s="58">
        <f>J17-F17</f>
        <v>454782.71344446903</v>
      </c>
      <c r="M17" s="59">
        <f>K17/E17</f>
        <v>0.19999999999999996</v>
      </c>
      <c r="N17" s="59">
        <f>L17/F17</f>
        <v>0.19681043229180123</v>
      </c>
    </row>
    <row r="18" spans="1:14" x14ac:dyDescent="0.3">
      <c r="A18" s="55" t="s">
        <v>170</v>
      </c>
      <c r="B18" s="55" t="s">
        <v>93</v>
      </c>
      <c r="C18" s="55" t="s">
        <v>102</v>
      </c>
      <c r="D18" s="154">
        <v>1</v>
      </c>
      <c r="E18" s="74">
        <v>15610435</v>
      </c>
      <c r="F18" s="57">
        <v>2662664.8484120537</v>
      </c>
      <c r="G18" s="74">
        <f t="shared" ref="G18:G24" si="0">E18*$G$14</f>
        <v>12488348</v>
      </c>
      <c r="H18" s="74">
        <f t="shared" ref="H18:H24" si="1">E18*$H$14</f>
        <v>18732522</v>
      </c>
      <c r="I18" s="174">
        <v>18732522</v>
      </c>
      <c r="J18" s="65">
        <v>3195832.4397713416</v>
      </c>
      <c r="K18" s="60">
        <f t="shared" ref="K18:L24" si="2">I18-E18</f>
        <v>3122087</v>
      </c>
      <c r="L18" s="60">
        <f t="shared" si="2"/>
        <v>533167.59135928797</v>
      </c>
      <c r="M18" s="61">
        <f t="shared" ref="M18:N25" si="3">K18/E18</f>
        <v>0.2</v>
      </c>
      <c r="N18" s="61">
        <f t="shared" si="3"/>
        <v>0.20023834080254438</v>
      </c>
    </row>
    <row r="19" spans="1:14" x14ac:dyDescent="0.3">
      <c r="A19" s="55" t="s">
        <v>104</v>
      </c>
      <c r="B19" s="55" t="s">
        <v>95</v>
      </c>
      <c r="C19" s="55" t="s">
        <v>102</v>
      </c>
      <c r="D19" s="154">
        <v>1</v>
      </c>
      <c r="E19" s="74">
        <v>3804716</v>
      </c>
      <c r="F19" s="57">
        <v>150560.70106149331</v>
      </c>
      <c r="G19" s="74">
        <f t="shared" si="0"/>
        <v>3043772.8000000003</v>
      </c>
      <c r="H19" s="74">
        <f t="shared" si="1"/>
        <v>4565659.2</v>
      </c>
      <c r="I19" s="174">
        <v>3314265.5992561053</v>
      </c>
      <c r="J19" s="65">
        <v>131151.89309807864</v>
      </c>
      <c r="K19" s="60">
        <f t="shared" si="2"/>
        <v>-490450.40074389474</v>
      </c>
      <c r="L19" s="60">
        <f t="shared" si="2"/>
        <v>-19408.807963414671</v>
      </c>
      <c r="M19" s="61">
        <f t="shared" si="3"/>
        <v>-0.1289059159064421</v>
      </c>
      <c r="N19" s="61">
        <f t="shared" si="3"/>
        <v>-0.12891018590227976</v>
      </c>
    </row>
    <row r="20" spans="1:14" x14ac:dyDescent="0.3">
      <c r="A20" s="55" t="s">
        <v>104</v>
      </c>
      <c r="B20" s="55" t="s">
        <v>94</v>
      </c>
      <c r="C20" s="55" t="s">
        <v>173</v>
      </c>
      <c r="D20" s="154">
        <v>1</v>
      </c>
      <c r="E20" s="74">
        <v>4440000</v>
      </c>
      <c r="F20" s="57">
        <v>25689.160192131658</v>
      </c>
      <c r="G20" s="74">
        <f t="shared" si="0"/>
        <v>3552000</v>
      </c>
      <c r="H20" s="74">
        <f t="shared" si="1"/>
        <v>5328000</v>
      </c>
      <c r="I20" s="174">
        <v>3552000</v>
      </c>
      <c r="J20" s="65">
        <v>21708.278592683026</v>
      </c>
      <c r="K20" s="60">
        <f t="shared" si="2"/>
        <v>-888000</v>
      </c>
      <c r="L20" s="60">
        <f t="shared" si="2"/>
        <v>-3980.8815994486322</v>
      </c>
      <c r="M20" s="61">
        <f t="shared" si="3"/>
        <v>-0.2</v>
      </c>
      <c r="N20" s="61">
        <f t="shared" si="3"/>
        <v>-0.15496347757868464</v>
      </c>
    </row>
    <row r="21" spans="1:14" x14ac:dyDescent="0.3">
      <c r="A21" s="55" t="s">
        <v>104</v>
      </c>
      <c r="B21" s="55" t="s">
        <v>108</v>
      </c>
      <c r="C21" s="55" t="s">
        <v>172</v>
      </c>
      <c r="D21" s="154">
        <v>1</v>
      </c>
      <c r="E21" s="74">
        <v>22954000</v>
      </c>
      <c r="F21" s="57">
        <v>1595892.0143603629</v>
      </c>
      <c r="G21" s="74">
        <f t="shared" si="0"/>
        <v>18363200</v>
      </c>
      <c r="H21" s="74">
        <f t="shared" si="1"/>
        <v>27544800</v>
      </c>
      <c r="I21" s="174">
        <v>27544800</v>
      </c>
      <c r="J21" s="65">
        <v>1863447.2728889734</v>
      </c>
      <c r="K21" s="60">
        <f t="shared" si="2"/>
        <v>4590800</v>
      </c>
      <c r="L21" s="60">
        <f t="shared" si="2"/>
        <v>267555.25852861046</v>
      </c>
      <c r="M21" s="61">
        <f t="shared" si="3"/>
        <v>0.2</v>
      </c>
      <c r="N21" s="61">
        <f t="shared" si="3"/>
        <v>0.16765248282531647</v>
      </c>
    </row>
    <row r="22" spans="1:14" x14ac:dyDescent="0.3">
      <c r="A22" s="55" t="s">
        <v>104</v>
      </c>
      <c r="B22" s="55" t="s">
        <v>96</v>
      </c>
      <c r="C22" s="55" t="s">
        <v>172</v>
      </c>
      <c r="D22" s="154">
        <v>1</v>
      </c>
      <c r="E22" s="74">
        <v>7818984</v>
      </c>
      <c r="F22" s="57">
        <v>378283.24113526288</v>
      </c>
      <c r="G22" s="74">
        <f t="shared" si="0"/>
        <v>6255187.2000000002</v>
      </c>
      <c r="H22" s="74">
        <f t="shared" si="1"/>
        <v>9382780.7999999989</v>
      </c>
      <c r="I22" s="174">
        <v>9382780.7999999989</v>
      </c>
      <c r="J22" s="65">
        <v>443957.99322214938</v>
      </c>
      <c r="K22" s="60">
        <f t="shared" si="2"/>
        <v>1563796.7999999989</v>
      </c>
      <c r="L22" s="60">
        <f t="shared" si="2"/>
        <v>65674.752086886496</v>
      </c>
      <c r="M22" s="61">
        <f t="shared" si="3"/>
        <v>0.19999999999999984</v>
      </c>
      <c r="N22" s="61">
        <f t="shared" si="3"/>
        <v>0.17361263980341954</v>
      </c>
    </row>
    <row r="23" spans="1:14" x14ac:dyDescent="0.3">
      <c r="A23" s="55" t="s">
        <v>104</v>
      </c>
      <c r="B23" s="55" t="s">
        <v>174</v>
      </c>
      <c r="C23" s="55" t="s">
        <v>172</v>
      </c>
      <c r="D23" s="154">
        <v>1</v>
      </c>
      <c r="E23" s="74">
        <v>4782666</v>
      </c>
      <c r="F23" s="57">
        <v>91344.414528190871</v>
      </c>
      <c r="G23" s="74">
        <f t="shared" si="0"/>
        <v>3826132.8000000003</v>
      </c>
      <c r="H23" s="74">
        <f t="shared" si="1"/>
        <v>5739199.2000000002</v>
      </c>
      <c r="I23" s="174">
        <v>3826132.8000000003</v>
      </c>
      <c r="J23" s="65">
        <v>73643.055219609683</v>
      </c>
      <c r="K23" s="60">
        <f t="shared" si="2"/>
        <v>-956533.19999999972</v>
      </c>
      <c r="L23" s="60">
        <f t="shared" si="2"/>
        <v>-17701.359308581188</v>
      </c>
      <c r="M23" s="61">
        <f t="shared" si="3"/>
        <v>-0.19999999999999993</v>
      </c>
      <c r="N23" s="61">
        <f t="shared" si="3"/>
        <v>-0.19378699179376932</v>
      </c>
    </row>
    <row r="24" spans="1:14" x14ac:dyDescent="0.3">
      <c r="A24" s="55" t="s">
        <v>104</v>
      </c>
      <c r="B24" s="55" t="s">
        <v>171</v>
      </c>
      <c r="C24" s="55" t="s">
        <v>172</v>
      </c>
      <c r="D24" s="154">
        <v>1</v>
      </c>
      <c r="E24" s="74">
        <v>15700000</v>
      </c>
      <c r="F24" s="57">
        <v>360832.73711340129</v>
      </c>
      <c r="G24" s="74">
        <f t="shared" si="0"/>
        <v>12560000</v>
      </c>
      <c r="H24" s="74">
        <f t="shared" si="1"/>
        <v>18840000</v>
      </c>
      <c r="I24" s="174">
        <v>12560000</v>
      </c>
      <c r="J24" s="65">
        <v>293078.75773030706</v>
      </c>
      <c r="K24" s="60">
        <f t="shared" si="2"/>
        <v>-3140000</v>
      </c>
      <c r="L24" s="60">
        <f t="shared" si="2"/>
        <v>-67753.979383094236</v>
      </c>
      <c r="M24" s="61">
        <f t="shared" si="3"/>
        <v>-0.2</v>
      </c>
      <c r="N24" s="61">
        <f t="shared" si="3"/>
        <v>-0.18777115381801054</v>
      </c>
    </row>
    <row r="25" spans="1:14" x14ac:dyDescent="0.3">
      <c r="A25" s="75" t="s">
        <v>104</v>
      </c>
      <c r="B25" s="75" t="s">
        <v>103</v>
      </c>
      <c r="C25" s="75"/>
      <c r="D25" s="75"/>
      <c r="E25" s="76">
        <f t="shared" ref="E25:J25" si="4">SUM(E17:E24)</f>
        <v>81102300</v>
      </c>
      <c r="F25" s="77">
        <f t="shared" si="4"/>
        <v>7576032.3955975948</v>
      </c>
      <c r="G25" s="76">
        <f t="shared" si="4"/>
        <v>64881840</v>
      </c>
      <c r="H25" s="76">
        <f t="shared" si="4"/>
        <v>97322760</v>
      </c>
      <c r="I25" s="83">
        <f t="shared" si="4"/>
        <v>86102299.999256104</v>
      </c>
      <c r="J25" s="175">
        <f t="shared" si="4"/>
        <v>8788367.6827623099</v>
      </c>
      <c r="K25" s="76">
        <f>SUM(K17:K24)</f>
        <v>4999999.9992561042</v>
      </c>
      <c r="L25" s="175">
        <f>SUM(L17:L24)</f>
        <v>1212335.2871647151</v>
      </c>
      <c r="M25" s="79">
        <f>K25/E25</f>
        <v>6.1650532713080936E-2</v>
      </c>
      <c r="N25" s="79">
        <f t="shared" si="3"/>
        <v>0.16002245289621503</v>
      </c>
    </row>
    <row r="30" spans="1:14" ht="55.2" x14ac:dyDescent="0.3">
      <c r="A30" s="215" t="s">
        <v>180</v>
      </c>
      <c r="D30" s="191" t="s">
        <v>149</v>
      </c>
      <c r="E30" s="191" t="s">
        <v>194</v>
      </c>
      <c r="F30" s="191" t="s">
        <v>198</v>
      </c>
      <c r="G30" s="191" t="s">
        <v>195</v>
      </c>
      <c r="H30" s="191" t="s">
        <v>196</v>
      </c>
      <c r="I30" s="191" t="s">
        <v>197</v>
      </c>
    </row>
    <row r="31" spans="1:14" x14ac:dyDescent="0.3">
      <c r="A31" s="215"/>
      <c r="D31" s="192">
        <v>11.53</v>
      </c>
      <c r="E31" s="193">
        <v>1876</v>
      </c>
      <c r="F31" s="193">
        <v>1118</v>
      </c>
      <c r="G31" s="194">
        <v>194</v>
      </c>
      <c r="H31" s="195">
        <v>0.4</v>
      </c>
      <c r="I31" s="194">
        <f>(1-H31)*G31</f>
        <v>116.39999999999999</v>
      </c>
    </row>
    <row r="32" spans="1:14" ht="13.8" customHeight="1" x14ac:dyDescent="0.3">
      <c r="A32" s="207" t="s">
        <v>2</v>
      </c>
      <c r="B32" s="209" t="s">
        <v>3</v>
      </c>
      <c r="C32" s="209" t="str">
        <f t="shared" ref="C32:D42" si="5">D15</f>
        <v>Response Scaling Factor for Sensitivity Analysis</v>
      </c>
      <c r="D32" s="210" t="s">
        <v>86</v>
      </c>
      <c r="E32" s="211"/>
      <c r="F32" s="211"/>
      <c r="G32" s="212"/>
      <c r="H32" s="213" t="s">
        <v>89</v>
      </c>
      <c r="I32" s="214"/>
      <c r="J32" s="214"/>
      <c r="K32" s="210" t="s">
        <v>189</v>
      </c>
      <c r="L32" s="211"/>
      <c r="M32" s="211"/>
      <c r="N32" s="212"/>
    </row>
    <row r="33" spans="1:14" ht="74.400000000000006" customHeight="1" x14ac:dyDescent="0.3">
      <c r="A33" s="208"/>
      <c r="B33" s="208"/>
      <c r="C33" s="208">
        <f t="shared" si="5"/>
        <v>0</v>
      </c>
      <c r="D33" s="202" t="s">
        <v>182</v>
      </c>
      <c r="E33" s="202" t="s">
        <v>181</v>
      </c>
      <c r="F33" s="202" t="s">
        <v>183</v>
      </c>
      <c r="G33" s="202" t="s">
        <v>199</v>
      </c>
      <c r="H33" s="62" t="s">
        <v>187</v>
      </c>
      <c r="I33" s="62" t="s">
        <v>188</v>
      </c>
      <c r="J33" s="62" t="s">
        <v>200</v>
      </c>
      <c r="K33" s="202" t="s">
        <v>190</v>
      </c>
      <c r="L33" s="202" t="s">
        <v>191</v>
      </c>
      <c r="M33" s="202" t="s">
        <v>192</v>
      </c>
      <c r="N33" s="202" t="s">
        <v>193</v>
      </c>
    </row>
    <row r="34" spans="1:14" x14ac:dyDescent="0.3">
      <c r="A34" s="54" t="s">
        <v>13</v>
      </c>
      <c r="B34" s="54" t="s">
        <v>93</v>
      </c>
      <c r="C34" s="153">
        <f t="shared" si="5"/>
        <v>1</v>
      </c>
      <c r="D34" s="166">
        <f t="shared" si="5"/>
        <v>5991499</v>
      </c>
      <c r="E34" s="164" t="s">
        <v>176</v>
      </c>
      <c r="F34" s="168">
        <f>F17/$D$31</f>
        <v>200413.29391107525</v>
      </c>
      <c r="G34" s="170">
        <f>F34*$F$31</f>
        <v>224062062.59258214</v>
      </c>
      <c r="H34" s="176">
        <f t="shared" ref="H34:H41" si="6">I17</f>
        <v>7189798.7999999998</v>
      </c>
      <c r="I34" s="168">
        <f>J17/$D$31</f>
        <v>239856.72092273779</v>
      </c>
      <c r="J34" s="179">
        <f>I34*$F$31</f>
        <v>268159813.99162084</v>
      </c>
      <c r="K34" s="166">
        <f>H34-D34</f>
        <v>1198299.7999999998</v>
      </c>
      <c r="L34" s="166">
        <f>J34-G34</f>
        <v>44097751.399038702</v>
      </c>
      <c r="M34" s="182">
        <f>K34/D34</f>
        <v>0.19999999999999996</v>
      </c>
      <c r="N34" s="183">
        <f>L34/G34</f>
        <v>0.19681043229180117</v>
      </c>
    </row>
    <row r="35" spans="1:14" x14ac:dyDescent="0.3">
      <c r="A35" s="55" t="s">
        <v>170</v>
      </c>
      <c r="B35" s="55" t="s">
        <v>93</v>
      </c>
      <c r="C35" s="154">
        <f t="shared" si="5"/>
        <v>1</v>
      </c>
      <c r="D35" s="167">
        <f t="shared" si="5"/>
        <v>15610435</v>
      </c>
      <c r="E35" s="165" t="s">
        <v>176</v>
      </c>
      <c r="F35" s="169">
        <f t="shared" ref="F35:F40" si="7">F18/$D$31</f>
        <v>230933.63819705584</v>
      </c>
      <c r="G35" s="171">
        <f t="shared" ref="G35:G40" si="8">F35*$F$31</f>
        <v>258183807.50430843</v>
      </c>
      <c r="H35" s="177">
        <f t="shared" si="6"/>
        <v>18732522</v>
      </c>
      <c r="I35" s="169">
        <f t="shared" ref="I35:I40" si="9">J18/$D$31</f>
        <v>277175.40674512938</v>
      </c>
      <c r="J35" s="180">
        <f t="shared" ref="J35:J40" si="10">I35*$F$31</f>
        <v>309882104.74105465</v>
      </c>
      <c r="K35" s="167">
        <f t="shared" ref="K35:K42" si="11">H35-D35</f>
        <v>3122087</v>
      </c>
      <c r="L35" s="167">
        <f t="shared" ref="L35:L42" si="12">J35-G35</f>
        <v>51698297.236746222</v>
      </c>
      <c r="M35" s="184">
        <f t="shared" ref="M35:M42" si="13">K35/D35</f>
        <v>0.2</v>
      </c>
      <c r="N35" s="185">
        <f t="shared" ref="N35:N42" si="14">L35/G35</f>
        <v>0.20023834080254435</v>
      </c>
    </row>
    <row r="36" spans="1:14" x14ac:dyDescent="0.3">
      <c r="A36" s="55" t="s">
        <v>104</v>
      </c>
      <c r="B36" s="55" t="s">
        <v>95</v>
      </c>
      <c r="C36" s="154">
        <f t="shared" si="5"/>
        <v>1</v>
      </c>
      <c r="D36" s="167">
        <f t="shared" si="5"/>
        <v>3804716</v>
      </c>
      <c r="E36" s="165" t="s">
        <v>176</v>
      </c>
      <c r="F36" s="169">
        <f t="shared" si="7"/>
        <v>13058.170083390574</v>
      </c>
      <c r="G36" s="171">
        <f t="shared" si="8"/>
        <v>14599034.153230662</v>
      </c>
      <c r="H36" s="177">
        <f t="shared" si="6"/>
        <v>3314265.5992561053</v>
      </c>
      <c r="I36" s="169">
        <f t="shared" si="9"/>
        <v>11374.838950397107</v>
      </c>
      <c r="J36" s="180">
        <f t="shared" si="10"/>
        <v>12717069.946543965</v>
      </c>
      <c r="K36" s="167">
        <f t="shared" si="11"/>
        <v>-490450.40074389474</v>
      </c>
      <c r="L36" s="167">
        <f t="shared" si="12"/>
        <v>-1881964.206686696</v>
      </c>
      <c r="M36" s="184">
        <f t="shared" si="13"/>
        <v>-0.1289059159064421</v>
      </c>
      <c r="N36" s="185">
        <f t="shared" si="14"/>
        <v>-0.12891018590227976</v>
      </c>
    </row>
    <row r="37" spans="1:14" x14ac:dyDescent="0.3">
      <c r="A37" s="55" t="s">
        <v>104</v>
      </c>
      <c r="B37" s="55" t="s">
        <v>94</v>
      </c>
      <c r="C37" s="154">
        <f t="shared" si="5"/>
        <v>1</v>
      </c>
      <c r="D37" s="167">
        <f t="shared" si="5"/>
        <v>4440000</v>
      </c>
      <c r="E37" s="165" t="s">
        <v>176</v>
      </c>
      <c r="F37" s="169">
        <f t="shared" si="7"/>
        <v>2228.0277703496668</v>
      </c>
      <c r="G37" s="171">
        <f t="shared" si="8"/>
        <v>2490935.0472509274</v>
      </c>
      <c r="H37" s="177">
        <f t="shared" si="6"/>
        <v>3552000</v>
      </c>
      <c r="I37" s="169">
        <f t="shared" si="9"/>
        <v>1882.7648389143997</v>
      </c>
      <c r="J37" s="180">
        <f t="shared" si="10"/>
        <v>2104931.089906299</v>
      </c>
      <c r="K37" s="167">
        <f t="shared" si="11"/>
        <v>-888000</v>
      </c>
      <c r="L37" s="167">
        <f t="shared" si="12"/>
        <v>-386003.9573446284</v>
      </c>
      <c r="M37" s="184">
        <f t="shared" si="13"/>
        <v>-0.2</v>
      </c>
      <c r="N37" s="185">
        <f t="shared" si="14"/>
        <v>-0.15496347757868445</v>
      </c>
    </row>
    <row r="38" spans="1:14" x14ac:dyDescent="0.3">
      <c r="A38" s="55" t="s">
        <v>104</v>
      </c>
      <c r="B38" s="55" t="s">
        <v>108</v>
      </c>
      <c r="C38" s="154">
        <f t="shared" si="5"/>
        <v>1</v>
      </c>
      <c r="D38" s="167">
        <f t="shared" si="5"/>
        <v>22954000</v>
      </c>
      <c r="E38" s="165" t="s">
        <v>176</v>
      </c>
      <c r="F38" s="169">
        <f t="shared" si="7"/>
        <v>138412.14348311909</v>
      </c>
      <c r="G38" s="171">
        <f t="shared" si="8"/>
        <v>154744776.41412714</v>
      </c>
      <c r="H38" s="177">
        <f t="shared" si="6"/>
        <v>27544800</v>
      </c>
      <c r="I38" s="169">
        <f t="shared" si="9"/>
        <v>161617.28299123794</v>
      </c>
      <c r="J38" s="180">
        <f t="shared" si="10"/>
        <v>180688122.38420403</v>
      </c>
      <c r="K38" s="167">
        <f t="shared" si="11"/>
        <v>4590800</v>
      </c>
      <c r="L38" s="167">
        <f t="shared" si="12"/>
        <v>25943345.970076889</v>
      </c>
      <c r="M38" s="184">
        <f t="shared" si="13"/>
        <v>0.2</v>
      </c>
      <c r="N38" s="185">
        <f t="shared" si="14"/>
        <v>0.16765248282531647</v>
      </c>
    </row>
    <row r="39" spans="1:14" x14ac:dyDescent="0.3">
      <c r="A39" s="55" t="s">
        <v>104</v>
      </c>
      <c r="B39" s="55" t="s">
        <v>96</v>
      </c>
      <c r="C39" s="154">
        <f t="shared" si="5"/>
        <v>1</v>
      </c>
      <c r="D39" s="167">
        <f t="shared" si="5"/>
        <v>7818984</v>
      </c>
      <c r="E39" s="165" t="s">
        <v>176</v>
      </c>
      <c r="F39" s="169">
        <f t="shared" si="7"/>
        <v>32808.607210343704</v>
      </c>
      <c r="G39" s="171">
        <f t="shared" si="8"/>
        <v>36680022.861164257</v>
      </c>
      <c r="H39" s="177">
        <f t="shared" si="6"/>
        <v>9382780.7999999989</v>
      </c>
      <c r="I39" s="169">
        <f t="shared" si="9"/>
        <v>38504.59611640498</v>
      </c>
      <c r="J39" s="180">
        <f t="shared" si="10"/>
        <v>43048138.458140768</v>
      </c>
      <c r="K39" s="167">
        <f t="shared" si="11"/>
        <v>1563796.7999999989</v>
      </c>
      <c r="L39" s="167">
        <f t="shared" si="12"/>
        <v>6368115.5969765112</v>
      </c>
      <c r="M39" s="184">
        <f t="shared" si="13"/>
        <v>0.19999999999999984</v>
      </c>
      <c r="N39" s="185">
        <f t="shared" si="14"/>
        <v>0.17361263980341973</v>
      </c>
    </row>
    <row r="40" spans="1:14" x14ac:dyDescent="0.3">
      <c r="A40" s="55" t="s">
        <v>104</v>
      </c>
      <c r="B40" s="55" t="s">
        <v>174</v>
      </c>
      <c r="C40" s="154">
        <f t="shared" si="5"/>
        <v>1</v>
      </c>
      <c r="D40" s="167">
        <f t="shared" si="5"/>
        <v>4782666</v>
      </c>
      <c r="E40" s="165" t="s">
        <v>176</v>
      </c>
      <c r="F40" s="169">
        <f t="shared" si="7"/>
        <v>7922.3256312394515</v>
      </c>
      <c r="G40" s="171">
        <f t="shared" si="8"/>
        <v>8857160.0557257067</v>
      </c>
      <c r="H40" s="177">
        <f t="shared" si="6"/>
        <v>3826132.8000000003</v>
      </c>
      <c r="I40" s="169">
        <f t="shared" si="9"/>
        <v>6387.0819791508839</v>
      </c>
      <c r="J40" s="180">
        <f t="shared" si="10"/>
        <v>7140757.6526906881</v>
      </c>
      <c r="K40" s="167">
        <f t="shared" si="11"/>
        <v>-956533.19999999972</v>
      </c>
      <c r="L40" s="167">
        <f t="shared" si="12"/>
        <v>-1716402.4030350186</v>
      </c>
      <c r="M40" s="184">
        <f t="shared" si="13"/>
        <v>-0.19999999999999993</v>
      </c>
      <c r="N40" s="185">
        <f t="shared" si="14"/>
        <v>-0.19378699179376929</v>
      </c>
    </row>
    <row r="41" spans="1:14" x14ac:dyDescent="0.3">
      <c r="A41" s="55" t="s">
        <v>104</v>
      </c>
      <c r="B41" s="55" t="s">
        <v>171</v>
      </c>
      <c r="C41" s="154">
        <f t="shared" si="5"/>
        <v>1</v>
      </c>
      <c r="D41" s="167">
        <f t="shared" si="5"/>
        <v>15700000</v>
      </c>
      <c r="E41" s="187" t="s">
        <v>175</v>
      </c>
      <c r="F41" s="169">
        <f t="shared" ref="F41" si="15">F24</f>
        <v>360832.73711340129</v>
      </c>
      <c r="G41" s="171">
        <f>F41*$I$31</f>
        <v>42000930.599999905</v>
      </c>
      <c r="H41" s="177">
        <f t="shared" si="6"/>
        <v>12560000</v>
      </c>
      <c r="I41" s="169">
        <f>J24</f>
        <v>293078.75773030706</v>
      </c>
      <c r="J41" s="180">
        <f>I41*$I$31</f>
        <v>34114367.399807736</v>
      </c>
      <c r="K41" s="167">
        <f t="shared" si="11"/>
        <v>-3140000</v>
      </c>
      <c r="L41" s="167">
        <f t="shared" si="12"/>
        <v>-7886563.2001921684</v>
      </c>
      <c r="M41" s="184">
        <f t="shared" si="13"/>
        <v>-0.2</v>
      </c>
      <c r="N41" s="185">
        <f t="shared" si="14"/>
        <v>-0.18777115381801054</v>
      </c>
    </row>
    <row r="42" spans="1:14" x14ac:dyDescent="0.3">
      <c r="A42" s="75" t="s">
        <v>104</v>
      </c>
      <c r="B42" s="75" t="s">
        <v>103</v>
      </c>
      <c r="C42" s="75">
        <f t="shared" si="5"/>
        <v>0</v>
      </c>
      <c r="D42" s="76">
        <f>SUM(D34:D41)</f>
        <v>81102300</v>
      </c>
      <c r="E42" s="77"/>
      <c r="F42" s="77"/>
      <c r="G42" s="172">
        <f>SUM(G34:G41)</f>
        <v>741618729.22838914</v>
      </c>
      <c r="H42" s="178">
        <f>SUM(H34:H41)</f>
        <v>86102299.999256104</v>
      </c>
      <c r="I42" s="77"/>
      <c r="J42" s="181">
        <f>SUM(J34:J41)</f>
        <v>857855305.66396892</v>
      </c>
      <c r="K42" s="76">
        <f t="shared" si="11"/>
        <v>4999999.9992561042</v>
      </c>
      <c r="L42" s="200">
        <f t="shared" si="12"/>
        <v>116236576.43557978</v>
      </c>
      <c r="M42" s="79">
        <f t="shared" si="13"/>
        <v>6.1650532713080936E-2</v>
      </c>
      <c r="N42" s="186">
        <f t="shared" si="14"/>
        <v>0.15673360428277899</v>
      </c>
    </row>
    <row r="43" spans="1:14" x14ac:dyDescent="0.3">
      <c r="D43" s="188">
        <v>0.54</v>
      </c>
      <c r="E43" s="188">
        <v>0.34</v>
      </c>
      <c r="F43" s="159" t="s">
        <v>184</v>
      </c>
      <c r="G43" s="189">
        <f>SUM(G34:G40)*$E$43 + (G41*$D$43)</f>
        <v>260550554.05765232</v>
      </c>
      <c r="I43" s="157"/>
      <c r="J43" s="189">
        <f>SUM(J34:J40)*$E$43 + (J41*$D$43)</f>
        <v>298493677.40571105</v>
      </c>
      <c r="L43" s="189">
        <f>SUM(L34:L40)*$E$43 + (L41*$D$43)</f>
        <v>37943123.348058708</v>
      </c>
      <c r="M43" s="201">
        <f>L43/L42</f>
        <v>0.32643015229450956</v>
      </c>
      <c r="N43" s="190">
        <f>N42*(L43/L42)</f>
        <v>5.1162574315694945E-2</v>
      </c>
    </row>
    <row r="44" spans="1:14" x14ac:dyDescent="0.3">
      <c r="D44" s="188">
        <v>0.46</v>
      </c>
      <c r="E44" s="188">
        <v>0.39</v>
      </c>
      <c r="F44" s="159" t="s">
        <v>185</v>
      </c>
      <c r="G44" s="189">
        <f>SUM(G34:G40)*$E$44 + (G41*$D$44)</f>
        <v>292171369.54107177</v>
      </c>
      <c r="I44" s="157"/>
      <c r="J44" s="189">
        <f>SUM(J34:J40)*$E$44 + (J41*$D$44)</f>
        <v>336951574.92693442</v>
      </c>
      <c r="L44" s="189">
        <f>SUM(L34:L40)*$E$44 + (L41*$D$44)</f>
        <v>44780205.385862678</v>
      </c>
      <c r="M44" s="201">
        <f>L44/L42</f>
        <v>0.38525055330307845</v>
      </c>
      <c r="N44" s="190">
        <f>N42*(L44/L42)</f>
        <v>6.038170777112635E-2</v>
      </c>
    </row>
    <row r="45" spans="1:14" x14ac:dyDescent="0.3">
      <c r="D45" s="188">
        <v>0</v>
      </c>
      <c r="E45" s="188">
        <v>0.27</v>
      </c>
      <c r="F45" s="159" t="s">
        <v>186</v>
      </c>
      <c r="G45" s="189">
        <f>SUM(G34:G40)*$E$45 + (G41*$D$45)</f>
        <v>188896805.62966511</v>
      </c>
      <c r="I45" s="157"/>
      <c r="J45" s="189">
        <f>SUM(J34:J40)*$E$45 + (J41*$D$45)</f>
        <v>222410053.33132353</v>
      </c>
      <c r="L45" s="189">
        <f>SUM(L34:L40)*$E$45 + (L41*$D$45)</f>
        <v>33513247.701658439</v>
      </c>
      <c r="M45" s="201">
        <f>L45/L42</f>
        <v>0.28831929440241244</v>
      </c>
      <c r="N45" s="190">
        <f>N42*(L45/L42)</f>
        <v>4.5189322195957768E-2</v>
      </c>
    </row>
    <row r="46" spans="1:14" x14ac:dyDescent="0.3">
      <c r="D46" s="162" t="s">
        <v>175</v>
      </c>
      <c r="E46" s="162" t="s">
        <v>209</v>
      </c>
    </row>
    <row r="47" spans="1:14" ht="27.6" x14ac:dyDescent="0.3">
      <c r="D47" s="160" t="s">
        <v>210</v>
      </c>
    </row>
  </sheetData>
  <mergeCells count="19">
    <mergeCell ref="I15:J15"/>
    <mergeCell ref="K15:N15"/>
    <mergeCell ref="A30:A31"/>
    <mergeCell ref="A32:A33"/>
    <mergeCell ref="B32:B33"/>
    <mergeCell ref="C32:C33"/>
    <mergeCell ref="D32:G32"/>
    <mergeCell ref="H32:J32"/>
    <mergeCell ref="K32:N32"/>
    <mergeCell ref="B4:I4"/>
    <mergeCell ref="E5:I5"/>
    <mergeCell ref="E6:I6"/>
    <mergeCell ref="A11:A12"/>
    <mergeCell ref="A15:A16"/>
    <mergeCell ref="B15:B16"/>
    <mergeCell ref="C15:C16"/>
    <mergeCell ref="D15:D16"/>
    <mergeCell ref="E15:F15"/>
    <mergeCell ref="G15:H15"/>
  </mergeCells>
  <pageMargins left="0.7" right="0.7" top="0.75" bottom="0.75" header="0.3" footer="0.3"/>
  <pageSetup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N47"/>
  <sheetViews>
    <sheetView topLeftCell="D13" workbookViewId="0">
      <selection activeCell="I12" sqref="I12"/>
    </sheetView>
  </sheetViews>
  <sheetFormatPr defaultRowHeight="13.8" x14ac:dyDescent="0.3"/>
  <cols>
    <col min="1" max="1" width="14.109375" style="162" customWidth="1"/>
    <col min="2" max="2" width="14.21875" style="162" customWidth="1"/>
    <col min="3" max="3" width="13.88671875" style="162" customWidth="1"/>
    <col min="4" max="4" width="12.44140625" style="162" customWidth="1"/>
    <col min="5" max="5" width="13.88671875" style="162" customWidth="1"/>
    <col min="6" max="6" width="12.44140625" style="162" customWidth="1"/>
    <col min="7" max="7" width="13.77734375" style="162" customWidth="1"/>
    <col min="8" max="8" width="14" style="162" customWidth="1"/>
    <col min="9" max="9" width="14.6640625" style="162" customWidth="1"/>
    <col min="10" max="10" width="14.77734375" style="162" customWidth="1"/>
    <col min="11" max="11" width="13.88671875" style="162" customWidth="1"/>
    <col min="12" max="12" width="13.5546875" style="162" customWidth="1"/>
    <col min="13" max="13" width="11.21875" style="162" customWidth="1"/>
    <col min="14" max="14" width="10.5546875" style="162" customWidth="1"/>
    <col min="15" max="16384" width="8.88671875" style="162"/>
  </cols>
  <sheetData>
    <row r="1" spans="1:14" x14ac:dyDescent="0.3">
      <c r="A1" s="48" t="s">
        <v>0</v>
      </c>
      <c r="B1" s="162" t="s">
        <v>166</v>
      </c>
    </row>
    <row r="2" spans="1:14" x14ac:dyDescent="0.3">
      <c r="A2" s="48" t="s">
        <v>76</v>
      </c>
      <c r="B2" s="162" t="s">
        <v>104</v>
      </c>
    </row>
    <row r="3" spans="1:14" x14ac:dyDescent="0.3">
      <c r="A3" s="48" t="s">
        <v>77</v>
      </c>
      <c r="B3" s="162" t="s">
        <v>165</v>
      </c>
    </row>
    <row r="4" spans="1:14" ht="23.4" customHeight="1" x14ac:dyDescent="0.3">
      <c r="A4" s="49" t="s">
        <v>78</v>
      </c>
      <c r="B4" s="291" t="s">
        <v>221</v>
      </c>
      <c r="C4" s="292"/>
      <c r="D4" s="292"/>
      <c r="E4" s="292"/>
      <c r="F4" s="292"/>
      <c r="G4" s="292"/>
      <c r="H4" s="292"/>
      <c r="I4" s="292"/>
    </row>
    <row r="5" spans="1:14" x14ac:dyDescent="0.3">
      <c r="A5" s="48" t="s">
        <v>79</v>
      </c>
      <c r="B5" s="162" t="s">
        <v>167</v>
      </c>
      <c r="E5" s="216" t="s">
        <v>50</v>
      </c>
      <c r="F5" s="217"/>
      <c r="G5" s="217"/>
      <c r="H5" s="217"/>
      <c r="I5" s="218"/>
    </row>
    <row r="6" spans="1:14" x14ac:dyDescent="0.3">
      <c r="A6" s="48" t="s">
        <v>80</v>
      </c>
      <c r="B6" s="162" t="s">
        <v>168</v>
      </c>
      <c r="E6" s="219" t="s">
        <v>51</v>
      </c>
      <c r="F6" s="220"/>
      <c r="G6" s="220"/>
      <c r="H6" s="220"/>
      <c r="I6" s="221"/>
    </row>
    <row r="7" spans="1:14" ht="14.4" thickBot="1" x14ac:dyDescent="0.35"/>
    <row r="8" spans="1:14" ht="14.4" thickBot="1" x14ac:dyDescent="0.35">
      <c r="A8" s="52" t="s">
        <v>81</v>
      </c>
    </row>
    <row r="9" spans="1:14" ht="14.4" thickBot="1" x14ac:dyDescent="0.35">
      <c r="A9" s="29" t="s">
        <v>83</v>
      </c>
      <c r="B9" s="66">
        <f>SUM(J17:J24)</f>
        <v>8918529.8744249288</v>
      </c>
    </row>
    <row r="10" spans="1:14" ht="14.4" thickBot="1" x14ac:dyDescent="0.35">
      <c r="A10" s="50"/>
    </row>
    <row r="11" spans="1:14" ht="27.6" x14ac:dyDescent="0.3">
      <c r="A11" s="222" t="s">
        <v>82</v>
      </c>
      <c r="B11" s="51" t="s">
        <v>84</v>
      </c>
      <c r="C11" s="203" t="s">
        <v>100</v>
      </c>
      <c r="D11" s="204" t="s">
        <v>101</v>
      </c>
      <c r="E11" s="162" t="s">
        <v>97</v>
      </c>
    </row>
    <row r="12" spans="1:14" ht="14.4" thickBot="1" x14ac:dyDescent="0.35">
      <c r="A12" s="223"/>
      <c r="B12" s="158">
        <f>81102300 + 10000000</f>
        <v>91102300</v>
      </c>
      <c r="C12" s="81">
        <f>1*B12 - 1</f>
        <v>91102299</v>
      </c>
      <c r="D12" s="82">
        <f>1*B12 + 1</f>
        <v>91102301</v>
      </c>
    </row>
    <row r="13" spans="1:14" ht="14.4" thickBot="1" x14ac:dyDescent="0.35"/>
    <row r="14" spans="1:14" ht="60.6" customHeight="1" thickBot="1" x14ac:dyDescent="0.35">
      <c r="A14" s="53" t="s">
        <v>85</v>
      </c>
      <c r="D14" s="160" t="s">
        <v>98</v>
      </c>
      <c r="E14" s="160" t="s">
        <v>98</v>
      </c>
      <c r="F14" s="160" t="s">
        <v>99</v>
      </c>
      <c r="G14" s="163">
        <v>0.8</v>
      </c>
      <c r="H14" s="163">
        <v>1.2</v>
      </c>
      <c r="I14" s="160" t="s">
        <v>98</v>
      </c>
      <c r="J14" s="160" t="s">
        <v>99</v>
      </c>
    </row>
    <row r="15" spans="1:14" ht="27.6" customHeight="1" x14ac:dyDescent="0.3">
      <c r="A15" s="224" t="s">
        <v>2</v>
      </c>
      <c r="B15" s="209" t="s">
        <v>3</v>
      </c>
      <c r="C15" s="209" t="s">
        <v>38</v>
      </c>
      <c r="D15" s="209" t="s">
        <v>169</v>
      </c>
      <c r="E15" s="225" t="s">
        <v>86</v>
      </c>
      <c r="F15" s="226"/>
      <c r="G15" s="227" t="s">
        <v>179</v>
      </c>
      <c r="H15" s="228"/>
      <c r="I15" s="227" t="s">
        <v>89</v>
      </c>
      <c r="J15" s="228"/>
      <c r="K15" s="225" t="s">
        <v>90</v>
      </c>
      <c r="L15" s="229"/>
      <c r="M15" s="229"/>
      <c r="N15" s="226"/>
    </row>
    <row r="16" spans="1:14" ht="27.6" x14ac:dyDescent="0.3">
      <c r="A16" s="208"/>
      <c r="B16" s="208"/>
      <c r="C16" s="208"/>
      <c r="D16" s="208"/>
      <c r="E16" s="202" t="s">
        <v>203</v>
      </c>
      <c r="F16" s="202" t="s">
        <v>204</v>
      </c>
      <c r="G16" s="202" t="s">
        <v>87</v>
      </c>
      <c r="H16" s="202" t="s">
        <v>88</v>
      </c>
      <c r="I16" s="62" t="s">
        <v>201</v>
      </c>
      <c r="J16" s="62" t="s">
        <v>202</v>
      </c>
      <c r="K16" s="202" t="s">
        <v>177</v>
      </c>
      <c r="L16" s="202" t="s">
        <v>178</v>
      </c>
      <c r="M16" s="202" t="s">
        <v>91</v>
      </c>
      <c r="N16" s="202" t="s">
        <v>92</v>
      </c>
    </row>
    <row r="17" spans="1:14" x14ac:dyDescent="0.3">
      <c r="A17" s="54" t="s">
        <v>13</v>
      </c>
      <c r="B17" s="54" t="s">
        <v>93</v>
      </c>
      <c r="C17" s="55" t="s">
        <v>102</v>
      </c>
      <c r="D17" s="153">
        <v>1</v>
      </c>
      <c r="E17" s="73">
        <v>5991499</v>
      </c>
      <c r="F17" s="56">
        <v>2310765.2787946975</v>
      </c>
      <c r="G17" s="73">
        <f>E17*$G$14</f>
        <v>4793199.2</v>
      </c>
      <c r="H17" s="73">
        <f>E17*$H$14</f>
        <v>7189798.7999999998</v>
      </c>
      <c r="I17" s="173">
        <v>7189798.7999999998</v>
      </c>
      <c r="J17" s="64">
        <v>2765547.9922391665</v>
      </c>
      <c r="K17" s="58">
        <f>I17-E17</f>
        <v>1198299.7999999998</v>
      </c>
      <c r="L17" s="58">
        <f>J17-F17</f>
        <v>454782.71344446903</v>
      </c>
      <c r="M17" s="59">
        <f>K17/E17</f>
        <v>0.19999999999999996</v>
      </c>
      <c r="N17" s="59">
        <f>L17/F17</f>
        <v>0.19681043229180123</v>
      </c>
    </row>
    <row r="18" spans="1:14" x14ac:dyDescent="0.3">
      <c r="A18" s="55" t="s">
        <v>170</v>
      </c>
      <c r="B18" s="55" t="s">
        <v>93</v>
      </c>
      <c r="C18" s="55" t="s">
        <v>102</v>
      </c>
      <c r="D18" s="154">
        <v>1</v>
      </c>
      <c r="E18" s="74">
        <v>15610435</v>
      </c>
      <c r="F18" s="57">
        <v>2662664.8484120537</v>
      </c>
      <c r="G18" s="74">
        <f t="shared" ref="G18:G24" si="0">E18*$G$14</f>
        <v>12488348</v>
      </c>
      <c r="H18" s="74">
        <f t="shared" ref="H18:H24" si="1">E18*$H$14</f>
        <v>18732522</v>
      </c>
      <c r="I18" s="174">
        <v>18732522</v>
      </c>
      <c r="J18" s="65">
        <v>3195832.4397713416</v>
      </c>
      <c r="K18" s="60">
        <f t="shared" ref="K18:L24" si="2">I18-E18</f>
        <v>3122087</v>
      </c>
      <c r="L18" s="60">
        <f t="shared" si="2"/>
        <v>533167.59135928797</v>
      </c>
      <c r="M18" s="61">
        <f t="shared" ref="M18:N25" si="3">K18/E18</f>
        <v>0.2</v>
      </c>
      <c r="N18" s="61">
        <f t="shared" si="3"/>
        <v>0.20023834080254438</v>
      </c>
    </row>
    <row r="19" spans="1:14" x14ac:dyDescent="0.3">
      <c r="A19" s="55" t="s">
        <v>104</v>
      </c>
      <c r="B19" s="55" t="s">
        <v>95</v>
      </c>
      <c r="C19" s="55" t="s">
        <v>102</v>
      </c>
      <c r="D19" s="154">
        <v>1</v>
      </c>
      <c r="E19" s="74">
        <v>3804716</v>
      </c>
      <c r="F19" s="57">
        <v>150560.70106149331</v>
      </c>
      <c r="G19" s="74">
        <f t="shared" si="0"/>
        <v>3043772.8000000003</v>
      </c>
      <c r="H19" s="74">
        <f t="shared" si="1"/>
        <v>4565659.2</v>
      </c>
      <c r="I19" s="174">
        <v>4565659.2</v>
      </c>
      <c r="J19" s="65">
        <v>180674.2153550259</v>
      </c>
      <c r="K19" s="60">
        <f t="shared" si="2"/>
        <v>760943.20000000019</v>
      </c>
      <c r="L19" s="60">
        <f t="shared" si="2"/>
        <v>30113.514293532586</v>
      </c>
      <c r="M19" s="61">
        <f t="shared" si="3"/>
        <v>0.20000000000000004</v>
      </c>
      <c r="N19" s="61">
        <f t="shared" si="3"/>
        <v>0.20000912642691113</v>
      </c>
    </row>
    <row r="20" spans="1:14" x14ac:dyDescent="0.3">
      <c r="A20" s="55" t="s">
        <v>104</v>
      </c>
      <c r="B20" s="55" t="s">
        <v>94</v>
      </c>
      <c r="C20" s="55" t="s">
        <v>173</v>
      </c>
      <c r="D20" s="154">
        <v>1</v>
      </c>
      <c r="E20" s="74">
        <v>4440000</v>
      </c>
      <c r="F20" s="57">
        <v>25689.160192131658</v>
      </c>
      <c r="G20" s="74">
        <f t="shared" si="0"/>
        <v>3552000</v>
      </c>
      <c r="H20" s="74">
        <f t="shared" si="1"/>
        <v>5328000</v>
      </c>
      <c r="I20" s="174">
        <v>3552000</v>
      </c>
      <c r="J20" s="65">
        <v>21708.278592683026</v>
      </c>
      <c r="K20" s="60">
        <f t="shared" si="2"/>
        <v>-888000</v>
      </c>
      <c r="L20" s="60">
        <f t="shared" si="2"/>
        <v>-3980.8815994486322</v>
      </c>
      <c r="M20" s="61">
        <f t="shared" si="3"/>
        <v>-0.2</v>
      </c>
      <c r="N20" s="61">
        <f t="shared" si="3"/>
        <v>-0.15496347757868464</v>
      </c>
    </row>
    <row r="21" spans="1:14" x14ac:dyDescent="0.3">
      <c r="A21" s="55" t="s">
        <v>104</v>
      </c>
      <c r="B21" s="55" t="s">
        <v>108</v>
      </c>
      <c r="C21" s="55" t="s">
        <v>172</v>
      </c>
      <c r="D21" s="154">
        <v>1</v>
      </c>
      <c r="E21" s="74">
        <v>22954000</v>
      </c>
      <c r="F21" s="57">
        <v>1595892.0143603629</v>
      </c>
      <c r="G21" s="74">
        <f t="shared" si="0"/>
        <v>18363200</v>
      </c>
      <c r="H21" s="74">
        <f t="shared" si="1"/>
        <v>27544800</v>
      </c>
      <c r="I21" s="174">
        <v>27544800</v>
      </c>
      <c r="J21" s="65">
        <v>1863447.2728889734</v>
      </c>
      <c r="K21" s="60">
        <f t="shared" si="2"/>
        <v>4590800</v>
      </c>
      <c r="L21" s="60">
        <f t="shared" si="2"/>
        <v>267555.25852861046</v>
      </c>
      <c r="M21" s="61">
        <f t="shared" si="3"/>
        <v>0.2</v>
      </c>
      <c r="N21" s="61">
        <f t="shared" si="3"/>
        <v>0.16765248282531647</v>
      </c>
    </row>
    <row r="22" spans="1:14" x14ac:dyDescent="0.3">
      <c r="A22" s="55" t="s">
        <v>104</v>
      </c>
      <c r="B22" s="55" t="s">
        <v>96</v>
      </c>
      <c r="C22" s="55" t="s">
        <v>172</v>
      </c>
      <c r="D22" s="154">
        <v>1</v>
      </c>
      <c r="E22" s="74">
        <v>7818984</v>
      </c>
      <c r="F22" s="57">
        <v>378283.24113526288</v>
      </c>
      <c r="G22" s="74">
        <f t="shared" si="0"/>
        <v>6255187.2000000002</v>
      </c>
      <c r="H22" s="74">
        <f t="shared" si="1"/>
        <v>9382780.7999999989</v>
      </c>
      <c r="I22" s="174">
        <v>9382780.7999999989</v>
      </c>
      <c r="J22" s="65">
        <v>443957.99322214938</v>
      </c>
      <c r="K22" s="60">
        <f t="shared" si="2"/>
        <v>1563796.7999999989</v>
      </c>
      <c r="L22" s="60">
        <f t="shared" si="2"/>
        <v>65674.752086886496</v>
      </c>
      <c r="M22" s="61">
        <f t="shared" si="3"/>
        <v>0.19999999999999984</v>
      </c>
      <c r="N22" s="61">
        <f t="shared" si="3"/>
        <v>0.17361263980341954</v>
      </c>
    </row>
    <row r="23" spans="1:14" x14ac:dyDescent="0.3">
      <c r="A23" s="55" t="s">
        <v>104</v>
      </c>
      <c r="B23" s="55" t="s">
        <v>174</v>
      </c>
      <c r="C23" s="55" t="s">
        <v>172</v>
      </c>
      <c r="D23" s="154">
        <v>1</v>
      </c>
      <c r="E23" s="74">
        <v>4782666</v>
      </c>
      <c r="F23" s="57">
        <v>91344.414528190871</v>
      </c>
      <c r="G23" s="74">
        <f t="shared" si="0"/>
        <v>3826132.8000000003</v>
      </c>
      <c r="H23" s="74">
        <f t="shared" si="1"/>
        <v>5739199.2000000002</v>
      </c>
      <c r="I23" s="174">
        <v>3826132.8000000003</v>
      </c>
      <c r="J23" s="65">
        <v>73643.055219609683</v>
      </c>
      <c r="K23" s="60">
        <f t="shared" si="2"/>
        <v>-956533.19999999972</v>
      </c>
      <c r="L23" s="60">
        <f t="shared" si="2"/>
        <v>-17701.359308581188</v>
      </c>
      <c r="M23" s="61">
        <f t="shared" si="3"/>
        <v>-0.19999999999999993</v>
      </c>
      <c r="N23" s="61">
        <f t="shared" si="3"/>
        <v>-0.19378699179376932</v>
      </c>
    </row>
    <row r="24" spans="1:14" x14ac:dyDescent="0.3">
      <c r="A24" s="55" t="s">
        <v>104</v>
      </c>
      <c r="B24" s="55" t="s">
        <v>171</v>
      </c>
      <c r="C24" s="55" t="s">
        <v>172</v>
      </c>
      <c r="D24" s="154">
        <v>1</v>
      </c>
      <c r="E24" s="74">
        <v>15700000</v>
      </c>
      <c r="F24" s="57">
        <v>360832.73711340129</v>
      </c>
      <c r="G24" s="74">
        <f t="shared" si="0"/>
        <v>12560000</v>
      </c>
      <c r="H24" s="74">
        <f t="shared" si="1"/>
        <v>18840000</v>
      </c>
      <c r="I24" s="174">
        <v>16308606.548765521</v>
      </c>
      <c r="J24" s="65">
        <v>373718.62713597901</v>
      </c>
      <c r="K24" s="60">
        <f t="shared" si="2"/>
        <v>608606.5487655215</v>
      </c>
      <c r="L24" s="60">
        <f t="shared" si="2"/>
        <v>12885.890022577718</v>
      </c>
      <c r="M24" s="61">
        <f t="shared" si="3"/>
        <v>3.8764748329014109E-2</v>
      </c>
      <c r="N24" s="61">
        <f t="shared" si="3"/>
        <v>3.5711532511330822E-2</v>
      </c>
    </row>
    <row r="25" spans="1:14" x14ac:dyDescent="0.3">
      <c r="A25" s="75" t="s">
        <v>104</v>
      </c>
      <c r="B25" s="75" t="s">
        <v>103</v>
      </c>
      <c r="C25" s="75"/>
      <c r="D25" s="75"/>
      <c r="E25" s="76">
        <f t="shared" ref="E25:J25" si="4">SUM(E17:E24)</f>
        <v>81102300</v>
      </c>
      <c r="F25" s="77">
        <f t="shared" si="4"/>
        <v>7576032.3955975948</v>
      </c>
      <c r="G25" s="76">
        <f t="shared" si="4"/>
        <v>64881840</v>
      </c>
      <c r="H25" s="76">
        <f t="shared" si="4"/>
        <v>97322760</v>
      </c>
      <c r="I25" s="83">
        <f t="shared" si="4"/>
        <v>91102300.148765519</v>
      </c>
      <c r="J25" s="175">
        <f t="shared" si="4"/>
        <v>8918529.8744249288</v>
      </c>
      <c r="K25" s="76">
        <f>SUM(K17:K24)</f>
        <v>10000000.148765521</v>
      </c>
      <c r="L25" s="175">
        <f>SUM(L17:L24)</f>
        <v>1342497.4788273345</v>
      </c>
      <c r="M25" s="79">
        <f>K25/E25</f>
        <v>0.12330106727880123</v>
      </c>
      <c r="N25" s="79">
        <f t="shared" si="3"/>
        <v>0.1772032389417256</v>
      </c>
    </row>
    <row r="30" spans="1:14" ht="55.2" x14ac:dyDescent="0.3">
      <c r="A30" s="215" t="s">
        <v>180</v>
      </c>
      <c r="D30" s="191" t="s">
        <v>149</v>
      </c>
      <c r="E30" s="191" t="s">
        <v>194</v>
      </c>
      <c r="F30" s="191" t="s">
        <v>198</v>
      </c>
      <c r="G30" s="191" t="s">
        <v>195</v>
      </c>
      <c r="H30" s="191" t="s">
        <v>196</v>
      </c>
      <c r="I30" s="191" t="s">
        <v>197</v>
      </c>
    </row>
    <row r="31" spans="1:14" x14ac:dyDescent="0.3">
      <c r="A31" s="215"/>
      <c r="D31" s="192">
        <v>11.53</v>
      </c>
      <c r="E31" s="193">
        <v>1876</v>
      </c>
      <c r="F31" s="193">
        <v>1118</v>
      </c>
      <c r="G31" s="194">
        <v>194</v>
      </c>
      <c r="H31" s="195">
        <v>0.4</v>
      </c>
      <c r="I31" s="194">
        <f>(1-H31)*G31</f>
        <v>116.39999999999999</v>
      </c>
    </row>
    <row r="32" spans="1:14" ht="13.8" customHeight="1" x14ac:dyDescent="0.3">
      <c r="A32" s="207" t="s">
        <v>2</v>
      </c>
      <c r="B32" s="209" t="s">
        <v>3</v>
      </c>
      <c r="C32" s="209" t="str">
        <f t="shared" ref="C32:D42" si="5">D15</f>
        <v>Response Scaling Factor for Sensitivity Analysis</v>
      </c>
      <c r="D32" s="210" t="s">
        <v>86</v>
      </c>
      <c r="E32" s="211"/>
      <c r="F32" s="211"/>
      <c r="G32" s="212"/>
      <c r="H32" s="213" t="s">
        <v>89</v>
      </c>
      <c r="I32" s="214"/>
      <c r="J32" s="214"/>
      <c r="K32" s="210" t="s">
        <v>189</v>
      </c>
      <c r="L32" s="211"/>
      <c r="M32" s="211"/>
      <c r="N32" s="212"/>
    </row>
    <row r="33" spans="1:14" ht="74.400000000000006" customHeight="1" x14ac:dyDescent="0.3">
      <c r="A33" s="208"/>
      <c r="B33" s="208"/>
      <c r="C33" s="208">
        <f t="shared" si="5"/>
        <v>0</v>
      </c>
      <c r="D33" s="202" t="s">
        <v>182</v>
      </c>
      <c r="E33" s="202" t="s">
        <v>181</v>
      </c>
      <c r="F33" s="202" t="s">
        <v>183</v>
      </c>
      <c r="G33" s="202" t="s">
        <v>199</v>
      </c>
      <c r="H33" s="62" t="s">
        <v>187</v>
      </c>
      <c r="I33" s="62" t="s">
        <v>188</v>
      </c>
      <c r="J33" s="62" t="s">
        <v>200</v>
      </c>
      <c r="K33" s="202" t="s">
        <v>190</v>
      </c>
      <c r="L33" s="202" t="s">
        <v>191</v>
      </c>
      <c r="M33" s="202" t="s">
        <v>192</v>
      </c>
      <c r="N33" s="202" t="s">
        <v>193</v>
      </c>
    </row>
    <row r="34" spans="1:14" x14ac:dyDescent="0.3">
      <c r="A34" s="54" t="s">
        <v>13</v>
      </c>
      <c r="B34" s="54" t="s">
        <v>93</v>
      </c>
      <c r="C34" s="153">
        <f t="shared" si="5"/>
        <v>1</v>
      </c>
      <c r="D34" s="166">
        <f t="shared" si="5"/>
        <v>5991499</v>
      </c>
      <c r="E34" s="164" t="s">
        <v>176</v>
      </c>
      <c r="F34" s="168">
        <f>F17/$D$31</f>
        <v>200413.29391107525</v>
      </c>
      <c r="G34" s="170">
        <f>F34*$F$31</f>
        <v>224062062.59258214</v>
      </c>
      <c r="H34" s="176">
        <f t="shared" ref="H34:H41" si="6">I17</f>
        <v>7189798.7999999998</v>
      </c>
      <c r="I34" s="168">
        <f>J17/$D$31</f>
        <v>239856.72092273779</v>
      </c>
      <c r="J34" s="179">
        <f>I34*$F$31</f>
        <v>268159813.99162084</v>
      </c>
      <c r="K34" s="166">
        <f>H34-D34</f>
        <v>1198299.7999999998</v>
      </c>
      <c r="L34" s="166">
        <f>J34-G34</f>
        <v>44097751.399038702</v>
      </c>
      <c r="M34" s="182">
        <f>K34/D34</f>
        <v>0.19999999999999996</v>
      </c>
      <c r="N34" s="183">
        <f>L34/G34</f>
        <v>0.19681043229180117</v>
      </c>
    </row>
    <row r="35" spans="1:14" x14ac:dyDescent="0.3">
      <c r="A35" s="55" t="s">
        <v>170</v>
      </c>
      <c r="B35" s="55" t="s">
        <v>93</v>
      </c>
      <c r="C35" s="154">
        <f t="shared" si="5"/>
        <v>1</v>
      </c>
      <c r="D35" s="167">
        <f t="shared" si="5"/>
        <v>15610435</v>
      </c>
      <c r="E35" s="165" t="s">
        <v>176</v>
      </c>
      <c r="F35" s="169">
        <f t="shared" ref="F35:F40" si="7">F18/$D$31</f>
        <v>230933.63819705584</v>
      </c>
      <c r="G35" s="171">
        <f t="shared" ref="G35:G40" si="8">F35*$F$31</f>
        <v>258183807.50430843</v>
      </c>
      <c r="H35" s="177">
        <f t="shared" si="6"/>
        <v>18732522</v>
      </c>
      <c r="I35" s="169">
        <f t="shared" ref="I35:I40" si="9">J18/$D$31</f>
        <v>277175.40674512938</v>
      </c>
      <c r="J35" s="180">
        <f t="shared" ref="J35:J40" si="10">I35*$F$31</f>
        <v>309882104.74105465</v>
      </c>
      <c r="K35" s="167">
        <f t="shared" ref="K35:K42" si="11">H35-D35</f>
        <v>3122087</v>
      </c>
      <c r="L35" s="167">
        <f t="shared" ref="L35:L42" si="12">J35-G35</f>
        <v>51698297.236746222</v>
      </c>
      <c r="M35" s="184">
        <f t="shared" ref="M35:M42" si="13">K35/D35</f>
        <v>0.2</v>
      </c>
      <c r="N35" s="185">
        <f t="shared" ref="N35:N42" si="14">L35/G35</f>
        <v>0.20023834080254435</v>
      </c>
    </row>
    <row r="36" spans="1:14" x14ac:dyDescent="0.3">
      <c r="A36" s="55" t="s">
        <v>104</v>
      </c>
      <c r="B36" s="55" t="s">
        <v>95</v>
      </c>
      <c r="C36" s="154">
        <f t="shared" si="5"/>
        <v>1</v>
      </c>
      <c r="D36" s="167">
        <f t="shared" si="5"/>
        <v>3804716</v>
      </c>
      <c r="E36" s="165" t="s">
        <v>176</v>
      </c>
      <c r="F36" s="169">
        <f t="shared" si="7"/>
        <v>13058.170083390574</v>
      </c>
      <c r="G36" s="171">
        <f t="shared" si="8"/>
        <v>14599034.153230662</v>
      </c>
      <c r="H36" s="177">
        <f t="shared" si="6"/>
        <v>4565659.2</v>
      </c>
      <c r="I36" s="169">
        <f t="shared" si="9"/>
        <v>15669.923274503548</v>
      </c>
      <c r="J36" s="180">
        <f t="shared" si="10"/>
        <v>17518974.220894966</v>
      </c>
      <c r="K36" s="167">
        <f t="shared" si="11"/>
        <v>760943.20000000019</v>
      </c>
      <c r="L36" s="167">
        <f t="shared" si="12"/>
        <v>2919940.0676643047</v>
      </c>
      <c r="M36" s="184">
        <f t="shared" si="13"/>
        <v>0.20000000000000004</v>
      </c>
      <c r="N36" s="185">
        <f t="shared" si="14"/>
        <v>0.20000912642691113</v>
      </c>
    </row>
    <row r="37" spans="1:14" x14ac:dyDescent="0.3">
      <c r="A37" s="55" t="s">
        <v>104</v>
      </c>
      <c r="B37" s="55" t="s">
        <v>94</v>
      </c>
      <c r="C37" s="154">
        <f t="shared" si="5"/>
        <v>1</v>
      </c>
      <c r="D37" s="167">
        <f t="shared" si="5"/>
        <v>4440000</v>
      </c>
      <c r="E37" s="165" t="s">
        <v>176</v>
      </c>
      <c r="F37" s="169">
        <f t="shared" si="7"/>
        <v>2228.0277703496668</v>
      </c>
      <c r="G37" s="171">
        <f t="shared" si="8"/>
        <v>2490935.0472509274</v>
      </c>
      <c r="H37" s="177">
        <f t="shared" si="6"/>
        <v>3552000</v>
      </c>
      <c r="I37" s="169">
        <f t="shared" si="9"/>
        <v>1882.7648389143997</v>
      </c>
      <c r="J37" s="180">
        <f t="shared" si="10"/>
        <v>2104931.089906299</v>
      </c>
      <c r="K37" s="167">
        <f t="shared" si="11"/>
        <v>-888000</v>
      </c>
      <c r="L37" s="167">
        <f t="shared" si="12"/>
        <v>-386003.9573446284</v>
      </c>
      <c r="M37" s="184">
        <f t="shared" si="13"/>
        <v>-0.2</v>
      </c>
      <c r="N37" s="185">
        <f t="shared" si="14"/>
        <v>-0.15496347757868445</v>
      </c>
    </row>
    <row r="38" spans="1:14" x14ac:dyDescent="0.3">
      <c r="A38" s="55" t="s">
        <v>104</v>
      </c>
      <c r="B38" s="55" t="s">
        <v>108</v>
      </c>
      <c r="C38" s="154">
        <f t="shared" si="5"/>
        <v>1</v>
      </c>
      <c r="D38" s="167">
        <f t="shared" si="5"/>
        <v>22954000</v>
      </c>
      <c r="E38" s="165" t="s">
        <v>176</v>
      </c>
      <c r="F38" s="169">
        <f t="shared" si="7"/>
        <v>138412.14348311909</v>
      </c>
      <c r="G38" s="171">
        <f t="shared" si="8"/>
        <v>154744776.41412714</v>
      </c>
      <c r="H38" s="177">
        <f t="shared" si="6"/>
        <v>27544800</v>
      </c>
      <c r="I38" s="169">
        <f t="shared" si="9"/>
        <v>161617.28299123794</v>
      </c>
      <c r="J38" s="180">
        <f t="shared" si="10"/>
        <v>180688122.38420403</v>
      </c>
      <c r="K38" s="167">
        <f t="shared" si="11"/>
        <v>4590800</v>
      </c>
      <c r="L38" s="167">
        <f t="shared" si="12"/>
        <v>25943345.970076889</v>
      </c>
      <c r="M38" s="184">
        <f t="shared" si="13"/>
        <v>0.2</v>
      </c>
      <c r="N38" s="185">
        <f t="shared" si="14"/>
        <v>0.16765248282531647</v>
      </c>
    </row>
    <row r="39" spans="1:14" x14ac:dyDescent="0.3">
      <c r="A39" s="55" t="s">
        <v>104</v>
      </c>
      <c r="B39" s="55" t="s">
        <v>96</v>
      </c>
      <c r="C39" s="154">
        <f t="shared" si="5"/>
        <v>1</v>
      </c>
      <c r="D39" s="167">
        <f t="shared" si="5"/>
        <v>7818984</v>
      </c>
      <c r="E39" s="165" t="s">
        <v>176</v>
      </c>
      <c r="F39" s="169">
        <f t="shared" si="7"/>
        <v>32808.607210343704</v>
      </c>
      <c r="G39" s="171">
        <f t="shared" si="8"/>
        <v>36680022.861164257</v>
      </c>
      <c r="H39" s="177">
        <f t="shared" si="6"/>
        <v>9382780.7999999989</v>
      </c>
      <c r="I39" s="169">
        <f t="shared" si="9"/>
        <v>38504.59611640498</v>
      </c>
      <c r="J39" s="180">
        <f t="shared" si="10"/>
        <v>43048138.458140768</v>
      </c>
      <c r="K39" s="167">
        <f t="shared" si="11"/>
        <v>1563796.7999999989</v>
      </c>
      <c r="L39" s="167">
        <f t="shared" si="12"/>
        <v>6368115.5969765112</v>
      </c>
      <c r="M39" s="184">
        <f t="shared" si="13"/>
        <v>0.19999999999999984</v>
      </c>
      <c r="N39" s="185">
        <f t="shared" si="14"/>
        <v>0.17361263980341973</v>
      </c>
    </row>
    <row r="40" spans="1:14" x14ac:dyDescent="0.3">
      <c r="A40" s="55" t="s">
        <v>104</v>
      </c>
      <c r="B40" s="55" t="s">
        <v>174</v>
      </c>
      <c r="C40" s="154">
        <f t="shared" si="5"/>
        <v>1</v>
      </c>
      <c r="D40" s="167">
        <f t="shared" si="5"/>
        <v>4782666</v>
      </c>
      <c r="E40" s="165" t="s">
        <v>176</v>
      </c>
      <c r="F40" s="169">
        <f t="shared" si="7"/>
        <v>7922.3256312394515</v>
      </c>
      <c r="G40" s="171">
        <f t="shared" si="8"/>
        <v>8857160.0557257067</v>
      </c>
      <c r="H40" s="177">
        <f t="shared" si="6"/>
        <v>3826132.8000000003</v>
      </c>
      <c r="I40" s="169">
        <f t="shared" si="9"/>
        <v>6387.0819791508839</v>
      </c>
      <c r="J40" s="180">
        <f t="shared" si="10"/>
        <v>7140757.6526906881</v>
      </c>
      <c r="K40" s="167">
        <f t="shared" si="11"/>
        <v>-956533.19999999972</v>
      </c>
      <c r="L40" s="167">
        <f t="shared" si="12"/>
        <v>-1716402.4030350186</v>
      </c>
      <c r="M40" s="184">
        <f t="shared" si="13"/>
        <v>-0.19999999999999993</v>
      </c>
      <c r="N40" s="185">
        <f t="shared" si="14"/>
        <v>-0.19378699179376929</v>
      </c>
    </row>
    <row r="41" spans="1:14" x14ac:dyDescent="0.3">
      <c r="A41" s="55" t="s">
        <v>104</v>
      </c>
      <c r="B41" s="55" t="s">
        <v>171</v>
      </c>
      <c r="C41" s="154">
        <f t="shared" si="5"/>
        <v>1</v>
      </c>
      <c r="D41" s="167">
        <f t="shared" si="5"/>
        <v>15700000</v>
      </c>
      <c r="E41" s="187" t="s">
        <v>175</v>
      </c>
      <c r="F41" s="169">
        <f t="shared" ref="F41" si="15">F24</f>
        <v>360832.73711340129</v>
      </c>
      <c r="G41" s="171">
        <f>F41*$I$31</f>
        <v>42000930.599999905</v>
      </c>
      <c r="H41" s="177">
        <f t="shared" si="6"/>
        <v>16308606.548765521</v>
      </c>
      <c r="I41" s="169">
        <f>J24</f>
        <v>373718.62713597901</v>
      </c>
      <c r="J41" s="180">
        <f>I41*$I$31</f>
        <v>43500848.198627956</v>
      </c>
      <c r="K41" s="167">
        <f t="shared" si="11"/>
        <v>608606.5487655215</v>
      </c>
      <c r="L41" s="167">
        <f t="shared" si="12"/>
        <v>1499917.5986280516</v>
      </c>
      <c r="M41" s="184">
        <f t="shared" si="13"/>
        <v>3.8764748329014109E-2</v>
      </c>
      <c r="N41" s="185">
        <f t="shared" si="14"/>
        <v>3.5711532511330954E-2</v>
      </c>
    </row>
    <row r="42" spans="1:14" x14ac:dyDescent="0.3">
      <c r="A42" s="75" t="s">
        <v>104</v>
      </c>
      <c r="B42" s="75" t="s">
        <v>103</v>
      </c>
      <c r="C42" s="75">
        <f t="shared" si="5"/>
        <v>0</v>
      </c>
      <c r="D42" s="76">
        <f>SUM(D34:D41)</f>
        <v>81102300</v>
      </c>
      <c r="E42" s="77"/>
      <c r="F42" s="77"/>
      <c r="G42" s="172">
        <f>SUM(G34:G41)</f>
        <v>741618729.22838914</v>
      </c>
      <c r="H42" s="178">
        <f>SUM(H34:H41)</f>
        <v>91102300.148765519</v>
      </c>
      <c r="I42" s="77"/>
      <c r="J42" s="181">
        <f>SUM(J34:J41)</f>
        <v>872043690.73714018</v>
      </c>
      <c r="K42" s="76">
        <f t="shared" si="11"/>
        <v>10000000.148765519</v>
      </c>
      <c r="L42" s="200">
        <f t="shared" si="12"/>
        <v>130424961.50875103</v>
      </c>
      <c r="M42" s="79">
        <f t="shared" si="13"/>
        <v>0.1233010672788012</v>
      </c>
      <c r="N42" s="186">
        <f t="shared" si="14"/>
        <v>0.17586524769196507</v>
      </c>
    </row>
    <row r="43" spans="1:14" x14ac:dyDescent="0.3">
      <c r="D43" s="188">
        <v>0.54</v>
      </c>
      <c r="E43" s="188">
        <v>0.34</v>
      </c>
      <c r="F43" s="159" t="s">
        <v>184</v>
      </c>
      <c r="G43" s="189">
        <f>SUM(G34:G40)*$E$43 + (G41*$D$43)</f>
        <v>260550554.05765232</v>
      </c>
      <c r="I43" s="157"/>
      <c r="J43" s="189">
        <f>SUM(J34:J40)*$E$43 + (J41*$D$43)</f>
        <v>305195024.49035329</v>
      </c>
      <c r="L43" s="189">
        <f>SUM(L34:L40)*$E$43 + (L41*$D$43)</f>
        <v>44644470.432700962</v>
      </c>
      <c r="M43" s="201">
        <f>L43/L42</f>
        <v>0.34230004683348503</v>
      </c>
      <c r="N43" s="190">
        <f>N42*(L43/L42)</f>
        <v>6.0198682521342091E-2</v>
      </c>
    </row>
    <row r="44" spans="1:14" x14ac:dyDescent="0.3">
      <c r="D44" s="188">
        <v>0.46</v>
      </c>
      <c r="E44" s="188">
        <v>0.39</v>
      </c>
      <c r="F44" s="159" t="s">
        <v>185</v>
      </c>
      <c r="G44" s="189">
        <f>SUM(G34:G40)*$E$44 + (G41*$D$44)</f>
        <v>292171369.54107177</v>
      </c>
      <c r="I44" s="157"/>
      <c r="J44" s="189">
        <f>SUM(J34:J40)*$E$44 + (J41*$D$44)</f>
        <v>343142098.7613886</v>
      </c>
      <c r="L44" s="189">
        <f>SUM(L34:L40)*$E$44 + (L41*$D$44)</f>
        <v>50970729.220316872</v>
      </c>
      <c r="M44" s="201">
        <f>L44/L42</f>
        <v>0.39080501639171977</v>
      </c>
      <c r="N44" s="190">
        <f>N42*(L44/L42)</f>
        <v>6.8729021006992269E-2</v>
      </c>
    </row>
    <row r="45" spans="1:14" x14ac:dyDescent="0.3">
      <c r="D45" s="188">
        <v>0</v>
      </c>
      <c r="E45" s="188">
        <v>0.27</v>
      </c>
      <c r="F45" s="159" t="s">
        <v>186</v>
      </c>
      <c r="G45" s="189">
        <f>SUM(G34:G40)*$E$45 + (G41*$D$45)</f>
        <v>188896805.62966511</v>
      </c>
      <c r="I45" s="157"/>
      <c r="J45" s="189">
        <f>SUM(J34:J40)*$E$45 + (J41*$D$45)</f>
        <v>223706567.48539832</v>
      </c>
      <c r="L45" s="189">
        <f>SUM(L34:L40)*$E$45 + (L41*$D$45)</f>
        <v>34809761.855733208</v>
      </c>
      <c r="M45" s="201">
        <f>L45/L42</f>
        <v>0.2668949367747952</v>
      </c>
      <c r="N45" s="190">
        <f>N42*(L45/L42)</f>
        <v>4.6937544163630718E-2</v>
      </c>
    </row>
    <row r="46" spans="1:14" x14ac:dyDescent="0.3">
      <c r="D46" s="162" t="s">
        <v>175</v>
      </c>
      <c r="E46" s="162" t="s">
        <v>209</v>
      </c>
    </row>
    <row r="47" spans="1:14" ht="27.6" x14ac:dyDescent="0.3">
      <c r="D47" s="160" t="s">
        <v>210</v>
      </c>
    </row>
  </sheetData>
  <mergeCells count="19">
    <mergeCell ref="I15:J15"/>
    <mergeCell ref="K15:N15"/>
    <mergeCell ref="A30:A31"/>
    <mergeCell ref="A32:A33"/>
    <mergeCell ref="B32:B33"/>
    <mergeCell ref="C32:C33"/>
    <mergeCell ref="D32:G32"/>
    <mergeCell ref="H32:J32"/>
    <mergeCell ref="K32:N32"/>
    <mergeCell ref="B4:I4"/>
    <mergeCell ref="E5:I5"/>
    <mergeCell ref="E6:I6"/>
    <mergeCell ref="A11:A12"/>
    <mergeCell ref="A15:A16"/>
    <mergeCell ref="B15:B16"/>
    <mergeCell ref="C15:C16"/>
    <mergeCell ref="D15:D16"/>
    <mergeCell ref="E15:F15"/>
    <mergeCell ref="G15:H15"/>
  </mergeCells>
  <pageMargins left="0.7" right="0.7" top="0.75" bottom="0.75" header="0.3" footer="0.3"/>
  <pageSetup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N47"/>
  <sheetViews>
    <sheetView tabSelected="1" topLeftCell="A13" workbookViewId="0">
      <selection activeCell="B14" sqref="B14"/>
    </sheetView>
  </sheetViews>
  <sheetFormatPr defaultRowHeight="13.8" x14ac:dyDescent="0.3"/>
  <cols>
    <col min="1" max="1" width="14.109375" style="162" customWidth="1"/>
    <col min="2" max="2" width="14.21875" style="162" customWidth="1"/>
    <col min="3" max="3" width="13.88671875" style="162" customWidth="1"/>
    <col min="4" max="4" width="12.44140625" style="162" customWidth="1"/>
    <col min="5" max="5" width="13.88671875" style="162" customWidth="1"/>
    <col min="6" max="6" width="12.44140625" style="162" customWidth="1"/>
    <col min="7" max="7" width="13.77734375" style="162" customWidth="1"/>
    <col min="8" max="8" width="14" style="162" customWidth="1"/>
    <col min="9" max="9" width="14.6640625" style="162" customWidth="1"/>
    <col min="10" max="10" width="14.77734375" style="162" customWidth="1"/>
    <col min="11" max="11" width="13.88671875" style="162" customWidth="1"/>
    <col min="12" max="12" width="13.5546875" style="162" customWidth="1"/>
    <col min="13" max="13" width="11.21875" style="162" customWidth="1"/>
    <col min="14" max="14" width="10.5546875" style="162" customWidth="1"/>
    <col min="15" max="16384" width="8.88671875" style="162"/>
  </cols>
  <sheetData>
    <row r="1" spans="1:14" x14ac:dyDescent="0.3">
      <c r="A1" s="48" t="s">
        <v>0</v>
      </c>
      <c r="B1" s="162" t="s">
        <v>166</v>
      </c>
    </row>
    <row r="2" spans="1:14" x14ac:dyDescent="0.3">
      <c r="A2" s="48" t="s">
        <v>76</v>
      </c>
      <c r="B2" s="162" t="s">
        <v>104</v>
      </c>
    </row>
    <row r="3" spans="1:14" x14ac:dyDescent="0.3">
      <c r="A3" s="48" t="s">
        <v>77</v>
      </c>
      <c r="B3" s="162" t="s">
        <v>165</v>
      </c>
    </row>
    <row r="4" spans="1:14" ht="23.4" customHeight="1" x14ac:dyDescent="0.3">
      <c r="A4" s="49" t="s">
        <v>78</v>
      </c>
      <c r="B4" s="291" t="s">
        <v>221</v>
      </c>
      <c r="C4" s="292"/>
      <c r="D4" s="292"/>
      <c r="E4" s="292"/>
      <c r="F4" s="292"/>
      <c r="G4" s="292"/>
      <c r="H4" s="292"/>
      <c r="I4" s="292"/>
    </row>
    <row r="5" spans="1:14" x14ac:dyDescent="0.3">
      <c r="A5" s="48" t="s">
        <v>79</v>
      </c>
      <c r="B5" s="162" t="s">
        <v>167</v>
      </c>
      <c r="E5" s="216" t="s">
        <v>50</v>
      </c>
      <c r="F5" s="217"/>
      <c r="G5" s="217"/>
      <c r="H5" s="217"/>
      <c r="I5" s="218"/>
    </row>
    <row r="6" spans="1:14" x14ac:dyDescent="0.3">
      <c r="A6" s="48" t="s">
        <v>80</v>
      </c>
      <c r="B6" s="162" t="s">
        <v>168</v>
      </c>
      <c r="E6" s="219" t="s">
        <v>51</v>
      </c>
      <c r="F6" s="220"/>
      <c r="G6" s="220"/>
      <c r="H6" s="220"/>
      <c r="I6" s="221"/>
    </row>
    <row r="7" spans="1:14" ht="14.4" thickBot="1" x14ac:dyDescent="0.35"/>
    <row r="8" spans="1:14" ht="14.4" thickBot="1" x14ac:dyDescent="0.35">
      <c r="A8" s="52" t="s">
        <v>81</v>
      </c>
    </row>
    <row r="9" spans="1:14" ht="14.4" thickBot="1" x14ac:dyDescent="0.35">
      <c r="A9" s="29" t="s">
        <v>83</v>
      </c>
      <c r="B9" s="66">
        <f>SUM(J17:J24)</f>
        <v>9008930.9950059727</v>
      </c>
    </row>
    <row r="10" spans="1:14" ht="14.4" thickBot="1" x14ac:dyDescent="0.35">
      <c r="A10" s="50"/>
    </row>
    <row r="11" spans="1:14" ht="27.6" x14ac:dyDescent="0.3">
      <c r="A11" s="222" t="s">
        <v>82</v>
      </c>
      <c r="B11" s="51" t="s">
        <v>84</v>
      </c>
      <c r="C11" s="203" t="s">
        <v>100</v>
      </c>
      <c r="D11" s="204" t="s">
        <v>101</v>
      </c>
      <c r="E11" s="162" t="s">
        <v>97</v>
      </c>
    </row>
    <row r="12" spans="1:14" ht="14.4" thickBot="1" x14ac:dyDescent="0.35">
      <c r="A12" s="223"/>
      <c r="B12" s="158">
        <f>81102300 + 15000000</f>
        <v>96102300</v>
      </c>
      <c r="C12" s="81">
        <f>1*B12 - 1</f>
        <v>96102299</v>
      </c>
      <c r="D12" s="82">
        <f>1*B12 + 1</f>
        <v>96102301</v>
      </c>
    </row>
    <row r="13" spans="1:14" ht="14.4" thickBot="1" x14ac:dyDescent="0.35"/>
    <row r="14" spans="1:14" ht="60.6" customHeight="1" thickBot="1" x14ac:dyDescent="0.35">
      <c r="A14" s="53" t="s">
        <v>85</v>
      </c>
      <c r="D14" s="160" t="s">
        <v>98</v>
      </c>
      <c r="E14" s="160" t="s">
        <v>98</v>
      </c>
      <c r="F14" s="160" t="s">
        <v>99</v>
      </c>
      <c r="G14" s="163">
        <v>0.8</v>
      </c>
      <c r="H14" s="163">
        <v>1.2</v>
      </c>
      <c r="I14" s="160" t="s">
        <v>98</v>
      </c>
      <c r="J14" s="160" t="s">
        <v>99</v>
      </c>
    </row>
    <row r="15" spans="1:14" ht="27.6" customHeight="1" x14ac:dyDescent="0.3">
      <c r="A15" s="224" t="s">
        <v>2</v>
      </c>
      <c r="B15" s="209" t="s">
        <v>3</v>
      </c>
      <c r="C15" s="209" t="s">
        <v>38</v>
      </c>
      <c r="D15" s="209" t="s">
        <v>169</v>
      </c>
      <c r="E15" s="225" t="s">
        <v>86</v>
      </c>
      <c r="F15" s="226"/>
      <c r="G15" s="227" t="s">
        <v>179</v>
      </c>
      <c r="H15" s="228"/>
      <c r="I15" s="227" t="s">
        <v>89</v>
      </c>
      <c r="J15" s="228"/>
      <c r="K15" s="225" t="s">
        <v>90</v>
      </c>
      <c r="L15" s="229"/>
      <c r="M15" s="229"/>
      <c r="N15" s="226"/>
    </row>
    <row r="16" spans="1:14" ht="27.6" x14ac:dyDescent="0.3">
      <c r="A16" s="208"/>
      <c r="B16" s="208"/>
      <c r="C16" s="208"/>
      <c r="D16" s="208"/>
      <c r="E16" s="202" t="s">
        <v>203</v>
      </c>
      <c r="F16" s="202" t="s">
        <v>204</v>
      </c>
      <c r="G16" s="202" t="s">
        <v>87</v>
      </c>
      <c r="H16" s="202" t="s">
        <v>88</v>
      </c>
      <c r="I16" s="62" t="s">
        <v>201</v>
      </c>
      <c r="J16" s="62" t="s">
        <v>202</v>
      </c>
      <c r="K16" s="202" t="s">
        <v>177</v>
      </c>
      <c r="L16" s="202" t="s">
        <v>178</v>
      </c>
      <c r="M16" s="202" t="s">
        <v>91</v>
      </c>
      <c r="N16" s="202" t="s">
        <v>92</v>
      </c>
    </row>
    <row r="17" spans="1:14" x14ac:dyDescent="0.3">
      <c r="A17" s="54" t="s">
        <v>13</v>
      </c>
      <c r="B17" s="54" t="s">
        <v>93</v>
      </c>
      <c r="C17" s="55" t="s">
        <v>102</v>
      </c>
      <c r="D17" s="153">
        <v>1</v>
      </c>
      <c r="E17" s="73">
        <v>5991499</v>
      </c>
      <c r="F17" s="56">
        <v>2310765.2787946975</v>
      </c>
      <c r="G17" s="73">
        <f>E17*$G$14</f>
        <v>4793199.2</v>
      </c>
      <c r="H17" s="73">
        <f>E17*$H$14</f>
        <v>7189798.7999999998</v>
      </c>
      <c r="I17" s="173">
        <v>7189798.7999999998</v>
      </c>
      <c r="J17" s="64">
        <v>2765547.9922391665</v>
      </c>
      <c r="K17" s="58">
        <f>I17-E17</f>
        <v>1198299.7999999998</v>
      </c>
      <c r="L17" s="58">
        <f>J17-F17</f>
        <v>454782.71344446903</v>
      </c>
      <c r="M17" s="59">
        <f>K17/E17</f>
        <v>0.19999999999999996</v>
      </c>
      <c r="N17" s="59">
        <f>L17/F17</f>
        <v>0.19681043229180123</v>
      </c>
    </row>
    <row r="18" spans="1:14" x14ac:dyDescent="0.3">
      <c r="A18" s="55" t="s">
        <v>170</v>
      </c>
      <c r="B18" s="55" t="s">
        <v>93</v>
      </c>
      <c r="C18" s="55" t="s">
        <v>102</v>
      </c>
      <c r="D18" s="154">
        <v>1</v>
      </c>
      <c r="E18" s="74">
        <v>15610435</v>
      </c>
      <c r="F18" s="57">
        <v>2662664.8484120537</v>
      </c>
      <c r="G18" s="74">
        <f t="shared" ref="G18:G24" si="0">E18*$G$14</f>
        <v>12488348</v>
      </c>
      <c r="H18" s="74">
        <f t="shared" ref="H18:H24" si="1">E18*$H$14</f>
        <v>18732522</v>
      </c>
      <c r="I18" s="174">
        <v>18732522</v>
      </c>
      <c r="J18" s="65">
        <v>3195832.4397713416</v>
      </c>
      <c r="K18" s="60">
        <f t="shared" ref="K18:L24" si="2">I18-E18</f>
        <v>3122087</v>
      </c>
      <c r="L18" s="60">
        <f t="shared" si="2"/>
        <v>533167.59135928797</v>
      </c>
      <c r="M18" s="61">
        <f t="shared" ref="M18:N25" si="3">K18/E18</f>
        <v>0.2</v>
      </c>
      <c r="N18" s="61">
        <f t="shared" si="3"/>
        <v>0.20023834080254438</v>
      </c>
    </row>
    <row r="19" spans="1:14" x14ac:dyDescent="0.3">
      <c r="A19" s="55" t="s">
        <v>104</v>
      </c>
      <c r="B19" s="55" t="s">
        <v>95</v>
      </c>
      <c r="C19" s="55" t="s">
        <v>102</v>
      </c>
      <c r="D19" s="154">
        <v>1</v>
      </c>
      <c r="E19" s="74">
        <v>3804716</v>
      </c>
      <c r="F19" s="57">
        <v>150560.70106149331</v>
      </c>
      <c r="G19" s="74">
        <f t="shared" si="0"/>
        <v>3043772.8000000003</v>
      </c>
      <c r="H19" s="74">
        <f t="shared" si="1"/>
        <v>4565659.2</v>
      </c>
      <c r="I19" s="174">
        <v>4565659.2</v>
      </c>
      <c r="J19" s="65">
        <v>180674.2153550259</v>
      </c>
      <c r="K19" s="60">
        <f t="shared" si="2"/>
        <v>760943.20000000019</v>
      </c>
      <c r="L19" s="60">
        <f t="shared" si="2"/>
        <v>30113.514293532586</v>
      </c>
      <c r="M19" s="61">
        <f t="shared" si="3"/>
        <v>0.20000000000000004</v>
      </c>
      <c r="N19" s="61">
        <f t="shared" si="3"/>
        <v>0.20000912642691113</v>
      </c>
    </row>
    <row r="20" spans="1:14" x14ac:dyDescent="0.3">
      <c r="A20" s="55" t="s">
        <v>104</v>
      </c>
      <c r="B20" s="55" t="s">
        <v>94</v>
      </c>
      <c r="C20" s="55" t="s">
        <v>173</v>
      </c>
      <c r="D20" s="154">
        <v>1</v>
      </c>
      <c r="E20" s="74">
        <v>4440000</v>
      </c>
      <c r="F20" s="57">
        <v>25689.160192131658</v>
      </c>
      <c r="G20" s="74">
        <f t="shared" si="0"/>
        <v>3552000</v>
      </c>
      <c r="H20" s="74">
        <f t="shared" si="1"/>
        <v>5328000</v>
      </c>
      <c r="I20" s="174">
        <v>4107540.0292513319</v>
      </c>
      <c r="J20" s="65">
        <v>24231.818614525357</v>
      </c>
      <c r="K20" s="60">
        <f t="shared" si="2"/>
        <v>-332459.97074866807</v>
      </c>
      <c r="L20" s="60">
        <f t="shared" si="2"/>
        <v>-1457.3415776063011</v>
      </c>
      <c r="M20" s="61">
        <f t="shared" si="3"/>
        <v>-7.4878371790240553E-2</v>
      </c>
      <c r="N20" s="61">
        <f t="shared" si="3"/>
        <v>-5.6729825603745149E-2</v>
      </c>
    </row>
    <row r="21" spans="1:14" x14ac:dyDescent="0.3">
      <c r="A21" s="55" t="s">
        <v>104</v>
      </c>
      <c r="B21" s="55" t="s">
        <v>108</v>
      </c>
      <c r="C21" s="55" t="s">
        <v>172</v>
      </c>
      <c r="D21" s="154">
        <v>1</v>
      </c>
      <c r="E21" s="74">
        <v>22954000</v>
      </c>
      <c r="F21" s="57">
        <v>1595892.0143603629</v>
      </c>
      <c r="G21" s="74">
        <f t="shared" si="0"/>
        <v>18363200</v>
      </c>
      <c r="H21" s="74">
        <f t="shared" si="1"/>
        <v>27544800</v>
      </c>
      <c r="I21" s="174">
        <v>27544800</v>
      </c>
      <c r="J21" s="65">
        <v>1863447.2728889734</v>
      </c>
      <c r="K21" s="60">
        <f t="shared" si="2"/>
        <v>4590800</v>
      </c>
      <c r="L21" s="60">
        <f t="shared" si="2"/>
        <v>267555.25852861046</v>
      </c>
      <c r="M21" s="61">
        <f t="shared" si="3"/>
        <v>0.2</v>
      </c>
      <c r="N21" s="61">
        <f t="shared" si="3"/>
        <v>0.16765248282531647</v>
      </c>
    </row>
    <row r="22" spans="1:14" x14ac:dyDescent="0.3">
      <c r="A22" s="55" t="s">
        <v>104</v>
      </c>
      <c r="B22" s="55" t="s">
        <v>96</v>
      </c>
      <c r="C22" s="55" t="s">
        <v>172</v>
      </c>
      <c r="D22" s="154">
        <v>1</v>
      </c>
      <c r="E22" s="74">
        <v>7818984</v>
      </c>
      <c r="F22" s="57">
        <v>378283.24113526288</v>
      </c>
      <c r="G22" s="74">
        <f t="shared" si="0"/>
        <v>6255187.2000000002</v>
      </c>
      <c r="H22" s="74">
        <f t="shared" si="1"/>
        <v>9382780.7999999989</v>
      </c>
      <c r="I22" s="174">
        <v>9382780.7999999989</v>
      </c>
      <c r="J22" s="65">
        <v>443957.99322214938</v>
      </c>
      <c r="K22" s="60">
        <f t="shared" si="2"/>
        <v>1563796.7999999989</v>
      </c>
      <c r="L22" s="60">
        <f t="shared" si="2"/>
        <v>65674.752086886496</v>
      </c>
      <c r="M22" s="61">
        <f t="shared" si="3"/>
        <v>0.19999999999999984</v>
      </c>
      <c r="N22" s="61">
        <f t="shared" si="3"/>
        <v>0.17361263980341954</v>
      </c>
    </row>
    <row r="23" spans="1:14" x14ac:dyDescent="0.3">
      <c r="A23" s="55" t="s">
        <v>104</v>
      </c>
      <c r="B23" s="55" t="s">
        <v>174</v>
      </c>
      <c r="C23" s="55" t="s">
        <v>172</v>
      </c>
      <c r="D23" s="154">
        <v>1</v>
      </c>
      <c r="E23" s="74">
        <v>4782666</v>
      </c>
      <c r="F23" s="57">
        <v>91344.414528190871</v>
      </c>
      <c r="G23" s="74">
        <f t="shared" si="0"/>
        <v>3826132.8000000003</v>
      </c>
      <c r="H23" s="74">
        <f t="shared" si="1"/>
        <v>5739199.2000000002</v>
      </c>
      <c r="I23" s="174">
        <v>5739199.2000000002</v>
      </c>
      <c r="J23" s="65">
        <v>108770.45724810039</v>
      </c>
      <c r="K23" s="60">
        <f t="shared" si="2"/>
        <v>956533.20000000019</v>
      </c>
      <c r="L23" s="60">
        <f t="shared" si="2"/>
        <v>17426.042719909514</v>
      </c>
      <c r="M23" s="61">
        <f t="shared" si="3"/>
        <v>0.20000000000000004</v>
      </c>
      <c r="N23" s="61">
        <f t="shared" si="3"/>
        <v>0.19077294227477323</v>
      </c>
    </row>
    <row r="24" spans="1:14" x14ac:dyDescent="0.3">
      <c r="A24" s="55" t="s">
        <v>104</v>
      </c>
      <c r="B24" s="55" t="s">
        <v>171</v>
      </c>
      <c r="C24" s="55" t="s">
        <v>172</v>
      </c>
      <c r="D24" s="154">
        <v>1</v>
      </c>
      <c r="E24" s="74">
        <v>15700000</v>
      </c>
      <c r="F24" s="57">
        <v>360832.73711340129</v>
      </c>
      <c r="G24" s="74">
        <f t="shared" si="0"/>
        <v>12560000</v>
      </c>
      <c r="H24" s="74">
        <f t="shared" si="1"/>
        <v>18840000</v>
      </c>
      <c r="I24" s="174">
        <v>18840000</v>
      </c>
      <c r="J24" s="65">
        <v>426468.80566668883</v>
      </c>
      <c r="K24" s="60">
        <f t="shared" si="2"/>
        <v>3140000</v>
      </c>
      <c r="L24" s="60">
        <f t="shared" si="2"/>
        <v>65636.068553287536</v>
      </c>
      <c r="M24" s="61">
        <f t="shared" si="3"/>
        <v>0.2</v>
      </c>
      <c r="N24" s="61">
        <f t="shared" si="3"/>
        <v>0.18190164528408534</v>
      </c>
    </row>
    <row r="25" spans="1:14" x14ac:dyDescent="0.3">
      <c r="A25" s="75" t="s">
        <v>104</v>
      </c>
      <c r="B25" s="75" t="s">
        <v>103</v>
      </c>
      <c r="C25" s="75"/>
      <c r="D25" s="75"/>
      <c r="E25" s="76">
        <f t="shared" ref="E25:J25" si="4">SUM(E17:E24)</f>
        <v>81102300</v>
      </c>
      <c r="F25" s="77">
        <f t="shared" si="4"/>
        <v>7576032.3955975948</v>
      </c>
      <c r="G25" s="76">
        <f t="shared" si="4"/>
        <v>64881840</v>
      </c>
      <c r="H25" s="76">
        <f t="shared" si="4"/>
        <v>97322760</v>
      </c>
      <c r="I25" s="83">
        <f t="shared" si="4"/>
        <v>96102300.029251337</v>
      </c>
      <c r="J25" s="175">
        <f t="shared" si="4"/>
        <v>9008930.9950059727</v>
      </c>
      <c r="K25" s="76">
        <f>SUM(K17:K24)</f>
        <v>15000000.02925133</v>
      </c>
      <c r="L25" s="175">
        <f>SUM(L17:L24)</f>
        <v>1432898.5994083772</v>
      </c>
      <c r="M25" s="79">
        <f>K25/E25</f>
        <v>0.18495159852743176</v>
      </c>
      <c r="N25" s="79">
        <f t="shared" si="3"/>
        <v>0.18913575399189547</v>
      </c>
    </row>
    <row r="30" spans="1:14" ht="55.2" x14ac:dyDescent="0.3">
      <c r="A30" s="215" t="s">
        <v>180</v>
      </c>
      <c r="D30" s="191" t="s">
        <v>149</v>
      </c>
      <c r="E30" s="191" t="s">
        <v>194</v>
      </c>
      <c r="F30" s="191" t="s">
        <v>198</v>
      </c>
      <c r="G30" s="191" t="s">
        <v>195</v>
      </c>
      <c r="H30" s="191" t="s">
        <v>196</v>
      </c>
      <c r="I30" s="191" t="s">
        <v>197</v>
      </c>
    </row>
    <row r="31" spans="1:14" x14ac:dyDescent="0.3">
      <c r="A31" s="215"/>
      <c r="D31" s="192">
        <v>11.53</v>
      </c>
      <c r="E31" s="193">
        <v>1876</v>
      </c>
      <c r="F31" s="193">
        <v>1118</v>
      </c>
      <c r="G31" s="194">
        <v>194</v>
      </c>
      <c r="H31" s="195">
        <v>0.4</v>
      </c>
      <c r="I31" s="194">
        <f>(1-H31)*G31</f>
        <v>116.39999999999999</v>
      </c>
    </row>
    <row r="32" spans="1:14" ht="13.8" customHeight="1" x14ac:dyDescent="0.3">
      <c r="A32" s="207" t="s">
        <v>2</v>
      </c>
      <c r="B32" s="209" t="s">
        <v>3</v>
      </c>
      <c r="C32" s="209" t="str">
        <f t="shared" ref="C32:D42" si="5">D15</f>
        <v>Response Scaling Factor for Sensitivity Analysis</v>
      </c>
      <c r="D32" s="210" t="s">
        <v>86</v>
      </c>
      <c r="E32" s="211"/>
      <c r="F32" s="211"/>
      <c r="G32" s="212"/>
      <c r="H32" s="213" t="s">
        <v>89</v>
      </c>
      <c r="I32" s="214"/>
      <c r="J32" s="214"/>
      <c r="K32" s="210" t="s">
        <v>189</v>
      </c>
      <c r="L32" s="211"/>
      <c r="M32" s="211"/>
      <c r="N32" s="212"/>
    </row>
    <row r="33" spans="1:14" ht="74.400000000000006" customHeight="1" x14ac:dyDescent="0.3">
      <c r="A33" s="208"/>
      <c r="B33" s="208"/>
      <c r="C33" s="208">
        <f t="shared" si="5"/>
        <v>0</v>
      </c>
      <c r="D33" s="202" t="s">
        <v>182</v>
      </c>
      <c r="E33" s="202" t="s">
        <v>181</v>
      </c>
      <c r="F33" s="202" t="s">
        <v>183</v>
      </c>
      <c r="G33" s="202" t="s">
        <v>199</v>
      </c>
      <c r="H33" s="62" t="s">
        <v>187</v>
      </c>
      <c r="I33" s="62" t="s">
        <v>188</v>
      </c>
      <c r="J33" s="62" t="s">
        <v>200</v>
      </c>
      <c r="K33" s="202" t="s">
        <v>190</v>
      </c>
      <c r="L33" s="202" t="s">
        <v>191</v>
      </c>
      <c r="M33" s="202" t="s">
        <v>192</v>
      </c>
      <c r="N33" s="202" t="s">
        <v>193</v>
      </c>
    </row>
    <row r="34" spans="1:14" x14ac:dyDescent="0.3">
      <c r="A34" s="54" t="s">
        <v>13</v>
      </c>
      <c r="B34" s="54" t="s">
        <v>93</v>
      </c>
      <c r="C34" s="153">
        <f t="shared" si="5"/>
        <v>1</v>
      </c>
      <c r="D34" s="166">
        <f t="shared" si="5"/>
        <v>5991499</v>
      </c>
      <c r="E34" s="164" t="s">
        <v>176</v>
      </c>
      <c r="F34" s="168">
        <f>F17/$D$31</f>
        <v>200413.29391107525</v>
      </c>
      <c r="G34" s="170">
        <f>F34*$F$31</f>
        <v>224062062.59258214</v>
      </c>
      <c r="H34" s="176">
        <f t="shared" ref="H34:H41" si="6">I17</f>
        <v>7189798.7999999998</v>
      </c>
      <c r="I34" s="168">
        <f>J17/$D$31</f>
        <v>239856.72092273779</v>
      </c>
      <c r="J34" s="179">
        <f>I34*$F$31</f>
        <v>268159813.99162084</v>
      </c>
      <c r="K34" s="166">
        <f>H34-D34</f>
        <v>1198299.7999999998</v>
      </c>
      <c r="L34" s="166">
        <f>J34-G34</f>
        <v>44097751.399038702</v>
      </c>
      <c r="M34" s="182">
        <f>K34/D34</f>
        <v>0.19999999999999996</v>
      </c>
      <c r="N34" s="183">
        <f>L34/G34</f>
        <v>0.19681043229180117</v>
      </c>
    </row>
    <row r="35" spans="1:14" x14ac:dyDescent="0.3">
      <c r="A35" s="55" t="s">
        <v>170</v>
      </c>
      <c r="B35" s="55" t="s">
        <v>93</v>
      </c>
      <c r="C35" s="154">
        <f t="shared" si="5"/>
        <v>1</v>
      </c>
      <c r="D35" s="167">
        <f t="shared" si="5"/>
        <v>15610435</v>
      </c>
      <c r="E35" s="165" t="s">
        <v>176</v>
      </c>
      <c r="F35" s="169">
        <f t="shared" ref="F35:F40" si="7">F18/$D$31</f>
        <v>230933.63819705584</v>
      </c>
      <c r="G35" s="171">
        <f t="shared" ref="G35:G40" si="8">F35*$F$31</f>
        <v>258183807.50430843</v>
      </c>
      <c r="H35" s="177">
        <f t="shared" si="6"/>
        <v>18732522</v>
      </c>
      <c r="I35" s="169">
        <f t="shared" ref="I35:I40" si="9">J18/$D$31</f>
        <v>277175.40674512938</v>
      </c>
      <c r="J35" s="180">
        <f t="shared" ref="J35:J40" si="10">I35*$F$31</f>
        <v>309882104.74105465</v>
      </c>
      <c r="K35" s="167">
        <f t="shared" ref="K35:K42" si="11">H35-D35</f>
        <v>3122087</v>
      </c>
      <c r="L35" s="167">
        <f t="shared" ref="L35:L42" si="12">J35-G35</f>
        <v>51698297.236746222</v>
      </c>
      <c r="M35" s="184">
        <f t="shared" ref="M35:M42" si="13">K35/D35</f>
        <v>0.2</v>
      </c>
      <c r="N35" s="185">
        <f t="shared" ref="N35:N42" si="14">L35/G35</f>
        <v>0.20023834080254435</v>
      </c>
    </row>
    <row r="36" spans="1:14" x14ac:dyDescent="0.3">
      <c r="A36" s="55" t="s">
        <v>104</v>
      </c>
      <c r="B36" s="55" t="s">
        <v>95</v>
      </c>
      <c r="C36" s="154">
        <f t="shared" si="5"/>
        <v>1</v>
      </c>
      <c r="D36" s="167">
        <f t="shared" si="5"/>
        <v>3804716</v>
      </c>
      <c r="E36" s="165" t="s">
        <v>176</v>
      </c>
      <c r="F36" s="169">
        <f t="shared" si="7"/>
        <v>13058.170083390574</v>
      </c>
      <c r="G36" s="171">
        <f t="shared" si="8"/>
        <v>14599034.153230662</v>
      </c>
      <c r="H36" s="177">
        <f t="shared" si="6"/>
        <v>4565659.2</v>
      </c>
      <c r="I36" s="169">
        <f t="shared" si="9"/>
        <v>15669.923274503548</v>
      </c>
      <c r="J36" s="180">
        <f t="shared" si="10"/>
        <v>17518974.220894966</v>
      </c>
      <c r="K36" s="167">
        <f t="shared" si="11"/>
        <v>760943.20000000019</v>
      </c>
      <c r="L36" s="167">
        <f t="shared" si="12"/>
        <v>2919940.0676643047</v>
      </c>
      <c r="M36" s="184">
        <f t="shared" si="13"/>
        <v>0.20000000000000004</v>
      </c>
      <c r="N36" s="185">
        <f t="shared" si="14"/>
        <v>0.20000912642691113</v>
      </c>
    </row>
    <row r="37" spans="1:14" x14ac:dyDescent="0.3">
      <c r="A37" s="55" t="s">
        <v>104</v>
      </c>
      <c r="B37" s="55" t="s">
        <v>94</v>
      </c>
      <c r="C37" s="154">
        <f t="shared" si="5"/>
        <v>1</v>
      </c>
      <c r="D37" s="167">
        <f t="shared" si="5"/>
        <v>4440000</v>
      </c>
      <c r="E37" s="165" t="s">
        <v>176</v>
      </c>
      <c r="F37" s="169">
        <f t="shared" si="7"/>
        <v>2228.0277703496668</v>
      </c>
      <c r="G37" s="171">
        <f t="shared" si="8"/>
        <v>2490935.0472509274</v>
      </c>
      <c r="H37" s="177">
        <f t="shared" si="6"/>
        <v>4107540.0292513319</v>
      </c>
      <c r="I37" s="169">
        <f t="shared" si="9"/>
        <v>2101.6321434974293</v>
      </c>
      <c r="J37" s="180">
        <f t="shared" si="10"/>
        <v>2349624.7364301258</v>
      </c>
      <c r="K37" s="167">
        <f t="shared" si="11"/>
        <v>-332459.97074866807</v>
      </c>
      <c r="L37" s="167">
        <f t="shared" si="12"/>
        <v>-141310.31082080165</v>
      </c>
      <c r="M37" s="184">
        <f t="shared" si="13"/>
        <v>-7.4878371790240553E-2</v>
      </c>
      <c r="N37" s="185">
        <f t="shared" si="14"/>
        <v>-5.6729825603745093E-2</v>
      </c>
    </row>
    <row r="38" spans="1:14" x14ac:dyDescent="0.3">
      <c r="A38" s="55" t="s">
        <v>104</v>
      </c>
      <c r="B38" s="55" t="s">
        <v>108</v>
      </c>
      <c r="C38" s="154">
        <f t="shared" si="5"/>
        <v>1</v>
      </c>
      <c r="D38" s="167">
        <f t="shared" si="5"/>
        <v>22954000</v>
      </c>
      <c r="E38" s="165" t="s">
        <v>176</v>
      </c>
      <c r="F38" s="169">
        <f t="shared" si="7"/>
        <v>138412.14348311909</v>
      </c>
      <c r="G38" s="171">
        <f t="shared" si="8"/>
        <v>154744776.41412714</v>
      </c>
      <c r="H38" s="177">
        <f t="shared" si="6"/>
        <v>27544800</v>
      </c>
      <c r="I38" s="169">
        <f t="shared" si="9"/>
        <v>161617.28299123794</v>
      </c>
      <c r="J38" s="180">
        <f t="shared" si="10"/>
        <v>180688122.38420403</v>
      </c>
      <c r="K38" s="167">
        <f t="shared" si="11"/>
        <v>4590800</v>
      </c>
      <c r="L38" s="167">
        <f t="shared" si="12"/>
        <v>25943345.970076889</v>
      </c>
      <c r="M38" s="184">
        <f t="shared" si="13"/>
        <v>0.2</v>
      </c>
      <c r="N38" s="185">
        <f t="shared" si="14"/>
        <v>0.16765248282531647</v>
      </c>
    </row>
    <row r="39" spans="1:14" x14ac:dyDescent="0.3">
      <c r="A39" s="55" t="s">
        <v>104</v>
      </c>
      <c r="B39" s="55" t="s">
        <v>96</v>
      </c>
      <c r="C39" s="154">
        <f t="shared" si="5"/>
        <v>1</v>
      </c>
      <c r="D39" s="167">
        <f t="shared" si="5"/>
        <v>7818984</v>
      </c>
      <c r="E39" s="165" t="s">
        <v>176</v>
      </c>
      <c r="F39" s="169">
        <f t="shared" si="7"/>
        <v>32808.607210343704</v>
      </c>
      <c r="G39" s="171">
        <f t="shared" si="8"/>
        <v>36680022.861164257</v>
      </c>
      <c r="H39" s="177">
        <f t="shared" si="6"/>
        <v>9382780.7999999989</v>
      </c>
      <c r="I39" s="169">
        <f t="shared" si="9"/>
        <v>38504.59611640498</v>
      </c>
      <c r="J39" s="180">
        <f t="shared" si="10"/>
        <v>43048138.458140768</v>
      </c>
      <c r="K39" s="167">
        <f t="shared" si="11"/>
        <v>1563796.7999999989</v>
      </c>
      <c r="L39" s="167">
        <f t="shared" si="12"/>
        <v>6368115.5969765112</v>
      </c>
      <c r="M39" s="184">
        <f t="shared" si="13"/>
        <v>0.19999999999999984</v>
      </c>
      <c r="N39" s="185">
        <f t="shared" si="14"/>
        <v>0.17361263980341973</v>
      </c>
    </row>
    <row r="40" spans="1:14" x14ac:dyDescent="0.3">
      <c r="A40" s="55" t="s">
        <v>104</v>
      </c>
      <c r="B40" s="55" t="s">
        <v>174</v>
      </c>
      <c r="C40" s="154">
        <f t="shared" si="5"/>
        <v>1</v>
      </c>
      <c r="D40" s="167">
        <f t="shared" si="5"/>
        <v>4782666</v>
      </c>
      <c r="E40" s="165" t="s">
        <v>176</v>
      </c>
      <c r="F40" s="169">
        <f t="shared" si="7"/>
        <v>7922.3256312394515</v>
      </c>
      <c r="G40" s="171">
        <f t="shared" si="8"/>
        <v>8857160.0557257067</v>
      </c>
      <c r="H40" s="177">
        <f t="shared" si="6"/>
        <v>5739199.2000000002</v>
      </c>
      <c r="I40" s="169">
        <f t="shared" si="9"/>
        <v>9433.6910015698522</v>
      </c>
      <c r="J40" s="180">
        <f t="shared" si="10"/>
        <v>10546866.539755095</v>
      </c>
      <c r="K40" s="167">
        <f t="shared" si="11"/>
        <v>956533.20000000019</v>
      </c>
      <c r="L40" s="167">
        <f t="shared" si="12"/>
        <v>1689706.4840293881</v>
      </c>
      <c r="M40" s="184">
        <f t="shared" si="13"/>
        <v>0.20000000000000004</v>
      </c>
      <c r="N40" s="185">
        <f t="shared" si="14"/>
        <v>0.19077294227477329</v>
      </c>
    </row>
    <row r="41" spans="1:14" x14ac:dyDescent="0.3">
      <c r="A41" s="55" t="s">
        <v>104</v>
      </c>
      <c r="B41" s="55" t="s">
        <v>171</v>
      </c>
      <c r="C41" s="154">
        <f t="shared" si="5"/>
        <v>1</v>
      </c>
      <c r="D41" s="167">
        <f t="shared" si="5"/>
        <v>15700000</v>
      </c>
      <c r="E41" s="187" t="s">
        <v>175</v>
      </c>
      <c r="F41" s="169">
        <f t="shared" ref="F41" si="15">F24</f>
        <v>360832.73711340129</v>
      </c>
      <c r="G41" s="171">
        <f>F41*$I$31</f>
        <v>42000930.599999905</v>
      </c>
      <c r="H41" s="177">
        <f t="shared" si="6"/>
        <v>18840000</v>
      </c>
      <c r="I41" s="169">
        <f>J24</f>
        <v>426468.80566668883</v>
      </c>
      <c r="J41" s="180">
        <f>I41*$I$31</f>
        <v>49640968.979602575</v>
      </c>
      <c r="K41" s="167">
        <f t="shared" si="11"/>
        <v>3140000</v>
      </c>
      <c r="L41" s="167">
        <f t="shared" si="12"/>
        <v>7640038.3796026707</v>
      </c>
      <c r="M41" s="184">
        <f t="shared" si="13"/>
        <v>0.2</v>
      </c>
      <c r="N41" s="185">
        <f t="shared" si="14"/>
        <v>0.18190164528408539</v>
      </c>
    </row>
    <row r="42" spans="1:14" x14ac:dyDescent="0.3">
      <c r="A42" s="75" t="s">
        <v>104</v>
      </c>
      <c r="B42" s="75" t="s">
        <v>103</v>
      </c>
      <c r="C42" s="75">
        <f t="shared" si="5"/>
        <v>0</v>
      </c>
      <c r="D42" s="76">
        <f>SUM(D34:D41)</f>
        <v>81102300</v>
      </c>
      <c r="E42" s="77"/>
      <c r="F42" s="77"/>
      <c r="G42" s="172">
        <f>SUM(G34:G41)</f>
        <v>741618729.22838914</v>
      </c>
      <c r="H42" s="178">
        <f>SUM(H34:H41)</f>
        <v>96102300.029251337</v>
      </c>
      <c r="I42" s="77"/>
      <c r="J42" s="181">
        <f>SUM(J34:J41)</f>
        <v>881834614.0517031</v>
      </c>
      <c r="K42" s="76">
        <f t="shared" si="11"/>
        <v>15000000.029251337</v>
      </c>
      <c r="L42" s="200">
        <f t="shared" si="12"/>
        <v>140215884.82331395</v>
      </c>
      <c r="M42" s="79">
        <f t="shared" si="13"/>
        <v>0.18495159852743187</v>
      </c>
      <c r="N42" s="186">
        <f t="shared" si="14"/>
        <v>0.18906734592477237</v>
      </c>
    </row>
    <row r="43" spans="1:14" x14ac:dyDescent="0.3">
      <c r="D43" s="188">
        <v>0.54</v>
      </c>
      <c r="E43" s="188">
        <v>0.34</v>
      </c>
      <c r="F43" s="159" t="s">
        <v>184</v>
      </c>
      <c r="G43" s="189">
        <f>SUM(G34:G40)*$E$43 + (G41*$D$43)</f>
        <v>260550554.05765232</v>
      </c>
      <c r="I43" s="157"/>
      <c r="J43" s="189">
        <f>SUM(J34:J40)*$E$43 + (J41*$D$43)</f>
        <v>309751962.57349962</v>
      </c>
      <c r="L43" s="189">
        <f>SUM(L34:L40)*$E$43 + (L41*$D$43)</f>
        <v>49201408.515847258</v>
      </c>
      <c r="M43" s="201">
        <f>L43/L42</f>
        <v>0.35089753616607672</v>
      </c>
      <c r="N43" s="190">
        <f>N42*(L43/L42)</f>
        <v>6.6343265854461944E-2</v>
      </c>
    </row>
    <row r="44" spans="1:14" x14ac:dyDescent="0.3">
      <c r="D44" s="188">
        <v>0.46</v>
      </c>
      <c r="E44" s="188">
        <v>0.39</v>
      </c>
      <c r="F44" s="159" t="s">
        <v>185</v>
      </c>
      <c r="G44" s="189">
        <f>SUM(G34:G40)*$E$44 + (G41*$D$44)</f>
        <v>292171369.54107177</v>
      </c>
      <c r="I44" s="157"/>
      <c r="J44" s="189">
        <f>SUM(J34:J40)*$E$44 + (J41*$D$44)</f>
        <v>347390367.30873638</v>
      </c>
      <c r="L44" s="189">
        <f>SUM(L34:L40)*$E$44 + (L41*$D$44)</f>
        <v>55218997.767664604</v>
      </c>
      <c r="M44" s="201">
        <f>L44/L42</f>
        <v>0.39381413765812673</v>
      </c>
      <c r="N44" s="190">
        <f>N42*(L44/L42)</f>
        <v>7.4457393794674975E-2</v>
      </c>
    </row>
    <row r="45" spans="1:14" x14ac:dyDescent="0.3">
      <c r="D45" s="188">
        <v>0</v>
      </c>
      <c r="E45" s="188">
        <v>0.27</v>
      </c>
      <c r="F45" s="159" t="s">
        <v>186</v>
      </c>
      <c r="G45" s="189">
        <f>SUM(G34:G40)*$E$45 + (G41*$D$45)</f>
        <v>188896805.62966511</v>
      </c>
      <c r="I45" s="157"/>
      <c r="J45" s="189">
        <f>SUM(J34:J40)*$E$45 + (J41*$D$45)</f>
        <v>224692284.16946715</v>
      </c>
      <c r="L45" s="189">
        <f>SUM(L34:L40)*$E$45 + (L41*$D$45)</f>
        <v>35795478.53980203</v>
      </c>
      <c r="M45" s="201">
        <f>L45/L42</f>
        <v>0.25528832617579611</v>
      </c>
      <c r="N45" s="190">
        <f>N42*(L45/L42)</f>
        <v>4.8266686275635365E-2</v>
      </c>
    </row>
    <row r="46" spans="1:14" x14ac:dyDescent="0.3">
      <c r="D46" s="162" t="s">
        <v>175</v>
      </c>
      <c r="E46" s="162" t="s">
        <v>209</v>
      </c>
    </row>
    <row r="47" spans="1:14" ht="27.6" x14ac:dyDescent="0.3">
      <c r="D47" s="160" t="s">
        <v>210</v>
      </c>
    </row>
  </sheetData>
  <mergeCells count="19">
    <mergeCell ref="I15:J15"/>
    <mergeCell ref="K15:N15"/>
    <mergeCell ref="A30:A31"/>
    <mergeCell ref="A32:A33"/>
    <mergeCell ref="B32:B33"/>
    <mergeCell ref="C32:C33"/>
    <mergeCell ref="D32:G32"/>
    <mergeCell ref="H32:J32"/>
    <mergeCell ref="K32:N32"/>
    <mergeCell ref="B4:I4"/>
    <mergeCell ref="E5:I5"/>
    <mergeCell ref="E6:I6"/>
    <mergeCell ref="A11:A12"/>
    <mergeCell ref="A15:A16"/>
    <mergeCell ref="B15:B16"/>
    <mergeCell ref="C15:C16"/>
    <mergeCell ref="D15:D16"/>
    <mergeCell ref="E15:F15"/>
    <mergeCell ref="G15:H15"/>
  </mergeCells>
  <pageMargins left="0.7" right="0.7" top="0.75" bottom="0.75" header="0.3" footer="0.3"/>
  <pageSetup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5" tint="-0.249977111117893"/>
  </sheetPr>
  <dimension ref="A1:N47"/>
  <sheetViews>
    <sheetView workbookViewId="0">
      <selection activeCell="K30" sqref="K30"/>
    </sheetView>
  </sheetViews>
  <sheetFormatPr defaultRowHeight="13.8" x14ac:dyDescent="0.3"/>
  <cols>
    <col min="1" max="1" width="14.109375" style="1" customWidth="1"/>
    <col min="2" max="2" width="14.21875" style="1" customWidth="1"/>
    <col min="3" max="3" width="13.88671875" style="1" customWidth="1"/>
    <col min="4" max="4" width="12.44140625" style="1" customWidth="1"/>
    <col min="5" max="5" width="13.88671875" style="1" customWidth="1"/>
    <col min="6" max="6" width="12.44140625" style="1" customWidth="1"/>
    <col min="7" max="7" width="13.77734375" style="1" customWidth="1"/>
    <col min="8" max="8" width="14" style="1" customWidth="1"/>
    <col min="9" max="9" width="14.6640625" style="1" customWidth="1"/>
    <col min="10" max="10" width="14.77734375" style="1" customWidth="1"/>
    <col min="11" max="11" width="13.88671875" style="1" customWidth="1"/>
    <col min="12" max="12" width="13.5546875" style="1" customWidth="1"/>
    <col min="13" max="13" width="11.21875" style="1" customWidth="1"/>
    <col min="14" max="14" width="10.5546875" style="1" customWidth="1"/>
    <col min="15" max="16384" width="8.88671875" style="1"/>
  </cols>
  <sheetData>
    <row r="1" spans="1:14" x14ac:dyDescent="0.3">
      <c r="A1" s="48" t="s">
        <v>0</v>
      </c>
      <c r="B1" s="1" t="s">
        <v>166</v>
      </c>
    </row>
    <row r="2" spans="1:14" x14ac:dyDescent="0.3">
      <c r="A2" s="48" t="s">
        <v>76</v>
      </c>
      <c r="B2" s="1" t="s">
        <v>104</v>
      </c>
    </row>
    <row r="3" spans="1:14" x14ac:dyDescent="0.3">
      <c r="A3" s="48" t="s">
        <v>77</v>
      </c>
      <c r="B3" s="1" t="s">
        <v>165</v>
      </c>
    </row>
    <row r="4" spans="1:14" ht="23.4" customHeight="1" x14ac:dyDescent="0.3">
      <c r="A4" s="49" t="s">
        <v>78</v>
      </c>
      <c r="B4" s="291" t="s">
        <v>221</v>
      </c>
      <c r="C4" s="292"/>
      <c r="D4" s="292"/>
      <c r="E4" s="292"/>
      <c r="F4" s="292"/>
      <c r="G4" s="292"/>
      <c r="H4" s="292"/>
      <c r="I4" s="292"/>
    </row>
    <row r="5" spans="1:14" x14ac:dyDescent="0.3">
      <c r="A5" s="48" t="s">
        <v>79</v>
      </c>
      <c r="B5" s="1" t="s">
        <v>167</v>
      </c>
      <c r="E5" s="216" t="s">
        <v>50</v>
      </c>
      <c r="F5" s="217"/>
      <c r="G5" s="217"/>
      <c r="H5" s="217"/>
      <c r="I5" s="218"/>
    </row>
    <row r="6" spans="1:14" x14ac:dyDescent="0.3">
      <c r="A6" s="48" t="s">
        <v>80</v>
      </c>
      <c r="B6" s="1" t="s">
        <v>168</v>
      </c>
      <c r="E6" s="219" t="s">
        <v>51</v>
      </c>
      <c r="F6" s="220"/>
      <c r="G6" s="220"/>
      <c r="H6" s="220"/>
      <c r="I6" s="221"/>
    </row>
    <row r="7" spans="1:14" ht="14.4" thickBot="1" x14ac:dyDescent="0.35"/>
    <row r="8" spans="1:14" ht="14.4" thickBot="1" x14ac:dyDescent="0.35">
      <c r="A8" s="52" t="s">
        <v>81</v>
      </c>
    </row>
    <row r="9" spans="1:14" ht="14.4" thickBot="1" x14ac:dyDescent="0.35">
      <c r="A9" s="29" t="s">
        <v>83</v>
      </c>
      <c r="B9" s="66">
        <f>SUM(J17:J24)</f>
        <v>9008930.9950059727</v>
      </c>
    </row>
    <row r="10" spans="1:14" ht="14.4" thickBot="1" x14ac:dyDescent="0.35">
      <c r="A10" s="50"/>
    </row>
    <row r="11" spans="1:14" ht="27.6" x14ac:dyDescent="0.3">
      <c r="A11" s="222" t="s">
        <v>82</v>
      </c>
      <c r="B11" s="51" t="s">
        <v>84</v>
      </c>
      <c r="C11" s="93" t="s">
        <v>100</v>
      </c>
      <c r="D11" s="15" t="s">
        <v>101</v>
      </c>
      <c r="E11" s="1" t="s">
        <v>97</v>
      </c>
    </row>
    <row r="12" spans="1:14" ht="14.4" thickBot="1" x14ac:dyDescent="0.35">
      <c r="A12" s="223"/>
      <c r="B12" s="80">
        <f>81102300 + 15000000</f>
        <v>96102300</v>
      </c>
      <c r="C12" s="81">
        <f>1*B12 - 1</f>
        <v>96102299</v>
      </c>
      <c r="D12" s="82">
        <f>1*B12 + 1</f>
        <v>96102301</v>
      </c>
    </row>
    <row r="13" spans="1:14" ht="14.4" thickBot="1" x14ac:dyDescent="0.35"/>
    <row r="14" spans="1:14" ht="60.6" customHeight="1" thickBot="1" x14ac:dyDescent="0.35">
      <c r="A14" s="53" t="s">
        <v>85</v>
      </c>
      <c r="D14" s="160" t="s">
        <v>98</v>
      </c>
      <c r="E14" s="160" t="s">
        <v>98</v>
      </c>
      <c r="F14" s="160" t="s">
        <v>99</v>
      </c>
      <c r="G14" s="163">
        <v>0.8</v>
      </c>
      <c r="H14" s="163">
        <v>1.2</v>
      </c>
      <c r="I14" s="63" t="s">
        <v>98</v>
      </c>
      <c r="J14" s="63" t="s">
        <v>99</v>
      </c>
    </row>
    <row r="15" spans="1:14" ht="27.6" customHeight="1" x14ac:dyDescent="0.3">
      <c r="A15" s="224" t="s">
        <v>2</v>
      </c>
      <c r="B15" s="209" t="s">
        <v>3</v>
      </c>
      <c r="C15" s="209" t="s">
        <v>38</v>
      </c>
      <c r="D15" s="209" t="s">
        <v>169</v>
      </c>
      <c r="E15" s="225" t="s">
        <v>86</v>
      </c>
      <c r="F15" s="226"/>
      <c r="G15" s="227" t="s">
        <v>179</v>
      </c>
      <c r="H15" s="228"/>
      <c r="I15" s="227" t="s">
        <v>89</v>
      </c>
      <c r="J15" s="228"/>
      <c r="K15" s="225" t="s">
        <v>90</v>
      </c>
      <c r="L15" s="229"/>
      <c r="M15" s="229"/>
      <c r="N15" s="226"/>
    </row>
    <row r="16" spans="1:14" ht="27.6" x14ac:dyDescent="0.3">
      <c r="A16" s="208"/>
      <c r="B16" s="208"/>
      <c r="C16" s="208"/>
      <c r="D16" s="208"/>
      <c r="E16" s="105" t="s">
        <v>203</v>
      </c>
      <c r="F16" s="105" t="s">
        <v>204</v>
      </c>
      <c r="G16" s="105" t="s">
        <v>87</v>
      </c>
      <c r="H16" s="105" t="s">
        <v>88</v>
      </c>
      <c r="I16" s="62" t="s">
        <v>201</v>
      </c>
      <c r="J16" s="62" t="s">
        <v>202</v>
      </c>
      <c r="K16" s="105" t="s">
        <v>177</v>
      </c>
      <c r="L16" s="105" t="s">
        <v>178</v>
      </c>
      <c r="M16" s="105" t="s">
        <v>91</v>
      </c>
      <c r="N16" s="105" t="s">
        <v>92</v>
      </c>
    </row>
    <row r="17" spans="1:14" x14ac:dyDescent="0.3">
      <c r="A17" s="54" t="s">
        <v>13</v>
      </c>
      <c r="B17" s="54" t="s">
        <v>93</v>
      </c>
      <c r="C17" s="55" t="s">
        <v>102</v>
      </c>
      <c r="D17" s="153">
        <v>1</v>
      </c>
      <c r="E17" s="73">
        <v>5991499</v>
      </c>
      <c r="F17" s="56">
        <f>JANSample!I9</f>
        <v>2310765.2787946975</v>
      </c>
      <c r="G17" s="73">
        <f>E17*$G$14</f>
        <v>4793199.2</v>
      </c>
      <c r="H17" s="73">
        <f>E17*$H$14</f>
        <v>7189798.7999999998</v>
      </c>
      <c r="I17" s="173">
        <v>7189798.7999999998</v>
      </c>
      <c r="J17" s="64">
        <f>JANSample!F9</f>
        <v>2765547.9922391665</v>
      </c>
      <c r="K17" s="58">
        <f>I17-E17</f>
        <v>1198299.7999999998</v>
      </c>
      <c r="L17" s="58">
        <f>J17-F17</f>
        <v>454782.71344446903</v>
      </c>
      <c r="M17" s="59">
        <f>K17/E17</f>
        <v>0.19999999999999996</v>
      </c>
      <c r="N17" s="59">
        <f>L17/F17</f>
        <v>0.19681043229180123</v>
      </c>
    </row>
    <row r="18" spans="1:14" x14ac:dyDescent="0.3">
      <c r="A18" s="55" t="s">
        <v>170</v>
      </c>
      <c r="B18" s="55" t="s">
        <v>93</v>
      </c>
      <c r="C18" s="55" t="s">
        <v>102</v>
      </c>
      <c r="D18" s="154">
        <v>1</v>
      </c>
      <c r="E18" s="74">
        <v>15610435</v>
      </c>
      <c r="F18" s="57">
        <f>JMTSample!I9</f>
        <v>2662664.8484120537</v>
      </c>
      <c r="G18" s="74">
        <f t="shared" ref="G18:G24" si="0">E18*$G$14</f>
        <v>12488348</v>
      </c>
      <c r="H18" s="74">
        <f t="shared" ref="H18:H24" si="1">E18*$H$14</f>
        <v>18732522</v>
      </c>
      <c r="I18" s="174">
        <v>18732522</v>
      </c>
      <c r="J18" s="65">
        <f>JMTSample!F9</f>
        <v>3195832.4397713416</v>
      </c>
      <c r="K18" s="60">
        <f t="shared" ref="K18:L22" si="2">I18-E18</f>
        <v>3122087</v>
      </c>
      <c r="L18" s="60">
        <f t="shared" si="2"/>
        <v>533167.59135928797</v>
      </c>
      <c r="M18" s="61">
        <f t="shared" ref="M18:N25" si="3">K18/E18</f>
        <v>0.2</v>
      </c>
      <c r="N18" s="61">
        <f t="shared" si="3"/>
        <v>0.20023834080254438</v>
      </c>
    </row>
    <row r="19" spans="1:14" x14ac:dyDescent="0.3">
      <c r="A19" s="55" t="s">
        <v>104</v>
      </c>
      <c r="B19" s="55" t="s">
        <v>95</v>
      </c>
      <c r="C19" s="55" t="s">
        <v>102</v>
      </c>
      <c r="D19" s="154">
        <v>1</v>
      </c>
      <c r="E19" s="74">
        <v>3804716</v>
      </c>
      <c r="F19" s="57">
        <f>JJVCH!I9</f>
        <v>150560.70106149331</v>
      </c>
      <c r="G19" s="74">
        <f t="shared" si="0"/>
        <v>3043772.8000000003</v>
      </c>
      <c r="H19" s="74">
        <f t="shared" si="1"/>
        <v>4565659.2</v>
      </c>
      <c r="I19" s="174">
        <v>4565659.2</v>
      </c>
      <c r="J19" s="65">
        <f>JJVCH!F9</f>
        <v>180674.2153550259</v>
      </c>
      <c r="K19" s="60">
        <f t="shared" si="2"/>
        <v>760943.20000000019</v>
      </c>
      <c r="L19" s="60">
        <f t="shared" si="2"/>
        <v>30113.514293532586</v>
      </c>
      <c r="M19" s="61">
        <f t="shared" si="3"/>
        <v>0.20000000000000004</v>
      </c>
      <c r="N19" s="61">
        <f t="shared" si="3"/>
        <v>0.20000912642691113</v>
      </c>
    </row>
    <row r="20" spans="1:14" x14ac:dyDescent="0.3">
      <c r="A20" s="55" t="s">
        <v>104</v>
      </c>
      <c r="B20" s="55" t="s">
        <v>94</v>
      </c>
      <c r="C20" s="55" t="s">
        <v>173</v>
      </c>
      <c r="D20" s="154">
        <v>1</v>
      </c>
      <c r="E20" s="74">
        <v>4440000</v>
      </c>
      <c r="F20" s="57">
        <f>JJMMF!I9</f>
        <v>25689.160192131658</v>
      </c>
      <c r="G20" s="74">
        <f t="shared" si="0"/>
        <v>3552000</v>
      </c>
      <c r="H20" s="74">
        <f t="shared" si="1"/>
        <v>5328000</v>
      </c>
      <c r="I20" s="174">
        <v>4107540.0292513319</v>
      </c>
      <c r="J20" s="65">
        <f>JJMMF!F9</f>
        <v>24231.818614525357</v>
      </c>
      <c r="K20" s="60">
        <f t="shared" si="2"/>
        <v>-332459.97074866807</v>
      </c>
      <c r="L20" s="60">
        <f t="shared" si="2"/>
        <v>-1457.3415776063011</v>
      </c>
      <c r="M20" s="61">
        <f t="shared" si="3"/>
        <v>-7.4878371790240553E-2</v>
      </c>
      <c r="N20" s="61">
        <f t="shared" si="3"/>
        <v>-5.6729825603745149E-2</v>
      </c>
    </row>
    <row r="21" spans="1:14" x14ac:dyDescent="0.3">
      <c r="A21" s="55" t="s">
        <v>104</v>
      </c>
      <c r="B21" s="55" t="s">
        <v>108</v>
      </c>
      <c r="C21" s="55" t="s">
        <v>172</v>
      </c>
      <c r="D21" s="154">
        <v>1</v>
      </c>
      <c r="E21" s="74">
        <v>22954000</v>
      </c>
      <c r="F21" s="57">
        <f>JJHCC!I9</f>
        <v>1595892.0143603629</v>
      </c>
      <c r="G21" s="74">
        <f t="shared" si="0"/>
        <v>18363200</v>
      </c>
      <c r="H21" s="74">
        <f t="shared" si="1"/>
        <v>27544800</v>
      </c>
      <c r="I21" s="174">
        <v>27544800</v>
      </c>
      <c r="J21" s="65">
        <f>JJHCC!F9</f>
        <v>1863447.2728889734</v>
      </c>
      <c r="K21" s="60">
        <f t="shared" si="2"/>
        <v>4590800</v>
      </c>
      <c r="L21" s="60">
        <f t="shared" si="2"/>
        <v>267555.25852861046</v>
      </c>
      <c r="M21" s="61">
        <f t="shared" si="3"/>
        <v>0.2</v>
      </c>
      <c r="N21" s="61">
        <f t="shared" si="3"/>
        <v>0.16765248282531647</v>
      </c>
    </row>
    <row r="22" spans="1:14" x14ac:dyDescent="0.3">
      <c r="A22" s="55" t="s">
        <v>104</v>
      </c>
      <c r="B22" s="55" t="s">
        <v>96</v>
      </c>
      <c r="C22" s="55" t="s">
        <v>172</v>
      </c>
      <c r="D22" s="154">
        <v>1</v>
      </c>
      <c r="E22" s="74">
        <v>7818984</v>
      </c>
      <c r="F22" s="57">
        <f>JJMCM!I9</f>
        <v>378283.24113526288</v>
      </c>
      <c r="G22" s="74">
        <f t="shared" si="0"/>
        <v>6255187.2000000002</v>
      </c>
      <c r="H22" s="74">
        <f t="shared" si="1"/>
        <v>9382780.7999999989</v>
      </c>
      <c r="I22" s="174">
        <v>9382780.7999999989</v>
      </c>
      <c r="J22" s="65">
        <f>JJMCM!F9</f>
        <v>443957.99322214938</v>
      </c>
      <c r="K22" s="60">
        <f t="shared" si="2"/>
        <v>1563796.7999999989</v>
      </c>
      <c r="L22" s="60">
        <f t="shared" si="2"/>
        <v>65674.752086886496</v>
      </c>
      <c r="M22" s="61">
        <f t="shared" si="3"/>
        <v>0.19999999999999984</v>
      </c>
      <c r="N22" s="61">
        <f t="shared" si="3"/>
        <v>0.17361263980341954</v>
      </c>
    </row>
    <row r="23" spans="1:14" x14ac:dyDescent="0.3">
      <c r="A23" s="55" t="s">
        <v>104</v>
      </c>
      <c r="B23" s="55" t="s">
        <v>174</v>
      </c>
      <c r="C23" s="55" t="s">
        <v>172</v>
      </c>
      <c r="D23" s="154">
        <v>1</v>
      </c>
      <c r="E23" s="74">
        <v>4782666</v>
      </c>
      <c r="F23" s="57">
        <f>JJHCC_ACQ!I9</f>
        <v>91344.414528190871</v>
      </c>
      <c r="G23" s="74">
        <f t="shared" si="0"/>
        <v>3826132.8000000003</v>
      </c>
      <c r="H23" s="74">
        <f t="shared" si="1"/>
        <v>5739199.2000000002</v>
      </c>
      <c r="I23" s="174">
        <v>5739199.2000000002</v>
      </c>
      <c r="J23" s="65">
        <f>JJHCC_ACQ!F9</f>
        <v>108770.45724810039</v>
      </c>
      <c r="K23" s="60">
        <f t="shared" ref="K23:K24" si="4">I23-E23</f>
        <v>956533.20000000019</v>
      </c>
      <c r="L23" s="60">
        <f t="shared" ref="L23:L24" si="5">J23-F23</f>
        <v>17426.042719909514</v>
      </c>
      <c r="M23" s="61">
        <f t="shared" ref="M23:M24" si="6">K23/E23</f>
        <v>0.20000000000000004</v>
      </c>
      <c r="N23" s="61">
        <f t="shared" ref="N23:N24" si="7">L23/F23</f>
        <v>0.19077294227477323</v>
      </c>
    </row>
    <row r="24" spans="1:14" x14ac:dyDescent="0.3">
      <c r="A24" s="55" t="s">
        <v>104</v>
      </c>
      <c r="B24" s="55" t="s">
        <v>171</v>
      </c>
      <c r="C24" s="55" t="s">
        <v>172</v>
      </c>
      <c r="D24" s="154">
        <v>1</v>
      </c>
      <c r="E24" s="74">
        <v>15700000</v>
      </c>
      <c r="F24" s="57">
        <f>JJHCC_ADH!I9</f>
        <v>360832.73711340129</v>
      </c>
      <c r="G24" s="74">
        <f t="shared" si="0"/>
        <v>12560000</v>
      </c>
      <c r="H24" s="74">
        <f t="shared" si="1"/>
        <v>18840000</v>
      </c>
      <c r="I24" s="174">
        <v>18840000</v>
      </c>
      <c r="J24" s="65">
        <f>JJHCC_ADH!F9</f>
        <v>426468.80566668883</v>
      </c>
      <c r="K24" s="60">
        <f t="shared" si="4"/>
        <v>3140000</v>
      </c>
      <c r="L24" s="60">
        <f t="shared" si="5"/>
        <v>65636.068553287536</v>
      </c>
      <c r="M24" s="61">
        <f t="shared" si="6"/>
        <v>0.2</v>
      </c>
      <c r="N24" s="61">
        <f t="shared" si="7"/>
        <v>0.18190164528408534</v>
      </c>
    </row>
    <row r="25" spans="1:14" x14ac:dyDescent="0.3">
      <c r="A25" s="75" t="s">
        <v>104</v>
      </c>
      <c r="B25" s="75" t="s">
        <v>103</v>
      </c>
      <c r="C25" s="75"/>
      <c r="D25" s="75"/>
      <c r="E25" s="76">
        <f t="shared" ref="E25:J25" si="8">SUM(E17:E24)</f>
        <v>81102300</v>
      </c>
      <c r="F25" s="77">
        <f t="shared" si="8"/>
        <v>7576032.3955975948</v>
      </c>
      <c r="G25" s="76">
        <f t="shared" si="8"/>
        <v>64881840</v>
      </c>
      <c r="H25" s="76">
        <f t="shared" si="8"/>
        <v>97322760</v>
      </c>
      <c r="I25" s="83">
        <f t="shared" si="8"/>
        <v>96102300.029251337</v>
      </c>
      <c r="J25" s="175">
        <f t="shared" si="8"/>
        <v>9008930.9950059727</v>
      </c>
      <c r="K25" s="76">
        <f>SUM(K17:K24)</f>
        <v>15000000.02925133</v>
      </c>
      <c r="L25" s="175">
        <f>SUM(L17:L24)</f>
        <v>1432898.5994083772</v>
      </c>
      <c r="M25" s="79">
        <f>K25/E25</f>
        <v>0.18495159852743176</v>
      </c>
      <c r="N25" s="79">
        <f t="shared" si="3"/>
        <v>0.18913575399189547</v>
      </c>
    </row>
    <row r="29" spans="1:14" s="162" customFormat="1" x14ac:dyDescent="0.3"/>
    <row r="30" spans="1:14" ht="55.2" x14ac:dyDescent="0.3">
      <c r="A30" s="215" t="s">
        <v>180</v>
      </c>
      <c r="D30" s="191" t="s">
        <v>149</v>
      </c>
      <c r="E30" s="191" t="s">
        <v>194</v>
      </c>
      <c r="F30" s="191" t="s">
        <v>198</v>
      </c>
      <c r="G30" s="191" t="s">
        <v>195</v>
      </c>
      <c r="H30" s="191" t="s">
        <v>196</v>
      </c>
      <c r="I30" s="191" t="s">
        <v>197</v>
      </c>
    </row>
    <row r="31" spans="1:14" x14ac:dyDescent="0.3">
      <c r="A31" s="215"/>
      <c r="D31" s="192">
        <v>11.53</v>
      </c>
      <c r="E31" s="193">
        <v>1876</v>
      </c>
      <c r="F31" s="193">
        <v>1118</v>
      </c>
      <c r="G31" s="194">
        <v>194</v>
      </c>
      <c r="H31" s="195">
        <v>0.4</v>
      </c>
      <c r="I31" s="194">
        <f>(1-H31)*G31</f>
        <v>116.39999999999999</v>
      </c>
    </row>
    <row r="32" spans="1:14" ht="13.8" customHeight="1" x14ac:dyDescent="0.3">
      <c r="A32" s="207" t="s">
        <v>2</v>
      </c>
      <c r="B32" s="209" t="s">
        <v>3</v>
      </c>
      <c r="C32" s="209" t="str">
        <f t="shared" ref="C32:C42" si="9">D15</f>
        <v>Response Scaling Factor for Sensitivity Analysis</v>
      </c>
      <c r="D32" s="210" t="s">
        <v>86</v>
      </c>
      <c r="E32" s="211"/>
      <c r="F32" s="211"/>
      <c r="G32" s="212"/>
      <c r="H32" s="213" t="s">
        <v>89</v>
      </c>
      <c r="I32" s="214"/>
      <c r="J32" s="214"/>
      <c r="K32" s="210" t="s">
        <v>189</v>
      </c>
      <c r="L32" s="211"/>
      <c r="M32" s="211"/>
      <c r="N32" s="212"/>
    </row>
    <row r="33" spans="1:14" ht="74.400000000000006" customHeight="1" x14ac:dyDescent="0.3">
      <c r="A33" s="208"/>
      <c r="B33" s="208"/>
      <c r="C33" s="208">
        <f t="shared" si="9"/>
        <v>0</v>
      </c>
      <c r="D33" s="156" t="s">
        <v>182</v>
      </c>
      <c r="E33" s="156" t="s">
        <v>181</v>
      </c>
      <c r="F33" s="156" t="s">
        <v>183</v>
      </c>
      <c r="G33" s="156" t="s">
        <v>199</v>
      </c>
      <c r="H33" s="62" t="s">
        <v>187</v>
      </c>
      <c r="I33" s="62" t="s">
        <v>188</v>
      </c>
      <c r="J33" s="62" t="s">
        <v>200</v>
      </c>
      <c r="K33" s="156" t="s">
        <v>190</v>
      </c>
      <c r="L33" s="156" t="s">
        <v>191</v>
      </c>
      <c r="M33" s="156" t="s">
        <v>192</v>
      </c>
      <c r="N33" s="156" t="s">
        <v>193</v>
      </c>
    </row>
    <row r="34" spans="1:14" x14ac:dyDescent="0.3">
      <c r="A34" s="54" t="s">
        <v>13</v>
      </c>
      <c r="B34" s="54" t="s">
        <v>93</v>
      </c>
      <c r="C34" s="153">
        <f t="shared" si="9"/>
        <v>1</v>
      </c>
      <c r="D34" s="166">
        <f t="shared" ref="D34:D41" si="10">E17</f>
        <v>5991499</v>
      </c>
      <c r="E34" s="164" t="s">
        <v>176</v>
      </c>
      <c r="F34" s="168">
        <f>F17/$D$31</f>
        <v>200413.29391107525</v>
      </c>
      <c r="G34" s="170">
        <f>F34*$F$31</f>
        <v>224062062.59258214</v>
      </c>
      <c r="H34" s="176">
        <f t="shared" ref="H34:H41" si="11">I17</f>
        <v>7189798.7999999998</v>
      </c>
      <c r="I34" s="168">
        <f>J17/$D$31</f>
        <v>239856.72092273779</v>
      </c>
      <c r="J34" s="179">
        <f>I34*$F$31</f>
        <v>268159813.99162084</v>
      </c>
      <c r="K34" s="166">
        <f>H34-D34</f>
        <v>1198299.7999999998</v>
      </c>
      <c r="L34" s="166">
        <f>J34-G34</f>
        <v>44097751.399038702</v>
      </c>
      <c r="M34" s="182">
        <f>K34/D34</f>
        <v>0.19999999999999996</v>
      </c>
      <c r="N34" s="183">
        <f>L34/G34</f>
        <v>0.19681043229180117</v>
      </c>
    </row>
    <row r="35" spans="1:14" x14ac:dyDescent="0.3">
      <c r="A35" s="55" t="s">
        <v>170</v>
      </c>
      <c r="B35" s="55" t="s">
        <v>93</v>
      </c>
      <c r="C35" s="154">
        <f t="shared" si="9"/>
        <v>1</v>
      </c>
      <c r="D35" s="167">
        <f t="shared" si="10"/>
        <v>15610435</v>
      </c>
      <c r="E35" s="165" t="s">
        <v>176</v>
      </c>
      <c r="F35" s="169">
        <f t="shared" ref="F35:F40" si="12">F18/$D$31</f>
        <v>230933.63819705584</v>
      </c>
      <c r="G35" s="171">
        <f t="shared" ref="G35:G40" si="13">F35*$F$31</f>
        <v>258183807.50430843</v>
      </c>
      <c r="H35" s="177">
        <f t="shared" si="11"/>
        <v>18732522</v>
      </c>
      <c r="I35" s="169">
        <f t="shared" ref="I35:I40" si="14">J18/$D$31</f>
        <v>277175.40674512938</v>
      </c>
      <c r="J35" s="180">
        <f t="shared" ref="J35:J40" si="15">I35*$F$31</f>
        <v>309882104.74105465</v>
      </c>
      <c r="K35" s="167">
        <f t="shared" ref="K35:K42" si="16">H35-D35</f>
        <v>3122087</v>
      </c>
      <c r="L35" s="167">
        <f t="shared" ref="L35:L42" si="17">J35-G35</f>
        <v>51698297.236746222</v>
      </c>
      <c r="M35" s="184">
        <f t="shared" ref="M35:M42" si="18">K35/D35</f>
        <v>0.2</v>
      </c>
      <c r="N35" s="185">
        <f t="shared" ref="N35:N42" si="19">L35/G35</f>
        <v>0.20023834080254435</v>
      </c>
    </row>
    <row r="36" spans="1:14" x14ac:dyDescent="0.3">
      <c r="A36" s="55" t="s">
        <v>104</v>
      </c>
      <c r="B36" s="55" t="s">
        <v>95</v>
      </c>
      <c r="C36" s="154">
        <f t="shared" si="9"/>
        <v>1</v>
      </c>
      <c r="D36" s="167">
        <f t="shared" si="10"/>
        <v>3804716</v>
      </c>
      <c r="E36" s="165" t="s">
        <v>176</v>
      </c>
      <c r="F36" s="169">
        <f t="shared" si="12"/>
        <v>13058.170083390574</v>
      </c>
      <c r="G36" s="171">
        <f t="shared" si="13"/>
        <v>14599034.153230662</v>
      </c>
      <c r="H36" s="177">
        <f t="shared" si="11"/>
        <v>4565659.2</v>
      </c>
      <c r="I36" s="169">
        <f t="shared" si="14"/>
        <v>15669.923274503548</v>
      </c>
      <c r="J36" s="180">
        <f t="shared" si="15"/>
        <v>17518974.220894966</v>
      </c>
      <c r="K36" s="167">
        <f t="shared" si="16"/>
        <v>760943.20000000019</v>
      </c>
      <c r="L36" s="167">
        <f t="shared" si="17"/>
        <v>2919940.0676643047</v>
      </c>
      <c r="M36" s="184">
        <f t="shared" si="18"/>
        <v>0.20000000000000004</v>
      </c>
      <c r="N36" s="185">
        <f t="shared" si="19"/>
        <v>0.20000912642691113</v>
      </c>
    </row>
    <row r="37" spans="1:14" x14ac:dyDescent="0.3">
      <c r="A37" s="55" t="s">
        <v>104</v>
      </c>
      <c r="B37" s="55" t="s">
        <v>94</v>
      </c>
      <c r="C37" s="154">
        <f t="shared" si="9"/>
        <v>1</v>
      </c>
      <c r="D37" s="167">
        <f t="shared" si="10"/>
        <v>4440000</v>
      </c>
      <c r="E37" s="165" t="s">
        <v>176</v>
      </c>
      <c r="F37" s="169">
        <f t="shared" si="12"/>
        <v>2228.0277703496668</v>
      </c>
      <c r="G37" s="171">
        <f t="shared" si="13"/>
        <v>2490935.0472509274</v>
      </c>
      <c r="H37" s="177">
        <f t="shared" si="11"/>
        <v>4107540.0292513319</v>
      </c>
      <c r="I37" s="169">
        <f t="shared" si="14"/>
        <v>2101.6321434974293</v>
      </c>
      <c r="J37" s="180">
        <f t="shared" si="15"/>
        <v>2349624.7364301258</v>
      </c>
      <c r="K37" s="167">
        <f t="shared" si="16"/>
        <v>-332459.97074866807</v>
      </c>
      <c r="L37" s="167">
        <f t="shared" si="17"/>
        <v>-141310.31082080165</v>
      </c>
      <c r="M37" s="184">
        <f t="shared" si="18"/>
        <v>-7.4878371790240553E-2</v>
      </c>
      <c r="N37" s="185">
        <f t="shared" si="19"/>
        <v>-5.6729825603745093E-2</v>
      </c>
    </row>
    <row r="38" spans="1:14" x14ac:dyDescent="0.3">
      <c r="A38" s="55" t="s">
        <v>104</v>
      </c>
      <c r="B38" s="55" t="s">
        <v>108</v>
      </c>
      <c r="C38" s="154">
        <f t="shared" si="9"/>
        <v>1</v>
      </c>
      <c r="D38" s="167">
        <f t="shared" si="10"/>
        <v>22954000</v>
      </c>
      <c r="E38" s="165" t="s">
        <v>176</v>
      </c>
      <c r="F38" s="169">
        <f t="shared" si="12"/>
        <v>138412.14348311909</v>
      </c>
      <c r="G38" s="171">
        <f t="shared" si="13"/>
        <v>154744776.41412714</v>
      </c>
      <c r="H38" s="177">
        <f t="shared" si="11"/>
        <v>27544800</v>
      </c>
      <c r="I38" s="169">
        <f t="shared" si="14"/>
        <v>161617.28299123794</v>
      </c>
      <c r="J38" s="180">
        <f t="shared" si="15"/>
        <v>180688122.38420403</v>
      </c>
      <c r="K38" s="167">
        <f t="shared" si="16"/>
        <v>4590800</v>
      </c>
      <c r="L38" s="167">
        <f t="shared" si="17"/>
        <v>25943345.970076889</v>
      </c>
      <c r="M38" s="184">
        <f t="shared" si="18"/>
        <v>0.2</v>
      </c>
      <c r="N38" s="185">
        <f t="shared" si="19"/>
        <v>0.16765248282531647</v>
      </c>
    </row>
    <row r="39" spans="1:14" x14ac:dyDescent="0.3">
      <c r="A39" s="55" t="s">
        <v>104</v>
      </c>
      <c r="B39" s="55" t="s">
        <v>96</v>
      </c>
      <c r="C39" s="154">
        <f t="shared" si="9"/>
        <v>1</v>
      </c>
      <c r="D39" s="167">
        <f t="shared" si="10"/>
        <v>7818984</v>
      </c>
      <c r="E39" s="165" t="s">
        <v>176</v>
      </c>
      <c r="F39" s="169">
        <f t="shared" si="12"/>
        <v>32808.607210343704</v>
      </c>
      <c r="G39" s="171">
        <f t="shared" si="13"/>
        <v>36680022.861164257</v>
      </c>
      <c r="H39" s="177">
        <f t="shared" si="11"/>
        <v>9382780.7999999989</v>
      </c>
      <c r="I39" s="169">
        <f t="shared" si="14"/>
        <v>38504.59611640498</v>
      </c>
      <c r="J39" s="180">
        <f t="shared" si="15"/>
        <v>43048138.458140768</v>
      </c>
      <c r="K39" s="167">
        <f t="shared" si="16"/>
        <v>1563796.7999999989</v>
      </c>
      <c r="L39" s="167">
        <f t="shared" si="17"/>
        <v>6368115.5969765112</v>
      </c>
      <c r="M39" s="184">
        <f t="shared" si="18"/>
        <v>0.19999999999999984</v>
      </c>
      <c r="N39" s="185">
        <f t="shared" si="19"/>
        <v>0.17361263980341973</v>
      </c>
    </row>
    <row r="40" spans="1:14" x14ac:dyDescent="0.3">
      <c r="A40" s="55" t="s">
        <v>104</v>
      </c>
      <c r="B40" s="55" t="s">
        <v>174</v>
      </c>
      <c r="C40" s="154">
        <f t="shared" si="9"/>
        <v>1</v>
      </c>
      <c r="D40" s="167">
        <f t="shared" si="10"/>
        <v>4782666</v>
      </c>
      <c r="E40" s="165" t="s">
        <v>176</v>
      </c>
      <c r="F40" s="169">
        <f t="shared" si="12"/>
        <v>7922.3256312394515</v>
      </c>
      <c r="G40" s="171">
        <f t="shared" si="13"/>
        <v>8857160.0557257067</v>
      </c>
      <c r="H40" s="177">
        <f t="shared" si="11"/>
        <v>5739199.2000000002</v>
      </c>
      <c r="I40" s="169">
        <f t="shared" si="14"/>
        <v>9433.6910015698522</v>
      </c>
      <c r="J40" s="180">
        <f t="shared" si="15"/>
        <v>10546866.539755095</v>
      </c>
      <c r="K40" s="167">
        <f t="shared" si="16"/>
        <v>956533.20000000019</v>
      </c>
      <c r="L40" s="167">
        <f t="shared" si="17"/>
        <v>1689706.4840293881</v>
      </c>
      <c r="M40" s="184">
        <f t="shared" si="18"/>
        <v>0.20000000000000004</v>
      </c>
      <c r="N40" s="185">
        <f t="shared" si="19"/>
        <v>0.19077294227477329</v>
      </c>
    </row>
    <row r="41" spans="1:14" x14ac:dyDescent="0.3">
      <c r="A41" s="55" t="s">
        <v>104</v>
      </c>
      <c r="B41" s="55" t="s">
        <v>171</v>
      </c>
      <c r="C41" s="154">
        <f t="shared" si="9"/>
        <v>1</v>
      </c>
      <c r="D41" s="167">
        <f t="shared" si="10"/>
        <v>15700000</v>
      </c>
      <c r="E41" s="187" t="s">
        <v>175</v>
      </c>
      <c r="F41" s="169">
        <f t="shared" ref="F41" si="20">F24</f>
        <v>360832.73711340129</v>
      </c>
      <c r="G41" s="171">
        <f>F41*$I$31</f>
        <v>42000930.599999905</v>
      </c>
      <c r="H41" s="177">
        <f t="shared" si="11"/>
        <v>18840000</v>
      </c>
      <c r="I41" s="169">
        <f>J24</f>
        <v>426468.80566668883</v>
      </c>
      <c r="J41" s="180">
        <f>I41*$I$31</f>
        <v>49640968.979602575</v>
      </c>
      <c r="K41" s="167">
        <f t="shared" si="16"/>
        <v>3140000</v>
      </c>
      <c r="L41" s="167">
        <f t="shared" si="17"/>
        <v>7640038.3796026707</v>
      </c>
      <c r="M41" s="184">
        <f t="shared" si="18"/>
        <v>0.2</v>
      </c>
      <c r="N41" s="185">
        <f t="shared" si="19"/>
        <v>0.18190164528408539</v>
      </c>
    </row>
    <row r="42" spans="1:14" x14ac:dyDescent="0.3">
      <c r="A42" s="75" t="s">
        <v>104</v>
      </c>
      <c r="B42" s="75" t="s">
        <v>103</v>
      </c>
      <c r="C42" s="75">
        <f t="shared" si="9"/>
        <v>0</v>
      </c>
      <c r="D42" s="76">
        <f>SUM(D34:D41)</f>
        <v>81102300</v>
      </c>
      <c r="E42" s="77"/>
      <c r="F42" s="77"/>
      <c r="G42" s="172">
        <f>SUM(G34:G41)</f>
        <v>741618729.22838914</v>
      </c>
      <c r="H42" s="178">
        <f>SUM(H34:H41)</f>
        <v>96102300.029251337</v>
      </c>
      <c r="I42" s="77"/>
      <c r="J42" s="181">
        <f>SUM(J34:J41)</f>
        <v>881834614.0517031</v>
      </c>
      <c r="K42" s="76">
        <f t="shared" si="16"/>
        <v>15000000.029251337</v>
      </c>
      <c r="L42" s="200">
        <f t="shared" si="17"/>
        <v>140215884.82331395</v>
      </c>
      <c r="M42" s="79">
        <f t="shared" si="18"/>
        <v>0.18495159852743187</v>
      </c>
      <c r="N42" s="186">
        <f t="shared" si="19"/>
        <v>0.18906734592477237</v>
      </c>
    </row>
    <row r="43" spans="1:14" x14ac:dyDescent="0.3">
      <c r="D43" s="188">
        <v>0.54</v>
      </c>
      <c r="E43" s="188">
        <v>0.34</v>
      </c>
      <c r="F43" s="159" t="s">
        <v>184</v>
      </c>
      <c r="G43" s="189">
        <f>SUM(G34:G40)*$E$43 + (G41*$D$43)</f>
        <v>260550554.05765232</v>
      </c>
      <c r="H43" s="162"/>
      <c r="I43" s="157"/>
      <c r="J43" s="189">
        <f>SUM(J34:J40)*$E$43 + (J41*$D$43)</f>
        <v>309751962.57349962</v>
      </c>
      <c r="K43" s="162"/>
      <c r="L43" s="189">
        <f>SUM(L34:L40)*$E$43 + (L41*$D$43)</f>
        <v>49201408.515847258</v>
      </c>
      <c r="M43" s="201">
        <f>L43/L42</f>
        <v>0.35089753616607672</v>
      </c>
      <c r="N43" s="190">
        <f>N42*(L43/L42)</f>
        <v>6.6343265854461944E-2</v>
      </c>
    </row>
    <row r="44" spans="1:14" x14ac:dyDescent="0.3">
      <c r="D44" s="188">
        <v>0.46</v>
      </c>
      <c r="E44" s="188">
        <v>0.39</v>
      </c>
      <c r="F44" s="159" t="s">
        <v>185</v>
      </c>
      <c r="G44" s="189">
        <f>SUM(G34:G40)*$E$44 + (G41*$D$44)</f>
        <v>292171369.54107177</v>
      </c>
      <c r="H44" s="162"/>
      <c r="I44" s="157"/>
      <c r="J44" s="189">
        <f>SUM(J34:J40)*$E$44 + (J41*$D$44)</f>
        <v>347390367.30873638</v>
      </c>
      <c r="K44" s="162"/>
      <c r="L44" s="189">
        <f>SUM(L34:L40)*$E$44 + (L41*$D$44)</f>
        <v>55218997.767664604</v>
      </c>
      <c r="M44" s="201">
        <f>L44/L42</f>
        <v>0.39381413765812673</v>
      </c>
      <c r="N44" s="190">
        <f>N42*(L44/L42)</f>
        <v>7.4457393794674975E-2</v>
      </c>
    </row>
    <row r="45" spans="1:14" x14ac:dyDescent="0.3">
      <c r="D45" s="188">
        <v>0</v>
      </c>
      <c r="E45" s="188">
        <v>0.27</v>
      </c>
      <c r="F45" s="159" t="s">
        <v>186</v>
      </c>
      <c r="G45" s="189">
        <f>SUM(G34:G40)*$E$45 + (G41*$D$45)</f>
        <v>188896805.62966511</v>
      </c>
      <c r="H45" s="162"/>
      <c r="I45" s="157"/>
      <c r="J45" s="189">
        <f>SUM(J34:J40)*$E$45 + (J41*$D$45)</f>
        <v>224692284.16946715</v>
      </c>
      <c r="K45" s="162"/>
      <c r="L45" s="189">
        <f>SUM(L34:L40)*$E$45 + (L41*$D$45)</f>
        <v>35795478.53980203</v>
      </c>
      <c r="M45" s="201">
        <f>L45/L42</f>
        <v>0.25528832617579611</v>
      </c>
      <c r="N45" s="190">
        <f>N42*(L45/L42)</f>
        <v>4.8266686275635365E-2</v>
      </c>
    </row>
    <row r="46" spans="1:14" x14ac:dyDescent="0.3">
      <c r="D46" s="162" t="s">
        <v>175</v>
      </c>
      <c r="E46" s="162" t="s">
        <v>209</v>
      </c>
      <c r="F46" s="162"/>
      <c r="G46" s="162"/>
      <c r="H46" s="162"/>
      <c r="I46" s="162"/>
      <c r="J46" s="162"/>
      <c r="K46" s="162"/>
      <c r="L46" s="162"/>
      <c r="M46" s="162"/>
      <c r="N46" s="162"/>
    </row>
    <row r="47" spans="1:14" ht="27.6" x14ac:dyDescent="0.3">
      <c r="D47" s="160" t="s">
        <v>210</v>
      </c>
      <c r="E47" s="162"/>
      <c r="F47" s="162"/>
      <c r="G47" s="162"/>
      <c r="H47" s="162"/>
      <c r="I47" s="162"/>
      <c r="J47" s="162"/>
      <c r="K47" s="162"/>
      <c r="L47" s="162"/>
      <c r="M47" s="162"/>
      <c r="N47" s="162"/>
    </row>
  </sheetData>
  <mergeCells count="19">
    <mergeCell ref="B4:I4"/>
    <mergeCell ref="K15:N15"/>
    <mergeCell ref="K32:N32"/>
    <mergeCell ref="A30:A31"/>
    <mergeCell ref="E5:I5"/>
    <mergeCell ref="E6:I6"/>
    <mergeCell ref="A11:A12"/>
    <mergeCell ref="A15:A16"/>
    <mergeCell ref="B15:B16"/>
    <mergeCell ref="C15:C16"/>
    <mergeCell ref="D15:D16"/>
    <mergeCell ref="E15:F15"/>
    <mergeCell ref="G15:H15"/>
    <mergeCell ref="I15:J15"/>
    <mergeCell ref="A32:A33"/>
    <mergeCell ref="B32:B33"/>
    <mergeCell ref="C32:C33"/>
    <mergeCell ref="D32:G32"/>
    <mergeCell ref="H32:J32"/>
  </mergeCells>
  <pageMargins left="0.7" right="0.7" top="0.75" bottom="0.75" header="0.3" footer="0.3"/>
  <pageSetup orientation="portrait"/>
  <ignoredErrors>
    <ignoredError sqref="I34:I40" formula="1"/>
  </ignoredError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3" tint="0.79998168889431442"/>
  </sheetPr>
  <dimension ref="A1:N43"/>
  <sheetViews>
    <sheetView topLeftCell="C1" workbookViewId="0">
      <selection activeCell="M14" sqref="M14"/>
    </sheetView>
  </sheetViews>
  <sheetFormatPr defaultRowHeight="13.8" x14ac:dyDescent="0.3"/>
  <cols>
    <col min="1" max="1" width="12.109375" style="1" customWidth="1"/>
    <col min="2" max="2" width="10.44140625" style="1" customWidth="1"/>
    <col min="3" max="3" width="11" style="1" customWidth="1"/>
    <col min="4" max="4" width="15.44140625" style="1" customWidth="1"/>
    <col min="5" max="5" width="12.44140625" style="1" customWidth="1"/>
    <col min="6" max="6" width="15.332031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3" width="8.88671875" style="1"/>
    <col min="14" max="14" width="10.5546875" style="1" customWidth="1"/>
    <col min="15" max="16384" width="8.88671875" style="1"/>
  </cols>
  <sheetData>
    <row r="1" spans="1:14" ht="14.4" thickBot="1" x14ac:dyDescent="0.35">
      <c r="A1" s="6" t="s">
        <v>0</v>
      </c>
      <c r="B1" s="1" t="s">
        <v>139</v>
      </c>
    </row>
    <row r="2" spans="1:14" ht="16.2" customHeight="1" x14ac:dyDescent="0.3">
      <c r="A2" s="7" t="s">
        <v>2</v>
      </c>
      <c r="B2" s="8" t="s">
        <v>13</v>
      </c>
      <c r="C2" s="9" t="s">
        <v>4</v>
      </c>
      <c r="D2" s="10" t="s">
        <v>6</v>
      </c>
      <c r="E2" s="9" t="s">
        <v>122</v>
      </c>
      <c r="F2" s="10" t="s">
        <v>123</v>
      </c>
      <c r="H2" s="230" t="s">
        <v>105</v>
      </c>
      <c r="I2" s="231"/>
      <c r="J2" s="231"/>
      <c r="K2" s="231"/>
      <c r="L2" s="231"/>
      <c r="M2" s="231"/>
      <c r="N2" s="232"/>
    </row>
    <row r="3" spans="1:14" ht="14.4" thickBot="1" x14ac:dyDescent="0.35">
      <c r="A3" s="11" t="s">
        <v>3</v>
      </c>
      <c r="B3" s="12" t="s">
        <v>93</v>
      </c>
      <c r="C3" s="13" t="s">
        <v>5</v>
      </c>
      <c r="D3" s="14" t="s">
        <v>7</v>
      </c>
      <c r="E3" s="13" t="s">
        <v>109</v>
      </c>
      <c r="F3" s="14"/>
      <c r="H3" s="233" t="s">
        <v>136</v>
      </c>
      <c r="I3" s="234"/>
      <c r="J3" s="234"/>
      <c r="K3" s="234"/>
      <c r="L3" s="234"/>
      <c r="M3" s="234"/>
      <c r="N3" s="235"/>
    </row>
    <row r="4" spans="1:14" ht="18.600000000000001" customHeight="1" thickBot="1" x14ac:dyDescent="0.35">
      <c r="A4" s="29" t="s">
        <v>38</v>
      </c>
      <c r="B4" s="236" t="s">
        <v>131</v>
      </c>
      <c r="C4" s="237"/>
      <c r="D4" s="237"/>
      <c r="E4" s="237"/>
      <c r="F4" s="238"/>
    </row>
    <row r="6" spans="1:14" ht="14.4" thickBot="1" x14ac:dyDescent="0.35"/>
    <row r="7" spans="1:14" ht="27.6" customHeight="1" x14ac:dyDescent="0.3">
      <c r="A7" s="246" t="s">
        <v>8</v>
      </c>
      <c r="B7" s="240" t="s">
        <v>9</v>
      </c>
      <c r="C7" s="241"/>
      <c r="D7" s="239" t="s">
        <v>12</v>
      </c>
      <c r="E7" s="240"/>
      <c r="F7" s="241"/>
      <c r="G7" s="239" t="s">
        <v>143</v>
      </c>
      <c r="H7" s="240"/>
      <c r="I7" s="242"/>
      <c r="J7" s="1" t="s">
        <v>144</v>
      </c>
    </row>
    <row r="8" spans="1:14" ht="27.6" x14ac:dyDescent="0.3">
      <c r="A8" s="247"/>
      <c r="B8" s="91" t="s">
        <v>10</v>
      </c>
      <c r="C8" s="17" t="s">
        <v>11</v>
      </c>
      <c r="D8" s="19" t="s">
        <v>20</v>
      </c>
      <c r="E8" s="91" t="s">
        <v>21</v>
      </c>
      <c r="F8" s="17" t="s">
        <v>124</v>
      </c>
      <c r="G8" s="19" t="s">
        <v>22</v>
      </c>
      <c r="H8" s="91" t="s">
        <v>23</v>
      </c>
      <c r="I8" s="4" t="s">
        <v>140</v>
      </c>
    </row>
    <row r="9" spans="1:14" ht="14.4" thickBot="1" x14ac:dyDescent="0.35">
      <c r="A9" s="248"/>
      <c r="B9" s="112">
        <f>JJ_Optim_Scenario!G17</f>
        <v>4793199.2</v>
      </c>
      <c r="C9" s="113">
        <f>JJ_Optim_Scenario!H17</f>
        <v>7189798.7999999998</v>
      </c>
      <c r="D9" s="114">
        <f>JJ_Optim_Scenario!I17</f>
        <v>7189798.7999999998</v>
      </c>
      <c r="E9" s="119">
        <f>$B$13*D9+$C$13*D9*D9</f>
        <v>239856.72092273776</v>
      </c>
      <c r="F9" s="85">
        <f>$E$13*D9+$F$13*D9*D9</f>
        <v>2765547.9922391665</v>
      </c>
      <c r="G9" s="120">
        <f>JJ_Optim_Scenario!E17</f>
        <v>5991499</v>
      </c>
      <c r="H9" s="121">
        <f>$B$13*G9+$C$13*G9*G9</f>
        <v>200413.29391107528</v>
      </c>
      <c r="I9" s="115">
        <f>$E$13*G9+$F$13*G9*G9</f>
        <v>2310765.2787946975</v>
      </c>
      <c r="J9" s="123">
        <f>G9/I9</f>
        <v>2.5928635223068546</v>
      </c>
      <c r="K9" s="1" t="s">
        <v>142</v>
      </c>
    </row>
    <row r="10" spans="1:14" ht="14.4" thickBot="1" x14ac:dyDescent="0.35"/>
    <row r="11" spans="1:14" ht="50.4" customHeight="1" x14ac:dyDescent="0.3">
      <c r="A11" s="246" t="s">
        <v>42</v>
      </c>
      <c r="B11" s="240" t="s">
        <v>138</v>
      </c>
      <c r="C11" s="240"/>
      <c r="D11" s="240" t="s">
        <v>125</v>
      </c>
      <c r="E11" s="240" t="s">
        <v>137</v>
      </c>
      <c r="F11" s="240"/>
      <c r="G11" s="242" t="s">
        <v>134</v>
      </c>
      <c r="I11" s="141"/>
      <c r="J11" s="32"/>
    </row>
    <row r="12" spans="1:14" ht="24.6" customHeight="1" x14ac:dyDescent="0.3">
      <c r="A12" s="247"/>
      <c r="B12" s="91" t="s">
        <v>43</v>
      </c>
      <c r="C12" s="91" t="s">
        <v>44</v>
      </c>
      <c r="D12" s="215"/>
      <c r="E12" s="91" t="s">
        <v>132</v>
      </c>
      <c r="F12" s="91" t="s">
        <v>133</v>
      </c>
      <c r="G12" s="243"/>
      <c r="H12" s="198" t="s">
        <v>205</v>
      </c>
      <c r="I12" s="198" t="s">
        <v>206</v>
      </c>
      <c r="J12" s="32"/>
    </row>
    <row r="13" spans="1:14" ht="14.4" thickBot="1" x14ac:dyDescent="0.35">
      <c r="A13" s="248"/>
      <c r="B13" s="12">
        <v>3.3894148963675173E-2</v>
      </c>
      <c r="C13" s="12">
        <v>-7.4195254306928158E-11</v>
      </c>
      <c r="D13" s="111">
        <v>11.53</v>
      </c>
      <c r="E13" s="12">
        <v>0.39079953755117475</v>
      </c>
      <c r="F13" s="12">
        <v>-8.5547128215888159E-10</v>
      </c>
      <c r="G13" s="196">
        <f>JJ_Optim_Scenario!D17</f>
        <v>1</v>
      </c>
      <c r="H13" s="158">
        <f>JJ_Optim_Scenario!$I$31</f>
        <v>116.39999999999999</v>
      </c>
      <c r="I13" s="158">
        <f>JJ_Optim_Scenario!$F$31</f>
        <v>1118</v>
      </c>
      <c r="J13" s="32"/>
    </row>
    <row r="14" spans="1:14" ht="31.8" customHeight="1" x14ac:dyDescent="0.3">
      <c r="A14" s="244" t="s">
        <v>135</v>
      </c>
      <c r="B14" s="244"/>
      <c r="C14" s="244"/>
      <c r="D14" s="244"/>
      <c r="E14" s="244"/>
      <c r="F14" s="244"/>
      <c r="G14" s="244"/>
      <c r="H14" s="39"/>
      <c r="I14" s="39"/>
      <c r="J14" s="39"/>
    </row>
    <row r="15" spans="1:14" ht="30.6" customHeight="1" x14ac:dyDescent="0.3">
      <c r="A15" s="245"/>
      <c r="B15" s="245"/>
      <c r="C15" s="245"/>
      <c r="D15" s="245"/>
      <c r="E15" s="245"/>
      <c r="F15" s="245"/>
      <c r="G15" s="245"/>
      <c r="H15" s="39"/>
      <c r="I15" s="39"/>
      <c r="J15" s="39"/>
    </row>
    <row r="17" spans="1:4" ht="14.4" thickBot="1" x14ac:dyDescent="0.35"/>
    <row r="18" spans="1:4" ht="16.8" customHeight="1" x14ac:dyDescent="0.3">
      <c r="A18" s="249" t="s">
        <v>34</v>
      </c>
      <c r="B18" s="93" t="s">
        <v>32</v>
      </c>
      <c r="C18" s="93" t="s">
        <v>31</v>
      </c>
      <c r="D18" s="15" t="s">
        <v>33</v>
      </c>
    </row>
    <row r="19" spans="1:4" ht="23.4" customHeight="1" thickBot="1" x14ac:dyDescent="0.35">
      <c r="A19" s="250"/>
      <c r="B19" s="103">
        <v>0</v>
      </c>
      <c r="C19" s="103">
        <v>15000000</v>
      </c>
      <c r="D19" s="26">
        <v>20</v>
      </c>
    </row>
    <row r="21" spans="1:4" x14ac:dyDescent="0.3">
      <c r="A21" s="215" t="s">
        <v>37</v>
      </c>
      <c r="B21" s="215"/>
      <c r="C21" s="215"/>
    </row>
    <row r="22" spans="1:4" ht="21.6" customHeight="1" x14ac:dyDescent="0.3">
      <c r="A22" s="91" t="s">
        <v>35</v>
      </c>
      <c r="B22" s="91" t="s">
        <v>127</v>
      </c>
      <c r="C22" s="91" t="s">
        <v>128</v>
      </c>
      <c r="D22" s="198" t="s">
        <v>207</v>
      </c>
    </row>
    <row r="23" spans="1:4" x14ac:dyDescent="0.3">
      <c r="A23" s="122">
        <f>B19</f>
        <v>0</v>
      </c>
      <c r="B23" s="116">
        <f>$B$13*A23+$C$13*A23*A23</f>
        <v>0</v>
      </c>
      <c r="C23" s="116">
        <f>$E$13*A23+$F$13*A23*A23</f>
        <v>0</v>
      </c>
      <c r="D23" s="199">
        <f>B23*$I$13</f>
        <v>0</v>
      </c>
    </row>
    <row r="24" spans="1:4" x14ac:dyDescent="0.3">
      <c r="A24" s="122">
        <f>A23+(($C$19-$B$19)/$D$19)</f>
        <v>750000</v>
      </c>
      <c r="B24" s="116">
        <f t="shared" ref="B24:B43" si="0">$B$13*A24+$C$13*A24*A24</f>
        <v>25378.876892208733</v>
      </c>
      <c r="C24" s="116">
        <f t="shared" ref="C24:C43" si="1">$E$13*A24+$F$13*A24*A24</f>
        <v>292618.45056716667</v>
      </c>
      <c r="D24" s="199">
        <f t="shared" ref="D24:D43" si="2">B24*$I$13</f>
        <v>28373584.365489364</v>
      </c>
    </row>
    <row r="25" spans="1:4" x14ac:dyDescent="0.3">
      <c r="A25" s="122">
        <f t="shared" ref="A25:A43" si="3">A24+(($C$19-$B$19)/$D$19)</f>
        <v>1500000</v>
      </c>
      <c r="B25" s="116">
        <f t="shared" si="0"/>
        <v>50674.284123322177</v>
      </c>
      <c r="C25" s="116">
        <f t="shared" si="1"/>
        <v>584274.49594190461</v>
      </c>
      <c r="D25" s="199">
        <f t="shared" si="2"/>
        <v>56653849.649874195</v>
      </c>
    </row>
    <row r="26" spans="1:4" x14ac:dyDescent="0.3">
      <c r="A26" s="122">
        <f t="shared" si="3"/>
        <v>2250000</v>
      </c>
      <c r="B26" s="116">
        <f t="shared" si="0"/>
        <v>75886.221693340325</v>
      </c>
      <c r="C26" s="116">
        <f t="shared" si="1"/>
        <v>874968.13612421392</v>
      </c>
      <c r="D26" s="199">
        <f t="shared" si="2"/>
        <v>84840795.85315448</v>
      </c>
    </row>
    <row r="27" spans="1:4" x14ac:dyDescent="0.3">
      <c r="A27" s="122">
        <f t="shared" si="3"/>
        <v>3000000</v>
      </c>
      <c r="B27" s="116">
        <f t="shared" si="0"/>
        <v>101014.68960226317</v>
      </c>
      <c r="C27" s="116">
        <f t="shared" si="1"/>
        <v>1164699.3711140943</v>
      </c>
      <c r="D27" s="199">
        <f t="shared" si="2"/>
        <v>112934422.97533022</v>
      </c>
    </row>
    <row r="28" spans="1:4" x14ac:dyDescent="0.3">
      <c r="A28" s="122">
        <f t="shared" si="3"/>
        <v>3750000</v>
      </c>
      <c r="B28" s="116">
        <f t="shared" si="0"/>
        <v>126059.68785009073</v>
      </c>
      <c r="C28" s="116">
        <f t="shared" si="1"/>
        <v>1453468.2009115461</v>
      </c>
      <c r="D28" s="199">
        <f t="shared" si="2"/>
        <v>140934731.01640144</v>
      </c>
    </row>
    <row r="29" spans="1:4" x14ac:dyDescent="0.3">
      <c r="A29" s="122">
        <f t="shared" si="3"/>
        <v>4500000</v>
      </c>
      <c r="B29" s="116">
        <f t="shared" si="0"/>
        <v>151021.21643682299</v>
      </c>
      <c r="C29" s="116">
        <f t="shared" si="1"/>
        <v>1741274.625516569</v>
      </c>
      <c r="D29" s="199">
        <f t="shared" si="2"/>
        <v>168841719.9763681</v>
      </c>
    </row>
    <row r="30" spans="1:4" x14ac:dyDescent="0.3">
      <c r="A30" s="122">
        <f t="shared" si="3"/>
        <v>5250000</v>
      </c>
      <c r="B30" s="116">
        <f t="shared" si="0"/>
        <v>175899.27536245997</v>
      </c>
      <c r="C30" s="116">
        <f t="shared" si="1"/>
        <v>2028118.6449291632</v>
      </c>
      <c r="D30" s="199">
        <f t="shared" si="2"/>
        <v>196655389.85523024</v>
      </c>
    </row>
    <row r="31" spans="1:4" x14ac:dyDescent="0.3">
      <c r="A31" s="122">
        <f t="shared" si="3"/>
        <v>6000000</v>
      </c>
      <c r="B31" s="116">
        <f t="shared" si="0"/>
        <v>200693.86462700163</v>
      </c>
      <c r="C31" s="116">
        <f t="shared" si="1"/>
        <v>2314000.2591493283</v>
      </c>
      <c r="D31" s="199">
        <f t="shared" si="2"/>
        <v>224375740.65298784</v>
      </c>
    </row>
    <row r="32" spans="1:4" x14ac:dyDescent="0.3">
      <c r="A32" s="122">
        <f t="shared" si="3"/>
        <v>6750000</v>
      </c>
      <c r="B32" s="116">
        <f t="shared" si="0"/>
        <v>225404.98423044803</v>
      </c>
      <c r="C32" s="116">
        <f t="shared" si="1"/>
        <v>2598919.4681770657</v>
      </c>
      <c r="D32" s="199">
        <f t="shared" si="2"/>
        <v>252002772.36964089</v>
      </c>
    </row>
    <row r="33" spans="1:4" x14ac:dyDescent="0.3">
      <c r="A33" s="122">
        <f t="shared" si="3"/>
        <v>7500000</v>
      </c>
      <c r="B33" s="116">
        <f t="shared" si="0"/>
        <v>250032.63417279909</v>
      </c>
      <c r="C33" s="116">
        <f t="shared" si="1"/>
        <v>2882876.2720123734</v>
      </c>
      <c r="D33" s="199">
        <f t="shared" si="2"/>
        <v>279536485.00518936</v>
      </c>
    </row>
    <row r="34" spans="1:4" x14ac:dyDescent="0.3">
      <c r="A34" s="122">
        <f t="shared" si="3"/>
        <v>8250000</v>
      </c>
      <c r="B34" s="116">
        <f t="shared" si="0"/>
        <v>274576.81445405487</v>
      </c>
      <c r="C34" s="116">
        <f t="shared" si="1"/>
        <v>3165870.6706552524</v>
      </c>
      <c r="D34" s="199">
        <f t="shared" si="2"/>
        <v>306976878.55963331</v>
      </c>
    </row>
    <row r="35" spans="1:4" x14ac:dyDescent="0.3">
      <c r="A35" s="122">
        <f>A34+(($C$19-$B$19)/$D$19)</f>
        <v>9000000</v>
      </c>
      <c r="B35" s="116">
        <f t="shared" si="0"/>
        <v>299037.52507421537</v>
      </c>
      <c r="C35" s="116">
        <f t="shared" si="1"/>
        <v>3447902.6641057036</v>
      </c>
      <c r="D35" s="199">
        <f t="shared" si="2"/>
        <v>334323953.03297281</v>
      </c>
    </row>
    <row r="36" spans="1:4" x14ac:dyDescent="0.3">
      <c r="A36" s="122">
        <f t="shared" si="3"/>
        <v>9750000</v>
      </c>
      <c r="B36" s="116">
        <f t="shared" si="0"/>
        <v>323414.76603328058</v>
      </c>
      <c r="C36" s="116">
        <f t="shared" si="1"/>
        <v>3728972.2523637251</v>
      </c>
      <c r="D36" s="199">
        <f t="shared" si="2"/>
        <v>361577708.42520767</v>
      </c>
    </row>
    <row r="37" spans="1:4" x14ac:dyDescent="0.3">
      <c r="A37" s="122">
        <f t="shared" si="3"/>
        <v>10500000</v>
      </c>
      <c r="B37" s="116">
        <f t="shared" si="0"/>
        <v>347708.5373312505</v>
      </c>
      <c r="C37" s="116">
        <f t="shared" si="1"/>
        <v>4009079.4354293179</v>
      </c>
      <c r="D37" s="199">
        <f t="shared" si="2"/>
        <v>388738144.73633808</v>
      </c>
    </row>
    <row r="38" spans="1:4" x14ac:dyDescent="0.3">
      <c r="A38" s="122">
        <f t="shared" si="3"/>
        <v>11250000</v>
      </c>
      <c r="B38" s="116">
        <f t="shared" si="0"/>
        <v>371918.83896812511</v>
      </c>
      <c r="C38" s="116">
        <f t="shared" si="1"/>
        <v>4288224.2133024819</v>
      </c>
      <c r="D38" s="199">
        <f t="shared" si="2"/>
        <v>415805261.96636391</v>
      </c>
    </row>
    <row r="39" spans="1:4" x14ac:dyDescent="0.3">
      <c r="A39" s="122">
        <f t="shared" si="3"/>
        <v>12000000</v>
      </c>
      <c r="B39" s="116">
        <f t="shared" si="0"/>
        <v>396045.67094390444</v>
      </c>
      <c r="C39" s="116">
        <f t="shared" si="1"/>
        <v>4566406.5859832177</v>
      </c>
      <c r="D39" s="199">
        <f t="shared" si="2"/>
        <v>442779060.11528516</v>
      </c>
    </row>
    <row r="40" spans="1:4" x14ac:dyDescent="0.3">
      <c r="A40" s="122">
        <f t="shared" si="3"/>
        <v>12750000</v>
      </c>
      <c r="B40" s="116">
        <f t="shared" si="0"/>
        <v>420089.03325858846</v>
      </c>
      <c r="C40" s="116">
        <f t="shared" si="1"/>
        <v>4843626.5534715252</v>
      </c>
      <c r="D40" s="199">
        <f t="shared" si="2"/>
        <v>469659539.18310189</v>
      </c>
    </row>
    <row r="41" spans="1:4" x14ac:dyDescent="0.3">
      <c r="A41" s="122">
        <f t="shared" si="3"/>
        <v>13500000</v>
      </c>
      <c r="B41" s="116">
        <f t="shared" si="0"/>
        <v>444048.92591217719</v>
      </c>
      <c r="C41" s="116">
        <f t="shared" si="1"/>
        <v>5119884.1157674035</v>
      </c>
      <c r="D41" s="199">
        <f t="shared" si="2"/>
        <v>496446699.16981411</v>
      </c>
    </row>
    <row r="42" spans="1:4" x14ac:dyDescent="0.3">
      <c r="A42" s="122">
        <f>A41+(($C$19-$B$19)/$D$19)</f>
        <v>14250000</v>
      </c>
      <c r="B42" s="116">
        <f t="shared" si="0"/>
        <v>467925.34890467062</v>
      </c>
      <c r="C42" s="116">
        <f t="shared" si="1"/>
        <v>5395179.2728708526</v>
      </c>
      <c r="D42" s="199">
        <f t="shared" si="2"/>
        <v>523140540.07542175</v>
      </c>
    </row>
    <row r="43" spans="1:4" x14ac:dyDescent="0.3">
      <c r="A43" s="122">
        <f t="shared" si="3"/>
        <v>15000000</v>
      </c>
      <c r="B43" s="116">
        <f t="shared" si="0"/>
        <v>491718.30223606876</v>
      </c>
      <c r="C43" s="116">
        <f t="shared" si="1"/>
        <v>5669512.0247818725</v>
      </c>
      <c r="D43" s="199">
        <f t="shared" si="2"/>
        <v>549741061.89992487</v>
      </c>
    </row>
  </sheetData>
  <mergeCells count="15">
    <mergeCell ref="A7:A9"/>
    <mergeCell ref="B7:C7"/>
    <mergeCell ref="A21:C21"/>
    <mergeCell ref="B11:C11"/>
    <mergeCell ref="D11:D12"/>
    <mergeCell ref="E11:F11"/>
    <mergeCell ref="G11:G12"/>
    <mergeCell ref="A14:G15"/>
    <mergeCell ref="A11:A13"/>
    <mergeCell ref="A18:A19"/>
    <mergeCell ref="H2:N2"/>
    <mergeCell ref="H3:N3"/>
    <mergeCell ref="B4:F4"/>
    <mergeCell ref="D7:F7"/>
    <mergeCell ref="G7:I7"/>
  </mergeCell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3" tint="0.79998168889431442"/>
  </sheetPr>
  <dimension ref="A1:N43"/>
  <sheetViews>
    <sheetView topLeftCell="A22" workbookViewId="0">
      <selection activeCell="D9" sqref="D9"/>
    </sheetView>
  </sheetViews>
  <sheetFormatPr defaultRowHeight="13.8" x14ac:dyDescent="0.3"/>
  <cols>
    <col min="1" max="1" width="12.109375" style="1" customWidth="1"/>
    <col min="2" max="2" width="11.88671875" style="1" customWidth="1"/>
    <col min="3" max="3" width="11" style="1" customWidth="1"/>
    <col min="4" max="4" width="14.21875" style="1" customWidth="1"/>
    <col min="5" max="5" width="12.44140625" style="1" customWidth="1"/>
    <col min="6" max="6" width="15.332031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3" width="8.88671875" style="1"/>
    <col min="14" max="14" width="10.5546875" style="1" customWidth="1"/>
    <col min="15" max="16384" width="8.88671875" style="1"/>
  </cols>
  <sheetData>
    <row r="1" spans="1:14" ht="14.4" thickBot="1" x14ac:dyDescent="0.35">
      <c r="A1" s="6" t="s">
        <v>0</v>
      </c>
      <c r="B1" s="1" t="s">
        <v>141</v>
      </c>
    </row>
    <row r="2" spans="1:14" ht="16.2" customHeight="1" x14ac:dyDescent="0.3">
      <c r="A2" s="7" t="s">
        <v>2</v>
      </c>
      <c r="B2" s="8" t="s">
        <v>146</v>
      </c>
      <c r="C2" s="9" t="s">
        <v>4</v>
      </c>
      <c r="D2" s="10" t="s">
        <v>6</v>
      </c>
      <c r="E2" s="9" t="s">
        <v>122</v>
      </c>
      <c r="F2" s="10" t="s">
        <v>123</v>
      </c>
      <c r="H2" s="230" t="s">
        <v>105</v>
      </c>
      <c r="I2" s="231"/>
      <c r="J2" s="231"/>
      <c r="K2" s="231"/>
      <c r="L2" s="231"/>
      <c r="M2" s="231"/>
      <c r="N2" s="232"/>
    </row>
    <row r="3" spans="1:14" ht="14.4" thickBot="1" x14ac:dyDescent="0.35">
      <c r="A3" s="11" t="s">
        <v>3</v>
      </c>
      <c r="B3" s="12" t="s">
        <v>93</v>
      </c>
      <c r="C3" s="13" t="s">
        <v>5</v>
      </c>
      <c r="D3" s="14" t="s">
        <v>7</v>
      </c>
      <c r="E3" s="13" t="s">
        <v>109</v>
      </c>
      <c r="F3" s="14"/>
      <c r="H3" s="233" t="s">
        <v>136</v>
      </c>
      <c r="I3" s="234"/>
      <c r="J3" s="234"/>
      <c r="K3" s="234"/>
      <c r="L3" s="234"/>
      <c r="M3" s="234"/>
      <c r="N3" s="235"/>
    </row>
    <row r="4" spans="1:14" ht="18.600000000000001" customHeight="1" thickBot="1" x14ac:dyDescent="0.35">
      <c r="A4" s="29" t="s">
        <v>38</v>
      </c>
      <c r="B4" s="236" t="s">
        <v>131</v>
      </c>
      <c r="C4" s="237"/>
      <c r="D4" s="237"/>
      <c r="E4" s="237"/>
      <c r="F4" s="238"/>
    </row>
    <row r="6" spans="1:14" ht="14.4" thickBot="1" x14ac:dyDescent="0.35"/>
    <row r="7" spans="1:14" ht="27.6" customHeight="1" x14ac:dyDescent="0.3">
      <c r="A7" s="246" t="s">
        <v>8</v>
      </c>
      <c r="B7" s="240" t="s">
        <v>9</v>
      </c>
      <c r="C7" s="241"/>
      <c r="D7" s="239" t="s">
        <v>12</v>
      </c>
      <c r="E7" s="240"/>
      <c r="F7" s="241"/>
      <c r="G7" s="239" t="s">
        <v>143</v>
      </c>
      <c r="H7" s="240"/>
      <c r="I7" s="242"/>
      <c r="J7" s="1" t="s">
        <v>144</v>
      </c>
    </row>
    <row r="8" spans="1:14" ht="27.6" x14ac:dyDescent="0.3">
      <c r="A8" s="247"/>
      <c r="B8" s="91" t="s">
        <v>10</v>
      </c>
      <c r="C8" s="17" t="s">
        <v>11</v>
      </c>
      <c r="D8" s="19" t="s">
        <v>20</v>
      </c>
      <c r="E8" s="91" t="s">
        <v>21</v>
      </c>
      <c r="F8" s="17" t="s">
        <v>124</v>
      </c>
      <c r="G8" s="19" t="s">
        <v>22</v>
      </c>
      <c r="H8" s="91" t="s">
        <v>23</v>
      </c>
      <c r="I8" s="4" t="s">
        <v>140</v>
      </c>
    </row>
    <row r="9" spans="1:14" ht="14.4" thickBot="1" x14ac:dyDescent="0.35">
      <c r="A9" s="248"/>
      <c r="B9" s="112">
        <f>JJ_Optim_Scenario!G18</f>
        <v>12488348</v>
      </c>
      <c r="C9" s="113">
        <f>JJ_Optim_Scenario!H18</f>
        <v>18732522</v>
      </c>
      <c r="D9" s="114">
        <f>JJ_Optim_Scenario!I18</f>
        <v>18732522</v>
      </c>
      <c r="E9" s="119">
        <f>$B$13*D9+$C$13*D9*D9</f>
        <v>277175.40674512938</v>
      </c>
      <c r="F9" s="85">
        <f>$E$13*D9+$F$13*D9*D9</f>
        <v>3195832.4397713416</v>
      </c>
      <c r="G9" s="120">
        <f>JJ_Optim_Scenario!E18</f>
        <v>15610435</v>
      </c>
      <c r="H9" s="121">
        <f>$B$13*G9+$C$13*G9*G9</f>
        <v>230933.63819705584</v>
      </c>
      <c r="I9" s="115">
        <f>$E$13*G9+$F$13*G9*G9</f>
        <v>2662664.8484120537</v>
      </c>
      <c r="J9" s="123">
        <f>G9/I9</f>
        <v>5.862711189246995</v>
      </c>
      <c r="K9" s="1" t="s">
        <v>142</v>
      </c>
    </row>
    <row r="10" spans="1:14" ht="14.4" thickBot="1" x14ac:dyDescent="0.35"/>
    <row r="11" spans="1:14" ht="50.4" customHeight="1" x14ac:dyDescent="0.3">
      <c r="A11" s="246" t="s">
        <v>42</v>
      </c>
      <c r="B11" s="240" t="s">
        <v>138</v>
      </c>
      <c r="C11" s="240"/>
      <c r="D11" s="240" t="s">
        <v>125</v>
      </c>
      <c r="E11" s="240" t="s">
        <v>137</v>
      </c>
      <c r="F11" s="240"/>
      <c r="G11" s="242" t="s">
        <v>134</v>
      </c>
      <c r="J11" s="32"/>
    </row>
    <row r="12" spans="1:14" ht="24.6" customHeight="1" x14ac:dyDescent="0.3">
      <c r="A12" s="247"/>
      <c r="B12" s="91" t="s">
        <v>43</v>
      </c>
      <c r="C12" s="91" t="s">
        <v>44</v>
      </c>
      <c r="D12" s="215"/>
      <c r="E12" s="91" t="s">
        <v>132</v>
      </c>
      <c r="F12" s="91" t="s">
        <v>133</v>
      </c>
      <c r="G12" s="243"/>
      <c r="H12" s="198" t="s">
        <v>205</v>
      </c>
      <c r="I12" s="198" t="s">
        <v>206</v>
      </c>
      <c r="J12" s="32"/>
    </row>
    <row r="13" spans="1:14" ht="14.4" thickBot="1" x14ac:dyDescent="0.35">
      <c r="A13" s="248"/>
      <c r="B13" s="12">
        <v>1.4778851523204141E-2</v>
      </c>
      <c r="C13" s="12">
        <v>9.4111856958413502E-13</v>
      </c>
      <c r="D13" s="111">
        <v>11.53</v>
      </c>
      <c r="E13" s="12">
        <v>0.17040015806254374</v>
      </c>
      <c r="F13" s="12">
        <v>1.0851097107305076E-11</v>
      </c>
      <c r="G13" s="196">
        <f>JJ_Optim_Scenario!D18</f>
        <v>1</v>
      </c>
      <c r="H13" s="158">
        <f>JJ_Optim_Scenario!$I$31</f>
        <v>116.39999999999999</v>
      </c>
      <c r="I13" s="158">
        <f>JJ_Optim_Scenario!$F$31</f>
        <v>1118</v>
      </c>
      <c r="J13" s="32"/>
    </row>
    <row r="14" spans="1:14" ht="31.8" customHeight="1" x14ac:dyDescent="0.3">
      <c r="A14" s="244" t="s">
        <v>135</v>
      </c>
      <c r="B14" s="244"/>
      <c r="C14" s="244"/>
      <c r="D14" s="244"/>
      <c r="E14" s="244"/>
      <c r="F14" s="244"/>
      <c r="G14" s="244"/>
      <c r="H14" s="39"/>
      <c r="I14" s="39"/>
      <c r="J14" s="39"/>
    </row>
    <row r="15" spans="1:14" ht="30.6" customHeight="1" x14ac:dyDescent="0.3">
      <c r="A15" s="245"/>
      <c r="B15" s="245"/>
      <c r="C15" s="245"/>
      <c r="D15" s="245"/>
      <c r="E15" s="245"/>
      <c r="F15" s="245"/>
      <c r="G15" s="245"/>
      <c r="H15" s="39"/>
      <c r="I15" s="39"/>
      <c r="J15" s="39"/>
    </row>
    <row r="17" spans="1:4" ht="14.4" thickBot="1" x14ac:dyDescent="0.35"/>
    <row r="18" spans="1:4" ht="16.8" customHeight="1" x14ac:dyDescent="0.3">
      <c r="A18" s="249" t="s">
        <v>34</v>
      </c>
      <c r="B18" s="93" t="s">
        <v>32</v>
      </c>
      <c r="C18" s="93" t="s">
        <v>31</v>
      </c>
      <c r="D18" s="15" t="s">
        <v>33</v>
      </c>
    </row>
    <row r="19" spans="1:4" ht="23.4" customHeight="1" thickBot="1" x14ac:dyDescent="0.35">
      <c r="A19" s="250"/>
      <c r="B19" s="103">
        <v>0</v>
      </c>
      <c r="C19" s="103">
        <v>40000000</v>
      </c>
      <c r="D19" s="26">
        <v>20</v>
      </c>
    </row>
    <row r="21" spans="1:4" x14ac:dyDescent="0.3">
      <c r="A21" s="215" t="s">
        <v>37</v>
      </c>
      <c r="B21" s="215"/>
      <c r="C21" s="215"/>
    </row>
    <row r="22" spans="1:4" ht="21.6" customHeight="1" x14ac:dyDescent="0.3">
      <c r="A22" s="91" t="s">
        <v>35</v>
      </c>
      <c r="B22" s="91" t="s">
        <v>127</v>
      </c>
      <c r="C22" s="91" t="s">
        <v>128</v>
      </c>
      <c r="D22" s="198" t="s">
        <v>207</v>
      </c>
    </row>
    <row r="23" spans="1:4" x14ac:dyDescent="0.3">
      <c r="A23" s="122">
        <f>B19</f>
        <v>0</v>
      </c>
      <c r="B23" s="116">
        <f>$B$13*A23+$C$13*A23*A23</f>
        <v>0</v>
      </c>
      <c r="C23" s="116">
        <f>$E$13*A23+$F$13*A23*A23</f>
        <v>0</v>
      </c>
      <c r="D23" s="199">
        <f>B23*$I$13</f>
        <v>0</v>
      </c>
    </row>
    <row r="24" spans="1:4" x14ac:dyDescent="0.3">
      <c r="A24" s="122">
        <f>A23+(($C$19-$B$19)/$D$19)</f>
        <v>2000000</v>
      </c>
      <c r="B24" s="116">
        <f t="shared" ref="B24:B43" si="0">$B$13*A24+$C$13*A24*A24</f>
        <v>29561.46752068662</v>
      </c>
      <c r="C24" s="116">
        <f t="shared" ref="C24:C43" si="1">$E$13*A24+$F$13*A24*A24</f>
        <v>340843.72051351675</v>
      </c>
      <c r="D24" s="199">
        <f t="shared" ref="D24:D43" si="2">B24*$I$13</f>
        <v>33049720.688127641</v>
      </c>
    </row>
    <row r="25" spans="1:4" x14ac:dyDescent="0.3">
      <c r="A25" s="122">
        <f t="shared" ref="A25:A43" si="3">A24+(($C$19-$B$19)/$D$19)</f>
        <v>4000000</v>
      </c>
      <c r="B25" s="116">
        <f t="shared" si="0"/>
        <v>59130.463989929907</v>
      </c>
      <c r="C25" s="116">
        <f t="shared" si="1"/>
        <v>681774.24980389187</v>
      </c>
      <c r="D25" s="199">
        <f t="shared" si="2"/>
        <v>66107858.740741633</v>
      </c>
    </row>
    <row r="26" spans="1:4" x14ac:dyDescent="0.3">
      <c r="A26" s="122">
        <f t="shared" si="3"/>
        <v>6000000</v>
      </c>
      <c r="B26" s="116">
        <f t="shared" si="0"/>
        <v>88706.989407729881</v>
      </c>
      <c r="C26" s="116">
        <f t="shared" si="1"/>
        <v>1022791.5878711254</v>
      </c>
      <c r="D26" s="199">
        <f t="shared" si="2"/>
        <v>99174414.15784201</v>
      </c>
    </row>
    <row r="27" spans="1:4" x14ac:dyDescent="0.3">
      <c r="A27" s="122">
        <f t="shared" si="3"/>
        <v>8000000</v>
      </c>
      <c r="B27" s="116">
        <f t="shared" si="0"/>
        <v>118291.04377408652</v>
      </c>
      <c r="C27" s="116">
        <f t="shared" si="1"/>
        <v>1363895.7347152175</v>
      </c>
      <c r="D27" s="199">
        <f t="shared" si="2"/>
        <v>132249386.93942873</v>
      </c>
    </row>
    <row r="28" spans="1:4" x14ac:dyDescent="0.3">
      <c r="A28" s="122">
        <f t="shared" si="3"/>
        <v>10000000</v>
      </c>
      <c r="B28" s="116">
        <f t="shared" si="0"/>
        <v>147882.62708899984</v>
      </c>
      <c r="C28" s="116">
        <f t="shared" si="1"/>
        <v>1705086.690336168</v>
      </c>
      <c r="D28" s="199">
        <f t="shared" si="2"/>
        <v>165332777.08550182</v>
      </c>
    </row>
    <row r="29" spans="1:4" x14ac:dyDescent="0.3">
      <c r="A29" s="122">
        <f t="shared" si="3"/>
        <v>12000000</v>
      </c>
      <c r="B29" s="116">
        <f t="shared" si="0"/>
        <v>177481.73935246983</v>
      </c>
      <c r="C29" s="116">
        <f t="shared" si="1"/>
        <v>2046364.4547339769</v>
      </c>
      <c r="D29" s="199">
        <f t="shared" si="2"/>
        <v>198424584.59606126</v>
      </c>
    </row>
    <row r="30" spans="1:4" x14ac:dyDescent="0.3">
      <c r="A30" s="122">
        <f t="shared" si="3"/>
        <v>14000000</v>
      </c>
      <c r="B30" s="116">
        <f t="shared" si="0"/>
        <v>207088.38056449647</v>
      </c>
      <c r="C30" s="116">
        <f t="shared" si="1"/>
        <v>2387729.0279086442</v>
      </c>
      <c r="D30" s="199">
        <f t="shared" si="2"/>
        <v>231524809.47110707</v>
      </c>
    </row>
    <row r="31" spans="1:4" x14ac:dyDescent="0.3">
      <c r="A31" s="122">
        <f t="shared" si="3"/>
        <v>16000000</v>
      </c>
      <c r="B31" s="116">
        <f t="shared" si="0"/>
        <v>236702.55072507978</v>
      </c>
      <c r="C31" s="116">
        <f t="shared" si="1"/>
        <v>2729180.40986017</v>
      </c>
      <c r="D31" s="199">
        <f t="shared" si="2"/>
        <v>264633451.71063921</v>
      </c>
    </row>
    <row r="32" spans="1:4" x14ac:dyDescent="0.3">
      <c r="A32" s="122">
        <f t="shared" si="3"/>
        <v>18000000</v>
      </c>
      <c r="B32" s="116">
        <f t="shared" si="0"/>
        <v>266324.24983421981</v>
      </c>
      <c r="C32" s="116">
        <f t="shared" si="1"/>
        <v>3070718.6005885541</v>
      </c>
      <c r="D32" s="199">
        <f t="shared" si="2"/>
        <v>297750511.31465775</v>
      </c>
    </row>
    <row r="33" spans="1:4" x14ac:dyDescent="0.3">
      <c r="A33" s="122">
        <f t="shared" si="3"/>
        <v>20000000</v>
      </c>
      <c r="B33" s="116">
        <f t="shared" si="0"/>
        <v>295953.47789191647</v>
      </c>
      <c r="C33" s="116">
        <f t="shared" si="1"/>
        <v>3412343.6000937968</v>
      </c>
      <c r="D33" s="199">
        <f t="shared" si="2"/>
        <v>330875988.28316259</v>
      </c>
    </row>
    <row r="34" spans="1:4" x14ac:dyDescent="0.3">
      <c r="A34" s="122">
        <f t="shared" si="3"/>
        <v>22000000</v>
      </c>
      <c r="B34" s="116">
        <f t="shared" si="0"/>
        <v>325590.23489816982</v>
      </c>
      <c r="C34" s="116">
        <f t="shared" si="1"/>
        <v>3754055.4083758979</v>
      </c>
      <c r="D34" s="199">
        <f t="shared" si="2"/>
        <v>364009882.61615384</v>
      </c>
    </row>
    <row r="35" spans="1:4" x14ac:dyDescent="0.3">
      <c r="A35" s="122">
        <f>A34+(($C$19-$B$19)/$D$19)</f>
        <v>24000000</v>
      </c>
      <c r="B35" s="116">
        <f t="shared" si="0"/>
        <v>355234.52085297985</v>
      </c>
      <c r="C35" s="116">
        <f t="shared" si="1"/>
        <v>4095854.0254348577</v>
      </c>
      <c r="D35" s="199">
        <f t="shared" si="2"/>
        <v>397152194.31363147</v>
      </c>
    </row>
    <row r="36" spans="1:4" x14ac:dyDescent="0.3">
      <c r="A36" s="122">
        <f t="shared" si="3"/>
        <v>26000000</v>
      </c>
      <c r="B36" s="116">
        <f t="shared" si="0"/>
        <v>384886.33575634653</v>
      </c>
      <c r="C36" s="116">
        <f t="shared" si="1"/>
        <v>4437739.4512706762</v>
      </c>
      <c r="D36" s="199">
        <f t="shared" si="2"/>
        <v>430302923.37559539</v>
      </c>
    </row>
    <row r="37" spans="1:4" x14ac:dyDescent="0.3">
      <c r="A37" s="122">
        <f t="shared" si="3"/>
        <v>28000000</v>
      </c>
      <c r="B37" s="116">
        <f t="shared" si="0"/>
        <v>414545.67960826989</v>
      </c>
      <c r="C37" s="116">
        <f t="shared" si="1"/>
        <v>4779711.6858833525</v>
      </c>
      <c r="D37" s="199">
        <f t="shared" si="2"/>
        <v>463462069.8020457</v>
      </c>
    </row>
    <row r="38" spans="1:4" x14ac:dyDescent="0.3">
      <c r="A38" s="122">
        <f t="shared" si="3"/>
        <v>30000000</v>
      </c>
      <c r="B38" s="116">
        <f t="shared" si="0"/>
        <v>444212.55240874994</v>
      </c>
      <c r="C38" s="116">
        <f t="shared" si="1"/>
        <v>5121770.7292728871</v>
      </c>
      <c r="D38" s="199">
        <f t="shared" si="2"/>
        <v>496629633.59298241</v>
      </c>
    </row>
    <row r="39" spans="1:4" x14ac:dyDescent="0.3">
      <c r="A39" s="122">
        <f t="shared" si="3"/>
        <v>32000000</v>
      </c>
      <c r="B39" s="116">
        <f t="shared" si="0"/>
        <v>473886.95415778668</v>
      </c>
      <c r="C39" s="116">
        <f t="shared" si="1"/>
        <v>5463916.58143928</v>
      </c>
      <c r="D39" s="199">
        <f t="shared" si="2"/>
        <v>529805614.74840552</v>
      </c>
    </row>
    <row r="40" spans="1:4" x14ac:dyDescent="0.3">
      <c r="A40" s="122">
        <f t="shared" si="3"/>
        <v>34000000</v>
      </c>
      <c r="B40" s="116">
        <f t="shared" si="0"/>
        <v>503568.88485537999</v>
      </c>
      <c r="C40" s="116">
        <f t="shared" si="1"/>
        <v>5806149.242382532</v>
      </c>
      <c r="D40" s="199">
        <f t="shared" si="2"/>
        <v>562990013.26831484</v>
      </c>
    </row>
    <row r="41" spans="1:4" x14ac:dyDescent="0.3">
      <c r="A41" s="122">
        <f t="shared" si="3"/>
        <v>36000000</v>
      </c>
      <c r="B41" s="116">
        <f t="shared" si="0"/>
        <v>533258.34450153005</v>
      </c>
      <c r="C41" s="116">
        <f t="shared" si="1"/>
        <v>6148468.7121026423</v>
      </c>
      <c r="D41" s="199">
        <f t="shared" si="2"/>
        <v>596182829.15271056</v>
      </c>
    </row>
    <row r="42" spans="1:4" x14ac:dyDescent="0.3">
      <c r="A42" s="122">
        <f>A41+(($C$19-$B$19)/$D$19)</f>
        <v>38000000</v>
      </c>
      <c r="B42" s="116">
        <f t="shared" si="0"/>
        <v>562955.33309623681</v>
      </c>
      <c r="C42" s="116">
        <f t="shared" si="1"/>
        <v>6490874.9905996108</v>
      </c>
      <c r="D42" s="199">
        <f t="shared" si="2"/>
        <v>629384062.40159273</v>
      </c>
    </row>
    <row r="43" spans="1:4" x14ac:dyDescent="0.3">
      <c r="A43" s="122">
        <f t="shared" si="3"/>
        <v>40000000</v>
      </c>
      <c r="B43" s="116">
        <f t="shared" si="0"/>
        <v>592659.85063950031</v>
      </c>
      <c r="C43" s="116">
        <f t="shared" si="1"/>
        <v>6833368.0778734377</v>
      </c>
      <c r="D43" s="199">
        <f t="shared" si="2"/>
        <v>662593713.01496136</v>
      </c>
    </row>
  </sheetData>
  <mergeCells count="15">
    <mergeCell ref="A18:A19"/>
    <mergeCell ref="A21:C21"/>
    <mergeCell ref="A11:A13"/>
    <mergeCell ref="B11:C11"/>
    <mergeCell ref="D11:D12"/>
    <mergeCell ref="E11:F11"/>
    <mergeCell ref="G11:G12"/>
    <mergeCell ref="A14:G15"/>
    <mergeCell ref="H2:N2"/>
    <mergeCell ref="H3:N3"/>
    <mergeCell ref="B4:F4"/>
    <mergeCell ref="A7:A9"/>
    <mergeCell ref="B7:C7"/>
    <mergeCell ref="D7:F7"/>
    <mergeCell ref="G7:I7"/>
  </mergeCell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3" tint="0.79998168889431442"/>
  </sheetPr>
  <dimension ref="A1:N43"/>
  <sheetViews>
    <sheetView topLeftCell="A16" workbookViewId="0">
      <selection activeCell="D23" sqref="D23"/>
    </sheetView>
  </sheetViews>
  <sheetFormatPr defaultRowHeight="13.8" x14ac:dyDescent="0.3"/>
  <cols>
    <col min="1" max="1" width="12.109375" style="1" customWidth="1"/>
    <col min="2" max="2" width="10.44140625" style="1" customWidth="1"/>
    <col min="3" max="3" width="11" style="1" customWidth="1"/>
    <col min="4" max="4" width="14.44140625" style="1" customWidth="1"/>
    <col min="5" max="5" width="12.44140625" style="1" customWidth="1"/>
    <col min="6" max="6" width="15.332031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3" width="8.88671875" style="1"/>
    <col min="14" max="14" width="10.5546875" style="1" customWidth="1"/>
    <col min="15" max="16384" width="8.88671875" style="1"/>
  </cols>
  <sheetData>
    <row r="1" spans="1:14" ht="14.4" thickBot="1" x14ac:dyDescent="0.35">
      <c r="A1" s="6" t="s">
        <v>0</v>
      </c>
      <c r="B1" s="1" t="s">
        <v>145</v>
      </c>
    </row>
    <row r="2" spans="1:14" ht="16.2" customHeight="1" x14ac:dyDescent="0.3">
      <c r="A2" s="7" t="s">
        <v>2</v>
      </c>
      <c r="B2" s="8" t="s">
        <v>106</v>
      </c>
      <c r="C2" s="9" t="s">
        <v>4</v>
      </c>
      <c r="D2" s="10" t="s">
        <v>6</v>
      </c>
      <c r="E2" s="9" t="s">
        <v>122</v>
      </c>
      <c r="F2" s="10" t="s">
        <v>123</v>
      </c>
      <c r="H2" s="230" t="s">
        <v>105</v>
      </c>
      <c r="I2" s="231"/>
      <c r="J2" s="231"/>
      <c r="K2" s="231"/>
      <c r="L2" s="231"/>
      <c r="M2" s="231"/>
      <c r="N2" s="232"/>
    </row>
    <row r="3" spans="1:14" ht="14.4" thickBot="1" x14ac:dyDescent="0.35">
      <c r="A3" s="11" t="s">
        <v>3</v>
      </c>
      <c r="B3" s="12" t="s">
        <v>93</v>
      </c>
      <c r="C3" s="13" t="s">
        <v>5</v>
      </c>
      <c r="D3" s="14" t="s">
        <v>7</v>
      </c>
      <c r="E3" s="13" t="s">
        <v>109</v>
      </c>
      <c r="F3" s="14"/>
      <c r="H3" s="233" t="s">
        <v>136</v>
      </c>
      <c r="I3" s="234"/>
      <c r="J3" s="234"/>
      <c r="K3" s="234"/>
      <c r="L3" s="234"/>
      <c r="M3" s="234"/>
      <c r="N3" s="235"/>
    </row>
    <row r="4" spans="1:14" ht="18.600000000000001" customHeight="1" thickBot="1" x14ac:dyDescent="0.35">
      <c r="A4" s="29" t="s">
        <v>38</v>
      </c>
      <c r="B4" s="236" t="s">
        <v>131</v>
      </c>
      <c r="C4" s="237"/>
      <c r="D4" s="237"/>
      <c r="E4" s="237"/>
      <c r="F4" s="238"/>
    </row>
    <row r="6" spans="1:14" ht="14.4" thickBot="1" x14ac:dyDescent="0.35"/>
    <row r="7" spans="1:14" ht="27.6" customHeight="1" x14ac:dyDescent="0.3">
      <c r="A7" s="246" t="s">
        <v>8</v>
      </c>
      <c r="B7" s="240" t="s">
        <v>9</v>
      </c>
      <c r="C7" s="241"/>
      <c r="D7" s="239" t="s">
        <v>12</v>
      </c>
      <c r="E7" s="240"/>
      <c r="F7" s="241"/>
      <c r="G7" s="239" t="s">
        <v>143</v>
      </c>
      <c r="H7" s="240"/>
      <c r="I7" s="242"/>
      <c r="J7" s="1" t="s">
        <v>144</v>
      </c>
    </row>
    <row r="8" spans="1:14" ht="27.6" x14ac:dyDescent="0.3">
      <c r="A8" s="247"/>
      <c r="B8" s="91" t="s">
        <v>10</v>
      </c>
      <c r="C8" s="17" t="s">
        <v>11</v>
      </c>
      <c r="D8" s="19" t="s">
        <v>20</v>
      </c>
      <c r="E8" s="91" t="s">
        <v>21</v>
      </c>
      <c r="F8" s="17" t="s">
        <v>124</v>
      </c>
      <c r="G8" s="19" t="s">
        <v>22</v>
      </c>
      <c r="H8" s="91" t="s">
        <v>23</v>
      </c>
      <c r="I8" s="4" t="s">
        <v>140</v>
      </c>
    </row>
    <row r="9" spans="1:14" ht="14.4" thickBot="1" x14ac:dyDescent="0.35">
      <c r="A9" s="248"/>
      <c r="B9" s="112">
        <v>0</v>
      </c>
      <c r="C9" s="113">
        <v>50000000</v>
      </c>
      <c r="D9" s="114">
        <v>21601934</v>
      </c>
      <c r="E9" s="119">
        <f>$B$13*D9+$C$13*D9*D9</f>
        <v>402592.96987355122</v>
      </c>
      <c r="F9" s="85">
        <f>$E$13*D9+$F$13*D9*D9</f>
        <v>4641896.9426420452</v>
      </c>
      <c r="G9" s="120">
        <v>21601934</v>
      </c>
      <c r="H9" s="121">
        <f>$B$13*G9+$C$13*G9*G9</f>
        <v>402592.96987355122</v>
      </c>
      <c r="I9" s="115">
        <f>$E$13*G9+$F$13*G9*G9</f>
        <v>4641896.9426420452</v>
      </c>
      <c r="J9" s="123">
        <f>G9/I9</f>
        <v>4.6536866860522652</v>
      </c>
      <c r="K9" s="1" t="s">
        <v>142</v>
      </c>
    </row>
    <row r="10" spans="1:14" ht="14.4" thickBot="1" x14ac:dyDescent="0.35"/>
    <row r="11" spans="1:14" ht="50.4" customHeight="1" x14ac:dyDescent="0.3">
      <c r="A11" s="246" t="s">
        <v>42</v>
      </c>
      <c r="B11" s="240" t="s">
        <v>138</v>
      </c>
      <c r="C11" s="240"/>
      <c r="D11" s="240" t="s">
        <v>125</v>
      </c>
      <c r="E11" s="240" t="s">
        <v>137</v>
      </c>
      <c r="F11" s="240"/>
      <c r="G11" s="242" t="s">
        <v>134</v>
      </c>
      <c r="J11" s="32"/>
    </row>
    <row r="12" spans="1:14" ht="24.6" customHeight="1" x14ac:dyDescent="0.3">
      <c r="A12" s="247"/>
      <c r="B12" s="91" t="s">
        <v>43</v>
      </c>
      <c r="C12" s="91" t="s">
        <v>44</v>
      </c>
      <c r="D12" s="215"/>
      <c r="E12" s="91" t="s">
        <v>132</v>
      </c>
      <c r="F12" s="91" t="s">
        <v>133</v>
      </c>
      <c r="G12" s="243"/>
      <c r="H12" s="198" t="s">
        <v>205</v>
      </c>
      <c r="I12" s="198" t="s">
        <v>206</v>
      </c>
      <c r="J12" s="32"/>
    </row>
    <row r="13" spans="1:14" ht="14.4" thickBot="1" x14ac:dyDescent="0.35">
      <c r="A13" s="248"/>
      <c r="B13" s="12">
        <v>1.8615094382687998E-2</v>
      </c>
      <c r="C13" s="12">
        <v>1.0091848743878766E-12</v>
      </c>
      <c r="D13" s="111">
        <v>11.53</v>
      </c>
      <c r="E13" s="12">
        <v>0.2146320382323926</v>
      </c>
      <c r="F13" s="12">
        <v>1.1635901601692217E-11</v>
      </c>
      <c r="G13" s="14">
        <v>1</v>
      </c>
      <c r="H13" s="158">
        <f>JJ_Optim_Scenario!$I$31</f>
        <v>116.39999999999999</v>
      </c>
      <c r="I13" s="158">
        <f>JJ_Optim_Scenario!$F$31</f>
        <v>1118</v>
      </c>
      <c r="J13" s="32"/>
    </row>
    <row r="14" spans="1:14" ht="31.8" customHeight="1" x14ac:dyDescent="0.3">
      <c r="A14" s="244" t="s">
        <v>135</v>
      </c>
      <c r="B14" s="244"/>
      <c r="C14" s="244"/>
      <c r="D14" s="244"/>
      <c r="E14" s="244"/>
      <c r="F14" s="244"/>
      <c r="G14" s="244"/>
      <c r="H14" s="39"/>
      <c r="I14" s="39"/>
      <c r="J14" s="39"/>
    </row>
    <row r="15" spans="1:14" ht="30.6" customHeight="1" x14ac:dyDescent="0.3">
      <c r="A15" s="245"/>
      <c r="B15" s="245"/>
      <c r="C15" s="245"/>
      <c r="D15" s="245"/>
      <c r="E15" s="245"/>
      <c r="F15" s="245"/>
      <c r="G15" s="245"/>
      <c r="H15" s="39"/>
      <c r="I15" s="39"/>
      <c r="J15" s="39"/>
    </row>
    <row r="17" spans="1:4" ht="14.4" thickBot="1" x14ac:dyDescent="0.35"/>
    <row r="18" spans="1:4" ht="16.8" customHeight="1" x14ac:dyDescent="0.3">
      <c r="A18" s="249" t="s">
        <v>34</v>
      </c>
      <c r="B18" s="93" t="s">
        <v>32</v>
      </c>
      <c r="C18" s="93" t="s">
        <v>31</v>
      </c>
      <c r="D18" s="15" t="s">
        <v>33</v>
      </c>
    </row>
    <row r="19" spans="1:4" ht="23.4" customHeight="1" thickBot="1" x14ac:dyDescent="0.35">
      <c r="A19" s="250"/>
      <c r="B19" s="103">
        <v>0</v>
      </c>
      <c r="C19" s="103">
        <v>60000000</v>
      </c>
      <c r="D19" s="26">
        <v>20</v>
      </c>
    </row>
    <row r="21" spans="1:4" x14ac:dyDescent="0.3">
      <c r="A21" s="215" t="s">
        <v>37</v>
      </c>
      <c r="B21" s="215"/>
      <c r="C21" s="215"/>
    </row>
    <row r="22" spans="1:4" ht="21.6" customHeight="1" x14ac:dyDescent="0.3">
      <c r="A22" s="91" t="s">
        <v>35</v>
      </c>
      <c r="B22" s="91" t="s">
        <v>127</v>
      </c>
      <c r="C22" s="91" t="s">
        <v>128</v>
      </c>
      <c r="D22" s="198" t="s">
        <v>207</v>
      </c>
    </row>
    <row r="23" spans="1:4" x14ac:dyDescent="0.3">
      <c r="A23" s="122">
        <f>B19</f>
        <v>0</v>
      </c>
      <c r="B23" s="116">
        <f>$B$13*A23+$C$13*A23*A23</f>
        <v>0</v>
      </c>
      <c r="C23" s="116">
        <f>$E$13*A23+$F$13*A23*A23</f>
        <v>0</v>
      </c>
      <c r="D23" s="199">
        <f>B23*$I$13</f>
        <v>0</v>
      </c>
    </row>
    <row r="24" spans="1:4" x14ac:dyDescent="0.3">
      <c r="A24" s="122">
        <f>A23+(($C$19-$B$19)/$D$19)</f>
        <v>3000000</v>
      </c>
      <c r="B24" s="116">
        <f t="shared" ref="B24:B43" si="0">$B$13*A24+$C$13*A24*A24</f>
        <v>55854.365811933487</v>
      </c>
      <c r="C24" s="116">
        <f t="shared" ref="C24:C43" si="1">$E$13*A24+$F$13*A24*A24</f>
        <v>644000.83781159297</v>
      </c>
      <c r="D24" s="199">
        <f t="shared" ref="D24:D43" si="2">B24*$I$13</f>
        <v>62445180.977741636</v>
      </c>
    </row>
    <row r="25" spans="1:4" x14ac:dyDescent="0.3">
      <c r="A25" s="122">
        <f t="shared" ref="A25:A43" si="3">A24+(($C$19-$B$19)/$D$19)</f>
        <v>6000000</v>
      </c>
      <c r="B25" s="116">
        <f t="shared" si="0"/>
        <v>111726.89695160596</v>
      </c>
      <c r="C25" s="116">
        <f t="shared" si="1"/>
        <v>1288211.1218520165</v>
      </c>
      <c r="D25" s="199">
        <f t="shared" si="2"/>
        <v>124910670.79189546</v>
      </c>
    </row>
    <row r="26" spans="1:4" x14ac:dyDescent="0.3">
      <c r="A26" s="122">
        <f t="shared" si="3"/>
        <v>9000000</v>
      </c>
      <c r="B26" s="116">
        <f t="shared" si="0"/>
        <v>167617.59341901742</v>
      </c>
      <c r="C26" s="116">
        <f t="shared" si="1"/>
        <v>1932630.8521212705</v>
      </c>
      <c r="D26" s="199">
        <f t="shared" si="2"/>
        <v>187396469.44246146</v>
      </c>
    </row>
    <row r="27" spans="1:4" x14ac:dyDescent="0.3">
      <c r="A27" s="122">
        <f t="shared" si="3"/>
        <v>12000000</v>
      </c>
      <c r="B27" s="116">
        <f t="shared" si="0"/>
        <v>223526.45521416783</v>
      </c>
      <c r="C27" s="116">
        <f t="shared" si="1"/>
        <v>2577260.0286193546</v>
      </c>
      <c r="D27" s="199">
        <f t="shared" si="2"/>
        <v>249902576.92943963</v>
      </c>
    </row>
    <row r="28" spans="1:4" x14ac:dyDescent="0.3">
      <c r="A28" s="122">
        <f t="shared" si="3"/>
        <v>15000000</v>
      </c>
      <c r="B28" s="116">
        <f t="shared" si="0"/>
        <v>279453.48233705724</v>
      </c>
      <c r="C28" s="116">
        <f t="shared" si="1"/>
        <v>3222098.6513462695</v>
      </c>
      <c r="D28" s="199">
        <f t="shared" si="2"/>
        <v>312428993.25282997</v>
      </c>
    </row>
    <row r="29" spans="1:4" x14ac:dyDescent="0.3">
      <c r="A29" s="122">
        <f t="shared" si="3"/>
        <v>18000000</v>
      </c>
      <c r="B29" s="116">
        <f t="shared" si="0"/>
        <v>335398.67478768562</v>
      </c>
      <c r="C29" s="116">
        <f t="shared" si="1"/>
        <v>3867146.7203020151</v>
      </c>
      <c r="D29" s="199">
        <f t="shared" si="2"/>
        <v>374975718.41263252</v>
      </c>
    </row>
    <row r="30" spans="1:4" x14ac:dyDescent="0.3">
      <c r="A30" s="122">
        <f t="shared" si="3"/>
        <v>21000000</v>
      </c>
      <c r="B30" s="116">
        <f t="shared" si="0"/>
        <v>391362.03256605304</v>
      </c>
      <c r="C30" s="116">
        <f t="shared" si="1"/>
        <v>4512404.2354865903</v>
      </c>
      <c r="D30" s="199">
        <f t="shared" si="2"/>
        <v>437542752.40884727</v>
      </c>
    </row>
    <row r="31" spans="1:4" x14ac:dyDescent="0.3">
      <c r="A31" s="122">
        <f t="shared" si="3"/>
        <v>24000000</v>
      </c>
      <c r="B31" s="116">
        <f t="shared" si="0"/>
        <v>447343.55567215936</v>
      </c>
      <c r="C31" s="116">
        <f t="shared" si="1"/>
        <v>5157871.1968999971</v>
      </c>
      <c r="D31" s="199">
        <f t="shared" si="2"/>
        <v>500130095.24147415</v>
      </c>
    </row>
    <row r="32" spans="1:4" x14ac:dyDescent="0.3">
      <c r="A32" s="122">
        <f t="shared" si="3"/>
        <v>27000000</v>
      </c>
      <c r="B32" s="116">
        <f t="shared" si="0"/>
        <v>503343.24410600471</v>
      </c>
      <c r="C32" s="116">
        <f t="shared" si="1"/>
        <v>5803547.604542234</v>
      </c>
      <c r="D32" s="199">
        <f t="shared" si="2"/>
        <v>562737746.91051328</v>
      </c>
    </row>
    <row r="33" spans="1:4" x14ac:dyDescent="0.3">
      <c r="A33" s="122">
        <f t="shared" si="3"/>
        <v>30000000</v>
      </c>
      <c r="B33" s="116">
        <f t="shared" si="0"/>
        <v>559361.09786758909</v>
      </c>
      <c r="C33" s="116">
        <f t="shared" si="1"/>
        <v>6449433.458413301</v>
      </c>
      <c r="D33" s="199">
        <f t="shared" si="2"/>
        <v>625365707.4159646</v>
      </c>
    </row>
    <row r="34" spans="1:4" x14ac:dyDescent="0.3">
      <c r="A34" s="122">
        <f t="shared" si="3"/>
        <v>33000000</v>
      </c>
      <c r="B34" s="116">
        <f t="shared" si="0"/>
        <v>615397.11695691233</v>
      </c>
      <c r="C34" s="116">
        <f t="shared" si="1"/>
        <v>7095528.7585131992</v>
      </c>
      <c r="D34" s="199">
        <f t="shared" si="2"/>
        <v>688013976.757828</v>
      </c>
    </row>
    <row r="35" spans="1:4" x14ac:dyDescent="0.3">
      <c r="A35" s="122">
        <f>A34+(($C$19-$B$19)/$D$19)</f>
        <v>36000000</v>
      </c>
      <c r="B35" s="116">
        <f t="shared" si="0"/>
        <v>671451.30137397465</v>
      </c>
      <c r="C35" s="116">
        <f t="shared" si="1"/>
        <v>7741833.5048419265</v>
      </c>
      <c r="D35" s="199">
        <f t="shared" si="2"/>
        <v>750682554.9361037</v>
      </c>
    </row>
    <row r="36" spans="1:4" x14ac:dyDescent="0.3">
      <c r="A36" s="122">
        <f t="shared" si="3"/>
        <v>39000000</v>
      </c>
      <c r="B36" s="116">
        <f t="shared" si="0"/>
        <v>727523.65111877583</v>
      </c>
      <c r="C36" s="116">
        <f t="shared" si="1"/>
        <v>8388347.6973994859</v>
      </c>
      <c r="D36" s="199">
        <f t="shared" si="2"/>
        <v>813371441.95079136</v>
      </c>
    </row>
    <row r="37" spans="1:4" x14ac:dyDescent="0.3">
      <c r="A37" s="122">
        <f t="shared" si="3"/>
        <v>42000000</v>
      </c>
      <c r="B37" s="116">
        <f t="shared" si="0"/>
        <v>783614.16619131609</v>
      </c>
      <c r="C37" s="116">
        <f t="shared" si="1"/>
        <v>9035071.3361858744</v>
      </c>
      <c r="D37" s="199">
        <f t="shared" si="2"/>
        <v>876080637.80189145</v>
      </c>
    </row>
    <row r="38" spans="1:4" x14ac:dyDescent="0.3">
      <c r="A38" s="122">
        <f t="shared" si="3"/>
        <v>45000000</v>
      </c>
      <c r="B38" s="116">
        <f t="shared" si="0"/>
        <v>839722.84659159533</v>
      </c>
      <c r="C38" s="116">
        <f t="shared" si="1"/>
        <v>9682004.421201095</v>
      </c>
      <c r="D38" s="199">
        <f t="shared" si="2"/>
        <v>938810142.48940361</v>
      </c>
    </row>
    <row r="39" spans="1:4" x14ac:dyDescent="0.3">
      <c r="A39" s="122">
        <f t="shared" si="3"/>
        <v>48000000</v>
      </c>
      <c r="B39" s="116">
        <f t="shared" si="0"/>
        <v>895849.69231961353</v>
      </c>
      <c r="C39" s="116">
        <f t="shared" si="1"/>
        <v>10329146.952445144</v>
      </c>
      <c r="D39" s="199">
        <f t="shared" si="2"/>
        <v>1001559956.013328</v>
      </c>
    </row>
    <row r="40" spans="1:4" x14ac:dyDescent="0.3">
      <c r="A40" s="122">
        <f t="shared" si="3"/>
        <v>51000000</v>
      </c>
      <c r="B40" s="116">
        <f t="shared" si="0"/>
        <v>951994.70337537082</v>
      </c>
      <c r="C40" s="116">
        <f t="shared" si="1"/>
        <v>10976498.929918025</v>
      </c>
      <c r="D40" s="199">
        <f t="shared" si="2"/>
        <v>1064330078.3736646</v>
      </c>
    </row>
    <row r="41" spans="1:4" x14ac:dyDescent="0.3">
      <c r="A41" s="122">
        <f t="shared" si="3"/>
        <v>54000000</v>
      </c>
      <c r="B41" s="116">
        <f t="shared" si="0"/>
        <v>1008157.879758867</v>
      </c>
      <c r="C41" s="116">
        <f t="shared" si="1"/>
        <v>11624060.353619734</v>
      </c>
      <c r="D41" s="199">
        <f t="shared" si="2"/>
        <v>1127120509.5704134</v>
      </c>
    </row>
    <row r="42" spans="1:4" x14ac:dyDescent="0.3">
      <c r="A42" s="122">
        <f>A41+(($C$19-$B$19)/$D$19)</f>
        <v>57000000</v>
      </c>
      <c r="B42" s="116">
        <f t="shared" si="0"/>
        <v>1064339.2214701022</v>
      </c>
      <c r="C42" s="116">
        <f t="shared" si="1"/>
        <v>12271831.223550277</v>
      </c>
      <c r="D42" s="199">
        <f t="shared" si="2"/>
        <v>1189931249.6035743</v>
      </c>
    </row>
    <row r="43" spans="1:4" x14ac:dyDescent="0.3">
      <c r="A43" s="122">
        <f t="shared" si="3"/>
        <v>60000000</v>
      </c>
      <c r="B43" s="116">
        <f t="shared" si="0"/>
        <v>1120538.7285090764</v>
      </c>
      <c r="C43" s="116">
        <f t="shared" si="1"/>
        <v>12919811.539709648</v>
      </c>
      <c r="D43" s="199">
        <f t="shared" si="2"/>
        <v>1252762298.4731474</v>
      </c>
    </row>
  </sheetData>
  <mergeCells count="15">
    <mergeCell ref="A18:A19"/>
    <mergeCell ref="A21:C21"/>
    <mergeCell ref="A11:A13"/>
    <mergeCell ref="B11:C11"/>
    <mergeCell ref="D11:D12"/>
    <mergeCell ref="E11:F11"/>
    <mergeCell ref="G11:G12"/>
    <mergeCell ref="A14:G15"/>
    <mergeCell ref="H2:N2"/>
    <mergeCell ref="H3:N3"/>
    <mergeCell ref="B4:F4"/>
    <mergeCell ref="A7:A9"/>
    <mergeCell ref="B7:C7"/>
    <mergeCell ref="D7:F7"/>
    <mergeCell ref="G7:I7"/>
  </mergeCell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3" tint="0.79998168889431442"/>
  </sheetPr>
  <dimension ref="A1:N43"/>
  <sheetViews>
    <sheetView topLeftCell="A9" workbookViewId="0">
      <selection activeCell="D22" sqref="D22:D23"/>
    </sheetView>
  </sheetViews>
  <sheetFormatPr defaultRowHeight="13.8" x14ac:dyDescent="0.3"/>
  <cols>
    <col min="1" max="1" width="12.109375" style="1" customWidth="1"/>
    <col min="2" max="2" width="10.44140625" style="1" customWidth="1"/>
    <col min="3" max="3" width="11" style="1" customWidth="1"/>
    <col min="4" max="4" width="12.109375" style="1" customWidth="1"/>
    <col min="5" max="5" width="12.44140625" style="1" customWidth="1"/>
    <col min="6" max="6" width="15.332031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3" width="8.88671875" style="1"/>
    <col min="14" max="14" width="10.5546875" style="1" customWidth="1"/>
    <col min="15" max="16384" width="8.88671875" style="1"/>
  </cols>
  <sheetData>
    <row r="1" spans="1:14" ht="14.4" thickBot="1" x14ac:dyDescent="0.35">
      <c r="A1" s="6" t="s">
        <v>0</v>
      </c>
      <c r="B1" s="1" t="s">
        <v>145</v>
      </c>
    </row>
    <row r="2" spans="1:14" ht="16.2" customHeight="1" x14ac:dyDescent="0.3">
      <c r="A2" s="7" t="s">
        <v>2</v>
      </c>
      <c r="B2" s="8" t="s">
        <v>106</v>
      </c>
      <c r="C2" s="9" t="s">
        <v>4</v>
      </c>
      <c r="D2" s="10" t="s">
        <v>6</v>
      </c>
      <c r="E2" s="9" t="s">
        <v>122</v>
      </c>
      <c r="F2" s="10" t="s">
        <v>123</v>
      </c>
      <c r="H2" s="230" t="s">
        <v>105</v>
      </c>
      <c r="I2" s="231"/>
      <c r="J2" s="231"/>
      <c r="K2" s="231"/>
      <c r="L2" s="231"/>
      <c r="M2" s="231"/>
      <c r="N2" s="232"/>
    </row>
    <row r="3" spans="1:14" ht="14.4" thickBot="1" x14ac:dyDescent="0.35">
      <c r="A3" s="11" t="s">
        <v>3</v>
      </c>
      <c r="B3" s="12" t="s">
        <v>95</v>
      </c>
      <c r="C3" s="13" t="s">
        <v>5</v>
      </c>
      <c r="D3" s="14" t="s">
        <v>7</v>
      </c>
      <c r="E3" s="13" t="s">
        <v>109</v>
      </c>
      <c r="F3" s="14"/>
      <c r="H3" s="233" t="s">
        <v>136</v>
      </c>
      <c r="I3" s="234"/>
      <c r="J3" s="234"/>
      <c r="K3" s="234"/>
      <c r="L3" s="234"/>
      <c r="M3" s="234"/>
      <c r="N3" s="235"/>
    </row>
    <row r="4" spans="1:14" ht="18.600000000000001" customHeight="1" thickBot="1" x14ac:dyDescent="0.35">
      <c r="A4" s="29" t="s">
        <v>38</v>
      </c>
      <c r="B4" s="236" t="s">
        <v>131</v>
      </c>
      <c r="C4" s="237"/>
      <c r="D4" s="237"/>
      <c r="E4" s="237"/>
      <c r="F4" s="238"/>
    </row>
    <row r="6" spans="1:14" ht="14.4" thickBot="1" x14ac:dyDescent="0.35"/>
    <row r="7" spans="1:14" ht="27.6" customHeight="1" x14ac:dyDescent="0.3">
      <c r="A7" s="246" t="s">
        <v>8</v>
      </c>
      <c r="B7" s="240" t="s">
        <v>9</v>
      </c>
      <c r="C7" s="241"/>
      <c r="D7" s="239" t="s">
        <v>12</v>
      </c>
      <c r="E7" s="240"/>
      <c r="F7" s="241"/>
      <c r="G7" s="239" t="s">
        <v>143</v>
      </c>
      <c r="H7" s="240"/>
      <c r="I7" s="242"/>
      <c r="J7" s="1" t="s">
        <v>144</v>
      </c>
    </row>
    <row r="8" spans="1:14" ht="27.6" x14ac:dyDescent="0.3">
      <c r="A8" s="247"/>
      <c r="B8" s="91" t="s">
        <v>10</v>
      </c>
      <c r="C8" s="17" t="s">
        <v>11</v>
      </c>
      <c r="D8" s="19" t="s">
        <v>20</v>
      </c>
      <c r="E8" s="91" t="s">
        <v>21</v>
      </c>
      <c r="F8" s="17" t="s">
        <v>124</v>
      </c>
      <c r="G8" s="19" t="s">
        <v>22</v>
      </c>
      <c r="H8" s="91" t="s">
        <v>23</v>
      </c>
      <c r="I8" s="4" t="s">
        <v>140</v>
      </c>
    </row>
    <row r="9" spans="1:14" ht="14.4" thickBot="1" x14ac:dyDescent="0.35">
      <c r="A9" s="248"/>
      <c r="B9" s="112">
        <f>JJ_Optim_Scenario!E19</f>
        <v>3804716</v>
      </c>
      <c r="C9" s="113">
        <f>JJ_Optim_Scenario!H19</f>
        <v>4565659.2</v>
      </c>
      <c r="D9" s="114">
        <f>JJ_Optim_Scenario!I19</f>
        <v>4565659.2</v>
      </c>
      <c r="E9" s="119">
        <f>$B$13*D9+$C$13*D9*D9</f>
        <v>15669.92327450355</v>
      </c>
      <c r="F9" s="85">
        <f>$E$13*D9+$F$13*D9*D9</f>
        <v>180674.2153550259</v>
      </c>
      <c r="G9" s="120">
        <f>JJ_Optim_Scenario!E19</f>
        <v>3804716</v>
      </c>
      <c r="H9" s="121">
        <f>$B$13*G9+$C$13*G9*G9</f>
        <v>13058.170083390574</v>
      </c>
      <c r="I9" s="115">
        <f>$E$13*G9+$F$13*G9*G9</f>
        <v>150560.70106149331</v>
      </c>
      <c r="J9" s="123">
        <f>G9/I9</f>
        <v>25.270312725536826</v>
      </c>
      <c r="K9" s="1" t="s">
        <v>142</v>
      </c>
    </row>
    <row r="10" spans="1:14" ht="14.4" thickBot="1" x14ac:dyDescent="0.35"/>
    <row r="11" spans="1:14" ht="50.4" customHeight="1" x14ac:dyDescent="0.3">
      <c r="A11" s="246" t="s">
        <v>42</v>
      </c>
      <c r="B11" s="240" t="s">
        <v>138</v>
      </c>
      <c r="C11" s="240"/>
      <c r="D11" s="240" t="s">
        <v>125</v>
      </c>
      <c r="E11" s="240" t="s">
        <v>137</v>
      </c>
      <c r="F11" s="240"/>
      <c r="G11" s="242" t="s">
        <v>134</v>
      </c>
      <c r="J11" s="32"/>
    </row>
    <row r="12" spans="1:14" ht="24.6" customHeight="1" x14ac:dyDescent="0.3">
      <c r="A12" s="247"/>
      <c r="B12" s="91" t="s">
        <v>43</v>
      </c>
      <c r="C12" s="91" t="s">
        <v>44</v>
      </c>
      <c r="D12" s="215"/>
      <c r="E12" s="91" t="s">
        <v>132</v>
      </c>
      <c r="F12" s="91" t="s">
        <v>133</v>
      </c>
      <c r="G12" s="243"/>
      <c r="H12" s="198" t="s">
        <v>205</v>
      </c>
      <c r="I12" s="198" t="s">
        <v>206</v>
      </c>
      <c r="J12" s="32"/>
    </row>
    <row r="13" spans="1:14" ht="14.4" thickBot="1" x14ac:dyDescent="0.35">
      <c r="A13" s="248"/>
      <c r="B13" s="12">
        <v>3.4319706183708132E-3</v>
      </c>
      <c r="C13" s="12">
        <v>3.4302626130901291E-14</v>
      </c>
      <c r="D13" s="111">
        <v>11.53</v>
      </c>
      <c r="E13" s="12">
        <v>3.9570621229815472E-2</v>
      </c>
      <c r="F13" s="12">
        <v>3.9550927928929189E-13</v>
      </c>
      <c r="G13" s="196">
        <f>JJ_Optim_Scenario!D19</f>
        <v>1</v>
      </c>
      <c r="H13" s="158">
        <f>JJ_Optim_Scenario!$I$31</f>
        <v>116.39999999999999</v>
      </c>
      <c r="I13" s="158">
        <f>JJ_Optim_Scenario!$F$31</f>
        <v>1118</v>
      </c>
      <c r="J13" s="32"/>
    </row>
    <row r="14" spans="1:14" ht="31.8" customHeight="1" x14ac:dyDescent="0.3">
      <c r="A14" s="244" t="s">
        <v>135</v>
      </c>
      <c r="B14" s="244"/>
      <c r="C14" s="244"/>
      <c r="D14" s="244"/>
      <c r="E14" s="244"/>
      <c r="F14" s="244"/>
      <c r="G14" s="244"/>
      <c r="H14" s="39"/>
      <c r="I14" s="39"/>
      <c r="J14" s="39"/>
    </row>
    <row r="15" spans="1:14" ht="30.6" customHeight="1" x14ac:dyDescent="0.3">
      <c r="A15" s="245"/>
      <c r="B15" s="245"/>
      <c r="C15" s="245"/>
      <c r="D15" s="245"/>
      <c r="E15" s="245"/>
      <c r="F15" s="245"/>
      <c r="G15" s="245"/>
      <c r="H15" s="39"/>
      <c r="I15" s="39"/>
      <c r="J15" s="39"/>
    </row>
    <row r="17" spans="1:4" ht="14.4" thickBot="1" x14ac:dyDescent="0.35"/>
    <row r="18" spans="1:4" ht="16.8" customHeight="1" x14ac:dyDescent="0.3">
      <c r="A18" s="249" t="s">
        <v>34</v>
      </c>
      <c r="B18" s="93" t="s">
        <v>32</v>
      </c>
      <c r="C18" s="93" t="s">
        <v>31</v>
      </c>
      <c r="D18" s="15" t="s">
        <v>33</v>
      </c>
    </row>
    <row r="19" spans="1:4" ht="23.4" customHeight="1" thickBot="1" x14ac:dyDescent="0.35">
      <c r="A19" s="250"/>
      <c r="B19" s="103">
        <v>0</v>
      </c>
      <c r="C19" s="103">
        <v>10000000</v>
      </c>
      <c r="D19" s="26">
        <v>20</v>
      </c>
    </row>
    <row r="21" spans="1:4" x14ac:dyDescent="0.3">
      <c r="A21" s="215" t="s">
        <v>37</v>
      </c>
      <c r="B21" s="215"/>
      <c r="C21" s="215"/>
    </row>
    <row r="22" spans="1:4" ht="21.6" customHeight="1" x14ac:dyDescent="0.3">
      <c r="A22" s="91" t="s">
        <v>35</v>
      </c>
      <c r="B22" s="91" t="s">
        <v>127</v>
      </c>
      <c r="C22" s="91" t="s">
        <v>128</v>
      </c>
      <c r="D22" s="198" t="s">
        <v>207</v>
      </c>
    </row>
    <row r="23" spans="1:4" x14ac:dyDescent="0.3">
      <c r="A23" s="122">
        <f>B19</f>
        <v>0</v>
      </c>
      <c r="B23" s="116">
        <f>$B$13*A23+$C$13*A23*A23</f>
        <v>0</v>
      </c>
      <c r="C23" s="116">
        <f>$E$13*A23+$F$13*A23*A23</f>
        <v>0</v>
      </c>
      <c r="D23" s="199">
        <f>B23*$I$13</f>
        <v>0</v>
      </c>
    </row>
    <row r="24" spans="1:4" x14ac:dyDescent="0.3">
      <c r="A24" s="122">
        <f>A23+(($C$19-$B$19)/$D$19)</f>
        <v>500000</v>
      </c>
      <c r="B24" s="116">
        <f t="shared" ref="B24:B43" si="0">$B$13*A24+$C$13*A24*A24</f>
        <v>1715.9938848419392</v>
      </c>
      <c r="C24" s="116">
        <f t="shared" ref="C24:C43" si="1">$E$13*A24+$F$13*A24*A24</f>
        <v>19785.409492227558</v>
      </c>
      <c r="D24" s="199">
        <f t="shared" ref="D24:D43" si="2">B24*$I$13</f>
        <v>1918481.163253288</v>
      </c>
    </row>
    <row r="25" spans="1:4" x14ac:dyDescent="0.3">
      <c r="A25" s="122">
        <f t="shared" ref="A25:A43" si="3">A24+(($C$19-$B$19)/$D$19)</f>
        <v>1000000</v>
      </c>
      <c r="B25" s="116">
        <f t="shared" si="0"/>
        <v>3432.0049209969438</v>
      </c>
      <c r="C25" s="116">
        <f t="shared" si="1"/>
        <v>39571.016739094761</v>
      </c>
      <c r="D25" s="199">
        <f t="shared" si="2"/>
        <v>3836981.5016745832</v>
      </c>
    </row>
    <row r="26" spans="1:4" x14ac:dyDescent="0.3">
      <c r="A26" s="122">
        <f t="shared" si="3"/>
        <v>1500000</v>
      </c>
      <c r="B26" s="116">
        <f t="shared" si="0"/>
        <v>5148.0331084650143</v>
      </c>
      <c r="C26" s="116">
        <f t="shared" si="1"/>
        <v>59356.821740601605</v>
      </c>
      <c r="D26" s="199">
        <f t="shared" si="2"/>
        <v>5755501.0152638862</v>
      </c>
    </row>
    <row r="27" spans="1:4" x14ac:dyDescent="0.3">
      <c r="A27" s="122">
        <f t="shared" si="3"/>
        <v>2000000</v>
      </c>
      <c r="B27" s="116">
        <f t="shared" si="0"/>
        <v>6864.0784472461501</v>
      </c>
      <c r="C27" s="116">
        <f t="shared" si="1"/>
        <v>79142.824496748101</v>
      </c>
      <c r="D27" s="199">
        <f t="shared" si="2"/>
        <v>7674039.7040211959</v>
      </c>
    </row>
    <row r="28" spans="1:4" x14ac:dyDescent="0.3">
      <c r="A28" s="122">
        <f t="shared" si="3"/>
        <v>2500000</v>
      </c>
      <c r="B28" s="116">
        <f t="shared" si="0"/>
        <v>8580.1409373403512</v>
      </c>
      <c r="C28" s="116">
        <f t="shared" si="1"/>
        <v>98929.025007534234</v>
      </c>
      <c r="D28" s="199">
        <f t="shared" si="2"/>
        <v>9592597.5679465123</v>
      </c>
    </row>
    <row r="29" spans="1:4" x14ac:dyDescent="0.3">
      <c r="A29" s="122">
        <f t="shared" si="3"/>
        <v>3000000</v>
      </c>
      <c r="B29" s="116">
        <f t="shared" si="0"/>
        <v>10296.220578747618</v>
      </c>
      <c r="C29" s="116">
        <f t="shared" si="1"/>
        <v>118715.42327296002</v>
      </c>
      <c r="D29" s="199">
        <f t="shared" si="2"/>
        <v>11511174.607039837</v>
      </c>
    </row>
    <row r="30" spans="1:4" x14ac:dyDescent="0.3">
      <c r="A30" s="122">
        <f t="shared" si="3"/>
        <v>3500000</v>
      </c>
      <c r="B30" s="116">
        <f t="shared" si="0"/>
        <v>12012.317371467951</v>
      </c>
      <c r="C30" s="116">
        <f t="shared" si="1"/>
        <v>138502.01929302546</v>
      </c>
      <c r="D30" s="199">
        <f t="shared" si="2"/>
        <v>13429770.821301168</v>
      </c>
    </row>
    <row r="31" spans="1:4" x14ac:dyDescent="0.3">
      <c r="A31" s="122">
        <f t="shared" si="3"/>
        <v>4000000</v>
      </c>
      <c r="B31" s="116">
        <f t="shared" si="0"/>
        <v>13728.431315501346</v>
      </c>
      <c r="C31" s="116">
        <f t="shared" si="1"/>
        <v>158288.81306773052</v>
      </c>
      <c r="D31" s="199">
        <f t="shared" si="2"/>
        <v>15348386.210730504</v>
      </c>
    </row>
    <row r="32" spans="1:4" x14ac:dyDescent="0.3">
      <c r="A32" s="122">
        <f t="shared" si="3"/>
        <v>4500000</v>
      </c>
      <c r="B32" s="116">
        <f t="shared" si="0"/>
        <v>15444.562410847811</v>
      </c>
      <c r="C32" s="116">
        <f t="shared" si="1"/>
        <v>178075.80459707524</v>
      </c>
      <c r="D32" s="199">
        <f t="shared" si="2"/>
        <v>17267020.775327854</v>
      </c>
    </row>
    <row r="33" spans="1:4" x14ac:dyDescent="0.3">
      <c r="A33" s="122">
        <f t="shared" si="3"/>
        <v>5000000</v>
      </c>
      <c r="B33" s="116">
        <f t="shared" si="0"/>
        <v>17160.710657507341</v>
      </c>
      <c r="C33" s="116">
        <f t="shared" si="1"/>
        <v>197862.99388105958</v>
      </c>
      <c r="D33" s="199">
        <f t="shared" si="2"/>
        <v>19185674.515093207</v>
      </c>
    </row>
    <row r="34" spans="1:4" x14ac:dyDescent="0.3">
      <c r="A34" s="122">
        <f t="shared" si="3"/>
        <v>5500000</v>
      </c>
      <c r="B34" s="116">
        <f t="shared" si="0"/>
        <v>18876.876055479934</v>
      </c>
      <c r="C34" s="116">
        <f t="shared" si="1"/>
        <v>217650.38091968361</v>
      </c>
      <c r="D34" s="199">
        <f t="shared" si="2"/>
        <v>21104347.430026565</v>
      </c>
    </row>
    <row r="35" spans="1:4" x14ac:dyDescent="0.3">
      <c r="A35" s="122">
        <f>A34+(($C$19-$B$19)/$D$19)</f>
        <v>6000000</v>
      </c>
      <c r="B35" s="116">
        <f t="shared" si="0"/>
        <v>20593.058604765592</v>
      </c>
      <c r="C35" s="116">
        <f t="shared" si="1"/>
        <v>237437.96571294725</v>
      </c>
      <c r="D35" s="199">
        <f t="shared" si="2"/>
        <v>23023039.520127933</v>
      </c>
    </row>
    <row r="36" spans="1:4" x14ac:dyDescent="0.3">
      <c r="A36" s="122">
        <f t="shared" si="3"/>
        <v>6500000</v>
      </c>
      <c r="B36" s="116">
        <f t="shared" si="0"/>
        <v>22309.258305364314</v>
      </c>
      <c r="C36" s="116">
        <f t="shared" si="1"/>
        <v>257225.74826085052</v>
      </c>
      <c r="D36" s="199">
        <f t="shared" si="2"/>
        <v>24941750.785397302</v>
      </c>
    </row>
    <row r="37" spans="1:4" x14ac:dyDescent="0.3">
      <c r="A37" s="122">
        <f t="shared" si="3"/>
        <v>7000000</v>
      </c>
      <c r="B37" s="116">
        <f t="shared" si="0"/>
        <v>24025.475157276109</v>
      </c>
      <c r="C37" s="116">
        <f t="shared" si="1"/>
        <v>277013.72856339347</v>
      </c>
      <c r="D37" s="199">
        <f t="shared" si="2"/>
        <v>26860481.22583469</v>
      </c>
    </row>
    <row r="38" spans="1:4" x14ac:dyDescent="0.3">
      <c r="A38" s="122">
        <f t="shared" si="3"/>
        <v>7500000</v>
      </c>
      <c r="B38" s="116">
        <f t="shared" si="0"/>
        <v>25741.709160500963</v>
      </c>
      <c r="C38" s="116">
        <f t="shared" si="1"/>
        <v>296801.9066205761</v>
      </c>
      <c r="D38" s="199">
        <f t="shared" si="2"/>
        <v>28779230.841440078</v>
      </c>
    </row>
    <row r="39" spans="1:4" x14ac:dyDescent="0.3">
      <c r="A39" s="122">
        <f t="shared" si="3"/>
        <v>8000000</v>
      </c>
      <c r="B39" s="116">
        <f t="shared" si="0"/>
        <v>27457.960315038883</v>
      </c>
      <c r="C39" s="116">
        <f t="shared" si="1"/>
        <v>316590.28243239829</v>
      </c>
      <c r="D39" s="199">
        <f t="shared" si="2"/>
        <v>30697999.63221347</v>
      </c>
    </row>
    <row r="40" spans="1:4" x14ac:dyDescent="0.3">
      <c r="A40" s="122">
        <f t="shared" si="3"/>
        <v>8500000</v>
      </c>
      <c r="B40" s="116">
        <f t="shared" si="0"/>
        <v>29174.228620889873</v>
      </c>
      <c r="C40" s="116">
        <f t="shared" si="1"/>
        <v>336378.85599886021</v>
      </c>
      <c r="D40" s="199">
        <f t="shared" si="2"/>
        <v>32616787.598154876</v>
      </c>
    </row>
    <row r="41" spans="1:4" x14ac:dyDescent="0.3">
      <c r="A41" s="122">
        <f t="shared" si="3"/>
        <v>9000000</v>
      </c>
      <c r="B41" s="116">
        <f t="shared" si="0"/>
        <v>30890.514078053922</v>
      </c>
      <c r="C41" s="116">
        <f t="shared" si="1"/>
        <v>356167.62731996167</v>
      </c>
      <c r="D41" s="199">
        <f t="shared" si="2"/>
        <v>34535594.739264287</v>
      </c>
    </row>
    <row r="42" spans="1:4" x14ac:dyDescent="0.3">
      <c r="A42" s="122">
        <f>A41+(($C$19-$B$19)/$D$19)</f>
        <v>9500000</v>
      </c>
      <c r="B42" s="116">
        <f t="shared" si="0"/>
        <v>32606.816686531038</v>
      </c>
      <c r="C42" s="116">
        <f t="shared" si="1"/>
        <v>375956.59639570286</v>
      </c>
      <c r="D42" s="199">
        <f t="shared" si="2"/>
        <v>36454421.055541702</v>
      </c>
    </row>
    <row r="43" spans="1:4" x14ac:dyDescent="0.3">
      <c r="A43" s="122">
        <f t="shared" si="3"/>
        <v>10000000</v>
      </c>
      <c r="B43" s="116">
        <f t="shared" si="0"/>
        <v>34323.136446321223</v>
      </c>
      <c r="C43" s="116">
        <f t="shared" si="1"/>
        <v>395745.76322608365</v>
      </c>
      <c r="D43" s="199">
        <f t="shared" si="2"/>
        <v>38373266.546987124</v>
      </c>
    </row>
  </sheetData>
  <mergeCells count="15">
    <mergeCell ref="A18:A19"/>
    <mergeCell ref="A21:C21"/>
    <mergeCell ref="A11:A13"/>
    <mergeCell ref="B11:C11"/>
    <mergeCell ref="D11:D12"/>
    <mergeCell ref="E11:F11"/>
    <mergeCell ref="G11:G12"/>
    <mergeCell ref="A14:G15"/>
    <mergeCell ref="H2:N2"/>
    <mergeCell ref="H3:N3"/>
    <mergeCell ref="B4:F4"/>
    <mergeCell ref="A7:A9"/>
    <mergeCell ref="B7:C7"/>
    <mergeCell ref="D7:F7"/>
    <mergeCell ref="G7:I7"/>
  </mergeCells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3" tint="0.79998168889431442"/>
  </sheetPr>
  <dimension ref="A1:Y50"/>
  <sheetViews>
    <sheetView topLeftCell="A9" workbookViewId="0">
      <selection activeCell="E41" sqref="E41"/>
    </sheetView>
  </sheetViews>
  <sheetFormatPr defaultRowHeight="13.8" x14ac:dyDescent="0.3"/>
  <cols>
    <col min="1" max="1" width="13" style="1" customWidth="1"/>
    <col min="2" max="2" width="18.44140625" style="1" customWidth="1"/>
    <col min="3" max="3" width="11" style="1" customWidth="1"/>
    <col min="4" max="4" width="12.109375" style="1" customWidth="1"/>
    <col min="5" max="5" width="19.5546875" style="1" customWidth="1"/>
    <col min="6" max="6" width="19.33203125" style="1" customWidth="1"/>
    <col min="7" max="7" width="15.21875" style="1" customWidth="1"/>
    <col min="8" max="8" width="10.33203125" style="1" customWidth="1"/>
    <col min="9" max="9" width="10.21875" style="1" customWidth="1"/>
    <col min="10" max="10" width="10.33203125" style="1" customWidth="1"/>
    <col min="11" max="11" width="9" style="1" bestFit="1" customWidth="1"/>
    <col min="12" max="12" width="12.33203125" style="1" bestFit="1" customWidth="1"/>
    <col min="13" max="13" width="11.44140625" style="1" bestFit="1" customWidth="1"/>
    <col min="14" max="15" width="12.33203125" style="1" bestFit="1" customWidth="1"/>
    <col min="16" max="16" width="8.88671875" style="1"/>
    <col min="17" max="17" width="14.21875" style="1" customWidth="1"/>
    <col min="18" max="16384" width="8.88671875" style="1"/>
  </cols>
  <sheetData>
    <row r="1" spans="1:25" ht="14.4" thickBot="1" x14ac:dyDescent="0.35">
      <c r="A1" s="6" t="s">
        <v>0</v>
      </c>
      <c r="B1" s="1" t="s">
        <v>157</v>
      </c>
    </row>
    <row r="2" spans="1:25" x14ac:dyDescent="0.3">
      <c r="A2" s="7" t="s">
        <v>2</v>
      </c>
      <c r="B2" s="8" t="s">
        <v>106</v>
      </c>
      <c r="C2" s="9" t="s">
        <v>4</v>
      </c>
      <c r="D2" s="10" t="s">
        <v>6</v>
      </c>
      <c r="E2" s="9" t="s">
        <v>122</v>
      </c>
      <c r="F2" s="10" t="s">
        <v>123</v>
      </c>
      <c r="M2" s="216" t="s">
        <v>105</v>
      </c>
      <c r="N2" s="217"/>
      <c r="O2" s="217"/>
      <c r="P2" s="217"/>
      <c r="Q2" s="217"/>
      <c r="R2" s="217"/>
      <c r="S2" s="218"/>
    </row>
    <row r="3" spans="1:25" ht="14.4" thickBot="1" x14ac:dyDescent="0.35">
      <c r="A3" s="11" t="s">
        <v>3</v>
      </c>
      <c r="B3" s="12" t="s">
        <v>94</v>
      </c>
      <c r="C3" s="13" t="s">
        <v>5</v>
      </c>
      <c r="D3" s="14" t="s">
        <v>7</v>
      </c>
      <c r="E3" s="13" t="s">
        <v>109</v>
      </c>
      <c r="F3" s="14"/>
      <c r="M3" s="219" t="s">
        <v>72</v>
      </c>
      <c r="N3" s="220"/>
      <c r="O3" s="220"/>
      <c r="P3" s="220"/>
      <c r="Q3" s="220"/>
      <c r="R3" s="220"/>
      <c r="S3" s="221"/>
    </row>
    <row r="4" spans="1:25" ht="15" customHeight="1" thickBot="1" x14ac:dyDescent="0.35">
      <c r="A4" s="29" t="s">
        <v>38</v>
      </c>
      <c r="B4" s="236" t="s">
        <v>57</v>
      </c>
      <c r="C4" s="237"/>
      <c r="D4" s="237"/>
      <c r="E4" s="237"/>
      <c r="F4" s="238"/>
    </row>
    <row r="6" spans="1:25" ht="14.4" thickBot="1" x14ac:dyDescent="0.35"/>
    <row r="7" spans="1:25" ht="27.6" customHeight="1" x14ac:dyDescent="0.3">
      <c r="A7" s="246" t="s">
        <v>8</v>
      </c>
      <c r="B7" s="240" t="s">
        <v>9</v>
      </c>
      <c r="C7" s="240"/>
      <c r="D7" s="240" t="s">
        <v>12</v>
      </c>
      <c r="E7" s="240"/>
      <c r="F7" s="240"/>
      <c r="G7" s="240" t="s">
        <v>143</v>
      </c>
      <c r="H7" s="240"/>
      <c r="I7" s="242"/>
      <c r="J7" s="252" t="s">
        <v>144</v>
      </c>
      <c r="K7" s="253"/>
      <c r="M7" s="251" t="s">
        <v>73</v>
      </c>
      <c r="N7" s="251"/>
      <c r="O7" s="251"/>
      <c r="P7" s="251"/>
      <c r="R7" s="47" t="s">
        <v>58</v>
      </c>
    </row>
    <row r="8" spans="1:25" ht="27.6" x14ac:dyDescent="0.3">
      <c r="A8" s="247"/>
      <c r="B8" s="91" t="s">
        <v>10</v>
      </c>
      <c r="C8" s="91" t="s">
        <v>11</v>
      </c>
      <c r="D8" s="91" t="s">
        <v>20</v>
      </c>
      <c r="E8" s="91" t="s">
        <v>21</v>
      </c>
      <c r="F8" s="91" t="s">
        <v>124</v>
      </c>
      <c r="G8" s="91" t="s">
        <v>22</v>
      </c>
      <c r="H8" s="91" t="s">
        <v>23</v>
      </c>
      <c r="I8" s="4" t="s">
        <v>140</v>
      </c>
      <c r="M8" s="251"/>
      <c r="N8" s="251"/>
      <c r="O8" s="251"/>
      <c r="P8" s="251"/>
      <c r="R8" s="47" t="s">
        <v>59</v>
      </c>
    </row>
    <row r="9" spans="1:25" ht="14.4" thickBot="1" x14ac:dyDescent="0.35">
      <c r="A9" s="248"/>
      <c r="B9" s="112">
        <f>JJ_Optim_Scenario!G20</f>
        <v>3552000</v>
      </c>
      <c r="C9" s="112">
        <f>JJ_Optim_Scenario!H20</f>
        <v>5328000</v>
      </c>
      <c r="D9" s="117">
        <f>JJ_Optim_Scenario!I20</f>
        <v>4107540.0292513319</v>
      </c>
      <c r="E9" s="118">
        <f>csplinePred($B$14:$B$20,$C$14:$C$20,$H$14:$O$20,D9)*$C$12</f>
        <v>2101.6321434974293</v>
      </c>
      <c r="F9" s="118">
        <f>E9*$C$11</f>
        <v>24231.818614525357</v>
      </c>
      <c r="G9" s="103">
        <f>JJ_Optim_Scenario!E20</f>
        <v>4440000</v>
      </c>
      <c r="H9" s="86">
        <f>csplinePred($B$14:$B$20,$C$14:$C$20,$H$14:$O$20,G9)*$C$12</f>
        <v>2228.0277703496668</v>
      </c>
      <c r="I9" s="84">
        <f>H9*$C$11</f>
        <v>25689.160192131658</v>
      </c>
      <c r="J9" s="123">
        <f>G9/I9</f>
        <v>172.83554490659952</v>
      </c>
      <c r="K9" s="1" t="s">
        <v>142</v>
      </c>
    </row>
    <row r="10" spans="1:25" ht="14.4" thickBot="1" x14ac:dyDescent="0.35"/>
    <row r="11" spans="1:25" ht="27.6" customHeight="1" x14ac:dyDescent="0.3">
      <c r="A11" s="246" t="s">
        <v>148</v>
      </c>
      <c r="B11" s="93" t="s">
        <v>149</v>
      </c>
      <c r="C11" s="10">
        <v>11.53</v>
      </c>
      <c r="D11" s="198" t="s">
        <v>205</v>
      </c>
      <c r="E11" s="198" t="s">
        <v>206</v>
      </c>
    </row>
    <row r="12" spans="1:25" ht="38.4" customHeight="1" thickBot="1" x14ac:dyDescent="0.35">
      <c r="A12" s="248"/>
      <c r="B12" s="137" t="s">
        <v>134</v>
      </c>
      <c r="C12" s="196">
        <f>JJ_Optim_Scenario!D20</f>
        <v>1</v>
      </c>
      <c r="D12" s="158">
        <f>JJ_Optim_Scenario!$I$31</f>
        <v>116.39999999999999</v>
      </c>
      <c r="E12" s="158">
        <f>JJ_Optim_Scenario!$F$31</f>
        <v>1118</v>
      </c>
    </row>
    <row r="13" spans="1:25" ht="13.8" customHeight="1" x14ac:dyDescent="0.3">
      <c r="A13" s="246" t="s">
        <v>60</v>
      </c>
      <c r="B13" s="93" t="s">
        <v>61</v>
      </c>
      <c r="C13" s="93" t="s">
        <v>127</v>
      </c>
      <c r="D13" s="15" t="s">
        <v>128</v>
      </c>
      <c r="E13" s="129" t="s">
        <v>121</v>
      </c>
      <c r="G13" s="254" t="s">
        <v>147</v>
      </c>
      <c r="H13" s="93" t="s">
        <v>63</v>
      </c>
      <c r="I13" s="93" t="s">
        <v>64</v>
      </c>
      <c r="J13" s="93" t="s">
        <v>65</v>
      </c>
      <c r="K13" s="93" t="s">
        <v>66</v>
      </c>
      <c r="L13" s="93" t="s">
        <v>67</v>
      </c>
      <c r="M13" s="93" t="s">
        <v>68</v>
      </c>
      <c r="N13" s="93" t="s">
        <v>69</v>
      </c>
      <c r="O13" s="93" t="s">
        <v>70</v>
      </c>
      <c r="Q13" s="141"/>
      <c r="R13" s="142"/>
      <c r="S13" s="142"/>
      <c r="T13" s="142"/>
      <c r="U13" s="142"/>
      <c r="V13" s="142"/>
      <c r="W13" s="142"/>
      <c r="X13" s="142"/>
      <c r="Y13" s="142"/>
    </row>
    <row r="14" spans="1:25" ht="13.8" customHeight="1" x14ac:dyDescent="0.3">
      <c r="A14" s="247"/>
      <c r="B14" s="125">
        <v>0</v>
      </c>
      <c r="C14" s="127">
        <v>0</v>
      </c>
      <c r="D14" s="133">
        <f>C14*$C$11</f>
        <v>0</v>
      </c>
      <c r="E14" s="130"/>
      <c r="G14" s="255"/>
      <c r="H14" s="140">
        <f t="array" ref="H14:O20">csplinea($B$14:$B$20,$C$14:$C$20,$B$14:$B$20,2)</f>
        <v>1823251.2350824692</v>
      </c>
      <c r="I14" s="140">
        <v>0</v>
      </c>
      <c r="J14" s="140">
        <v>1</v>
      </c>
      <c r="K14" s="140">
        <v>0</v>
      </c>
      <c r="L14" s="140">
        <v>0</v>
      </c>
      <c r="M14" s="140">
        <v>6.4063409125349224E-4</v>
      </c>
      <c r="N14" s="140">
        <v>0</v>
      </c>
      <c r="O14" s="140">
        <v>-1.106919073885033E-17</v>
      </c>
      <c r="Q14" s="141"/>
      <c r="R14" s="142"/>
      <c r="S14" s="142"/>
      <c r="T14" s="142"/>
      <c r="U14" s="142"/>
      <c r="V14" s="142"/>
      <c r="W14" s="142"/>
      <c r="X14" s="142"/>
      <c r="Y14" s="142"/>
    </row>
    <row r="15" spans="1:25" ht="14.4" customHeight="1" x14ac:dyDescent="0.3">
      <c r="A15" s="247"/>
      <c r="B15" s="124">
        <v>1823251.2350824692</v>
      </c>
      <c r="C15" s="127">
        <f>(B15/$B$16)*$C$16*1.15</f>
        <v>1100.9472644677069</v>
      </c>
      <c r="D15" s="133">
        <f>C15*$C$11</f>
        <v>12693.92195931266</v>
      </c>
      <c r="E15" s="131" t="s">
        <v>150</v>
      </c>
      <c r="G15" s="255"/>
      <c r="H15" s="43">
        <v>1869197.1662065473</v>
      </c>
      <c r="I15" s="43">
        <v>-4.6676039091725829E-4</v>
      </c>
      <c r="J15" s="43">
        <v>7384896.8025780329</v>
      </c>
      <c r="K15" s="44">
        <v>0.25311080387122259</v>
      </c>
      <c r="L15" s="44">
        <v>-6.3204727621151642E-11</v>
      </c>
      <c r="M15" s="44">
        <v>5.3024398315115447E-4</v>
      </c>
      <c r="N15" s="44">
        <v>-6.054574705791688E-11</v>
      </c>
      <c r="O15" s="44">
        <v>8.92371409920535E-18</v>
      </c>
      <c r="Q15" s="141"/>
      <c r="R15" s="32"/>
      <c r="S15" s="32"/>
      <c r="T15" s="32"/>
      <c r="U15" s="40"/>
      <c r="V15" s="40"/>
      <c r="W15" s="40"/>
      <c r="X15" s="40"/>
      <c r="Y15" s="40"/>
    </row>
    <row r="16" spans="1:25" ht="14.4" customHeight="1" x14ac:dyDescent="0.3">
      <c r="A16" s="247"/>
      <c r="B16" s="138">
        <v>3692448.4012890165</v>
      </c>
      <c r="C16" s="126">
        <v>1938.816</v>
      </c>
      <c r="D16" s="139">
        <f>C16*$C$11</f>
        <v>22354.548479999998</v>
      </c>
      <c r="E16" s="128" t="s">
        <v>155</v>
      </c>
      <c r="G16" s="255"/>
      <c r="H16" s="43">
        <v>1777305.3039583913</v>
      </c>
      <c r="I16" s="43">
        <v>-2.5430877694769842E-4</v>
      </c>
      <c r="J16" s="43">
        <v>6819890.9429975273</v>
      </c>
      <c r="K16" s="44">
        <v>0.26060611801766104</v>
      </c>
      <c r="L16" s="44">
        <v>-1.996610801045099E-11</v>
      </c>
      <c r="M16" s="44">
        <v>3.9743574726508831E-4</v>
      </c>
      <c r="N16" s="44">
        <v>-1.0505203739100726E-11</v>
      </c>
      <c r="O16" s="44">
        <v>-4.8384593020708105E-18</v>
      </c>
      <c r="Q16" s="141"/>
      <c r="R16" s="32"/>
      <c r="S16" s="32"/>
      <c r="T16" s="32"/>
      <c r="U16" s="40"/>
      <c r="V16" s="40"/>
      <c r="W16" s="40"/>
      <c r="X16" s="40"/>
      <c r="Y16" s="40"/>
    </row>
    <row r="17" spans="1:25" ht="14.4" customHeight="1" x14ac:dyDescent="0.3">
      <c r="A17" s="247"/>
      <c r="B17" s="124">
        <v>5469753.7052474078</v>
      </c>
      <c r="C17" s="127">
        <f>(B17/$B$16)*$C$16*0.9</f>
        <v>2584.8327078807038</v>
      </c>
      <c r="D17" s="133">
        <f t="shared" ref="D17:D20" si="0">C17*$C$11</f>
        <v>29803.121121864511</v>
      </c>
      <c r="E17" s="131" t="s">
        <v>154</v>
      </c>
      <c r="G17" s="255"/>
      <c r="H17" s="43">
        <v>1823251.2350824689</v>
      </c>
      <c r="I17" s="43">
        <v>-3.0282901272442656E-4</v>
      </c>
      <c r="J17" s="43">
        <v>6737936.4422849249</v>
      </c>
      <c r="K17" s="44">
        <v>0.27059489959572547</v>
      </c>
      <c r="L17" s="44">
        <v>-3.9677302590789388E-11</v>
      </c>
      <c r="M17" s="44">
        <v>3.1424245758767284E-4</v>
      </c>
      <c r="N17" s="44">
        <v>-3.6303461880772528E-11</v>
      </c>
      <c r="O17" s="44">
        <v>4.357641767838436E-18</v>
      </c>
      <c r="Q17" s="141"/>
      <c r="R17" s="32"/>
      <c r="S17" s="32"/>
      <c r="T17" s="32"/>
      <c r="U17" s="40"/>
      <c r="V17" s="40"/>
      <c r="W17" s="40"/>
      <c r="X17" s="40"/>
      <c r="Y17" s="40"/>
    </row>
    <row r="18" spans="1:25" ht="14.4" customHeight="1" x14ac:dyDescent="0.3">
      <c r="A18" s="247"/>
      <c r="B18" s="124">
        <v>7293004.9403298767</v>
      </c>
      <c r="C18" s="127">
        <f>(B18/$B$16)*$C$16*0.8</f>
        <v>3063.5054315623152</v>
      </c>
      <c r="D18" s="133">
        <f t="shared" si="0"/>
        <v>35322.217625913494</v>
      </c>
      <c r="E18" s="132" t="s">
        <v>151</v>
      </c>
      <c r="G18" s="255"/>
      <c r="H18" s="43">
        <v>3646502.4701649388</v>
      </c>
      <c r="I18" s="43">
        <v>-2.3628419552062618E-4</v>
      </c>
      <c r="J18" s="43">
        <v>10446144.925599892</v>
      </c>
      <c r="K18" s="44">
        <v>0.34907638139584118</v>
      </c>
      <c r="L18" s="44">
        <v>-1.5694067594779597E-11</v>
      </c>
      <c r="M18" s="44">
        <v>2.2531940160529796E-4</v>
      </c>
      <c r="N18" s="44">
        <v>-1.2468234674997381E-11</v>
      </c>
      <c r="O18" s="44">
        <v>2.9500257754524322E-19</v>
      </c>
      <c r="Q18" s="141"/>
      <c r="R18" s="32"/>
      <c r="S18" s="32"/>
      <c r="T18" s="32"/>
      <c r="U18" s="40"/>
      <c r="V18" s="40"/>
      <c r="W18" s="40"/>
      <c r="X18" s="40"/>
      <c r="Y18" s="40"/>
    </row>
    <row r="19" spans="1:25" ht="14.4" customHeight="1" x14ac:dyDescent="0.3">
      <c r="A19" s="247"/>
      <c r="B19" s="124">
        <v>10939507.410494816</v>
      </c>
      <c r="C19" s="127">
        <f>(B19/$B$16)*$C$16*0.65</f>
        <v>3733.647244716572</v>
      </c>
      <c r="D19" s="133">
        <f t="shared" si="0"/>
        <v>43048.952731582074</v>
      </c>
      <c r="E19" s="131" t="s">
        <v>152</v>
      </c>
      <c r="G19" s="255"/>
      <c r="H19" s="43">
        <v>10939507.410494816</v>
      </c>
      <c r="I19" s="43">
        <v>-3.1504559402750277E-4</v>
      </c>
      <c r="J19" s="43">
        <v>27899111.874283336</v>
      </c>
      <c r="K19" s="44">
        <v>0.39210952161450574</v>
      </c>
      <c r="L19" s="44">
        <v>-9.241051791826121E-12</v>
      </c>
      <c r="M19" s="44">
        <v>1.4615643487850776E-4</v>
      </c>
      <c r="N19" s="44">
        <v>-9.241051791826121E-12</v>
      </c>
      <c r="O19" s="44">
        <v>2.8158037484578507E-19</v>
      </c>
      <c r="Q19" s="141"/>
      <c r="R19" s="32"/>
      <c r="S19" s="32"/>
      <c r="T19" s="32"/>
      <c r="U19" s="40"/>
      <c r="V19" s="40"/>
      <c r="W19" s="40"/>
      <c r="X19" s="40"/>
      <c r="Y19" s="40"/>
    </row>
    <row r="20" spans="1:25" ht="15" customHeight="1" thickBot="1" x14ac:dyDescent="0.35">
      <c r="A20" s="248"/>
      <c r="B20" s="134">
        <v>21879014.820989631</v>
      </c>
      <c r="C20" s="135">
        <f>(B20/$B$16)*$C$16*0.4</f>
        <v>4595.258147343473</v>
      </c>
      <c r="D20" s="136">
        <f t="shared" si="0"/>
        <v>52983.326438870237</v>
      </c>
      <c r="E20" s="131" t="s">
        <v>153</v>
      </c>
      <c r="G20" s="256"/>
      <c r="H20" s="45">
        <v>0</v>
      </c>
      <c r="I20" s="45">
        <v>0</v>
      </c>
      <c r="J20" s="45">
        <v>1</v>
      </c>
      <c r="K20" s="46">
        <v>0</v>
      </c>
      <c r="L20" s="46">
        <v>0</v>
      </c>
      <c r="M20" s="46">
        <v>0</v>
      </c>
      <c r="N20" s="46">
        <v>0</v>
      </c>
      <c r="O20" s="46">
        <v>0</v>
      </c>
      <c r="Q20" s="141"/>
      <c r="R20" s="32"/>
      <c r="S20" s="32"/>
      <c r="T20" s="32"/>
      <c r="U20" s="40"/>
      <c r="V20" s="40"/>
      <c r="W20" s="40"/>
      <c r="X20" s="40"/>
      <c r="Y20" s="40"/>
    </row>
    <row r="21" spans="1:25" ht="47.4" customHeight="1" x14ac:dyDescent="0.3">
      <c r="A21" s="257" t="s">
        <v>74</v>
      </c>
      <c r="B21" s="258"/>
      <c r="C21" s="259"/>
      <c r="D21" s="33"/>
      <c r="G21" s="245" t="s">
        <v>75</v>
      </c>
      <c r="H21" s="245"/>
      <c r="I21" s="245"/>
      <c r="J21" s="245"/>
      <c r="K21" s="245"/>
      <c r="L21" s="245"/>
      <c r="M21" s="245"/>
      <c r="N21" s="245"/>
      <c r="O21" s="245"/>
      <c r="Q21" s="143"/>
      <c r="R21" s="143"/>
      <c r="S21" s="143"/>
      <c r="T21" s="143"/>
      <c r="U21" s="143"/>
      <c r="V21" s="143"/>
      <c r="W21" s="143"/>
      <c r="X21" s="143"/>
      <c r="Y21" s="143"/>
    </row>
    <row r="22" spans="1:25" ht="42" customHeight="1" x14ac:dyDescent="0.3">
      <c r="A22" s="260"/>
      <c r="B22" s="261"/>
      <c r="C22" s="262"/>
      <c r="D22" s="33"/>
      <c r="G22" s="245"/>
      <c r="H22" s="245"/>
      <c r="I22" s="245"/>
      <c r="J22" s="245"/>
      <c r="K22" s="245"/>
      <c r="L22" s="245"/>
      <c r="M22" s="245"/>
      <c r="N22" s="245"/>
      <c r="O22" s="245"/>
      <c r="Q22" s="143"/>
      <c r="R22" s="143"/>
      <c r="S22" s="143"/>
      <c r="T22" s="143"/>
      <c r="U22" s="143"/>
      <c r="V22" s="143"/>
      <c r="W22" s="143"/>
      <c r="X22" s="143"/>
      <c r="Y22" s="143"/>
    </row>
    <row r="24" spans="1:25" ht="14.4" thickBot="1" x14ac:dyDescent="0.35"/>
    <row r="25" spans="1:25" ht="16.8" customHeight="1" x14ac:dyDescent="0.3">
      <c r="A25" s="249" t="s">
        <v>34</v>
      </c>
      <c r="B25" s="93" t="s">
        <v>32</v>
      </c>
      <c r="C25" s="93" t="s">
        <v>31</v>
      </c>
      <c r="D25" s="15" t="s">
        <v>33</v>
      </c>
    </row>
    <row r="26" spans="1:25" ht="23.4" customHeight="1" thickBot="1" x14ac:dyDescent="0.35">
      <c r="A26" s="250"/>
      <c r="B26" s="103">
        <v>0</v>
      </c>
      <c r="C26" s="103">
        <v>20000000</v>
      </c>
      <c r="D26" s="26">
        <v>20</v>
      </c>
    </row>
    <row r="28" spans="1:25" x14ac:dyDescent="0.3">
      <c r="A28" s="215" t="s">
        <v>37</v>
      </c>
      <c r="B28" s="215"/>
      <c r="C28" s="215"/>
    </row>
    <row r="29" spans="1:25" x14ac:dyDescent="0.3">
      <c r="A29" s="91" t="s">
        <v>35</v>
      </c>
      <c r="B29" s="91" t="s">
        <v>127</v>
      </c>
      <c r="C29" s="91" t="s">
        <v>156</v>
      </c>
      <c r="D29" s="198" t="s">
        <v>207</v>
      </c>
    </row>
    <row r="30" spans="1:25" x14ac:dyDescent="0.3">
      <c r="A30" s="122">
        <f>B26</f>
        <v>0</v>
      </c>
      <c r="B30" s="116">
        <f>csplinePred($B$14:$B$20,$C$14:$C$20,$H$14:$O$20,A30)*$C$12</f>
        <v>0</v>
      </c>
      <c r="C30" s="116">
        <f t="shared" ref="C30:C50" si="1">B30*$C$11</f>
        <v>0</v>
      </c>
      <c r="D30" s="199">
        <f>B30*$E$12</f>
        <v>0</v>
      </c>
    </row>
    <row r="31" spans="1:25" x14ac:dyDescent="0.3">
      <c r="A31" s="122">
        <f>A30+(($C$26-$B$26)/$D$26)</f>
        <v>1000000</v>
      </c>
      <c r="B31" s="116">
        <f>csplinePred($B$14:$B$20,$C$14:$C$20,$H$14:$O$20,A31)*$C$12</f>
        <v>629.56490051464186</v>
      </c>
      <c r="C31" s="116">
        <f t="shared" si="1"/>
        <v>7258.8833029338202</v>
      </c>
      <c r="D31" s="199">
        <f t="shared" ref="D31:D50" si="2">B31*$E$12</f>
        <v>703853.55877536966</v>
      </c>
    </row>
    <row r="32" spans="1:25" x14ac:dyDescent="0.3">
      <c r="A32" s="122">
        <f t="shared" ref="A32:A50" si="3">A31+(($C$26-$B$26)/$D$26)</f>
        <v>2000000</v>
      </c>
      <c r="B32" s="116">
        <f t="shared" ref="B32:B50" si="4">csplinePred($B$14:$B$20,$C$14:$C$20,$H$14:$O$20,A32)*$C$12</f>
        <v>1192.8250504925284</v>
      </c>
      <c r="C32" s="116">
        <f t="shared" si="1"/>
        <v>13753.272832178851</v>
      </c>
      <c r="D32" s="199">
        <f t="shared" si="2"/>
        <v>1333578.4064506467</v>
      </c>
    </row>
    <row r="33" spans="1:4" x14ac:dyDescent="0.3">
      <c r="A33" s="122">
        <f t="shared" si="3"/>
        <v>3000000</v>
      </c>
      <c r="B33" s="116">
        <f t="shared" si="4"/>
        <v>1655.6123288503752</v>
      </c>
      <c r="C33" s="116">
        <f t="shared" si="1"/>
        <v>19089.210151644824</v>
      </c>
      <c r="D33" s="199">
        <f t="shared" si="2"/>
        <v>1850974.5836547194</v>
      </c>
    </row>
    <row r="34" spans="1:4" x14ac:dyDescent="0.3">
      <c r="A34" s="122">
        <f t="shared" si="3"/>
        <v>4000000</v>
      </c>
      <c r="B34" s="116">
        <f t="shared" si="4"/>
        <v>2059.9135792918387</v>
      </c>
      <c r="C34" s="116">
        <f t="shared" si="1"/>
        <v>23750.8035692349</v>
      </c>
      <c r="D34" s="199">
        <f t="shared" si="2"/>
        <v>2302983.3816482755</v>
      </c>
    </row>
    <row r="35" spans="1:4" x14ac:dyDescent="0.3">
      <c r="A35" s="122">
        <f t="shared" si="3"/>
        <v>5000000</v>
      </c>
      <c r="B35" s="116">
        <f t="shared" si="4"/>
        <v>2429.7066710650297</v>
      </c>
      <c r="C35" s="116">
        <f t="shared" si="1"/>
        <v>28014.517917379791</v>
      </c>
      <c r="D35" s="199">
        <f t="shared" si="2"/>
        <v>2716412.0582507034</v>
      </c>
    </row>
    <row r="36" spans="1:4" x14ac:dyDescent="0.3">
      <c r="A36" s="122">
        <f t="shared" si="3"/>
        <v>6000000</v>
      </c>
      <c r="B36" s="116">
        <f t="shared" si="4"/>
        <v>2741.9011416863686</v>
      </c>
      <c r="C36" s="116">
        <f t="shared" si="1"/>
        <v>31614.120163643827</v>
      </c>
      <c r="D36" s="199">
        <f t="shared" si="2"/>
        <v>3065445.4764053603</v>
      </c>
    </row>
    <row r="37" spans="1:4" x14ac:dyDescent="0.3">
      <c r="A37" s="122">
        <f t="shared" si="3"/>
        <v>7000000</v>
      </c>
      <c r="B37" s="116">
        <f t="shared" si="4"/>
        <v>2996.3056955581837</v>
      </c>
      <c r="C37" s="116">
        <f t="shared" si="1"/>
        <v>34547.404669785858</v>
      </c>
      <c r="D37" s="199">
        <f t="shared" si="2"/>
        <v>3349869.7676340495</v>
      </c>
    </row>
    <row r="38" spans="1:4" x14ac:dyDescent="0.3">
      <c r="A38" s="122">
        <f t="shared" si="3"/>
        <v>8000000</v>
      </c>
      <c r="B38" s="116">
        <f t="shared" si="4"/>
        <v>3216.6772375412847</v>
      </c>
      <c r="C38" s="116">
        <f t="shared" si="1"/>
        <v>37088.288548851007</v>
      </c>
      <c r="D38" s="199">
        <f t="shared" si="2"/>
        <v>3596245.1515711565</v>
      </c>
    </row>
    <row r="39" spans="1:4" x14ac:dyDescent="0.3">
      <c r="A39" s="122">
        <f t="shared" si="3"/>
        <v>9000000</v>
      </c>
      <c r="B39" s="116">
        <f t="shared" si="4"/>
        <v>3413.2615065556502</v>
      </c>
      <c r="C39" s="116">
        <f t="shared" si="1"/>
        <v>39354.905170586644</v>
      </c>
      <c r="D39" s="199">
        <f t="shared" si="2"/>
        <v>3816026.364329217</v>
      </c>
    </row>
    <row r="40" spans="1:4" x14ac:dyDescent="0.3">
      <c r="A40" s="122">
        <f t="shared" si="3"/>
        <v>10000000</v>
      </c>
      <c r="B40" s="116">
        <f t="shared" si="4"/>
        <v>3587.9307138747795</v>
      </c>
      <c r="C40" s="116">
        <f t="shared" si="1"/>
        <v>41368.841130976209</v>
      </c>
      <c r="D40" s="199">
        <f t="shared" si="2"/>
        <v>4011306.5381120034</v>
      </c>
    </row>
    <row r="41" spans="1:4" x14ac:dyDescent="0.3">
      <c r="A41" s="122">
        <f t="shared" si="3"/>
        <v>11000000</v>
      </c>
      <c r="B41" s="116">
        <f t="shared" si="4"/>
        <v>3742.4548719927543</v>
      </c>
      <c r="C41" s="116">
        <f t="shared" si="1"/>
        <v>43150.504674076452</v>
      </c>
      <c r="D41" s="199">
        <f t="shared" si="2"/>
        <v>4184064.5468878993</v>
      </c>
    </row>
    <row r="42" spans="1:4" x14ac:dyDescent="0.3">
      <c r="A42" s="122">
        <f>A41+(($C$26-$B$26)/$D$26)</f>
        <v>12000000</v>
      </c>
      <c r="B42" s="116">
        <f t="shared" si="4"/>
        <v>3878.5879969333819</v>
      </c>
      <c r="C42" s="116">
        <f t="shared" si="1"/>
        <v>44720.119604641892</v>
      </c>
      <c r="D42" s="199">
        <f t="shared" si="2"/>
        <v>4336261.3805715209</v>
      </c>
    </row>
    <row r="43" spans="1:4" x14ac:dyDescent="0.3">
      <c r="A43" s="122">
        <f t="shared" si="3"/>
        <v>13000000</v>
      </c>
      <c r="B43" s="116">
        <f t="shared" si="4"/>
        <v>3998.0307016956012</v>
      </c>
      <c r="C43" s="116">
        <f t="shared" si="1"/>
        <v>46097.293990550279</v>
      </c>
      <c r="D43" s="199">
        <f t="shared" si="2"/>
        <v>4469798.3244956825</v>
      </c>
    </row>
    <row r="44" spans="1:4" x14ac:dyDescent="0.3">
      <c r="A44" s="122">
        <f t="shared" si="3"/>
        <v>14000000</v>
      </c>
      <c r="B44" s="116">
        <f t="shared" si="4"/>
        <v>4102.4724685284873</v>
      </c>
      <c r="C44" s="116">
        <f t="shared" si="1"/>
        <v>47301.507562133454</v>
      </c>
      <c r="D44" s="199">
        <f t="shared" si="2"/>
        <v>4586564.2198148491</v>
      </c>
    </row>
    <row r="45" spans="1:4" x14ac:dyDescent="0.3">
      <c r="A45" s="122">
        <f t="shared" si="3"/>
        <v>15000000</v>
      </c>
      <c r="B45" s="116">
        <f t="shared" si="4"/>
        <v>4193.6027796811159</v>
      </c>
      <c r="C45" s="116">
        <f t="shared" si="1"/>
        <v>48352.240049723267</v>
      </c>
      <c r="D45" s="199">
        <f t="shared" si="2"/>
        <v>4688447.907683488</v>
      </c>
    </row>
    <row r="46" spans="1:4" x14ac:dyDescent="0.3">
      <c r="A46" s="122">
        <f t="shared" si="3"/>
        <v>16000000</v>
      </c>
      <c r="B46" s="116">
        <f t="shared" si="4"/>
        <v>4273.1111174025591</v>
      </c>
      <c r="C46" s="116">
        <f t="shared" si="1"/>
        <v>49268.971183651505</v>
      </c>
      <c r="D46" s="199">
        <f t="shared" si="2"/>
        <v>4777338.2292560609</v>
      </c>
    </row>
    <row r="47" spans="1:4" x14ac:dyDescent="0.3">
      <c r="A47" s="122">
        <f t="shared" si="3"/>
        <v>17000000</v>
      </c>
      <c r="B47" s="116">
        <f t="shared" si="4"/>
        <v>4342.6869639418946</v>
      </c>
      <c r="C47" s="116">
        <f t="shared" si="1"/>
        <v>50071.180694250041</v>
      </c>
      <c r="D47" s="199">
        <f t="shared" si="2"/>
        <v>4855124.025687038</v>
      </c>
    </row>
    <row r="48" spans="1:4" x14ac:dyDescent="0.3">
      <c r="A48" s="122">
        <f t="shared" si="3"/>
        <v>18000000</v>
      </c>
      <c r="B48" s="116">
        <f t="shared" si="4"/>
        <v>4404.0198015481947</v>
      </c>
      <c r="C48" s="116">
        <f t="shared" si="1"/>
        <v>50778.348311850685</v>
      </c>
      <c r="D48" s="199">
        <f t="shared" si="2"/>
        <v>4923694.1381308818</v>
      </c>
    </row>
    <row r="49" spans="1:4" x14ac:dyDescent="0.3">
      <c r="A49" s="122">
        <f>A48+(($C$26-$B$26)/$D$26)</f>
        <v>19000000</v>
      </c>
      <c r="B49" s="116">
        <f t="shared" si="4"/>
        <v>4458.7991124705359</v>
      </c>
      <c r="C49" s="116">
        <f t="shared" si="1"/>
        <v>51409.953766785278</v>
      </c>
      <c r="D49" s="199">
        <f t="shared" si="2"/>
        <v>4984937.4077420589</v>
      </c>
    </row>
    <row r="50" spans="1:4" x14ac:dyDescent="0.3">
      <c r="A50" s="122">
        <f t="shared" si="3"/>
        <v>20000000</v>
      </c>
      <c r="B50" s="116">
        <f t="shared" si="4"/>
        <v>4508.7143789579914</v>
      </c>
      <c r="C50" s="116">
        <f t="shared" si="1"/>
        <v>51985.476789385641</v>
      </c>
      <c r="D50" s="199">
        <f t="shared" si="2"/>
        <v>5040742.6756750345</v>
      </c>
    </row>
  </sheetData>
  <mergeCells count="16">
    <mergeCell ref="A28:C28"/>
    <mergeCell ref="J7:K7"/>
    <mergeCell ref="D7:F7"/>
    <mergeCell ref="G7:I7"/>
    <mergeCell ref="A11:A12"/>
    <mergeCell ref="A13:A20"/>
    <mergeCell ref="G13:G20"/>
    <mergeCell ref="A21:C22"/>
    <mergeCell ref="G21:O22"/>
    <mergeCell ref="A25:A26"/>
    <mergeCell ref="M2:S2"/>
    <mergeCell ref="M3:S3"/>
    <mergeCell ref="A7:A9"/>
    <mergeCell ref="B7:C7"/>
    <mergeCell ref="M7:P8"/>
    <mergeCell ref="B4:F4"/>
  </mergeCells>
  <pageMargins left="0.7" right="0.7" top="0.75" bottom="0.75" header="0.3" footer="0.3"/>
  <pageSetup orientation="portrait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 tint="0.79998168889431442"/>
  </sheetPr>
  <dimension ref="A1:R42"/>
  <sheetViews>
    <sheetView topLeftCell="A9" workbookViewId="0">
      <selection activeCell="E21" sqref="E21:E22"/>
    </sheetView>
  </sheetViews>
  <sheetFormatPr defaultRowHeight="13.8" x14ac:dyDescent="0.3"/>
  <cols>
    <col min="1" max="1" width="12.109375" style="1" customWidth="1"/>
    <col min="2" max="2" width="13.5546875" style="1" customWidth="1"/>
    <col min="3" max="3" width="12.5546875" style="1" customWidth="1"/>
    <col min="4" max="4" width="13.77734375" style="1" customWidth="1"/>
    <col min="5" max="5" width="14.6640625" style="1" customWidth="1"/>
    <col min="6" max="6" width="12.441406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1" width="14.33203125" style="1" bestFit="1" customWidth="1"/>
    <col min="12" max="13" width="12" style="1" bestFit="1" customWidth="1"/>
    <col min="14" max="14" width="12.77734375" style="1" customWidth="1"/>
    <col min="15" max="15" width="9.77734375" style="1" bestFit="1" customWidth="1"/>
    <col min="16" max="16" width="8.88671875" style="1"/>
    <col min="17" max="18" width="10.33203125" style="1" customWidth="1"/>
    <col min="19" max="16384" width="8.88671875" style="1"/>
  </cols>
  <sheetData>
    <row r="1" spans="1:18" ht="14.4" thickBot="1" x14ac:dyDescent="0.35">
      <c r="A1" s="6" t="s">
        <v>0</v>
      </c>
      <c r="B1" s="1" t="s">
        <v>158</v>
      </c>
    </row>
    <row r="2" spans="1:18" x14ac:dyDescent="0.3">
      <c r="A2" s="7" t="s">
        <v>2</v>
      </c>
      <c r="B2" s="8" t="s">
        <v>106</v>
      </c>
      <c r="C2" s="9" t="s">
        <v>4</v>
      </c>
      <c r="D2" s="8" t="s">
        <v>6</v>
      </c>
      <c r="E2" s="9" t="s">
        <v>122</v>
      </c>
      <c r="F2" s="10" t="s">
        <v>123</v>
      </c>
      <c r="H2" s="88" t="s">
        <v>107</v>
      </c>
      <c r="I2" s="89"/>
      <c r="J2" s="89"/>
      <c r="K2" s="89"/>
      <c r="L2" s="90"/>
    </row>
    <row r="3" spans="1:18" ht="14.4" thickBot="1" x14ac:dyDescent="0.35">
      <c r="A3" s="11" t="s">
        <v>3</v>
      </c>
      <c r="B3" s="12" t="s">
        <v>108</v>
      </c>
      <c r="C3" s="13" t="s">
        <v>5</v>
      </c>
      <c r="D3" s="12" t="s">
        <v>7</v>
      </c>
      <c r="E3" s="13" t="s">
        <v>109</v>
      </c>
      <c r="F3" s="14" t="s">
        <v>110</v>
      </c>
    </row>
    <row r="4" spans="1:18" ht="15" customHeight="1" thickBot="1" x14ac:dyDescent="0.35">
      <c r="A4" s="107" t="s">
        <v>38</v>
      </c>
      <c r="B4" s="263" t="s">
        <v>111</v>
      </c>
      <c r="C4" s="263"/>
      <c r="D4" s="263"/>
      <c r="E4" s="263"/>
      <c r="F4" s="264"/>
      <c r="H4" s="1" t="s">
        <v>112</v>
      </c>
    </row>
    <row r="5" spans="1:18" x14ac:dyDescent="0.3">
      <c r="H5" s="1" t="s">
        <v>113</v>
      </c>
    </row>
    <row r="6" spans="1:18" ht="14.4" thickBot="1" x14ac:dyDescent="0.35">
      <c r="B6" s="78">
        <v>0.6</v>
      </c>
      <c r="C6" s="78">
        <v>1.3</v>
      </c>
    </row>
    <row r="7" spans="1:18" ht="27.6" customHeight="1" x14ac:dyDescent="0.3">
      <c r="A7" s="246" t="s">
        <v>8</v>
      </c>
      <c r="B7" s="240" t="s">
        <v>9</v>
      </c>
      <c r="C7" s="241"/>
      <c r="D7" s="265" t="s">
        <v>12</v>
      </c>
      <c r="E7" s="266"/>
      <c r="F7" s="267"/>
      <c r="G7" s="240" t="s">
        <v>143</v>
      </c>
      <c r="H7" s="240"/>
      <c r="I7" s="242"/>
      <c r="J7" s="1" t="s">
        <v>144</v>
      </c>
    </row>
    <row r="8" spans="1:18" ht="28.2" customHeight="1" x14ac:dyDescent="0.3">
      <c r="A8" s="247"/>
      <c r="B8" s="91" t="s">
        <v>10</v>
      </c>
      <c r="C8" s="17" t="s">
        <v>11</v>
      </c>
      <c r="D8" s="19" t="s">
        <v>20</v>
      </c>
      <c r="E8" s="91" t="s">
        <v>21</v>
      </c>
      <c r="F8" s="108" t="s">
        <v>124</v>
      </c>
      <c r="G8" s="87" t="s">
        <v>22</v>
      </c>
      <c r="H8" s="91" t="s">
        <v>23</v>
      </c>
      <c r="I8" s="144" t="s">
        <v>140</v>
      </c>
    </row>
    <row r="9" spans="1:18" ht="14.4" customHeight="1" thickBot="1" x14ac:dyDescent="0.35">
      <c r="A9" s="248"/>
      <c r="B9" s="80">
        <f>JJ_Optim_Scenario!G21</f>
        <v>18363200</v>
      </c>
      <c r="C9" s="80">
        <f>JJ_Optim_Scenario!H21</f>
        <v>27544800</v>
      </c>
      <c r="D9" s="95">
        <f>JJ_Optim_Scenario!I21</f>
        <v>27544800</v>
      </c>
      <c r="E9" s="118">
        <f>((($R$12/(1+EXP($P$12+$Q$12*D9)))-1) - ($F$12-$C$12))*$I$12</f>
        <v>161617.28299123794</v>
      </c>
      <c r="F9" s="145">
        <f>E9*$G$12</f>
        <v>1863447.2728889734</v>
      </c>
      <c r="G9" s="152">
        <f>JJ_Optim_Scenario!E21</f>
        <v>22954000</v>
      </c>
      <c r="H9" s="121">
        <f>((($R$12/(1+EXP($P$12+$Q$12*G9)))-1) - ($F$12-$C$12))*$I$12</f>
        <v>138412.14348311909</v>
      </c>
      <c r="I9" s="146">
        <f>H9*$G$12</f>
        <v>1595892.0143603629</v>
      </c>
      <c r="J9" s="123">
        <f>G9/I9</f>
        <v>14.383178682174192</v>
      </c>
      <c r="K9" s="1" t="s">
        <v>142</v>
      </c>
    </row>
    <row r="10" spans="1:18" ht="14.4" thickBot="1" x14ac:dyDescent="0.35"/>
    <row r="11" spans="1:18" ht="51.6" customHeight="1" x14ac:dyDescent="0.3">
      <c r="A11" s="246" t="s">
        <v>15</v>
      </c>
      <c r="B11" s="93" t="s">
        <v>16</v>
      </c>
      <c r="C11" s="93" t="s">
        <v>17</v>
      </c>
      <c r="D11" s="93" t="s">
        <v>18</v>
      </c>
      <c r="E11" s="93" t="s">
        <v>19</v>
      </c>
      <c r="F11" s="15" t="s">
        <v>114</v>
      </c>
      <c r="G11" s="92" t="s">
        <v>125</v>
      </c>
      <c r="H11" s="93" t="s">
        <v>126</v>
      </c>
      <c r="I11" s="149" t="s">
        <v>134</v>
      </c>
      <c r="K11" s="249" t="s">
        <v>25</v>
      </c>
      <c r="L11" s="93" t="s">
        <v>115</v>
      </c>
      <c r="M11" s="93" t="s">
        <v>116</v>
      </c>
      <c r="N11" s="93" t="s">
        <v>117</v>
      </c>
      <c r="O11" s="93" t="s">
        <v>118</v>
      </c>
      <c r="P11" s="93" t="s">
        <v>26</v>
      </c>
      <c r="Q11" s="93" t="s">
        <v>27</v>
      </c>
      <c r="R11" s="15" t="s">
        <v>28</v>
      </c>
    </row>
    <row r="12" spans="1:18" ht="15" customHeight="1" thickBot="1" x14ac:dyDescent="0.35">
      <c r="A12" s="248"/>
      <c r="B12" s="80">
        <v>22434506</v>
      </c>
      <c r="C12" s="86">
        <v>135699.3691208323</v>
      </c>
      <c r="D12" s="12">
        <v>0</v>
      </c>
      <c r="E12" s="86">
        <v>516500</v>
      </c>
      <c r="F12" s="97">
        <v>5165000</v>
      </c>
      <c r="G12" s="148">
        <v>11.53</v>
      </c>
      <c r="H12" s="98">
        <f>C12*G12</f>
        <v>1564613.7259631963</v>
      </c>
      <c r="I12" s="197">
        <f>JJ_Optim_Scenario!D21</f>
        <v>1</v>
      </c>
      <c r="K12" s="250"/>
      <c r="L12" s="98">
        <f>F12-C12</f>
        <v>5029300.6308791675</v>
      </c>
      <c r="M12" s="98">
        <f>L12+E12</f>
        <v>5545800.6308791675</v>
      </c>
      <c r="N12" s="99">
        <f>B12</f>
        <v>22434506</v>
      </c>
      <c r="O12" s="98">
        <f>F12</f>
        <v>5165000</v>
      </c>
      <c r="P12" s="24">
        <f>LN((($M$12+1)/($L$12+1))-1)</f>
        <v>-2.2759611241153297</v>
      </c>
      <c r="Q12" s="100">
        <f>(LN((($M$12+1)/($O$12+1))-1)-$P$12)/$N$12</f>
        <v>-1.4772934666486198E-8</v>
      </c>
      <c r="R12" s="101">
        <f>M12+1</f>
        <v>5545801.6308791675</v>
      </c>
    </row>
    <row r="13" spans="1:18" ht="34.200000000000003" customHeight="1" x14ac:dyDescent="0.3">
      <c r="A13" s="268" t="s">
        <v>119</v>
      </c>
      <c r="B13" s="269"/>
      <c r="C13" s="269"/>
      <c r="D13" s="269"/>
      <c r="E13" s="269"/>
      <c r="F13" s="270"/>
      <c r="G13" s="198" t="s">
        <v>205</v>
      </c>
      <c r="H13" s="198" t="s">
        <v>206</v>
      </c>
      <c r="K13" s="268" t="s">
        <v>120</v>
      </c>
      <c r="L13" s="269"/>
      <c r="M13" s="269"/>
      <c r="N13" s="269"/>
      <c r="O13" s="269"/>
      <c r="P13" s="269"/>
      <c r="Q13" s="269"/>
      <c r="R13" s="270"/>
    </row>
    <row r="14" spans="1:18" ht="33.6" customHeight="1" thickBot="1" x14ac:dyDescent="0.35">
      <c r="A14" s="260"/>
      <c r="B14" s="261"/>
      <c r="C14" s="261"/>
      <c r="D14" s="261"/>
      <c r="E14" s="261"/>
      <c r="F14" s="262"/>
      <c r="G14" s="158">
        <f>JJ_Optim_Scenario!$I$31</f>
        <v>116.39999999999999</v>
      </c>
      <c r="H14" s="158">
        <f>JJ_Optim_Scenario!$F$31</f>
        <v>1118</v>
      </c>
      <c r="K14" s="260"/>
      <c r="L14" s="261"/>
      <c r="M14" s="261"/>
      <c r="N14" s="261"/>
      <c r="O14" s="261"/>
      <c r="P14" s="261"/>
      <c r="Q14" s="261"/>
      <c r="R14" s="262"/>
    </row>
    <row r="16" spans="1:18" ht="14.4" thickBot="1" x14ac:dyDescent="0.35"/>
    <row r="17" spans="1:8" ht="42.6" customHeight="1" x14ac:dyDescent="0.3">
      <c r="A17" s="249" t="s">
        <v>34</v>
      </c>
      <c r="B17" s="93" t="s">
        <v>32</v>
      </c>
      <c r="C17" s="93" t="s">
        <v>31</v>
      </c>
      <c r="D17" s="15" t="s">
        <v>33</v>
      </c>
      <c r="F17" s="109"/>
      <c r="G17" s="109"/>
      <c r="H17" s="110"/>
    </row>
    <row r="18" spans="1:8" ht="23.4" customHeight="1" thickBot="1" x14ac:dyDescent="0.35">
      <c r="A18" s="250"/>
      <c r="B18" s="102">
        <v>0</v>
      </c>
      <c r="C18" s="103">
        <v>60000000</v>
      </c>
      <c r="D18" s="26">
        <v>20</v>
      </c>
    </row>
    <row r="20" spans="1:8" x14ac:dyDescent="0.3">
      <c r="A20" s="215" t="s">
        <v>37</v>
      </c>
      <c r="B20" s="215"/>
      <c r="C20" s="215"/>
    </row>
    <row r="21" spans="1:8" x14ac:dyDescent="0.3">
      <c r="A21" s="91" t="s">
        <v>35</v>
      </c>
      <c r="B21" s="91" t="s">
        <v>127</v>
      </c>
      <c r="C21" s="91" t="s">
        <v>128</v>
      </c>
      <c r="D21" s="1" t="s">
        <v>129</v>
      </c>
      <c r="E21" s="198" t="s">
        <v>207</v>
      </c>
    </row>
    <row r="22" spans="1:8" x14ac:dyDescent="0.3">
      <c r="A22" s="122">
        <f>B18</f>
        <v>0</v>
      </c>
      <c r="B22" s="106">
        <f t="shared" ref="B22:B42" si="0">((($R$12/(1+EXP($P$12+$Q$12*A22)))-1) - ($F$12-$C$12))*$I$12</f>
        <v>0</v>
      </c>
      <c r="C22" s="106">
        <f>B22*$G$12</f>
        <v>0</v>
      </c>
      <c r="E22" s="199">
        <f>B22*$H$14</f>
        <v>0</v>
      </c>
    </row>
    <row r="23" spans="1:8" x14ac:dyDescent="0.3">
      <c r="A23" s="122">
        <f>A22+(($C$18-$B$18)/$D$18)</f>
        <v>3000000</v>
      </c>
      <c r="B23" s="106">
        <f t="shared" si="0"/>
        <v>20387.807857017033</v>
      </c>
      <c r="C23" s="106">
        <f t="shared" ref="C23:C42" si="1">B23*$G$12</f>
        <v>235071.42459140636</v>
      </c>
      <c r="D23" s="1">
        <f>(B23-B22)/A23</f>
        <v>6.7959359523390109E-3</v>
      </c>
      <c r="E23" s="199">
        <f t="shared" ref="E23:E42" si="2">B23*$H$14</f>
        <v>22793569.184145041</v>
      </c>
    </row>
    <row r="24" spans="1:8" x14ac:dyDescent="0.3">
      <c r="A24" s="122">
        <f t="shared" ref="A24:A42" si="3">A23+(($C$18-$B$18)/$D$18)</f>
        <v>6000000</v>
      </c>
      <c r="B24" s="106">
        <f t="shared" si="0"/>
        <v>40047.087668891996</v>
      </c>
      <c r="C24" s="106">
        <f t="shared" si="1"/>
        <v>461742.9208223247</v>
      </c>
      <c r="D24" s="1">
        <f t="shared" ref="D24:D42" si="4">(B24-B23)/A24</f>
        <v>3.276546635312494E-3</v>
      </c>
      <c r="E24" s="199">
        <f t="shared" si="2"/>
        <v>44772644.013821252</v>
      </c>
    </row>
    <row r="25" spans="1:8" x14ac:dyDescent="0.3">
      <c r="A25" s="122">
        <f t="shared" si="3"/>
        <v>9000000</v>
      </c>
      <c r="B25" s="106">
        <f t="shared" si="0"/>
        <v>58997.915796743706</v>
      </c>
      <c r="C25" s="106">
        <f t="shared" si="1"/>
        <v>680245.96913645486</v>
      </c>
      <c r="D25" s="1">
        <f t="shared" si="4"/>
        <v>2.1056475697613011E-3</v>
      </c>
      <c r="E25" s="199">
        <f t="shared" si="2"/>
        <v>65959669.860759467</v>
      </c>
    </row>
    <row r="26" spans="1:8" x14ac:dyDescent="0.3">
      <c r="A26" s="122">
        <f t="shared" si="3"/>
        <v>12000000</v>
      </c>
      <c r="B26" s="106">
        <f t="shared" si="0"/>
        <v>77260.28909897618</v>
      </c>
      <c r="C26" s="106">
        <f t="shared" si="1"/>
        <v>890811.1333111953</v>
      </c>
      <c r="D26" s="1">
        <f t="shared" si="4"/>
        <v>1.5218644418527063E-3</v>
      </c>
      <c r="E26" s="199">
        <f t="shared" si="2"/>
        <v>86377003.212655365</v>
      </c>
    </row>
    <row r="27" spans="1:8" x14ac:dyDescent="0.3">
      <c r="A27" s="122">
        <f t="shared" si="3"/>
        <v>15000000</v>
      </c>
      <c r="B27" s="106">
        <f t="shared" si="0"/>
        <v>94854.081059573218</v>
      </c>
      <c r="C27" s="106">
        <f t="shared" si="1"/>
        <v>1093667.5546168792</v>
      </c>
      <c r="D27" s="1">
        <f t="shared" si="4"/>
        <v>1.1729194640398026E-3</v>
      </c>
      <c r="E27" s="199">
        <f t="shared" si="2"/>
        <v>106046862.62460285</v>
      </c>
    </row>
    <row r="28" spans="1:8" x14ac:dyDescent="0.3">
      <c r="A28" s="122">
        <f t="shared" si="3"/>
        <v>18000000</v>
      </c>
      <c r="B28" s="106">
        <f t="shared" si="0"/>
        <v>111799.00184178166</v>
      </c>
      <c r="C28" s="106">
        <f t="shared" si="1"/>
        <v>1289042.4912357426</v>
      </c>
      <c r="D28" s="1">
        <f t="shared" si="4"/>
        <v>9.4138448790046902E-4</v>
      </c>
      <c r="E28" s="199">
        <f t="shared" si="2"/>
        <v>124991284.05911189</v>
      </c>
    </row>
    <row r="29" spans="1:8" x14ac:dyDescent="0.3">
      <c r="A29" s="122">
        <f t="shared" si="3"/>
        <v>21000000</v>
      </c>
      <c r="B29" s="106">
        <f t="shared" si="0"/>
        <v>128114.56210814044</v>
      </c>
      <c r="C29" s="106">
        <f t="shared" si="1"/>
        <v>1477160.9011068591</v>
      </c>
      <c r="D29" s="1">
        <f t="shared" si="4"/>
        <v>7.7693144125517988E-4</v>
      </c>
      <c r="E29" s="199">
        <f t="shared" si="2"/>
        <v>143232080.436901</v>
      </c>
    </row>
    <row r="30" spans="1:8" x14ac:dyDescent="0.3">
      <c r="A30" s="122">
        <f t="shared" si="3"/>
        <v>24000000</v>
      </c>
      <c r="B30" s="106">
        <f t="shared" si="0"/>
        <v>143820.04043962713</v>
      </c>
      <c r="C30" s="106">
        <f t="shared" si="1"/>
        <v>1658245.0662689006</v>
      </c>
      <c r="D30" s="1">
        <f t="shared" si="4"/>
        <v>6.5439493047861222E-4</v>
      </c>
      <c r="E30" s="199">
        <f t="shared" si="2"/>
        <v>160790805.21150315</v>
      </c>
    </row>
    <row r="31" spans="1:8" x14ac:dyDescent="0.3">
      <c r="A31" s="122">
        <f t="shared" si="3"/>
        <v>27000000</v>
      </c>
      <c r="B31" s="106">
        <f t="shared" si="0"/>
        <v>158934.4541807482</v>
      </c>
      <c r="C31" s="106">
        <f t="shared" si="1"/>
        <v>1832514.2567040266</v>
      </c>
      <c r="D31" s="1">
        <f t="shared" si="4"/>
        <v>5.5979310152300251E-4</v>
      </c>
      <c r="E31" s="199">
        <f t="shared" si="2"/>
        <v>177688719.77407649</v>
      </c>
    </row>
    <row r="32" spans="1:8" x14ac:dyDescent="0.3">
      <c r="A32" s="122">
        <f t="shared" si="3"/>
        <v>30000000</v>
      </c>
      <c r="B32" s="106">
        <f t="shared" si="0"/>
        <v>173476.53353370167</v>
      </c>
      <c r="C32" s="106">
        <f t="shared" si="1"/>
        <v>2000184.4316435801</v>
      </c>
      <c r="D32" s="1">
        <f t="shared" si="4"/>
        <v>4.847359784317824E-4</v>
      </c>
      <c r="E32" s="199">
        <f t="shared" si="2"/>
        <v>193946764.49067846</v>
      </c>
    </row>
    <row r="33" spans="1:5" x14ac:dyDescent="0.3">
      <c r="A33" s="122">
        <f t="shared" si="3"/>
        <v>33000000</v>
      </c>
      <c r="B33" s="106">
        <f t="shared" si="0"/>
        <v>187464.69872274343</v>
      </c>
      <c r="C33" s="106">
        <f t="shared" si="1"/>
        <v>2161467.9762732317</v>
      </c>
      <c r="D33" s="1">
        <f t="shared" si="4"/>
        <v>4.2388379360732597E-4</v>
      </c>
      <c r="E33" s="199">
        <f t="shared" si="2"/>
        <v>209585533.17202714</v>
      </c>
    </row>
    <row r="34" spans="1:5" x14ac:dyDescent="0.3">
      <c r="A34" s="122">
        <f>A33+(($C$18-$B$18)/$D$18)</f>
        <v>36000000</v>
      </c>
      <c r="B34" s="106">
        <f t="shared" si="0"/>
        <v>200917.04004970193</v>
      </c>
      <c r="C34" s="106">
        <f t="shared" si="1"/>
        <v>2316573.4717730633</v>
      </c>
      <c r="D34" s="1">
        <f t="shared" si="4"/>
        <v>3.7367614797106946E-4</v>
      </c>
      <c r="E34" s="199">
        <f t="shared" si="2"/>
        <v>224625250.77556676</v>
      </c>
    </row>
    <row r="35" spans="1:5" x14ac:dyDescent="0.3">
      <c r="A35" s="122">
        <f t="shared" si="3"/>
        <v>39000000</v>
      </c>
      <c r="B35" s="106">
        <f t="shared" si="0"/>
        <v>213851.30066273827</v>
      </c>
      <c r="C35" s="106">
        <f t="shared" si="1"/>
        <v>2465705.4966413723</v>
      </c>
      <c r="D35" s="1">
        <f t="shared" si="4"/>
        <v>3.3164770802657288E-4</v>
      </c>
      <c r="E35" s="199">
        <f t="shared" si="2"/>
        <v>239085754.14094138</v>
      </c>
    </row>
    <row r="36" spans="1:5" x14ac:dyDescent="0.3">
      <c r="A36" s="122">
        <f t="shared" si="3"/>
        <v>42000000</v>
      </c>
      <c r="B36" s="106">
        <f t="shared" si="0"/>
        <v>226284.86186285131</v>
      </c>
      <c r="C36" s="106">
        <f t="shared" si="1"/>
        <v>2609064.4572786754</v>
      </c>
      <c r="D36" s="1">
        <f t="shared" si="4"/>
        <v>2.9603717143126277E-4</v>
      </c>
      <c r="E36" s="199">
        <f t="shared" si="2"/>
        <v>252986475.56266776</v>
      </c>
    </row>
    <row r="37" spans="1:5" x14ac:dyDescent="0.3">
      <c r="A37" s="122">
        <f t="shared" si="3"/>
        <v>45000000</v>
      </c>
      <c r="B37" s="106">
        <f t="shared" si="0"/>
        <v>238234.73077614885</v>
      </c>
      <c r="C37" s="106">
        <f t="shared" si="1"/>
        <v>2746846.4458489963</v>
      </c>
      <c r="D37" s="1">
        <f t="shared" si="4"/>
        <v>2.6555264251772312E-4</v>
      </c>
      <c r="E37" s="199">
        <f t="shared" si="2"/>
        <v>266346429.00773442</v>
      </c>
    </row>
    <row r="38" spans="1:5" x14ac:dyDescent="0.3">
      <c r="A38" s="122">
        <f t="shared" si="3"/>
        <v>48000000</v>
      </c>
      <c r="B38" s="106">
        <f t="shared" si="0"/>
        <v>249717.53022422828</v>
      </c>
      <c r="C38" s="106">
        <f t="shared" si="1"/>
        <v>2879243.1234853519</v>
      </c>
      <c r="D38" s="1">
        <f t="shared" si="4"/>
        <v>2.3922498850165478E-4</v>
      </c>
      <c r="E38" s="199">
        <f t="shared" si="2"/>
        <v>279184198.7906872</v>
      </c>
    </row>
    <row r="39" spans="1:5" x14ac:dyDescent="0.3">
      <c r="A39" s="122">
        <f t="shared" si="3"/>
        <v>51000000</v>
      </c>
      <c r="B39" s="106">
        <f t="shared" si="0"/>
        <v>260749.49063010328</v>
      </c>
      <c r="C39" s="106">
        <f t="shared" si="1"/>
        <v>3006441.6269650906</v>
      </c>
      <c r="D39" s="1">
        <f t="shared" si="4"/>
        <v>2.1631294913480387E-4</v>
      </c>
      <c r="E39" s="199">
        <f t="shared" si="2"/>
        <v>291517930.52445549</v>
      </c>
    </row>
    <row r="40" spans="1:5" x14ac:dyDescent="0.3">
      <c r="A40" s="122">
        <f t="shared" si="3"/>
        <v>54000000</v>
      </c>
      <c r="B40" s="106">
        <f t="shared" si="0"/>
        <v>271346.44380283542</v>
      </c>
      <c r="C40" s="106">
        <f t="shared" si="1"/>
        <v>3128624.4970466923</v>
      </c>
      <c r="D40" s="1">
        <f t="shared" si="4"/>
        <v>1.9623987356911379E-4</v>
      </c>
      <c r="E40" s="199">
        <f t="shared" si="2"/>
        <v>303365324.17157</v>
      </c>
    </row>
    <row r="41" spans="1:5" x14ac:dyDescent="0.3">
      <c r="A41" s="122">
        <f>A40+(($C$18-$B$18)/$D$18)</f>
        <v>57000000</v>
      </c>
      <c r="B41" s="106">
        <f t="shared" si="0"/>
        <v>281523.81845008489</v>
      </c>
      <c r="C41" s="106">
        <f t="shared" si="1"/>
        <v>3245969.6267294786</v>
      </c>
      <c r="D41" s="1">
        <f t="shared" si="4"/>
        <v>1.7855043240788541E-4</v>
      </c>
      <c r="E41" s="199">
        <f t="shared" si="2"/>
        <v>314743629.02719492</v>
      </c>
    </row>
    <row r="42" spans="1:5" x14ac:dyDescent="0.3">
      <c r="A42" s="122">
        <f t="shared" si="3"/>
        <v>60000000</v>
      </c>
      <c r="B42" s="106">
        <f t="shared" si="0"/>
        <v>291296.63727436401</v>
      </c>
      <c r="C42" s="106">
        <f t="shared" si="1"/>
        <v>3358650.2277734168</v>
      </c>
      <c r="D42" s="1">
        <f t="shared" si="4"/>
        <v>1.6288031373798537E-4</v>
      </c>
      <c r="E42" s="199">
        <f t="shared" si="2"/>
        <v>325669640.47273898</v>
      </c>
    </row>
  </sheetData>
  <mergeCells count="11">
    <mergeCell ref="G7:I7"/>
    <mergeCell ref="K13:R14"/>
    <mergeCell ref="K11:K12"/>
    <mergeCell ref="A13:F14"/>
    <mergeCell ref="A17:A18"/>
    <mergeCell ref="A20:C20"/>
    <mergeCell ref="B4:F4"/>
    <mergeCell ref="A7:A9"/>
    <mergeCell ref="B7:C7"/>
    <mergeCell ref="D7:F7"/>
    <mergeCell ref="A11:A12"/>
  </mergeCell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 tint="0.79998168889431442"/>
  </sheetPr>
  <dimension ref="A1:R42"/>
  <sheetViews>
    <sheetView topLeftCell="A2" workbookViewId="0">
      <selection activeCell="E21" sqref="E21:E22"/>
    </sheetView>
  </sheetViews>
  <sheetFormatPr defaultRowHeight="13.8" x14ac:dyDescent="0.3"/>
  <cols>
    <col min="1" max="1" width="12.109375" style="1" customWidth="1"/>
    <col min="2" max="2" width="13.5546875" style="1" customWidth="1"/>
    <col min="3" max="3" width="12.5546875" style="1" customWidth="1"/>
    <col min="4" max="4" width="13.77734375" style="1" customWidth="1"/>
    <col min="5" max="5" width="13.109375" style="1" customWidth="1"/>
    <col min="6" max="6" width="12.441406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1" width="14.33203125" style="1" bestFit="1" customWidth="1"/>
    <col min="12" max="13" width="12" style="1" bestFit="1" customWidth="1"/>
    <col min="14" max="14" width="11.44140625" style="1" bestFit="1" customWidth="1"/>
    <col min="15" max="15" width="9.77734375" style="1" bestFit="1" customWidth="1"/>
    <col min="16" max="16" width="8.88671875" style="1"/>
    <col min="17" max="17" width="10.33203125" style="1" customWidth="1"/>
    <col min="18" max="18" width="11" style="1" customWidth="1"/>
    <col min="19" max="16384" width="8.88671875" style="1"/>
  </cols>
  <sheetData>
    <row r="1" spans="1:18" ht="14.4" thickBot="1" x14ac:dyDescent="0.35">
      <c r="A1" s="6" t="s">
        <v>0</v>
      </c>
      <c r="B1" s="1" t="s">
        <v>159</v>
      </c>
    </row>
    <row r="2" spans="1:18" x14ac:dyDescent="0.3">
      <c r="A2" s="7" t="s">
        <v>2</v>
      </c>
      <c r="B2" s="8" t="s">
        <v>106</v>
      </c>
      <c r="C2" s="9" t="s">
        <v>4</v>
      </c>
      <c r="D2" s="8" t="s">
        <v>6</v>
      </c>
      <c r="E2" s="9" t="s">
        <v>122</v>
      </c>
      <c r="F2" s="10" t="s">
        <v>123</v>
      </c>
      <c r="H2" s="88" t="s">
        <v>107</v>
      </c>
      <c r="I2" s="89"/>
      <c r="J2" s="89"/>
      <c r="K2" s="89"/>
      <c r="L2" s="90"/>
    </row>
    <row r="3" spans="1:18" ht="14.4" thickBot="1" x14ac:dyDescent="0.35">
      <c r="A3" s="11" t="s">
        <v>3</v>
      </c>
      <c r="B3" s="12" t="s">
        <v>96</v>
      </c>
      <c r="C3" s="13" t="s">
        <v>5</v>
      </c>
      <c r="D3" s="12" t="s">
        <v>7</v>
      </c>
      <c r="E3" s="13" t="s">
        <v>109</v>
      </c>
      <c r="F3" s="14" t="s">
        <v>110</v>
      </c>
    </row>
    <row r="4" spans="1:18" ht="15" customHeight="1" thickBot="1" x14ac:dyDescent="0.35">
      <c r="A4" s="107" t="s">
        <v>38</v>
      </c>
      <c r="B4" s="263" t="s">
        <v>111</v>
      </c>
      <c r="C4" s="263"/>
      <c r="D4" s="263"/>
      <c r="E4" s="263"/>
      <c r="F4" s="264"/>
      <c r="H4" s="1" t="s">
        <v>112</v>
      </c>
    </row>
    <row r="5" spans="1:18" x14ac:dyDescent="0.3">
      <c r="H5" s="1" t="s">
        <v>113</v>
      </c>
    </row>
    <row r="6" spans="1:18" ht="14.4" thickBot="1" x14ac:dyDescent="0.35">
      <c r="B6" s="78">
        <v>0.5</v>
      </c>
      <c r="C6" s="78">
        <v>2</v>
      </c>
    </row>
    <row r="7" spans="1:18" ht="27.6" customHeight="1" x14ac:dyDescent="0.3">
      <c r="A7" s="246" t="s">
        <v>8</v>
      </c>
      <c r="B7" s="240" t="s">
        <v>9</v>
      </c>
      <c r="C7" s="241"/>
      <c r="D7" s="265" t="s">
        <v>12</v>
      </c>
      <c r="E7" s="266"/>
      <c r="F7" s="267"/>
      <c r="G7" s="240" t="s">
        <v>143</v>
      </c>
      <c r="H7" s="240"/>
      <c r="I7" s="242"/>
      <c r="J7" s="1" t="s">
        <v>144</v>
      </c>
    </row>
    <row r="8" spans="1:18" ht="28.2" customHeight="1" x14ac:dyDescent="0.3">
      <c r="A8" s="247"/>
      <c r="B8" s="91" t="s">
        <v>10</v>
      </c>
      <c r="C8" s="17" t="s">
        <v>11</v>
      </c>
      <c r="D8" s="19" t="s">
        <v>20</v>
      </c>
      <c r="E8" s="91" t="s">
        <v>21</v>
      </c>
      <c r="F8" s="108" t="s">
        <v>124</v>
      </c>
      <c r="G8" s="87" t="s">
        <v>22</v>
      </c>
      <c r="H8" s="91" t="s">
        <v>23</v>
      </c>
      <c r="I8" s="144" t="s">
        <v>140</v>
      </c>
    </row>
    <row r="9" spans="1:18" ht="14.4" customHeight="1" thickBot="1" x14ac:dyDescent="0.35">
      <c r="A9" s="248"/>
      <c r="B9" s="80">
        <f>JJ_Optim_Scenario!G22</f>
        <v>6255187.2000000002</v>
      </c>
      <c r="C9" s="80">
        <f>JJ_Optim_Scenario!H22</f>
        <v>9382780.7999999989</v>
      </c>
      <c r="D9" s="95">
        <f>JJ_Optim_Scenario!I22</f>
        <v>9382780.7999999989</v>
      </c>
      <c r="E9" s="118">
        <f>((($R$12/(1+EXP($P$12+$Q$12*D9)))-1) - ($F$12-$C$12))*$I$12</f>
        <v>38504.59611640498</v>
      </c>
      <c r="F9" s="145">
        <f>E9*$G$12</f>
        <v>443957.99322214938</v>
      </c>
      <c r="G9" s="80">
        <f>JJ_Optim_Scenario!E22</f>
        <v>7818984</v>
      </c>
      <c r="H9" s="121">
        <f>((($R$12/(1+EXP($P$12+$Q$12*G9)))-1) - ($F$12-$C$12))*$I$12</f>
        <v>32808.607210343704</v>
      </c>
      <c r="I9" s="146">
        <f>H9*$G$12</f>
        <v>378283.24113526288</v>
      </c>
      <c r="J9" s="123">
        <f>G9/I9</f>
        <v>20.669654771209288</v>
      </c>
      <c r="K9" s="1" t="s">
        <v>142</v>
      </c>
    </row>
    <row r="10" spans="1:18" ht="14.4" thickBot="1" x14ac:dyDescent="0.35"/>
    <row r="11" spans="1:18" ht="51.6" customHeight="1" x14ac:dyDescent="0.3">
      <c r="A11" s="246" t="s">
        <v>15</v>
      </c>
      <c r="B11" s="93" t="s">
        <v>16</v>
      </c>
      <c r="C11" s="93" t="s">
        <v>17</v>
      </c>
      <c r="D11" s="93" t="s">
        <v>18</v>
      </c>
      <c r="E11" s="93" t="s">
        <v>19</v>
      </c>
      <c r="F11" s="15" t="s">
        <v>114</v>
      </c>
      <c r="G11" s="92" t="s">
        <v>125</v>
      </c>
      <c r="H11" s="93" t="s">
        <v>126</v>
      </c>
      <c r="I11" s="149" t="s">
        <v>134</v>
      </c>
      <c r="K11" s="249" t="s">
        <v>25</v>
      </c>
      <c r="L11" s="93" t="s">
        <v>115</v>
      </c>
      <c r="M11" s="93" t="s">
        <v>116</v>
      </c>
      <c r="N11" s="93" t="s">
        <v>117</v>
      </c>
      <c r="O11" s="93" t="s">
        <v>118</v>
      </c>
      <c r="P11" s="93" t="s">
        <v>26</v>
      </c>
      <c r="Q11" s="93" t="s">
        <v>27</v>
      </c>
      <c r="R11" s="15" t="s">
        <v>28</v>
      </c>
    </row>
    <row r="12" spans="1:18" ht="15" customHeight="1" thickBot="1" x14ac:dyDescent="0.35">
      <c r="A12" s="248"/>
      <c r="B12" s="80">
        <v>7032507</v>
      </c>
      <c r="C12" s="86">
        <v>29842</v>
      </c>
      <c r="D12" s="12">
        <v>0</v>
      </c>
      <c r="E12" s="86">
        <v>154950</v>
      </c>
      <c r="F12" s="97">
        <v>5165000</v>
      </c>
      <c r="G12" s="148">
        <v>11.53</v>
      </c>
      <c r="H12" s="98">
        <f>C12*G12</f>
        <v>344078.26</v>
      </c>
      <c r="I12" s="197">
        <f>JJ_Optim_Scenario!D22</f>
        <v>1</v>
      </c>
      <c r="K12" s="250"/>
      <c r="L12" s="98">
        <f>F12-C12</f>
        <v>5135158</v>
      </c>
      <c r="M12" s="98">
        <f>L12+E12</f>
        <v>5290108</v>
      </c>
      <c r="N12" s="99">
        <f>B12</f>
        <v>7032507</v>
      </c>
      <c r="O12" s="98">
        <f>F12</f>
        <v>5165000</v>
      </c>
      <c r="P12" s="24">
        <f>LN((($M$12+1)/($L$12+1))-1)</f>
        <v>-3.5007636016222654</v>
      </c>
      <c r="Q12" s="100">
        <f>(LN((($M$12+1)/($O$12+1))-1)-$P$12)/$N$12</f>
        <v>-3.124342560528458E-8</v>
      </c>
      <c r="R12" s="101">
        <f>M12+1</f>
        <v>5290109</v>
      </c>
    </row>
    <row r="13" spans="1:18" ht="34.200000000000003" customHeight="1" x14ac:dyDescent="0.3">
      <c r="A13" s="268" t="s">
        <v>119</v>
      </c>
      <c r="B13" s="269"/>
      <c r="C13" s="269"/>
      <c r="D13" s="269"/>
      <c r="E13" s="269"/>
      <c r="F13" s="270"/>
      <c r="G13" s="198" t="s">
        <v>205</v>
      </c>
      <c r="H13" s="198" t="s">
        <v>206</v>
      </c>
      <c r="K13" s="268" t="s">
        <v>120</v>
      </c>
      <c r="L13" s="269"/>
      <c r="M13" s="269"/>
      <c r="N13" s="269"/>
      <c r="O13" s="269"/>
      <c r="P13" s="269"/>
      <c r="Q13" s="269"/>
      <c r="R13" s="270"/>
    </row>
    <row r="14" spans="1:18" ht="33.6" customHeight="1" thickBot="1" x14ac:dyDescent="0.35">
      <c r="A14" s="260"/>
      <c r="B14" s="261"/>
      <c r="C14" s="261"/>
      <c r="D14" s="261"/>
      <c r="E14" s="261"/>
      <c r="F14" s="262"/>
      <c r="G14" s="158">
        <f>JJ_Optim_Scenario!$I$31</f>
        <v>116.39999999999999</v>
      </c>
      <c r="H14" s="158">
        <f>JJ_Optim_Scenario!$F$31</f>
        <v>1118</v>
      </c>
      <c r="K14" s="260"/>
      <c r="L14" s="261"/>
      <c r="M14" s="261"/>
      <c r="N14" s="261"/>
      <c r="O14" s="261"/>
      <c r="P14" s="261"/>
      <c r="Q14" s="261"/>
      <c r="R14" s="262"/>
    </row>
    <row r="16" spans="1:18" ht="14.4" thickBot="1" x14ac:dyDescent="0.35"/>
    <row r="17" spans="1:8" ht="42.6" customHeight="1" x14ac:dyDescent="0.3">
      <c r="A17" s="249" t="s">
        <v>34</v>
      </c>
      <c r="B17" s="93" t="s">
        <v>32</v>
      </c>
      <c r="C17" s="93" t="s">
        <v>31</v>
      </c>
      <c r="D17" s="15" t="s">
        <v>33</v>
      </c>
      <c r="F17" s="109"/>
      <c r="G17" s="109"/>
      <c r="H17" s="110"/>
    </row>
    <row r="18" spans="1:8" ht="23.4" customHeight="1" thickBot="1" x14ac:dyDescent="0.35">
      <c r="A18" s="250"/>
      <c r="B18" s="102">
        <v>0</v>
      </c>
      <c r="C18" s="103">
        <v>30000000</v>
      </c>
      <c r="D18" s="26">
        <v>20</v>
      </c>
    </row>
    <row r="20" spans="1:8" x14ac:dyDescent="0.3">
      <c r="A20" s="215" t="s">
        <v>37</v>
      </c>
      <c r="B20" s="215"/>
      <c r="C20" s="215"/>
    </row>
    <row r="21" spans="1:8" x14ac:dyDescent="0.3">
      <c r="A21" s="91" t="s">
        <v>35</v>
      </c>
      <c r="B21" s="91" t="s">
        <v>127</v>
      </c>
      <c r="C21" s="91" t="s">
        <v>128</v>
      </c>
      <c r="D21" s="1" t="s">
        <v>129</v>
      </c>
      <c r="E21" s="198" t="s">
        <v>207</v>
      </c>
    </row>
    <row r="22" spans="1:8" x14ac:dyDescent="0.3">
      <c r="A22" s="122">
        <f>B18</f>
        <v>0</v>
      </c>
      <c r="B22" s="106">
        <f t="shared" ref="B22:B42" si="0">((($R$12/(1+EXP($P$12+$Q$12*A22)))-1) - ($F$12-$C$12))*$I$12</f>
        <v>0</v>
      </c>
      <c r="C22" s="106">
        <f>B22*$G$12</f>
        <v>0</v>
      </c>
      <c r="E22" s="199">
        <f>B22*$H$14</f>
        <v>0</v>
      </c>
    </row>
    <row r="23" spans="1:8" x14ac:dyDescent="0.3">
      <c r="A23" s="122">
        <f>A22+(($C$18-$B$18)/$D$18)</f>
        <v>1500000</v>
      </c>
      <c r="B23" s="106">
        <f t="shared" si="0"/>
        <v>6895.6730519244447</v>
      </c>
      <c r="C23" s="106">
        <f t="shared" ref="C23:C42" si="1">B23*$G$12</f>
        <v>79507.11028868884</v>
      </c>
      <c r="D23" s="1">
        <f>(B23-B22)/A23</f>
        <v>4.5971153679496297E-3</v>
      </c>
      <c r="E23" s="199">
        <f t="shared" ref="E23:E42" si="2">B23*$H$14</f>
        <v>7709362.4720515292</v>
      </c>
    </row>
    <row r="24" spans="1:8" x14ac:dyDescent="0.3">
      <c r="A24" s="122">
        <f t="shared" ref="A24:A42" si="3">A23+(($C$18-$B$18)/$D$18)</f>
        <v>3000000</v>
      </c>
      <c r="B24" s="106">
        <f t="shared" si="0"/>
        <v>13492.924360195175</v>
      </c>
      <c r="C24" s="106">
        <f t="shared" si="1"/>
        <v>155573.41787305035</v>
      </c>
      <c r="D24" s="1">
        <f t="shared" ref="D24:D42" si="4">(B24-B23)/A24</f>
        <v>2.1990837694235766E-3</v>
      </c>
      <c r="E24" s="199">
        <f t="shared" si="2"/>
        <v>15085089.434698205</v>
      </c>
    </row>
    <row r="25" spans="1:8" x14ac:dyDescent="0.3">
      <c r="A25" s="122">
        <f t="shared" si="3"/>
        <v>4500000</v>
      </c>
      <c r="B25" s="106">
        <f t="shared" si="0"/>
        <v>19803.930657913908</v>
      </c>
      <c r="C25" s="106">
        <f t="shared" si="1"/>
        <v>228339.32048574736</v>
      </c>
      <c r="D25" s="1">
        <f t="shared" si="4"/>
        <v>1.4024458439374963E-3</v>
      </c>
      <c r="E25" s="199">
        <f t="shared" si="2"/>
        <v>22140794.47554775</v>
      </c>
    </row>
    <row r="26" spans="1:8" x14ac:dyDescent="0.3">
      <c r="A26" s="122">
        <f t="shared" si="3"/>
        <v>6000000</v>
      </c>
      <c r="B26" s="106">
        <f t="shared" si="0"/>
        <v>25840.436453695409</v>
      </c>
      <c r="C26" s="106">
        <f t="shared" si="1"/>
        <v>297940.23231110803</v>
      </c>
      <c r="D26" s="1">
        <f t="shared" si="4"/>
        <v>1.0060842992969169E-3</v>
      </c>
      <c r="E26" s="199">
        <f t="shared" si="2"/>
        <v>28889607.955231465</v>
      </c>
    </row>
    <row r="27" spans="1:8" x14ac:dyDescent="0.3">
      <c r="A27" s="122">
        <f t="shared" si="3"/>
        <v>7500000</v>
      </c>
      <c r="B27" s="106">
        <f t="shared" si="0"/>
        <v>31613.763577678241</v>
      </c>
      <c r="C27" s="106">
        <f t="shared" si="1"/>
        <v>364506.69405063009</v>
      </c>
      <c r="D27" s="1">
        <f t="shared" si="4"/>
        <v>7.6977694986437759E-4</v>
      </c>
      <c r="E27" s="199">
        <f t="shared" si="2"/>
        <v>35344187.679844275</v>
      </c>
    </row>
    <row r="28" spans="1:8" x14ac:dyDescent="0.3">
      <c r="A28" s="122">
        <f t="shared" si="3"/>
        <v>9000000</v>
      </c>
      <c r="B28" s="106">
        <f t="shared" si="0"/>
        <v>37134.821087535471</v>
      </c>
      <c r="C28" s="106">
        <f t="shared" si="1"/>
        <v>428164.48713928397</v>
      </c>
      <c r="D28" s="1">
        <f t="shared" si="4"/>
        <v>6.1345083442858111E-4</v>
      </c>
      <c r="E28" s="199">
        <f t="shared" si="2"/>
        <v>41516729.975864656</v>
      </c>
    </row>
    <row r="29" spans="1:8" x14ac:dyDescent="0.3">
      <c r="A29" s="122">
        <f t="shared" si="3"/>
        <v>10500000</v>
      </c>
      <c r="B29" s="106">
        <f t="shared" si="0"/>
        <v>42414.115461166948</v>
      </c>
      <c r="C29" s="106">
        <f t="shared" si="1"/>
        <v>489034.75126725488</v>
      </c>
      <c r="D29" s="1">
        <f t="shared" si="4"/>
        <v>5.0278994034585502E-4</v>
      </c>
      <c r="E29" s="199">
        <f t="shared" si="2"/>
        <v>47418981.085584648</v>
      </c>
    </row>
    <row r="30" spans="1:8" x14ac:dyDescent="0.3">
      <c r="A30" s="122">
        <f t="shared" si="3"/>
        <v>12000000</v>
      </c>
      <c r="B30" s="106">
        <f t="shared" si="0"/>
        <v>47461.761009507813</v>
      </c>
      <c r="C30" s="106">
        <f t="shared" si="1"/>
        <v>547234.10443962505</v>
      </c>
      <c r="D30" s="1">
        <f t="shared" si="4"/>
        <v>4.2063712902840538E-4</v>
      </c>
      <c r="E30" s="199">
        <f t="shared" si="2"/>
        <v>53062248.808629736</v>
      </c>
    </row>
    <row r="31" spans="1:8" x14ac:dyDescent="0.3">
      <c r="A31" s="122">
        <f t="shared" si="3"/>
        <v>13500000</v>
      </c>
      <c r="B31" s="106">
        <f t="shared" si="0"/>
        <v>52287.490449133329</v>
      </c>
      <c r="C31" s="106">
        <f t="shared" si="1"/>
        <v>602874.76487850724</v>
      </c>
      <c r="D31" s="1">
        <f t="shared" si="4"/>
        <v>3.574614399722605E-4</v>
      </c>
      <c r="E31" s="199">
        <f t="shared" si="2"/>
        <v>58457414.32213106</v>
      </c>
    </row>
    <row r="32" spans="1:8" x14ac:dyDescent="0.3">
      <c r="A32" s="122">
        <f t="shared" si="3"/>
        <v>15000000</v>
      </c>
      <c r="B32" s="106">
        <f t="shared" si="0"/>
        <v>56900.665580376983</v>
      </c>
      <c r="C32" s="106">
        <f t="shared" si="1"/>
        <v>656064.6741417466</v>
      </c>
      <c r="D32" s="1">
        <f t="shared" si="4"/>
        <v>3.0754500874957691E-4</v>
      </c>
      <c r="E32" s="199">
        <f t="shared" si="2"/>
        <v>63614944.118861467</v>
      </c>
    </row>
    <row r="33" spans="1:5" x14ac:dyDescent="0.3">
      <c r="A33" s="122">
        <f t="shared" si="3"/>
        <v>16500000</v>
      </c>
      <c r="B33" s="106">
        <f t="shared" si="0"/>
        <v>61310.288022032939</v>
      </c>
      <c r="C33" s="106">
        <f t="shared" si="1"/>
        <v>706907.62089403975</v>
      </c>
      <c r="D33" s="1">
        <f t="shared" si="4"/>
        <v>2.6724984494884581E-4</v>
      </c>
      <c r="E33" s="199">
        <f t="shared" si="2"/>
        <v>68544902.008632824</v>
      </c>
    </row>
    <row r="34" spans="1:5" x14ac:dyDescent="0.3">
      <c r="A34" s="122">
        <f>A33+(($C$18-$B$18)/$D$18)</f>
        <v>18000000</v>
      </c>
      <c r="B34" s="106">
        <f t="shared" si="0"/>
        <v>65525.00995898433</v>
      </c>
      <c r="C34" s="106">
        <f t="shared" si="1"/>
        <v>755503.36482708924</v>
      </c>
      <c r="D34" s="1">
        <f t="shared" si="4"/>
        <v>2.3415121871952176E-4</v>
      </c>
      <c r="E34" s="199">
        <f t="shared" si="2"/>
        <v>73256961.134144485</v>
      </c>
    </row>
    <row r="35" spans="1:5" x14ac:dyDescent="0.3">
      <c r="A35" s="122">
        <f t="shared" si="3"/>
        <v>19500000</v>
      </c>
      <c r="B35" s="106">
        <f t="shared" si="0"/>
        <v>69553.144863749854</v>
      </c>
      <c r="C35" s="106">
        <f t="shared" si="1"/>
        <v>801947.76027903578</v>
      </c>
      <c r="D35" s="1">
        <f t="shared" si="4"/>
        <v>2.0657102075720635E-4</v>
      </c>
      <c r="E35" s="199">
        <f t="shared" si="2"/>
        <v>77760415.957672343</v>
      </c>
    </row>
    <row r="36" spans="1:5" x14ac:dyDescent="0.3">
      <c r="A36" s="122">
        <f t="shared" si="3"/>
        <v>21000000</v>
      </c>
      <c r="B36" s="106">
        <f t="shared" si="0"/>
        <v>73402.678157398477</v>
      </c>
      <c r="C36" s="106">
        <f t="shared" si="1"/>
        <v>846332.8791548044</v>
      </c>
      <c r="D36" s="1">
        <f t="shared" si="4"/>
        <v>1.8331110922136299E-4</v>
      </c>
      <c r="E36" s="199">
        <f t="shared" si="2"/>
        <v>82064194.179971501</v>
      </c>
    </row>
    <row r="37" spans="1:5" x14ac:dyDescent="0.3">
      <c r="A37" s="122">
        <f t="shared" si="3"/>
        <v>22500000</v>
      </c>
      <c r="B37" s="106">
        <f t="shared" si="0"/>
        <v>77081.277779318392</v>
      </c>
      <c r="C37" s="106">
        <f t="shared" si="1"/>
        <v>888747.13279554097</v>
      </c>
      <c r="D37" s="1">
        <f t="shared" si="4"/>
        <v>1.63493316529774E-4</v>
      </c>
      <c r="E37" s="199">
        <f t="shared" si="2"/>
        <v>86176868.557277963</v>
      </c>
    </row>
    <row r="38" spans="1:5" x14ac:dyDescent="0.3">
      <c r="A38" s="122">
        <f t="shared" si="3"/>
        <v>24000000</v>
      </c>
      <c r="B38" s="106">
        <f t="shared" si="0"/>
        <v>80596.304639068432</v>
      </c>
      <c r="C38" s="106">
        <f t="shared" si="1"/>
        <v>929275.39248845901</v>
      </c>
      <c r="D38" s="1">
        <f t="shared" si="4"/>
        <v>1.4645945248958499E-4</v>
      </c>
      <c r="E38" s="199">
        <f t="shared" si="2"/>
        <v>90106668.586478502</v>
      </c>
    </row>
    <row r="39" spans="1:5" x14ac:dyDescent="0.3">
      <c r="A39" s="122">
        <f t="shared" si="3"/>
        <v>25500000</v>
      </c>
      <c r="B39" s="106">
        <f t="shared" si="0"/>
        <v>83954.822926981375</v>
      </c>
      <c r="C39" s="106">
        <f t="shared" si="1"/>
        <v>967999.10834809521</v>
      </c>
      <c r="D39" s="1">
        <f t="shared" si="4"/>
        <v>1.3170659952599774E-4</v>
      </c>
      <c r="E39" s="199">
        <f t="shared" si="2"/>
        <v>93861492.032365173</v>
      </c>
    </row>
    <row r="40" spans="1:5" x14ac:dyDescent="0.3">
      <c r="A40" s="122">
        <f t="shared" si="3"/>
        <v>27000000</v>
      </c>
      <c r="B40" s="106">
        <f t="shared" si="0"/>
        <v>87163.610263321549</v>
      </c>
      <c r="C40" s="106">
        <f t="shared" si="1"/>
        <v>1004996.4263360974</v>
      </c>
      <c r="D40" s="1">
        <f t="shared" si="4"/>
        <v>1.1884397542000644E-4</v>
      </c>
      <c r="E40" s="199">
        <f t="shared" si="2"/>
        <v>97448916.274393499</v>
      </c>
    </row>
    <row r="41" spans="1:5" x14ac:dyDescent="0.3">
      <c r="A41" s="122">
        <f>A40+(($C$18-$B$18)/$D$18)</f>
        <v>28500000</v>
      </c>
      <c r="B41" s="106">
        <f t="shared" si="0"/>
        <v>90229.167668692768</v>
      </c>
      <c r="C41" s="106">
        <f t="shared" si="1"/>
        <v>1040342.3032200276</v>
      </c>
      <c r="D41" s="1">
        <f t="shared" si="4"/>
        <v>1.0756341773232348E-4</v>
      </c>
      <c r="E41" s="199">
        <f t="shared" si="2"/>
        <v>100876209.45359851</v>
      </c>
    </row>
    <row r="42" spans="1:5" x14ac:dyDescent="0.3">
      <c r="A42" s="122">
        <f t="shared" si="3"/>
        <v>30000000</v>
      </c>
      <c r="B42" s="106">
        <f t="shared" si="0"/>
        <v>93157.729340983555</v>
      </c>
      <c r="C42" s="106">
        <f t="shared" si="1"/>
        <v>1074108.6193015403</v>
      </c>
      <c r="D42" s="1">
        <f t="shared" si="4"/>
        <v>9.7618722409692897E-5</v>
      </c>
      <c r="E42" s="199">
        <f t="shared" si="2"/>
        <v>104150341.40321961</v>
      </c>
    </row>
  </sheetData>
  <mergeCells count="11">
    <mergeCell ref="K11:K12"/>
    <mergeCell ref="A13:F14"/>
    <mergeCell ref="A17:A18"/>
    <mergeCell ref="A20:C20"/>
    <mergeCell ref="K13:R14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 tint="0.79998168889431442"/>
  </sheetPr>
  <dimension ref="A1:R42"/>
  <sheetViews>
    <sheetView topLeftCell="A2" workbookViewId="0">
      <selection activeCell="E21" sqref="E21:E22"/>
    </sheetView>
  </sheetViews>
  <sheetFormatPr defaultRowHeight="13.8" x14ac:dyDescent="0.3"/>
  <cols>
    <col min="1" max="1" width="12.109375" style="1" customWidth="1"/>
    <col min="2" max="2" width="13.5546875" style="1" customWidth="1"/>
    <col min="3" max="3" width="12.5546875" style="1" customWidth="1"/>
    <col min="4" max="4" width="13.77734375" style="1" customWidth="1"/>
    <col min="5" max="6" width="12.44140625" style="1" customWidth="1"/>
    <col min="7" max="7" width="12" style="1" customWidth="1"/>
    <col min="8" max="8" width="10.33203125" style="1" customWidth="1"/>
    <col min="9" max="9" width="18" style="1" customWidth="1"/>
    <col min="10" max="10" width="10.33203125" style="1" customWidth="1"/>
    <col min="11" max="11" width="14.33203125" style="1" bestFit="1" customWidth="1"/>
    <col min="12" max="13" width="12" style="1" bestFit="1" customWidth="1"/>
    <col min="14" max="14" width="11.44140625" style="1" bestFit="1" customWidth="1"/>
    <col min="15" max="15" width="9.77734375" style="1" bestFit="1" customWidth="1"/>
    <col min="16" max="16" width="8.88671875" style="1"/>
    <col min="17" max="17" width="10.33203125" style="1" customWidth="1"/>
    <col min="18" max="16384" width="8.88671875" style="1"/>
  </cols>
  <sheetData>
    <row r="1" spans="1:18" ht="14.4" thickBot="1" x14ac:dyDescent="0.35">
      <c r="A1" s="6" t="s">
        <v>0</v>
      </c>
      <c r="B1" s="1" t="s">
        <v>160</v>
      </c>
    </row>
    <row r="2" spans="1:18" x14ac:dyDescent="0.3">
      <c r="A2" s="7" t="s">
        <v>2</v>
      </c>
      <c r="B2" s="8" t="s">
        <v>106</v>
      </c>
      <c r="C2" s="9" t="s">
        <v>4</v>
      </c>
      <c r="D2" s="8" t="s">
        <v>6</v>
      </c>
      <c r="E2" s="9" t="s">
        <v>122</v>
      </c>
      <c r="F2" s="10" t="s">
        <v>123</v>
      </c>
      <c r="H2" s="88" t="s">
        <v>107</v>
      </c>
      <c r="I2" s="89"/>
      <c r="J2" s="89"/>
      <c r="K2" s="89"/>
      <c r="L2" s="90"/>
    </row>
    <row r="3" spans="1:18" ht="28.2" thickBot="1" x14ac:dyDescent="0.35">
      <c r="A3" s="11" t="s">
        <v>3</v>
      </c>
      <c r="B3" s="147" t="s">
        <v>130</v>
      </c>
      <c r="C3" s="13" t="s">
        <v>5</v>
      </c>
      <c r="D3" s="12" t="s">
        <v>7</v>
      </c>
      <c r="E3" s="13" t="s">
        <v>109</v>
      </c>
      <c r="F3" s="14" t="s">
        <v>110</v>
      </c>
    </row>
    <row r="4" spans="1:18" ht="15" customHeight="1" thickBot="1" x14ac:dyDescent="0.35">
      <c r="A4" s="107" t="s">
        <v>38</v>
      </c>
      <c r="B4" s="263" t="s">
        <v>111</v>
      </c>
      <c r="C4" s="263"/>
      <c r="D4" s="263"/>
      <c r="E4" s="263"/>
      <c r="F4" s="264"/>
      <c r="H4" s="1" t="s">
        <v>112</v>
      </c>
    </row>
    <row r="5" spans="1:18" x14ac:dyDescent="0.3">
      <c r="H5" s="1" t="s">
        <v>113</v>
      </c>
    </row>
    <row r="6" spans="1:18" ht="14.4" thickBot="1" x14ac:dyDescent="0.35">
      <c r="B6" s="78">
        <v>0.6</v>
      </c>
      <c r="C6" s="78">
        <v>1.3</v>
      </c>
    </row>
    <row r="7" spans="1:18" ht="27.6" customHeight="1" x14ac:dyDescent="0.3">
      <c r="A7" s="246" t="s">
        <v>8</v>
      </c>
      <c r="B7" s="240" t="s">
        <v>9</v>
      </c>
      <c r="C7" s="241"/>
      <c r="D7" s="265" t="s">
        <v>12</v>
      </c>
      <c r="E7" s="266"/>
      <c r="F7" s="267"/>
      <c r="G7" s="240" t="s">
        <v>143</v>
      </c>
      <c r="H7" s="240"/>
      <c r="I7" s="242"/>
      <c r="J7" s="1" t="s">
        <v>144</v>
      </c>
    </row>
    <row r="8" spans="1:18" ht="28.2" customHeight="1" x14ac:dyDescent="0.3">
      <c r="A8" s="247"/>
      <c r="B8" s="91" t="s">
        <v>10</v>
      </c>
      <c r="C8" s="17" t="s">
        <v>11</v>
      </c>
      <c r="D8" s="19" t="s">
        <v>20</v>
      </c>
      <c r="E8" s="91" t="s">
        <v>21</v>
      </c>
      <c r="F8" s="108" t="s">
        <v>124</v>
      </c>
      <c r="G8" s="87" t="s">
        <v>22</v>
      </c>
      <c r="H8" s="91" t="s">
        <v>23</v>
      </c>
      <c r="I8" s="144" t="s">
        <v>140</v>
      </c>
    </row>
    <row r="9" spans="1:18" ht="14.4" customHeight="1" thickBot="1" x14ac:dyDescent="0.35">
      <c r="A9" s="248"/>
      <c r="B9" s="80">
        <f>JJ_Optim_Scenario!G23</f>
        <v>3826132.8000000003</v>
      </c>
      <c r="C9" s="80">
        <f>JJ_Optim_Scenario!H23</f>
        <v>5739199.2000000002</v>
      </c>
      <c r="D9" s="95">
        <f>JJ_Optim_Scenario!I23</f>
        <v>5739199.2000000002</v>
      </c>
      <c r="E9" s="118">
        <f>((($R$12/(1+EXP($P$12+$Q$12*D9)))-1) - ($F$12-$C$12))*$I$12</f>
        <v>9433.6910015698522</v>
      </c>
      <c r="F9" s="145">
        <f>E9*$G$12</f>
        <v>108770.45724810039</v>
      </c>
      <c r="G9" s="80">
        <f>JJ_Optim_Scenario!E23</f>
        <v>4782666</v>
      </c>
      <c r="H9" s="121">
        <f>((($R$12/(1+EXP($P$12+$Q$12*G9)))-1) - ($F$12-$C$12))*$I$12</f>
        <v>7922.3256312394515</v>
      </c>
      <c r="I9" s="146">
        <f>H9*$G$12</f>
        <v>91344.414528190871</v>
      </c>
      <c r="J9" s="123">
        <f>G9/I9</f>
        <v>52.358603694634937</v>
      </c>
      <c r="K9" s="1" t="s">
        <v>142</v>
      </c>
    </row>
    <row r="10" spans="1:18" ht="14.4" thickBot="1" x14ac:dyDescent="0.35"/>
    <row r="11" spans="1:18" ht="61.8" customHeight="1" x14ac:dyDescent="0.3">
      <c r="A11" s="246" t="s">
        <v>15</v>
      </c>
      <c r="B11" s="93" t="s">
        <v>16</v>
      </c>
      <c r="C11" s="93" t="s">
        <v>17</v>
      </c>
      <c r="D11" s="93" t="s">
        <v>18</v>
      </c>
      <c r="E11" s="93" t="s">
        <v>19</v>
      </c>
      <c r="F11" s="15" t="s">
        <v>114</v>
      </c>
      <c r="G11" s="92" t="s">
        <v>125</v>
      </c>
      <c r="H11" s="93" t="s">
        <v>126</v>
      </c>
      <c r="I11" s="15" t="s">
        <v>134</v>
      </c>
      <c r="K11" s="249" t="s">
        <v>25</v>
      </c>
      <c r="L11" s="93" t="s">
        <v>115</v>
      </c>
      <c r="M11" s="93" t="s">
        <v>116</v>
      </c>
      <c r="N11" s="93" t="s">
        <v>117</v>
      </c>
      <c r="O11" s="93" t="s">
        <v>118</v>
      </c>
      <c r="P11" s="93" t="s">
        <v>26</v>
      </c>
      <c r="Q11" s="93" t="s">
        <v>27</v>
      </c>
      <c r="R11" s="15" t="s">
        <v>28</v>
      </c>
    </row>
    <row r="12" spans="1:18" ht="15" customHeight="1" thickBot="1" x14ac:dyDescent="0.35">
      <c r="A12" s="248"/>
      <c r="B12" s="80">
        <v>5685666</v>
      </c>
      <c r="C12" s="86">
        <v>9349.7307908118928</v>
      </c>
      <c r="D12" s="12">
        <v>0</v>
      </c>
      <c r="E12" s="86">
        <v>103300</v>
      </c>
      <c r="F12" s="97">
        <v>5165000</v>
      </c>
      <c r="G12" s="148">
        <v>11.53</v>
      </c>
      <c r="H12" s="98">
        <f>C12*G12</f>
        <v>107802.39601806112</v>
      </c>
      <c r="I12" s="197">
        <f>JJ_Optim_Scenario!D23</f>
        <v>1</v>
      </c>
      <c r="K12" s="250"/>
      <c r="L12" s="98">
        <f>F12-C12</f>
        <v>5155650.2692091884</v>
      </c>
      <c r="M12" s="98">
        <f>L12+E12</f>
        <v>5258950.2692091884</v>
      </c>
      <c r="N12" s="99">
        <f>B12</f>
        <v>5685666</v>
      </c>
      <c r="O12" s="98">
        <f>F12</f>
        <v>5165000</v>
      </c>
      <c r="P12" s="24">
        <f>LN((($M$12+1)/($L$12+1))-1)</f>
        <v>-3.9102113497285353</v>
      </c>
      <c r="Q12" s="100">
        <f>(LN((($M$12+1)/($O$12+1))-1)-$P$12)/$N$12</f>
        <v>-1.7004803681565007E-8</v>
      </c>
      <c r="R12" s="101">
        <f>M12+1</f>
        <v>5258951.2692091884</v>
      </c>
    </row>
    <row r="13" spans="1:18" ht="34.200000000000003" customHeight="1" x14ac:dyDescent="0.3">
      <c r="A13" s="268" t="s">
        <v>119</v>
      </c>
      <c r="B13" s="269"/>
      <c r="C13" s="269"/>
      <c r="D13" s="269"/>
      <c r="E13" s="269"/>
      <c r="F13" s="270"/>
      <c r="G13" s="198" t="s">
        <v>205</v>
      </c>
      <c r="H13" s="198" t="s">
        <v>206</v>
      </c>
      <c r="K13" s="268" t="s">
        <v>120</v>
      </c>
      <c r="L13" s="269"/>
      <c r="M13" s="269"/>
      <c r="N13" s="269"/>
      <c r="O13" s="269"/>
      <c r="P13" s="269"/>
      <c r="Q13" s="269"/>
      <c r="R13" s="270"/>
    </row>
    <row r="14" spans="1:18" ht="33.6" customHeight="1" thickBot="1" x14ac:dyDescent="0.35">
      <c r="A14" s="260"/>
      <c r="B14" s="261"/>
      <c r="C14" s="261"/>
      <c r="D14" s="261"/>
      <c r="E14" s="261"/>
      <c r="F14" s="262"/>
      <c r="G14" s="158">
        <f>JJ_Optim_Scenario!$I$31</f>
        <v>116.39999999999999</v>
      </c>
      <c r="H14" s="158">
        <f>JJ_Optim_Scenario!$F$31</f>
        <v>1118</v>
      </c>
      <c r="K14" s="260"/>
      <c r="L14" s="261"/>
      <c r="M14" s="261"/>
      <c r="N14" s="261"/>
      <c r="O14" s="261"/>
      <c r="P14" s="261"/>
      <c r="Q14" s="261"/>
      <c r="R14" s="262"/>
    </row>
    <row r="16" spans="1:18" ht="14.4" thickBot="1" x14ac:dyDescent="0.35"/>
    <row r="17" spans="1:8" ht="42.6" customHeight="1" x14ac:dyDescent="0.3">
      <c r="A17" s="249" t="s">
        <v>34</v>
      </c>
      <c r="B17" s="93" t="s">
        <v>32</v>
      </c>
      <c r="C17" s="93" t="s">
        <v>31</v>
      </c>
      <c r="D17" s="15" t="s">
        <v>33</v>
      </c>
      <c r="F17" s="109"/>
      <c r="G17" s="109"/>
      <c r="H17" s="110"/>
    </row>
    <row r="18" spans="1:8" ht="23.4" customHeight="1" thickBot="1" x14ac:dyDescent="0.35">
      <c r="A18" s="250"/>
      <c r="B18" s="102">
        <v>0</v>
      </c>
      <c r="C18" s="103">
        <v>20000000</v>
      </c>
      <c r="D18" s="26">
        <v>20</v>
      </c>
    </row>
    <row r="20" spans="1:8" x14ac:dyDescent="0.3">
      <c r="A20" s="215" t="s">
        <v>37</v>
      </c>
      <c r="B20" s="215"/>
      <c r="C20" s="215"/>
    </row>
    <row r="21" spans="1:8" x14ac:dyDescent="0.3">
      <c r="A21" s="91" t="s">
        <v>35</v>
      </c>
      <c r="B21" s="91" t="s">
        <v>127</v>
      </c>
      <c r="C21" s="91" t="s">
        <v>128</v>
      </c>
      <c r="D21" s="1" t="s">
        <v>129</v>
      </c>
      <c r="E21" s="198" t="s">
        <v>207</v>
      </c>
    </row>
    <row r="22" spans="1:8" x14ac:dyDescent="0.3">
      <c r="A22" s="122">
        <f>B18</f>
        <v>0</v>
      </c>
      <c r="B22" s="106">
        <f t="shared" ref="B22:B42" si="0">((($R$12/(1+EXP($P$12+$Q$12*A22)))-1) - ($F$12-$C$12))*$I$12</f>
        <v>0</v>
      </c>
      <c r="C22" s="106">
        <f>B22*$G$12</f>
        <v>0</v>
      </c>
      <c r="E22" s="199">
        <f>B22*$H$14</f>
        <v>0</v>
      </c>
    </row>
    <row r="23" spans="1:8" x14ac:dyDescent="0.3">
      <c r="A23" s="122">
        <f>A22+(($C$18-$B$18)/$D$18)</f>
        <v>1000000</v>
      </c>
      <c r="B23" s="106">
        <f t="shared" si="0"/>
        <v>1708.0983693981543</v>
      </c>
      <c r="C23" s="106">
        <f t="shared" ref="C23:C42" si="1">B23*$G$12</f>
        <v>19694.374199160717</v>
      </c>
      <c r="D23" s="1">
        <f>(B23-B22)/A23</f>
        <v>1.7080983693981543E-3</v>
      </c>
      <c r="E23" s="199">
        <f t="shared" ref="E23:E42" si="2">B23*$H$14</f>
        <v>1909653.9769871365</v>
      </c>
    </row>
    <row r="24" spans="1:8" x14ac:dyDescent="0.3">
      <c r="A24" s="122">
        <f t="shared" ref="A24:A42" si="3">A23+(($C$18-$B$18)/$D$18)</f>
        <v>2000000</v>
      </c>
      <c r="B24" s="106">
        <f t="shared" si="0"/>
        <v>3388.5001289946958</v>
      </c>
      <c r="C24" s="106">
        <f t="shared" si="1"/>
        <v>39069.406487308843</v>
      </c>
      <c r="D24" s="1">
        <f t="shared" ref="D24:D42" si="4">(B24-B23)/A24</f>
        <v>8.4020087979827073E-4</v>
      </c>
      <c r="E24" s="199">
        <f t="shared" si="2"/>
        <v>3788343.14421607</v>
      </c>
    </row>
    <row r="25" spans="1:8" x14ac:dyDescent="0.3">
      <c r="A25" s="122">
        <f t="shared" si="3"/>
        <v>3000000</v>
      </c>
      <c r="B25" s="106">
        <f t="shared" si="0"/>
        <v>5041.6364102456719</v>
      </c>
      <c r="C25" s="106">
        <f t="shared" si="1"/>
        <v>58130.06781013259</v>
      </c>
      <c r="D25" s="1">
        <f t="shared" si="4"/>
        <v>5.510454270836587E-4</v>
      </c>
      <c r="E25" s="199">
        <f t="shared" si="2"/>
        <v>5636549.5066546611</v>
      </c>
    </row>
    <row r="26" spans="1:8" x14ac:dyDescent="0.3">
      <c r="A26" s="122">
        <f t="shared" si="3"/>
        <v>4000000</v>
      </c>
      <c r="B26" s="106">
        <f t="shared" si="0"/>
        <v>6667.9322238313034</v>
      </c>
      <c r="C26" s="106">
        <f t="shared" si="1"/>
        <v>76881.258540774928</v>
      </c>
      <c r="D26" s="1">
        <f t="shared" si="4"/>
        <v>4.0657395339640791E-4</v>
      </c>
      <c r="E26" s="199">
        <f t="shared" si="2"/>
        <v>7454748.2262433972</v>
      </c>
    </row>
    <row r="27" spans="1:8" x14ac:dyDescent="0.3">
      <c r="A27" s="122">
        <f t="shared" si="3"/>
        <v>5000000</v>
      </c>
      <c r="B27" s="106">
        <f t="shared" si="0"/>
        <v>8267.8065268909559</v>
      </c>
      <c r="C27" s="106">
        <f t="shared" si="1"/>
        <v>95327.809255052722</v>
      </c>
      <c r="D27" s="1">
        <f t="shared" si="4"/>
        <v>3.1997486061193051E-4</v>
      </c>
      <c r="E27" s="199">
        <f t="shared" si="2"/>
        <v>9243407.6970640887</v>
      </c>
    </row>
    <row r="28" spans="1:8" x14ac:dyDescent="0.3">
      <c r="A28" s="122">
        <f t="shared" si="3"/>
        <v>6000000</v>
      </c>
      <c r="B28" s="106">
        <f t="shared" si="0"/>
        <v>9841.6722902022302</v>
      </c>
      <c r="C28" s="106">
        <f t="shared" si="1"/>
        <v>113474.48150603171</v>
      </c>
      <c r="D28" s="1">
        <f t="shared" si="4"/>
        <v>2.6231096055187906E-4</v>
      </c>
      <c r="E28" s="199">
        <f t="shared" si="2"/>
        <v>11002989.620446093</v>
      </c>
    </row>
    <row r="29" spans="1:8" x14ac:dyDescent="0.3">
      <c r="A29" s="122">
        <f t="shared" si="3"/>
        <v>7000000</v>
      </c>
      <c r="B29" s="106">
        <f t="shared" si="0"/>
        <v>11389.936565298587</v>
      </c>
      <c r="C29" s="106">
        <f t="shared" si="1"/>
        <v>131325.9685978927</v>
      </c>
      <c r="D29" s="1">
        <f t="shared" si="4"/>
        <v>2.2118061072805097E-4</v>
      </c>
      <c r="E29" s="199">
        <f t="shared" si="2"/>
        <v>12733949.08000382</v>
      </c>
    </row>
    <row r="30" spans="1:8" x14ac:dyDescent="0.3">
      <c r="A30" s="122">
        <f t="shared" si="3"/>
        <v>8000000</v>
      </c>
      <c r="B30" s="106">
        <f t="shared" si="0"/>
        <v>12913.000551461242</v>
      </c>
      <c r="C30" s="106">
        <f t="shared" si="1"/>
        <v>148886.89635834811</v>
      </c>
      <c r="D30" s="1">
        <f t="shared" si="4"/>
        <v>1.9038299827033188E-4</v>
      </c>
      <c r="E30" s="199">
        <f t="shared" si="2"/>
        <v>14436734.616533669</v>
      </c>
    </row>
    <row r="31" spans="1:8" x14ac:dyDescent="0.3">
      <c r="A31" s="122">
        <f t="shared" si="3"/>
        <v>9000000</v>
      </c>
      <c r="B31" s="106">
        <f t="shared" si="0"/>
        <v>14411.259662600234</v>
      </c>
      <c r="C31" s="106">
        <f t="shared" si="1"/>
        <v>166161.82390978068</v>
      </c>
      <c r="D31" s="1">
        <f t="shared" si="4"/>
        <v>1.6647323457099912E-4</v>
      </c>
      <c r="E31" s="199">
        <f t="shared" si="2"/>
        <v>16111788.302787062</v>
      </c>
    </row>
    <row r="32" spans="1:8" x14ac:dyDescent="0.3">
      <c r="A32" s="122">
        <f t="shared" si="3"/>
        <v>10000000</v>
      </c>
      <c r="B32" s="106">
        <f t="shared" si="0"/>
        <v>15885.103593955748</v>
      </c>
      <c r="C32" s="106">
        <f t="shared" si="1"/>
        <v>183155.24443830978</v>
      </c>
      <c r="D32" s="1">
        <f t="shared" si="4"/>
        <v>1.4738439313555137E-4</v>
      </c>
      <c r="E32" s="199">
        <f t="shared" si="2"/>
        <v>17759545.818042524</v>
      </c>
    </row>
    <row r="33" spans="1:5" x14ac:dyDescent="0.3">
      <c r="A33" s="122">
        <f t="shared" si="3"/>
        <v>11000000</v>
      </c>
      <c r="B33" s="106">
        <f t="shared" si="0"/>
        <v>17334.916388627142</v>
      </c>
      <c r="C33" s="106">
        <f t="shared" si="1"/>
        <v>199871.58596087093</v>
      </c>
      <c r="D33" s="1">
        <f t="shared" si="4"/>
        <v>1.3180116315194491E-4</v>
      </c>
      <c r="E33" s="199">
        <f t="shared" si="2"/>
        <v>19380436.522485144</v>
      </c>
    </row>
    <row r="34" spans="1:5" x14ac:dyDescent="0.3">
      <c r="A34" s="122">
        <f>A33+(($C$18-$B$18)/$D$18)</f>
        <v>12000000</v>
      </c>
      <c r="B34" s="106">
        <f t="shared" si="0"/>
        <v>18761.07650389336</v>
      </c>
      <c r="C34" s="106">
        <f t="shared" si="1"/>
        <v>216315.21208989044</v>
      </c>
      <c r="D34" s="1">
        <f t="shared" si="4"/>
        <v>1.1884667627218489E-4</v>
      </c>
      <c r="E34" s="199">
        <f t="shared" si="2"/>
        <v>20974883.531352777</v>
      </c>
    </row>
    <row r="35" spans="1:5" x14ac:dyDescent="0.3">
      <c r="A35" s="122">
        <f t="shared" si="3"/>
        <v>13000000</v>
      </c>
      <c r="B35" s="106">
        <f t="shared" si="0"/>
        <v>20163.956877290271</v>
      </c>
      <c r="C35" s="106">
        <f t="shared" si="1"/>
        <v>232490.4227951568</v>
      </c>
      <c r="D35" s="1">
        <f t="shared" si="4"/>
        <v>1.0791387487668544E-4</v>
      </c>
      <c r="E35" s="199">
        <f t="shared" si="2"/>
        <v>22543303.788810521</v>
      </c>
    </row>
    <row r="36" spans="1:5" x14ac:dyDescent="0.3">
      <c r="A36" s="122">
        <f t="shared" si="3"/>
        <v>14000000</v>
      </c>
      <c r="B36" s="106">
        <f t="shared" si="0"/>
        <v>21543.92499244865</v>
      </c>
      <c r="C36" s="106">
        <f t="shared" si="1"/>
        <v>248401.45516293292</v>
      </c>
      <c r="D36" s="1">
        <f t="shared" si="4"/>
        <v>9.8569151082741367E-5</v>
      </c>
      <c r="E36" s="199">
        <f t="shared" si="2"/>
        <v>24086108.141557589</v>
      </c>
    </row>
    <row r="37" spans="1:5" x14ac:dyDescent="0.3">
      <c r="A37" s="122">
        <f t="shared" si="3"/>
        <v>15000000</v>
      </c>
      <c r="B37" s="106">
        <f t="shared" si="0"/>
        <v>22901.342944648117</v>
      </c>
      <c r="C37" s="106">
        <f t="shared" si="1"/>
        <v>264052.48415179277</v>
      </c>
      <c r="D37" s="1">
        <f t="shared" si="4"/>
        <v>9.0494530146631108E-5</v>
      </c>
      <c r="E37" s="199">
        <f t="shared" si="2"/>
        <v>25603701.412116595</v>
      </c>
    </row>
    <row r="38" spans="1:5" x14ac:dyDescent="0.3">
      <c r="A38" s="122">
        <f t="shared" si="3"/>
        <v>16000000</v>
      </c>
      <c r="B38" s="106">
        <f t="shared" si="0"/>
        <v>24236.567506083287</v>
      </c>
      <c r="C38" s="106">
        <f t="shared" si="1"/>
        <v>279447.62334514031</v>
      </c>
      <c r="D38" s="1">
        <f t="shared" si="4"/>
        <v>8.3451535089698161E-5</v>
      </c>
      <c r="E38" s="199">
        <f t="shared" si="2"/>
        <v>27096482.471801117</v>
      </c>
    </row>
    <row r="39" spans="1:5" x14ac:dyDescent="0.3">
      <c r="A39" s="122">
        <f t="shared" si="3"/>
        <v>17000000</v>
      </c>
      <c r="B39" s="106">
        <f t="shared" si="0"/>
        <v>25549.950190809555</v>
      </c>
      <c r="C39" s="106">
        <f t="shared" si="1"/>
        <v>294590.92570003413</v>
      </c>
      <c r="D39" s="1">
        <f t="shared" si="4"/>
        <v>7.7257804983898125E-5</v>
      </c>
      <c r="E39" s="199">
        <f t="shared" si="2"/>
        <v>28564844.313325085</v>
      </c>
    </row>
    <row r="40" spans="1:5" x14ac:dyDescent="0.3">
      <c r="A40" s="122">
        <f t="shared" si="3"/>
        <v>18000000</v>
      </c>
      <c r="B40" s="106">
        <f t="shared" si="0"/>
        <v>26841.837319366634</v>
      </c>
      <c r="C40" s="106">
        <f t="shared" si="1"/>
        <v>309486.3842922973</v>
      </c>
      <c r="D40" s="1">
        <f t="shared" si="4"/>
        <v>7.1771507142059915E-5</v>
      </c>
      <c r="E40" s="199">
        <f t="shared" si="2"/>
        <v>30009174.123051897</v>
      </c>
    </row>
    <row r="41" spans="1:5" x14ac:dyDescent="0.3">
      <c r="A41" s="122">
        <f>A40+(($C$18-$B$18)/$D$18)</f>
        <v>19000000</v>
      </c>
      <c r="B41" s="106">
        <f t="shared" si="0"/>
        <v>28112.570083050989</v>
      </c>
      <c r="C41" s="106">
        <f t="shared" si="1"/>
        <v>324137.93305757787</v>
      </c>
      <c r="D41" s="1">
        <f t="shared" si="4"/>
        <v>6.6880671772860778E-5</v>
      </c>
      <c r="E41" s="199">
        <f t="shared" si="2"/>
        <v>31429853.352851003</v>
      </c>
    </row>
    <row r="42" spans="1:5" x14ac:dyDescent="0.3">
      <c r="A42" s="122">
        <f t="shared" si="3"/>
        <v>20000000</v>
      </c>
      <c r="B42" s="106">
        <f t="shared" si="0"/>
        <v>29362.484607818536</v>
      </c>
      <c r="C42" s="106">
        <f t="shared" si="1"/>
        <v>338549.44752814772</v>
      </c>
      <c r="D42" s="1">
        <f t="shared" si="4"/>
        <v>6.2495726238377396E-5</v>
      </c>
      <c r="E42" s="199">
        <f t="shared" si="2"/>
        <v>32827257.791541122</v>
      </c>
    </row>
  </sheetData>
  <mergeCells count="11">
    <mergeCell ref="K11:K12"/>
    <mergeCell ref="A13:F14"/>
    <mergeCell ref="A17:A18"/>
    <mergeCell ref="A20:C20"/>
    <mergeCell ref="K13:R14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 tint="0.79998168889431442"/>
  </sheetPr>
  <dimension ref="A1:R42"/>
  <sheetViews>
    <sheetView topLeftCell="A9" workbookViewId="0">
      <selection activeCell="E18" sqref="E18"/>
    </sheetView>
  </sheetViews>
  <sheetFormatPr defaultRowHeight="13.8" x14ac:dyDescent="0.3"/>
  <cols>
    <col min="1" max="1" width="12.109375" style="1" customWidth="1"/>
    <col min="2" max="2" width="13.5546875" style="1" customWidth="1"/>
    <col min="3" max="3" width="12.5546875" style="1" customWidth="1"/>
    <col min="4" max="4" width="13.77734375" style="1" customWidth="1"/>
    <col min="5" max="6" width="12.44140625" style="1" customWidth="1"/>
    <col min="7" max="7" width="12" style="1" customWidth="1"/>
    <col min="8" max="8" width="10.33203125" style="1" customWidth="1"/>
    <col min="9" max="9" width="18" style="1" customWidth="1"/>
    <col min="10" max="10" width="10.33203125" style="1" customWidth="1"/>
    <col min="11" max="11" width="14.33203125" style="1" bestFit="1" customWidth="1"/>
    <col min="12" max="13" width="12" style="1" bestFit="1" customWidth="1"/>
    <col min="14" max="14" width="11.44140625" style="1" bestFit="1" customWidth="1"/>
    <col min="15" max="15" width="9.77734375" style="1" bestFit="1" customWidth="1"/>
    <col min="16" max="16" width="8.88671875" style="1"/>
    <col min="17" max="17" width="10.33203125" style="1" customWidth="1"/>
    <col min="18" max="16384" width="8.88671875" style="1"/>
  </cols>
  <sheetData>
    <row r="1" spans="1:18" ht="14.4" thickBot="1" x14ac:dyDescent="0.35">
      <c r="A1" s="6" t="s">
        <v>0</v>
      </c>
      <c r="B1" s="1" t="s">
        <v>162</v>
      </c>
    </row>
    <row r="2" spans="1:18" x14ac:dyDescent="0.3">
      <c r="A2" s="7" t="s">
        <v>2</v>
      </c>
      <c r="B2" s="8" t="s">
        <v>106</v>
      </c>
      <c r="C2" s="9" t="s">
        <v>4</v>
      </c>
      <c r="D2" s="8" t="s">
        <v>6</v>
      </c>
      <c r="E2" s="9" t="s">
        <v>122</v>
      </c>
      <c r="F2" s="10" t="s">
        <v>123</v>
      </c>
      <c r="H2" s="88" t="s">
        <v>107</v>
      </c>
      <c r="I2" s="89"/>
      <c r="J2" s="89"/>
      <c r="K2" s="89"/>
      <c r="L2" s="90"/>
    </row>
    <row r="3" spans="1:18" ht="14.4" thickBot="1" x14ac:dyDescent="0.35">
      <c r="A3" s="11" t="s">
        <v>3</v>
      </c>
      <c r="B3" s="147" t="s">
        <v>161</v>
      </c>
      <c r="C3" s="13" t="s">
        <v>5</v>
      </c>
      <c r="D3" s="12" t="s">
        <v>123</v>
      </c>
      <c r="E3" s="13" t="s">
        <v>109</v>
      </c>
      <c r="F3" s="14" t="s">
        <v>164</v>
      </c>
    </row>
    <row r="4" spans="1:18" ht="15" customHeight="1" thickBot="1" x14ac:dyDescent="0.35">
      <c r="A4" s="107" t="s">
        <v>38</v>
      </c>
      <c r="B4" s="263" t="s">
        <v>111</v>
      </c>
      <c r="C4" s="263"/>
      <c r="D4" s="263"/>
      <c r="E4" s="263"/>
      <c r="F4" s="264"/>
      <c r="H4" s="1" t="s">
        <v>112</v>
      </c>
    </row>
    <row r="5" spans="1:18" x14ac:dyDescent="0.3">
      <c r="H5" s="1" t="s">
        <v>113</v>
      </c>
    </row>
    <row r="6" spans="1:18" ht="14.4" thickBot="1" x14ac:dyDescent="0.35">
      <c r="B6" s="78">
        <v>0.5</v>
      </c>
      <c r="C6" s="78">
        <v>1.5</v>
      </c>
    </row>
    <row r="7" spans="1:18" ht="27.6" customHeight="1" x14ac:dyDescent="0.3">
      <c r="A7" s="246" t="s">
        <v>8</v>
      </c>
      <c r="B7" s="240" t="s">
        <v>9</v>
      </c>
      <c r="C7" s="241"/>
      <c r="D7" s="265" t="s">
        <v>12</v>
      </c>
      <c r="E7" s="266"/>
      <c r="F7" s="267"/>
      <c r="G7" s="240" t="s">
        <v>143</v>
      </c>
      <c r="H7" s="240"/>
      <c r="I7" s="242"/>
      <c r="J7" s="1" t="s">
        <v>144</v>
      </c>
    </row>
    <row r="8" spans="1:18" ht="28.2" customHeight="1" x14ac:dyDescent="0.3">
      <c r="A8" s="247"/>
      <c r="B8" s="91" t="s">
        <v>10</v>
      </c>
      <c r="C8" s="17" t="s">
        <v>11</v>
      </c>
      <c r="D8" s="19" t="s">
        <v>20</v>
      </c>
      <c r="E8" s="91" t="s">
        <v>21</v>
      </c>
      <c r="F8" s="108" t="s">
        <v>124</v>
      </c>
      <c r="G8" s="87" t="s">
        <v>22</v>
      </c>
      <c r="H8" s="91" t="s">
        <v>23</v>
      </c>
      <c r="I8" s="144" t="s">
        <v>140</v>
      </c>
    </row>
    <row r="9" spans="1:18" ht="14.4" customHeight="1" thickBot="1" x14ac:dyDescent="0.35">
      <c r="A9" s="248"/>
      <c r="B9" s="80">
        <f>JJ_Optim_Scenario!G24</f>
        <v>12560000</v>
      </c>
      <c r="C9" s="158">
        <f>JJ_Optim_Scenario!H24</f>
        <v>18840000</v>
      </c>
      <c r="D9" s="158">
        <f>JJ_Optim_Scenario!I24</f>
        <v>18840000</v>
      </c>
      <c r="E9" s="118">
        <f>((($R$12/(1+EXP($P$12+$Q$12*D9)))-1) - ($F$12-$C$12))*$I$12</f>
        <v>426468.80566668883</v>
      </c>
      <c r="F9" s="145">
        <f>E9*$G$12</f>
        <v>426468.80566668883</v>
      </c>
      <c r="G9" s="80">
        <f>JJ_Optim_Scenario!E24</f>
        <v>15700000</v>
      </c>
      <c r="H9" s="121">
        <f>((($R$12/(1+EXP($P$12+$Q$12*G9)))-1) - ($F$12-$C$12))*$I$12</f>
        <v>360832.73711340129</v>
      </c>
      <c r="I9" s="146">
        <f>H9*$G$12</f>
        <v>360832.73711340129</v>
      </c>
      <c r="J9" s="123">
        <f>G9/I9</f>
        <v>43.510464503850869</v>
      </c>
      <c r="K9" s="1" t="s">
        <v>142</v>
      </c>
    </row>
    <row r="10" spans="1:18" ht="14.4" thickBot="1" x14ac:dyDescent="0.35"/>
    <row r="11" spans="1:18" ht="61.8" customHeight="1" x14ac:dyDescent="0.3">
      <c r="A11" s="246" t="s">
        <v>15</v>
      </c>
      <c r="B11" s="93" t="s">
        <v>16</v>
      </c>
      <c r="C11" s="93" t="s">
        <v>17</v>
      </c>
      <c r="D11" s="93" t="s">
        <v>18</v>
      </c>
      <c r="E11" s="93" t="s">
        <v>19</v>
      </c>
      <c r="F11" s="15" t="s">
        <v>114</v>
      </c>
      <c r="G11" s="150" t="s">
        <v>163</v>
      </c>
      <c r="H11" s="93" t="s">
        <v>126</v>
      </c>
      <c r="I11" s="15" t="s">
        <v>134</v>
      </c>
      <c r="K11" s="249" t="s">
        <v>25</v>
      </c>
      <c r="L11" s="93" t="s">
        <v>115</v>
      </c>
      <c r="M11" s="93" t="s">
        <v>116</v>
      </c>
      <c r="N11" s="93" t="s">
        <v>117</v>
      </c>
      <c r="O11" s="93" t="s">
        <v>118</v>
      </c>
      <c r="P11" s="93" t="s">
        <v>26</v>
      </c>
      <c r="Q11" s="93" t="s">
        <v>27</v>
      </c>
      <c r="R11" s="15" t="s">
        <v>28</v>
      </c>
    </row>
    <row r="12" spans="1:18" ht="15" customHeight="1" thickBot="1" x14ac:dyDescent="0.35">
      <c r="A12" s="248"/>
      <c r="B12" s="80">
        <v>15700000</v>
      </c>
      <c r="C12" s="86">
        <v>360832.73711340211</v>
      </c>
      <c r="D12" s="12">
        <v>0</v>
      </c>
      <c r="E12" s="86">
        <v>2197350</v>
      </c>
      <c r="F12" s="97">
        <v>14649000</v>
      </c>
      <c r="G12" s="151">
        <v>1</v>
      </c>
      <c r="H12" s="98">
        <f>C12*G12</f>
        <v>360832.73711340211</v>
      </c>
      <c r="I12" s="197">
        <f>JJ_Optim_Scenario!D24</f>
        <v>1</v>
      </c>
      <c r="K12" s="250"/>
      <c r="L12" s="98">
        <f>F12-C12</f>
        <v>14288167.262886599</v>
      </c>
      <c r="M12" s="98">
        <f>L12+E12</f>
        <v>16485517.262886599</v>
      </c>
      <c r="N12" s="99">
        <f>B12</f>
        <v>15700000</v>
      </c>
      <c r="O12" s="98">
        <f>F12</f>
        <v>14649000</v>
      </c>
      <c r="P12" s="24">
        <f>LN((($M$12+1)/($L$12+1))-1)</f>
        <v>-1.8721797117208678</v>
      </c>
      <c r="Q12" s="100">
        <f>(LN((($M$12+1)/($O$12+1))-1)-$P$12)/$N$12</f>
        <v>-1.3014104724433269E-8</v>
      </c>
      <c r="R12" s="101">
        <f>M12+1</f>
        <v>16485518.262886599</v>
      </c>
    </row>
    <row r="13" spans="1:18" ht="34.200000000000003" customHeight="1" x14ac:dyDescent="0.3">
      <c r="A13" s="268" t="s">
        <v>119</v>
      </c>
      <c r="B13" s="269"/>
      <c r="C13" s="269"/>
      <c r="D13" s="269"/>
      <c r="E13" s="269"/>
      <c r="F13" s="270"/>
      <c r="G13" s="198" t="s">
        <v>205</v>
      </c>
      <c r="H13" s="198" t="s">
        <v>206</v>
      </c>
      <c r="K13" s="268" t="s">
        <v>120</v>
      </c>
      <c r="L13" s="269"/>
      <c r="M13" s="269"/>
      <c r="N13" s="269"/>
      <c r="O13" s="269"/>
      <c r="P13" s="269"/>
      <c r="Q13" s="269"/>
      <c r="R13" s="270"/>
    </row>
    <row r="14" spans="1:18" ht="33.6" customHeight="1" thickBot="1" x14ac:dyDescent="0.35">
      <c r="A14" s="260"/>
      <c r="B14" s="261"/>
      <c r="C14" s="261"/>
      <c r="D14" s="261"/>
      <c r="E14" s="261"/>
      <c r="F14" s="262"/>
      <c r="G14" s="158">
        <f>JJ_Optim_Scenario!$I$31</f>
        <v>116.39999999999999</v>
      </c>
      <c r="H14" s="158">
        <f>JJ_Optim_Scenario!$F$31</f>
        <v>1118</v>
      </c>
      <c r="K14" s="260"/>
      <c r="L14" s="261"/>
      <c r="M14" s="261"/>
      <c r="N14" s="261"/>
      <c r="O14" s="261"/>
      <c r="P14" s="261"/>
      <c r="Q14" s="261"/>
      <c r="R14" s="262"/>
    </row>
    <row r="16" spans="1:18" ht="14.4" thickBot="1" x14ac:dyDescent="0.35"/>
    <row r="17" spans="1:8" ht="42.6" customHeight="1" x14ac:dyDescent="0.3">
      <c r="A17" s="249" t="s">
        <v>34</v>
      </c>
      <c r="B17" s="93" t="s">
        <v>32</v>
      </c>
      <c r="C17" s="93" t="s">
        <v>31</v>
      </c>
      <c r="D17" s="15" t="s">
        <v>33</v>
      </c>
      <c r="F17" s="109"/>
      <c r="G17" s="109"/>
      <c r="H17" s="110"/>
    </row>
    <row r="18" spans="1:8" ht="23.4" customHeight="1" thickBot="1" x14ac:dyDescent="0.35">
      <c r="A18" s="250"/>
      <c r="B18" s="102">
        <v>0</v>
      </c>
      <c r="C18" s="103">
        <v>50000000</v>
      </c>
      <c r="D18" s="26">
        <v>20</v>
      </c>
    </row>
    <row r="20" spans="1:8" x14ac:dyDescent="0.3">
      <c r="A20" s="215" t="s">
        <v>37</v>
      </c>
      <c r="B20" s="215"/>
      <c r="C20" s="215"/>
    </row>
    <row r="21" spans="1:8" x14ac:dyDescent="0.3">
      <c r="A21" s="91" t="s">
        <v>35</v>
      </c>
      <c r="B21" s="91" t="s">
        <v>156</v>
      </c>
      <c r="C21" s="91" t="s">
        <v>128</v>
      </c>
      <c r="D21" s="1" t="s">
        <v>129</v>
      </c>
      <c r="E21" s="198" t="s">
        <v>208</v>
      </c>
    </row>
    <row r="22" spans="1:8" x14ac:dyDescent="0.3">
      <c r="A22" s="122">
        <f>B18</f>
        <v>0</v>
      </c>
      <c r="B22" s="106">
        <f t="shared" ref="B22:B42" si="0">((($R$12/(1+EXP($P$12+$Q$12*A22)))-1) - ($F$12-$C$12))*$I$12</f>
        <v>0</v>
      </c>
      <c r="C22" s="106">
        <f>B22*$G$12</f>
        <v>0</v>
      </c>
      <c r="E22" s="199">
        <f>B22*$G$14</f>
        <v>0</v>
      </c>
    </row>
    <row r="23" spans="1:8" x14ac:dyDescent="0.3">
      <c r="A23" s="122">
        <f>A22+(($C$18-$B$18)/$D$18)</f>
        <v>2500000</v>
      </c>
      <c r="B23" s="106">
        <f t="shared" si="0"/>
        <v>61226.401077322662</v>
      </c>
      <c r="C23" s="106">
        <f t="shared" ref="C23:C42" si="1">B23*$G$12</f>
        <v>61226.401077322662</v>
      </c>
      <c r="D23" s="1">
        <f>(B23-B22)/A23</f>
        <v>2.4490560430929065E-2</v>
      </c>
      <c r="E23" s="199">
        <f t="shared" ref="E23:E42" si="2">B23*$G$14</f>
        <v>7126753.0854003569</v>
      </c>
    </row>
    <row r="24" spans="1:8" x14ac:dyDescent="0.3">
      <c r="A24" s="122">
        <f t="shared" ref="A24:A42" si="3">A23+(($C$18-$B$18)/$D$18)</f>
        <v>5000000</v>
      </c>
      <c r="B24" s="106">
        <f t="shared" si="0"/>
        <v>120994.72060368396</v>
      </c>
      <c r="C24" s="106">
        <f t="shared" si="1"/>
        <v>120994.72060368396</v>
      </c>
      <c r="D24" s="1">
        <f t="shared" ref="D24:D42" si="4">(B24-B23)/A24</f>
        <v>1.195366390527226E-2</v>
      </c>
      <c r="E24" s="199">
        <f t="shared" si="2"/>
        <v>14083785.478268811</v>
      </c>
    </row>
    <row r="25" spans="1:8" x14ac:dyDescent="0.3">
      <c r="A25" s="122">
        <f t="shared" si="3"/>
        <v>7500000</v>
      </c>
      <c r="B25" s="106">
        <f t="shared" si="0"/>
        <v>179325.91864795052</v>
      </c>
      <c r="C25" s="106">
        <f t="shared" si="1"/>
        <v>179325.91864795052</v>
      </c>
      <c r="D25" s="1">
        <f t="shared" si="4"/>
        <v>7.7774930725688736E-3</v>
      </c>
      <c r="E25" s="199">
        <f t="shared" si="2"/>
        <v>20873536.930621438</v>
      </c>
    </row>
    <row r="26" spans="1:8" x14ac:dyDescent="0.3">
      <c r="A26" s="122">
        <f t="shared" si="3"/>
        <v>10000000</v>
      </c>
      <c r="B26" s="106">
        <f t="shared" si="0"/>
        <v>236241.44401214831</v>
      </c>
      <c r="C26" s="106">
        <f t="shared" si="1"/>
        <v>236241.44401214831</v>
      </c>
      <c r="D26" s="1">
        <f t="shared" si="4"/>
        <v>5.6915525364197792E-3</v>
      </c>
      <c r="E26" s="199">
        <f t="shared" si="2"/>
        <v>27498504.08301406</v>
      </c>
    </row>
    <row r="27" spans="1:8" x14ac:dyDescent="0.3">
      <c r="A27" s="122">
        <f t="shared" si="3"/>
        <v>12500000</v>
      </c>
      <c r="B27" s="106">
        <f t="shared" si="0"/>
        <v>291763.17912199162</v>
      </c>
      <c r="C27" s="106">
        <f t="shared" si="1"/>
        <v>291763.17912199162</v>
      </c>
      <c r="D27" s="1">
        <f t="shared" si="4"/>
        <v>4.4417388087874647E-3</v>
      </c>
      <c r="E27" s="199">
        <f t="shared" si="2"/>
        <v>33961234.049799822</v>
      </c>
    </row>
    <row r="28" spans="1:8" x14ac:dyDescent="0.3">
      <c r="A28" s="122">
        <f t="shared" si="3"/>
        <v>15000000</v>
      </c>
      <c r="B28" s="106">
        <f t="shared" si="0"/>
        <v>345913.38696239889</v>
      </c>
      <c r="C28" s="106">
        <f t="shared" si="1"/>
        <v>345913.38696239889</v>
      </c>
      <c r="D28" s="1">
        <f t="shared" si="4"/>
        <v>3.6100138560271511E-3</v>
      </c>
      <c r="E28" s="199">
        <f t="shared" si="2"/>
        <v>40264318.242423229</v>
      </c>
    </row>
    <row r="29" spans="1:8" x14ac:dyDescent="0.3">
      <c r="A29" s="122">
        <f t="shared" si="3"/>
        <v>17500000</v>
      </c>
      <c r="B29" s="106">
        <f t="shared" si="0"/>
        <v>398714.66009361669</v>
      </c>
      <c r="C29" s="106">
        <f t="shared" si="1"/>
        <v>398714.66009361669</v>
      </c>
      <c r="D29" s="1">
        <f t="shared" si="4"/>
        <v>3.0172156074981605E-3</v>
      </c>
      <c r="E29" s="199">
        <f t="shared" si="2"/>
        <v>46410386.434896983</v>
      </c>
    </row>
    <row r="30" spans="1:8" x14ac:dyDescent="0.3">
      <c r="A30" s="122">
        <f t="shared" si="3"/>
        <v>20000000</v>
      </c>
      <c r="B30" s="106">
        <f t="shared" si="0"/>
        <v>450189.87177247368</v>
      </c>
      <c r="C30" s="106">
        <f t="shared" si="1"/>
        <v>450189.87177247368</v>
      </c>
      <c r="D30" s="1">
        <f t="shared" si="4"/>
        <v>2.5737605839428494E-3</v>
      </c>
      <c r="E30" s="199">
        <f t="shared" si="2"/>
        <v>52402101.074315935</v>
      </c>
    </row>
    <row r="31" spans="1:8" x14ac:dyDescent="0.3">
      <c r="A31" s="122">
        <f t="shared" si="3"/>
        <v>22500000</v>
      </c>
      <c r="B31" s="106">
        <f t="shared" si="0"/>
        <v>500362.12919285521</v>
      </c>
      <c r="C31" s="106">
        <f t="shared" si="1"/>
        <v>500362.12919285521</v>
      </c>
      <c r="D31" s="1">
        <f t="shared" si="4"/>
        <v>2.2298781075725123E-3</v>
      </c>
      <c r="E31" s="199">
        <f t="shared" si="2"/>
        <v>58242151.838048339</v>
      </c>
    </row>
    <row r="32" spans="1:8" x14ac:dyDescent="0.3">
      <c r="A32" s="122">
        <f t="shared" si="3"/>
        <v>25000000</v>
      </c>
      <c r="B32" s="106">
        <f t="shared" si="0"/>
        <v>549254.72884996422</v>
      </c>
      <c r="C32" s="106">
        <f t="shared" si="1"/>
        <v>549254.72884996422</v>
      </c>
      <c r="D32" s="1">
        <f t="shared" si="4"/>
        <v>1.9557039862843602E-3</v>
      </c>
      <c r="E32" s="199">
        <f t="shared" si="2"/>
        <v>63933250.438135833</v>
      </c>
    </row>
    <row r="33" spans="1:5" x14ac:dyDescent="0.3">
      <c r="A33" s="122">
        <f t="shared" si="3"/>
        <v>27500000</v>
      </c>
      <c r="B33" s="106">
        <f t="shared" si="0"/>
        <v>596891.11402404681</v>
      </c>
      <c r="C33" s="106">
        <f t="shared" si="1"/>
        <v>596891.11402404681</v>
      </c>
      <c r="D33" s="1">
        <f t="shared" si="4"/>
        <v>1.732232188148458E-3</v>
      </c>
      <c r="E33" s="199">
        <f t="shared" si="2"/>
        <v>69478125.672399044</v>
      </c>
    </row>
    <row r="34" spans="1:5" x14ac:dyDescent="0.3">
      <c r="A34" s="122">
        <f>A33+(($C$18-$B$18)/$D$18)</f>
        <v>30000000</v>
      </c>
      <c r="B34" s="106">
        <f t="shared" si="0"/>
        <v>643294.8343712315</v>
      </c>
      <c r="C34" s="106">
        <f t="shared" si="1"/>
        <v>643294.8343712315</v>
      </c>
      <c r="D34" s="1">
        <f t="shared" si="4"/>
        <v>1.5467906782394897E-3</v>
      </c>
      <c r="E34" s="199">
        <f t="shared" si="2"/>
        <v>74879518.720811337</v>
      </c>
    </row>
    <row r="35" spans="1:5" x14ac:dyDescent="0.3">
      <c r="A35" s="122">
        <f t="shared" si="3"/>
        <v>32500000</v>
      </c>
      <c r="B35" s="106">
        <f t="shared" si="0"/>
        <v>688489.50760174915</v>
      </c>
      <c r="C35" s="106">
        <f t="shared" si="1"/>
        <v>688489.50760174915</v>
      </c>
      <c r="D35" s="1">
        <f t="shared" si="4"/>
        <v>1.390605330169774E-3</v>
      </c>
      <c r="E35" s="199">
        <f t="shared" si="2"/>
        <v>80140178.6848436</v>
      </c>
    </row>
    <row r="36" spans="1:5" x14ac:dyDescent="0.3">
      <c r="A36" s="122">
        <f t="shared" si="3"/>
        <v>35000000</v>
      </c>
      <c r="B36" s="106">
        <f t="shared" si="0"/>
        <v>732498.78321923688</v>
      </c>
      <c r="C36" s="106">
        <f t="shared" si="1"/>
        <v>732498.78321923688</v>
      </c>
      <c r="D36" s="1">
        <f t="shared" si="4"/>
        <v>1.2574078747853636E-3</v>
      </c>
      <c r="E36" s="199">
        <f t="shared" si="2"/>
        <v>85262858.366719171</v>
      </c>
    </row>
    <row r="37" spans="1:5" x14ac:dyDescent="0.3">
      <c r="A37" s="122">
        <f t="shared" si="3"/>
        <v>37500000</v>
      </c>
      <c r="B37" s="106">
        <f t="shared" si="0"/>
        <v>775346.30828877538</v>
      </c>
      <c r="C37" s="106">
        <f t="shared" si="1"/>
        <v>775346.30828877538</v>
      </c>
      <c r="D37" s="1">
        <f t="shared" si="4"/>
        <v>1.1426006685210269E-3</v>
      </c>
      <c r="E37" s="199">
        <f t="shared" si="2"/>
        <v>90250310.284813449</v>
      </c>
    </row>
    <row r="38" spans="1:5" x14ac:dyDescent="0.3">
      <c r="A38" s="122">
        <f t="shared" si="3"/>
        <v>40000000</v>
      </c>
      <c r="B38" s="106">
        <f t="shared" si="0"/>
        <v>817055.69519616477</v>
      </c>
      <c r="C38" s="106">
        <f t="shared" si="1"/>
        <v>817055.69519616477</v>
      </c>
      <c r="D38" s="1">
        <f t="shared" si="4"/>
        <v>1.0427346726847348E-3</v>
      </c>
      <c r="E38" s="199">
        <f t="shared" si="2"/>
        <v>95105282.920833573</v>
      </c>
    </row>
    <row r="39" spans="1:5" x14ac:dyDescent="0.3">
      <c r="A39" s="122">
        <f t="shared" si="3"/>
        <v>42500000</v>
      </c>
      <c r="B39" s="106">
        <f t="shared" si="0"/>
        <v>857650.49135614</v>
      </c>
      <c r="C39" s="106">
        <f t="shared" si="1"/>
        <v>857650.49135614</v>
      </c>
      <c r="D39" s="1">
        <f t="shared" si="4"/>
        <v>9.5517167435235834E-4</v>
      </c>
      <c r="E39" s="199">
        <f t="shared" si="2"/>
        <v>99830517.19385469</v>
      </c>
    </row>
    <row r="40" spans="1:5" x14ac:dyDescent="0.3">
      <c r="A40" s="122">
        <f t="shared" si="3"/>
        <v>45000000</v>
      </c>
      <c r="B40" s="106">
        <f t="shared" si="0"/>
        <v>897154.15082335845</v>
      </c>
      <c r="C40" s="106">
        <f t="shared" si="1"/>
        <v>897154.15082335845</v>
      </c>
      <c r="D40" s="1">
        <f t="shared" si="4"/>
        <v>8.7785909927152095E-4</v>
      </c>
      <c r="E40" s="199">
        <f t="shared" si="2"/>
        <v>104428743.15583892</v>
      </c>
    </row>
    <row r="41" spans="1:5" x14ac:dyDescent="0.3">
      <c r="A41" s="122">
        <f>A40+(($C$18-$B$18)/$D$18)</f>
        <v>47500000</v>
      </c>
      <c r="B41" s="106">
        <f t="shared" si="0"/>
        <v>935590.00775624253</v>
      </c>
      <c r="C41" s="106">
        <f t="shared" si="1"/>
        <v>935590.00775624253</v>
      </c>
      <c r="D41" s="1">
        <f t="shared" si="4"/>
        <v>8.0917593542913853E-4</v>
      </c>
      <c r="E41" s="199">
        <f t="shared" si="2"/>
        <v>108902676.90282662</v>
      </c>
    </row>
    <row r="42" spans="1:5" x14ac:dyDescent="0.3">
      <c r="A42" s="122">
        <f t="shared" si="3"/>
        <v>50000000</v>
      </c>
      <c r="B42" s="106">
        <f t="shared" si="0"/>
        <v>972981.25168112665</v>
      </c>
      <c r="C42" s="106">
        <f t="shared" si="1"/>
        <v>972981.25168112665</v>
      </c>
      <c r="D42" s="1">
        <f t="shared" si="4"/>
        <v>7.4782487849768249E-4</v>
      </c>
      <c r="E42" s="199">
        <f t="shared" si="2"/>
        <v>113255017.69568314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1" tint="4.9989318521683403E-2"/>
  </sheetPr>
  <dimension ref="A1"/>
  <sheetViews>
    <sheetView workbookViewId="0">
      <selection activeCell="D27" sqref="D27"/>
    </sheetView>
  </sheetViews>
  <sheetFormatPr defaultRowHeight="14.4" x14ac:dyDescent="0.3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1" tint="4.9989318521683403E-2"/>
  </sheetPr>
  <dimension ref="A1:L42"/>
  <sheetViews>
    <sheetView topLeftCell="B1" workbookViewId="0">
      <selection activeCell="G5" sqref="G5"/>
    </sheetView>
  </sheetViews>
  <sheetFormatPr defaultRowHeight="13.8" x14ac:dyDescent="0.3"/>
  <cols>
    <col min="1" max="1" width="12.109375" style="1" customWidth="1"/>
    <col min="2" max="2" width="10.44140625" style="1" customWidth="1"/>
    <col min="3" max="3" width="11" style="1" customWidth="1"/>
    <col min="4" max="4" width="12.109375" style="1" customWidth="1"/>
    <col min="5" max="5" width="12.44140625" style="1" customWidth="1"/>
    <col min="6" max="6" width="11.10937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6384" width="8.88671875" style="1"/>
  </cols>
  <sheetData>
    <row r="1" spans="1:12" ht="14.4" thickBot="1" x14ac:dyDescent="0.35">
      <c r="A1" s="6" t="s">
        <v>0</v>
      </c>
      <c r="B1" s="1" t="s">
        <v>1</v>
      </c>
    </row>
    <row r="2" spans="1:12" x14ac:dyDescent="0.3">
      <c r="A2" s="7" t="s">
        <v>2</v>
      </c>
      <c r="B2" s="8" t="s">
        <v>13</v>
      </c>
      <c r="C2" s="9" t="s">
        <v>4</v>
      </c>
      <c r="D2" s="10" t="s">
        <v>6</v>
      </c>
      <c r="F2" s="216" t="s">
        <v>105</v>
      </c>
      <c r="G2" s="217"/>
      <c r="H2" s="217"/>
      <c r="I2" s="217"/>
      <c r="J2" s="217"/>
      <c r="K2" s="217"/>
      <c r="L2" s="218"/>
    </row>
    <row r="3" spans="1:12" ht="14.4" thickBot="1" x14ac:dyDescent="0.35">
      <c r="A3" s="11" t="s">
        <v>3</v>
      </c>
      <c r="B3" s="12" t="s">
        <v>14</v>
      </c>
      <c r="C3" s="13" t="s">
        <v>5</v>
      </c>
      <c r="D3" s="14" t="s">
        <v>7</v>
      </c>
      <c r="F3" s="219" t="s">
        <v>72</v>
      </c>
      <c r="G3" s="220"/>
      <c r="H3" s="220"/>
      <c r="I3" s="220"/>
      <c r="J3" s="220"/>
      <c r="K3" s="220"/>
      <c r="L3" s="221"/>
    </row>
    <row r="4" spans="1:12" ht="14.4" thickBot="1" x14ac:dyDescent="0.35">
      <c r="A4" s="29" t="s">
        <v>38</v>
      </c>
      <c r="B4" s="271" t="s">
        <v>39</v>
      </c>
      <c r="C4" s="271"/>
      <c r="D4" s="272"/>
    </row>
    <row r="6" spans="1:12" ht="14.4" thickBot="1" x14ac:dyDescent="0.35"/>
    <row r="7" spans="1:12" ht="27.6" customHeight="1" x14ac:dyDescent="0.3">
      <c r="A7" s="246" t="s">
        <v>8</v>
      </c>
      <c r="B7" s="240" t="s">
        <v>9</v>
      </c>
      <c r="C7" s="241"/>
      <c r="D7" s="265" t="s">
        <v>12</v>
      </c>
      <c r="E7" s="267"/>
      <c r="F7" s="266" t="s">
        <v>24</v>
      </c>
      <c r="G7" s="279"/>
    </row>
    <row r="8" spans="1:12" ht="27.6" x14ac:dyDescent="0.3">
      <c r="A8" s="247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4.4" thickBot="1" x14ac:dyDescent="0.35">
      <c r="A9" s="248"/>
      <c r="B9" s="5">
        <v>0</v>
      </c>
      <c r="C9" s="18">
        <v>100</v>
      </c>
      <c r="D9" s="22">
        <v>25</v>
      </c>
      <c r="E9" s="23">
        <f>($J$12/(1+EXP($H$12+$I$12*D9)))-1</f>
        <v>46.443381393398674</v>
      </c>
      <c r="F9" s="20">
        <f>B12</f>
        <v>20</v>
      </c>
      <c r="G9" s="14">
        <f>C12</f>
        <v>30</v>
      </c>
    </row>
    <row r="10" spans="1:12" ht="14.4" thickBot="1" x14ac:dyDescent="0.35"/>
    <row r="11" spans="1:12" x14ac:dyDescent="0.3">
      <c r="A11" s="246" t="s">
        <v>15</v>
      </c>
      <c r="B11" s="21" t="s">
        <v>16</v>
      </c>
      <c r="C11" s="21" t="s">
        <v>17</v>
      </c>
      <c r="D11" s="21" t="s">
        <v>18</v>
      </c>
      <c r="E11" s="15" t="s">
        <v>19</v>
      </c>
      <c r="G11" s="246" t="s">
        <v>25</v>
      </c>
      <c r="H11" s="21" t="s">
        <v>26</v>
      </c>
      <c r="I11" s="21" t="s">
        <v>27</v>
      </c>
      <c r="J11" s="15" t="s">
        <v>28</v>
      </c>
    </row>
    <row r="12" spans="1:12" ht="14.4" thickBot="1" x14ac:dyDescent="0.35">
      <c r="A12" s="248"/>
      <c r="B12" s="12">
        <v>20</v>
      </c>
      <c r="C12" s="12">
        <v>30</v>
      </c>
      <c r="D12" s="12">
        <v>0</v>
      </c>
      <c r="E12" s="14">
        <v>70</v>
      </c>
      <c r="G12" s="248"/>
      <c r="H12" s="24">
        <f>LN((($E$12+1)/($D$12+1))-1)</f>
        <v>4.2484952420493594</v>
      </c>
      <c r="I12" s="24">
        <f>(LN((($E$12+1)/($C$12+1))-1)-$H$12)/$B$12</f>
        <v>-0.19968014962102845</v>
      </c>
      <c r="J12" s="25">
        <f>E12</f>
        <v>70</v>
      </c>
    </row>
    <row r="13" spans="1:12" ht="34.200000000000003" customHeight="1" x14ac:dyDescent="0.3">
      <c r="A13" s="268" t="s">
        <v>30</v>
      </c>
      <c r="B13" s="269"/>
      <c r="C13" s="269"/>
      <c r="D13" s="269"/>
      <c r="E13" s="270"/>
      <c r="G13" s="273" t="s">
        <v>29</v>
      </c>
      <c r="H13" s="274"/>
      <c r="I13" s="274"/>
      <c r="J13" s="275"/>
    </row>
    <row r="14" spans="1:12" ht="33.6" customHeight="1" x14ac:dyDescent="0.3">
      <c r="A14" s="260"/>
      <c r="B14" s="261"/>
      <c r="C14" s="261"/>
      <c r="D14" s="261"/>
      <c r="E14" s="262"/>
      <c r="G14" s="276"/>
      <c r="H14" s="277"/>
      <c r="I14" s="277"/>
      <c r="J14" s="278"/>
    </row>
    <row r="16" spans="1:12" ht="14.4" thickBot="1" x14ac:dyDescent="0.35"/>
    <row r="17" spans="1:4" ht="16.8" customHeight="1" x14ac:dyDescent="0.3">
      <c r="A17" s="249" t="s">
        <v>34</v>
      </c>
      <c r="B17" s="21" t="s">
        <v>32</v>
      </c>
      <c r="C17" s="21" t="s">
        <v>31</v>
      </c>
      <c r="D17" s="15" t="s">
        <v>33</v>
      </c>
    </row>
    <row r="18" spans="1:4" ht="23.4" customHeight="1" thickBot="1" x14ac:dyDescent="0.35">
      <c r="A18" s="250"/>
      <c r="B18" s="12">
        <v>0</v>
      </c>
      <c r="C18" s="12">
        <v>100</v>
      </c>
      <c r="D18" s="26">
        <v>20</v>
      </c>
    </row>
    <row r="20" spans="1:4" x14ac:dyDescent="0.3">
      <c r="A20" s="215" t="s">
        <v>37</v>
      </c>
      <c r="B20" s="215"/>
    </row>
    <row r="21" spans="1:4" x14ac:dyDescent="0.3">
      <c r="A21" s="3" t="s">
        <v>35</v>
      </c>
      <c r="B21" s="3" t="s">
        <v>36</v>
      </c>
    </row>
    <row r="22" spans="1:4" x14ac:dyDescent="0.3">
      <c r="A22" s="2">
        <f>B18</f>
        <v>0</v>
      </c>
      <c r="B22" s="2">
        <f>($J$12/(1+EXP($H$12+$I$12*A22)))-1</f>
        <v>-1.4084507042253946E-2</v>
      </c>
    </row>
    <row r="23" spans="1:4" x14ac:dyDescent="0.3">
      <c r="A23" s="2">
        <f>A22+(($C$18-$B$18)/$D$18)</f>
        <v>5</v>
      </c>
      <c r="B23" s="2">
        <f t="shared" ref="B23:B42" si="0">($J$12/(1+EXP($H$12+$I$12*A23)))-1</f>
        <v>1.6126444390094603</v>
      </c>
    </row>
    <row r="24" spans="1:4" x14ac:dyDescent="0.3">
      <c r="A24" s="2">
        <f t="shared" ref="A24:A42" si="1">A23+(($C$18-$B$18)/$D$18)</f>
        <v>10</v>
      </c>
      <c r="B24" s="2">
        <f t="shared" si="0"/>
        <v>5.6642426174498821</v>
      </c>
    </row>
    <row r="25" spans="1:4" x14ac:dyDescent="0.3">
      <c r="A25" s="2">
        <f t="shared" si="1"/>
        <v>15</v>
      </c>
      <c r="B25" s="2">
        <f t="shared" si="0"/>
        <v>14.549143800281053</v>
      </c>
    </row>
    <row r="26" spans="1:4" x14ac:dyDescent="0.3">
      <c r="A26" s="2">
        <f t="shared" si="1"/>
        <v>20</v>
      </c>
      <c r="B26" s="2">
        <f t="shared" si="0"/>
        <v>29.563380281690133</v>
      </c>
    </row>
    <row r="27" spans="1:4" x14ac:dyDescent="0.3">
      <c r="A27" s="2">
        <f t="shared" si="1"/>
        <v>25</v>
      </c>
      <c r="B27" s="2">
        <f t="shared" si="0"/>
        <v>46.443381393398674</v>
      </c>
    </row>
    <row r="28" spans="1:4" x14ac:dyDescent="0.3">
      <c r="A28" s="2">
        <f t="shared" si="1"/>
        <v>30</v>
      </c>
      <c r="B28" s="2">
        <f t="shared" si="0"/>
        <v>58.565058904816425</v>
      </c>
    </row>
    <row r="29" spans="1:4" x14ac:dyDescent="0.3">
      <c r="A29" s="2">
        <f t="shared" si="1"/>
        <v>35</v>
      </c>
      <c r="B29" s="2">
        <f t="shared" si="0"/>
        <v>64.755462936002587</v>
      </c>
    </row>
    <row r="30" spans="1:4" x14ac:dyDescent="0.3">
      <c r="A30" s="2">
        <f t="shared" si="1"/>
        <v>40</v>
      </c>
      <c r="B30" s="2">
        <f t="shared" si="0"/>
        <v>67.373747640482065</v>
      </c>
    </row>
    <row r="31" spans="1:4" x14ac:dyDescent="0.3">
      <c r="A31" s="2">
        <f t="shared" si="1"/>
        <v>45</v>
      </c>
      <c r="B31" s="2">
        <f t="shared" si="0"/>
        <v>68.391855033022836</v>
      </c>
    </row>
    <row r="32" spans="1:4" x14ac:dyDescent="0.3">
      <c r="A32" s="2">
        <f t="shared" si="1"/>
        <v>50</v>
      </c>
      <c r="B32" s="2">
        <f t="shared" si="0"/>
        <v>68.774681657683672</v>
      </c>
    </row>
    <row r="33" spans="1:2" x14ac:dyDescent="0.3">
      <c r="A33" s="2">
        <f t="shared" si="1"/>
        <v>55</v>
      </c>
      <c r="B33" s="2">
        <f t="shared" si="0"/>
        <v>68.91680823426843</v>
      </c>
    </row>
    <row r="34" spans="1:2" x14ac:dyDescent="0.3">
      <c r="A34" s="2">
        <f>A33+(($C$18-$B$18)/$D$18)</f>
        <v>60</v>
      </c>
      <c r="B34" s="2">
        <f t="shared" si="0"/>
        <v>68.969323452015516</v>
      </c>
    </row>
    <row r="35" spans="1:2" x14ac:dyDescent="0.3">
      <c r="A35" s="2">
        <f t="shared" si="1"/>
        <v>65</v>
      </c>
      <c r="B35" s="2">
        <f t="shared" si="0"/>
        <v>68.988693537060527</v>
      </c>
    </row>
    <row r="36" spans="1:2" x14ac:dyDescent="0.3">
      <c r="A36" s="2">
        <f t="shared" si="1"/>
        <v>70</v>
      </c>
      <c r="B36" s="2">
        <f t="shared" si="0"/>
        <v>68.995833502451546</v>
      </c>
    </row>
    <row r="37" spans="1:2" x14ac:dyDescent="0.3">
      <c r="A37" s="2">
        <f t="shared" si="1"/>
        <v>75</v>
      </c>
      <c r="B37" s="2">
        <f t="shared" si="0"/>
        <v>68.998464720255058</v>
      </c>
    </row>
    <row r="38" spans="1:2" x14ac:dyDescent="0.3">
      <c r="A38" s="2">
        <f t="shared" si="1"/>
        <v>80</v>
      </c>
      <c r="B38" s="2">
        <f t="shared" si="0"/>
        <v>68.999434290332985</v>
      </c>
    </row>
    <row r="39" spans="1:2" x14ac:dyDescent="0.3">
      <c r="A39" s="2">
        <f t="shared" si="1"/>
        <v>85</v>
      </c>
      <c r="B39" s="2">
        <f t="shared" si="0"/>
        <v>68.999791552888652</v>
      </c>
    </row>
    <row r="40" spans="1:2" x14ac:dyDescent="0.3">
      <c r="A40" s="2">
        <f t="shared" si="1"/>
        <v>90</v>
      </c>
      <c r="B40" s="2">
        <f t="shared" si="0"/>
        <v>68.999923193714523</v>
      </c>
    </row>
    <row r="41" spans="1:2" x14ac:dyDescent="0.3">
      <c r="A41" s="2">
        <f>A40+(($C$18-$B$18)/$D$18)</f>
        <v>95</v>
      </c>
      <c r="B41" s="2">
        <f t="shared" si="0"/>
        <v>68.999971699303273</v>
      </c>
    </row>
    <row r="42" spans="1:2" x14ac:dyDescent="0.3">
      <c r="A42" s="2">
        <f t="shared" si="1"/>
        <v>100</v>
      </c>
      <c r="B42" s="2">
        <f t="shared" si="0"/>
        <v>68.999989572089319</v>
      </c>
    </row>
  </sheetData>
  <mergeCells count="13">
    <mergeCell ref="A20:B20"/>
    <mergeCell ref="B4:D4"/>
    <mergeCell ref="F2:L2"/>
    <mergeCell ref="F3:L3"/>
    <mergeCell ref="G13:J14"/>
    <mergeCell ref="A13:E14"/>
    <mergeCell ref="A17:A18"/>
    <mergeCell ref="B7:C7"/>
    <mergeCell ref="A7:A9"/>
    <mergeCell ref="A11:A12"/>
    <mergeCell ref="D7:E7"/>
    <mergeCell ref="F7:G7"/>
    <mergeCell ref="G11:G12"/>
  </mergeCells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1" tint="4.9989318521683403E-2"/>
  </sheetPr>
  <dimension ref="A1:L43"/>
  <sheetViews>
    <sheetView workbookViewId="0">
      <selection activeCell="G5" sqref="G5"/>
    </sheetView>
  </sheetViews>
  <sheetFormatPr defaultRowHeight="13.8" x14ac:dyDescent="0.3"/>
  <cols>
    <col min="1" max="1" width="12.109375" style="1" customWidth="1"/>
    <col min="2" max="2" width="10.44140625" style="1" customWidth="1"/>
    <col min="3" max="3" width="11" style="1" customWidth="1"/>
    <col min="4" max="4" width="12.109375" style="1" customWidth="1"/>
    <col min="5" max="5" width="12.44140625" style="1" customWidth="1"/>
    <col min="6" max="6" width="15.332031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6384" width="8.88671875" style="1"/>
  </cols>
  <sheetData>
    <row r="1" spans="1:12" ht="14.4" thickBot="1" x14ac:dyDescent="0.35">
      <c r="A1" s="6" t="s">
        <v>0</v>
      </c>
      <c r="B1" s="1" t="s">
        <v>40</v>
      </c>
    </row>
    <row r="2" spans="1:12" x14ac:dyDescent="0.3">
      <c r="A2" s="7" t="s">
        <v>2</v>
      </c>
      <c r="B2" s="8" t="s">
        <v>13</v>
      </c>
      <c r="C2" s="9" t="s">
        <v>4</v>
      </c>
      <c r="D2" s="10" t="s">
        <v>6</v>
      </c>
      <c r="F2" s="216" t="s">
        <v>105</v>
      </c>
      <c r="G2" s="217"/>
      <c r="H2" s="217"/>
      <c r="I2" s="217"/>
      <c r="J2" s="217"/>
      <c r="K2" s="217"/>
      <c r="L2" s="218"/>
    </row>
    <row r="3" spans="1:12" ht="14.4" thickBot="1" x14ac:dyDescent="0.35">
      <c r="A3" s="11" t="s">
        <v>3</v>
      </c>
      <c r="B3" s="12" t="s">
        <v>53</v>
      </c>
      <c r="C3" s="13" t="s">
        <v>5</v>
      </c>
      <c r="D3" s="14" t="s">
        <v>7</v>
      </c>
      <c r="F3" s="219" t="s">
        <v>72</v>
      </c>
      <c r="G3" s="220"/>
      <c r="H3" s="220"/>
      <c r="I3" s="220"/>
      <c r="J3" s="220"/>
      <c r="K3" s="220"/>
      <c r="L3" s="221"/>
    </row>
    <row r="4" spans="1:12" ht="31.8" customHeight="1" thickBot="1" x14ac:dyDescent="0.35">
      <c r="A4" s="29" t="s">
        <v>38</v>
      </c>
      <c r="B4" s="280" t="s">
        <v>41</v>
      </c>
      <c r="C4" s="281"/>
      <c r="D4" s="282"/>
    </row>
    <row r="6" spans="1:12" ht="14.4" thickBot="1" x14ac:dyDescent="0.35"/>
    <row r="7" spans="1:12" ht="27.6" customHeight="1" x14ac:dyDescent="0.3">
      <c r="A7" s="246" t="s">
        <v>8</v>
      </c>
      <c r="B7" s="240" t="s">
        <v>9</v>
      </c>
      <c r="C7" s="241"/>
      <c r="D7" s="265" t="s">
        <v>12</v>
      </c>
      <c r="E7" s="267"/>
      <c r="F7" s="266" t="s">
        <v>24</v>
      </c>
      <c r="G7" s="279"/>
      <c r="H7" s="1" t="s">
        <v>54</v>
      </c>
    </row>
    <row r="8" spans="1:12" ht="27.6" x14ac:dyDescent="0.3">
      <c r="A8" s="247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4.4" thickBot="1" x14ac:dyDescent="0.35">
      <c r="A9" s="248"/>
      <c r="B9" s="5">
        <v>0</v>
      </c>
      <c r="C9" s="18">
        <v>10000000</v>
      </c>
      <c r="D9" s="22">
        <v>1000000</v>
      </c>
      <c r="E9" s="34">
        <f>$C$13*D9</f>
        <v>10000</v>
      </c>
      <c r="F9" s="20">
        <v>0</v>
      </c>
      <c r="G9" s="35">
        <f>$C$13*F9</f>
        <v>0</v>
      </c>
    </row>
    <row r="10" spans="1:12" ht="14.4" thickBot="1" x14ac:dyDescent="0.35"/>
    <row r="11" spans="1:12" ht="27.6" customHeight="1" x14ac:dyDescent="0.3">
      <c r="A11" s="246" t="s">
        <v>42</v>
      </c>
      <c r="B11" s="224" t="s">
        <v>47</v>
      </c>
      <c r="C11" s="283" t="s">
        <v>46</v>
      </c>
      <c r="D11" s="266"/>
      <c r="E11" s="266"/>
      <c r="F11" s="3" t="s">
        <v>48</v>
      </c>
      <c r="G11" s="33"/>
      <c r="H11" s="32"/>
      <c r="I11" s="32"/>
      <c r="J11" s="32"/>
    </row>
    <row r="12" spans="1:12" x14ac:dyDescent="0.3">
      <c r="A12" s="284"/>
      <c r="B12" s="208"/>
      <c r="C12" s="30" t="s">
        <v>43</v>
      </c>
      <c r="D12" s="30" t="s">
        <v>44</v>
      </c>
      <c r="E12" s="31" t="s">
        <v>45</v>
      </c>
      <c r="F12" s="3" t="s">
        <v>49</v>
      </c>
      <c r="G12" s="33"/>
      <c r="H12" s="32"/>
      <c r="I12" s="32"/>
      <c r="J12" s="32"/>
    </row>
    <row r="13" spans="1:12" x14ac:dyDescent="0.3">
      <c r="A13" s="285"/>
      <c r="B13" s="27">
        <v>0</v>
      </c>
      <c r="C13" s="27">
        <v>0.01</v>
      </c>
      <c r="D13" s="27">
        <v>0</v>
      </c>
      <c r="E13" s="28">
        <v>0</v>
      </c>
      <c r="F13" s="37">
        <v>0</v>
      </c>
      <c r="G13" s="33"/>
      <c r="H13" s="32"/>
      <c r="I13" s="32"/>
      <c r="J13" s="32"/>
    </row>
    <row r="14" spans="1:12" ht="31.8" customHeight="1" x14ac:dyDescent="0.3">
      <c r="A14" s="245" t="s">
        <v>52</v>
      </c>
      <c r="B14" s="245"/>
      <c r="C14" s="245"/>
      <c r="D14" s="245"/>
      <c r="E14" s="245"/>
      <c r="F14" s="245"/>
      <c r="G14" s="38"/>
      <c r="H14" s="39"/>
      <c r="I14" s="39"/>
      <c r="J14" s="39"/>
    </row>
    <row r="15" spans="1:12" ht="30.6" customHeight="1" x14ac:dyDescent="0.3">
      <c r="A15" s="245"/>
      <c r="B15" s="245"/>
      <c r="C15" s="245"/>
      <c r="D15" s="245"/>
      <c r="E15" s="245"/>
      <c r="F15" s="245"/>
      <c r="G15" s="38"/>
      <c r="H15" s="39"/>
      <c r="I15" s="39"/>
      <c r="J15" s="39"/>
    </row>
    <row r="17" spans="1:4" ht="14.4" thickBot="1" x14ac:dyDescent="0.35"/>
    <row r="18" spans="1:4" ht="16.8" customHeight="1" x14ac:dyDescent="0.3">
      <c r="A18" s="249" t="s">
        <v>34</v>
      </c>
      <c r="B18" s="21" t="s">
        <v>32</v>
      </c>
      <c r="C18" s="21" t="s">
        <v>31</v>
      </c>
      <c r="D18" s="15" t="s">
        <v>33</v>
      </c>
    </row>
    <row r="19" spans="1:4" ht="23.4" customHeight="1" thickBot="1" x14ac:dyDescent="0.35">
      <c r="A19" s="250"/>
      <c r="B19" s="12">
        <v>0</v>
      </c>
      <c r="C19" s="12">
        <v>20000000</v>
      </c>
      <c r="D19" s="26">
        <v>20</v>
      </c>
    </row>
    <row r="21" spans="1:4" x14ac:dyDescent="0.3">
      <c r="A21" s="215" t="s">
        <v>37</v>
      </c>
      <c r="B21" s="215"/>
    </row>
    <row r="22" spans="1:4" x14ac:dyDescent="0.3">
      <c r="A22" s="3" t="s">
        <v>35</v>
      </c>
      <c r="B22" s="3" t="s">
        <v>36</v>
      </c>
    </row>
    <row r="23" spans="1:4" x14ac:dyDescent="0.3">
      <c r="A23" s="2">
        <f>B19</f>
        <v>0</v>
      </c>
      <c r="B23" s="36">
        <f t="shared" ref="B23:B43" si="0">$C$13*A23</f>
        <v>0</v>
      </c>
    </row>
    <row r="24" spans="1:4" x14ac:dyDescent="0.3">
      <c r="A24" s="2">
        <f>A23+(($C$19-$B$19)/$D$19)</f>
        <v>1000000</v>
      </c>
      <c r="B24" s="36">
        <f t="shared" si="0"/>
        <v>10000</v>
      </c>
    </row>
    <row r="25" spans="1:4" x14ac:dyDescent="0.3">
      <c r="A25" s="2">
        <f t="shared" ref="A25:A43" si="1">A24+(($C$19-$B$19)/$D$19)</f>
        <v>2000000</v>
      </c>
      <c r="B25" s="36">
        <f t="shared" si="0"/>
        <v>20000</v>
      </c>
    </row>
    <row r="26" spans="1:4" x14ac:dyDescent="0.3">
      <c r="A26" s="2">
        <f t="shared" si="1"/>
        <v>3000000</v>
      </c>
      <c r="B26" s="36">
        <f t="shared" si="0"/>
        <v>30000</v>
      </c>
    </row>
    <row r="27" spans="1:4" x14ac:dyDescent="0.3">
      <c r="A27" s="2">
        <f t="shared" si="1"/>
        <v>4000000</v>
      </c>
      <c r="B27" s="36">
        <f t="shared" si="0"/>
        <v>40000</v>
      </c>
    </row>
    <row r="28" spans="1:4" x14ac:dyDescent="0.3">
      <c r="A28" s="2">
        <f t="shared" si="1"/>
        <v>5000000</v>
      </c>
      <c r="B28" s="36">
        <f t="shared" si="0"/>
        <v>50000</v>
      </c>
    </row>
    <row r="29" spans="1:4" x14ac:dyDescent="0.3">
      <c r="A29" s="2">
        <f t="shared" si="1"/>
        <v>6000000</v>
      </c>
      <c r="B29" s="36">
        <f t="shared" si="0"/>
        <v>60000</v>
      </c>
    </row>
    <row r="30" spans="1:4" x14ac:dyDescent="0.3">
      <c r="A30" s="2">
        <f t="shared" si="1"/>
        <v>7000000</v>
      </c>
      <c r="B30" s="36">
        <f t="shared" si="0"/>
        <v>70000</v>
      </c>
    </row>
    <row r="31" spans="1:4" x14ac:dyDescent="0.3">
      <c r="A31" s="2">
        <f t="shared" si="1"/>
        <v>8000000</v>
      </c>
      <c r="B31" s="36">
        <f t="shared" si="0"/>
        <v>80000</v>
      </c>
    </row>
    <row r="32" spans="1:4" x14ac:dyDescent="0.3">
      <c r="A32" s="2">
        <f t="shared" si="1"/>
        <v>9000000</v>
      </c>
      <c r="B32" s="36">
        <f t="shared" si="0"/>
        <v>90000</v>
      </c>
    </row>
    <row r="33" spans="1:2" x14ac:dyDescent="0.3">
      <c r="A33" s="2">
        <f t="shared" si="1"/>
        <v>10000000</v>
      </c>
      <c r="B33" s="36">
        <f t="shared" si="0"/>
        <v>100000</v>
      </c>
    </row>
    <row r="34" spans="1:2" x14ac:dyDescent="0.3">
      <c r="A34" s="2">
        <f t="shared" si="1"/>
        <v>11000000</v>
      </c>
      <c r="B34" s="36">
        <f t="shared" si="0"/>
        <v>110000</v>
      </c>
    </row>
    <row r="35" spans="1:2" x14ac:dyDescent="0.3">
      <c r="A35" s="2">
        <f>A34+(($C$19-$B$19)/$D$19)</f>
        <v>12000000</v>
      </c>
      <c r="B35" s="36">
        <f t="shared" si="0"/>
        <v>120000</v>
      </c>
    </row>
    <row r="36" spans="1:2" x14ac:dyDescent="0.3">
      <c r="A36" s="2">
        <f t="shared" si="1"/>
        <v>13000000</v>
      </c>
      <c r="B36" s="36">
        <f t="shared" si="0"/>
        <v>130000</v>
      </c>
    </row>
    <row r="37" spans="1:2" x14ac:dyDescent="0.3">
      <c r="A37" s="2">
        <f t="shared" si="1"/>
        <v>14000000</v>
      </c>
      <c r="B37" s="36">
        <f t="shared" si="0"/>
        <v>140000</v>
      </c>
    </row>
    <row r="38" spans="1:2" x14ac:dyDescent="0.3">
      <c r="A38" s="2">
        <f t="shared" si="1"/>
        <v>15000000</v>
      </c>
      <c r="B38" s="36">
        <f t="shared" si="0"/>
        <v>150000</v>
      </c>
    </row>
    <row r="39" spans="1:2" x14ac:dyDescent="0.3">
      <c r="A39" s="2">
        <f t="shared" si="1"/>
        <v>16000000</v>
      </c>
      <c r="B39" s="36">
        <f t="shared" si="0"/>
        <v>160000</v>
      </c>
    </row>
    <row r="40" spans="1:2" x14ac:dyDescent="0.3">
      <c r="A40" s="2">
        <f t="shared" si="1"/>
        <v>17000000</v>
      </c>
      <c r="B40" s="36">
        <f t="shared" si="0"/>
        <v>170000</v>
      </c>
    </row>
    <row r="41" spans="1:2" x14ac:dyDescent="0.3">
      <c r="A41" s="2">
        <f t="shared" si="1"/>
        <v>18000000</v>
      </c>
      <c r="B41" s="36">
        <f t="shared" si="0"/>
        <v>180000</v>
      </c>
    </row>
    <row r="42" spans="1:2" x14ac:dyDescent="0.3">
      <c r="A42" s="2">
        <f>A41+(($C$19-$B$19)/$D$19)</f>
        <v>19000000</v>
      </c>
      <c r="B42" s="36">
        <f t="shared" si="0"/>
        <v>190000</v>
      </c>
    </row>
    <row r="43" spans="1:2" x14ac:dyDescent="0.3">
      <c r="A43" s="2">
        <f t="shared" si="1"/>
        <v>20000000</v>
      </c>
      <c r="B43" s="36">
        <f t="shared" si="0"/>
        <v>200000</v>
      </c>
    </row>
  </sheetData>
  <mergeCells count="13">
    <mergeCell ref="A14:F15"/>
    <mergeCell ref="A18:A19"/>
    <mergeCell ref="A21:B21"/>
    <mergeCell ref="B11:B12"/>
    <mergeCell ref="C11:E11"/>
    <mergeCell ref="A11:A13"/>
    <mergeCell ref="F2:L2"/>
    <mergeCell ref="F3:L3"/>
    <mergeCell ref="B4:D4"/>
    <mergeCell ref="A7:A9"/>
    <mergeCell ref="B7:C7"/>
    <mergeCell ref="D7:E7"/>
    <mergeCell ref="F7:G7"/>
  </mergeCells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1" tint="4.9989318521683403E-2"/>
  </sheetPr>
  <dimension ref="A1:N47"/>
  <sheetViews>
    <sheetView workbookViewId="0">
      <selection activeCell="G5" sqref="G5"/>
    </sheetView>
  </sheetViews>
  <sheetFormatPr defaultRowHeight="13.8" x14ac:dyDescent="0.3"/>
  <cols>
    <col min="1" max="1" width="12.109375" style="1" customWidth="1"/>
    <col min="2" max="2" width="10.44140625" style="1" customWidth="1"/>
    <col min="3" max="3" width="11" style="1" customWidth="1"/>
    <col min="4" max="4" width="12.109375" style="1" customWidth="1"/>
    <col min="5" max="5" width="14.88671875" style="1" customWidth="1"/>
    <col min="6" max="6" width="11.10937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6384" width="8.88671875" style="1"/>
  </cols>
  <sheetData>
    <row r="1" spans="1:14" ht="14.4" thickBot="1" x14ac:dyDescent="0.35">
      <c r="A1" s="6" t="s">
        <v>0</v>
      </c>
      <c r="B1" s="1" t="s">
        <v>55</v>
      </c>
    </row>
    <row r="2" spans="1:14" x14ac:dyDescent="0.3">
      <c r="A2" s="7" t="s">
        <v>2</v>
      </c>
      <c r="B2" s="8" t="s">
        <v>13</v>
      </c>
      <c r="C2" s="9" t="s">
        <v>4</v>
      </c>
      <c r="D2" s="10" t="s">
        <v>6</v>
      </c>
      <c r="F2" s="216" t="s">
        <v>105</v>
      </c>
      <c r="G2" s="217"/>
      <c r="H2" s="217"/>
      <c r="I2" s="217"/>
      <c r="J2" s="217"/>
      <c r="K2" s="217"/>
      <c r="L2" s="218"/>
    </row>
    <row r="3" spans="1:14" ht="14.4" thickBot="1" x14ac:dyDescent="0.35">
      <c r="A3" s="11" t="s">
        <v>3</v>
      </c>
      <c r="B3" s="12" t="s">
        <v>56</v>
      </c>
      <c r="C3" s="13" t="s">
        <v>5</v>
      </c>
      <c r="D3" s="14" t="s">
        <v>7</v>
      </c>
      <c r="F3" s="219" t="s">
        <v>72</v>
      </c>
      <c r="G3" s="220"/>
      <c r="H3" s="220"/>
      <c r="I3" s="220"/>
      <c r="J3" s="220"/>
      <c r="K3" s="220"/>
      <c r="L3" s="221"/>
    </row>
    <row r="4" spans="1:14" ht="14.4" thickBot="1" x14ac:dyDescent="0.35">
      <c r="A4" s="29" t="s">
        <v>38</v>
      </c>
      <c r="B4" s="271" t="s">
        <v>57</v>
      </c>
      <c r="C4" s="271"/>
      <c r="D4" s="272"/>
    </row>
    <row r="6" spans="1:14" ht="14.4" thickBot="1" x14ac:dyDescent="0.35"/>
    <row r="7" spans="1:14" ht="27.6" customHeight="1" x14ac:dyDescent="0.3">
      <c r="A7" s="246" t="s">
        <v>8</v>
      </c>
      <c r="B7" s="240" t="s">
        <v>9</v>
      </c>
      <c r="C7" s="241"/>
      <c r="D7" s="265" t="s">
        <v>12</v>
      </c>
      <c r="E7" s="267"/>
      <c r="F7" s="266" t="s">
        <v>24</v>
      </c>
      <c r="G7" s="279"/>
      <c r="I7" s="251" t="s">
        <v>73</v>
      </c>
      <c r="J7" s="251"/>
      <c r="K7" s="251"/>
      <c r="L7" s="251"/>
      <c r="N7" s="47" t="s">
        <v>58</v>
      </c>
    </row>
    <row r="8" spans="1:14" ht="27.6" x14ac:dyDescent="0.3">
      <c r="A8" s="247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  <c r="I8" s="251"/>
      <c r="J8" s="251"/>
      <c r="K8" s="251"/>
      <c r="L8" s="251"/>
      <c r="N8" s="47" t="s">
        <v>59</v>
      </c>
    </row>
    <row r="9" spans="1:14" ht="14.4" thickBot="1" x14ac:dyDescent="0.35">
      <c r="A9" s="248"/>
      <c r="B9" s="5">
        <v>0</v>
      </c>
      <c r="C9" s="18">
        <v>5</v>
      </c>
      <c r="D9" s="22">
        <v>3.5</v>
      </c>
      <c r="E9" s="34">
        <f>csplinePred($B$12:$B$17,$C$12:$C$17,$F$12:$M$17,D9)</f>
        <v>0.89324162679425823</v>
      </c>
      <c r="F9" s="20">
        <v>1.5</v>
      </c>
      <c r="G9" s="14">
        <v>0.5</v>
      </c>
    </row>
    <row r="10" spans="1:14" ht="14.4" thickBot="1" x14ac:dyDescent="0.35"/>
    <row r="11" spans="1:14" ht="13.8" customHeight="1" x14ac:dyDescent="0.3">
      <c r="A11" s="215" t="s">
        <v>60</v>
      </c>
      <c r="B11" s="3" t="s">
        <v>61</v>
      </c>
      <c r="C11" s="3" t="s">
        <v>62</v>
      </c>
      <c r="D11" s="32"/>
      <c r="E11" s="254" t="s">
        <v>71</v>
      </c>
      <c r="F11" s="21" t="s">
        <v>63</v>
      </c>
      <c r="G11" s="21" t="s">
        <v>64</v>
      </c>
      <c r="H11" s="21" t="s">
        <v>65</v>
      </c>
      <c r="I11" s="21" t="s">
        <v>66</v>
      </c>
      <c r="J11" s="21" t="s">
        <v>67</v>
      </c>
      <c r="K11" s="21" t="s">
        <v>68</v>
      </c>
      <c r="L11" s="21" t="s">
        <v>69</v>
      </c>
      <c r="M11" s="21" t="s">
        <v>70</v>
      </c>
    </row>
    <row r="12" spans="1:14" ht="14.4" customHeight="1" x14ac:dyDescent="0.3">
      <c r="A12" s="215"/>
      <c r="B12" s="41">
        <v>0</v>
      </c>
      <c r="C12" s="41">
        <v>0</v>
      </c>
      <c r="D12" s="32"/>
      <c r="E12" s="255"/>
      <c r="F12" s="43">
        <f t="array" ref="F12:M17">csplinea($B$12:$B$17,$C$12:$C$17,$B$12:$B$17,2)</f>
        <v>1</v>
      </c>
      <c r="G12" s="43">
        <v>0</v>
      </c>
      <c r="H12" s="43">
        <v>1</v>
      </c>
      <c r="I12" s="44">
        <v>0</v>
      </c>
      <c r="J12" s="44">
        <v>0</v>
      </c>
      <c r="K12" s="44">
        <v>1.0191387559808613</v>
      </c>
      <c r="L12" s="44">
        <v>0</v>
      </c>
      <c r="M12" s="44">
        <v>-0.26913875598086129</v>
      </c>
    </row>
    <row r="13" spans="1:14" ht="14.4" customHeight="1" x14ac:dyDescent="0.3">
      <c r="A13" s="215"/>
      <c r="B13" s="41">
        <v>1</v>
      </c>
      <c r="C13" s="41">
        <v>0.75</v>
      </c>
      <c r="D13" s="32"/>
      <c r="E13" s="255"/>
      <c r="F13" s="43">
        <v>1</v>
      </c>
      <c r="G13" s="43">
        <v>-4.5</v>
      </c>
      <c r="H13" s="43">
        <v>4</v>
      </c>
      <c r="I13" s="44">
        <v>0.25</v>
      </c>
      <c r="J13" s="44">
        <v>-1.125</v>
      </c>
      <c r="K13" s="44">
        <v>0.21172248803827753</v>
      </c>
      <c r="L13" s="44">
        <v>-0.80741626794258381</v>
      </c>
      <c r="M13" s="44">
        <v>-0.15430622009569372</v>
      </c>
    </row>
    <row r="14" spans="1:14" ht="14.4" customHeight="1" x14ac:dyDescent="0.3">
      <c r="A14" s="215"/>
      <c r="B14" s="41">
        <v>2</v>
      </c>
      <c r="C14" s="41">
        <v>0</v>
      </c>
      <c r="D14" s="32"/>
      <c r="E14" s="255"/>
      <c r="F14" s="43">
        <v>1</v>
      </c>
      <c r="G14" s="43">
        <v>-0.75</v>
      </c>
      <c r="H14" s="43">
        <v>3.75</v>
      </c>
      <c r="I14" s="44">
        <v>0.26666666666666666</v>
      </c>
      <c r="J14" s="44">
        <v>0.1</v>
      </c>
      <c r="K14" s="44">
        <v>-1.866028708133971</v>
      </c>
      <c r="L14" s="44">
        <v>-1.270334928229665</v>
      </c>
      <c r="M14" s="44">
        <v>2.1363636363636362</v>
      </c>
    </row>
    <row r="15" spans="1:14" ht="14.4" customHeight="1" x14ac:dyDescent="0.3">
      <c r="A15" s="215"/>
      <c r="B15" s="41">
        <v>3</v>
      </c>
      <c r="C15" s="41">
        <v>-1</v>
      </c>
      <c r="D15" s="32"/>
      <c r="E15" s="255"/>
      <c r="F15" s="43">
        <v>1</v>
      </c>
      <c r="G15" s="43">
        <v>15</v>
      </c>
      <c r="H15" s="43">
        <v>3.7333333333333334</v>
      </c>
      <c r="I15" s="44">
        <v>0.26785714285714285</v>
      </c>
      <c r="J15" s="44">
        <v>3.9910714285714284</v>
      </c>
      <c r="K15" s="44">
        <v>2.0023923444976077</v>
      </c>
      <c r="L15" s="44">
        <v>5.1387559808612435</v>
      </c>
      <c r="M15" s="44">
        <v>-3.1411483253588517</v>
      </c>
    </row>
    <row r="16" spans="1:14" ht="14.4" customHeight="1" x14ac:dyDescent="0.3">
      <c r="A16" s="215"/>
      <c r="B16" s="41">
        <v>4</v>
      </c>
      <c r="C16" s="41">
        <v>3</v>
      </c>
      <c r="D16" s="32"/>
      <c r="E16" s="255"/>
      <c r="F16" s="43">
        <v>1</v>
      </c>
      <c r="G16" s="43">
        <v>-12</v>
      </c>
      <c r="H16" s="43">
        <v>3.7321428571428572</v>
      </c>
      <c r="I16" s="44">
        <v>0.26794258373205743</v>
      </c>
      <c r="J16" s="44">
        <v>-4.2846889952153111</v>
      </c>
      <c r="K16" s="44">
        <v>2.8564593301435406</v>
      </c>
      <c r="L16" s="44">
        <v>-4.2846889952153111</v>
      </c>
      <c r="M16" s="44">
        <v>1.4282296650717703</v>
      </c>
    </row>
    <row r="17" spans="1:13" ht="15" customHeight="1" x14ac:dyDescent="0.3">
      <c r="A17" s="215"/>
      <c r="B17" s="42">
        <v>5</v>
      </c>
      <c r="C17" s="42">
        <v>3</v>
      </c>
      <c r="D17" s="40"/>
      <c r="E17" s="255"/>
      <c r="F17" s="45">
        <v>0</v>
      </c>
      <c r="G17" s="45">
        <v>0</v>
      </c>
      <c r="H17" s="45">
        <v>1</v>
      </c>
      <c r="I17" s="46">
        <v>0</v>
      </c>
      <c r="J17" s="46">
        <v>0</v>
      </c>
      <c r="K17" s="46">
        <v>0</v>
      </c>
      <c r="L17" s="46">
        <v>0</v>
      </c>
      <c r="M17" s="46">
        <v>0</v>
      </c>
    </row>
    <row r="18" spans="1:13" ht="39" customHeight="1" x14ac:dyDescent="0.3">
      <c r="A18" s="286" t="s">
        <v>74</v>
      </c>
      <c r="B18" s="287"/>
      <c r="C18" s="288"/>
      <c r="D18" s="33"/>
      <c r="E18" s="245" t="s">
        <v>75</v>
      </c>
      <c r="F18" s="245"/>
      <c r="G18" s="245"/>
      <c r="H18" s="245"/>
      <c r="I18" s="245"/>
      <c r="J18" s="245"/>
      <c r="K18" s="245"/>
      <c r="L18" s="245"/>
      <c r="M18" s="245"/>
    </row>
    <row r="19" spans="1:13" ht="35.4" customHeight="1" x14ac:dyDescent="0.3">
      <c r="A19" s="260"/>
      <c r="B19" s="261"/>
      <c r="C19" s="262"/>
      <c r="D19" s="33"/>
      <c r="E19" s="245"/>
      <c r="F19" s="245"/>
      <c r="G19" s="245"/>
      <c r="H19" s="245"/>
      <c r="I19" s="245"/>
      <c r="J19" s="245"/>
      <c r="K19" s="245"/>
      <c r="L19" s="245"/>
      <c r="M19" s="245"/>
    </row>
    <row r="21" spans="1:13" ht="14.4" thickBot="1" x14ac:dyDescent="0.35"/>
    <row r="22" spans="1:13" ht="16.8" customHeight="1" x14ac:dyDescent="0.3">
      <c r="A22" s="249" t="s">
        <v>34</v>
      </c>
      <c r="B22" s="21" t="s">
        <v>32</v>
      </c>
      <c r="C22" s="21" t="s">
        <v>31</v>
      </c>
      <c r="D22" s="15" t="s">
        <v>33</v>
      </c>
    </row>
    <row r="23" spans="1:13" ht="23.4" customHeight="1" thickBot="1" x14ac:dyDescent="0.35">
      <c r="A23" s="250"/>
      <c r="B23" s="12">
        <v>0</v>
      </c>
      <c r="C23" s="12">
        <v>5</v>
      </c>
      <c r="D23" s="26">
        <v>20</v>
      </c>
    </row>
    <row r="25" spans="1:13" x14ac:dyDescent="0.3">
      <c r="A25" s="215" t="s">
        <v>37</v>
      </c>
      <c r="B25" s="215"/>
    </row>
    <row r="26" spans="1:13" x14ac:dyDescent="0.3">
      <c r="A26" s="3" t="s">
        <v>35</v>
      </c>
      <c r="B26" s="3" t="s">
        <v>36</v>
      </c>
    </row>
    <row r="27" spans="1:13" x14ac:dyDescent="0.3">
      <c r="A27" s="2">
        <f>B23</f>
        <v>0</v>
      </c>
      <c r="B27" s="36">
        <f>csplinePred($B$12:$B$17,$C$12:$C$17,$F$12:$M$17,A27)</f>
        <v>0</v>
      </c>
    </row>
    <row r="28" spans="1:13" x14ac:dyDescent="0.3">
      <c r="A28" s="2">
        <f>A27+(($C$23-$B$23)/$D$23)</f>
        <v>0.25</v>
      </c>
      <c r="B28" s="36">
        <f t="shared" ref="B28:B47" si="0">csplinePred($B$12:$B$17,$C$12:$C$17,$F$12:$M$17,A28)</f>
        <v>0.25057939593301437</v>
      </c>
    </row>
    <row r="29" spans="1:13" x14ac:dyDescent="0.3">
      <c r="A29" s="2">
        <f t="shared" ref="A29:A47" si="1">A28+(($C$23-$B$23)/$D$23)</f>
        <v>0.5</v>
      </c>
      <c r="B29" s="36">
        <f t="shared" si="0"/>
        <v>0.475927033492823</v>
      </c>
    </row>
    <row r="30" spans="1:13" x14ac:dyDescent="0.3">
      <c r="A30" s="2">
        <f t="shared" si="1"/>
        <v>0.75</v>
      </c>
      <c r="B30" s="36">
        <f t="shared" si="0"/>
        <v>0.65081115430622016</v>
      </c>
    </row>
    <row r="31" spans="1:13" x14ac:dyDescent="0.3">
      <c r="A31" s="2">
        <f t="shared" si="1"/>
        <v>1</v>
      </c>
      <c r="B31" s="36">
        <f t="shared" si="0"/>
        <v>0.75</v>
      </c>
    </row>
    <row r="32" spans="1:13" x14ac:dyDescent="0.3">
      <c r="A32" s="2">
        <f t="shared" si="1"/>
        <v>1.25</v>
      </c>
      <c r="B32" s="36">
        <f t="shared" si="0"/>
        <v>0.75005607057416268</v>
      </c>
    </row>
    <row r="33" spans="1:2" x14ac:dyDescent="0.3">
      <c r="A33" s="2">
        <f t="shared" si="1"/>
        <v>1.5</v>
      </c>
      <c r="B33" s="36">
        <f t="shared" si="0"/>
        <v>0.63471889952153115</v>
      </c>
    </row>
    <row r="34" spans="1:2" x14ac:dyDescent="0.3">
      <c r="A34" s="2">
        <f t="shared" si="1"/>
        <v>1.75</v>
      </c>
      <c r="B34" s="36">
        <f t="shared" si="0"/>
        <v>0.389522278708134</v>
      </c>
    </row>
    <row r="35" spans="1:2" x14ac:dyDescent="0.3">
      <c r="A35" s="2">
        <f t="shared" si="1"/>
        <v>2</v>
      </c>
      <c r="B35" s="36">
        <f t="shared" si="0"/>
        <v>0</v>
      </c>
    </row>
    <row r="36" spans="1:2" x14ac:dyDescent="0.3">
      <c r="A36" s="2">
        <f t="shared" si="1"/>
        <v>2.25</v>
      </c>
      <c r="B36" s="36">
        <f t="shared" si="0"/>
        <v>-0.51252242822966498</v>
      </c>
    </row>
    <row r="37" spans="1:2" x14ac:dyDescent="0.3">
      <c r="A37" s="2">
        <f t="shared" si="1"/>
        <v>2.5</v>
      </c>
      <c r="B37" s="36">
        <f t="shared" si="0"/>
        <v>-0.98355263157894723</v>
      </c>
    </row>
    <row r="38" spans="1:2" x14ac:dyDescent="0.3">
      <c r="A38" s="2">
        <f t="shared" si="1"/>
        <v>2.75</v>
      </c>
      <c r="B38" s="36">
        <f t="shared" si="0"/>
        <v>-1.2128065191387558</v>
      </c>
    </row>
    <row r="39" spans="1:2" x14ac:dyDescent="0.3">
      <c r="A39" s="2">
        <f>A38+(($C$23-$B$23)/$D$23)</f>
        <v>3</v>
      </c>
      <c r="B39" s="36">
        <f t="shared" si="0"/>
        <v>-1</v>
      </c>
    </row>
    <row r="40" spans="1:2" x14ac:dyDescent="0.3">
      <c r="A40" s="2">
        <f t="shared" si="1"/>
        <v>3.25</v>
      </c>
      <c r="B40" s="36">
        <f t="shared" si="0"/>
        <v>-0.22731010765550241</v>
      </c>
    </row>
    <row r="41" spans="1:2" x14ac:dyDescent="0.3">
      <c r="A41" s="2">
        <f t="shared" si="1"/>
        <v>3.5</v>
      </c>
      <c r="B41" s="36">
        <f t="shared" si="0"/>
        <v>0.89324162679425823</v>
      </c>
    </row>
    <row r="42" spans="1:2" x14ac:dyDescent="0.3">
      <c r="A42" s="2">
        <f t="shared" si="1"/>
        <v>3.75</v>
      </c>
      <c r="B42" s="36">
        <f t="shared" si="0"/>
        <v>2.0671725478468899</v>
      </c>
    </row>
    <row r="43" spans="1:2" x14ac:dyDescent="0.3">
      <c r="A43" s="2">
        <f t="shared" si="1"/>
        <v>4</v>
      </c>
      <c r="B43" s="36">
        <f t="shared" si="0"/>
        <v>3</v>
      </c>
    </row>
    <row r="44" spans="1:2" x14ac:dyDescent="0.3">
      <c r="A44" s="2">
        <f t="shared" si="1"/>
        <v>4.25</v>
      </c>
      <c r="B44" s="36">
        <f t="shared" si="0"/>
        <v>3.4686378588516744</v>
      </c>
    </row>
    <row r="45" spans="1:2" x14ac:dyDescent="0.3">
      <c r="A45" s="2">
        <f t="shared" si="1"/>
        <v>4.5</v>
      </c>
      <c r="B45" s="36">
        <f t="shared" si="0"/>
        <v>3.535586124401914</v>
      </c>
    </row>
    <row r="46" spans="1:2" x14ac:dyDescent="0.3">
      <c r="A46" s="2">
        <f>A45+(($C$23-$B$23)/$D$23)</f>
        <v>4.75</v>
      </c>
      <c r="B46" s="36">
        <f t="shared" si="0"/>
        <v>3.3347413277511961</v>
      </c>
    </row>
    <row r="47" spans="1:2" x14ac:dyDescent="0.3">
      <c r="A47" s="2">
        <f t="shared" si="1"/>
        <v>5</v>
      </c>
      <c r="B47" s="36">
        <f t="shared" si="0"/>
        <v>2.9999999999999996</v>
      </c>
    </row>
  </sheetData>
  <mergeCells count="14">
    <mergeCell ref="A11:A17"/>
    <mergeCell ref="A22:A23"/>
    <mergeCell ref="A25:B25"/>
    <mergeCell ref="A18:C19"/>
    <mergeCell ref="B4:D4"/>
    <mergeCell ref="A7:A9"/>
    <mergeCell ref="B7:C7"/>
    <mergeCell ref="D7:E7"/>
    <mergeCell ref="F2:L2"/>
    <mergeCell ref="F3:L3"/>
    <mergeCell ref="F7:G7"/>
    <mergeCell ref="E11:E17"/>
    <mergeCell ref="E18:M19"/>
    <mergeCell ref="I7:L8"/>
  </mergeCells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1"/>
  </sheetPr>
  <dimension ref="A1:O42"/>
  <sheetViews>
    <sheetView workbookViewId="0">
      <selection activeCell="G5" sqref="G5"/>
    </sheetView>
  </sheetViews>
  <sheetFormatPr defaultRowHeight="13.8" x14ac:dyDescent="0.3"/>
  <cols>
    <col min="1" max="1" width="12.109375" style="1" customWidth="1"/>
    <col min="2" max="2" width="13.5546875" style="1" customWidth="1"/>
    <col min="3" max="3" width="12.5546875" style="1" customWidth="1"/>
    <col min="4" max="4" width="13.77734375" style="1" customWidth="1"/>
    <col min="5" max="6" width="12.441406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1" width="14.33203125" style="1" bestFit="1" customWidth="1"/>
    <col min="12" max="13" width="12" style="1" bestFit="1" customWidth="1"/>
    <col min="14" max="14" width="11.44140625" style="1" bestFit="1" customWidth="1"/>
    <col min="15" max="15" width="9.77734375" style="1" bestFit="1" customWidth="1"/>
    <col min="16" max="16384" width="8.88671875" style="1"/>
  </cols>
  <sheetData>
    <row r="1" spans="1:15" ht="14.4" thickBot="1" x14ac:dyDescent="0.35">
      <c r="A1" s="6" t="s">
        <v>0</v>
      </c>
      <c r="B1" s="1" t="s">
        <v>1</v>
      </c>
    </row>
    <row r="2" spans="1:15" x14ac:dyDescent="0.3">
      <c r="A2" s="7" t="s">
        <v>2</v>
      </c>
      <c r="B2" s="8" t="s">
        <v>106</v>
      </c>
      <c r="C2" s="9" t="s">
        <v>4</v>
      </c>
      <c r="D2" s="10" t="s">
        <v>6</v>
      </c>
      <c r="H2" s="68" t="s">
        <v>107</v>
      </c>
      <c r="I2" s="69"/>
      <c r="J2" s="69"/>
      <c r="K2" s="69"/>
      <c r="L2" s="70"/>
    </row>
    <row r="3" spans="1:15" ht="14.4" thickBot="1" x14ac:dyDescent="0.35">
      <c r="A3" s="94" t="s">
        <v>3</v>
      </c>
      <c r="B3" s="27" t="s">
        <v>108</v>
      </c>
      <c r="C3" s="6" t="s">
        <v>5</v>
      </c>
      <c r="D3" s="28" t="s">
        <v>7</v>
      </c>
      <c r="E3" s="6" t="s">
        <v>109</v>
      </c>
      <c r="F3" s="28" t="s">
        <v>110</v>
      </c>
    </row>
    <row r="4" spans="1:15" ht="15" customHeight="1" thickBot="1" x14ac:dyDescent="0.35">
      <c r="A4" s="29" t="s">
        <v>38</v>
      </c>
      <c r="B4" s="289" t="s">
        <v>111</v>
      </c>
      <c r="C4" s="289"/>
      <c r="D4" s="289"/>
      <c r="E4" s="289"/>
      <c r="F4" s="290"/>
      <c r="H4" s="1" t="s">
        <v>112</v>
      </c>
    </row>
    <row r="5" spans="1:15" x14ac:dyDescent="0.3">
      <c r="H5" s="1" t="s">
        <v>113</v>
      </c>
    </row>
    <row r="6" spans="1:15" ht="14.4" thickBot="1" x14ac:dyDescent="0.35">
      <c r="B6" s="78">
        <v>0.6</v>
      </c>
      <c r="C6" s="78">
        <v>1.3</v>
      </c>
    </row>
    <row r="7" spans="1:15" ht="27.6" customHeight="1" x14ac:dyDescent="0.3">
      <c r="A7" s="246" t="s">
        <v>8</v>
      </c>
      <c r="B7" s="240" t="s">
        <v>9</v>
      </c>
      <c r="C7" s="241"/>
      <c r="D7" s="265" t="s">
        <v>12</v>
      </c>
      <c r="E7" s="267"/>
      <c r="F7" s="266" t="s">
        <v>24</v>
      </c>
      <c r="G7" s="279"/>
    </row>
    <row r="8" spans="1:15" ht="27.6" x14ac:dyDescent="0.3">
      <c r="A8" s="247"/>
      <c r="B8" s="71" t="s">
        <v>10</v>
      </c>
      <c r="C8" s="17" t="s">
        <v>11</v>
      </c>
      <c r="D8" s="19" t="s">
        <v>20</v>
      </c>
      <c r="E8" s="17" t="s">
        <v>21</v>
      </c>
      <c r="F8" s="67" t="s">
        <v>22</v>
      </c>
      <c r="G8" s="4" t="s">
        <v>23</v>
      </c>
    </row>
    <row r="9" spans="1:15" ht="14.4" thickBot="1" x14ac:dyDescent="0.35">
      <c r="A9" s="248"/>
      <c r="B9" s="80">
        <f>B6*B12</f>
        <v>13460703.6</v>
      </c>
      <c r="C9" s="80">
        <f>C6*B12</f>
        <v>29164857.800000001</v>
      </c>
      <c r="D9" s="95">
        <f>F9</f>
        <v>22434506</v>
      </c>
      <c r="E9" s="96">
        <f>(($O$12/(1+EXP($M$12+$N$12*D9)))-1) - ($F$12-$C$12)</f>
        <v>135699.36912083253</v>
      </c>
      <c r="F9" s="80">
        <f>B12</f>
        <v>22434506</v>
      </c>
      <c r="G9" s="86">
        <f>C12</f>
        <v>135699.3691208323</v>
      </c>
    </row>
    <row r="10" spans="1:15" ht="14.4" thickBot="1" x14ac:dyDescent="0.35"/>
    <row r="11" spans="1:15" ht="51.6" customHeight="1" x14ac:dyDescent="0.3">
      <c r="A11" s="246" t="s">
        <v>15</v>
      </c>
      <c r="B11" s="72" t="s">
        <v>16</v>
      </c>
      <c r="C11" s="72" t="s">
        <v>17</v>
      </c>
      <c r="D11" s="72" t="s">
        <v>18</v>
      </c>
      <c r="E11" s="72" t="s">
        <v>19</v>
      </c>
      <c r="F11" s="15" t="s">
        <v>114</v>
      </c>
      <c r="H11" s="249" t="s">
        <v>25</v>
      </c>
      <c r="I11" s="72" t="s">
        <v>115</v>
      </c>
      <c r="J11" s="72" t="s">
        <v>116</v>
      </c>
      <c r="K11" s="72" t="s">
        <v>117</v>
      </c>
      <c r="L11" s="72" t="s">
        <v>118</v>
      </c>
      <c r="M11" s="72" t="s">
        <v>26</v>
      </c>
      <c r="N11" s="72" t="s">
        <v>27</v>
      </c>
      <c r="O11" s="15" t="s">
        <v>28</v>
      </c>
    </row>
    <row r="12" spans="1:15" ht="15" customHeight="1" thickBot="1" x14ac:dyDescent="0.35">
      <c r="A12" s="248"/>
      <c r="B12" s="80">
        <v>22434506</v>
      </c>
      <c r="C12" s="86">
        <v>135699.3691208323</v>
      </c>
      <c r="D12" s="12">
        <v>0</v>
      </c>
      <c r="E12" s="86">
        <v>516500</v>
      </c>
      <c r="F12" s="97">
        <v>5165000</v>
      </c>
      <c r="H12" s="250"/>
      <c r="I12" s="98">
        <f>F12-C12</f>
        <v>5029300.6308791675</v>
      </c>
      <c r="J12" s="98">
        <f>I12+E12</f>
        <v>5545800.6308791675</v>
      </c>
      <c r="K12" s="99">
        <f>B12</f>
        <v>22434506</v>
      </c>
      <c r="L12" s="98">
        <f>F12</f>
        <v>5165000</v>
      </c>
      <c r="M12" s="24">
        <f>LN((($J$12+1)/($I$12+1))-1)</f>
        <v>-2.2759611241153297</v>
      </c>
      <c r="N12" s="100">
        <f>(LN((($J$12+1)/($L$12+1))-1)-$M$12)/$K$12</f>
        <v>-1.4772934666486198E-8</v>
      </c>
      <c r="O12" s="101">
        <f>J12+1</f>
        <v>5545801.6308791675</v>
      </c>
    </row>
    <row r="13" spans="1:15" ht="34.200000000000003" customHeight="1" x14ac:dyDescent="0.3">
      <c r="A13" s="268" t="s">
        <v>119</v>
      </c>
      <c r="B13" s="269"/>
      <c r="C13" s="269"/>
      <c r="D13" s="269"/>
      <c r="E13" s="269"/>
      <c r="F13" s="270"/>
      <c r="H13" s="268" t="s">
        <v>120</v>
      </c>
      <c r="I13" s="269"/>
      <c r="J13" s="269"/>
      <c r="K13" s="269"/>
      <c r="L13" s="269"/>
      <c r="M13" s="269"/>
      <c r="N13" s="269"/>
      <c r="O13" s="270"/>
    </row>
    <row r="14" spans="1:15" ht="33.6" customHeight="1" x14ac:dyDescent="0.3">
      <c r="A14" s="260"/>
      <c r="B14" s="261"/>
      <c r="C14" s="261"/>
      <c r="D14" s="261"/>
      <c r="E14" s="261"/>
      <c r="F14" s="262"/>
      <c r="H14" s="260"/>
      <c r="I14" s="261"/>
      <c r="J14" s="261"/>
      <c r="K14" s="261"/>
      <c r="L14" s="261"/>
      <c r="M14" s="261"/>
      <c r="N14" s="261"/>
      <c r="O14" s="262"/>
    </row>
    <row r="16" spans="1:15" ht="14.4" thickBot="1" x14ac:dyDescent="0.35"/>
    <row r="17" spans="1:4" ht="16.8" customHeight="1" x14ac:dyDescent="0.3">
      <c r="A17" s="249" t="s">
        <v>34</v>
      </c>
      <c r="B17" s="72" t="s">
        <v>32</v>
      </c>
      <c r="C17" s="72" t="s">
        <v>31</v>
      </c>
      <c r="D17" s="15" t="s">
        <v>33</v>
      </c>
    </row>
    <row r="18" spans="1:4" ht="23.4" customHeight="1" thickBot="1" x14ac:dyDescent="0.35">
      <c r="A18" s="250"/>
      <c r="B18" s="102">
        <v>0</v>
      </c>
      <c r="C18" s="103">
        <v>200000000</v>
      </c>
      <c r="D18" s="26">
        <v>20</v>
      </c>
    </row>
    <row r="20" spans="1:4" x14ac:dyDescent="0.3">
      <c r="A20" s="215" t="s">
        <v>37</v>
      </c>
      <c r="B20" s="215"/>
    </row>
    <row r="21" spans="1:4" x14ac:dyDescent="0.3">
      <c r="A21" s="71" t="s">
        <v>35</v>
      </c>
      <c r="B21" s="71" t="s">
        <v>36</v>
      </c>
    </row>
    <row r="22" spans="1:4" x14ac:dyDescent="0.3">
      <c r="A22" s="2">
        <f>B18</f>
        <v>0</v>
      </c>
      <c r="B22" s="2">
        <f>(($O$12/(1+EXP($M$12+$N$12*A22)))-1) - ($F$12-$C$12)</f>
        <v>0</v>
      </c>
    </row>
    <row r="23" spans="1:4" x14ac:dyDescent="0.3">
      <c r="A23" s="2">
        <f>A22+(($C$18-$B$18)/$D$18)</f>
        <v>10000000</v>
      </c>
      <c r="B23" s="2">
        <f t="shared" ref="B23:B42" si="0">(($O$12/(1+EXP($M$12+$N$12*A23)))-1) - ($F$12-$C$12)</f>
        <v>65160.884199584834</v>
      </c>
      <c r="C23" s="104">
        <f>(B23-B22)/A23</f>
        <v>6.5160884199584835E-3</v>
      </c>
    </row>
    <row r="24" spans="1:4" x14ac:dyDescent="0.3">
      <c r="A24" s="2">
        <f t="shared" ref="A24:A42" si="1">A23+(($C$18-$B$18)/$D$18)</f>
        <v>20000000</v>
      </c>
      <c r="B24" s="2">
        <f t="shared" si="0"/>
        <v>122744.77582018357</v>
      </c>
      <c r="C24" s="104">
        <f t="shared" ref="C24:C42" si="2">(B24-B23)/A24</f>
        <v>2.8791945810299367E-3</v>
      </c>
    </row>
    <row r="25" spans="1:4" x14ac:dyDescent="0.3">
      <c r="A25" s="2">
        <f t="shared" si="1"/>
        <v>30000000</v>
      </c>
      <c r="B25" s="2">
        <f t="shared" si="0"/>
        <v>173476.53353370167</v>
      </c>
      <c r="C25" s="104">
        <f t="shared" si="2"/>
        <v>1.6910585904506036E-3</v>
      </c>
    </row>
    <row r="26" spans="1:4" x14ac:dyDescent="0.3">
      <c r="A26" s="2">
        <f t="shared" si="1"/>
        <v>40000000</v>
      </c>
      <c r="B26" s="2">
        <f t="shared" si="0"/>
        <v>218050.60666741617</v>
      </c>
      <c r="C26" s="104">
        <f t="shared" si="2"/>
        <v>1.1143518283428624E-3</v>
      </c>
    </row>
    <row r="27" spans="1:4" x14ac:dyDescent="0.3">
      <c r="A27" s="2">
        <f t="shared" si="1"/>
        <v>50000000</v>
      </c>
      <c r="B27" s="2">
        <f t="shared" si="0"/>
        <v>257121.2781913355</v>
      </c>
      <c r="C27" s="104">
        <f t="shared" si="2"/>
        <v>7.8141343047838656E-4</v>
      </c>
    </row>
    <row r="28" spans="1:4" x14ac:dyDescent="0.3">
      <c r="A28" s="2">
        <f t="shared" si="1"/>
        <v>60000000</v>
      </c>
      <c r="B28" s="2">
        <f t="shared" si="0"/>
        <v>291296.63727436401</v>
      </c>
      <c r="C28" s="104">
        <f t="shared" si="2"/>
        <v>5.6958931805047518E-4</v>
      </c>
    </row>
    <row r="29" spans="1:4" x14ac:dyDescent="0.3">
      <c r="A29" s="2">
        <f t="shared" si="1"/>
        <v>70000000</v>
      </c>
      <c r="B29" s="2">
        <f t="shared" si="0"/>
        <v>321135.50980218779</v>
      </c>
      <c r="C29" s="104">
        <f t="shared" si="2"/>
        <v>4.2626960754033977E-4</v>
      </c>
    </row>
    <row r="30" spans="1:4" x14ac:dyDescent="0.3">
      <c r="A30" s="2">
        <f t="shared" si="1"/>
        <v>80000000</v>
      </c>
      <c r="B30" s="2">
        <f t="shared" si="0"/>
        <v>347146.64896780811</v>
      </c>
      <c r="C30" s="104">
        <f t="shared" si="2"/>
        <v>3.2513923957025399E-4</v>
      </c>
    </row>
    <row r="31" spans="1:4" x14ac:dyDescent="0.3">
      <c r="A31" s="2">
        <f t="shared" si="1"/>
        <v>90000000</v>
      </c>
      <c r="B31" s="2">
        <f t="shared" si="0"/>
        <v>369789.58456045669</v>
      </c>
      <c r="C31" s="104">
        <f t="shared" si="2"/>
        <v>2.5158817325165084E-4</v>
      </c>
    </row>
    <row r="32" spans="1:4" x14ac:dyDescent="0.3">
      <c r="A32" s="2">
        <f t="shared" si="1"/>
        <v>100000000</v>
      </c>
      <c r="B32" s="2">
        <f t="shared" si="0"/>
        <v>389476.63249957375</v>
      </c>
      <c r="C32" s="104">
        <f t="shared" si="2"/>
        <v>1.9687047939117067E-4</v>
      </c>
    </row>
    <row r="33" spans="1:3" x14ac:dyDescent="0.3">
      <c r="A33" s="2">
        <f t="shared" si="1"/>
        <v>110000000</v>
      </c>
      <c r="B33" s="2">
        <f t="shared" si="0"/>
        <v>406575.66504135821</v>
      </c>
      <c r="C33" s="104">
        <f t="shared" si="2"/>
        <v>1.5544575037985871E-4</v>
      </c>
    </row>
    <row r="34" spans="1:3" x14ac:dyDescent="0.3">
      <c r="A34" s="2">
        <f>A33+(($C$18-$B$18)/$D$18)</f>
        <v>120000000</v>
      </c>
      <c r="B34" s="2">
        <f t="shared" si="0"/>
        <v>421413.33103184588</v>
      </c>
      <c r="C34" s="104">
        <f t="shared" si="2"/>
        <v>1.2364721658739727E-4</v>
      </c>
    </row>
    <row r="35" spans="1:3" x14ac:dyDescent="0.3">
      <c r="A35" s="2">
        <f t="shared" si="1"/>
        <v>130000000</v>
      </c>
      <c r="B35" s="2">
        <f t="shared" si="0"/>
        <v>434278.49192497414</v>
      </c>
      <c r="C35" s="104">
        <f t="shared" si="2"/>
        <v>9.896277610098657E-5</v>
      </c>
    </row>
    <row r="36" spans="1:3" x14ac:dyDescent="0.3">
      <c r="A36" s="2">
        <f t="shared" si="1"/>
        <v>140000000</v>
      </c>
      <c r="B36" s="2">
        <f t="shared" si="0"/>
        <v>445425.7024764372</v>
      </c>
      <c r="C36" s="104">
        <f t="shared" si="2"/>
        <v>7.9622932510450481E-5</v>
      </c>
    </row>
    <row r="37" spans="1:3" x14ac:dyDescent="0.3">
      <c r="A37" s="2">
        <f t="shared" si="1"/>
        <v>150000000</v>
      </c>
      <c r="B37" s="2">
        <f t="shared" si="0"/>
        <v>455078.61578376312</v>
      </c>
      <c r="C37" s="104">
        <f t="shared" si="2"/>
        <v>6.4352755382172757E-5</v>
      </c>
    </row>
    <row r="38" spans="1:3" x14ac:dyDescent="0.3">
      <c r="A38" s="2">
        <f t="shared" si="1"/>
        <v>160000000</v>
      </c>
      <c r="B38" s="2">
        <f t="shared" si="0"/>
        <v>463433.23205492459</v>
      </c>
      <c r="C38" s="104">
        <f t="shared" si="2"/>
        <v>5.2216351694759215E-5</v>
      </c>
    </row>
    <row r="39" spans="1:3" x14ac:dyDescent="0.3">
      <c r="A39" s="2">
        <f t="shared" si="1"/>
        <v>170000000</v>
      </c>
      <c r="B39" s="2">
        <f t="shared" si="0"/>
        <v>470660.94080024865</v>
      </c>
      <c r="C39" s="104">
        <f t="shared" si="2"/>
        <v>4.2515933796023838E-5</v>
      </c>
    </row>
    <row r="40" spans="1:3" x14ac:dyDescent="0.3">
      <c r="A40" s="2">
        <f t="shared" si="1"/>
        <v>180000000</v>
      </c>
      <c r="B40" s="2">
        <f t="shared" si="0"/>
        <v>476911.32871761266</v>
      </c>
      <c r="C40" s="104">
        <f t="shared" si="2"/>
        <v>3.4724377318688977E-5</v>
      </c>
    </row>
    <row r="41" spans="1:3" x14ac:dyDescent="0.3">
      <c r="A41" s="2">
        <f>A40+(($C$18-$B$18)/$D$18)</f>
        <v>190000000</v>
      </c>
      <c r="B41" s="2">
        <f t="shared" si="0"/>
        <v>482314.74191566277</v>
      </c>
      <c r="C41" s="104">
        <f t="shared" si="2"/>
        <v>2.8439016831842692E-5</v>
      </c>
    </row>
    <row r="42" spans="1:3" x14ac:dyDescent="0.3">
      <c r="A42" s="2">
        <f t="shared" si="1"/>
        <v>200000000</v>
      </c>
      <c r="B42" s="2">
        <f t="shared" si="0"/>
        <v>486984.60263799503</v>
      </c>
      <c r="C42" s="104">
        <f t="shared" si="2"/>
        <v>2.3349303611661307E-5</v>
      </c>
    </row>
  </sheetData>
  <mergeCells count="11">
    <mergeCell ref="B4:F4"/>
    <mergeCell ref="A7:A9"/>
    <mergeCell ref="B7:C7"/>
    <mergeCell ref="D7:E7"/>
    <mergeCell ref="F7:G7"/>
    <mergeCell ref="H11:H12"/>
    <mergeCell ref="A13:F14"/>
    <mergeCell ref="H13:O14"/>
    <mergeCell ref="A17:A18"/>
    <mergeCell ref="A20:B20"/>
    <mergeCell ref="A11:A1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</vt:i4>
      </vt:variant>
    </vt:vector>
  </HeadingPairs>
  <TitlesOfParts>
    <vt:vector size="26" baseType="lpstr">
      <vt:lpstr>Charts - Idvl</vt:lpstr>
      <vt:lpstr>Charts - Idvl IRev</vt:lpstr>
      <vt:lpstr>Chart - Combined</vt:lpstr>
      <vt:lpstr>Case Notes</vt:lpstr>
      <vt:lpstr>STD20 (-15)</vt:lpstr>
      <vt:lpstr>STD20 (-10)</vt:lpstr>
      <vt:lpstr>STD20 (-5)</vt:lpstr>
      <vt:lpstr>STD20 (+0)</vt:lpstr>
      <vt:lpstr>STD20 (+5)</vt:lpstr>
      <vt:lpstr>STD20 (+10)</vt:lpstr>
      <vt:lpstr>STD20 (+15)</vt:lpstr>
      <vt:lpstr>JJ_Optim_Scenario</vt:lpstr>
      <vt:lpstr>JANSample</vt:lpstr>
      <vt:lpstr>JMTSample</vt:lpstr>
      <vt:lpstr>TOTSample</vt:lpstr>
      <vt:lpstr>JJVCH</vt:lpstr>
      <vt:lpstr>JJMMF</vt:lpstr>
      <vt:lpstr>JJHCC</vt:lpstr>
      <vt:lpstr>JJMCM</vt:lpstr>
      <vt:lpstr>JJHCC_ACQ</vt:lpstr>
      <vt:lpstr>JJHCC_ADH</vt:lpstr>
      <vt:lpstr>Fn.Templates ==&gt;</vt:lpstr>
      <vt:lpstr>FT_SCurveEst</vt:lpstr>
      <vt:lpstr>FT_Equation</vt:lpstr>
      <vt:lpstr>FT_Interpolate</vt:lpstr>
      <vt:lpstr>FT_SCurve3Est</vt:lpstr>
    </vt:vector>
  </TitlesOfParts>
  <Company>Merck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Merck &amp; Co., Inc.</dc:creator>
  <cp:lastModifiedBy>Merck &amp; Co., Inc.</cp:lastModifiedBy>
  <dcterms:created xsi:type="dcterms:W3CDTF">2013-03-17T16:17:06Z</dcterms:created>
  <dcterms:modified xsi:type="dcterms:W3CDTF">2013-05-09T22:26:27Z</dcterms:modified>
</cp:coreProperties>
</file>