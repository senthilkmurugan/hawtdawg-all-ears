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firstSheet="3" activeTab="11"/>
  </bookViews>
  <sheets>
    <sheet name="Charts - Idvl" sheetId="35" r:id="rId1"/>
    <sheet name="Charts - Idvl IRev" sheetId="38" r:id="rId2"/>
    <sheet name="Chart - Combined" sheetId="36" r:id="rId3"/>
    <sheet name="Case Notes" sheetId="37" r:id="rId4"/>
    <sheet name="STD30 (-15)" sheetId="39" r:id="rId5"/>
    <sheet name="STD30 (-10)" sheetId="40" r:id="rId6"/>
    <sheet name="STD30 (-5)" sheetId="41" r:id="rId7"/>
    <sheet name="STD30 (+0)" sheetId="42" r:id="rId8"/>
    <sheet name="STD30 (+5)" sheetId="43" r:id="rId9"/>
    <sheet name="STD30 (+10)" sheetId="44" r:id="rId10"/>
    <sheet name="STD30 (+15)" sheetId="45" r:id="rId11"/>
    <sheet name="JJ_Optim_Scenario" sheetId="23" r:id="rId12"/>
    <sheet name="JANSample" sheetId="25" r:id="rId13"/>
    <sheet name="JMTSample" sheetId="26" r:id="rId14"/>
    <sheet name="TOTSample" sheetId="27" r:id="rId15"/>
    <sheet name="JJVCH" sheetId="29" r:id="rId16"/>
    <sheet name="JJMMF" sheetId="30" r:id="rId17"/>
    <sheet name="JJHCC" sheetId="31" r:id="rId18"/>
    <sheet name="JJMCM" sheetId="32" r:id="rId19"/>
    <sheet name="JJHCC_ACQ" sheetId="33" r:id="rId20"/>
    <sheet name="JJHCC_ADH" sheetId="34" r:id="rId21"/>
    <sheet name="Fn.Templates ==&gt;" sheetId="3" r:id="rId22"/>
    <sheet name="FT_SCurveEst" sheetId="2" r:id="rId23"/>
    <sheet name="FT_Equation" sheetId="4" r:id="rId24"/>
    <sheet name="FT_Interpolate" sheetId="5" r:id="rId25"/>
    <sheet name="FT_SCurve3Est" sheetId="13" r:id="rId26"/>
  </sheets>
  <functionGroups builtInGroupCount="17"/>
  <definedNames>
    <definedName name="solver_adj" localSheetId="11" hidden="1">JJ_Optim_Scenario!$I$17:$I$24</definedName>
    <definedName name="solver_adj" localSheetId="7" hidden="1">'STD30 (+0)'!$I$17:$I$24</definedName>
    <definedName name="solver_adj" localSheetId="9" hidden="1">'STD30 (+10)'!$I$17:$I$24</definedName>
    <definedName name="solver_adj" localSheetId="10" hidden="1">'STD30 (+15)'!$I$17:$I$24</definedName>
    <definedName name="solver_adj" localSheetId="8" hidden="1">'STD30 (+5)'!$I$17:$I$24</definedName>
    <definedName name="solver_adj" localSheetId="5" hidden="1">'STD30 (-10)'!$I$17:$I$24</definedName>
    <definedName name="solver_adj" localSheetId="4" hidden="1">'STD30 (-15)'!$I$17:$I$24</definedName>
    <definedName name="solver_adj" localSheetId="6" hidden="1">'STD30 (-5)'!$I$17:$I$24</definedName>
    <definedName name="solver_cvg" localSheetId="11" hidden="1">0.00001</definedName>
    <definedName name="solver_cvg" localSheetId="7" hidden="1">0.0001</definedName>
    <definedName name="solver_cvg" localSheetId="9" hidden="1">0.00001</definedName>
    <definedName name="solver_cvg" localSheetId="10" hidden="1">0.00001</definedName>
    <definedName name="solver_cvg" localSheetId="8" hidden="1">0.00001</definedName>
    <definedName name="solver_cvg" localSheetId="5" hidden="1">0.0001</definedName>
    <definedName name="solver_cvg" localSheetId="4" hidden="1">0.0001</definedName>
    <definedName name="solver_cvg" localSheetId="6" hidden="1">0.0001</definedName>
    <definedName name="solver_drv" localSheetId="11" hidden="1">1</definedName>
    <definedName name="solver_drv" localSheetId="7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5" hidden="1">1</definedName>
    <definedName name="solver_drv" localSheetId="4" hidden="1">1</definedName>
    <definedName name="solver_drv" localSheetId="6" hidden="1">1</definedName>
    <definedName name="solver_eng" localSheetId="11" hidden="1">1</definedName>
    <definedName name="solver_eng" localSheetId="7" hidden="1">1</definedName>
    <definedName name="solver_eng" localSheetId="9" hidden="1">1</definedName>
    <definedName name="solver_eng" localSheetId="10" hidden="1">1</definedName>
    <definedName name="solver_eng" localSheetId="8" hidden="1">1</definedName>
    <definedName name="solver_eng" localSheetId="5" hidden="1">1</definedName>
    <definedName name="solver_eng" localSheetId="4" hidden="1">1</definedName>
    <definedName name="solver_eng" localSheetId="6" hidden="1">1</definedName>
    <definedName name="solver_est" localSheetId="11" hidden="1">1</definedName>
    <definedName name="solver_est" localSheetId="7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5" hidden="1">1</definedName>
    <definedName name="solver_est" localSheetId="4" hidden="1">1</definedName>
    <definedName name="solver_est" localSheetId="6" hidden="1">1</definedName>
    <definedName name="solver_itr" localSheetId="11" hidden="1">2147483647</definedName>
    <definedName name="solver_itr" localSheetId="7" hidden="1">2147483647</definedName>
    <definedName name="solver_itr" localSheetId="9" hidden="1">2147483647</definedName>
    <definedName name="solver_itr" localSheetId="10" hidden="1">2147483647</definedName>
    <definedName name="solver_itr" localSheetId="8" hidden="1">2147483647</definedName>
    <definedName name="solver_itr" localSheetId="5" hidden="1">2147483647</definedName>
    <definedName name="solver_itr" localSheetId="4" hidden="1">2147483647</definedName>
    <definedName name="solver_itr" localSheetId="6" hidden="1">2147483647</definedName>
    <definedName name="solver_lhs1" localSheetId="11" hidden="1">JJ_Optim_Scenario!$I$17:$I$24</definedName>
    <definedName name="solver_lhs1" localSheetId="7" hidden="1">'STD30 (+0)'!$I$17:$I$24</definedName>
    <definedName name="solver_lhs1" localSheetId="9" hidden="1">'STD30 (+10)'!$I$17:$I$24</definedName>
    <definedName name="solver_lhs1" localSheetId="10" hidden="1">'STD30 (+15)'!$I$17:$I$24</definedName>
    <definedName name="solver_lhs1" localSheetId="8" hidden="1">'STD30 (+5)'!$I$17:$I$24</definedName>
    <definedName name="solver_lhs1" localSheetId="5" hidden="1">'STD30 (-10)'!$I$17:$I$24</definedName>
    <definedName name="solver_lhs1" localSheetId="4" hidden="1">'STD30 (-15)'!$I$17:$I$24</definedName>
    <definedName name="solver_lhs1" localSheetId="6" hidden="1">'STD30 (-5)'!$I$17:$I$24</definedName>
    <definedName name="solver_lhs2" localSheetId="11" hidden="1">JJ_Optim_Scenario!$I$17:$I$24</definedName>
    <definedName name="solver_lhs2" localSheetId="7" hidden="1">'STD30 (+0)'!$I$17:$I$24</definedName>
    <definedName name="solver_lhs2" localSheetId="9" hidden="1">'STD30 (+10)'!$I$17:$I$24</definedName>
    <definedName name="solver_lhs2" localSheetId="10" hidden="1">'STD30 (+15)'!$I$17:$I$24</definedName>
    <definedName name="solver_lhs2" localSheetId="8" hidden="1">'STD30 (+5)'!$I$17:$I$24</definedName>
    <definedName name="solver_lhs2" localSheetId="5" hidden="1">'STD30 (-10)'!$I$17:$I$24</definedName>
    <definedName name="solver_lhs2" localSheetId="4" hidden="1">'STD30 (-15)'!$I$17:$I$24</definedName>
    <definedName name="solver_lhs2" localSheetId="6" hidden="1">'STD30 (-5)'!$I$17:$I$24</definedName>
    <definedName name="solver_lhs3" localSheetId="11" hidden="1">JJ_Optim_Scenario!$I$25</definedName>
    <definedName name="solver_lhs3" localSheetId="7" hidden="1">'STD30 (+0)'!$I$25</definedName>
    <definedName name="solver_lhs3" localSheetId="9" hidden="1">'STD30 (+10)'!$I$25</definedName>
    <definedName name="solver_lhs3" localSheetId="10" hidden="1">'STD30 (+15)'!$I$25</definedName>
    <definedName name="solver_lhs3" localSheetId="8" hidden="1">'STD30 (+5)'!$I$25</definedName>
    <definedName name="solver_lhs3" localSheetId="5" hidden="1">'STD30 (-10)'!$I$25</definedName>
    <definedName name="solver_lhs3" localSheetId="4" hidden="1">'STD30 (-15)'!$I$25</definedName>
    <definedName name="solver_lhs3" localSheetId="6" hidden="1">'STD30 (-5)'!$I$25</definedName>
    <definedName name="solver_mip" localSheetId="11" hidden="1">2147483647</definedName>
    <definedName name="solver_mip" localSheetId="7" hidden="1">2147483647</definedName>
    <definedName name="solver_mip" localSheetId="9" hidden="1">2147483647</definedName>
    <definedName name="solver_mip" localSheetId="10" hidden="1">2147483647</definedName>
    <definedName name="solver_mip" localSheetId="8" hidden="1">2147483647</definedName>
    <definedName name="solver_mip" localSheetId="5" hidden="1">2147483647</definedName>
    <definedName name="solver_mip" localSheetId="4" hidden="1">2147483647</definedName>
    <definedName name="solver_mip" localSheetId="6" hidden="1">2147483647</definedName>
    <definedName name="solver_mni" localSheetId="11" hidden="1">30</definedName>
    <definedName name="solver_mni" localSheetId="7" hidden="1">30</definedName>
    <definedName name="solver_mni" localSheetId="9" hidden="1">30</definedName>
    <definedName name="solver_mni" localSheetId="10" hidden="1">30</definedName>
    <definedName name="solver_mni" localSheetId="8" hidden="1">30</definedName>
    <definedName name="solver_mni" localSheetId="5" hidden="1">30</definedName>
    <definedName name="solver_mni" localSheetId="4" hidden="1">30</definedName>
    <definedName name="solver_mni" localSheetId="6" hidden="1">30</definedName>
    <definedName name="solver_mrt" localSheetId="11" hidden="1">0.075</definedName>
    <definedName name="solver_mrt" localSheetId="7" hidden="1">0.075</definedName>
    <definedName name="solver_mrt" localSheetId="9" hidden="1">0.075</definedName>
    <definedName name="solver_mrt" localSheetId="10" hidden="1">0.075</definedName>
    <definedName name="solver_mrt" localSheetId="8" hidden="1">0.075</definedName>
    <definedName name="solver_mrt" localSheetId="5" hidden="1">0.075</definedName>
    <definedName name="solver_mrt" localSheetId="4" hidden="1">0.075</definedName>
    <definedName name="solver_mrt" localSheetId="6" hidden="1">0.075</definedName>
    <definedName name="solver_msl" localSheetId="11" hidden="1">2</definedName>
    <definedName name="solver_msl" localSheetId="7" hidden="1">2</definedName>
    <definedName name="solver_msl" localSheetId="9" hidden="1">2</definedName>
    <definedName name="solver_msl" localSheetId="10" hidden="1">2</definedName>
    <definedName name="solver_msl" localSheetId="8" hidden="1">2</definedName>
    <definedName name="solver_msl" localSheetId="5" hidden="1">2</definedName>
    <definedName name="solver_msl" localSheetId="4" hidden="1">2</definedName>
    <definedName name="solver_msl" localSheetId="6" hidden="1">2</definedName>
    <definedName name="solver_neg" localSheetId="11" hidden="1">1</definedName>
    <definedName name="solver_neg" localSheetId="7" hidden="1">1</definedName>
    <definedName name="solver_neg" localSheetId="9" hidden="1">1</definedName>
    <definedName name="solver_neg" localSheetId="10" hidden="1">1</definedName>
    <definedName name="solver_neg" localSheetId="8" hidden="1">1</definedName>
    <definedName name="solver_neg" localSheetId="5" hidden="1">1</definedName>
    <definedName name="solver_neg" localSheetId="4" hidden="1">1</definedName>
    <definedName name="solver_neg" localSheetId="6" hidden="1">1</definedName>
    <definedName name="solver_nod" localSheetId="11" hidden="1">2147483647</definedName>
    <definedName name="solver_nod" localSheetId="7" hidden="1">2147483647</definedName>
    <definedName name="solver_nod" localSheetId="9" hidden="1">2147483647</definedName>
    <definedName name="solver_nod" localSheetId="10" hidden="1">2147483647</definedName>
    <definedName name="solver_nod" localSheetId="8" hidden="1">2147483647</definedName>
    <definedName name="solver_nod" localSheetId="5" hidden="1">2147483647</definedName>
    <definedName name="solver_nod" localSheetId="4" hidden="1">2147483647</definedName>
    <definedName name="solver_nod" localSheetId="6" hidden="1">2147483647</definedName>
    <definedName name="solver_num" localSheetId="11" hidden="1">3</definedName>
    <definedName name="solver_num" localSheetId="7" hidden="1">3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5" hidden="1">3</definedName>
    <definedName name="solver_num" localSheetId="4" hidden="1">3</definedName>
    <definedName name="solver_num" localSheetId="6" hidden="1">3</definedName>
    <definedName name="solver_nwt" localSheetId="11" hidden="1">1</definedName>
    <definedName name="solver_nwt" localSheetId="7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5" hidden="1">1</definedName>
    <definedName name="solver_nwt" localSheetId="4" hidden="1">1</definedName>
    <definedName name="solver_nwt" localSheetId="6" hidden="1">1</definedName>
    <definedName name="solver_opt" localSheetId="11" hidden="1">JJ_Optim_Scenario!$B$9</definedName>
    <definedName name="solver_opt" localSheetId="7" hidden="1">'STD30 (+0)'!$B$9</definedName>
    <definedName name="solver_opt" localSheetId="9" hidden="1">'STD30 (+10)'!$B$9</definedName>
    <definedName name="solver_opt" localSheetId="10" hidden="1">'STD30 (+15)'!$B$9</definedName>
    <definedName name="solver_opt" localSheetId="8" hidden="1">'STD30 (+5)'!$B$9</definedName>
    <definedName name="solver_opt" localSheetId="5" hidden="1">'STD30 (-10)'!$B$9</definedName>
    <definedName name="solver_opt" localSheetId="4" hidden="1">'STD30 (-15)'!$B$9</definedName>
    <definedName name="solver_opt" localSheetId="6" hidden="1">'STD30 (-5)'!$B$9</definedName>
    <definedName name="solver_pre" localSheetId="11" hidden="1">0.000001</definedName>
    <definedName name="solver_pre" localSheetId="7" hidden="1">0.000001</definedName>
    <definedName name="solver_pre" localSheetId="9" hidden="1">0.000001</definedName>
    <definedName name="solver_pre" localSheetId="10" hidden="1">0.000001</definedName>
    <definedName name="solver_pre" localSheetId="8" hidden="1">0.000001</definedName>
    <definedName name="solver_pre" localSheetId="5" hidden="1">0.000001</definedName>
    <definedName name="solver_pre" localSheetId="4" hidden="1">0.000001</definedName>
    <definedName name="solver_pre" localSheetId="6" hidden="1">0.000001</definedName>
    <definedName name="solver_rbv" localSheetId="11" hidden="1">1</definedName>
    <definedName name="solver_rbv" localSheetId="7" hidden="1">1</definedName>
    <definedName name="solver_rbv" localSheetId="9" hidden="1">1</definedName>
    <definedName name="solver_rbv" localSheetId="10" hidden="1">1</definedName>
    <definedName name="solver_rbv" localSheetId="8" hidden="1">1</definedName>
    <definedName name="solver_rbv" localSheetId="5" hidden="1">1</definedName>
    <definedName name="solver_rbv" localSheetId="4" hidden="1">1</definedName>
    <definedName name="solver_rbv" localSheetId="6" hidden="1">1</definedName>
    <definedName name="solver_rel1" localSheetId="11" hidden="1">1</definedName>
    <definedName name="solver_rel1" localSheetId="7" hidden="1">1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5" hidden="1">1</definedName>
    <definedName name="solver_rel1" localSheetId="4" hidden="1">1</definedName>
    <definedName name="solver_rel1" localSheetId="6" hidden="1">1</definedName>
    <definedName name="solver_rel2" localSheetId="11" hidden="1">3</definedName>
    <definedName name="solver_rel2" localSheetId="7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5" hidden="1">3</definedName>
    <definedName name="solver_rel2" localSheetId="4" hidden="1">3</definedName>
    <definedName name="solver_rel2" localSheetId="6" hidden="1">3</definedName>
    <definedName name="solver_rel3" localSheetId="11" hidden="1">2</definedName>
    <definedName name="solver_rel3" localSheetId="7" hidden="1">2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5" hidden="1">2</definedName>
    <definedName name="solver_rel3" localSheetId="4" hidden="1">2</definedName>
    <definedName name="solver_rel3" localSheetId="6" hidden="1">2</definedName>
    <definedName name="solver_rhs1" localSheetId="11" hidden="1">JJ_Optim_Scenario!$H$17:$H$24</definedName>
    <definedName name="solver_rhs1" localSheetId="7" hidden="1">'STD30 (+0)'!$H$17:$H$24</definedName>
    <definedName name="solver_rhs1" localSheetId="9" hidden="1">'STD30 (+10)'!$H$17:$H$24</definedName>
    <definedName name="solver_rhs1" localSheetId="10" hidden="1">'STD30 (+15)'!$H$17:$H$24</definedName>
    <definedName name="solver_rhs1" localSheetId="8" hidden="1">'STD30 (+5)'!$H$17:$H$24</definedName>
    <definedName name="solver_rhs1" localSheetId="5" hidden="1">'STD30 (-10)'!$H$17:$H$24</definedName>
    <definedName name="solver_rhs1" localSheetId="4" hidden="1">'STD30 (-15)'!$H$17:$H$24</definedName>
    <definedName name="solver_rhs1" localSheetId="6" hidden="1">'STD30 (-5)'!$H$17:$H$24</definedName>
    <definedName name="solver_rhs2" localSheetId="11" hidden="1">JJ_Optim_Scenario!$G$17:$G$24</definedName>
    <definedName name="solver_rhs2" localSheetId="7" hidden="1">'STD30 (+0)'!$G$17:$G$24</definedName>
    <definedName name="solver_rhs2" localSheetId="9" hidden="1">'STD30 (+10)'!$G$17:$G$24</definedName>
    <definedName name="solver_rhs2" localSheetId="10" hidden="1">'STD30 (+15)'!$G$17:$G$24</definedName>
    <definedName name="solver_rhs2" localSheetId="8" hidden="1">'STD30 (+5)'!$G$17:$G$24</definedName>
    <definedName name="solver_rhs2" localSheetId="5" hidden="1">'STD30 (-10)'!$G$17:$G$24</definedName>
    <definedName name="solver_rhs2" localSheetId="4" hidden="1">'STD30 (-15)'!$G$17:$G$24</definedName>
    <definedName name="solver_rhs2" localSheetId="6" hidden="1">'STD30 (-5)'!$G$17:$G$24</definedName>
    <definedName name="solver_rhs3" localSheetId="11" hidden="1">JJ_Optim_Scenario!$B$12</definedName>
    <definedName name="solver_rhs3" localSheetId="7" hidden="1">'STD30 (+0)'!$B$12</definedName>
    <definedName name="solver_rhs3" localSheetId="9" hidden="1">'STD30 (+10)'!$B$12</definedName>
    <definedName name="solver_rhs3" localSheetId="10" hidden="1">'STD30 (+15)'!$B$12</definedName>
    <definedName name="solver_rhs3" localSheetId="8" hidden="1">'STD30 (+5)'!$B$12</definedName>
    <definedName name="solver_rhs3" localSheetId="5" hidden="1">'STD30 (-10)'!$B$12</definedName>
    <definedName name="solver_rhs3" localSheetId="4" hidden="1">'STD30 (-15)'!$B$12</definedName>
    <definedName name="solver_rhs3" localSheetId="6" hidden="1">'STD30 (-5)'!$B$12</definedName>
    <definedName name="solver_rlx" localSheetId="11" hidden="1">2</definedName>
    <definedName name="solver_rlx" localSheetId="7" hidden="1">2</definedName>
    <definedName name="solver_rlx" localSheetId="9" hidden="1">2</definedName>
    <definedName name="solver_rlx" localSheetId="10" hidden="1">2</definedName>
    <definedName name="solver_rlx" localSheetId="8" hidden="1">2</definedName>
    <definedName name="solver_rlx" localSheetId="5" hidden="1">2</definedName>
    <definedName name="solver_rlx" localSheetId="4" hidden="1">2</definedName>
    <definedName name="solver_rlx" localSheetId="6" hidden="1">2</definedName>
    <definedName name="solver_rsd" localSheetId="11" hidden="1">0</definedName>
    <definedName name="solver_rsd" localSheetId="7" hidden="1">0</definedName>
    <definedName name="solver_rsd" localSheetId="9" hidden="1">0</definedName>
    <definedName name="solver_rsd" localSheetId="10" hidden="1">0</definedName>
    <definedName name="solver_rsd" localSheetId="8" hidden="1">0</definedName>
    <definedName name="solver_rsd" localSheetId="5" hidden="1">0</definedName>
    <definedName name="solver_rsd" localSheetId="4" hidden="1">0</definedName>
    <definedName name="solver_rsd" localSheetId="6" hidden="1">0</definedName>
    <definedName name="solver_scl" localSheetId="11" hidden="1">1</definedName>
    <definedName name="solver_scl" localSheetId="7" hidden="1">1</definedName>
    <definedName name="solver_scl" localSheetId="9" hidden="1">1</definedName>
    <definedName name="solver_scl" localSheetId="10" hidden="1">1</definedName>
    <definedName name="solver_scl" localSheetId="8" hidden="1">1</definedName>
    <definedName name="solver_scl" localSheetId="5" hidden="1">1</definedName>
    <definedName name="solver_scl" localSheetId="4" hidden="1">1</definedName>
    <definedName name="solver_scl" localSheetId="6" hidden="1">1</definedName>
    <definedName name="solver_sho" localSheetId="11" hidden="1">2</definedName>
    <definedName name="solver_sho" localSheetId="7" hidden="1">2</definedName>
    <definedName name="solver_sho" localSheetId="9" hidden="1">2</definedName>
    <definedName name="solver_sho" localSheetId="10" hidden="1">2</definedName>
    <definedName name="solver_sho" localSheetId="8" hidden="1">2</definedName>
    <definedName name="solver_sho" localSheetId="5" hidden="1">2</definedName>
    <definedName name="solver_sho" localSheetId="4" hidden="1">2</definedName>
    <definedName name="solver_sho" localSheetId="6" hidden="1">2</definedName>
    <definedName name="solver_ssz" localSheetId="11" hidden="1">100</definedName>
    <definedName name="solver_ssz" localSheetId="7" hidden="1">100</definedName>
    <definedName name="solver_ssz" localSheetId="9" hidden="1">100</definedName>
    <definedName name="solver_ssz" localSheetId="10" hidden="1">100</definedName>
    <definedName name="solver_ssz" localSheetId="8" hidden="1">100</definedName>
    <definedName name="solver_ssz" localSheetId="5" hidden="1">100</definedName>
    <definedName name="solver_ssz" localSheetId="4" hidden="1">100</definedName>
    <definedName name="solver_ssz" localSheetId="6" hidden="1">100</definedName>
    <definedName name="solver_tim" localSheetId="11" hidden="1">2147483647</definedName>
    <definedName name="solver_tim" localSheetId="7" hidden="1">2147483647</definedName>
    <definedName name="solver_tim" localSheetId="9" hidden="1">2147483647</definedName>
    <definedName name="solver_tim" localSheetId="10" hidden="1">2147483647</definedName>
    <definedName name="solver_tim" localSheetId="8" hidden="1">2147483647</definedName>
    <definedName name="solver_tim" localSheetId="5" hidden="1">2147483647</definedName>
    <definedName name="solver_tim" localSheetId="4" hidden="1">2147483647</definedName>
    <definedName name="solver_tim" localSheetId="6" hidden="1">2147483647</definedName>
    <definedName name="solver_tol" localSheetId="11" hidden="1">0.01</definedName>
    <definedName name="solver_tol" localSheetId="7" hidden="1">0.01</definedName>
    <definedName name="solver_tol" localSheetId="9" hidden="1">0.01</definedName>
    <definedName name="solver_tol" localSheetId="10" hidden="1">0.01</definedName>
    <definedName name="solver_tol" localSheetId="8" hidden="1">0.01</definedName>
    <definedName name="solver_tol" localSheetId="5" hidden="1">0.01</definedName>
    <definedName name="solver_tol" localSheetId="4" hidden="1">0.01</definedName>
    <definedName name="solver_tol" localSheetId="6" hidden="1">0.01</definedName>
    <definedName name="solver_typ" localSheetId="11" hidden="1">1</definedName>
    <definedName name="solver_typ" localSheetId="7" hidden="1">1</definedName>
    <definedName name="solver_typ" localSheetId="9" hidden="1">1</definedName>
    <definedName name="solver_typ" localSheetId="10" hidden="1">1</definedName>
    <definedName name="solver_typ" localSheetId="8" hidden="1">1</definedName>
    <definedName name="solver_typ" localSheetId="5" hidden="1">1</definedName>
    <definedName name="solver_typ" localSheetId="4" hidden="1">1</definedName>
    <definedName name="solver_typ" localSheetId="6" hidden="1">1</definedName>
    <definedName name="solver_val" localSheetId="11" hidden="1">0</definedName>
    <definedName name="solver_val" localSheetId="7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5" hidden="1">0</definedName>
    <definedName name="solver_val" localSheetId="4" hidden="1">0</definedName>
    <definedName name="solver_val" localSheetId="6" hidden="1">0</definedName>
    <definedName name="solver_ver" localSheetId="11" hidden="1">3</definedName>
    <definedName name="solver_ver" localSheetId="7" hidden="1">3</definedName>
    <definedName name="solver_ver" localSheetId="9" hidden="1">3</definedName>
    <definedName name="solver_ver" localSheetId="10" hidden="1">3</definedName>
    <definedName name="solver_ver" localSheetId="8" hidden="1">3</definedName>
    <definedName name="solver_ver" localSheetId="5" hidden="1">3</definedName>
    <definedName name="solver_ver" localSheetId="4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B12" i="23" l="1"/>
  <c r="B12" i="45" l="1"/>
  <c r="D12" i="45" s="1"/>
  <c r="C42" i="45"/>
  <c r="I41" i="45"/>
  <c r="J41" i="45" s="1"/>
  <c r="H41" i="45"/>
  <c r="K41" i="45" s="1"/>
  <c r="M41" i="45" s="1"/>
  <c r="F41" i="45"/>
  <c r="G41" i="45" s="1"/>
  <c r="D41" i="45"/>
  <c r="C41" i="45"/>
  <c r="I40" i="45"/>
  <c r="J40" i="45" s="1"/>
  <c r="L40" i="45" s="1"/>
  <c r="N40" i="45" s="1"/>
  <c r="H40" i="45"/>
  <c r="K40" i="45" s="1"/>
  <c r="M40" i="45" s="1"/>
  <c r="G40" i="45"/>
  <c r="F40" i="45"/>
  <c r="D40" i="45"/>
  <c r="C40" i="45"/>
  <c r="K39" i="45"/>
  <c r="M39" i="45" s="1"/>
  <c r="I39" i="45"/>
  <c r="J39" i="45" s="1"/>
  <c r="H39" i="45"/>
  <c r="G39" i="45"/>
  <c r="F39" i="45"/>
  <c r="D39" i="45"/>
  <c r="C39" i="45"/>
  <c r="I38" i="45"/>
  <c r="J38" i="45" s="1"/>
  <c r="H38" i="45"/>
  <c r="K38" i="45" s="1"/>
  <c r="M38" i="45" s="1"/>
  <c r="F38" i="45"/>
  <c r="G38" i="45" s="1"/>
  <c r="D38" i="45"/>
  <c r="C38" i="45"/>
  <c r="I37" i="45"/>
  <c r="J37" i="45" s="1"/>
  <c r="L37" i="45" s="1"/>
  <c r="N37" i="45" s="1"/>
  <c r="H37" i="45"/>
  <c r="K37" i="45" s="1"/>
  <c r="M37" i="45" s="1"/>
  <c r="F37" i="45"/>
  <c r="G37" i="45" s="1"/>
  <c r="D37" i="45"/>
  <c r="C37" i="45"/>
  <c r="I36" i="45"/>
  <c r="J36" i="45" s="1"/>
  <c r="L36" i="45" s="1"/>
  <c r="N36" i="45" s="1"/>
  <c r="H36" i="45"/>
  <c r="K36" i="45" s="1"/>
  <c r="M36" i="45" s="1"/>
  <c r="G36" i="45"/>
  <c r="F36" i="45"/>
  <c r="D36" i="45"/>
  <c r="C36" i="45"/>
  <c r="K35" i="45"/>
  <c r="M35" i="45" s="1"/>
  <c r="I35" i="45"/>
  <c r="J35" i="45" s="1"/>
  <c r="H35" i="45"/>
  <c r="G35" i="45"/>
  <c r="F35" i="45"/>
  <c r="D35" i="45"/>
  <c r="C35" i="45"/>
  <c r="I34" i="45"/>
  <c r="J34" i="45" s="1"/>
  <c r="H34" i="45"/>
  <c r="K34" i="45" s="1"/>
  <c r="M34" i="45" s="1"/>
  <c r="F34" i="45"/>
  <c r="G34" i="45" s="1"/>
  <c r="D34" i="45"/>
  <c r="D42" i="45" s="1"/>
  <c r="C34" i="45"/>
  <c r="C33" i="45"/>
  <c r="C32" i="45"/>
  <c r="I31" i="45"/>
  <c r="J25" i="45"/>
  <c r="I25" i="45"/>
  <c r="F25" i="45"/>
  <c r="E25" i="45"/>
  <c r="L24" i="45"/>
  <c r="N24" i="45" s="1"/>
  <c r="K24" i="45"/>
  <c r="M24" i="45" s="1"/>
  <c r="H24" i="45"/>
  <c r="G24" i="45"/>
  <c r="L23" i="45"/>
  <c r="N23" i="45" s="1"/>
  <c r="K23" i="45"/>
  <c r="M23" i="45" s="1"/>
  <c r="H23" i="45"/>
  <c r="G23" i="45"/>
  <c r="L22" i="45"/>
  <c r="N22" i="45" s="1"/>
  <c r="K22" i="45"/>
  <c r="M22" i="45" s="1"/>
  <c r="H22" i="45"/>
  <c r="G22" i="45"/>
  <c r="M21" i="45"/>
  <c r="L21" i="45"/>
  <c r="N21" i="45" s="1"/>
  <c r="K21" i="45"/>
  <c r="H21" i="45"/>
  <c r="G21" i="45"/>
  <c r="N20" i="45"/>
  <c r="L20" i="45"/>
  <c r="K20" i="45"/>
  <c r="M20" i="45" s="1"/>
  <c r="H20" i="45"/>
  <c r="G20" i="45"/>
  <c r="L19" i="45"/>
  <c r="N19" i="45" s="1"/>
  <c r="K19" i="45"/>
  <c r="M19" i="45" s="1"/>
  <c r="H19" i="45"/>
  <c r="G19" i="45"/>
  <c r="L18" i="45"/>
  <c r="N18" i="45" s="1"/>
  <c r="K18" i="45"/>
  <c r="M18" i="45" s="1"/>
  <c r="H18" i="45"/>
  <c r="H25" i="45" s="1"/>
  <c r="G18" i="45"/>
  <c r="L17" i="45"/>
  <c r="N17" i="45" s="1"/>
  <c r="K17" i="45"/>
  <c r="M17" i="45" s="1"/>
  <c r="H17" i="45"/>
  <c r="G17" i="45"/>
  <c r="C12" i="45"/>
  <c r="B9" i="45"/>
  <c r="B12" i="44"/>
  <c r="C42" i="44"/>
  <c r="I41" i="44"/>
  <c r="J41" i="44" s="1"/>
  <c r="H41" i="44"/>
  <c r="K41" i="44" s="1"/>
  <c r="M41" i="44" s="1"/>
  <c r="F41" i="44"/>
  <c r="D41" i="44"/>
  <c r="C41" i="44"/>
  <c r="K40" i="44"/>
  <c r="M40" i="44" s="1"/>
  <c r="I40" i="44"/>
  <c r="J40" i="44" s="1"/>
  <c r="H40" i="44"/>
  <c r="G40" i="44"/>
  <c r="F40" i="44"/>
  <c r="D40" i="44"/>
  <c r="C40" i="44"/>
  <c r="I39" i="44"/>
  <c r="J39" i="44" s="1"/>
  <c r="H39" i="44"/>
  <c r="K39" i="44" s="1"/>
  <c r="M39" i="44" s="1"/>
  <c r="F39" i="44"/>
  <c r="G39" i="44" s="1"/>
  <c r="D39" i="44"/>
  <c r="C39" i="44"/>
  <c r="I38" i="44"/>
  <c r="J38" i="44" s="1"/>
  <c r="L38" i="44" s="1"/>
  <c r="N38" i="44" s="1"/>
  <c r="H38" i="44"/>
  <c r="K38" i="44" s="1"/>
  <c r="M38" i="44" s="1"/>
  <c r="F38" i="44"/>
  <c r="G38" i="44" s="1"/>
  <c r="D38" i="44"/>
  <c r="C38" i="44"/>
  <c r="I37" i="44"/>
  <c r="J37" i="44" s="1"/>
  <c r="L37" i="44" s="1"/>
  <c r="N37" i="44" s="1"/>
  <c r="H37" i="44"/>
  <c r="K37" i="44" s="1"/>
  <c r="M37" i="44" s="1"/>
  <c r="G37" i="44"/>
  <c r="F37" i="44"/>
  <c r="D37" i="44"/>
  <c r="C37" i="44"/>
  <c r="K36" i="44"/>
  <c r="M36" i="44" s="1"/>
  <c r="I36" i="44"/>
  <c r="J36" i="44" s="1"/>
  <c r="H36" i="44"/>
  <c r="G36" i="44"/>
  <c r="F36" i="44"/>
  <c r="D36" i="44"/>
  <c r="C36" i="44"/>
  <c r="I35" i="44"/>
  <c r="J35" i="44" s="1"/>
  <c r="L35" i="44" s="1"/>
  <c r="N35" i="44" s="1"/>
  <c r="H35" i="44"/>
  <c r="K35" i="44" s="1"/>
  <c r="M35" i="44" s="1"/>
  <c r="F35" i="44"/>
  <c r="G35" i="44" s="1"/>
  <c r="D35" i="44"/>
  <c r="C35" i="44"/>
  <c r="I34" i="44"/>
  <c r="J34" i="44" s="1"/>
  <c r="H34" i="44"/>
  <c r="F34" i="44"/>
  <c r="G34" i="44" s="1"/>
  <c r="D34" i="44"/>
  <c r="D42" i="44" s="1"/>
  <c r="C34" i="44"/>
  <c r="C33" i="44"/>
  <c r="C32" i="44"/>
  <c r="I31" i="44"/>
  <c r="G41" i="44" s="1"/>
  <c r="J25" i="44"/>
  <c r="I25" i="44"/>
  <c r="F25" i="44"/>
  <c r="E25" i="44"/>
  <c r="N24" i="44"/>
  <c r="L24" i="44"/>
  <c r="K24" i="44"/>
  <c r="M24" i="44" s="1"/>
  <c r="H24" i="44"/>
  <c r="G24" i="44"/>
  <c r="L23" i="44"/>
  <c r="N23" i="44" s="1"/>
  <c r="K23" i="44"/>
  <c r="M23" i="44" s="1"/>
  <c r="H23" i="44"/>
  <c r="G23" i="44"/>
  <c r="L22" i="44"/>
  <c r="N22" i="44" s="1"/>
  <c r="K22" i="44"/>
  <c r="M22" i="44" s="1"/>
  <c r="H22" i="44"/>
  <c r="G22" i="44"/>
  <c r="L21" i="44"/>
  <c r="N21" i="44" s="1"/>
  <c r="K21" i="44"/>
  <c r="M21" i="44" s="1"/>
  <c r="H21" i="44"/>
  <c r="G21" i="44"/>
  <c r="M20" i="44"/>
  <c r="L20" i="44"/>
  <c r="N20" i="44" s="1"/>
  <c r="K20" i="44"/>
  <c r="H20" i="44"/>
  <c r="G20" i="44"/>
  <c r="L19" i="44"/>
  <c r="N19" i="44" s="1"/>
  <c r="K19" i="44"/>
  <c r="M19" i="44" s="1"/>
  <c r="H19" i="44"/>
  <c r="G19" i="44"/>
  <c r="L18" i="44"/>
  <c r="N18" i="44" s="1"/>
  <c r="K18" i="44"/>
  <c r="M18" i="44" s="1"/>
  <c r="H18" i="44"/>
  <c r="H25" i="44" s="1"/>
  <c r="G18" i="44"/>
  <c r="L17" i="44"/>
  <c r="N17" i="44" s="1"/>
  <c r="K17" i="44"/>
  <c r="M17" i="44" s="1"/>
  <c r="H17" i="44"/>
  <c r="G17" i="44"/>
  <c r="D12" i="44"/>
  <c r="C12" i="44"/>
  <c r="B9" i="44"/>
  <c r="C42" i="43"/>
  <c r="H41" i="43"/>
  <c r="K41" i="43" s="1"/>
  <c r="M41" i="43" s="1"/>
  <c r="D41" i="43"/>
  <c r="C41" i="43"/>
  <c r="K40" i="43"/>
  <c r="M40" i="43" s="1"/>
  <c r="H40" i="43"/>
  <c r="D40" i="43"/>
  <c r="C40" i="43"/>
  <c r="K39" i="43"/>
  <c r="M39" i="43" s="1"/>
  <c r="H39" i="43"/>
  <c r="F39" i="43"/>
  <c r="G39" i="43" s="1"/>
  <c r="D39" i="43"/>
  <c r="C39" i="43"/>
  <c r="I38" i="43"/>
  <c r="J38" i="43" s="1"/>
  <c r="H38" i="43"/>
  <c r="K38" i="43" s="1"/>
  <c r="M38" i="43" s="1"/>
  <c r="F38" i="43"/>
  <c r="G38" i="43" s="1"/>
  <c r="D38" i="43"/>
  <c r="C38" i="43"/>
  <c r="H37" i="43"/>
  <c r="K37" i="43" s="1"/>
  <c r="M37" i="43" s="1"/>
  <c r="D37" i="43"/>
  <c r="C37" i="43"/>
  <c r="K36" i="43"/>
  <c r="M36" i="43" s="1"/>
  <c r="H36" i="43"/>
  <c r="D36" i="43"/>
  <c r="C36" i="43"/>
  <c r="K35" i="43"/>
  <c r="M35" i="43" s="1"/>
  <c r="H35" i="43"/>
  <c r="F35" i="43"/>
  <c r="G35" i="43" s="1"/>
  <c r="D35" i="43"/>
  <c r="C35" i="43"/>
  <c r="I34" i="43"/>
  <c r="J34" i="43" s="1"/>
  <c r="H34" i="43"/>
  <c r="F34" i="43"/>
  <c r="G34" i="43" s="1"/>
  <c r="D34" i="43"/>
  <c r="D42" i="43" s="1"/>
  <c r="C34" i="43"/>
  <c r="C33" i="43"/>
  <c r="C32" i="43"/>
  <c r="I31" i="43"/>
  <c r="I25" i="43"/>
  <c r="E25" i="43"/>
  <c r="K24" i="43"/>
  <c r="M24" i="43" s="1"/>
  <c r="I41" i="43"/>
  <c r="J41" i="43" s="1"/>
  <c r="H24" i="43"/>
  <c r="G24" i="43"/>
  <c r="F41" i="43"/>
  <c r="G41" i="43" s="1"/>
  <c r="K23" i="43"/>
  <c r="M23" i="43" s="1"/>
  <c r="I40" i="43"/>
  <c r="J40" i="43" s="1"/>
  <c r="L40" i="43" s="1"/>
  <c r="N40" i="43" s="1"/>
  <c r="H23" i="43"/>
  <c r="G23" i="43"/>
  <c r="F40" i="43"/>
  <c r="G40" i="43" s="1"/>
  <c r="M22" i="43"/>
  <c r="K22" i="43"/>
  <c r="I39" i="43"/>
  <c r="J39" i="43" s="1"/>
  <c r="H22" i="43"/>
  <c r="G22" i="43"/>
  <c r="K21" i="43"/>
  <c r="M21" i="43" s="1"/>
  <c r="L21" i="43"/>
  <c r="N21" i="43" s="1"/>
  <c r="H21" i="43"/>
  <c r="G21" i="43"/>
  <c r="K20" i="43"/>
  <c r="M20" i="43" s="1"/>
  <c r="H20" i="43"/>
  <c r="G20" i="43"/>
  <c r="K19" i="43"/>
  <c r="M19" i="43" s="1"/>
  <c r="I36" i="43"/>
  <c r="J36" i="43" s="1"/>
  <c r="L36" i="43" s="1"/>
  <c r="N36" i="43" s="1"/>
  <c r="H19" i="43"/>
  <c r="G19" i="43"/>
  <c r="F36" i="43"/>
  <c r="G36" i="43" s="1"/>
  <c r="M18" i="43"/>
  <c r="K18" i="43"/>
  <c r="I35" i="43"/>
  <c r="J35" i="43" s="1"/>
  <c r="H18" i="43"/>
  <c r="G18" i="43"/>
  <c r="K17" i="43"/>
  <c r="K25" i="43" s="1"/>
  <c r="M25" i="43" s="1"/>
  <c r="H17" i="43"/>
  <c r="G17" i="43"/>
  <c r="G25" i="43" s="1"/>
  <c r="D12" i="43"/>
  <c r="C12" i="43"/>
  <c r="B12" i="43"/>
  <c r="C42" i="42"/>
  <c r="H41" i="42"/>
  <c r="K41" i="42" s="1"/>
  <c r="M41" i="42" s="1"/>
  <c r="D41" i="42"/>
  <c r="C41" i="42"/>
  <c r="H40" i="42"/>
  <c r="K40" i="42" s="1"/>
  <c r="M40" i="42" s="1"/>
  <c r="F40" i="42"/>
  <c r="G40" i="42" s="1"/>
  <c r="D40" i="42"/>
  <c r="C40" i="42"/>
  <c r="I39" i="42"/>
  <c r="J39" i="42" s="1"/>
  <c r="L39" i="42" s="1"/>
  <c r="N39" i="42" s="1"/>
  <c r="H39" i="42"/>
  <c r="F39" i="42"/>
  <c r="G39" i="42" s="1"/>
  <c r="D39" i="42"/>
  <c r="C39" i="42"/>
  <c r="I38" i="42"/>
  <c r="J38" i="42" s="1"/>
  <c r="L38" i="42" s="1"/>
  <c r="N38" i="42" s="1"/>
  <c r="H38" i="42"/>
  <c r="K38" i="42" s="1"/>
  <c r="M38" i="42" s="1"/>
  <c r="D38" i="42"/>
  <c r="C38" i="42"/>
  <c r="H37" i="42"/>
  <c r="K37" i="42" s="1"/>
  <c r="M37" i="42" s="1"/>
  <c r="D37" i="42"/>
  <c r="C37" i="42"/>
  <c r="H36" i="42"/>
  <c r="K36" i="42" s="1"/>
  <c r="M36" i="42" s="1"/>
  <c r="F36" i="42"/>
  <c r="G36" i="42" s="1"/>
  <c r="D36" i="42"/>
  <c r="C36" i="42"/>
  <c r="I35" i="42"/>
  <c r="J35" i="42" s="1"/>
  <c r="H35" i="42"/>
  <c r="K35" i="42" s="1"/>
  <c r="M35" i="42" s="1"/>
  <c r="F35" i="42"/>
  <c r="G35" i="42" s="1"/>
  <c r="D35" i="42"/>
  <c r="C35" i="42"/>
  <c r="I34" i="42"/>
  <c r="J34" i="42" s="1"/>
  <c r="H34" i="42"/>
  <c r="D34" i="42"/>
  <c r="D42" i="42" s="1"/>
  <c r="C34" i="42"/>
  <c r="C33" i="42"/>
  <c r="C32" i="42"/>
  <c r="I31" i="42"/>
  <c r="I25" i="42"/>
  <c r="E25" i="42"/>
  <c r="L24" i="42"/>
  <c r="N24" i="42" s="1"/>
  <c r="K24" i="42"/>
  <c r="M24" i="42" s="1"/>
  <c r="I41" i="42"/>
  <c r="J41" i="42" s="1"/>
  <c r="H24" i="42"/>
  <c r="G24" i="42"/>
  <c r="F41" i="42"/>
  <c r="G41" i="42" s="1"/>
  <c r="M23" i="42"/>
  <c r="L23" i="42"/>
  <c r="N23" i="42" s="1"/>
  <c r="K23" i="42"/>
  <c r="I40" i="42"/>
  <c r="J40" i="42" s="1"/>
  <c r="H23" i="42"/>
  <c r="G23" i="42"/>
  <c r="L22" i="42"/>
  <c r="N22" i="42" s="1"/>
  <c r="K22" i="42"/>
  <c r="M22" i="42" s="1"/>
  <c r="H22" i="42"/>
  <c r="G22" i="42"/>
  <c r="L21" i="42"/>
  <c r="N21" i="42" s="1"/>
  <c r="K21" i="42"/>
  <c r="M21" i="42" s="1"/>
  <c r="H21" i="42"/>
  <c r="G21" i="42"/>
  <c r="F38" i="42"/>
  <c r="G38" i="42" s="1"/>
  <c r="K20" i="42"/>
  <c r="M20" i="42" s="1"/>
  <c r="H20" i="42"/>
  <c r="G20" i="42"/>
  <c r="M19" i="42"/>
  <c r="L19" i="42"/>
  <c r="N19" i="42" s="1"/>
  <c r="K19" i="42"/>
  <c r="I36" i="42"/>
  <c r="J36" i="42" s="1"/>
  <c r="H19" i="42"/>
  <c r="G19" i="42"/>
  <c r="L18" i="42"/>
  <c r="N18" i="42" s="1"/>
  <c r="K18" i="42"/>
  <c r="M18" i="42" s="1"/>
  <c r="H18" i="42"/>
  <c r="G18" i="42"/>
  <c r="L17" i="42"/>
  <c r="K17" i="42"/>
  <c r="H17" i="42"/>
  <c r="G17" i="42"/>
  <c r="F34" i="42"/>
  <c r="G34" i="42" s="1"/>
  <c r="B12" i="42"/>
  <c r="D12" i="42" s="1"/>
  <c r="C42" i="41"/>
  <c r="K41" i="41"/>
  <c r="M41" i="41" s="1"/>
  <c r="H41" i="41"/>
  <c r="D41" i="41"/>
  <c r="C41" i="41"/>
  <c r="K40" i="41"/>
  <c r="M40" i="41" s="1"/>
  <c r="H40" i="41"/>
  <c r="F40" i="41"/>
  <c r="G40" i="41" s="1"/>
  <c r="D40" i="41"/>
  <c r="C40" i="41"/>
  <c r="I39" i="41"/>
  <c r="J39" i="41" s="1"/>
  <c r="L39" i="41" s="1"/>
  <c r="N39" i="41" s="1"/>
  <c r="H39" i="41"/>
  <c r="F39" i="41"/>
  <c r="G39" i="41" s="1"/>
  <c r="D39" i="41"/>
  <c r="K39" i="41" s="1"/>
  <c r="M39" i="41" s="1"/>
  <c r="C39" i="41"/>
  <c r="I38" i="41"/>
  <c r="J38" i="41" s="1"/>
  <c r="H38" i="41"/>
  <c r="K38" i="41" s="1"/>
  <c r="M38" i="41" s="1"/>
  <c r="F38" i="41"/>
  <c r="G38" i="41" s="1"/>
  <c r="D38" i="41"/>
  <c r="C38" i="41"/>
  <c r="H37" i="41"/>
  <c r="K37" i="41" s="1"/>
  <c r="M37" i="41" s="1"/>
  <c r="D37" i="41"/>
  <c r="C37" i="41"/>
  <c r="H36" i="41"/>
  <c r="K36" i="41" s="1"/>
  <c r="M36" i="41" s="1"/>
  <c r="F36" i="41"/>
  <c r="G36" i="41" s="1"/>
  <c r="D36" i="41"/>
  <c r="C36" i="41"/>
  <c r="I35" i="41"/>
  <c r="J35" i="41" s="1"/>
  <c r="H35" i="41"/>
  <c r="F35" i="41"/>
  <c r="G35" i="41" s="1"/>
  <c r="D35" i="41"/>
  <c r="K35" i="41" s="1"/>
  <c r="M35" i="41" s="1"/>
  <c r="C35" i="41"/>
  <c r="I34" i="41"/>
  <c r="J34" i="41" s="1"/>
  <c r="H34" i="41"/>
  <c r="F34" i="41"/>
  <c r="G34" i="41" s="1"/>
  <c r="D34" i="41"/>
  <c r="D42" i="41" s="1"/>
  <c r="C34" i="41"/>
  <c r="C33" i="41"/>
  <c r="C32" i="41"/>
  <c r="I31" i="41"/>
  <c r="I25" i="41"/>
  <c r="E25" i="41"/>
  <c r="M24" i="41"/>
  <c r="L24" i="41"/>
  <c r="N24" i="41" s="1"/>
  <c r="K24" i="41"/>
  <c r="I41" i="41"/>
  <c r="J41" i="41" s="1"/>
  <c r="H24" i="41"/>
  <c r="G24" i="41"/>
  <c r="F41" i="41"/>
  <c r="G41" i="41" s="1"/>
  <c r="M23" i="41"/>
  <c r="L23" i="41"/>
  <c r="N23" i="41" s="1"/>
  <c r="K23" i="41"/>
  <c r="I40" i="41"/>
  <c r="J40" i="41" s="1"/>
  <c r="H23" i="41"/>
  <c r="G23" i="41"/>
  <c r="L22" i="41"/>
  <c r="N22" i="41" s="1"/>
  <c r="K22" i="41"/>
  <c r="M22" i="41" s="1"/>
  <c r="H22" i="41"/>
  <c r="G22" i="41"/>
  <c r="L21" i="41"/>
  <c r="N21" i="41" s="1"/>
  <c r="K21" i="41"/>
  <c r="M21" i="41" s="1"/>
  <c r="H21" i="41"/>
  <c r="G21" i="41"/>
  <c r="K20" i="41"/>
  <c r="M20" i="41" s="1"/>
  <c r="H20" i="41"/>
  <c r="G20" i="41"/>
  <c r="M19" i="41"/>
  <c r="L19" i="41"/>
  <c r="N19" i="41" s="1"/>
  <c r="K19" i="41"/>
  <c r="I36" i="41"/>
  <c r="J36" i="41" s="1"/>
  <c r="H19" i="41"/>
  <c r="G19" i="41"/>
  <c r="L18" i="41"/>
  <c r="N18" i="41" s="1"/>
  <c r="K18" i="41"/>
  <c r="M18" i="41" s="1"/>
  <c r="H18" i="41"/>
  <c r="G18" i="41"/>
  <c r="L17" i="41"/>
  <c r="K17" i="41"/>
  <c r="K25" i="41" s="1"/>
  <c r="M25" i="41" s="1"/>
  <c r="H17" i="41"/>
  <c r="H25" i="41" s="1"/>
  <c r="G17" i="41"/>
  <c r="B12" i="41"/>
  <c r="C42" i="40"/>
  <c r="H41" i="40"/>
  <c r="K41" i="40" s="1"/>
  <c r="M41" i="40" s="1"/>
  <c r="D41" i="40"/>
  <c r="C41" i="40"/>
  <c r="K40" i="40"/>
  <c r="M40" i="40" s="1"/>
  <c r="H40" i="40"/>
  <c r="D40" i="40"/>
  <c r="C40" i="40"/>
  <c r="K39" i="40"/>
  <c r="M39" i="40" s="1"/>
  <c r="H39" i="40"/>
  <c r="F39" i="40"/>
  <c r="G39" i="40" s="1"/>
  <c r="D39" i="40"/>
  <c r="C39" i="40"/>
  <c r="I38" i="40"/>
  <c r="J38" i="40" s="1"/>
  <c r="H38" i="40"/>
  <c r="K38" i="40" s="1"/>
  <c r="M38" i="40" s="1"/>
  <c r="F38" i="40"/>
  <c r="G38" i="40" s="1"/>
  <c r="D38" i="40"/>
  <c r="C38" i="40"/>
  <c r="H37" i="40"/>
  <c r="K37" i="40" s="1"/>
  <c r="M37" i="40" s="1"/>
  <c r="D37" i="40"/>
  <c r="C37" i="40"/>
  <c r="K36" i="40"/>
  <c r="M36" i="40" s="1"/>
  <c r="H36" i="40"/>
  <c r="D36" i="40"/>
  <c r="C36" i="40"/>
  <c r="K35" i="40"/>
  <c r="M35" i="40" s="1"/>
  <c r="H35" i="40"/>
  <c r="F35" i="40"/>
  <c r="G35" i="40" s="1"/>
  <c r="D35" i="40"/>
  <c r="C35" i="40"/>
  <c r="I34" i="40"/>
  <c r="J34" i="40" s="1"/>
  <c r="H34" i="40"/>
  <c r="H42" i="40" s="1"/>
  <c r="F34" i="40"/>
  <c r="G34" i="40" s="1"/>
  <c r="D34" i="40"/>
  <c r="D42" i="40" s="1"/>
  <c r="C34" i="40"/>
  <c r="C33" i="40"/>
  <c r="C32" i="40"/>
  <c r="I31" i="40"/>
  <c r="I25" i="40"/>
  <c r="E25" i="40"/>
  <c r="K24" i="40"/>
  <c r="M24" i="40" s="1"/>
  <c r="I41" i="40"/>
  <c r="J41" i="40" s="1"/>
  <c r="H24" i="40"/>
  <c r="G24" i="40"/>
  <c r="F41" i="40"/>
  <c r="G41" i="40" s="1"/>
  <c r="K23" i="40"/>
  <c r="M23" i="40" s="1"/>
  <c r="I40" i="40"/>
  <c r="J40" i="40" s="1"/>
  <c r="H23" i="40"/>
  <c r="G23" i="40"/>
  <c r="F40" i="40"/>
  <c r="G40" i="40" s="1"/>
  <c r="K22" i="40"/>
  <c r="M22" i="40" s="1"/>
  <c r="I39" i="40"/>
  <c r="J39" i="40" s="1"/>
  <c r="H22" i="40"/>
  <c r="G22" i="40"/>
  <c r="K21" i="40"/>
  <c r="M21" i="40" s="1"/>
  <c r="L21" i="40"/>
  <c r="N21" i="40" s="1"/>
  <c r="H21" i="40"/>
  <c r="G21" i="40"/>
  <c r="K20" i="40"/>
  <c r="M20" i="40" s="1"/>
  <c r="H20" i="40"/>
  <c r="G20" i="40"/>
  <c r="K19" i="40"/>
  <c r="M19" i="40" s="1"/>
  <c r="I36" i="40"/>
  <c r="J36" i="40" s="1"/>
  <c r="H19" i="40"/>
  <c r="G19" i="40"/>
  <c r="F36" i="40"/>
  <c r="G36" i="40" s="1"/>
  <c r="K18" i="40"/>
  <c r="M18" i="40" s="1"/>
  <c r="I35" i="40"/>
  <c r="J35" i="40" s="1"/>
  <c r="H18" i="40"/>
  <c r="G18" i="40"/>
  <c r="K17" i="40"/>
  <c r="K25" i="40" s="1"/>
  <c r="M25" i="40" s="1"/>
  <c r="H17" i="40"/>
  <c r="G17" i="40"/>
  <c r="G25" i="40" s="1"/>
  <c r="D12" i="40"/>
  <c r="C12" i="40"/>
  <c r="B12" i="40"/>
  <c r="C42" i="39"/>
  <c r="H41" i="39"/>
  <c r="K41" i="39" s="1"/>
  <c r="M41" i="39" s="1"/>
  <c r="D41" i="39"/>
  <c r="C41" i="39"/>
  <c r="K40" i="39"/>
  <c r="M40" i="39" s="1"/>
  <c r="H40" i="39"/>
  <c r="D40" i="39"/>
  <c r="C40" i="39"/>
  <c r="K39" i="39"/>
  <c r="M39" i="39" s="1"/>
  <c r="H39" i="39"/>
  <c r="F39" i="39"/>
  <c r="G39" i="39" s="1"/>
  <c r="D39" i="39"/>
  <c r="C39" i="39"/>
  <c r="H38" i="39"/>
  <c r="K38" i="39" s="1"/>
  <c r="M38" i="39" s="1"/>
  <c r="F38" i="39"/>
  <c r="G38" i="39" s="1"/>
  <c r="D38" i="39"/>
  <c r="C38" i="39"/>
  <c r="H37" i="39"/>
  <c r="K37" i="39" s="1"/>
  <c r="M37" i="39" s="1"/>
  <c r="D37" i="39"/>
  <c r="C37" i="39"/>
  <c r="K36" i="39"/>
  <c r="M36" i="39" s="1"/>
  <c r="H36" i="39"/>
  <c r="D36" i="39"/>
  <c r="C36" i="39"/>
  <c r="K35" i="39"/>
  <c r="M35" i="39" s="1"/>
  <c r="H35" i="39"/>
  <c r="F35" i="39"/>
  <c r="G35" i="39" s="1"/>
  <c r="D35" i="39"/>
  <c r="C35" i="39"/>
  <c r="H34" i="39"/>
  <c r="H42" i="39" s="1"/>
  <c r="F34" i="39"/>
  <c r="G34" i="39" s="1"/>
  <c r="D34" i="39"/>
  <c r="D42" i="39" s="1"/>
  <c r="C34" i="39"/>
  <c r="C33" i="39"/>
  <c r="C32" i="39"/>
  <c r="I31" i="39"/>
  <c r="I25" i="39"/>
  <c r="E25" i="39"/>
  <c r="K24" i="39"/>
  <c r="M24" i="39" s="1"/>
  <c r="H24" i="39"/>
  <c r="G24" i="39"/>
  <c r="F41" i="39"/>
  <c r="G41" i="39" s="1"/>
  <c r="M23" i="39"/>
  <c r="K23" i="39"/>
  <c r="H23" i="39"/>
  <c r="G23" i="39"/>
  <c r="F40" i="39"/>
  <c r="G40" i="39" s="1"/>
  <c r="K22" i="39"/>
  <c r="M22" i="39" s="1"/>
  <c r="H22" i="39"/>
  <c r="G22" i="39"/>
  <c r="K21" i="39"/>
  <c r="M21" i="39" s="1"/>
  <c r="H21" i="39"/>
  <c r="G21" i="39"/>
  <c r="K20" i="39"/>
  <c r="M20" i="39" s="1"/>
  <c r="H20" i="39"/>
  <c r="G20" i="39"/>
  <c r="K19" i="39"/>
  <c r="M19" i="39" s="1"/>
  <c r="H19" i="39"/>
  <c r="G19" i="39"/>
  <c r="F36" i="39"/>
  <c r="G36" i="39" s="1"/>
  <c r="K18" i="39"/>
  <c r="M18" i="39" s="1"/>
  <c r="H18" i="39"/>
  <c r="G18" i="39"/>
  <c r="K17" i="39"/>
  <c r="M17" i="39" s="1"/>
  <c r="H17" i="39"/>
  <c r="G17" i="39"/>
  <c r="G25" i="39" s="1"/>
  <c r="D12" i="39"/>
  <c r="C12" i="39"/>
  <c r="B12" i="39"/>
  <c r="H24" i="23"/>
  <c r="G24" i="23"/>
  <c r="H23" i="23"/>
  <c r="G23" i="23"/>
  <c r="H22" i="23"/>
  <c r="G22" i="23"/>
  <c r="H21" i="23"/>
  <c r="G21" i="23"/>
  <c r="H20" i="23"/>
  <c r="G20" i="23"/>
  <c r="H19" i="23"/>
  <c r="G19" i="23"/>
  <c r="H18" i="23"/>
  <c r="G18" i="23"/>
  <c r="K25" i="39" l="1"/>
  <c r="M25" i="39" s="1"/>
  <c r="M17" i="40"/>
  <c r="M17" i="41"/>
  <c r="K25" i="42"/>
  <c r="M25" i="42" s="1"/>
  <c r="M17" i="42"/>
  <c r="H42" i="43"/>
  <c r="M17" i="43"/>
  <c r="H42" i="44"/>
  <c r="G25" i="45"/>
  <c r="G25" i="44"/>
  <c r="H25" i="43"/>
  <c r="G25" i="42"/>
  <c r="H25" i="42"/>
  <c r="H25" i="40"/>
  <c r="H25" i="39"/>
  <c r="J42" i="45"/>
  <c r="L39" i="45"/>
  <c r="N39" i="45" s="1"/>
  <c r="K25" i="45"/>
  <c r="M25" i="45" s="1"/>
  <c r="H42" i="45"/>
  <c r="L35" i="45"/>
  <c r="N35" i="45" s="1"/>
  <c r="L42" i="45"/>
  <c r="N42" i="45" s="1"/>
  <c r="G42" i="45"/>
  <c r="K42" i="45"/>
  <c r="M42" i="45" s="1"/>
  <c r="L38" i="45"/>
  <c r="N38" i="45" s="1"/>
  <c r="L41" i="45"/>
  <c r="J45" i="45"/>
  <c r="J44" i="45"/>
  <c r="J43" i="45"/>
  <c r="G43" i="45"/>
  <c r="G45" i="45"/>
  <c r="G44" i="45"/>
  <c r="L25" i="45"/>
  <c r="N25" i="45" s="1"/>
  <c r="L34" i="45"/>
  <c r="N34" i="45" s="1"/>
  <c r="L36" i="44"/>
  <c r="N36" i="44" s="1"/>
  <c r="L40" i="44"/>
  <c r="N40" i="44" s="1"/>
  <c r="G42" i="44"/>
  <c r="J44" i="44"/>
  <c r="J45" i="44"/>
  <c r="J43" i="44"/>
  <c r="L41" i="44"/>
  <c r="J42" i="44"/>
  <c r="L42" i="44" s="1"/>
  <c r="N42" i="44" s="1"/>
  <c r="L34" i="44"/>
  <c r="N34" i="44" s="1"/>
  <c r="L39" i="44"/>
  <c r="N39" i="44" s="1"/>
  <c r="G45" i="44"/>
  <c r="G44" i="44"/>
  <c r="G43" i="44"/>
  <c r="K42" i="44"/>
  <c r="M42" i="44" s="1"/>
  <c r="L25" i="44"/>
  <c r="N25" i="44" s="1"/>
  <c r="K25" i="44"/>
  <c r="M25" i="44" s="1"/>
  <c r="K34" i="44"/>
  <c r="M34" i="44" s="1"/>
  <c r="H42" i="42"/>
  <c r="K39" i="42"/>
  <c r="M39" i="42" s="1"/>
  <c r="L38" i="43"/>
  <c r="N38" i="43" s="1"/>
  <c r="L35" i="43"/>
  <c r="N35" i="43" s="1"/>
  <c r="L34" i="43"/>
  <c r="N34" i="43" s="1"/>
  <c r="L41" i="43"/>
  <c r="K42" i="43"/>
  <c r="M42" i="43" s="1"/>
  <c r="L39" i="43"/>
  <c r="N39" i="43" s="1"/>
  <c r="L17" i="43"/>
  <c r="L18" i="43"/>
  <c r="N18" i="43" s="1"/>
  <c r="L19" i="43"/>
  <c r="N19" i="43" s="1"/>
  <c r="L22" i="43"/>
  <c r="N22" i="43" s="1"/>
  <c r="L23" i="43"/>
  <c r="N23" i="43" s="1"/>
  <c r="L24" i="43"/>
  <c r="N24" i="43" s="1"/>
  <c r="K34" i="43"/>
  <c r="M34" i="43" s="1"/>
  <c r="L36" i="42"/>
  <c r="N36" i="42" s="1"/>
  <c r="K42" i="42"/>
  <c r="M42" i="42" s="1"/>
  <c r="L40" i="42"/>
  <c r="N40" i="42" s="1"/>
  <c r="L34" i="42"/>
  <c r="N34" i="42" s="1"/>
  <c r="L41" i="42"/>
  <c r="L35" i="42"/>
  <c r="N35" i="42" s="1"/>
  <c r="C12" i="42"/>
  <c r="N17" i="42"/>
  <c r="K34" i="42"/>
  <c r="M34" i="42" s="1"/>
  <c r="L38" i="41"/>
  <c r="N38" i="41" s="1"/>
  <c r="L36" i="41"/>
  <c r="N36" i="41" s="1"/>
  <c r="L40" i="41"/>
  <c r="N40" i="41" s="1"/>
  <c r="D12" i="41"/>
  <c r="C12" i="41"/>
  <c r="L34" i="41"/>
  <c r="N34" i="41" s="1"/>
  <c r="G25" i="41"/>
  <c r="N17" i="41"/>
  <c r="L35" i="41"/>
  <c r="N35" i="41" s="1"/>
  <c r="L41" i="41"/>
  <c r="H42" i="41"/>
  <c r="K42" i="41" s="1"/>
  <c r="M42" i="41" s="1"/>
  <c r="K34" i="41"/>
  <c r="M34" i="41" s="1"/>
  <c r="L36" i="40"/>
  <c r="N36" i="40" s="1"/>
  <c r="L40" i="40"/>
  <c r="N40" i="40" s="1"/>
  <c r="L38" i="40"/>
  <c r="N38" i="40" s="1"/>
  <c r="L35" i="40"/>
  <c r="N35" i="40" s="1"/>
  <c r="L39" i="40"/>
  <c r="N39" i="40" s="1"/>
  <c r="K42" i="40"/>
  <c r="M42" i="40" s="1"/>
  <c r="L34" i="40"/>
  <c r="N34" i="40" s="1"/>
  <c r="L41" i="40"/>
  <c r="L17" i="40"/>
  <c r="L18" i="40"/>
  <c r="N18" i="40" s="1"/>
  <c r="L19" i="40"/>
  <c r="N19" i="40" s="1"/>
  <c r="L22" i="40"/>
  <c r="N22" i="40" s="1"/>
  <c r="L23" i="40"/>
  <c r="N23" i="40" s="1"/>
  <c r="L24" i="40"/>
  <c r="N24" i="40" s="1"/>
  <c r="K34" i="40"/>
  <c r="M34" i="40" s="1"/>
  <c r="K42" i="39"/>
  <c r="M42" i="39" s="1"/>
  <c r="K34" i="39"/>
  <c r="M34" i="39" s="1"/>
  <c r="H17" i="23"/>
  <c r="G17" i="23"/>
  <c r="L45" i="45" l="1"/>
  <c r="M45" i="45" s="1"/>
  <c r="L43" i="45"/>
  <c r="M43" i="45" s="1"/>
  <c r="L44" i="45"/>
  <c r="M44" i="45" s="1"/>
  <c r="N41" i="45"/>
  <c r="N45" i="45"/>
  <c r="L43" i="44"/>
  <c r="M43" i="44" s="1"/>
  <c r="N41" i="44"/>
  <c r="L44" i="44"/>
  <c r="M44" i="44" s="1"/>
  <c r="L45" i="44"/>
  <c r="M45" i="44" s="1"/>
  <c r="N41" i="43"/>
  <c r="N17" i="43"/>
  <c r="N41" i="42"/>
  <c r="N41" i="41"/>
  <c r="N17" i="40"/>
  <c r="N41" i="40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22" i="34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22" i="33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N43" i="44" l="1"/>
  <c r="N43" i="45"/>
  <c r="N44" i="45"/>
  <c r="N44" i="44"/>
  <c r="N45" i="44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H42" i="23" l="1"/>
  <c r="K34" i="23"/>
  <c r="M34" i="23" s="1"/>
  <c r="D42" i="23"/>
  <c r="K35" i="23"/>
  <c r="M35" i="23" s="1"/>
  <c r="K42" i="23" l="1"/>
  <c r="M42" i="23" s="1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H9" i="33"/>
  <c r="I9" i="33" s="1"/>
  <c r="F23" i="23" s="1"/>
  <c r="F40" i="23" s="1"/>
  <c r="G40" i="23" s="1"/>
  <c r="E9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J9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E9" i="25"/>
  <c r="A24" i="25"/>
  <c r="A25" i="25" s="1"/>
  <c r="A23" i="25"/>
  <c r="K22" i="23"/>
  <c r="K21" i="23"/>
  <c r="K20" i="23"/>
  <c r="K19" i="23"/>
  <c r="K18" i="23"/>
  <c r="K17" i="23"/>
  <c r="H14" i="30" a="1"/>
  <c r="J18" i="23" l="1"/>
  <c r="I35" i="23" s="1"/>
  <c r="J35" i="23" s="1"/>
  <c r="J19" i="23"/>
  <c r="I36" i="23" s="1"/>
  <c r="J36" i="23" s="1"/>
  <c r="L36" i="23" s="1"/>
  <c r="N36" i="23" s="1"/>
  <c r="J17" i="23"/>
  <c r="I34" i="23" s="1"/>
  <c r="J34" i="2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M19" i="23"/>
  <c r="M17" i="23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C22" i="34" s="1"/>
  <c r="E9" i="34"/>
  <c r="F9" i="34" s="1"/>
  <c r="H9" i="34"/>
  <c r="I9" i="34" s="1"/>
  <c r="C22" i="33"/>
  <c r="F9" i="33"/>
  <c r="C22" i="31"/>
  <c r="F9" i="3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H9" i="30"/>
  <c r="B32" i="30"/>
  <c r="B31" i="30"/>
  <c r="B30" i="30"/>
  <c r="E9" i="30"/>
  <c r="L19" i="23" l="1"/>
  <c r="N19" i="23" s="1"/>
  <c r="J24" i="23"/>
  <c r="I41" i="23" s="1"/>
  <c r="J41" i="23" s="1"/>
  <c r="J22" i="23"/>
  <c r="I39" i="23" s="1"/>
  <c r="J39" i="23" s="1"/>
  <c r="I36" i="39"/>
  <c r="J36" i="39" s="1"/>
  <c r="L36" i="39" s="1"/>
  <c r="N36" i="39" s="1"/>
  <c r="L19" i="39"/>
  <c r="N19" i="39" s="1"/>
  <c r="J23" i="23"/>
  <c r="L23" i="23" s="1"/>
  <c r="N23" i="23" s="1"/>
  <c r="I34" i="39"/>
  <c r="J34" i="39" s="1"/>
  <c r="L34" i="39" s="1"/>
  <c r="N34" i="39" s="1"/>
  <c r="L17" i="39"/>
  <c r="N17" i="39" s="1"/>
  <c r="I35" i="39"/>
  <c r="J35" i="39" s="1"/>
  <c r="L35" i="39" s="1"/>
  <c r="N35" i="39" s="1"/>
  <c r="L18" i="39"/>
  <c r="N18" i="39" s="1"/>
  <c r="J21" i="23"/>
  <c r="I38" i="23" s="1"/>
  <c r="J38" i="23" s="1"/>
  <c r="L38" i="23" s="1"/>
  <c r="N38" i="23" s="1"/>
  <c r="D32" i="30"/>
  <c r="D30" i="30"/>
  <c r="D31" i="30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L20" i="43" l="1"/>
  <c r="I37" i="43"/>
  <c r="J37" i="43" s="1"/>
  <c r="B9" i="43"/>
  <c r="J25" i="43"/>
  <c r="F37" i="43"/>
  <c r="G37" i="43" s="1"/>
  <c r="F25" i="43"/>
  <c r="F37" i="42"/>
  <c r="G37" i="42" s="1"/>
  <c r="F25" i="42"/>
  <c r="B9" i="42"/>
  <c r="J25" i="42"/>
  <c r="I37" i="42"/>
  <c r="J37" i="42" s="1"/>
  <c r="L20" i="42"/>
  <c r="I37" i="41"/>
  <c r="J37" i="41" s="1"/>
  <c r="J25" i="41"/>
  <c r="L20" i="41"/>
  <c r="B9" i="41"/>
  <c r="F37" i="41"/>
  <c r="G37" i="41" s="1"/>
  <c r="F25" i="41"/>
  <c r="I37" i="40"/>
  <c r="J37" i="40" s="1"/>
  <c r="B9" i="40"/>
  <c r="J25" i="40"/>
  <c r="F25" i="39"/>
  <c r="I40" i="23"/>
  <c r="J40" i="23" s="1"/>
  <c r="L40" i="23" s="1"/>
  <c r="N40" i="23" s="1"/>
  <c r="I40" i="39"/>
  <c r="J40" i="39" s="1"/>
  <c r="L40" i="39" s="1"/>
  <c r="N40" i="39" s="1"/>
  <c r="L23" i="39"/>
  <c r="N23" i="39" s="1"/>
  <c r="I39" i="39"/>
  <c r="J39" i="39" s="1"/>
  <c r="L39" i="39" s="1"/>
  <c r="N39" i="39" s="1"/>
  <c r="L22" i="39"/>
  <c r="N22" i="39" s="1"/>
  <c r="L21" i="23"/>
  <c r="N21" i="23" s="1"/>
  <c r="L21" i="39"/>
  <c r="N21" i="39" s="1"/>
  <c r="I38" i="39"/>
  <c r="J38" i="39" s="1"/>
  <c r="L38" i="39" s="1"/>
  <c r="N38" i="39" s="1"/>
  <c r="I41" i="39"/>
  <c r="J41" i="39" s="1"/>
  <c r="L41" i="39" s="1"/>
  <c r="N41" i="39" s="1"/>
  <c r="L24" i="39"/>
  <c r="N24" i="39" s="1"/>
  <c r="J20" i="23"/>
  <c r="I37" i="23" s="1"/>
  <c r="J37" i="23" s="1"/>
  <c r="F37" i="39"/>
  <c r="G37" i="39" s="1"/>
  <c r="D33" i="30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G43" i="43" l="1"/>
  <c r="G45" i="43"/>
  <c r="G44" i="43"/>
  <c r="G42" i="43"/>
  <c r="N20" i="43"/>
  <c r="L25" i="43"/>
  <c r="N25" i="43" s="1"/>
  <c r="L37" i="43"/>
  <c r="J42" i="43"/>
  <c r="L42" i="43" s="1"/>
  <c r="N42" i="43" s="1"/>
  <c r="J44" i="43"/>
  <c r="J45" i="43"/>
  <c r="J43" i="43"/>
  <c r="N20" i="42"/>
  <c r="L25" i="42"/>
  <c r="N25" i="42" s="1"/>
  <c r="L37" i="42"/>
  <c r="J45" i="42"/>
  <c r="J42" i="42"/>
  <c r="J44" i="42"/>
  <c r="J43" i="42"/>
  <c r="G43" i="42"/>
  <c r="G42" i="42"/>
  <c r="G45" i="42"/>
  <c r="G44" i="42"/>
  <c r="N20" i="41"/>
  <c r="L25" i="41"/>
  <c r="N25" i="41" s="1"/>
  <c r="G44" i="41"/>
  <c r="G43" i="41"/>
  <c r="G45" i="41"/>
  <c r="G42" i="41"/>
  <c r="L37" i="41"/>
  <c r="J45" i="41"/>
  <c r="J44" i="41"/>
  <c r="J42" i="41"/>
  <c r="L42" i="41" s="1"/>
  <c r="N42" i="41" s="1"/>
  <c r="J43" i="41"/>
  <c r="J42" i="40"/>
  <c r="J45" i="40"/>
  <c r="J43" i="40"/>
  <c r="J44" i="40"/>
  <c r="F37" i="40"/>
  <c r="G37" i="40" s="1"/>
  <c r="F25" i="40"/>
  <c r="L20" i="40"/>
  <c r="J45" i="23"/>
  <c r="J43" i="23"/>
  <c r="J42" i="23"/>
  <c r="J44" i="23"/>
  <c r="G42" i="39"/>
  <c r="G44" i="39"/>
  <c r="G43" i="39"/>
  <c r="G45" i="39"/>
  <c r="L20" i="39"/>
  <c r="I37" i="39"/>
  <c r="J37" i="39" s="1"/>
  <c r="J25" i="39"/>
  <c r="B9" i="39"/>
  <c r="D34" i="30"/>
  <c r="F37" i="23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37" i="43" l="1"/>
  <c r="L43" i="43"/>
  <c r="M43" i="43" s="1"/>
  <c r="L45" i="43"/>
  <c r="M45" i="43" s="1"/>
  <c r="L44" i="43"/>
  <c r="M44" i="43" s="1"/>
  <c r="N37" i="42"/>
  <c r="L43" i="42"/>
  <c r="M43" i="42" s="1"/>
  <c r="L45" i="42"/>
  <c r="M45" i="42" s="1"/>
  <c r="L44" i="42"/>
  <c r="L42" i="42"/>
  <c r="N42" i="42" s="1"/>
  <c r="N37" i="41"/>
  <c r="L43" i="41"/>
  <c r="M43" i="41" s="1"/>
  <c r="L45" i="41"/>
  <c r="M45" i="41" s="1"/>
  <c r="L44" i="41"/>
  <c r="M44" i="41" s="1"/>
  <c r="N20" i="40"/>
  <c r="L25" i="40"/>
  <c r="N25" i="40" s="1"/>
  <c r="G44" i="40"/>
  <c r="G43" i="40"/>
  <c r="G42" i="40"/>
  <c r="G45" i="40"/>
  <c r="L42" i="40"/>
  <c r="N42" i="40" s="1"/>
  <c r="L37" i="40"/>
  <c r="L37" i="39"/>
  <c r="J42" i="39"/>
  <c r="L42" i="39" s="1"/>
  <c r="N42" i="39" s="1"/>
  <c r="J44" i="39"/>
  <c r="J45" i="39"/>
  <c r="J43" i="39"/>
  <c r="N20" i="39"/>
  <c r="L25" i="39"/>
  <c r="N25" i="39" s="1"/>
  <c r="D35" i="30"/>
  <c r="G44" i="23"/>
  <c r="G45" i="23"/>
  <c r="G43" i="23"/>
  <c r="N20" i="23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M44" i="42" l="1"/>
  <c r="N45" i="43"/>
  <c r="N43" i="43"/>
  <c r="N44" i="43"/>
  <c r="N45" i="42"/>
  <c r="N44" i="42"/>
  <c r="N43" i="42"/>
  <c r="N43" i="41"/>
  <c r="N44" i="41"/>
  <c r="N45" i="41"/>
  <c r="N37" i="40"/>
  <c r="L45" i="40"/>
  <c r="M45" i="40" s="1"/>
  <c r="L43" i="40"/>
  <c r="M43" i="40" s="1"/>
  <c r="L44" i="40"/>
  <c r="M44" i="40" s="1"/>
  <c r="N37" i="39"/>
  <c r="L44" i="39"/>
  <c r="M44" i="39" s="1"/>
  <c r="L43" i="39"/>
  <c r="M43" i="39" s="1"/>
  <c r="L45" i="39"/>
  <c r="M45" i="39" s="1"/>
  <c r="D36" i="30"/>
  <c r="N37" i="23"/>
  <c r="L43" i="23"/>
  <c r="L45" i="23"/>
  <c r="L44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N44" i="40" l="1"/>
  <c r="N43" i="40"/>
  <c r="N45" i="40"/>
  <c r="N43" i="39"/>
  <c r="N44" i="39"/>
  <c r="N45" i="39"/>
  <c r="D37" i="30"/>
  <c r="M45" i="23"/>
  <c r="M44" i="23"/>
  <c r="M43" i="23"/>
  <c r="N42" i="23"/>
  <c r="N44" i="23" s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5" i="23" l="1"/>
  <c r="N43" i="23"/>
  <c r="D38" i="30"/>
  <c r="B9" i="23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5" i="5"/>
  <c r="E9" i="5"/>
  <c r="B45" i="5"/>
  <c r="B39" i="5"/>
  <c r="B39" i="30"/>
  <c r="B31" i="5"/>
  <c r="B36" i="5"/>
  <c r="B46" i="5"/>
  <c r="B38" i="5"/>
  <c r="B42" i="5"/>
  <c r="B30" i="5"/>
  <c r="B29" i="5"/>
  <c r="B44" i="5"/>
  <c r="B41" i="5"/>
  <c r="B37" i="5"/>
  <c r="B34" i="5"/>
  <c r="B32" i="5"/>
  <c r="B27" i="5"/>
  <c r="B43" i="5"/>
  <c r="B33" i="5"/>
  <c r="B40" i="5"/>
  <c r="B28" i="5"/>
  <c r="B47" i="5"/>
  <c r="D39" i="30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B34" i="29"/>
  <c r="A35" i="29"/>
  <c r="C34" i="29"/>
  <c r="B34" i="27"/>
  <c r="A35" i="27"/>
  <c r="C34" i="27"/>
  <c r="C32" i="26"/>
  <c r="B32" i="26"/>
  <c r="A33" i="26"/>
  <c r="A35" i="25"/>
  <c r="B41" i="30"/>
  <c r="D41" i="30" l="1"/>
  <c r="C41" i="30"/>
  <c r="A42" i="30"/>
  <c r="C35" i="29"/>
  <c r="B35" i="29"/>
  <c r="A36" i="29"/>
  <c r="C35" i="27"/>
  <c r="B35" i="27"/>
  <c r="A36" i="27"/>
  <c r="A34" i="26"/>
  <c r="C33" i="26"/>
  <c r="B33" i="26"/>
  <c r="A36" i="25"/>
  <c r="B42" i="30"/>
  <c r="D42" i="30" l="1"/>
  <c r="C42" i="30"/>
  <c r="A43" i="30"/>
  <c r="A37" i="29"/>
  <c r="C36" i="29"/>
  <c r="B36" i="29"/>
  <c r="A37" i="27"/>
  <c r="C36" i="27"/>
  <c r="B36" i="27"/>
  <c r="A35" i="26"/>
  <c r="C34" i="26"/>
  <c r="B34" i="26"/>
  <c r="A37" i="25"/>
  <c r="B43" i="30"/>
  <c r="D43" i="30" l="1"/>
  <c r="C43" i="30"/>
  <c r="A44" i="30"/>
  <c r="A38" i="29"/>
  <c r="C37" i="29"/>
  <c r="B37" i="29"/>
  <c r="A38" i="27"/>
  <c r="C37" i="27"/>
  <c r="B37" i="27"/>
  <c r="B35" i="26"/>
  <c r="A36" i="26"/>
  <c r="C35" i="26"/>
  <c r="A38" i="25"/>
  <c r="B44" i="30"/>
  <c r="D44" i="30" l="1"/>
  <c r="C44" i="30"/>
  <c r="A45" i="30"/>
  <c r="B38" i="29"/>
  <c r="A39" i="29"/>
  <c r="C38" i="29"/>
  <c r="B38" i="27"/>
  <c r="A39" i="27"/>
  <c r="C38" i="27"/>
  <c r="C36" i="26"/>
  <c r="B36" i="26"/>
  <c r="A37" i="26"/>
  <c r="A39" i="25"/>
  <c r="B45" i="30"/>
  <c r="D45" i="30" l="1"/>
  <c r="C45" i="30"/>
  <c r="A46" i="30"/>
  <c r="C39" i="29"/>
  <c r="B39" i="29"/>
  <c r="A40" i="29"/>
  <c r="C39" i="27"/>
  <c r="B39" i="27"/>
  <c r="A40" i="27"/>
  <c r="A38" i="26"/>
  <c r="C37" i="26"/>
  <c r="B37" i="26"/>
  <c r="A40" i="25"/>
  <c r="B46" i="30"/>
  <c r="D46" i="30" l="1"/>
  <c r="C46" i="30"/>
  <c r="A47" i="30"/>
  <c r="A41" i="29"/>
  <c r="C40" i="29"/>
  <c r="B40" i="29"/>
  <c r="A41" i="27"/>
  <c r="C40" i="27"/>
  <c r="B40" i="27"/>
  <c r="A39" i="26"/>
  <c r="C38" i="26"/>
  <c r="B38" i="26"/>
  <c r="A41" i="25"/>
  <c r="B47" i="30"/>
  <c r="D47" i="30" l="1"/>
  <c r="C47" i="30"/>
  <c r="A48" i="30"/>
  <c r="A42" i="29"/>
  <c r="C41" i="29"/>
  <c r="B41" i="29"/>
  <c r="A42" i="27"/>
  <c r="C41" i="27"/>
  <c r="B41" i="27"/>
  <c r="B39" i="26"/>
  <c r="A40" i="26"/>
  <c r="C39" i="26"/>
  <c r="A42" i="25"/>
  <c r="B48" i="30"/>
  <c r="D48" i="30" l="1"/>
  <c r="C48" i="30"/>
  <c r="A49" i="30"/>
  <c r="B42" i="29"/>
  <c r="A43" i="29"/>
  <c r="C42" i="29"/>
  <c r="B42" i="27"/>
  <c r="A43" i="27"/>
  <c r="C42" i="27"/>
  <c r="C40" i="26"/>
  <c r="B40" i="26"/>
  <c r="A41" i="26"/>
  <c r="A43" i="25"/>
  <c r="B49" i="30"/>
  <c r="D49" i="30" l="1"/>
  <c r="C49" i="30"/>
  <c r="A50" i="30"/>
  <c r="C43" i="29"/>
  <c r="B43" i="29"/>
  <c r="C43" i="27"/>
  <c r="B43" i="27"/>
  <c r="A42" i="26"/>
  <c r="C41" i="26"/>
  <c r="B41" i="26"/>
  <c r="B50" i="30"/>
  <c r="D50" i="30" l="1"/>
  <c r="C50" i="30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<sst xmlns="http://schemas.openxmlformats.org/spreadsheetml/2006/main" count="1733" uniqueCount="222">
  <si>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</si>
  <si>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</si>
  <si>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</si>
  <si>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</si>
  <si>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</si>
  <si>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</si>
  <si>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</si>
  <si>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</si>
  <si>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</si>
  <si>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</si>
  <si>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</si>
  <si>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</si>
  <si>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</si>
  <si>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</si>
  <si>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</si>
  <si>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</si>
  <si>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</si>
  <si>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</si>
  <si>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</si>
  <si>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</si>
  <si>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</si>
  <si>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</si>
  <si>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</si>
  <si>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</si>
  <si>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</si>
  <si>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</si>
  <si>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</si>
  <si>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</si>
  <si>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</si>
  <si>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</si>
  <si>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</si>
  <si>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</si>
  <si>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</si>
  <si>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</si>
  <si>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</si>
  <si>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</si>
  <si>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</si>
  <si>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</si>
  <si>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</si>
  <si>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</si>
  <si>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</si>
  <si>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</si>
  <si>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</si>
  <si>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</si>
  <si>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</si>
  <si>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</si>
  <si>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</si>
  <si>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</si>
  <si>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</si>
  <si>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</si>
  <si>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</si>
  <si>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</si>
  <si>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</si>
  <si>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</si>
  <si>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</si>
  <si>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</si>
  <si>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</si>
  <si>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</si>
  <si>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</si>
  <si>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</si>
  <si>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</si>
  <si>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</si>
  <si>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</si>
  <si>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</si>
  <si>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</si>
  <si>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</si>
  <si>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</si>
  <si>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</si>
  <si>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</si>
  <si>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</si>
  <si>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</si>
  <si>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</si>
  <si>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</si>
  <si>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</si>
  <si>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</si>
  <si>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</si>
  <si>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</si>
  <si>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</si>
  <si>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</si>
  <si>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</si>
  <si>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</si>
  <si>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</si>
  <si>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</si>
  <si>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</si>
  <si>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</si>
  <si>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</si>
  <si>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</si>
  <si>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</si>
  <si>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</si>
  <si>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</si>
  <si>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</si>
  <si>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</si>
  <si>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</si>
  <si>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</si>
  <si>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</si>
  <si>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</si>
  <si>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</si>
  <si>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</si>
  <si>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</si>
  <si>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</si>
  <si>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</si>
  <si>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</si>
  <si>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</si>
  <si>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</si>
  <si>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</si>
  <si>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</si>
  <si>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</si>
  <si>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</si>
  <si>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</si>
  <si>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</si>
  <si>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</si>
  <si>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</si>
  <si>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</si>
  <si>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</si>
  <si>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</si>
  <si>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</si>
  <si>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</si>
  <si>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</si>
  <si>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</si>
  <si>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</si>
  <si>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</si>
  <si>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</si>
  <si>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</si>
  <si>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</si>
  <si>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</si>
  <si>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</si>
  <si>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</si>
  <si>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</si>
  <si>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</si>
  <si>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</si>
  <si>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</si>
  <si>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</si>
  <si>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</si>
  <si>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</si>
  <si>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</si>
  <si>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</si>
  <si>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</si>
  <si>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</si>
  <si>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</si>
  <si>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</si>
  <si>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</si>
  <si>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</si>
  <si>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</si>
  <si>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</si>
  <si>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</si>
  <si>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</si>
  <si>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</si>
  <si>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</si>
  <si>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</si>
  <si>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</si>
  <si>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</si>
  <si>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</si>
  <si>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</si>
  <si>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</si>
  <si>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</si>
  <si>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</si>
  <si>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</si>
  <si>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</si>
  <si>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</si>
  <si>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</si>
  <si>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</si>
  <si>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</si>
  <si>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</si>
  <si>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</si>
  <si>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</si>
  <si>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</si>
  <si>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</si>
  <si>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</si>
  <si>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</si>
  <si>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</si>
  <si>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</si>
  <si>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Adherence</t>
  </si>
  <si>
    <t>Scurve Est. [Base Adjusted]</t>
  </si>
  <si>
    <t>Spline [Assumed Response Decays]</t>
  </si>
  <si>
    <t>Phar. Acquisition</t>
  </si>
  <si>
    <t>TRx</t>
  </si>
  <si>
    <t>NRx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</si>
  <si>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</si>
  <si>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</si>
  <si>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</si>
  <si>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</si>
  <si>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</si>
  <si>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</si>
  <si>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</si>
  <si>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</si>
  <si>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</si>
  <si>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</si>
  <si>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</si>
  <si>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</si>
  <si>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</si>
  <si>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</si>
  <si>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</si>
  <si>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</si>
  <si>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</si>
  <si>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</si>
  <si>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</si>
  <si>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</si>
  <si>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</si>
  <si>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</si>
  <si>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</si>
  <si>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</si>
  <si>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</si>
  <si>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</si>
  <si>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</si>
  <si>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</si>
  <si>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</si>
  <si>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</si>
  <si>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</si>
  <si>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</si>
  <si>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New Patient</t>
  </si>
  <si>
    <t>Equal Impact Distribution</t>
  </si>
  <si>
    <t>Considered budgets are:</t>
  </si>
  <si>
    <t>Current Total - $15MM</t>
  </si>
  <si>
    <t>Current Total - $10MM</t>
  </si>
  <si>
    <t>Current Total - $5MM</t>
  </si>
  <si>
    <t>Current Total</t>
  </si>
  <si>
    <t>Current Total + $5MM</t>
  </si>
  <si>
    <t>Current Total + $10MM</t>
  </si>
  <si>
    <t>Current Total + $15MM</t>
  </si>
  <si>
    <r>
      <t xml:space="preserve">CASE 6: </t>
    </r>
    <r>
      <rPr>
        <sz val="10"/>
        <color rgb="FF0000FF"/>
        <rFont val="Calibri"/>
        <family val="2"/>
        <scheme val="minor"/>
      </rPr>
      <t>Standard cases with budget increments of $5MM and local constrints of + or - 30%.</t>
    </r>
  </si>
  <si>
    <t>STANDARD 30% SCENARIOS</t>
  </si>
  <si>
    <r>
      <t xml:space="preserve">In here, we build set of scenarios with budget increments of + or - $5MM. </t>
    </r>
    <r>
      <rPr>
        <b/>
        <sz val="11"/>
        <color theme="1"/>
        <rFont val="Calibri"/>
        <family val="2"/>
        <scheme val="minor"/>
      </rPr>
      <t xml:space="preserve">All scenarios have </t>
    </r>
    <r>
      <rPr>
        <b/>
        <sz val="11"/>
        <color rgb="FFC00000"/>
        <rFont val="Calibri"/>
        <family val="2"/>
        <scheme val="minor"/>
      </rPr>
      <t>+ or - 30%</t>
    </r>
    <r>
      <rPr>
        <b/>
        <sz val="11"/>
        <color theme="1"/>
        <rFont val="Calibri"/>
        <family val="2"/>
        <scheme val="minor"/>
      </rPr>
      <t xml:space="preserve"> local constraints.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</si>
</sst>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8" fillId="0" borderId="0"/>
    <xf numFmtId="0" fontId="38" fillId="0" borderId="0"/>
    <xf numFmtId="43" fontId="38" fillId="0" borderId="0" applyFont="0" applyFill="0" applyBorder="0" applyAlignment="0" applyProtection="0"/>
    <xf numFmtId="0" fontId="38" fillId="0" borderId="0"/>
  </cellStyleXfs>
  <cellXfs count="293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37" fillId="0" borderId="0" xfId="0" applyFont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3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164" fontId="5" fillId="5" borderId="2" xfId="0" applyNumberFormat="1" applyFont="1" applyFill="1" applyBorder="1"/>
    <xf numFmtId="9" fontId="1" fillId="0" borderId="0" xfId="3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41" fillId="0" borderId="0" xfId="0" applyFont="1"/>
    <xf numFmtId="0" fontId="28" fillId="0" borderId="0" xfId="0" applyFont="1"/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40" fillId="0" borderId="40" xfId="0" applyFont="1" applyBorder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25120"/>
        <c:axId val="152339968"/>
      </c:scatterChart>
      <c:valAx>
        <c:axId val="152325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2339968"/>
        <c:crosses val="autoZero"/>
        <c:crossBetween val="midCat"/>
        <c:dispUnits>
          <c:builtInUnit val="thousands"/>
        </c:dispUnits>
      </c:valAx>
      <c:valAx>
        <c:axId val="152339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3251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16663095.100001626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2842406.9407835873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88800"/>
        <c:axId val="152224128"/>
      </c:scatterChart>
      <c:valAx>
        <c:axId val="152188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2224128"/>
        <c:crosses val="autoZero"/>
        <c:crossBetween val="midCat"/>
        <c:dispUnits>
          <c:builtInUnit val="thousands"/>
        </c:dispUnits>
      </c:valAx>
      <c:valAx>
        <c:axId val="152224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1888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46400"/>
        <c:axId val="152648704"/>
      </c:scatterChart>
      <c:valAx>
        <c:axId val="1526464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2648704"/>
        <c:crosses val="autoZero"/>
        <c:crossBetween val="midCat"/>
        <c:dispUnits>
          <c:builtInUnit val="thousands"/>
        </c:dispUnits>
      </c:valAx>
      <c:valAx>
        <c:axId val="152648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6464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49472"/>
        <c:axId val="152251776"/>
      </c:scatterChart>
      <c:valAx>
        <c:axId val="152249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2251776"/>
        <c:crosses val="autoZero"/>
        <c:crossBetween val="midCat"/>
        <c:dispUnits>
          <c:builtInUnit val="thousands"/>
        </c:dispUnits>
      </c:valAx>
      <c:valAx>
        <c:axId val="152251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2494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1164053.8454970047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57216"/>
        <c:axId val="152459520"/>
      </c:scatterChart>
      <c:valAx>
        <c:axId val="152457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2459520"/>
        <c:crosses val="autoZero"/>
        <c:crossBetween val="midCat"/>
        <c:dispUnits>
          <c:builtInUnit val="thousands"/>
        </c:dispUnits>
      </c:valAx>
      <c:valAx>
        <c:axId val="152459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4572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5344"/>
        <c:axId val="152507904"/>
      </c:scatterChart>
      <c:valAx>
        <c:axId val="152505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2507904"/>
        <c:crosses val="autoZero"/>
        <c:crossBetween val="midCat"/>
        <c:dispUnits>
          <c:builtInUnit val="thousands"/>
        </c:dispUnits>
      </c:valAx>
      <c:valAx>
        <c:axId val="152507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5053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73824"/>
        <c:axId val="152592768"/>
      </c:scatterChart>
      <c:valAx>
        <c:axId val="152573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2592768"/>
        <c:crosses val="autoZero"/>
        <c:crossBetween val="midCat"/>
        <c:dispUnits>
          <c:builtInUnit val="thousands"/>
        </c:dispUnits>
      </c:valAx>
      <c:valAx>
        <c:axId val="152592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573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029632"/>
        <c:axId val="153040384"/>
      </c:scatterChart>
      <c:valAx>
        <c:axId val="153029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3040384"/>
        <c:crosses val="autoZero"/>
        <c:crossBetween val="midCat"/>
        <c:dispUnits>
          <c:builtInUnit val="thousands"/>
        </c:dispUnits>
      </c:valAx>
      <c:valAx>
        <c:axId val="15304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30296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05472"/>
        <c:axId val="151712128"/>
      </c:scatterChart>
      <c:valAx>
        <c:axId val="151705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1712128"/>
        <c:crosses val="autoZero"/>
        <c:crossBetween val="midCat"/>
        <c:dispUnits>
          <c:builtInUnit val="millions"/>
        </c:dispUnits>
      </c:valAx>
      <c:valAx>
        <c:axId val="15171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170547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16663095.100001626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275612398.94154823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69856"/>
        <c:axId val="151772160"/>
      </c:scatterChart>
      <c:valAx>
        <c:axId val="1517698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1772160"/>
        <c:crosses val="autoZero"/>
        <c:crossBetween val="midCat"/>
        <c:dispUnits>
          <c:builtInUnit val="millions"/>
        </c:dispUnits>
      </c:valAx>
      <c:valAx>
        <c:axId val="151772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176985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38080"/>
        <c:axId val="151840640"/>
      </c:scatterChart>
      <c:valAx>
        <c:axId val="1518380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1840640"/>
        <c:crosses val="autoZero"/>
        <c:crossBetween val="midCat"/>
        <c:dispUnits>
          <c:builtInUnit val="millions"/>
        </c:dispUnits>
      </c:valAx>
      <c:valAx>
        <c:axId val="151840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18380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94272"/>
        <c:axId val="151909120"/>
      </c:scatterChart>
      <c:valAx>
        <c:axId val="1518942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1909120"/>
        <c:crosses val="autoZero"/>
        <c:crossBetween val="midCat"/>
        <c:dispUnits>
          <c:builtInUnit val="millions"/>
        </c:dispUnits>
      </c:valAx>
      <c:valAx>
        <c:axId val="15190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15189427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112871829.94498277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88160"/>
        <c:axId val="153390464"/>
      </c:scatterChart>
      <c:valAx>
        <c:axId val="1533881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3390464"/>
        <c:crosses val="autoZero"/>
        <c:crossBetween val="midCat"/>
        <c:dispUnits>
          <c:builtInUnit val="millions"/>
        </c:dispUnits>
      </c:valAx>
      <c:valAx>
        <c:axId val="153390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338816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26553983.007285006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98592"/>
        <c:axId val="153200896"/>
      </c:scatterChart>
      <c:valAx>
        <c:axId val="153198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3200896"/>
        <c:crosses val="autoZero"/>
        <c:crossBetween val="midCat"/>
        <c:dispUnits>
          <c:builtInUnit val="millions"/>
        </c:dispUnits>
      </c:valAx>
      <c:valAx>
        <c:axId val="153200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319859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46336"/>
        <c:axId val="153265280"/>
      </c:scatterChart>
      <c:valAx>
        <c:axId val="1532463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3265280"/>
        <c:crosses val="autoZero"/>
        <c:crossBetween val="midCat"/>
        <c:dispUnits>
          <c:builtInUnit val="millions"/>
        </c:dispUnits>
      </c:valAx>
      <c:valAx>
        <c:axId val="15326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324633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30077004.13086943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69472"/>
        <c:axId val="153800704"/>
      </c:scatterChart>
      <c:valAx>
        <c:axId val="153769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153800704"/>
        <c:crosses val="autoZero"/>
        <c:crossBetween val="midCat"/>
        <c:dispUnits>
          <c:builtInUnit val="millions"/>
        </c:dispUnits>
      </c:valAx>
      <c:valAx>
        <c:axId val="153800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15376947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16663095.100001626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2842406.9407835873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1164053.8454970047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16663095.100001626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2842406.9407835873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1164053.8454970047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40096"/>
        <c:axId val="153624960"/>
      </c:scatterChart>
      <c:valAx>
        <c:axId val="153540096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3624960"/>
        <c:crosses val="autoZero"/>
        <c:crossBetween val="midCat"/>
        <c:dispUnits>
          <c:builtInUnit val="millions"/>
        </c:dispUnits>
      </c:valAx>
      <c:valAx>
        <c:axId val="153624960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35400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16663095.100001626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2842406.9407835873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1164053.8454970047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16663095.100001626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2842406.9407835873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1164053.8454970047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78368"/>
        <c:axId val="154001792"/>
      </c:scatterChart>
      <c:valAx>
        <c:axId val="153978368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154001792"/>
        <c:crosses val="autoZero"/>
        <c:crossBetween val="midCat"/>
        <c:dispUnits>
          <c:builtInUnit val="thousands"/>
        </c:dispUnits>
      </c:valAx>
      <c:valAx>
        <c:axId val="154001792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39783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16663095.100001626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275612398.94154823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112871829.94498277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26553983.007285006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30077004.13086943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85728"/>
        <c:axId val="154188416"/>
      </c:scatterChart>
      <c:valAx>
        <c:axId val="154185728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4188416"/>
        <c:crosses val="autoZero"/>
        <c:crossBetween val="midCat"/>
        <c:dispUnits>
          <c:builtInUnit val="millions"/>
        </c:dispUnits>
      </c:valAx>
      <c:valAx>
        <c:axId val="154188416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15418572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16663095.100001626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275612398.94154823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112871829.94498277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26553983.007285006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30077004.13086943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81408"/>
        <c:axId val="154484096"/>
      </c:scatterChart>
      <c:valAx>
        <c:axId val="154481408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4484096"/>
        <c:crosses val="autoZero"/>
        <c:crossBetween val="midCat"/>
        <c:dispUnits>
          <c:builtInUnit val="millions"/>
        </c:dispUnits>
      </c:valAx>
      <c:valAx>
        <c:axId val="154484096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15448140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021312"/>
        <c:axId val="155023616"/>
      </c:scatterChart>
      <c:valAx>
        <c:axId val="1550213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023616"/>
        <c:crosses val="autoZero"/>
        <c:crossBetween val="midCat"/>
        <c:dispUnits>
          <c:builtInUnit val="thousands"/>
        </c:dispUnits>
      </c:valAx>
      <c:valAx>
        <c:axId val="155023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0213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259498.53045724996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073920"/>
        <c:axId val="155080576"/>
      </c:scatterChart>
      <c:valAx>
        <c:axId val="155073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080576"/>
        <c:crosses val="autoZero"/>
        <c:crossBetween val="midCat"/>
        <c:dispUnits>
          <c:builtInUnit val="thousands"/>
        </c:dispUnits>
      </c:valAx>
      <c:valAx>
        <c:axId val="15508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0739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16663095.100001626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2842406.9407835873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787840"/>
        <c:axId val="154790144"/>
      </c:scatterChart>
      <c:valAx>
        <c:axId val="1547878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4790144"/>
        <c:crosses val="autoZero"/>
        <c:crossBetween val="midCat"/>
        <c:dispUnits>
          <c:builtInUnit val="thousands"/>
        </c:dispUnits>
      </c:valAx>
      <c:valAx>
        <c:axId val="154790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47878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16663095.100001626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246522.71819458689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93696"/>
        <c:axId val="154908544"/>
      </c:scatterChart>
      <c:valAx>
        <c:axId val="1548936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4908544"/>
        <c:crosses val="autoZero"/>
        <c:crossBetween val="midCat"/>
        <c:dispUnits>
          <c:builtInUnit val="thousands"/>
        </c:dispUnits>
      </c:valAx>
      <c:valAx>
        <c:axId val="154908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48936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40864"/>
        <c:axId val="155143168"/>
      </c:scatterChart>
      <c:valAx>
        <c:axId val="155140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143168"/>
        <c:crosses val="autoZero"/>
        <c:crossBetween val="midCat"/>
        <c:dispUnits>
          <c:builtInUnit val="thousands"/>
        </c:dispUnits>
      </c:valAx>
      <c:valAx>
        <c:axId val="155143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1408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06016"/>
        <c:axId val="155208320"/>
      </c:scatterChart>
      <c:valAx>
        <c:axId val="1552060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208320"/>
        <c:crosses val="autoZero"/>
        <c:crossBetween val="midCat"/>
        <c:dispUnits>
          <c:builtInUnit val="thousands"/>
        </c:dispUnits>
      </c:valAx>
      <c:valAx>
        <c:axId val="155208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2060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25184"/>
        <c:axId val="155327488"/>
      </c:scatterChart>
      <c:valAx>
        <c:axId val="155325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327488"/>
        <c:crosses val="autoZero"/>
        <c:crossBetween val="midCat"/>
        <c:dispUnits>
          <c:builtInUnit val="thousands"/>
        </c:dispUnits>
      </c:valAx>
      <c:valAx>
        <c:axId val="155327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3251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9140.6147807429006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21408"/>
        <c:axId val="155523712"/>
      </c:scatterChart>
      <c:valAx>
        <c:axId val="155521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523712"/>
        <c:crosses val="autoZero"/>
        <c:crossBetween val="midCat"/>
        <c:dispUnits>
          <c:builtInUnit val="thousands"/>
        </c:dispUnits>
      </c:valAx>
      <c:valAx>
        <c:axId val="155523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5214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3200"/>
        <c:axId val="155925504"/>
      </c:scatterChart>
      <c:valAx>
        <c:axId val="1559232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925504"/>
        <c:crosses val="autoZero"/>
        <c:crossBetween val="midCat"/>
        <c:dispUnits>
          <c:builtInUnit val="thousands"/>
        </c:dispUnits>
      </c:valAx>
      <c:valAx>
        <c:axId val="15592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9232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1701.1654528829024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03328"/>
        <c:axId val="155605632"/>
      </c:scatterChart>
      <c:valAx>
        <c:axId val="1556033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5605632"/>
        <c:crosses val="autoZero"/>
        <c:crossBetween val="midCat"/>
        <c:dispUnits>
          <c:builtInUnit val="thousands"/>
        </c:dispUnits>
      </c:valAx>
      <c:valAx>
        <c:axId val="15560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60332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1164053.8454970047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75680"/>
        <c:axId val="155977984"/>
      </c:scatterChart>
      <c:valAx>
        <c:axId val="155975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5977984"/>
        <c:crosses val="autoZero"/>
        <c:crossBetween val="midCat"/>
        <c:dispUnits>
          <c:builtInUnit val="thousands"/>
        </c:dispUnits>
      </c:valAx>
      <c:valAx>
        <c:axId val="155977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59756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100958.70299193449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28288"/>
        <c:axId val="156039040"/>
      </c:scatterChart>
      <c:valAx>
        <c:axId val="1560282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6039040"/>
        <c:crosses val="autoZero"/>
        <c:crossBetween val="midCat"/>
        <c:dispUnits>
          <c:builtInUnit val="thousands"/>
        </c:dispUnits>
      </c:valAx>
      <c:valAx>
        <c:axId val="156039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60282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02016"/>
        <c:axId val="341522304"/>
      </c:scatterChart>
      <c:valAx>
        <c:axId val="1561020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1522304"/>
        <c:crosses val="autoZero"/>
        <c:crossBetween val="midCat"/>
        <c:dispUnits>
          <c:builtInUnit val="thousands"/>
        </c:dispUnits>
      </c:valAx>
      <c:valAx>
        <c:axId val="341522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61020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23751.326482365839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568512"/>
        <c:axId val="341571072"/>
      </c:scatterChart>
      <c:valAx>
        <c:axId val="3415685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1571072"/>
        <c:crosses val="autoZero"/>
        <c:crossBetween val="midCat"/>
        <c:dispUnits>
          <c:builtInUnit val="thousands"/>
        </c:dispUnits>
      </c:valAx>
      <c:valAx>
        <c:axId val="341571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15685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90208"/>
        <c:axId val="154617344"/>
      </c:scatterChart>
      <c:valAx>
        <c:axId val="154590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4617344"/>
        <c:crosses val="autoZero"/>
        <c:crossBetween val="midCat"/>
        <c:dispUnits>
          <c:builtInUnit val="thousands"/>
        </c:dispUnits>
      </c:valAx>
      <c:valAx>
        <c:axId val="154617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45902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7922.3256312394515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1708.0983693981543</c:v>
                </c:pt>
                <c:pt idx="2">
                  <c:v>3388.5001289946958</c:v>
                </c:pt>
                <c:pt idx="3">
                  <c:v>5041.6364102456719</c:v>
                </c:pt>
                <c:pt idx="4">
                  <c:v>6667.9322238313034</c:v>
                </c:pt>
                <c:pt idx="5">
                  <c:v>8267.8065268909559</c:v>
                </c:pt>
                <c:pt idx="6">
                  <c:v>9841.6722902022302</c:v>
                </c:pt>
                <c:pt idx="7">
                  <c:v>11389.936565298587</c:v>
                </c:pt>
                <c:pt idx="8">
                  <c:v>12913.000551461242</c:v>
                </c:pt>
                <c:pt idx="9">
                  <c:v>14411.259662600234</c:v>
                </c:pt>
                <c:pt idx="10">
                  <c:v>15885.103593955748</c:v>
                </c:pt>
                <c:pt idx="11">
                  <c:v>17334.916388627142</c:v>
                </c:pt>
                <c:pt idx="12">
                  <c:v>18761.07650389336</c:v>
                </c:pt>
                <c:pt idx="13">
                  <c:v>20163.956877290271</c:v>
                </c:pt>
                <c:pt idx="14">
                  <c:v>21543.92499244865</c:v>
                </c:pt>
                <c:pt idx="15">
                  <c:v>22901.342944648117</c:v>
                </c:pt>
                <c:pt idx="16">
                  <c:v>24236.567506083287</c:v>
                </c:pt>
                <c:pt idx="17">
                  <c:v>25549.950190809555</c:v>
                </c:pt>
                <c:pt idx="18">
                  <c:v>26841.837319366634</c:v>
                </c:pt>
                <c:pt idx="19">
                  <c:v>28112.570083050989</c:v>
                </c:pt>
                <c:pt idx="20">
                  <c:v>29362.484607818536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5610.3927287058905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432384"/>
        <c:axId val="342447232"/>
      </c:scatterChart>
      <c:valAx>
        <c:axId val="3424323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2447232"/>
        <c:crosses val="autoZero"/>
        <c:crossBetween val="midCat"/>
        <c:dispUnits>
          <c:builtInUnit val="thousands"/>
        </c:dispUnits>
      </c:valAx>
      <c:valAx>
        <c:axId val="342447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24323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235776"/>
        <c:axId val="342250624"/>
      </c:scatterChart>
      <c:valAx>
        <c:axId val="3422357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2250624"/>
        <c:crosses val="autoZero"/>
        <c:crossBetween val="midCat"/>
        <c:dispUnits>
          <c:builtInUnit val="thousands"/>
        </c:dispUnits>
      </c:valAx>
      <c:valAx>
        <c:axId val="342250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22357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34848"/>
        <c:axId val="342353408"/>
      </c:scatterChart>
      <c:valAx>
        <c:axId val="342334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2353408"/>
        <c:crosses val="autoZero"/>
        <c:crossBetween val="midCat"/>
      </c:valAx>
      <c:valAx>
        <c:axId val="34235340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23348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584320"/>
        <c:axId val="342594688"/>
      </c:scatterChart>
      <c:valAx>
        <c:axId val="3425843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2594688"/>
        <c:crosses val="autoZero"/>
        <c:crossBetween val="midCat"/>
      </c:valAx>
      <c:valAx>
        <c:axId val="34259468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258432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025728"/>
        <c:axId val="344032000"/>
      </c:scatterChart>
      <c:valAx>
        <c:axId val="344025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4032000"/>
        <c:crosses val="autoZero"/>
        <c:crossBetween val="midCat"/>
      </c:valAx>
      <c:valAx>
        <c:axId val="34403200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402572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714048"/>
        <c:axId val="343720704"/>
      </c:scatterChart>
      <c:valAx>
        <c:axId val="343714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43720704"/>
        <c:crosses val="autoZero"/>
        <c:crossBetween val="midCat"/>
        <c:dispUnits>
          <c:builtInUnit val="millions"/>
        </c:dispUnits>
      </c:valAx>
      <c:valAx>
        <c:axId val="34372070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37140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G46"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/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1:G11"/>
  <sheetViews>
    <sheetView workbookViewId="0">
      <selection activeCell="C9" sqref="C9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1" spans="1:7" x14ac:dyDescent="0.3">
      <c r="A1" s="155" t="s">
        <v>220</v>
      </c>
    </row>
    <row r="2" spans="1:7" x14ac:dyDescent="0.3">
      <c r="A2" t="s">
        <v>221</v>
      </c>
    </row>
    <row r="3" spans="1:7" x14ac:dyDescent="0.3">
      <c r="A3" s="206" t="s">
        <v>211</v>
      </c>
      <c r="B3" s="161"/>
      <c r="C3" s="161"/>
      <c r="D3" s="161"/>
      <c r="E3" s="161"/>
      <c r="F3" s="161"/>
      <c r="G3" s="161"/>
    </row>
    <row r="4" spans="1:7" x14ac:dyDescent="0.3">
      <c r="A4" t="s">
        <v>212</v>
      </c>
    </row>
    <row r="5" spans="1:7" x14ac:dyDescent="0.3">
      <c r="A5" s="161" t="s">
        <v>213</v>
      </c>
    </row>
    <row r="6" spans="1:7" x14ac:dyDescent="0.3">
      <c r="A6" s="161" t="s">
        <v>214</v>
      </c>
    </row>
    <row r="7" spans="1:7" x14ac:dyDescent="0.3">
      <c r="A7" s="205" t="s">
        <v>215</v>
      </c>
    </row>
    <row r="8" spans="1:7" x14ac:dyDescent="0.3">
      <c r="A8" s="161" t="s">
        <v>216</v>
      </c>
    </row>
    <row r="9" spans="1:7" x14ac:dyDescent="0.3">
      <c r="A9" s="161" t="s">
        <v>217</v>
      </c>
    </row>
    <row r="10" spans="1:7" x14ac:dyDescent="0.3">
      <c r="A10" s="161" t="s">
        <v>218</v>
      </c>
    </row>
    <row r="11" spans="1:7" x14ac:dyDescent="0.3">
      <c r="A11" s="161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workbookViewId="0">
      <selection activeCell="B4" sqref="B4:I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21" t="s">
        <v>219</v>
      </c>
      <c r="C4" s="222"/>
      <c r="D4" s="222"/>
      <c r="E4" s="222"/>
      <c r="F4" s="222"/>
      <c r="G4" s="222"/>
      <c r="H4" s="222"/>
      <c r="I4" s="222"/>
    </row>
    <row r="5" spans="1:14" x14ac:dyDescent="0.3">
      <c r="A5" s="48" t="s">
        <v>79</v>
      </c>
      <c r="B5" s="162" t="s">
        <v>167</v>
      </c>
      <c r="E5" s="223" t="s">
        <v>50</v>
      </c>
      <c r="F5" s="224"/>
      <c r="G5" s="224"/>
      <c r="H5" s="224"/>
      <c r="I5" s="225"/>
    </row>
    <row r="6" spans="1:14" x14ac:dyDescent="0.3">
      <c r="A6" s="48" t="s">
        <v>80</v>
      </c>
      <c r="B6" s="162" t="s">
        <v>168</v>
      </c>
      <c r="E6" s="226" t="s">
        <v>51</v>
      </c>
      <c r="F6" s="227"/>
      <c r="G6" s="227"/>
      <c r="H6" s="227"/>
      <c r="I6" s="228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7720418.6973289931</v>
      </c>
    </row>
    <row r="10" spans="1:14" ht="14.4" thickBot="1" x14ac:dyDescent="0.35">
      <c r="A10" s="50"/>
    </row>
    <row r="11" spans="1:14" ht="27.6" x14ac:dyDescent="0.3">
      <c r="A11" s="229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30"/>
      <c r="B12" s="158">
        <f>81102300 - 15000000</f>
        <v>66102300</v>
      </c>
      <c r="C12" s="81">
        <f>1*B12 - 1</f>
        <v>66102299</v>
      </c>
      <c r="D12" s="82">
        <f>1*B12 + 1</f>
        <v>66102301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31" t="s">
        <v>2</v>
      </c>
      <c r="B15" s="215" t="s">
        <v>3</v>
      </c>
      <c r="C15" s="215" t="s">
        <v>38</v>
      </c>
      <c r="D15" s="215" t="s">
        <v>169</v>
      </c>
      <c r="E15" s="209" t="s">
        <v>86</v>
      </c>
      <c r="F15" s="211"/>
      <c r="G15" s="207" t="s">
        <v>179</v>
      </c>
      <c r="H15" s="208"/>
      <c r="I15" s="207" t="s">
        <v>89</v>
      </c>
      <c r="J15" s="208"/>
      <c r="K15" s="209" t="s">
        <v>90</v>
      </c>
      <c r="L15" s="210"/>
      <c r="M15" s="210"/>
      <c r="N15" s="211"/>
    </row>
    <row r="16" spans="1:14" ht="27.6" x14ac:dyDescent="0.3">
      <c r="A16" s="214"/>
      <c r="B16" s="214"/>
      <c r="C16" s="214"/>
      <c r="D16" s="214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16663095.100001626</v>
      </c>
      <c r="J18" s="65">
        <v>2842406.9407835873</v>
      </c>
      <c r="K18" s="60">
        <f t="shared" ref="K18:L24" si="2">I18-E18</f>
        <v>1052660.1000016257</v>
      </c>
      <c r="L18" s="60">
        <f t="shared" si="2"/>
        <v>179742.09237153362</v>
      </c>
      <c r="M18" s="61">
        <f t="shared" ref="M18:N25" si="3">K18/E18</f>
        <v>6.74331048431146E-2</v>
      </c>
      <c r="N18" s="61">
        <f t="shared" si="3"/>
        <v>6.7504587548345513E-2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16067799.999999998</v>
      </c>
      <c r="J21" s="65">
        <v>1164053.8454970047</v>
      </c>
      <c r="K21" s="60">
        <f t="shared" si="2"/>
        <v>-6886200.0000000019</v>
      </c>
      <c r="L21" s="60">
        <f t="shared" si="2"/>
        <v>-431838.16886335821</v>
      </c>
      <c r="M21" s="61">
        <f t="shared" si="3"/>
        <v>-0.3000000000000001</v>
      </c>
      <c r="N21" s="61">
        <f t="shared" si="3"/>
        <v>-0.27059360218456879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3347866.1999999997</v>
      </c>
      <c r="H23" s="74">
        <f t="shared" si="1"/>
        <v>6217465.7999999998</v>
      </c>
      <c r="I23" s="174">
        <v>3347866.1999999997</v>
      </c>
      <c r="J23" s="65">
        <v>64687.828161978912</v>
      </c>
      <c r="K23" s="60">
        <f t="shared" si="2"/>
        <v>-1434799.8000000003</v>
      </c>
      <c r="L23" s="60">
        <f t="shared" si="2"/>
        <v>-26656.586366211959</v>
      </c>
      <c r="M23" s="61">
        <f t="shared" si="3"/>
        <v>-0.30000000000000004</v>
      </c>
      <c r="N23" s="61">
        <f t="shared" si="3"/>
        <v>-0.29182502842563141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258393.506278947</v>
      </c>
      <c r="K24" s="60">
        <f t="shared" si="2"/>
        <v>-4710000</v>
      </c>
      <c r="L24" s="60">
        <f t="shared" si="2"/>
        <v>-102439.2308344543</v>
      </c>
      <c r="M24" s="61">
        <f t="shared" si="3"/>
        <v>-0.3</v>
      </c>
      <c r="N24" s="61">
        <f t="shared" si="3"/>
        <v>-0.28389672082957385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56771610</v>
      </c>
      <c r="H25" s="76">
        <f t="shared" si="4"/>
        <v>105432990</v>
      </c>
      <c r="I25" s="83">
        <f t="shared" si="4"/>
        <v>66102300.000001624</v>
      </c>
      <c r="J25" s="175">
        <f t="shared" si="4"/>
        <v>7720418.6973289931</v>
      </c>
      <c r="K25" s="76">
        <f>SUM(K17:K24)</f>
        <v>-14999999.999998376</v>
      </c>
      <c r="L25" s="175">
        <f>SUM(L17:L24)</f>
        <v>144386.30173139981</v>
      </c>
      <c r="M25" s="79">
        <f>K25/E25</f>
        <v>-0.18495159816673973</v>
      </c>
      <c r="N25" s="79">
        <f t="shared" si="3"/>
        <v>1.9058300465465562E-2</v>
      </c>
    </row>
    <row r="30" spans="1:14" ht="55.2" x14ac:dyDescent="0.3">
      <c r="A30" s="212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2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3" t="s">
        <v>2</v>
      </c>
      <c r="B32" s="215" t="s">
        <v>3</v>
      </c>
      <c r="C32" s="215" t="str">
        <f t="shared" ref="C32:D42" si="5">D15</f>
        <v>Response Scaling Factor for Sensitivity Analysis</v>
      </c>
      <c r="D32" s="216" t="s">
        <v>86</v>
      </c>
      <c r="E32" s="217"/>
      <c r="F32" s="217"/>
      <c r="G32" s="218"/>
      <c r="H32" s="219" t="s">
        <v>89</v>
      </c>
      <c r="I32" s="220"/>
      <c r="J32" s="220"/>
      <c r="K32" s="216" t="s">
        <v>189</v>
      </c>
      <c r="L32" s="217"/>
      <c r="M32" s="217"/>
      <c r="N32" s="218"/>
    </row>
    <row r="33" spans="1:14" ht="74.400000000000006" customHeight="1" x14ac:dyDescent="0.3">
      <c r="A33" s="214"/>
      <c r="B33" s="214"/>
      <c r="C33" s="214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16663095.100001626</v>
      </c>
      <c r="I35" s="169">
        <f t="shared" ref="I35:I40" si="9">J18/$D$31</f>
        <v>246522.71819458695</v>
      </c>
      <c r="J35" s="180">
        <f t="shared" ref="J35:J40" si="10">I35*$F$31</f>
        <v>275612398.94154823</v>
      </c>
      <c r="K35" s="167">
        <f t="shared" ref="K35:K42" si="11">H35-D35</f>
        <v>1052660.1000016257</v>
      </c>
      <c r="L35" s="167">
        <f t="shared" ref="L35:L42" si="12">J35-G35</f>
        <v>17428591.437239796</v>
      </c>
      <c r="M35" s="184">
        <f t="shared" ref="M35:M42" si="13">K35/D35</f>
        <v>6.74331048431146E-2</v>
      </c>
      <c r="N35" s="185">
        <f t="shared" ref="N35:N42" si="14">L35/G35</f>
        <v>6.7504587548345596E-2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2663301.1999999997</v>
      </c>
      <c r="I36" s="169">
        <f t="shared" si="9"/>
        <v>9140.6147807428988</v>
      </c>
      <c r="J36" s="180">
        <f t="shared" si="10"/>
        <v>10219207.32487056</v>
      </c>
      <c r="K36" s="167">
        <f t="shared" si="11"/>
        <v>-1141414.8000000003</v>
      </c>
      <c r="L36" s="167">
        <f t="shared" si="12"/>
        <v>-4379826.8283601012</v>
      </c>
      <c r="M36" s="184">
        <f t="shared" si="13"/>
        <v>-0.3000000000000001</v>
      </c>
      <c r="N36" s="185">
        <f t="shared" si="14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16067799.999999998</v>
      </c>
      <c r="I38" s="169">
        <f t="shared" si="9"/>
        <v>100958.70299193449</v>
      </c>
      <c r="J38" s="180">
        <f t="shared" si="10"/>
        <v>112871829.94498277</v>
      </c>
      <c r="K38" s="167">
        <f t="shared" si="11"/>
        <v>-6886200.0000000019</v>
      </c>
      <c r="L38" s="167">
        <f t="shared" si="12"/>
        <v>-41872946.469144374</v>
      </c>
      <c r="M38" s="184">
        <f t="shared" si="13"/>
        <v>-0.3000000000000001</v>
      </c>
      <c r="N38" s="185">
        <f t="shared" si="14"/>
        <v>-0.27059360218456885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5473288.7999999998</v>
      </c>
      <c r="I39" s="169">
        <f t="shared" si="9"/>
        <v>23751.326482365839</v>
      </c>
      <c r="J39" s="180">
        <f t="shared" si="10"/>
        <v>26553983.007285006</v>
      </c>
      <c r="K39" s="167">
        <f t="shared" si="11"/>
        <v>-2345695.2000000002</v>
      </c>
      <c r="L39" s="167">
        <f t="shared" si="12"/>
        <v>-10126039.853879251</v>
      </c>
      <c r="M39" s="184">
        <f t="shared" si="13"/>
        <v>-0.30000000000000004</v>
      </c>
      <c r="N39" s="185">
        <f t="shared" si="14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3347866.1999999997</v>
      </c>
      <c r="I40" s="169">
        <f t="shared" si="9"/>
        <v>5610.3927287058905</v>
      </c>
      <c r="J40" s="180">
        <f t="shared" si="10"/>
        <v>6272419.0706931856</v>
      </c>
      <c r="K40" s="167">
        <f t="shared" si="11"/>
        <v>-1434799.8000000003</v>
      </c>
      <c r="L40" s="167">
        <f t="shared" si="12"/>
        <v>-2584740.9850325212</v>
      </c>
      <c r="M40" s="184">
        <f t="shared" si="13"/>
        <v>-0.30000000000000004</v>
      </c>
      <c r="N40" s="185">
        <f t="shared" si="14"/>
        <v>-0.29182502842563141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258393.506278947</v>
      </c>
      <c r="J41" s="180">
        <f>I41*$I$31</f>
        <v>30077004.13086943</v>
      </c>
      <c r="K41" s="167">
        <f t="shared" si="11"/>
        <v>-4710000</v>
      </c>
      <c r="L41" s="167">
        <f t="shared" si="12"/>
        <v>-11923926.469130475</v>
      </c>
      <c r="M41" s="184">
        <f t="shared" si="13"/>
        <v>-0.3</v>
      </c>
      <c r="N41" s="185">
        <f t="shared" si="14"/>
        <v>-0.28389672082957379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66102300.000001624</v>
      </c>
      <c r="I42" s="77"/>
      <c r="J42" s="181">
        <f>SUM(J34:J41)</f>
        <v>753628102.44777775</v>
      </c>
      <c r="K42" s="76">
        <f t="shared" si="11"/>
        <v>-14999999.999998376</v>
      </c>
      <c r="L42" s="200">
        <f t="shared" si="12"/>
        <v>12009373.219388604</v>
      </c>
      <c r="M42" s="79">
        <f t="shared" si="13"/>
        <v>-0.18495159816673973</v>
      </c>
      <c r="N42" s="186">
        <f t="shared" si="14"/>
        <v>1.6193459989722284E-2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262248955.65841836</v>
      </c>
      <c r="L43" s="189">
        <f>SUM(L34:L40)*$E$43 + (L41*$D$43)</f>
        <v>1698401.6007660339</v>
      </c>
      <c r="M43" s="201">
        <f>L43/L42</f>
        <v>0.14142300099592536</v>
      </c>
      <c r="N43" s="190">
        <f>N42*(L43/L42)</f>
        <v>2.2901277082539718E-3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296020350.2437942</v>
      </c>
      <c r="L44" s="189">
        <f>SUM(L34:L40)*$E$44 + (L41*$D$44)</f>
        <v>3848980.7027224274</v>
      </c>
      <c r="M44" s="201">
        <f>L44/L42</f>
        <v>0.3204980503485742</v>
      </c>
      <c r="N44" s="190">
        <f>N42*(L44/L42)</f>
        <v>5.1899723551036342E-3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195358796.54556528</v>
      </c>
      <c r="L45" s="189">
        <f>SUM(L34:L40)*$E$45 + (L41*$D$45)</f>
        <v>6461990.915900155</v>
      </c>
      <c r="M45" s="201">
        <f>L45/L42</f>
        <v>0.53807894865550143</v>
      </c>
      <c r="N45" s="190">
        <f>N42*(L45/L42)</f>
        <v>8.7133599263646937E-3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workbookViewId="0">
      <selection activeCell="B4" sqref="B4:I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9.4" customHeight="1" x14ac:dyDescent="0.3">
      <c r="A4" s="49" t="s">
        <v>78</v>
      </c>
      <c r="B4" s="221" t="s">
        <v>219</v>
      </c>
      <c r="C4" s="222"/>
      <c r="D4" s="222"/>
      <c r="E4" s="222"/>
      <c r="F4" s="222"/>
      <c r="G4" s="222"/>
      <c r="H4" s="222"/>
      <c r="I4" s="222"/>
    </row>
    <row r="5" spans="1:14" x14ac:dyDescent="0.3">
      <c r="A5" s="48" t="s">
        <v>79</v>
      </c>
      <c r="B5" s="162" t="s">
        <v>167</v>
      </c>
      <c r="E5" s="223" t="s">
        <v>50</v>
      </c>
      <c r="F5" s="224"/>
      <c r="G5" s="224"/>
      <c r="H5" s="224"/>
      <c r="I5" s="225"/>
    </row>
    <row r="6" spans="1:14" x14ac:dyDescent="0.3">
      <c r="A6" s="48" t="s">
        <v>80</v>
      </c>
      <c r="B6" s="162" t="s">
        <v>168</v>
      </c>
      <c r="E6" s="226" t="s">
        <v>51</v>
      </c>
      <c r="F6" s="227"/>
      <c r="G6" s="227"/>
      <c r="H6" s="227"/>
      <c r="I6" s="228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8429411.6898313165</v>
      </c>
    </row>
    <row r="10" spans="1:14" ht="14.4" thickBot="1" x14ac:dyDescent="0.35">
      <c r="A10" s="50"/>
    </row>
    <row r="11" spans="1:14" ht="27.6" x14ac:dyDescent="0.3">
      <c r="A11" s="229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30"/>
      <c r="B12" s="158">
        <f>81102300 - 10000000</f>
        <v>71102300</v>
      </c>
      <c r="C12" s="81">
        <f>1*B12 - 1</f>
        <v>71102299</v>
      </c>
      <c r="D12" s="82">
        <f>1*B12 + 1</f>
        <v>71102301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31" t="s">
        <v>2</v>
      </c>
      <c r="B15" s="215" t="s">
        <v>3</v>
      </c>
      <c r="C15" s="215" t="s">
        <v>38</v>
      </c>
      <c r="D15" s="215" t="s">
        <v>169</v>
      </c>
      <c r="E15" s="209" t="s">
        <v>86</v>
      </c>
      <c r="F15" s="211"/>
      <c r="G15" s="207" t="s">
        <v>179</v>
      </c>
      <c r="H15" s="208"/>
      <c r="I15" s="207" t="s">
        <v>89</v>
      </c>
      <c r="J15" s="208"/>
      <c r="K15" s="209" t="s">
        <v>90</v>
      </c>
      <c r="L15" s="210"/>
      <c r="M15" s="210"/>
      <c r="N15" s="211"/>
    </row>
    <row r="16" spans="1:14" ht="27.6" x14ac:dyDescent="0.3">
      <c r="A16" s="214"/>
      <c r="B16" s="214"/>
      <c r="C16" s="214"/>
      <c r="D16" s="214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3462495.5631605955</v>
      </c>
      <c r="K18" s="60">
        <f t="shared" ref="K18:L24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17437329.60000157</v>
      </c>
      <c r="J21" s="65">
        <v>1252958.2156223201</v>
      </c>
      <c r="K21" s="60">
        <f t="shared" si="2"/>
        <v>-5516670.3999984302</v>
      </c>
      <c r="L21" s="60">
        <f t="shared" si="2"/>
        <v>-342933.79873804282</v>
      </c>
      <c r="M21" s="61">
        <f t="shared" si="3"/>
        <v>-0.2403359065957319</v>
      </c>
      <c r="N21" s="61">
        <f t="shared" si="3"/>
        <v>-0.21488534039409393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3347866.1999999997</v>
      </c>
      <c r="H23" s="74">
        <f t="shared" si="1"/>
        <v>6217465.7999999998</v>
      </c>
      <c r="I23" s="174">
        <v>3347866.1999999997</v>
      </c>
      <c r="J23" s="65">
        <v>64687.828161978912</v>
      </c>
      <c r="K23" s="60">
        <f t="shared" si="2"/>
        <v>-1434799.8000000003</v>
      </c>
      <c r="L23" s="60">
        <f t="shared" si="2"/>
        <v>-26656.586366211959</v>
      </c>
      <c r="M23" s="61">
        <f t="shared" si="3"/>
        <v>-0.30000000000000004</v>
      </c>
      <c r="N23" s="61">
        <f t="shared" si="3"/>
        <v>-0.29182502842563141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258393.506278947</v>
      </c>
      <c r="K24" s="60">
        <f t="shared" si="2"/>
        <v>-4710000</v>
      </c>
      <c r="L24" s="60">
        <f t="shared" si="2"/>
        <v>-102439.2308344543</v>
      </c>
      <c r="M24" s="61">
        <f t="shared" si="3"/>
        <v>-0.3</v>
      </c>
      <c r="N24" s="61">
        <f t="shared" si="3"/>
        <v>-0.28389672082957385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56771610</v>
      </c>
      <c r="H25" s="76">
        <f t="shared" si="4"/>
        <v>105432990</v>
      </c>
      <c r="I25" s="83">
        <f t="shared" si="4"/>
        <v>71102300.000001565</v>
      </c>
      <c r="J25" s="175">
        <f t="shared" si="4"/>
        <v>8429411.6898313165</v>
      </c>
      <c r="K25" s="76">
        <f>SUM(K17:K24)</f>
        <v>-9999999.9999984298</v>
      </c>
      <c r="L25" s="175">
        <f>SUM(L17:L24)</f>
        <v>853379.29423372354</v>
      </c>
      <c r="M25" s="79">
        <f>K25/E25</f>
        <v>-0.12330106544448714</v>
      </c>
      <c r="N25" s="79">
        <f t="shared" si="3"/>
        <v>0.11264198061370741</v>
      </c>
    </row>
    <row r="30" spans="1:14" ht="55.2" x14ac:dyDescent="0.3">
      <c r="A30" s="212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2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3" t="s">
        <v>2</v>
      </c>
      <c r="B32" s="215" t="s">
        <v>3</v>
      </c>
      <c r="C32" s="215" t="str">
        <f t="shared" ref="C32:D42" si="5">D15</f>
        <v>Response Scaling Factor for Sensitivity Analysis</v>
      </c>
      <c r="D32" s="216" t="s">
        <v>86</v>
      </c>
      <c r="E32" s="217"/>
      <c r="F32" s="217"/>
      <c r="G32" s="218"/>
      <c r="H32" s="219" t="s">
        <v>89</v>
      </c>
      <c r="I32" s="220"/>
      <c r="J32" s="220"/>
      <c r="K32" s="216" t="s">
        <v>189</v>
      </c>
      <c r="L32" s="217"/>
      <c r="M32" s="217"/>
      <c r="N32" s="218"/>
    </row>
    <row r="33" spans="1:14" ht="74.400000000000006" customHeight="1" x14ac:dyDescent="0.3">
      <c r="A33" s="214"/>
      <c r="B33" s="214"/>
      <c r="C33" s="214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20293565.5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4683130.5</v>
      </c>
      <c r="L35" s="167">
        <f t="shared" ref="L35:L42" si="12">J35-G35</f>
        <v>77555137.822104901</v>
      </c>
      <c r="M35" s="184">
        <f t="shared" ref="M35:M42" si="13">K35/D35</f>
        <v>0.3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2663301.1999999997</v>
      </c>
      <c r="I36" s="169">
        <f t="shared" si="9"/>
        <v>9140.6147807428988</v>
      </c>
      <c r="J36" s="180">
        <f t="shared" si="10"/>
        <v>10219207.32487056</v>
      </c>
      <c r="K36" s="167">
        <f t="shared" si="11"/>
        <v>-1141414.8000000003</v>
      </c>
      <c r="L36" s="167">
        <f t="shared" si="12"/>
        <v>-4379826.8283601012</v>
      </c>
      <c r="M36" s="184">
        <f t="shared" si="13"/>
        <v>-0.3000000000000001</v>
      </c>
      <c r="N36" s="185">
        <f t="shared" si="14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17437329.60000157</v>
      </c>
      <c r="I38" s="169">
        <f t="shared" si="9"/>
        <v>108669.40291607287</v>
      </c>
      <c r="J38" s="180">
        <f t="shared" si="10"/>
        <v>121492392.46016946</v>
      </c>
      <c r="K38" s="167">
        <f t="shared" si="11"/>
        <v>-5516670.3999984302</v>
      </c>
      <c r="L38" s="167">
        <f t="shared" si="12"/>
        <v>-33252383.953957677</v>
      </c>
      <c r="M38" s="184">
        <f t="shared" si="13"/>
        <v>-0.2403359065957319</v>
      </c>
      <c r="N38" s="185">
        <f t="shared" si="14"/>
        <v>-0.21488534039409399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5473288.7999999998</v>
      </c>
      <c r="I39" s="169">
        <f t="shared" si="9"/>
        <v>23751.326482365839</v>
      </c>
      <c r="J39" s="180">
        <f t="shared" si="10"/>
        <v>26553983.007285006</v>
      </c>
      <c r="K39" s="167">
        <f t="shared" si="11"/>
        <v>-2345695.2000000002</v>
      </c>
      <c r="L39" s="167">
        <f t="shared" si="12"/>
        <v>-10126039.853879251</v>
      </c>
      <c r="M39" s="184">
        <f t="shared" si="13"/>
        <v>-0.30000000000000004</v>
      </c>
      <c r="N39" s="185">
        <f t="shared" si="14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3347866.1999999997</v>
      </c>
      <c r="I40" s="169">
        <f t="shared" si="9"/>
        <v>5610.3927287058905</v>
      </c>
      <c r="J40" s="180">
        <f t="shared" si="10"/>
        <v>6272419.0706931856</v>
      </c>
      <c r="K40" s="167">
        <f t="shared" si="11"/>
        <v>-1434799.8000000003</v>
      </c>
      <c r="L40" s="167">
        <f t="shared" si="12"/>
        <v>-2584740.9850325212</v>
      </c>
      <c r="M40" s="184">
        <f t="shared" si="13"/>
        <v>-0.30000000000000004</v>
      </c>
      <c r="N40" s="185">
        <f t="shared" si="14"/>
        <v>-0.29182502842563141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258393.506278947</v>
      </c>
      <c r="J41" s="180">
        <f>I41*$I$31</f>
        <v>30077004.13086943</v>
      </c>
      <c r="K41" s="167">
        <f t="shared" si="11"/>
        <v>-4710000</v>
      </c>
      <c r="L41" s="167">
        <f t="shared" si="12"/>
        <v>-11923926.469130475</v>
      </c>
      <c r="M41" s="184">
        <f t="shared" si="13"/>
        <v>-0.3</v>
      </c>
      <c r="N41" s="185">
        <f t="shared" si="14"/>
        <v>-0.28389672082957379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71102300.000001565</v>
      </c>
      <c r="I42" s="77"/>
      <c r="J42" s="181">
        <f>SUM(J34:J41)</f>
        <v>822375211.34782946</v>
      </c>
      <c r="K42" s="76">
        <f t="shared" si="11"/>
        <v>-9999999.9999984354</v>
      </c>
      <c r="L42" s="200">
        <f t="shared" si="12"/>
        <v>80756482.119440317</v>
      </c>
      <c r="M42" s="79">
        <f t="shared" si="13"/>
        <v>-0.12330106544448721</v>
      </c>
      <c r="N42" s="186">
        <f t="shared" si="14"/>
        <v>0.10889218264951683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285622972.68443596</v>
      </c>
      <c r="L43" s="189">
        <f>SUM(L34:L40)*$E$43 + (L41*$D$43)</f>
        <v>25072418.62678365</v>
      </c>
      <c r="M43" s="201">
        <f>L43/L42</f>
        <v>0.31046942571992031</v>
      </c>
      <c r="N43" s="190">
        <f>N42*(L43/L42)</f>
        <v>3.3807693412584161E-2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322831722.71481436</v>
      </c>
      <c r="L44" s="189">
        <f>SUM(L34:L40)*$E$44 + (L41*$D$44)</f>
        <v>30660353.17374263</v>
      </c>
      <c r="M44" s="201">
        <f>L44/L42</f>
        <v>0.37966429900197246</v>
      </c>
      <c r="N44" s="190">
        <f>N42*(L44/L42)</f>
        <v>4.1342474192423553E-2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213920515.94857922</v>
      </c>
      <c r="L45" s="189">
        <f>SUM(L34:L40)*$E$45 + (L41*$D$45)</f>
        <v>25023710.318914142</v>
      </c>
      <c r="M45" s="201">
        <f>L45/L42</f>
        <v>0.30986627527810851</v>
      </c>
      <c r="N45" s="190">
        <f>N42*(L45/L42)</f>
        <v>3.3742015044509251E-2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A13" workbookViewId="0">
      <selection activeCell="B4" sqref="B4:I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21" t="s">
        <v>219</v>
      </c>
      <c r="C4" s="222"/>
      <c r="D4" s="222"/>
      <c r="E4" s="222"/>
      <c r="F4" s="222"/>
      <c r="G4" s="222"/>
      <c r="H4" s="222"/>
      <c r="I4" s="222"/>
    </row>
    <row r="5" spans="1:14" x14ac:dyDescent="0.3">
      <c r="A5" s="48" t="s">
        <v>79</v>
      </c>
      <c r="B5" s="162" t="s">
        <v>167</v>
      </c>
      <c r="E5" s="223" t="s">
        <v>50</v>
      </c>
      <c r="F5" s="224"/>
      <c r="G5" s="224"/>
      <c r="H5" s="224"/>
      <c r="I5" s="225"/>
    </row>
    <row r="6" spans="1:14" x14ac:dyDescent="0.3">
      <c r="A6" s="48" t="s">
        <v>80</v>
      </c>
      <c r="B6" s="162" t="s">
        <v>168</v>
      </c>
      <c r="E6" s="226" t="s">
        <v>51</v>
      </c>
      <c r="F6" s="227"/>
      <c r="G6" s="227"/>
      <c r="H6" s="227"/>
      <c r="I6" s="228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8741237.7672391534</v>
      </c>
    </row>
    <row r="10" spans="1:14" ht="14.4" thickBot="1" x14ac:dyDescent="0.35">
      <c r="A10" s="50"/>
    </row>
    <row r="11" spans="1:14" ht="27.6" x14ac:dyDescent="0.3">
      <c r="A11" s="229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30"/>
      <c r="B12" s="158">
        <f>81102300 - 5000000</f>
        <v>76102300</v>
      </c>
      <c r="C12" s="81">
        <f>1*B12 - 1</f>
        <v>76102299</v>
      </c>
      <c r="D12" s="82">
        <f>1*B12 + 1</f>
        <v>76102301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31" t="s">
        <v>2</v>
      </c>
      <c r="B15" s="215" t="s">
        <v>3</v>
      </c>
      <c r="C15" s="215" t="s">
        <v>38</v>
      </c>
      <c r="D15" s="215" t="s">
        <v>169</v>
      </c>
      <c r="E15" s="209" t="s">
        <v>86</v>
      </c>
      <c r="F15" s="211"/>
      <c r="G15" s="207" t="s">
        <v>179</v>
      </c>
      <c r="H15" s="208"/>
      <c r="I15" s="207" t="s">
        <v>89</v>
      </c>
      <c r="J15" s="208"/>
      <c r="K15" s="209" t="s">
        <v>90</v>
      </c>
      <c r="L15" s="210"/>
      <c r="M15" s="210"/>
      <c r="N15" s="211"/>
    </row>
    <row r="16" spans="1:14" ht="27.6" x14ac:dyDescent="0.3">
      <c r="A16" s="214"/>
      <c r="B16" s="214"/>
      <c r="C16" s="214"/>
      <c r="D16" s="214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3462495.5631605955</v>
      </c>
      <c r="K18" s="60">
        <f t="shared" ref="K18:L24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22437329.599997979</v>
      </c>
      <c r="J21" s="65">
        <v>1564784.2930301558</v>
      </c>
      <c r="K21" s="60">
        <f t="shared" si="2"/>
        <v>-516670.40000202134</v>
      </c>
      <c r="L21" s="60">
        <f t="shared" si="2"/>
        <v>-31107.721330207074</v>
      </c>
      <c r="M21" s="61">
        <f t="shared" si="3"/>
        <v>-2.2508948331533562E-2</v>
      </c>
      <c r="N21" s="61">
        <f t="shared" si="3"/>
        <v>-1.949237232236864E-2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3347866.1999999997</v>
      </c>
      <c r="H23" s="74">
        <f t="shared" si="1"/>
        <v>6217465.7999999998</v>
      </c>
      <c r="I23" s="174">
        <v>3347866.1999999997</v>
      </c>
      <c r="J23" s="65">
        <v>64687.828161978912</v>
      </c>
      <c r="K23" s="60">
        <f t="shared" si="2"/>
        <v>-1434799.8000000003</v>
      </c>
      <c r="L23" s="60">
        <f t="shared" si="2"/>
        <v>-26656.586366211959</v>
      </c>
      <c r="M23" s="61">
        <f t="shared" si="3"/>
        <v>-0.30000000000000004</v>
      </c>
      <c r="N23" s="61">
        <f t="shared" si="3"/>
        <v>-0.29182502842563141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258393.506278947</v>
      </c>
      <c r="K24" s="60">
        <f t="shared" si="2"/>
        <v>-4710000</v>
      </c>
      <c r="L24" s="60">
        <f t="shared" si="2"/>
        <v>-102439.2308344543</v>
      </c>
      <c r="M24" s="61">
        <f t="shared" si="3"/>
        <v>-0.3</v>
      </c>
      <c r="N24" s="61">
        <f t="shared" si="3"/>
        <v>-0.28389672082957385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56771610</v>
      </c>
      <c r="H25" s="76">
        <f t="shared" si="4"/>
        <v>105432990</v>
      </c>
      <c r="I25" s="83">
        <f t="shared" si="4"/>
        <v>76102299.999997973</v>
      </c>
      <c r="J25" s="175">
        <f t="shared" si="4"/>
        <v>8741237.7672391534</v>
      </c>
      <c r="K25" s="76">
        <f>SUM(K17:K24)</f>
        <v>-5000000.000002021</v>
      </c>
      <c r="L25" s="175">
        <f>SUM(L17:L24)</f>
        <v>1165205.3716415593</v>
      </c>
      <c r="M25" s="79">
        <f>K25/E25</f>
        <v>-6.1650532722278169E-2</v>
      </c>
      <c r="N25" s="79">
        <f t="shared" si="3"/>
        <v>0.15380152971872929</v>
      </c>
    </row>
    <row r="30" spans="1:14" ht="55.2" x14ac:dyDescent="0.3">
      <c r="A30" s="212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2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3" t="s">
        <v>2</v>
      </c>
      <c r="B32" s="215" t="s">
        <v>3</v>
      </c>
      <c r="C32" s="215" t="str">
        <f t="shared" ref="C32:D42" si="5">D15</f>
        <v>Response Scaling Factor for Sensitivity Analysis</v>
      </c>
      <c r="D32" s="216" t="s">
        <v>86</v>
      </c>
      <c r="E32" s="217"/>
      <c r="F32" s="217"/>
      <c r="G32" s="218"/>
      <c r="H32" s="219" t="s">
        <v>89</v>
      </c>
      <c r="I32" s="220"/>
      <c r="J32" s="220"/>
      <c r="K32" s="216" t="s">
        <v>189</v>
      </c>
      <c r="L32" s="217"/>
      <c r="M32" s="217"/>
      <c r="N32" s="218"/>
    </row>
    <row r="33" spans="1:14" ht="74.400000000000006" customHeight="1" x14ac:dyDescent="0.3">
      <c r="A33" s="214"/>
      <c r="B33" s="214"/>
      <c r="C33" s="214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20293565.5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4683130.5</v>
      </c>
      <c r="L35" s="167">
        <f t="shared" ref="L35:L42" si="12">J35-G35</f>
        <v>77555137.822104901</v>
      </c>
      <c r="M35" s="184">
        <f t="shared" ref="M35:M42" si="13">K35/D35</f>
        <v>0.3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2663301.1999999997</v>
      </c>
      <c r="I36" s="169">
        <f t="shared" si="9"/>
        <v>9140.6147807428988</v>
      </c>
      <c r="J36" s="180">
        <f t="shared" si="10"/>
        <v>10219207.32487056</v>
      </c>
      <c r="K36" s="167">
        <f t="shared" si="11"/>
        <v>-1141414.8000000003</v>
      </c>
      <c r="L36" s="167">
        <f t="shared" si="12"/>
        <v>-4379826.8283601012</v>
      </c>
      <c r="M36" s="184">
        <f t="shared" si="13"/>
        <v>-0.3000000000000001</v>
      </c>
      <c r="N36" s="185">
        <f t="shared" si="14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22437329.599997979</v>
      </c>
      <c r="I38" s="169">
        <f t="shared" si="9"/>
        <v>135714.16244840901</v>
      </c>
      <c r="J38" s="180">
        <f t="shared" si="10"/>
        <v>151728433.61732128</v>
      </c>
      <c r="K38" s="167">
        <f t="shared" si="11"/>
        <v>-516670.40000202134</v>
      </c>
      <c r="L38" s="167">
        <f t="shared" si="12"/>
        <v>-3016342.7968058586</v>
      </c>
      <c r="M38" s="184">
        <f t="shared" si="13"/>
        <v>-2.2508948331533562E-2</v>
      </c>
      <c r="N38" s="185">
        <f t="shared" si="14"/>
        <v>-1.949237232236866E-2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5473288.7999999998</v>
      </c>
      <c r="I39" s="169">
        <f t="shared" si="9"/>
        <v>23751.326482365839</v>
      </c>
      <c r="J39" s="180">
        <f t="shared" si="10"/>
        <v>26553983.007285006</v>
      </c>
      <c r="K39" s="167">
        <f t="shared" si="11"/>
        <v>-2345695.2000000002</v>
      </c>
      <c r="L39" s="167">
        <f t="shared" si="12"/>
        <v>-10126039.853879251</v>
      </c>
      <c r="M39" s="184">
        <f t="shared" si="13"/>
        <v>-0.30000000000000004</v>
      </c>
      <c r="N39" s="185">
        <f t="shared" si="14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3347866.1999999997</v>
      </c>
      <c r="I40" s="169">
        <f t="shared" si="9"/>
        <v>5610.3927287058905</v>
      </c>
      <c r="J40" s="180">
        <f t="shared" si="10"/>
        <v>6272419.0706931856</v>
      </c>
      <c r="K40" s="167">
        <f t="shared" si="11"/>
        <v>-1434799.8000000003</v>
      </c>
      <c r="L40" s="167">
        <f t="shared" si="12"/>
        <v>-2584740.9850325212</v>
      </c>
      <c r="M40" s="184">
        <f t="shared" si="13"/>
        <v>-0.30000000000000004</v>
      </c>
      <c r="N40" s="185">
        <f t="shared" si="14"/>
        <v>-0.29182502842563141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258393.506278947</v>
      </c>
      <c r="J41" s="180">
        <f>I41*$I$31</f>
        <v>30077004.13086943</v>
      </c>
      <c r="K41" s="167">
        <f t="shared" si="11"/>
        <v>-4710000</v>
      </c>
      <c r="L41" s="167">
        <f t="shared" si="12"/>
        <v>-11923926.469130475</v>
      </c>
      <c r="M41" s="184">
        <f t="shared" si="13"/>
        <v>-0.3</v>
      </c>
      <c r="N41" s="185">
        <f t="shared" si="14"/>
        <v>-0.28389672082957379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76102299.999997973</v>
      </c>
      <c r="I42" s="77"/>
      <c r="J42" s="181">
        <f>SUM(J34:J41)</f>
        <v>852611252.50498128</v>
      </c>
      <c r="K42" s="76">
        <f t="shared" si="11"/>
        <v>-5000000.0000020266</v>
      </c>
      <c r="L42" s="200">
        <f t="shared" si="12"/>
        <v>110992523.27659214</v>
      </c>
      <c r="M42" s="79">
        <f t="shared" si="13"/>
        <v>-6.1650532722278238E-2</v>
      </c>
      <c r="N42" s="186">
        <f t="shared" si="14"/>
        <v>0.14966251377183173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295903226.67786753</v>
      </c>
      <c r="L43" s="189">
        <f>SUM(L34:L40)*$E$43 + (L41*$D$43)</f>
        <v>35352672.620215267</v>
      </c>
      <c r="M43" s="201">
        <f>L43/L42</f>
        <v>0.3185140005522426</v>
      </c>
      <c r="N43" s="190">
        <f>N42*(L43/L42)</f>
        <v>4.7669605994171228E-2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334623778.76610363</v>
      </c>
      <c r="L44" s="189">
        <f>SUM(L34:L40)*$E$44 + (L41*$D$44)</f>
        <v>42452409.225031838</v>
      </c>
      <c r="M44" s="201">
        <f>L44/L42</f>
        <v>0.38247990019328515</v>
      </c>
      <c r="N44" s="190">
        <f>N42*(L44/L42)</f>
        <v>5.7242903330126368E-2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222084247.06101021</v>
      </c>
      <c r="L45" s="189">
        <f>SUM(L34:L40)*$E$45 + (L41*$D$45)</f>
        <v>33187441.431345135</v>
      </c>
      <c r="M45" s="201">
        <f>L45/L42</f>
        <v>0.29900609925447319</v>
      </c>
      <c r="N45" s="190">
        <f>N42*(L45/L42)</f>
        <v>4.4750004447534283E-2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A13" workbookViewId="0">
      <selection activeCell="B4" sqref="B4:I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21" t="s">
        <v>219</v>
      </c>
      <c r="C4" s="222"/>
      <c r="D4" s="222"/>
      <c r="E4" s="222"/>
      <c r="F4" s="222"/>
      <c r="G4" s="222"/>
      <c r="H4" s="222"/>
      <c r="I4" s="222"/>
    </row>
    <row r="5" spans="1:14" x14ac:dyDescent="0.3">
      <c r="A5" s="48" t="s">
        <v>79</v>
      </c>
      <c r="B5" s="162" t="s">
        <v>167</v>
      </c>
      <c r="E5" s="223" t="s">
        <v>50</v>
      </c>
      <c r="F5" s="224"/>
      <c r="G5" s="224"/>
      <c r="H5" s="224"/>
      <c r="I5" s="225"/>
    </row>
    <row r="6" spans="1:14" x14ac:dyDescent="0.3">
      <c r="A6" s="48" t="s">
        <v>80</v>
      </c>
      <c r="B6" s="162" t="s">
        <v>168</v>
      </c>
      <c r="E6" s="226" t="s">
        <v>51</v>
      </c>
      <c r="F6" s="227"/>
      <c r="G6" s="227"/>
      <c r="H6" s="227"/>
      <c r="I6" s="228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9033815.8859390449</v>
      </c>
    </row>
    <row r="10" spans="1:14" ht="14.4" thickBot="1" x14ac:dyDescent="0.35">
      <c r="A10" s="50"/>
    </row>
    <row r="11" spans="1:14" ht="27.6" x14ac:dyDescent="0.3">
      <c r="A11" s="229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30"/>
      <c r="B12" s="158">
        <f>81102300 - 0</f>
        <v>81102300</v>
      </c>
      <c r="C12" s="81">
        <f>1*B12 - 1</f>
        <v>81102299</v>
      </c>
      <c r="D12" s="82">
        <f>1*B12 + 1</f>
        <v>81102301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31" t="s">
        <v>2</v>
      </c>
      <c r="B15" s="215" t="s">
        <v>3</v>
      </c>
      <c r="C15" s="215" t="s">
        <v>38</v>
      </c>
      <c r="D15" s="215" t="s">
        <v>169</v>
      </c>
      <c r="E15" s="209" t="s">
        <v>86</v>
      </c>
      <c r="F15" s="211"/>
      <c r="G15" s="207" t="s">
        <v>179</v>
      </c>
      <c r="H15" s="208"/>
      <c r="I15" s="207" t="s">
        <v>89</v>
      </c>
      <c r="J15" s="208"/>
      <c r="K15" s="209" t="s">
        <v>90</v>
      </c>
      <c r="L15" s="210"/>
      <c r="M15" s="210"/>
      <c r="N15" s="211"/>
    </row>
    <row r="16" spans="1:14" ht="27.6" x14ac:dyDescent="0.3">
      <c r="A16" s="214"/>
      <c r="B16" s="214"/>
      <c r="C16" s="214"/>
      <c r="D16" s="214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3462495.5631605955</v>
      </c>
      <c r="K18" s="60">
        <f t="shared" ref="K18:L24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27437329.522009928</v>
      </c>
      <c r="J21" s="65">
        <v>1857362.4117300487</v>
      </c>
      <c r="K21" s="60">
        <f t="shared" si="2"/>
        <v>4483329.5220099278</v>
      </c>
      <c r="L21" s="60">
        <f t="shared" si="2"/>
        <v>261470.39736968582</v>
      </c>
      <c r="M21" s="61">
        <f t="shared" si="3"/>
        <v>0.19531800653524126</v>
      </c>
      <c r="N21" s="61">
        <f t="shared" si="3"/>
        <v>0.16383965520028229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3347866.1999999997</v>
      </c>
      <c r="H23" s="74">
        <f t="shared" si="1"/>
        <v>6217465.7999999998</v>
      </c>
      <c r="I23" s="174">
        <v>3347866.1999999997</v>
      </c>
      <c r="J23" s="65">
        <v>64687.828161978912</v>
      </c>
      <c r="K23" s="60">
        <f t="shared" si="2"/>
        <v>-1434799.8000000003</v>
      </c>
      <c r="L23" s="60">
        <f t="shared" si="2"/>
        <v>-26656.586366211959</v>
      </c>
      <c r="M23" s="61">
        <f t="shared" si="3"/>
        <v>-0.30000000000000004</v>
      </c>
      <c r="N23" s="61">
        <f t="shared" si="3"/>
        <v>-0.29182502842563141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258393.506278947</v>
      </c>
      <c r="K24" s="60">
        <f t="shared" si="2"/>
        <v>-4710000</v>
      </c>
      <c r="L24" s="60">
        <f t="shared" si="2"/>
        <v>-102439.2308344543</v>
      </c>
      <c r="M24" s="61">
        <f t="shared" si="3"/>
        <v>-0.3</v>
      </c>
      <c r="N24" s="61">
        <f t="shared" si="3"/>
        <v>-0.28389672082957385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56771610</v>
      </c>
      <c r="H25" s="76">
        <f t="shared" si="4"/>
        <v>105432990</v>
      </c>
      <c r="I25" s="83">
        <f t="shared" si="4"/>
        <v>81102299.92200993</v>
      </c>
      <c r="J25" s="175">
        <f t="shared" si="4"/>
        <v>9033815.8859390449</v>
      </c>
      <c r="K25" s="76">
        <f>SUM(K17:K24)</f>
        <v>-7.7990071848034859E-2</v>
      </c>
      <c r="L25" s="175">
        <f>SUM(L17:L24)</f>
        <v>1457783.4903414522</v>
      </c>
      <c r="M25" s="79">
        <f>K25/E25</f>
        <v>-9.6162589529563097E-10</v>
      </c>
      <c r="N25" s="79">
        <f t="shared" si="3"/>
        <v>0.19242044043905684</v>
      </c>
    </row>
    <row r="30" spans="1:14" ht="55.2" x14ac:dyDescent="0.3">
      <c r="A30" s="212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2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3" t="s">
        <v>2</v>
      </c>
      <c r="B32" s="215" t="s">
        <v>3</v>
      </c>
      <c r="C32" s="215" t="str">
        <f t="shared" ref="C32:D42" si="5">D15</f>
        <v>Response Scaling Factor for Sensitivity Analysis</v>
      </c>
      <c r="D32" s="216" t="s">
        <v>86</v>
      </c>
      <c r="E32" s="217"/>
      <c r="F32" s="217"/>
      <c r="G32" s="218"/>
      <c r="H32" s="219" t="s">
        <v>89</v>
      </c>
      <c r="I32" s="220"/>
      <c r="J32" s="220"/>
      <c r="K32" s="216" t="s">
        <v>189</v>
      </c>
      <c r="L32" s="217"/>
      <c r="M32" s="217"/>
      <c r="N32" s="218"/>
    </row>
    <row r="33" spans="1:14" ht="74.400000000000006" customHeight="1" x14ac:dyDescent="0.3">
      <c r="A33" s="214"/>
      <c r="B33" s="214"/>
      <c r="C33" s="214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20293565.5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4683130.5</v>
      </c>
      <c r="L35" s="167">
        <f t="shared" ref="L35:L42" si="12">J35-G35</f>
        <v>77555137.822104901</v>
      </c>
      <c r="M35" s="184">
        <f t="shared" ref="M35:M42" si="13">K35/D35</f>
        <v>0.3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2663301.1999999997</v>
      </c>
      <c r="I36" s="169">
        <f t="shared" si="9"/>
        <v>9140.6147807428988</v>
      </c>
      <c r="J36" s="180">
        <f t="shared" si="10"/>
        <v>10219207.32487056</v>
      </c>
      <c r="K36" s="167">
        <f t="shared" si="11"/>
        <v>-1141414.8000000003</v>
      </c>
      <c r="L36" s="167">
        <f t="shared" si="12"/>
        <v>-4379826.8283601012</v>
      </c>
      <c r="M36" s="184">
        <f t="shared" si="13"/>
        <v>-0.3000000000000001</v>
      </c>
      <c r="N36" s="185">
        <f t="shared" si="14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27437329.522009928</v>
      </c>
      <c r="I38" s="169">
        <f t="shared" si="9"/>
        <v>161089.54134692531</v>
      </c>
      <c r="J38" s="180">
        <f t="shared" si="10"/>
        <v>180098107.2258625</v>
      </c>
      <c r="K38" s="167">
        <f t="shared" si="11"/>
        <v>4483329.5220099278</v>
      </c>
      <c r="L38" s="167">
        <f t="shared" si="12"/>
        <v>25353330.811735362</v>
      </c>
      <c r="M38" s="184">
        <f t="shared" si="13"/>
        <v>0.19531800653524126</v>
      </c>
      <c r="N38" s="185">
        <f t="shared" si="14"/>
        <v>0.16383965520028226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5473288.7999999998</v>
      </c>
      <c r="I39" s="169">
        <f t="shared" si="9"/>
        <v>23751.326482365839</v>
      </c>
      <c r="J39" s="180">
        <f t="shared" si="10"/>
        <v>26553983.007285006</v>
      </c>
      <c r="K39" s="167">
        <f t="shared" si="11"/>
        <v>-2345695.2000000002</v>
      </c>
      <c r="L39" s="167">
        <f t="shared" si="12"/>
        <v>-10126039.853879251</v>
      </c>
      <c r="M39" s="184">
        <f t="shared" si="13"/>
        <v>-0.30000000000000004</v>
      </c>
      <c r="N39" s="185">
        <f t="shared" si="14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3347866.1999999997</v>
      </c>
      <c r="I40" s="169">
        <f t="shared" si="9"/>
        <v>5610.3927287058905</v>
      </c>
      <c r="J40" s="180">
        <f t="shared" si="10"/>
        <v>6272419.0706931856</v>
      </c>
      <c r="K40" s="167">
        <f t="shared" si="11"/>
        <v>-1434799.8000000003</v>
      </c>
      <c r="L40" s="167">
        <f t="shared" si="12"/>
        <v>-2584740.9850325212</v>
      </c>
      <c r="M40" s="184">
        <f t="shared" si="13"/>
        <v>-0.30000000000000004</v>
      </c>
      <c r="N40" s="185">
        <f t="shared" si="14"/>
        <v>-0.29182502842563141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258393.506278947</v>
      </c>
      <c r="J41" s="180">
        <f>I41*$I$31</f>
        <v>30077004.13086943</v>
      </c>
      <c r="K41" s="167">
        <f t="shared" si="11"/>
        <v>-4710000</v>
      </c>
      <c r="L41" s="167">
        <f t="shared" si="12"/>
        <v>-11923926.469130475</v>
      </c>
      <c r="M41" s="184">
        <f t="shared" si="13"/>
        <v>-0.3</v>
      </c>
      <c r="N41" s="185">
        <f t="shared" si="14"/>
        <v>-0.28389672082957379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81102299.92200993</v>
      </c>
      <c r="I42" s="77"/>
      <c r="J42" s="181">
        <f>SUM(J34:J41)</f>
        <v>880980926.11352253</v>
      </c>
      <c r="K42" s="76">
        <f t="shared" si="11"/>
        <v>-7.7990069985389709E-2</v>
      </c>
      <c r="L42" s="200">
        <f t="shared" si="12"/>
        <v>139362196.88513339</v>
      </c>
      <c r="M42" s="79">
        <f t="shared" si="13"/>
        <v>-9.6162587232901793E-10</v>
      </c>
      <c r="N42" s="186">
        <f t="shared" si="14"/>
        <v>0.18791623160614024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305548915.70477158</v>
      </c>
      <c r="L43" s="189">
        <f>SUM(L34:L40)*$E$43 + (L41*$D$43)</f>
        <v>44998361.647119284</v>
      </c>
      <c r="M43" s="201">
        <f>L43/L42</f>
        <v>0.32288786093267691</v>
      </c>
      <c r="N43" s="190">
        <f>N42*(L43/L42)</f>
        <v>6.0675870057836111E-2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345687951.47343469</v>
      </c>
      <c r="L44" s="189">
        <f>SUM(L34:L40)*$E$44 + (L41*$D$44)</f>
        <v>53516581.932362914</v>
      </c>
      <c r="M44" s="201">
        <f>L44/L42</f>
        <v>0.38401075132643703</v>
      </c>
      <c r="N44" s="190">
        <f>N42*(L44/L42)</f>
        <v>7.2161853285506672E-2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229744058.93531635</v>
      </c>
      <c r="L45" s="189">
        <f>SUM(L34:L40)*$E$45 + (L41*$D$45)</f>
        <v>40847253.305651262</v>
      </c>
      <c r="M45" s="201">
        <f>L45/L42</f>
        <v>0.29310138774088662</v>
      </c>
      <c r="N45" s="190">
        <f>N42*(L45/L42)</f>
        <v>5.5078508262797567E-2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A10" workbookViewId="0">
      <selection activeCell="B4" sqref="B4:I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21" t="s">
        <v>219</v>
      </c>
      <c r="C4" s="222"/>
      <c r="D4" s="222"/>
      <c r="E4" s="222"/>
      <c r="F4" s="222"/>
      <c r="G4" s="222"/>
      <c r="H4" s="222"/>
      <c r="I4" s="222"/>
    </row>
    <row r="5" spans="1:14" x14ac:dyDescent="0.3">
      <c r="A5" s="48" t="s">
        <v>79</v>
      </c>
      <c r="B5" s="162" t="s">
        <v>167</v>
      </c>
      <c r="E5" s="223" t="s">
        <v>50</v>
      </c>
      <c r="F5" s="224"/>
      <c r="G5" s="224"/>
      <c r="H5" s="224"/>
      <c r="I5" s="225"/>
    </row>
    <row r="6" spans="1:14" x14ac:dyDescent="0.3">
      <c r="A6" s="48" t="s">
        <v>80</v>
      </c>
      <c r="B6" s="162" t="s">
        <v>168</v>
      </c>
      <c r="E6" s="226" t="s">
        <v>51</v>
      </c>
      <c r="F6" s="227"/>
      <c r="G6" s="227"/>
      <c r="H6" s="227"/>
      <c r="I6" s="228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9283067.2671343628</v>
      </c>
    </row>
    <row r="10" spans="1:14" ht="14.4" thickBot="1" x14ac:dyDescent="0.35">
      <c r="A10" s="50"/>
    </row>
    <row r="11" spans="1:14" ht="27.6" x14ac:dyDescent="0.3">
      <c r="A11" s="229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30"/>
      <c r="B12" s="158">
        <f>81102300 + 5000000</f>
        <v>86102300</v>
      </c>
      <c r="C12" s="81">
        <f>1*B12 - 1</f>
        <v>86102299</v>
      </c>
      <c r="D12" s="82">
        <f>1*B12 + 1</f>
        <v>86102301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31" t="s">
        <v>2</v>
      </c>
      <c r="B15" s="215" t="s">
        <v>3</v>
      </c>
      <c r="C15" s="215" t="s">
        <v>38</v>
      </c>
      <c r="D15" s="215" t="s">
        <v>169</v>
      </c>
      <c r="E15" s="209" t="s">
        <v>86</v>
      </c>
      <c r="F15" s="211"/>
      <c r="G15" s="207" t="s">
        <v>179</v>
      </c>
      <c r="H15" s="208"/>
      <c r="I15" s="207" t="s">
        <v>89</v>
      </c>
      <c r="J15" s="208"/>
      <c r="K15" s="209" t="s">
        <v>90</v>
      </c>
      <c r="L15" s="210"/>
      <c r="M15" s="210"/>
      <c r="N15" s="211"/>
    </row>
    <row r="16" spans="1:14" ht="27.6" x14ac:dyDescent="0.3">
      <c r="A16" s="214"/>
      <c r="B16" s="214"/>
      <c r="C16" s="214"/>
      <c r="D16" s="214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3462495.5631605955</v>
      </c>
      <c r="K18" s="60">
        <f t="shared" ref="K18:L24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29840200</v>
      </c>
      <c r="J21" s="65">
        <v>1991416.1012136836</v>
      </c>
      <c r="K21" s="60">
        <f t="shared" si="2"/>
        <v>6886200</v>
      </c>
      <c r="L21" s="60">
        <f t="shared" si="2"/>
        <v>395524.08685332071</v>
      </c>
      <c r="M21" s="61">
        <f t="shared" si="3"/>
        <v>0.3</v>
      </c>
      <c r="N21" s="61">
        <f t="shared" si="3"/>
        <v>0.24783887837915378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8070418.4960809099</v>
      </c>
      <c r="J22" s="65">
        <v>389050.48605336115</v>
      </c>
      <c r="K22" s="60">
        <f t="shared" si="2"/>
        <v>251434.49608090986</v>
      </c>
      <c r="L22" s="60">
        <f t="shared" si="2"/>
        <v>10767.244918098266</v>
      </c>
      <c r="M22" s="61">
        <f t="shared" si="3"/>
        <v>3.2156926792651044E-2</v>
      </c>
      <c r="N22" s="61">
        <f t="shared" si="3"/>
        <v>2.8463446823033374E-2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3347866.1999999997</v>
      </c>
      <c r="H23" s="74">
        <f t="shared" si="1"/>
        <v>6217465.7999999998</v>
      </c>
      <c r="I23" s="174">
        <v>3347866.1999999997</v>
      </c>
      <c r="J23" s="65">
        <v>64687.828161978912</v>
      </c>
      <c r="K23" s="60">
        <f t="shared" si="2"/>
        <v>-1434799.8000000003</v>
      </c>
      <c r="L23" s="60">
        <f t="shared" si="2"/>
        <v>-26656.586366211959</v>
      </c>
      <c r="M23" s="61">
        <f t="shared" si="3"/>
        <v>-0.30000000000000004</v>
      </c>
      <c r="N23" s="61">
        <f t="shared" si="3"/>
        <v>-0.29182502842563141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v>258393.506278947</v>
      </c>
      <c r="K24" s="60">
        <f t="shared" si="2"/>
        <v>-4710000</v>
      </c>
      <c r="L24" s="60">
        <f t="shared" si="2"/>
        <v>-102439.2308344543</v>
      </c>
      <c r="M24" s="61">
        <f t="shared" si="3"/>
        <v>-0.3</v>
      </c>
      <c r="N24" s="61">
        <f t="shared" si="3"/>
        <v>-0.28389672082957385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56771610</v>
      </c>
      <c r="H25" s="76">
        <f t="shared" si="4"/>
        <v>105432990</v>
      </c>
      <c r="I25" s="83">
        <f t="shared" si="4"/>
        <v>86102300.096080914</v>
      </c>
      <c r="J25" s="175">
        <f t="shared" si="4"/>
        <v>9283067.2671343628</v>
      </c>
      <c r="K25" s="76">
        <f>SUM(K17:K24)</f>
        <v>5000000.0960809104</v>
      </c>
      <c r="L25" s="175">
        <f>SUM(L17:L24)</f>
        <v>1707034.8715367701</v>
      </c>
      <c r="M25" s="79">
        <f>K25/E25</f>
        <v>6.1650533906941113E-2</v>
      </c>
      <c r="N25" s="79">
        <f t="shared" si="3"/>
        <v>0.22532042926964277</v>
      </c>
    </row>
    <row r="30" spans="1:14" ht="55.2" x14ac:dyDescent="0.3">
      <c r="A30" s="212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2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3" t="s">
        <v>2</v>
      </c>
      <c r="B32" s="215" t="s">
        <v>3</v>
      </c>
      <c r="C32" s="215" t="str">
        <f t="shared" ref="C32:D42" si="5">D15</f>
        <v>Response Scaling Factor for Sensitivity Analysis</v>
      </c>
      <c r="D32" s="216" t="s">
        <v>86</v>
      </c>
      <c r="E32" s="217"/>
      <c r="F32" s="217"/>
      <c r="G32" s="218"/>
      <c r="H32" s="219" t="s">
        <v>89</v>
      </c>
      <c r="I32" s="220"/>
      <c r="J32" s="220"/>
      <c r="K32" s="216" t="s">
        <v>189</v>
      </c>
      <c r="L32" s="217"/>
      <c r="M32" s="217"/>
      <c r="N32" s="218"/>
    </row>
    <row r="33" spans="1:14" ht="74.400000000000006" customHeight="1" x14ac:dyDescent="0.3">
      <c r="A33" s="214"/>
      <c r="B33" s="214"/>
      <c r="C33" s="214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20293565.5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4683130.5</v>
      </c>
      <c r="L35" s="167">
        <f t="shared" ref="L35:L42" si="12">J35-G35</f>
        <v>77555137.822104901</v>
      </c>
      <c r="M35" s="184">
        <f t="shared" ref="M35:M42" si="13">K35/D35</f>
        <v>0.3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2663301.1999999997</v>
      </c>
      <c r="I36" s="169">
        <f t="shared" si="9"/>
        <v>9140.6147807428988</v>
      </c>
      <c r="J36" s="180">
        <f t="shared" si="10"/>
        <v>10219207.32487056</v>
      </c>
      <c r="K36" s="167">
        <f t="shared" si="11"/>
        <v>-1141414.8000000003</v>
      </c>
      <c r="L36" s="167">
        <f t="shared" si="12"/>
        <v>-4379826.8283601012</v>
      </c>
      <c r="M36" s="184">
        <f t="shared" si="13"/>
        <v>-0.3000000000000001</v>
      </c>
      <c r="N36" s="185">
        <f t="shared" si="14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29840200</v>
      </c>
      <c r="I38" s="169">
        <f t="shared" si="9"/>
        <v>172716.05387802981</v>
      </c>
      <c r="J38" s="180">
        <f t="shared" si="10"/>
        <v>193096548.23563734</v>
      </c>
      <c r="K38" s="167">
        <f t="shared" si="11"/>
        <v>6886200</v>
      </c>
      <c r="L38" s="167">
        <f t="shared" si="12"/>
        <v>38351771.821510196</v>
      </c>
      <c r="M38" s="184">
        <f t="shared" si="13"/>
        <v>0.3</v>
      </c>
      <c r="N38" s="185">
        <f t="shared" si="14"/>
        <v>0.24783887837915375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8070418.4960809099</v>
      </c>
      <c r="I39" s="169">
        <f t="shared" si="9"/>
        <v>33742.453257013112</v>
      </c>
      <c r="J39" s="180">
        <f t="shared" si="10"/>
        <v>37724062.74134066</v>
      </c>
      <c r="K39" s="167">
        <f t="shared" si="11"/>
        <v>251434.49608090986</v>
      </c>
      <c r="L39" s="167">
        <f t="shared" si="12"/>
        <v>1044039.8801764026</v>
      </c>
      <c r="M39" s="184">
        <f t="shared" si="13"/>
        <v>3.2156926792651044E-2</v>
      </c>
      <c r="N39" s="185">
        <f t="shared" si="14"/>
        <v>2.846344682303352E-2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3347866.1999999997</v>
      </c>
      <c r="I40" s="169">
        <f t="shared" si="9"/>
        <v>5610.3927287058905</v>
      </c>
      <c r="J40" s="180">
        <f t="shared" si="10"/>
        <v>6272419.0706931856</v>
      </c>
      <c r="K40" s="167">
        <f t="shared" si="11"/>
        <v>-1434799.8000000003</v>
      </c>
      <c r="L40" s="167">
        <f t="shared" si="12"/>
        <v>-2584740.9850325212</v>
      </c>
      <c r="M40" s="184">
        <f t="shared" si="13"/>
        <v>-0.30000000000000004</v>
      </c>
      <c r="N40" s="185">
        <f t="shared" si="14"/>
        <v>-0.29182502842563141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10990000</v>
      </c>
      <c r="I41" s="169">
        <f>J24</f>
        <v>258393.506278947</v>
      </c>
      <c r="J41" s="180">
        <f>I41*$I$31</f>
        <v>30077004.13086943</v>
      </c>
      <c r="K41" s="167">
        <f t="shared" si="11"/>
        <v>-4710000</v>
      </c>
      <c r="L41" s="167">
        <f t="shared" si="12"/>
        <v>-11923926.469130475</v>
      </c>
      <c r="M41" s="184">
        <f t="shared" si="13"/>
        <v>-0.3</v>
      </c>
      <c r="N41" s="185">
        <f t="shared" si="14"/>
        <v>-0.28389672082957379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86102300.096080914</v>
      </c>
      <c r="I42" s="77"/>
      <c r="J42" s="181">
        <f>SUM(J34:J41)</f>
        <v>905149446.85735297</v>
      </c>
      <c r="K42" s="76">
        <f t="shared" si="11"/>
        <v>5000000.0960809141</v>
      </c>
      <c r="L42" s="200">
        <f t="shared" si="12"/>
        <v>163530717.62896383</v>
      </c>
      <c r="M42" s="79">
        <f t="shared" si="13"/>
        <v>6.1650533906941161E-2</v>
      </c>
      <c r="N42" s="186">
        <f t="shared" si="14"/>
        <v>0.22050510752217378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313766212.75767392</v>
      </c>
      <c r="L43" s="189">
        <f>SUM(L34:L40)*$E$43 + (L41*$D$43)</f>
        <v>53215658.700021639</v>
      </c>
      <c r="M43" s="201">
        <f>L43/L42</f>
        <v>0.32541689703070392</v>
      </c>
      <c r="N43" s="190">
        <f>N42*(L43/L42)</f>
        <v>7.1756087869287527E-2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355113674.56352854</v>
      </c>
      <c r="L44" s="189">
        <f>SUM(L34:L40)*$E$44 + (L41*$D$44)</f>
        <v>62942305.022456802</v>
      </c>
      <c r="M44" s="201">
        <f>L44/L42</f>
        <v>0.38489591396074657</v>
      </c>
      <c r="N44" s="190">
        <f>N42*(L44/L42)</f>
        <v>8.4871514892759778E-2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236269559.53615057</v>
      </c>
      <c r="L45" s="189">
        <f>SUM(L34:L40)*$E$45 + (L41*$D$45)</f>
        <v>47372753.906485491</v>
      </c>
      <c r="M45" s="201">
        <f>L45/L42</f>
        <v>0.28968718900855017</v>
      </c>
      <c r="N45" s="190">
        <f>N42*(L45/L42)</f>
        <v>6.387750476012663E-2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topLeftCell="B13" workbookViewId="0">
      <selection activeCell="B4" sqref="B4:I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21" t="s">
        <v>219</v>
      </c>
      <c r="C4" s="222"/>
      <c r="D4" s="222"/>
      <c r="E4" s="222"/>
      <c r="F4" s="222"/>
      <c r="G4" s="222"/>
      <c r="H4" s="222"/>
      <c r="I4" s="222"/>
    </row>
    <row r="5" spans="1:14" x14ac:dyDescent="0.3">
      <c r="A5" s="48" t="s">
        <v>79</v>
      </c>
      <c r="B5" s="162" t="s">
        <v>167</v>
      </c>
      <c r="E5" s="223" t="s">
        <v>50</v>
      </c>
      <c r="F5" s="224"/>
      <c r="G5" s="224"/>
      <c r="H5" s="224"/>
      <c r="I5" s="225"/>
    </row>
    <row r="6" spans="1:14" x14ac:dyDescent="0.3">
      <c r="A6" s="48" t="s">
        <v>80</v>
      </c>
      <c r="B6" s="162" t="s">
        <v>168</v>
      </c>
      <c r="E6" s="226" t="s">
        <v>51</v>
      </c>
      <c r="F6" s="227"/>
      <c r="G6" s="227"/>
      <c r="H6" s="227"/>
      <c r="I6" s="228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9473846.571208749</v>
      </c>
    </row>
    <row r="10" spans="1:14" ht="14.4" thickBot="1" x14ac:dyDescent="0.35">
      <c r="A10" s="50"/>
    </row>
    <row r="11" spans="1:14" ht="27.6" x14ac:dyDescent="0.3">
      <c r="A11" s="229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30"/>
      <c r="B12" s="158">
        <f>81102300 + 10000000</f>
        <v>91102300</v>
      </c>
      <c r="C12" s="81">
        <f>1*B12 - 1</f>
        <v>91102299</v>
      </c>
      <c r="D12" s="82">
        <f>1*B12 + 1</f>
        <v>91102301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31" t="s">
        <v>2</v>
      </c>
      <c r="B15" s="215" t="s">
        <v>3</v>
      </c>
      <c r="C15" s="215" t="s">
        <v>38</v>
      </c>
      <c r="D15" s="215" t="s">
        <v>169</v>
      </c>
      <c r="E15" s="209" t="s">
        <v>86</v>
      </c>
      <c r="F15" s="211"/>
      <c r="G15" s="207" t="s">
        <v>179</v>
      </c>
      <c r="H15" s="208"/>
      <c r="I15" s="207" t="s">
        <v>89</v>
      </c>
      <c r="J15" s="208"/>
      <c r="K15" s="209" t="s">
        <v>90</v>
      </c>
      <c r="L15" s="210"/>
      <c r="M15" s="210"/>
      <c r="N15" s="211"/>
    </row>
    <row r="16" spans="1:14" ht="27.6" x14ac:dyDescent="0.3">
      <c r="A16" s="214"/>
      <c r="B16" s="214"/>
      <c r="C16" s="214"/>
      <c r="D16" s="214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3462495.5631605955</v>
      </c>
      <c r="K18" s="60">
        <f t="shared" ref="K18:L24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4946130.8</v>
      </c>
      <c r="J19" s="65">
        <v>195731.14426194644</v>
      </c>
      <c r="K19" s="60">
        <f t="shared" si="2"/>
        <v>1141414.7999999998</v>
      </c>
      <c r="L19" s="60">
        <f t="shared" si="2"/>
        <v>45170.443200453126</v>
      </c>
      <c r="M19" s="61">
        <f t="shared" si="3"/>
        <v>0.29999999999999993</v>
      </c>
      <c r="N19" s="61">
        <f t="shared" si="3"/>
        <v>0.30001483044373062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29840200.000000004</v>
      </c>
      <c r="J21" s="65">
        <v>1991416.1012136836</v>
      </c>
      <c r="K21" s="60">
        <f t="shared" si="2"/>
        <v>6886200.0000000037</v>
      </c>
      <c r="L21" s="60">
        <f t="shared" si="2"/>
        <v>395524.08685332071</v>
      </c>
      <c r="M21" s="61">
        <f t="shared" si="3"/>
        <v>0.30000000000000016</v>
      </c>
      <c r="N21" s="61">
        <f t="shared" si="3"/>
        <v>0.24783887837915378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10164679.199999999</v>
      </c>
      <c r="J22" s="65">
        <v>475663.23209232016</v>
      </c>
      <c r="K22" s="60">
        <f t="shared" si="2"/>
        <v>2345695.1999999993</v>
      </c>
      <c r="L22" s="60">
        <f t="shared" si="2"/>
        <v>97379.990957057278</v>
      </c>
      <c r="M22" s="61">
        <f t="shared" si="3"/>
        <v>0.29999999999999988</v>
      </c>
      <c r="N22" s="61">
        <f t="shared" si="3"/>
        <v>0.25742613039057965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3347866.1999999997</v>
      </c>
      <c r="H23" s="74">
        <f t="shared" si="1"/>
        <v>6217465.7999999998</v>
      </c>
      <c r="I23" s="174">
        <v>3347866.1999999997</v>
      </c>
      <c r="J23" s="65">
        <v>64687.828161978912</v>
      </c>
      <c r="K23" s="60">
        <f t="shared" si="2"/>
        <v>-1434799.8000000003</v>
      </c>
      <c r="L23" s="60">
        <f t="shared" si="2"/>
        <v>-26656.586366211959</v>
      </c>
      <c r="M23" s="61">
        <f t="shared" si="3"/>
        <v>-0.30000000000000004</v>
      </c>
      <c r="N23" s="61">
        <f t="shared" si="3"/>
        <v>-0.29182502842563141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11612909.607017489</v>
      </c>
      <c r="J24" s="65">
        <v>272220.20847439021</v>
      </c>
      <c r="K24" s="60">
        <f t="shared" si="2"/>
        <v>-4087090.3929825108</v>
      </c>
      <c r="L24" s="60">
        <f t="shared" si="2"/>
        <v>-88612.528639011085</v>
      </c>
      <c r="M24" s="61">
        <f t="shared" si="3"/>
        <v>-0.26032422885238921</v>
      </c>
      <c r="N24" s="61">
        <f t="shared" si="3"/>
        <v>-0.24557785235313126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56771610</v>
      </c>
      <c r="H25" s="76">
        <f t="shared" si="4"/>
        <v>105432990</v>
      </c>
      <c r="I25" s="83">
        <f t="shared" si="4"/>
        <v>91102300.007017493</v>
      </c>
      <c r="J25" s="175">
        <f t="shared" si="4"/>
        <v>9473846.571208749</v>
      </c>
      <c r="K25" s="76">
        <f>SUM(K17:K24)</f>
        <v>10000000.007017491</v>
      </c>
      <c r="L25" s="175">
        <f>SUM(L17:L24)</f>
        <v>1897814.1756111532</v>
      </c>
      <c r="M25" s="79">
        <f>K25/E25</f>
        <v>0.12330106553103293</v>
      </c>
      <c r="N25" s="79">
        <f t="shared" si="3"/>
        <v>0.25050238390136326</v>
      </c>
    </row>
    <row r="30" spans="1:14" ht="55.2" x14ac:dyDescent="0.3">
      <c r="A30" s="212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2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3" t="s">
        <v>2</v>
      </c>
      <c r="B32" s="215" t="s">
        <v>3</v>
      </c>
      <c r="C32" s="215" t="str">
        <f t="shared" ref="C32:D42" si="5">D15</f>
        <v>Response Scaling Factor for Sensitivity Analysis</v>
      </c>
      <c r="D32" s="216" t="s">
        <v>86</v>
      </c>
      <c r="E32" s="217"/>
      <c r="F32" s="217"/>
      <c r="G32" s="218"/>
      <c r="H32" s="219" t="s">
        <v>89</v>
      </c>
      <c r="I32" s="220"/>
      <c r="J32" s="220"/>
      <c r="K32" s="216" t="s">
        <v>189</v>
      </c>
      <c r="L32" s="217"/>
      <c r="M32" s="217"/>
      <c r="N32" s="218"/>
    </row>
    <row r="33" spans="1:14" ht="74.400000000000006" customHeight="1" x14ac:dyDescent="0.3">
      <c r="A33" s="214"/>
      <c r="B33" s="214"/>
      <c r="C33" s="214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20293565.5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4683130.5</v>
      </c>
      <c r="L35" s="167">
        <f t="shared" ref="L35:L42" si="12">J35-G35</f>
        <v>77555137.822104901</v>
      </c>
      <c r="M35" s="184">
        <f t="shared" ref="M35:M42" si="13">K35/D35</f>
        <v>0.3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4946130.8</v>
      </c>
      <c r="I36" s="169">
        <f t="shared" si="9"/>
        <v>16975.814766864394</v>
      </c>
      <c r="J36" s="180">
        <f t="shared" si="10"/>
        <v>18978960.909354392</v>
      </c>
      <c r="K36" s="167">
        <f t="shared" si="11"/>
        <v>1141414.7999999998</v>
      </c>
      <c r="L36" s="167">
        <f t="shared" si="12"/>
        <v>4379926.7561237309</v>
      </c>
      <c r="M36" s="184">
        <f t="shared" si="13"/>
        <v>0.29999999999999993</v>
      </c>
      <c r="N36" s="185">
        <f t="shared" si="14"/>
        <v>0.30001483044373073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29840200.000000004</v>
      </c>
      <c r="I38" s="169">
        <f t="shared" si="9"/>
        <v>172716.05387802981</v>
      </c>
      <c r="J38" s="180">
        <f t="shared" si="10"/>
        <v>193096548.23563734</v>
      </c>
      <c r="K38" s="167">
        <f t="shared" si="11"/>
        <v>6886200.0000000037</v>
      </c>
      <c r="L38" s="167">
        <f t="shared" si="12"/>
        <v>38351771.821510196</v>
      </c>
      <c r="M38" s="184">
        <f t="shared" si="13"/>
        <v>0.30000000000000016</v>
      </c>
      <c r="N38" s="185">
        <f t="shared" si="14"/>
        <v>0.24783887837915375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10164679.199999999</v>
      </c>
      <c r="I39" s="169">
        <f t="shared" si="9"/>
        <v>41254.400008006953</v>
      </c>
      <c r="J39" s="180">
        <f t="shared" si="10"/>
        <v>46122419.208951771</v>
      </c>
      <c r="K39" s="167">
        <f t="shared" si="11"/>
        <v>2345695.1999999993</v>
      </c>
      <c r="L39" s="167">
        <f t="shared" si="12"/>
        <v>9442396.3477875143</v>
      </c>
      <c r="M39" s="184">
        <f t="shared" si="13"/>
        <v>0.29999999999999988</v>
      </c>
      <c r="N39" s="185">
        <f t="shared" si="14"/>
        <v>0.25742613039057971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3347866.1999999997</v>
      </c>
      <c r="I40" s="169">
        <f t="shared" si="9"/>
        <v>5610.3927287058905</v>
      </c>
      <c r="J40" s="180">
        <f t="shared" si="10"/>
        <v>6272419.0706931856</v>
      </c>
      <c r="K40" s="167">
        <f t="shared" si="11"/>
        <v>-1434799.8000000003</v>
      </c>
      <c r="L40" s="167">
        <f t="shared" si="12"/>
        <v>-2584740.9850325212</v>
      </c>
      <c r="M40" s="184">
        <f t="shared" si="13"/>
        <v>-0.30000000000000004</v>
      </c>
      <c r="N40" s="185">
        <f t="shared" si="14"/>
        <v>-0.29182502842563141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11612909.607017489</v>
      </c>
      <c r="I41" s="169">
        <f>J24</f>
        <v>272220.20847439021</v>
      </c>
      <c r="J41" s="180">
        <f>I41*$I$31</f>
        <v>31686432.26641902</v>
      </c>
      <c r="K41" s="167">
        <f t="shared" si="11"/>
        <v>-4087090.3929825108</v>
      </c>
      <c r="L41" s="167">
        <f t="shared" si="12"/>
        <v>-10314498.333580885</v>
      </c>
      <c r="M41" s="184">
        <f t="shared" si="13"/>
        <v>-0.26032422885238921</v>
      </c>
      <c r="N41" s="185">
        <f t="shared" si="14"/>
        <v>-0.24557785235313115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91102300.007017493</v>
      </c>
      <c r="I42" s="77"/>
      <c r="J42" s="181">
        <f>SUM(J34:J41)</f>
        <v>923916985.04499769</v>
      </c>
      <c r="K42" s="76">
        <f t="shared" si="11"/>
        <v>10000000.007017493</v>
      </c>
      <c r="L42" s="200">
        <f t="shared" si="12"/>
        <v>182298255.81660855</v>
      </c>
      <c r="M42" s="79">
        <f t="shared" si="13"/>
        <v>0.12330106553103294</v>
      </c>
      <c r="N42" s="186">
        <f t="shared" si="14"/>
        <v>0.2458112890518275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320469061.36858302</v>
      </c>
      <c r="L43" s="189">
        <f>SUM(L34:L40)*$E$43 + (L41*$D$43)</f>
        <v>59918507.310930714</v>
      </c>
      <c r="M43" s="201">
        <f>L43/L42</f>
        <v>0.32868393086112979</v>
      </c>
      <c r="N43" s="190">
        <f>N42*(L43/L42)</f>
        <v>8.0794220735596056E-2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362545674.42619842</v>
      </c>
      <c r="L44" s="189">
        <f>SUM(L34:L40)*$E$44 + (L41*$D$44)</f>
        <v>70374304.88512665</v>
      </c>
      <c r="M44" s="201">
        <f>L44/L42</f>
        <v>0.38603937580139536</v>
      </c>
      <c r="N44" s="190">
        <f>N42*(L44/L42)</f>
        <v>9.4892836590503862E-2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240902249.25021625</v>
      </c>
      <c r="L45" s="189">
        <f>SUM(L34:L40)*$E$45 + (L41*$D$45)</f>
        <v>52005443.620551132</v>
      </c>
      <c r="M45" s="201">
        <f>L45/L42</f>
        <v>0.28527669333747457</v>
      </c>
      <c r="N45" s="190">
        <f>N42*(L45/L42)</f>
        <v>7.0124231725727515E-2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N47"/>
  <sheetViews>
    <sheetView workbookViewId="0">
      <selection activeCell="B4" sqref="B4:I4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21" t="s">
        <v>219</v>
      </c>
      <c r="C4" s="222"/>
      <c r="D4" s="222"/>
      <c r="E4" s="222"/>
      <c r="F4" s="222"/>
      <c r="G4" s="222"/>
      <c r="H4" s="222"/>
      <c r="I4" s="222"/>
    </row>
    <row r="5" spans="1:14" x14ac:dyDescent="0.3">
      <c r="A5" s="48" t="s">
        <v>79</v>
      </c>
      <c r="B5" s="162" t="s">
        <v>167</v>
      </c>
      <c r="E5" s="223" t="s">
        <v>50</v>
      </c>
      <c r="F5" s="224"/>
      <c r="G5" s="224"/>
      <c r="H5" s="224"/>
      <c r="I5" s="225"/>
    </row>
    <row r="6" spans="1:14" x14ac:dyDescent="0.3">
      <c r="A6" s="48" t="s">
        <v>80</v>
      </c>
      <c r="B6" s="162" t="s">
        <v>168</v>
      </c>
      <c r="E6" s="226" t="s">
        <v>51</v>
      </c>
      <c r="F6" s="227"/>
      <c r="G6" s="227"/>
      <c r="H6" s="227"/>
      <c r="I6" s="228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9581758.1955922451</v>
      </c>
    </row>
    <row r="10" spans="1:14" ht="14.4" thickBot="1" x14ac:dyDescent="0.35">
      <c r="A10" s="50"/>
    </row>
    <row r="11" spans="1:14" ht="27.6" x14ac:dyDescent="0.3">
      <c r="A11" s="229" t="s">
        <v>82</v>
      </c>
      <c r="B11" s="51" t="s">
        <v>84</v>
      </c>
      <c r="C11" s="203" t="s">
        <v>100</v>
      </c>
      <c r="D11" s="204" t="s">
        <v>101</v>
      </c>
      <c r="E11" s="162" t="s">
        <v>97</v>
      </c>
    </row>
    <row r="12" spans="1:14" ht="14.4" thickBot="1" x14ac:dyDescent="0.35">
      <c r="A12" s="230"/>
      <c r="B12" s="158">
        <f>81102300 + 15000000</f>
        <v>96102300</v>
      </c>
      <c r="C12" s="81">
        <f>1*B12 - 1</f>
        <v>96102299</v>
      </c>
      <c r="D12" s="82">
        <f>1*B12 + 1</f>
        <v>96102301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160" t="s">
        <v>98</v>
      </c>
      <c r="J14" s="160" t="s">
        <v>99</v>
      </c>
    </row>
    <row r="15" spans="1:14" ht="27.6" customHeight="1" x14ac:dyDescent="0.3">
      <c r="A15" s="231" t="s">
        <v>2</v>
      </c>
      <c r="B15" s="215" t="s">
        <v>3</v>
      </c>
      <c r="C15" s="215" t="s">
        <v>38</v>
      </c>
      <c r="D15" s="215" t="s">
        <v>169</v>
      </c>
      <c r="E15" s="209" t="s">
        <v>86</v>
      </c>
      <c r="F15" s="211"/>
      <c r="G15" s="207" t="s">
        <v>179</v>
      </c>
      <c r="H15" s="208"/>
      <c r="I15" s="207" t="s">
        <v>89</v>
      </c>
      <c r="J15" s="208"/>
      <c r="K15" s="209" t="s">
        <v>90</v>
      </c>
      <c r="L15" s="210"/>
      <c r="M15" s="210"/>
      <c r="N15" s="211"/>
    </row>
    <row r="16" spans="1:14" ht="27.6" x14ac:dyDescent="0.3">
      <c r="A16" s="214"/>
      <c r="B16" s="214"/>
      <c r="C16" s="214"/>
      <c r="D16" s="214"/>
      <c r="E16" s="202" t="s">
        <v>203</v>
      </c>
      <c r="F16" s="202" t="s">
        <v>204</v>
      </c>
      <c r="G16" s="202" t="s">
        <v>87</v>
      </c>
      <c r="H16" s="202" t="s">
        <v>88</v>
      </c>
      <c r="I16" s="62" t="s">
        <v>201</v>
      </c>
      <c r="J16" s="62" t="s">
        <v>202</v>
      </c>
      <c r="K16" s="202" t="s">
        <v>177</v>
      </c>
      <c r="L16" s="202" t="s">
        <v>178</v>
      </c>
      <c r="M16" s="202" t="s">
        <v>91</v>
      </c>
      <c r="N16" s="202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7788948.7000000011</v>
      </c>
      <c r="J17" s="64">
        <v>2992018.0561720924</v>
      </c>
      <c r="K17" s="58">
        <f>I17-E17</f>
        <v>1797449.7000000011</v>
      </c>
      <c r="L17" s="58">
        <f>J17-F17</f>
        <v>681252.77737739496</v>
      </c>
      <c r="M17" s="59">
        <f>K17/E17</f>
        <v>0.30000000000000021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20293565.5</v>
      </c>
      <c r="J18" s="65">
        <v>3462495.5631605955</v>
      </c>
      <c r="K18" s="60">
        <f t="shared" ref="K18:L24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150560.70106149331</v>
      </c>
      <c r="G19" s="74">
        <f t="shared" si="0"/>
        <v>2663301.1999999997</v>
      </c>
      <c r="H19" s="74">
        <f t="shared" si="1"/>
        <v>4946130.8</v>
      </c>
      <c r="I19" s="174">
        <v>4946130.8</v>
      </c>
      <c r="J19" s="65">
        <v>195731.14426194644</v>
      </c>
      <c r="K19" s="60">
        <f t="shared" si="2"/>
        <v>1141414.7999999998</v>
      </c>
      <c r="L19" s="60">
        <f t="shared" si="2"/>
        <v>45170.443200453126</v>
      </c>
      <c r="M19" s="61">
        <f t="shared" si="3"/>
        <v>0.29999999999999993</v>
      </c>
      <c r="N19" s="61">
        <f t="shared" si="3"/>
        <v>0.30001483044373062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1595892.0143603629</v>
      </c>
      <c r="G21" s="74">
        <f t="shared" si="0"/>
        <v>16067799.999999998</v>
      </c>
      <c r="H21" s="74">
        <f t="shared" si="1"/>
        <v>29840200</v>
      </c>
      <c r="I21" s="174">
        <v>29840199.999999996</v>
      </c>
      <c r="J21" s="65">
        <v>1991416.1012136836</v>
      </c>
      <c r="K21" s="60">
        <f t="shared" si="2"/>
        <v>6886199.9999999963</v>
      </c>
      <c r="L21" s="60">
        <f t="shared" si="2"/>
        <v>395524.08685332071</v>
      </c>
      <c r="M21" s="61">
        <f t="shared" si="3"/>
        <v>0.29999999999999982</v>
      </c>
      <c r="N21" s="61">
        <f t="shared" si="3"/>
        <v>0.24783887837915378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10164679.199999999</v>
      </c>
      <c r="J22" s="65">
        <v>475663.23209232016</v>
      </c>
      <c r="K22" s="60">
        <f t="shared" si="2"/>
        <v>2345695.1999999993</v>
      </c>
      <c r="L22" s="60">
        <f t="shared" si="2"/>
        <v>97379.990957057278</v>
      </c>
      <c r="M22" s="61">
        <f t="shared" si="3"/>
        <v>0.29999999999999988</v>
      </c>
      <c r="N22" s="61">
        <f t="shared" si="3"/>
        <v>0.25742613039057965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v>91344.414528190871</v>
      </c>
      <c r="G23" s="74">
        <f t="shared" si="0"/>
        <v>3347866.1999999997</v>
      </c>
      <c r="H23" s="74">
        <f t="shared" si="1"/>
        <v>6217465.7999999998</v>
      </c>
      <c r="I23" s="174">
        <v>3347866.1999999997</v>
      </c>
      <c r="J23" s="65">
        <v>64687.828161978912</v>
      </c>
      <c r="K23" s="60">
        <f t="shared" si="2"/>
        <v>-1434799.8000000003</v>
      </c>
      <c r="L23" s="60">
        <f t="shared" si="2"/>
        <v>-26656.586366211959</v>
      </c>
      <c r="M23" s="61">
        <f t="shared" si="3"/>
        <v>-0.30000000000000004</v>
      </c>
      <c r="N23" s="61">
        <f t="shared" si="3"/>
        <v>-0.29182502842563141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v>360832.73711340129</v>
      </c>
      <c r="G24" s="74">
        <f t="shared" si="0"/>
        <v>10990000</v>
      </c>
      <c r="H24" s="74">
        <f t="shared" si="1"/>
        <v>20410000</v>
      </c>
      <c r="I24" s="174">
        <v>16612909.60005259</v>
      </c>
      <c r="J24" s="65">
        <v>380131.83285788633</v>
      </c>
      <c r="K24" s="60">
        <f t="shared" si="2"/>
        <v>912909.60005258955</v>
      </c>
      <c r="L24" s="60">
        <f t="shared" si="2"/>
        <v>19299.095744485036</v>
      </c>
      <c r="M24" s="61">
        <f t="shared" si="3"/>
        <v>5.8147108283604428E-2</v>
      </c>
      <c r="N24" s="61">
        <f t="shared" si="3"/>
        <v>5.3484880276868506E-2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81102300</v>
      </c>
      <c r="F25" s="77">
        <f t="shared" si="4"/>
        <v>7576032.3955975948</v>
      </c>
      <c r="G25" s="76">
        <f t="shared" si="4"/>
        <v>56771610</v>
      </c>
      <c r="H25" s="76">
        <f t="shared" si="4"/>
        <v>105432990</v>
      </c>
      <c r="I25" s="83">
        <f t="shared" si="4"/>
        <v>96102300.000052601</v>
      </c>
      <c r="J25" s="175">
        <f t="shared" si="4"/>
        <v>9581758.1955922451</v>
      </c>
      <c r="K25" s="76">
        <f>SUM(K17:K24)</f>
        <v>15000000.000052584</v>
      </c>
      <c r="L25" s="175">
        <f>SUM(L17:L24)</f>
        <v>2005725.7999946494</v>
      </c>
      <c r="M25" s="79">
        <f>K25/E25</f>
        <v>0.18495159816740814</v>
      </c>
      <c r="N25" s="79">
        <f t="shared" si="3"/>
        <v>0.26474620160813589</v>
      </c>
    </row>
    <row r="30" spans="1:14" ht="55.2" x14ac:dyDescent="0.3">
      <c r="A30" s="212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2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3" t="s">
        <v>2</v>
      </c>
      <c r="B32" s="215" t="s">
        <v>3</v>
      </c>
      <c r="C32" s="215" t="str">
        <f t="shared" ref="C32:D42" si="5">D15</f>
        <v>Response Scaling Factor for Sensitivity Analysis</v>
      </c>
      <c r="D32" s="216" t="s">
        <v>86</v>
      </c>
      <c r="E32" s="217"/>
      <c r="F32" s="217"/>
      <c r="G32" s="218"/>
      <c r="H32" s="219" t="s">
        <v>89</v>
      </c>
      <c r="I32" s="220"/>
      <c r="J32" s="220"/>
      <c r="K32" s="216" t="s">
        <v>189</v>
      </c>
      <c r="L32" s="217"/>
      <c r="M32" s="217"/>
      <c r="N32" s="218"/>
    </row>
    <row r="33" spans="1:14" ht="74.400000000000006" customHeight="1" x14ac:dyDescent="0.3">
      <c r="A33" s="214"/>
      <c r="B33" s="214"/>
      <c r="C33" s="214">
        <f t="shared" si="5"/>
        <v>0</v>
      </c>
      <c r="D33" s="202" t="s">
        <v>182</v>
      </c>
      <c r="E33" s="202" t="s">
        <v>181</v>
      </c>
      <c r="F33" s="202" t="s">
        <v>183</v>
      </c>
      <c r="G33" s="202" t="s">
        <v>199</v>
      </c>
      <c r="H33" s="62" t="s">
        <v>187</v>
      </c>
      <c r="I33" s="62" t="s">
        <v>188</v>
      </c>
      <c r="J33" s="62" t="s">
        <v>200</v>
      </c>
      <c r="K33" s="202" t="s">
        <v>190</v>
      </c>
      <c r="L33" s="202" t="s">
        <v>191</v>
      </c>
      <c r="M33" s="202" t="s">
        <v>192</v>
      </c>
      <c r="N33" s="202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6">I17</f>
        <v>7788948.7000000011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1797449.7000000011</v>
      </c>
      <c r="L34" s="166">
        <f>J34-G34</f>
        <v>66057294.458623379</v>
      </c>
      <c r="M34" s="182">
        <f>K34/D34</f>
        <v>0.30000000000000021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 t="shared" ref="F35:F40" si="7">F18/$D$31</f>
        <v>230933.63819705584</v>
      </c>
      <c r="G35" s="171">
        <f t="shared" ref="G35:G40" si="8">F35*$F$31</f>
        <v>258183807.50430843</v>
      </c>
      <c r="H35" s="177">
        <f t="shared" si="6"/>
        <v>20293565.5</v>
      </c>
      <c r="I35" s="169">
        <f t="shared" ref="I35:I40" si="9">J18/$D$31</f>
        <v>300303.17113274895</v>
      </c>
      <c r="J35" s="180">
        <f t="shared" ref="J35:J40" si="10">I35*$F$31</f>
        <v>335738945.32641333</v>
      </c>
      <c r="K35" s="167">
        <f t="shared" ref="K35:K42" si="11">H35-D35</f>
        <v>4683130.5</v>
      </c>
      <c r="L35" s="167">
        <f t="shared" ref="L35:L42" si="12">J35-G35</f>
        <v>77555137.822104901</v>
      </c>
      <c r="M35" s="184">
        <f t="shared" ref="M35:M42" si="13">K35/D35</f>
        <v>0.3</v>
      </c>
      <c r="N35" s="185">
        <f t="shared" ref="N35:N42" si="14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 t="shared" si="7"/>
        <v>13058.170083390574</v>
      </c>
      <c r="G36" s="171">
        <f t="shared" si="8"/>
        <v>14599034.153230662</v>
      </c>
      <c r="H36" s="177">
        <f t="shared" si="6"/>
        <v>4946130.8</v>
      </c>
      <c r="I36" s="169">
        <f t="shared" si="9"/>
        <v>16975.814766864394</v>
      </c>
      <c r="J36" s="180">
        <f t="shared" si="10"/>
        <v>18978960.909354392</v>
      </c>
      <c r="K36" s="167">
        <f t="shared" si="11"/>
        <v>1141414.7999999998</v>
      </c>
      <c r="L36" s="167">
        <f t="shared" si="12"/>
        <v>4379926.7561237309</v>
      </c>
      <c r="M36" s="184">
        <f t="shared" si="13"/>
        <v>0.29999999999999993</v>
      </c>
      <c r="N36" s="185">
        <f t="shared" si="14"/>
        <v>0.30001483044373073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si="7"/>
        <v>2228.0277703496668</v>
      </c>
      <c r="G37" s="171">
        <f t="shared" si="8"/>
        <v>2490935.0472509274</v>
      </c>
      <c r="H37" s="177">
        <f t="shared" si="6"/>
        <v>3108000</v>
      </c>
      <c r="I37" s="169">
        <f t="shared" si="9"/>
        <v>1701.1654528829024</v>
      </c>
      <c r="J37" s="180">
        <f t="shared" si="10"/>
        <v>1901902.9763230849</v>
      </c>
      <c r="K37" s="167">
        <f t="shared" si="11"/>
        <v>-1332000</v>
      </c>
      <c r="L37" s="167">
        <f t="shared" si="12"/>
        <v>-589032.07092784252</v>
      </c>
      <c r="M37" s="184">
        <f t="shared" si="13"/>
        <v>-0.3</v>
      </c>
      <c r="N37" s="185">
        <f t="shared" si="14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7"/>
        <v>138412.14348311909</v>
      </c>
      <c r="G38" s="171">
        <f t="shared" si="8"/>
        <v>154744776.41412714</v>
      </c>
      <c r="H38" s="177">
        <f t="shared" si="6"/>
        <v>29840199.999999996</v>
      </c>
      <c r="I38" s="169">
        <f t="shared" si="9"/>
        <v>172716.05387802981</v>
      </c>
      <c r="J38" s="180">
        <f t="shared" si="10"/>
        <v>193096548.23563734</v>
      </c>
      <c r="K38" s="167">
        <f t="shared" si="11"/>
        <v>6886199.9999999963</v>
      </c>
      <c r="L38" s="167">
        <f t="shared" si="12"/>
        <v>38351771.821510196</v>
      </c>
      <c r="M38" s="184">
        <f t="shared" si="13"/>
        <v>0.29999999999999982</v>
      </c>
      <c r="N38" s="185">
        <f t="shared" si="14"/>
        <v>0.24783887837915375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7"/>
        <v>32808.607210343704</v>
      </c>
      <c r="G39" s="171">
        <f t="shared" si="8"/>
        <v>36680022.861164257</v>
      </c>
      <c r="H39" s="177">
        <f t="shared" si="6"/>
        <v>10164679.199999999</v>
      </c>
      <c r="I39" s="169">
        <f t="shared" si="9"/>
        <v>41254.400008006953</v>
      </c>
      <c r="J39" s="180">
        <f t="shared" si="10"/>
        <v>46122419.208951771</v>
      </c>
      <c r="K39" s="167">
        <f t="shared" si="11"/>
        <v>2345695.1999999993</v>
      </c>
      <c r="L39" s="167">
        <f t="shared" si="12"/>
        <v>9442396.3477875143</v>
      </c>
      <c r="M39" s="184">
        <f t="shared" si="13"/>
        <v>0.29999999999999988</v>
      </c>
      <c r="N39" s="185">
        <f t="shared" si="14"/>
        <v>0.25742613039057971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4782666</v>
      </c>
      <c r="E40" s="165" t="s">
        <v>176</v>
      </c>
      <c r="F40" s="169">
        <f t="shared" si="7"/>
        <v>7922.3256312394515</v>
      </c>
      <c r="G40" s="171">
        <f t="shared" si="8"/>
        <v>8857160.0557257067</v>
      </c>
      <c r="H40" s="177">
        <f t="shared" si="6"/>
        <v>3347866.1999999997</v>
      </c>
      <c r="I40" s="169">
        <f t="shared" si="9"/>
        <v>5610.3927287058905</v>
      </c>
      <c r="J40" s="180">
        <f t="shared" si="10"/>
        <v>6272419.0706931856</v>
      </c>
      <c r="K40" s="167">
        <f t="shared" si="11"/>
        <v>-1434799.8000000003</v>
      </c>
      <c r="L40" s="167">
        <f t="shared" si="12"/>
        <v>-2584740.9850325212</v>
      </c>
      <c r="M40" s="184">
        <f t="shared" si="13"/>
        <v>-0.30000000000000004</v>
      </c>
      <c r="N40" s="185">
        <f t="shared" si="14"/>
        <v>-0.29182502842563141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15700000</v>
      </c>
      <c r="E41" s="187" t="s">
        <v>175</v>
      </c>
      <c r="F41" s="169">
        <f t="shared" ref="F41" si="15">F24</f>
        <v>360832.73711340129</v>
      </c>
      <c r="G41" s="171">
        <f>F41*$I$31</f>
        <v>42000930.599999905</v>
      </c>
      <c r="H41" s="177">
        <f t="shared" si="6"/>
        <v>16612909.60005259</v>
      </c>
      <c r="I41" s="169">
        <f>J24</f>
        <v>380131.83285788633</v>
      </c>
      <c r="J41" s="180">
        <f>I41*$I$31</f>
        <v>44247345.344657965</v>
      </c>
      <c r="K41" s="167">
        <f t="shared" si="11"/>
        <v>912909.60005258955</v>
      </c>
      <c r="L41" s="167">
        <f t="shared" si="12"/>
        <v>2246414.7446580604</v>
      </c>
      <c r="M41" s="184">
        <f t="shared" si="13"/>
        <v>5.8147108283604428E-2</v>
      </c>
      <c r="N41" s="185">
        <f t="shared" si="14"/>
        <v>5.3484880276868568E-2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96102300.000052601</v>
      </c>
      <c r="I42" s="77"/>
      <c r="J42" s="181">
        <f>SUM(J34:J41)</f>
        <v>936477898.12323666</v>
      </c>
      <c r="K42" s="76">
        <f t="shared" si="11"/>
        <v>15000000.000052601</v>
      </c>
      <c r="L42" s="200">
        <f t="shared" si="12"/>
        <v>194859168.89484751</v>
      </c>
      <c r="M42" s="79">
        <f t="shared" si="13"/>
        <v>0.18495159816740833</v>
      </c>
      <c r="N42" s="186">
        <f t="shared" si="14"/>
        <v>0.26274844635812672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I43" s="157"/>
      <c r="J43" s="189">
        <f>SUM(J34:J40)*$E$43 + (J41*$D$43)</f>
        <v>327251954.43083203</v>
      </c>
      <c r="L43" s="189">
        <f>SUM(L34:L40)*$E$43 + (L41*$D$43)</f>
        <v>66701400.373179749</v>
      </c>
      <c r="M43" s="201">
        <f>L43/L42</f>
        <v>0.3423056803099373</v>
      </c>
      <c r="N43" s="190">
        <f>N42*(L43/L42)</f>
        <v>8.9940285680997628E-2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I44" s="157"/>
      <c r="J44" s="189">
        <f>SUM(J34:J40)*$E$44 + (J41*$D$44)</f>
        <v>368323694.44218838</v>
      </c>
      <c r="L44" s="189">
        <f>SUM(L34:L40)*$E$44 + (L41*$D$44)</f>
        <v>76152324.901116565</v>
      </c>
      <c r="M44" s="201">
        <f>L44/L42</f>
        <v>0.39080698810847792</v>
      </c>
      <c r="N44" s="190">
        <f>N42*(L44/L42)</f>
        <v>0.10268392895140148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I45" s="157"/>
      <c r="J45" s="189">
        <f>SUM(J34:J40)*$E$45 + (J41*$D$45)</f>
        <v>240902249.25021625</v>
      </c>
      <c r="L45" s="189">
        <f>SUM(L34:L40)*$E$45 + (L41*$D$45)</f>
        <v>52005443.620551132</v>
      </c>
      <c r="M45" s="201">
        <f>L45/L42</f>
        <v>0.26688733158158445</v>
      </c>
      <c r="N45" s="190">
        <f>N42*(L45/L42)</f>
        <v>7.0124231725727515E-2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19"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0:A31"/>
    <mergeCell ref="A32:A33"/>
    <mergeCell ref="B32:B33"/>
    <mergeCell ref="C32:C33"/>
    <mergeCell ref="D32:G32"/>
    <mergeCell ref="H32:J32"/>
    <mergeCell ref="K32:N32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abSelected="1" workbookViewId="0">
      <selection activeCell="B4" sqref="B4:I4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23.4" customHeight="1" x14ac:dyDescent="0.3">
      <c r="A4" s="49" t="s">
        <v>78</v>
      </c>
      <c r="B4" s="221" t="s">
        <v>219</v>
      </c>
      <c r="C4" s="222"/>
      <c r="D4" s="222"/>
      <c r="E4" s="222"/>
      <c r="F4" s="222"/>
      <c r="G4" s="222"/>
      <c r="H4" s="222"/>
      <c r="I4" s="222"/>
    </row>
    <row r="5" spans="1:14" x14ac:dyDescent="0.3">
      <c r="A5" s="48" t="s">
        <v>79</v>
      </c>
      <c r="B5" s="1" t="s">
        <v>167</v>
      </c>
      <c r="E5" s="223" t="s">
        <v>50</v>
      </c>
      <c r="F5" s="224"/>
      <c r="G5" s="224"/>
      <c r="H5" s="224"/>
      <c r="I5" s="225"/>
    </row>
    <row r="6" spans="1:14" x14ac:dyDescent="0.3">
      <c r="A6" s="48" t="s">
        <v>80</v>
      </c>
      <c r="B6" s="1" t="s">
        <v>168</v>
      </c>
      <c r="E6" s="226" t="s">
        <v>51</v>
      </c>
      <c r="F6" s="227"/>
      <c r="G6" s="227"/>
      <c r="H6" s="227"/>
      <c r="I6" s="228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7720418.6973289931</v>
      </c>
    </row>
    <row r="10" spans="1:14" ht="14.4" thickBot="1" x14ac:dyDescent="0.35">
      <c r="A10" s="50"/>
    </row>
    <row r="11" spans="1:14" ht="27.6" x14ac:dyDescent="0.3">
      <c r="A11" s="229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230"/>
      <c r="B12" s="80">
        <f>81102300 - 15000000</f>
        <v>66102300</v>
      </c>
      <c r="C12" s="81">
        <f>1*B12 - 1</f>
        <v>66102299</v>
      </c>
      <c r="D12" s="82">
        <f>1*B12 + 1</f>
        <v>66102301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0.7</v>
      </c>
      <c r="H14" s="163">
        <v>1.3</v>
      </c>
      <c r="I14" s="63" t="s">
        <v>98</v>
      </c>
      <c r="J14" s="63" t="s">
        <v>99</v>
      </c>
    </row>
    <row r="15" spans="1:14" ht="27.6" customHeight="1" x14ac:dyDescent="0.3">
      <c r="A15" s="231" t="s">
        <v>2</v>
      </c>
      <c r="B15" s="215" t="s">
        <v>3</v>
      </c>
      <c r="C15" s="215" t="s">
        <v>38</v>
      </c>
      <c r="D15" s="215" t="s">
        <v>169</v>
      </c>
      <c r="E15" s="209" t="s">
        <v>86</v>
      </c>
      <c r="F15" s="211"/>
      <c r="G15" s="207" t="s">
        <v>179</v>
      </c>
      <c r="H15" s="208"/>
      <c r="I15" s="207" t="s">
        <v>89</v>
      </c>
      <c r="J15" s="208"/>
      <c r="K15" s="209" t="s">
        <v>90</v>
      </c>
      <c r="L15" s="210"/>
      <c r="M15" s="210"/>
      <c r="N15" s="211"/>
    </row>
    <row r="16" spans="1:14" ht="27.6" x14ac:dyDescent="0.3">
      <c r="A16" s="214"/>
      <c r="B16" s="214"/>
      <c r="C16" s="214"/>
      <c r="D16" s="214"/>
      <c r="E16" s="105" t="s">
        <v>203</v>
      </c>
      <c r="F16" s="105" t="s">
        <v>204</v>
      </c>
      <c r="G16" s="105" t="s">
        <v>87</v>
      </c>
      <c r="H16" s="105" t="s">
        <v>88</v>
      </c>
      <c r="I16" s="62" t="s">
        <v>201</v>
      </c>
      <c r="J16" s="62" t="s">
        <v>202</v>
      </c>
      <c r="K16" s="105" t="s">
        <v>177</v>
      </c>
      <c r="L16" s="105" t="s">
        <v>178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E17*$G$14</f>
        <v>4194049.3</v>
      </c>
      <c r="H17" s="73">
        <f>E17*$H$14</f>
        <v>7788948.7000000002</v>
      </c>
      <c r="I17" s="173">
        <v>7788948.7000000002</v>
      </c>
      <c r="J17" s="64">
        <f>JANSample!F9</f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 t="shared" ref="G18:G24" si="0">E18*$G$14</f>
        <v>10927304.5</v>
      </c>
      <c r="H18" s="74">
        <f t="shared" ref="H18:H24" si="1">E18*$H$14</f>
        <v>20293565.5</v>
      </c>
      <c r="I18" s="174">
        <v>16663095.100001626</v>
      </c>
      <c r="J18" s="65">
        <f>JMTSample!F9</f>
        <v>2842406.9407835873</v>
      </c>
      <c r="K18" s="60">
        <f t="shared" ref="K18:L22" si="2">I18-E18</f>
        <v>1052660.1000016257</v>
      </c>
      <c r="L18" s="60">
        <f t="shared" si="2"/>
        <v>179742.09237153362</v>
      </c>
      <c r="M18" s="61">
        <f t="shared" ref="M18:N25" si="3">K18/E18</f>
        <v>6.74331048431146E-2</v>
      </c>
      <c r="N18" s="61">
        <f t="shared" si="3"/>
        <v>6.7504587548345513E-2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 t="shared" si="0"/>
        <v>2663301.1999999997</v>
      </c>
      <c r="H19" s="74">
        <f t="shared" si="1"/>
        <v>4946130.8</v>
      </c>
      <c r="I19" s="174">
        <v>2663301.1999999997</v>
      </c>
      <c r="J19" s="65">
        <f>JJVCH!F9</f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f>JJMMF!I9</f>
        <v>25689.160192131658</v>
      </c>
      <c r="G20" s="74">
        <f t="shared" si="0"/>
        <v>3108000</v>
      </c>
      <c r="H20" s="74">
        <f t="shared" si="1"/>
        <v>5772000</v>
      </c>
      <c r="I20" s="174">
        <v>3108000</v>
      </c>
      <c r="J20" s="65">
        <f>JJMMF!F9</f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f>JJHCC!I9</f>
        <v>1595892.0143603629</v>
      </c>
      <c r="G21" s="74">
        <f t="shared" si="0"/>
        <v>16067799.999999998</v>
      </c>
      <c r="H21" s="74">
        <f t="shared" si="1"/>
        <v>29840200</v>
      </c>
      <c r="I21" s="174">
        <v>16067799.999999998</v>
      </c>
      <c r="J21" s="65">
        <f>JJHCC!F9</f>
        <v>1164053.8454970047</v>
      </c>
      <c r="K21" s="60">
        <f t="shared" si="2"/>
        <v>-6886200.0000000019</v>
      </c>
      <c r="L21" s="60">
        <f t="shared" si="2"/>
        <v>-431838.16886335821</v>
      </c>
      <c r="M21" s="61">
        <f t="shared" si="3"/>
        <v>-0.3000000000000001</v>
      </c>
      <c r="N21" s="61">
        <f t="shared" si="3"/>
        <v>-0.27059360218456879</v>
      </c>
    </row>
    <row r="22" spans="1:14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f>JJMCM!I9</f>
        <v>378283.24113526288</v>
      </c>
      <c r="G22" s="74">
        <f t="shared" si="0"/>
        <v>5473288.7999999998</v>
      </c>
      <c r="H22" s="74">
        <f t="shared" si="1"/>
        <v>10164679.200000001</v>
      </c>
      <c r="I22" s="174">
        <v>5473288.7999999998</v>
      </c>
      <c r="J22" s="65">
        <f>JJMCM!F9</f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4782666</v>
      </c>
      <c r="F23" s="57">
        <f>JJHCC_ACQ!I9</f>
        <v>91344.414528190871</v>
      </c>
      <c r="G23" s="74">
        <f t="shared" si="0"/>
        <v>3347866.1999999997</v>
      </c>
      <c r="H23" s="74">
        <f t="shared" si="1"/>
        <v>6217465.7999999998</v>
      </c>
      <c r="I23" s="174">
        <v>3347866.1999999997</v>
      </c>
      <c r="J23" s="65">
        <f>JJHCC_ACQ!F9</f>
        <v>64687.828161978912</v>
      </c>
      <c r="K23" s="60">
        <f t="shared" ref="K23:K24" si="4">I23-E23</f>
        <v>-1434799.8000000003</v>
      </c>
      <c r="L23" s="60">
        <f t="shared" ref="L23:L24" si="5">J23-F23</f>
        <v>-26656.586366211959</v>
      </c>
      <c r="M23" s="61">
        <f t="shared" ref="M23:M24" si="6">K23/E23</f>
        <v>-0.30000000000000004</v>
      </c>
      <c r="N23" s="61">
        <f t="shared" ref="N23:N24" si="7">L23/F23</f>
        <v>-0.29182502842563141</v>
      </c>
    </row>
    <row r="24" spans="1:14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15700000</v>
      </c>
      <c r="F24" s="57">
        <f>JJHCC_ADH!I9</f>
        <v>360832.73711340129</v>
      </c>
      <c r="G24" s="74">
        <f t="shared" si="0"/>
        <v>10990000</v>
      </c>
      <c r="H24" s="74">
        <f t="shared" si="1"/>
        <v>20410000</v>
      </c>
      <c r="I24" s="174">
        <v>10990000</v>
      </c>
      <c r="J24" s="65">
        <f>JJHCC_ADH!F9</f>
        <v>258393.506278947</v>
      </c>
      <c r="K24" s="60">
        <f t="shared" si="4"/>
        <v>-4710000</v>
      </c>
      <c r="L24" s="60">
        <f t="shared" si="5"/>
        <v>-102439.2308344543</v>
      </c>
      <c r="M24" s="61">
        <f t="shared" si="6"/>
        <v>-0.3</v>
      </c>
      <c r="N24" s="61">
        <f t="shared" si="7"/>
        <v>-0.28389672082957385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81102300</v>
      </c>
      <c r="F25" s="77">
        <f t="shared" si="8"/>
        <v>7576032.3955975948</v>
      </c>
      <c r="G25" s="76">
        <f t="shared" si="8"/>
        <v>56771610</v>
      </c>
      <c r="H25" s="76">
        <f t="shared" si="8"/>
        <v>105432990</v>
      </c>
      <c r="I25" s="83">
        <f t="shared" si="8"/>
        <v>66102300.000001624</v>
      </c>
      <c r="J25" s="175">
        <f t="shared" si="8"/>
        <v>7720418.6973289931</v>
      </c>
      <c r="K25" s="76">
        <f>SUM(K17:K24)</f>
        <v>-14999999.999998376</v>
      </c>
      <c r="L25" s="175">
        <f>SUM(L17:L24)</f>
        <v>144386.30173139981</v>
      </c>
      <c r="M25" s="79">
        <f>K25/E25</f>
        <v>-0.18495159816673973</v>
      </c>
      <c r="N25" s="79">
        <f t="shared" si="3"/>
        <v>1.9058300465465562E-2</v>
      </c>
    </row>
    <row r="29" spans="1:14" s="162" customFormat="1" x14ac:dyDescent="0.3"/>
    <row r="30" spans="1:14" ht="55.2" x14ac:dyDescent="0.3">
      <c r="A30" s="212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</row>
    <row r="31" spans="1:14" x14ac:dyDescent="0.3">
      <c r="A31" s="212"/>
      <c r="D31" s="192">
        <v>11.53</v>
      </c>
      <c r="E31" s="193">
        <v>1876</v>
      </c>
      <c r="F31" s="193">
        <v>1118</v>
      </c>
      <c r="G31" s="194">
        <v>194</v>
      </c>
      <c r="H31" s="195">
        <v>0.4</v>
      </c>
      <c r="I31" s="194">
        <f>(1-H31)*G31</f>
        <v>116.39999999999999</v>
      </c>
    </row>
    <row r="32" spans="1:14" ht="13.8" customHeight="1" x14ac:dyDescent="0.3">
      <c r="A32" s="213" t="s">
        <v>2</v>
      </c>
      <c r="B32" s="215" t="s">
        <v>3</v>
      </c>
      <c r="C32" s="215" t="str">
        <f t="shared" ref="C32:C42" si="9">D15</f>
        <v>Response Scaling Factor for Sensitivity Analysis</v>
      </c>
      <c r="D32" s="216" t="s">
        <v>86</v>
      </c>
      <c r="E32" s="217"/>
      <c r="F32" s="217"/>
      <c r="G32" s="218"/>
      <c r="H32" s="219" t="s">
        <v>89</v>
      </c>
      <c r="I32" s="220"/>
      <c r="J32" s="220"/>
      <c r="K32" s="216" t="s">
        <v>189</v>
      </c>
      <c r="L32" s="217"/>
      <c r="M32" s="217"/>
      <c r="N32" s="218"/>
    </row>
    <row r="33" spans="1:14" ht="74.400000000000006" customHeight="1" x14ac:dyDescent="0.3">
      <c r="A33" s="214"/>
      <c r="B33" s="214"/>
      <c r="C33" s="214">
        <f t="shared" si="9"/>
        <v>0</v>
      </c>
      <c r="D33" s="156" t="s">
        <v>182</v>
      </c>
      <c r="E33" s="156" t="s">
        <v>181</v>
      </c>
      <c r="F33" s="156" t="s">
        <v>183</v>
      </c>
      <c r="G33" s="156" t="s">
        <v>199</v>
      </c>
      <c r="H33" s="62" t="s">
        <v>187</v>
      </c>
      <c r="I33" s="62" t="s">
        <v>188</v>
      </c>
      <c r="J33" s="62" t="s">
        <v>200</v>
      </c>
      <c r="K33" s="156" t="s">
        <v>190</v>
      </c>
      <c r="L33" s="156" t="s">
        <v>191</v>
      </c>
      <c r="M33" s="156" t="s">
        <v>192</v>
      </c>
      <c r="N33" s="156" t="s">
        <v>193</v>
      </c>
    </row>
    <row r="34" spans="1:14" x14ac:dyDescent="0.3">
      <c r="A34" s="54" t="s">
        <v>13</v>
      </c>
      <c r="B34" s="54" t="s">
        <v>93</v>
      </c>
      <c r="C34" s="153">
        <f t="shared" si="9"/>
        <v>1</v>
      </c>
      <c r="D34" s="166">
        <f t="shared" ref="D34:D41" si="10">E17</f>
        <v>5991499</v>
      </c>
      <c r="E34" s="164" t="s">
        <v>176</v>
      </c>
      <c r="F34" s="168">
        <f>F17/$D$31</f>
        <v>200413.29391107525</v>
      </c>
      <c r="G34" s="170">
        <f>F34*$F$31</f>
        <v>224062062.59258214</v>
      </c>
      <c r="H34" s="176">
        <f t="shared" ref="H34:H41" si="11">I17</f>
        <v>7788948.7000000002</v>
      </c>
      <c r="I34" s="168">
        <f>J17/$D$31</f>
        <v>259498.53045725002</v>
      </c>
      <c r="J34" s="179">
        <f>I34*$F$31</f>
        <v>290119357.05120552</v>
      </c>
      <c r="K34" s="166">
        <f>H34-D34</f>
        <v>1797449.7000000002</v>
      </c>
      <c r="L34" s="166">
        <f>J34-G34</f>
        <v>66057294.458623379</v>
      </c>
      <c r="M34" s="182">
        <f>K34/D34</f>
        <v>0.30000000000000004</v>
      </c>
      <c r="N34" s="1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9"/>
        <v>1</v>
      </c>
      <c r="D35" s="167">
        <f t="shared" si="10"/>
        <v>15610435</v>
      </c>
      <c r="E35" s="165" t="s">
        <v>176</v>
      </c>
      <c r="F35" s="169">
        <f t="shared" ref="F35:F40" si="12">F18/$D$31</f>
        <v>230933.63819705584</v>
      </c>
      <c r="G35" s="171">
        <f t="shared" ref="G35:G40" si="13">F35*$F$31</f>
        <v>258183807.50430843</v>
      </c>
      <c r="H35" s="177">
        <f t="shared" si="11"/>
        <v>16663095.100001626</v>
      </c>
      <c r="I35" s="169">
        <f t="shared" ref="I35:I40" si="14">J18/$D$31</f>
        <v>246522.71819458695</v>
      </c>
      <c r="J35" s="180">
        <f t="shared" ref="J35:J40" si="15">I35*$F$31</f>
        <v>275612398.94154823</v>
      </c>
      <c r="K35" s="167">
        <f t="shared" ref="K35:K42" si="16">H35-D35</f>
        <v>1052660.1000016257</v>
      </c>
      <c r="L35" s="167">
        <f t="shared" ref="L35:L42" si="17">J35-G35</f>
        <v>17428591.437239796</v>
      </c>
      <c r="M35" s="184">
        <f t="shared" ref="M35:M42" si="18">K35/D35</f>
        <v>6.74331048431146E-2</v>
      </c>
      <c r="N35" s="185">
        <f t="shared" ref="N35:N42" si="19">L35/G35</f>
        <v>6.7504587548345596E-2</v>
      </c>
    </row>
    <row r="36" spans="1:14" x14ac:dyDescent="0.3">
      <c r="A36" s="55" t="s">
        <v>104</v>
      </c>
      <c r="B36" s="55" t="s">
        <v>95</v>
      </c>
      <c r="C36" s="154">
        <f t="shared" si="9"/>
        <v>1</v>
      </c>
      <c r="D36" s="167">
        <f t="shared" si="10"/>
        <v>3804716</v>
      </c>
      <c r="E36" s="165" t="s">
        <v>176</v>
      </c>
      <c r="F36" s="169">
        <f t="shared" si="12"/>
        <v>13058.170083390574</v>
      </c>
      <c r="G36" s="171">
        <f t="shared" si="13"/>
        <v>14599034.153230662</v>
      </c>
      <c r="H36" s="177">
        <f t="shared" si="11"/>
        <v>2663301.1999999997</v>
      </c>
      <c r="I36" s="169">
        <f t="shared" si="14"/>
        <v>9140.6147807428988</v>
      </c>
      <c r="J36" s="180">
        <f t="shared" si="15"/>
        <v>10219207.32487056</v>
      </c>
      <c r="K36" s="167">
        <f t="shared" si="16"/>
        <v>-1141414.8000000003</v>
      </c>
      <c r="L36" s="167">
        <f t="shared" si="17"/>
        <v>-4379826.8283601012</v>
      </c>
      <c r="M36" s="184">
        <f t="shared" si="18"/>
        <v>-0.3000000000000001</v>
      </c>
      <c r="N36" s="185">
        <f t="shared" si="19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9"/>
        <v>1</v>
      </c>
      <c r="D37" s="167">
        <f t="shared" si="10"/>
        <v>4440000</v>
      </c>
      <c r="E37" s="165" t="s">
        <v>176</v>
      </c>
      <c r="F37" s="169">
        <f t="shared" si="12"/>
        <v>2228.0277703496668</v>
      </c>
      <c r="G37" s="171">
        <f t="shared" si="13"/>
        <v>2490935.0472509274</v>
      </c>
      <c r="H37" s="177">
        <f t="shared" si="11"/>
        <v>3108000</v>
      </c>
      <c r="I37" s="169">
        <f t="shared" si="14"/>
        <v>1701.1654528829024</v>
      </c>
      <c r="J37" s="180">
        <f t="shared" si="15"/>
        <v>1901902.9763230849</v>
      </c>
      <c r="K37" s="167">
        <f t="shared" si="16"/>
        <v>-1332000</v>
      </c>
      <c r="L37" s="167">
        <f t="shared" si="17"/>
        <v>-589032.07092784252</v>
      </c>
      <c r="M37" s="184">
        <f t="shared" si="18"/>
        <v>-0.3</v>
      </c>
      <c r="N37" s="185">
        <f t="shared" si="19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9"/>
        <v>1</v>
      </c>
      <c r="D38" s="167">
        <f t="shared" si="10"/>
        <v>22954000</v>
      </c>
      <c r="E38" s="165" t="s">
        <v>176</v>
      </c>
      <c r="F38" s="169">
        <f t="shared" si="12"/>
        <v>138412.14348311909</v>
      </c>
      <c r="G38" s="171">
        <f t="shared" si="13"/>
        <v>154744776.41412714</v>
      </c>
      <c r="H38" s="177">
        <f t="shared" si="11"/>
        <v>16067799.999999998</v>
      </c>
      <c r="I38" s="169">
        <f t="shared" si="14"/>
        <v>100958.70299193449</v>
      </c>
      <c r="J38" s="180">
        <f t="shared" si="15"/>
        <v>112871829.94498277</v>
      </c>
      <c r="K38" s="167">
        <f t="shared" si="16"/>
        <v>-6886200.0000000019</v>
      </c>
      <c r="L38" s="167">
        <f t="shared" si="17"/>
        <v>-41872946.469144374</v>
      </c>
      <c r="M38" s="184">
        <f t="shared" si="18"/>
        <v>-0.3000000000000001</v>
      </c>
      <c r="N38" s="185">
        <f t="shared" si="19"/>
        <v>-0.27059360218456885</v>
      </c>
    </row>
    <row r="39" spans="1:14" x14ac:dyDescent="0.3">
      <c r="A39" s="55" t="s">
        <v>104</v>
      </c>
      <c r="B39" s="55" t="s">
        <v>96</v>
      </c>
      <c r="C39" s="154">
        <f t="shared" si="9"/>
        <v>1</v>
      </c>
      <c r="D39" s="167">
        <f t="shared" si="10"/>
        <v>7818984</v>
      </c>
      <c r="E39" s="165" t="s">
        <v>176</v>
      </c>
      <c r="F39" s="169">
        <f t="shared" si="12"/>
        <v>32808.607210343704</v>
      </c>
      <c r="G39" s="171">
        <f t="shared" si="13"/>
        <v>36680022.861164257</v>
      </c>
      <c r="H39" s="177">
        <f t="shared" si="11"/>
        <v>5473288.7999999998</v>
      </c>
      <c r="I39" s="169">
        <f t="shared" si="14"/>
        <v>23751.326482365839</v>
      </c>
      <c r="J39" s="180">
        <f t="shared" si="15"/>
        <v>26553983.007285006</v>
      </c>
      <c r="K39" s="167">
        <f t="shared" si="16"/>
        <v>-2345695.2000000002</v>
      </c>
      <c r="L39" s="167">
        <f t="shared" si="17"/>
        <v>-10126039.853879251</v>
      </c>
      <c r="M39" s="184">
        <f t="shared" si="18"/>
        <v>-0.30000000000000004</v>
      </c>
      <c r="N39" s="185">
        <f t="shared" si="19"/>
        <v>-0.27606416419659346</v>
      </c>
    </row>
    <row r="40" spans="1:14" x14ac:dyDescent="0.3">
      <c r="A40" s="55" t="s">
        <v>104</v>
      </c>
      <c r="B40" s="55" t="s">
        <v>174</v>
      </c>
      <c r="C40" s="154">
        <f t="shared" si="9"/>
        <v>1</v>
      </c>
      <c r="D40" s="167">
        <f t="shared" si="10"/>
        <v>4782666</v>
      </c>
      <c r="E40" s="165" t="s">
        <v>176</v>
      </c>
      <c r="F40" s="169">
        <f t="shared" si="12"/>
        <v>7922.3256312394515</v>
      </c>
      <c r="G40" s="171">
        <f t="shared" si="13"/>
        <v>8857160.0557257067</v>
      </c>
      <c r="H40" s="177">
        <f t="shared" si="11"/>
        <v>3347866.1999999997</v>
      </c>
      <c r="I40" s="169">
        <f t="shared" si="14"/>
        <v>5610.3927287058905</v>
      </c>
      <c r="J40" s="180">
        <f t="shared" si="15"/>
        <v>6272419.0706931856</v>
      </c>
      <c r="K40" s="167">
        <f t="shared" si="16"/>
        <v>-1434799.8000000003</v>
      </c>
      <c r="L40" s="167">
        <f t="shared" si="17"/>
        <v>-2584740.9850325212</v>
      </c>
      <c r="M40" s="184">
        <f t="shared" si="18"/>
        <v>-0.30000000000000004</v>
      </c>
      <c r="N40" s="185">
        <f t="shared" si="19"/>
        <v>-0.29182502842563141</v>
      </c>
    </row>
    <row r="41" spans="1:14" x14ac:dyDescent="0.3">
      <c r="A41" s="55" t="s">
        <v>104</v>
      </c>
      <c r="B41" s="55" t="s">
        <v>171</v>
      </c>
      <c r="C41" s="154">
        <f t="shared" si="9"/>
        <v>1</v>
      </c>
      <c r="D41" s="167">
        <f t="shared" si="10"/>
        <v>15700000</v>
      </c>
      <c r="E41" s="187" t="s">
        <v>175</v>
      </c>
      <c r="F41" s="169">
        <f t="shared" ref="F41" si="20">F24</f>
        <v>360832.73711340129</v>
      </c>
      <c r="G41" s="171">
        <f>F41*$I$31</f>
        <v>42000930.599999905</v>
      </c>
      <c r="H41" s="177">
        <f t="shared" si="11"/>
        <v>10990000</v>
      </c>
      <c r="I41" s="169">
        <f>J24</f>
        <v>258393.506278947</v>
      </c>
      <c r="J41" s="180">
        <f>I41*$I$31</f>
        <v>30077004.13086943</v>
      </c>
      <c r="K41" s="167">
        <f t="shared" si="16"/>
        <v>-4710000</v>
      </c>
      <c r="L41" s="167">
        <f t="shared" si="17"/>
        <v>-11923926.469130475</v>
      </c>
      <c r="M41" s="184">
        <f t="shared" si="18"/>
        <v>-0.3</v>
      </c>
      <c r="N41" s="185">
        <f t="shared" si="19"/>
        <v>-0.28389672082957379</v>
      </c>
    </row>
    <row r="42" spans="1:14" x14ac:dyDescent="0.3">
      <c r="A42" s="75" t="s">
        <v>104</v>
      </c>
      <c r="B42" s="75" t="s">
        <v>103</v>
      </c>
      <c r="C42" s="75">
        <f t="shared" si="9"/>
        <v>0</v>
      </c>
      <c r="D42" s="76">
        <f>SUM(D34:D41)</f>
        <v>81102300</v>
      </c>
      <c r="E42" s="77"/>
      <c r="F42" s="77"/>
      <c r="G42" s="172">
        <f>SUM(G34:G41)</f>
        <v>741618729.22838914</v>
      </c>
      <c r="H42" s="178">
        <f>SUM(H34:H41)</f>
        <v>66102300.000001624</v>
      </c>
      <c r="I42" s="77"/>
      <c r="J42" s="181">
        <f>SUM(J34:J41)</f>
        <v>753628102.44777775</v>
      </c>
      <c r="K42" s="76">
        <f t="shared" si="16"/>
        <v>-14999999.999998376</v>
      </c>
      <c r="L42" s="200">
        <f t="shared" si="17"/>
        <v>12009373.219388604</v>
      </c>
      <c r="M42" s="79">
        <f t="shared" si="18"/>
        <v>-0.18495159816673973</v>
      </c>
      <c r="N42" s="186">
        <f t="shared" si="19"/>
        <v>1.6193459989722284E-2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260550554.05765232</v>
      </c>
      <c r="H43" s="162"/>
      <c r="I43" s="157"/>
      <c r="J43" s="189">
        <f>SUM(J34:J40)*$E$43 + (J41*$D$43)</f>
        <v>262248955.65841836</v>
      </c>
      <c r="K43" s="162"/>
      <c r="L43" s="189">
        <f>SUM(L34:L40)*$E$43 + (L41*$D$43)</f>
        <v>1698401.6007660339</v>
      </c>
      <c r="M43" s="201">
        <f>L43/L42</f>
        <v>0.14142300099592536</v>
      </c>
      <c r="N43" s="190">
        <f>N42*(L43/L42)</f>
        <v>2.2901277082539718E-3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292171369.54107177</v>
      </c>
      <c r="H44" s="162"/>
      <c r="I44" s="157"/>
      <c r="J44" s="189">
        <f>SUM(J34:J40)*$E$44 + (J41*$D$44)</f>
        <v>296020350.2437942</v>
      </c>
      <c r="K44" s="162"/>
      <c r="L44" s="189">
        <f>SUM(L34:L40)*$E$44 + (L41*$D$44)</f>
        <v>3848980.7027224274</v>
      </c>
      <c r="M44" s="201">
        <f>L44/L42</f>
        <v>0.3204980503485742</v>
      </c>
      <c r="N44" s="190">
        <f>N42*(L44/L42)</f>
        <v>5.1899723551036342E-3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188896805.62966511</v>
      </c>
      <c r="H45" s="162"/>
      <c r="I45" s="157"/>
      <c r="J45" s="189">
        <f>SUM(J34:J40)*$E$45 + (J41*$D$45)</f>
        <v>195358796.54556528</v>
      </c>
      <c r="K45" s="162"/>
      <c r="L45" s="189">
        <f>SUM(L34:L40)*$E$45 + (L41*$D$45)</f>
        <v>6461990.915900155</v>
      </c>
      <c r="M45" s="201">
        <f>L45/L42</f>
        <v>0.53807894865550143</v>
      </c>
      <c r="N45" s="190">
        <f>N42*(L45/L42)</f>
        <v>8.7133599263646937E-3</v>
      </c>
    </row>
    <row r="46" spans="1:14" x14ac:dyDescent="0.3">
      <c r="D46" s="162" t="s">
        <v>175</v>
      </c>
      <c r="E46" s="162" t="s">
        <v>209</v>
      </c>
      <c r="F46" s="162"/>
      <c r="G46" s="162"/>
      <c r="H46" s="162"/>
      <c r="I46" s="162"/>
      <c r="J46" s="162"/>
      <c r="K46" s="162"/>
      <c r="L46" s="162"/>
      <c r="M46" s="162"/>
      <c r="N46" s="162"/>
    </row>
    <row r="47" spans="1:14" ht="27.6" x14ac:dyDescent="0.3">
      <c r="D47" s="160" t="s">
        <v>210</v>
      </c>
      <c r="E47" s="162"/>
      <c r="F47" s="162"/>
      <c r="G47" s="162"/>
      <c r="H47" s="162"/>
      <c r="I47" s="162"/>
      <c r="J47" s="162"/>
      <c r="K47" s="162"/>
      <c r="L47" s="162"/>
      <c r="M47" s="162"/>
      <c r="N47" s="162"/>
    </row>
  </sheetData>
  <mergeCells count="19">
    <mergeCell ref="C32:C33"/>
    <mergeCell ref="D32:G32"/>
    <mergeCell ref="H32:J32"/>
    <mergeCell ref="B4:I4"/>
    <mergeCell ref="K15:N15"/>
    <mergeCell ref="K32:N32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A32:A33"/>
    <mergeCell ref="B32:B33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C1" workbookViewId="0">
      <selection activeCell="M14" sqref="M14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243" t="s">
        <v>105</v>
      </c>
      <c r="I2" s="244"/>
      <c r="J2" s="244"/>
      <c r="K2" s="244"/>
      <c r="L2" s="244"/>
      <c r="M2" s="244"/>
      <c r="N2" s="245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6" t="s">
        <v>136</v>
      </c>
      <c r="I3" s="247"/>
      <c r="J3" s="247"/>
      <c r="K3" s="247"/>
      <c r="L3" s="247"/>
      <c r="M3" s="247"/>
      <c r="N3" s="248"/>
    </row>
    <row r="4" spans="1:14" ht="18.600000000000001" customHeight="1" thickBot="1" x14ac:dyDescent="0.35">
      <c r="A4" s="29" t="s">
        <v>38</v>
      </c>
      <c r="B4" s="249" t="s">
        <v>131</v>
      </c>
      <c r="C4" s="250"/>
      <c r="D4" s="250"/>
      <c r="E4" s="250"/>
      <c r="F4" s="251"/>
    </row>
    <row r="6" spans="1:14" ht="14.4" thickBot="1" x14ac:dyDescent="0.35"/>
    <row r="7" spans="1:14" ht="27.6" customHeight="1" x14ac:dyDescent="0.3">
      <c r="A7" s="232" t="s">
        <v>8</v>
      </c>
      <c r="B7" s="235" t="s">
        <v>9</v>
      </c>
      <c r="C7" s="236"/>
      <c r="D7" s="252" t="s">
        <v>12</v>
      </c>
      <c r="E7" s="235"/>
      <c r="F7" s="236"/>
      <c r="G7" s="252" t="s">
        <v>143</v>
      </c>
      <c r="H7" s="235"/>
      <c r="I7" s="237"/>
      <c r="J7" s="1" t="s">
        <v>144</v>
      </c>
    </row>
    <row r="8" spans="1:14" ht="27.6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4"/>
      <c r="B9" s="112">
        <f>JJ_Optim_Scenario!G17</f>
        <v>4194049.3</v>
      </c>
      <c r="C9" s="113">
        <f>JJ_Optim_Scenario!H17</f>
        <v>7788948.7000000002</v>
      </c>
      <c r="D9" s="114">
        <f>JJ_Optim_Scenario!I17</f>
        <v>7788948.7000000002</v>
      </c>
      <c r="E9" s="119">
        <f>$B$13*D9+$C$13*D9*D9</f>
        <v>259498.53045724996</v>
      </c>
      <c r="F9" s="85">
        <f>$E$13*D9+$F$13*D9*D9</f>
        <v>2992018.0561720924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232" t="s">
        <v>42</v>
      </c>
      <c r="B11" s="235" t="s">
        <v>138</v>
      </c>
      <c r="C11" s="235"/>
      <c r="D11" s="235" t="s">
        <v>125</v>
      </c>
      <c r="E11" s="235" t="s">
        <v>137</v>
      </c>
      <c r="F11" s="235"/>
      <c r="G11" s="237" t="s">
        <v>134</v>
      </c>
      <c r="I11" s="141"/>
      <c r="J11" s="32"/>
    </row>
    <row r="12" spans="1:14" ht="24.6" customHeight="1" x14ac:dyDescent="0.3">
      <c r="A12" s="233"/>
      <c r="B12" s="91" t="s">
        <v>43</v>
      </c>
      <c r="C12" s="91" t="s">
        <v>44</v>
      </c>
      <c r="D12" s="212"/>
      <c r="E12" s="91" t="s">
        <v>132</v>
      </c>
      <c r="F12" s="91" t="s">
        <v>133</v>
      </c>
      <c r="G12" s="238"/>
      <c r="H12" s="198" t="s">
        <v>205</v>
      </c>
      <c r="I12" s="198" t="s">
        <v>206</v>
      </c>
      <c r="J12" s="32"/>
    </row>
    <row r="13" spans="1:14" ht="14.4" thickBot="1" x14ac:dyDescent="0.35">
      <c r="A13" s="234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196">
        <f>JJ_Optim_Scenario!D17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39" t="s">
        <v>135</v>
      </c>
      <c r="B14" s="239"/>
      <c r="C14" s="239"/>
      <c r="D14" s="239"/>
      <c r="E14" s="239"/>
      <c r="F14" s="239"/>
      <c r="G14" s="239"/>
      <c r="H14" s="39"/>
      <c r="I14" s="39"/>
      <c r="J14" s="39"/>
    </row>
    <row r="15" spans="1:14" ht="30.6" customHeight="1" x14ac:dyDescent="0.3">
      <c r="A15" s="240"/>
      <c r="B15" s="240"/>
      <c r="C15" s="240"/>
      <c r="D15" s="240"/>
      <c r="E15" s="240"/>
      <c r="F15" s="240"/>
      <c r="G15" s="240"/>
      <c r="H15" s="39"/>
      <c r="I15" s="39"/>
      <c r="J15" s="39"/>
    </row>
    <row r="17" spans="1:4" ht="14.4" thickBot="1" x14ac:dyDescent="0.35"/>
    <row r="18" spans="1:4" ht="16.8" customHeight="1" x14ac:dyDescent="0.3">
      <c r="A18" s="24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2"/>
      <c r="B19" s="103">
        <v>0</v>
      </c>
      <c r="C19" s="103">
        <v>15000000</v>
      </c>
      <c r="D19" s="26">
        <v>20</v>
      </c>
    </row>
    <row r="21" spans="1:4" x14ac:dyDescent="0.3">
      <c r="A21" s="212" t="s">
        <v>37</v>
      </c>
      <c r="B21" s="212"/>
      <c r="C21" s="21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1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1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1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1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1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1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1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1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1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1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1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1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1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1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1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1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1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1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1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199">
        <f t="shared" si="2"/>
        <v>549741061.89992487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22" workbookViewId="0">
      <selection activeCell="D9" sqref="D9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243" t="s">
        <v>105</v>
      </c>
      <c r="I2" s="244"/>
      <c r="J2" s="244"/>
      <c r="K2" s="244"/>
      <c r="L2" s="244"/>
      <c r="M2" s="244"/>
      <c r="N2" s="245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6" t="s">
        <v>136</v>
      </c>
      <c r="I3" s="247"/>
      <c r="J3" s="247"/>
      <c r="K3" s="247"/>
      <c r="L3" s="247"/>
      <c r="M3" s="247"/>
      <c r="N3" s="248"/>
    </row>
    <row r="4" spans="1:14" ht="18.600000000000001" customHeight="1" thickBot="1" x14ac:dyDescent="0.35">
      <c r="A4" s="29" t="s">
        <v>38</v>
      </c>
      <c r="B4" s="249" t="s">
        <v>131</v>
      </c>
      <c r="C4" s="250"/>
      <c r="D4" s="250"/>
      <c r="E4" s="250"/>
      <c r="F4" s="251"/>
    </row>
    <row r="6" spans="1:14" ht="14.4" thickBot="1" x14ac:dyDescent="0.35"/>
    <row r="7" spans="1:14" ht="27.6" customHeight="1" x14ac:dyDescent="0.3">
      <c r="A7" s="232" t="s">
        <v>8</v>
      </c>
      <c r="B7" s="235" t="s">
        <v>9</v>
      </c>
      <c r="C7" s="236"/>
      <c r="D7" s="252" t="s">
        <v>12</v>
      </c>
      <c r="E7" s="235"/>
      <c r="F7" s="236"/>
      <c r="G7" s="252" t="s">
        <v>143</v>
      </c>
      <c r="H7" s="235"/>
      <c r="I7" s="237"/>
      <c r="J7" s="1" t="s">
        <v>144</v>
      </c>
    </row>
    <row r="8" spans="1:14" ht="27.6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4"/>
      <c r="B9" s="112">
        <f>JJ_Optim_Scenario!G18</f>
        <v>10927304.5</v>
      </c>
      <c r="C9" s="113">
        <f>JJ_Optim_Scenario!H18</f>
        <v>20293565.5</v>
      </c>
      <c r="D9" s="114">
        <f>JJ_Optim_Scenario!I18</f>
        <v>16663095.100001626</v>
      </c>
      <c r="E9" s="119">
        <f>$B$13*D9+$C$13*D9*D9</f>
        <v>246522.71819458689</v>
      </c>
      <c r="F9" s="85">
        <f>$E$13*D9+$F$13*D9*D9</f>
        <v>2842406.9407835873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232" t="s">
        <v>42</v>
      </c>
      <c r="B11" s="235" t="s">
        <v>138</v>
      </c>
      <c r="C11" s="235"/>
      <c r="D11" s="235" t="s">
        <v>125</v>
      </c>
      <c r="E11" s="235" t="s">
        <v>137</v>
      </c>
      <c r="F11" s="235"/>
      <c r="G11" s="237" t="s">
        <v>134</v>
      </c>
      <c r="J11" s="32"/>
    </row>
    <row r="12" spans="1:14" ht="24.6" customHeight="1" x14ac:dyDescent="0.3">
      <c r="A12" s="233"/>
      <c r="B12" s="91" t="s">
        <v>43</v>
      </c>
      <c r="C12" s="91" t="s">
        <v>44</v>
      </c>
      <c r="D12" s="212"/>
      <c r="E12" s="91" t="s">
        <v>132</v>
      </c>
      <c r="F12" s="91" t="s">
        <v>133</v>
      </c>
      <c r="G12" s="238"/>
      <c r="H12" s="198" t="s">
        <v>205</v>
      </c>
      <c r="I12" s="198" t="s">
        <v>206</v>
      </c>
      <c r="J12" s="32"/>
    </row>
    <row r="13" spans="1:14" ht="14.4" thickBot="1" x14ac:dyDescent="0.35">
      <c r="A13" s="234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196">
        <f>JJ_Optim_Scenario!D18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39" t="s">
        <v>135</v>
      </c>
      <c r="B14" s="239"/>
      <c r="C14" s="239"/>
      <c r="D14" s="239"/>
      <c r="E14" s="239"/>
      <c r="F14" s="239"/>
      <c r="G14" s="239"/>
      <c r="H14" s="39"/>
      <c r="I14" s="39"/>
      <c r="J14" s="39"/>
    </row>
    <row r="15" spans="1:14" ht="30.6" customHeight="1" x14ac:dyDescent="0.3">
      <c r="A15" s="240"/>
      <c r="B15" s="240"/>
      <c r="C15" s="240"/>
      <c r="D15" s="240"/>
      <c r="E15" s="240"/>
      <c r="F15" s="240"/>
      <c r="G15" s="240"/>
      <c r="H15" s="39"/>
      <c r="I15" s="39"/>
      <c r="J15" s="39"/>
    </row>
    <row r="17" spans="1:4" ht="14.4" thickBot="1" x14ac:dyDescent="0.35"/>
    <row r="18" spans="1:4" ht="16.8" customHeight="1" x14ac:dyDescent="0.3">
      <c r="A18" s="24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2"/>
      <c r="B19" s="103">
        <v>0</v>
      </c>
      <c r="C19" s="103">
        <v>40000000</v>
      </c>
      <c r="D19" s="26">
        <v>20</v>
      </c>
    </row>
    <row r="21" spans="1:4" x14ac:dyDescent="0.3">
      <c r="A21" s="212" t="s">
        <v>37</v>
      </c>
      <c r="B21" s="212"/>
      <c r="C21" s="21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1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1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1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1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1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1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1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1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1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1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1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1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1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1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1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1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1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1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1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199">
        <f t="shared" si="2"/>
        <v>662593713.01496136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43" t="s">
        <v>105</v>
      </c>
      <c r="I2" s="244"/>
      <c r="J2" s="244"/>
      <c r="K2" s="244"/>
      <c r="L2" s="244"/>
      <c r="M2" s="244"/>
      <c r="N2" s="245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6" t="s">
        <v>136</v>
      </c>
      <c r="I3" s="247"/>
      <c r="J3" s="247"/>
      <c r="K3" s="247"/>
      <c r="L3" s="247"/>
      <c r="M3" s="247"/>
      <c r="N3" s="248"/>
    </row>
    <row r="4" spans="1:14" ht="18.600000000000001" customHeight="1" thickBot="1" x14ac:dyDescent="0.35">
      <c r="A4" s="29" t="s">
        <v>38</v>
      </c>
      <c r="B4" s="249" t="s">
        <v>131</v>
      </c>
      <c r="C4" s="250"/>
      <c r="D4" s="250"/>
      <c r="E4" s="250"/>
      <c r="F4" s="251"/>
    </row>
    <row r="6" spans="1:14" ht="14.4" thickBot="1" x14ac:dyDescent="0.35"/>
    <row r="7" spans="1:14" ht="27.6" customHeight="1" x14ac:dyDescent="0.3">
      <c r="A7" s="232" t="s">
        <v>8</v>
      </c>
      <c r="B7" s="235" t="s">
        <v>9</v>
      </c>
      <c r="C7" s="236"/>
      <c r="D7" s="252" t="s">
        <v>12</v>
      </c>
      <c r="E7" s="235"/>
      <c r="F7" s="236"/>
      <c r="G7" s="252" t="s">
        <v>143</v>
      </c>
      <c r="H7" s="235"/>
      <c r="I7" s="237"/>
      <c r="J7" s="1" t="s">
        <v>144</v>
      </c>
    </row>
    <row r="8" spans="1:14" ht="27.6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4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232" t="s">
        <v>42</v>
      </c>
      <c r="B11" s="235" t="s">
        <v>138</v>
      </c>
      <c r="C11" s="235"/>
      <c r="D11" s="235" t="s">
        <v>125</v>
      </c>
      <c r="E11" s="235" t="s">
        <v>137</v>
      </c>
      <c r="F11" s="235"/>
      <c r="G11" s="237" t="s">
        <v>134</v>
      </c>
      <c r="J11" s="32"/>
    </row>
    <row r="12" spans="1:14" ht="24.6" customHeight="1" x14ac:dyDescent="0.3">
      <c r="A12" s="233"/>
      <c r="B12" s="91" t="s">
        <v>43</v>
      </c>
      <c r="C12" s="91" t="s">
        <v>44</v>
      </c>
      <c r="D12" s="212"/>
      <c r="E12" s="91" t="s">
        <v>132</v>
      </c>
      <c r="F12" s="91" t="s">
        <v>133</v>
      </c>
      <c r="G12" s="238"/>
      <c r="H12" s="198" t="s">
        <v>205</v>
      </c>
      <c r="I12" s="198" t="s">
        <v>206</v>
      </c>
      <c r="J12" s="32"/>
    </row>
    <row r="13" spans="1:14" ht="14.4" thickBot="1" x14ac:dyDescent="0.35">
      <c r="A13" s="234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39" t="s">
        <v>135</v>
      </c>
      <c r="B14" s="239"/>
      <c r="C14" s="239"/>
      <c r="D14" s="239"/>
      <c r="E14" s="239"/>
      <c r="F14" s="239"/>
      <c r="G14" s="239"/>
      <c r="H14" s="39"/>
      <c r="I14" s="39"/>
      <c r="J14" s="39"/>
    </row>
    <row r="15" spans="1:14" ht="30.6" customHeight="1" x14ac:dyDescent="0.3">
      <c r="A15" s="240"/>
      <c r="B15" s="240"/>
      <c r="C15" s="240"/>
      <c r="D15" s="240"/>
      <c r="E15" s="240"/>
      <c r="F15" s="240"/>
      <c r="G15" s="240"/>
      <c r="H15" s="39"/>
      <c r="I15" s="39"/>
      <c r="J15" s="39"/>
    </row>
    <row r="17" spans="1:4" ht="14.4" thickBot="1" x14ac:dyDescent="0.35"/>
    <row r="18" spans="1:4" ht="16.8" customHeight="1" x14ac:dyDescent="0.3">
      <c r="A18" s="24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2"/>
      <c r="B19" s="103">
        <v>0</v>
      </c>
      <c r="C19" s="103">
        <v>60000000</v>
      </c>
      <c r="D19" s="26">
        <v>20</v>
      </c>
    </row>
    <row r="21" spans="1:4" x14ac:dyDescent="0.3">
      <c r="A21" s="212" t="s">
        <v>37</v>
      </c>
      <c r="B21" s="212"/>
      <c r="C21" s="21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1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1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1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1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1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1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1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1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1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1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1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1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1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1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1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1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1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1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1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199">
        <f t="shared" si="2"/>
        <v>1252762298.4731474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43" t="s">
        <v>105</v>
      </c>
      <c r="I2" s="244"/>
      <c r="J2" s="244"/>
      <c r="K2" s="244"/>
      <c r="L2" s="244"/>
      <c r="M2" s="244"/>
      <c r="N2" s="245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246" t="s">
        <v>136</v>
      </c>
      <c r="I3" s="247"/>
      <c r="J3" s="247"/>
      <c r="K3" s="247"/>
      <c r="L3" s="247"/>
      <c r="M3" s="247"/>
      <c r="N3" s="248"/>
    </row>
    <row r="4" spans="1:14" ht="18.600000000000001" customHeight="1" thickBot="1" x14ac:dyDescent="0.35">
      <c r="A4" s="29" t="s">
        <v>38</v>
      </c>
      <c r="B4" s="249" t="s">
        <v>131</v>
      </c>
      <c r="C4" s="250"/>
      <c r="D4" s="250"/>
      <c r="E4" s="250"/>
      <c r="F4" s="251"/>
    </row>
    <row r="6" spans="1:14" ht="14.4" thickBot="1" x14ac:dyDescent="0.35"/>
    <row r="7" spans="1:14" ht="27.6" customHeight="1" x14ac:dyDescent="0.3">
      <c r="A7" s="232" t="s">
        <v>8</v>
      </c>
      <c r="B7" s="235" t="s">
        <v>9</v>
      </c>
      <c r="C7" s="236"/>
      <c r="D7" s="252" t="s">
        <v>12</v>
      </c>
      <c r="E7" s="235"/>
      <c r="F7" s="236"/>
      <c r="G7" s="252" t="s">
        <v>143</v>
      </c>
      <c r="H7" s="235"/>
      <c r="I7" s="237"/>
      <c r="J7" s="1" t="s">
        <v>144</v>
      </c>
    </row>
    <row r="8" spans="1:14" ht="27.6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4"/>
      <c r="B9" s="112">
        <f>JJ_Optim_Scenario!E19</f>
        <v>3804716</v>
      </c>
      <c r="C9" s="113">
        <f>JJ_Optim_Scenario!H19</f>
        <v>4946130.8</v>
      </c>
      <c r="D9" s="114">
        <f>JJ_Optim_Scenario!I19</f>
        <v>2663301.1999999997</v>
      </c>
      <c r="E9" s="119">
        <f>$B$13*D9+$C$13*D9*D9</f>
        <v>9140.6147807429006</v>
      </c>
      <c r="F9" s="85">
        <f>$E$13*D9+$F$13*D9*D9</f>
        <v>105391.28842196563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232" t="s">
        <v>42</v>
      </c>
      <c r="B11" s="235" t="s">
        <v>138</v>
      </c>
      <c r="C11" s="235"/>
      <c r="D11" s="235" t="s">
        <v>125</v>
      </c>
      <c r="E11" s="235" t="s">
        <v>137</v>
      </c>
      <c r="F11" s="235"/>
      <c r="G11" s="237" t="s">
        <v>134</v>
      </c>
      <c r="J11" s="32"/>
    </row>
    <row r="12" spans="1:14" ht="24.6" customHeight="1" x14ac:dyDescent="0.3">
      <c r="A12" s="233"/>
      <c r="B12" s="91" t="s">
        <v>43</v>
      </c>
      <c r="C12" s="91" t="s">
        <v>44</v>
      </c>
      <c r="D12" s="212"/>
      <c r="E12" s="91" t="s">
        <v>132</v>
      </c>
      <c r="F12" s="91" t="s">
        <v>133</v>
      </c>
      <c r="G12" s="238"/>
      <c r="H12" s="198" t="s">
        <v>205</v>
      </c>
      <c r="I12" s="198" t="s">
        <v>206</v>
      </c>
      <c r="J12" s="32"/>
    </row>
    <row r="13" spans="1:14" ht="14.4" thickBot="1" x14ac:dyDescent="0.35">
      <c r="A13" s="234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196">
        <f>JJ_Optim_Scenario!D19</f>
        <v>1</v>
      </c>
      <c r="H13" s="158">
        <f>JJ_Optim_Scenario!$I$31</f>
        <v>116.39999999999999</v>
      </c>
      <c r="I13" s="158">
        <f>JJ_Optim_Scenario!$F$31</f>
        <v>1118</v>
      </c>
      <c r="J13" s="32"/>
    </row>
    <row r="14" spans="1:14" ht="31.8" customHeight="1" x14ac:dyDescent="0.3">
      <c r="A14" s="239" t="s">
        <v>135</v>
      </c>
      <c r="B14" s="239"/>
      <c r="C14" s="239"/>
      <c r="D14" s="239"/>
      <c r="E14" s="239"/>
      <c r="F14" s="239"/>
      <c r="G14" s="239"/>
      <c r="H14" s="39"/>
      <c r="I14" s="39"/>
      <c r="J14" s="39"/>
    </row>
    <row r="15" spans="1:14" ht="30.6" customHeight="1" x14ac:dyDescent="0.3">
      <c r="A15" s="240"/>
      <c r="B15" s="240"/>
      <c r="C15" s="240"/>
      <c r="D15" s="240"/>
      <c r="E15" s="240"/>
      <c r="F15" s="240"/>
      <c r="G15" s="240"/>
      <c r="H15" s="39"/>
      <c r="I15" s="39"/>
      <c r="J15" s="39"/>
    </row>
    <row r="17" spans="1:4" ht="14.4" thickBot="1" x14ac:dyDescent="0.35"/>
    <row r="18" spans="1:4" ht="16.8" customHeight="1" x14ac:dyDescent="0.3">
      <c r="A18" s="241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2"/>
      <c r="B19" s="103">
        <v>0</v>
      </c>
      <c r="C19" s="103">
        <v>10000000</v>
      </c>
      <c r="D19" s="26">
        <v>20</v>
      </c>
    </row>
    <row r="21" spans="1:4" x14ac:dyDescent="0.3">
      <c r="A21" s="212" t="s">
        <v>37</v>
      </c>
      <c r="B21" s="212"/>
      <c r="C21" s="212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1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1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1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1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1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1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1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1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1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1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1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1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1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1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1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1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1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1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1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1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199">
        <f t="shared" si="2"/>
        <v>38373266.546987124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E41" sqref="E4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223" t="s">
        <v>105</v>
      </c>
      <c r="N2" s="224"/>
      <c r="O2" s="224"/>
      <c r="P2" s="224"/>
      <c r="Q2" s="224"/>
      <c r="R2" s="224"/>
      <c r="S2" s="225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226" t="s">
        <v>72</v>
      </c>
      <c r="N3" s="227"/>
      <c r="O3" s="227"/>
      <c r="P3" s="227"/>
      <c r="Q3" s="227"/>
      <c r="R3" s="227"/>
      <c r="S3" s="228"/>
    </row>
    <row r="4" spans="1:25" ht="15" customHeight="1" thickBot="1" x14ac:dyDescent="0.35">
      <c r="A4" s="29" t="s">
        <v>38</v>
      </c>
      <c r="B4" s="249" t="s">
        <v>57</v>
      </c>
      <c r="C4" s="250"/>
      <c r="D4" s="250"/>
      <c r="E4" s="250"/>
      <c r="F4" s="251"/>
    </row>
    <row r="6" spans="1:25" ht="14.4" thickBot="1" x14ac:dyDescent="0.35"/>
    <row r="7" spans="1:25" ht="27.6" customHeight="1" x14ac:dyDescent="0.3">
      <c r="A7" s="232" t="s">
        <v>8</v>
      </c>
      <c r="B7" s="235" t="s">
        <v>9</v>
      </c>
      <c r="C7" s="235"/>
      <c r="D7" s="235" t="s">
        <v>12</v>
      </c>
      <c r="E7" s="235"/>
      <c r="F7" s="235"/>
      <c r="G7" s="235" t="s">
        <v>143</v>
      </c>
      <c r="H7" s="235"/>
      <c r="I7" s="237"/>
      <c r="J7" s="253" t="s">
        <v>144</v>
      </c>
      <c r="K7" s="254"/>
      <c r="M7" s="264" t="s">
        <v>73</v>
      </c>
      <c r="N7" s="264"/>
      <c r="O7" s="264"/>
      <c r="P7" s="264"/>
      <c r="R7" s="47" t="s">
        <v>58</v>
      </c>
    </row>
    <row r="8" spans="1:25" ht="27.6" x14ac:dyDescent="0.3">
      <c r="A8" s="233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264"/>
      <c r="N8" s="264"/>
      <c r="O8" s="264"/>
      <c r="P8" s="264"/>
      <c r="R8" s="47" t="s">
        <v>59</v>
      </c>
    </row>
    <row r="9" spans="1:25" ht="14.4" thickBot="1" x14ac:dyDescent="0.35">
      <c r="A9" s="234"/>
      <c r="B9" s="112">
        <f>JJ_Optim_Scenario!G20</f>
        <v>3108000</v>
      </c>
      <c r="C9" s="112">
        <f>JJ_Optim_Scenario!H20</f>
        <v>5772000</v>
      </c>
      <c r="D9" s="117">
        <f>JJ_Optim_Scenario!I20</f>
        <v>3108000</v>
      </c>
      <c r="E9" s="118">
        <f>csplinePred($B$14:$B$20,$C$14:$C$20,$H$14:$O$20,D9)*$C$12</f>
        <v>1701.1654528829024</v>
      </c>
      <c r="F9" s="118">
        <f>E9*$C$11</f>
        <v>19614.437671739863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232" t="s">
        <v>148</v>
      </c>
      <c r="B11" s="93" t="s">
        <v>149</v>
      </c>
      <c r="C11" s="10">
        <v>11.53</v>
      </c>
      <c r="D11" s="198" t="s">
        <v>205</v>
      </c>
      <c r="E11" s="198" t="s">
        <v>206</v>
      </c>
    </row>
    <row r="12" spans="1:25" ht="38.4" customHeight="1" thickBot="1" x14ac:dyDescent="0.35">
      <c r="A12" s="234"/>
      <c r="B12" s="137" t="s">
        <v>134</v>
      </c>
      <c r="C12" s="196">
        <f>JJ_Optim_Scenario!D20</f>
        <v>1</v>
      </c>
      <c r="D12" s="158">
        <f>JJ_Optim_Scenario!$I$31</f>
        <v>116.39999999999999</v>
      </c>
      <c r="E12" s="158">
        <f>JJ_Optim_Scenario!$F$31</f>
        <v>1118</v>
      </c>
    </row>
    <row r="13" spans="1:25" ht="13.8" customHeight="1" x14ac:dyDescent="0.3">
      <c r="A13" s="232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255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233"/>
      <c r="B14" s="125">
        <v>0</v>
      </c>
      <c r="C14" s="127">
        <v>0</v>
      </c>
      <c r="D14" s="133">
        <f>C14*$C$11</f>
        <v>0</v>
      </c>
      <c r="E14" s="130"/>
      <c r="G14" s="256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233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256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233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256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233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256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233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256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233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256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234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257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258" t="s">
        <v>74</v>
      </c>
      <c r="B21" s="259"/>
      <c r="C21" s="260"/>
      <c r="D21" s="33"/>
      <c r="G21" s="240" t="s">
        <v>75</v>
      </c>
      <c r="H21" s="240"/>
      <c r="I21" s="240"/>
      <c r="J21" s="240"/>
      <c r="K21" s="240"/>
      <c r="L21" s="240"/>
      <c r="M21" s="240"/>
      <c r="N21" s="240"/>
      <c r="O21" s="240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261"/>
      <c r="B22" s="262"/>
      <c r="C22" s="263"/>
      <c r="D22" s="33"/>
      <c r="G22" s="240"/>
      <c r="H22" s="240"/>
      <c r="I22" s="240"/>
      <c r="J22" s="240"/>
      <c r="K22" s="240"/>
      <c r="L22" s="240"/>
      <c r="M22" s="240"/>
      <c r="N22" s="240"/>
      <c r="O22" s="240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241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242"/>
      <c r="B26" s="103">
        <v>0</v>
      </c>
      <c r="C26" s="103">
        <v>20000000</v>
      </c>
      <c r="D26" s="26">
        <v>20</v>
      </c>
    </row>
    <row r="28" spans="1:25" x14ac:dyDescent="0.3">
      <c r="A28" s="212" t="s">
        <v>37</v>
      </c>
      <c r="B28" s="212"/>
      <c r="C28" s="212"/>
    </row>
    <row r="29" spans="1:25" x14ac:dyDescent="0.3">
      <c r="A29" s="91" t="s">
        <v>35</v>
      </c>
      <c r="B29" s="91" t="s">
        <v>127</v>
      </c>
      <c r="C29" s="91" t="s">
        <v>156</v>
      </c>
      <c r="D29" s="198" t="s">
        <v>207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1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1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1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1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1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1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1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1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1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1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1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1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1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1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1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1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1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1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1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1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199">
        <f t="shared" si="2"/>
        <v>5040742.6756750345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8" t="s">
        <v>111</v>
      </c>
      <c r="C4" s="268"/>
      <c r="D4" s="268"/>
      <c r="E4" s="268"/>
      <c r="F4" s="269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32" t="s">
        <v>8</v>
      </c>
      <c r="B7" s="235" t="s">
        <v>9</v>
      </c>
      <c r="C7" s="236"/>
      <c r="D7" s="270" t="s">
        <v>12</v>
      </c>
      <c r="E7" s="271"/>
      <c r="F7" s="272"/>
      <c r="G7" s="235" t="s">
        <v>143</v>
      </c>
      <c r="H7" s="235"/>
      <c r="I7" s="237"/>
      <c r="J7" s="1" t="s">
        <v>144</v>
      </c>
    </row>
    <row r="8" spans="1:18" ht="28.2" customHeight="1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4"/>
      <c r="B9" s="80">
        <f>JJ_Optim_Scenario!G21</f>
        <v>16067799.999999998</v>
      </c>
      <c r="C9" s="80">
        <f>JJ_Optim_Scenario!H21</f>
        <v>29840200</v>
      </c>
      <c r="D9" s="95">
        <f>JJ_Optim_Scenario!I21</f>
        <v>16067799.999999998</v>
      </c>
      <c r="E9" s="118">
        <f>((($R$12/(1+EXP($P$12+$Q$12*D9)))-1) - ($F$12-$C$12))*$I$12</f>
        <v>100958.70299193449</v>
      </c>
      <c r="F9" s="145">
        <f>E9*$G$12</f>
        <v>1164053.8454970047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2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4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4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197">
        <f>JJ_Optim_Scenario!D21</f>
        <v>1</v>
      </c>
      <c r="K12" s="242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265" t="s">
        <v>119</v>
      </c>
      <c r="B13" s="266"/>
      <c r="C13" s="266"/>
      <c r="D13" s="266"/>
      <c r="E13" s="266"/>
      <c r="F13" s="267"/>
      <c r="G13" s="198" t="s">
        <v>205</v>
      </c>
      <c r="H13" s="198" t="s">
        <v>206</v>
      </c>
      <c r="K13" s="265" t="s">
        <v>120</v>
      </c>
      <c r="L13" s="266"/>
      <c r="M13" s="266"/>
      <c r="N13" s="266"/>
      <c r="O13" s="266"/>
      <c r="P13" s="266"/>
      <c r="Q13" s="266"/>
      <c r="R13" s="267"/>
    </row>
    <row r="14" spans="1:18" ht="33.6" customHeight="1" thickBot="1" x14ac:dyDescent="0.35">
      <c r="A14" s="261"/>
      <c r="B14" s="262"/>
      <c r="C14" s="262"/>
      <c r="D14" s="262"/>
      <c r="E14" s="262"/>
      <c r="F14" s="263"/>
      <c r="G14" s="158">
        <f>JJ_Optim_Scenario!$I$31</f>
        <v>116.39999999999999</v>
      </c>
      <c r="H14" s="158">
        <f>JJ_Optim_Scenario!$F$31</f>
        <v>1118</v>
      </c>
      <c r="K14" s="261"/>
      <c r="L14" s="262"/>
      <c r="M14" s="262"/>
      <c r="N14" s="262"/>
      <c r="O14" s="262"/>
      <c r="P14" s="262"/>
      <c r="Q14" s="262"/>
      <c r="R14" s="263"/>
    </row>
    <row r="16" spans="1:18" ht="14.4" thickBot="1" x14ac:dyDescent="0.35"/>
    <row r="17" spans="1:8" ht="42.6" customHeight="1" x14ac:dyDescent="0.3">
      <c r="A17" s="24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2"/>
      <c r="B18" s="102">
        <v>0</v>
      </c>
      <c r="C18" s="103">
        <v>60000000</v>
      </c>
      <c r="D18" s="26">
        <v>20</v>
      </c>
    </row>
    <row r="20" spans="1:8" x14ac:dyDescent="0.3">
      <c r="A20" s="212" t="s">
        <v>37</v>
      </c>
      <c r="B20" s="212"/>
      <c r="C20" s="212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1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1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1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1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1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1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1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1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1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1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1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1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1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1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1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1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1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1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1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199">
        <f t="shared" si="2"/>
        <v>325669640.47273898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8" t="s">
        <v>111</v>
      </c>
      <c r="C4" s="268"/>
      <c r="D4" s="268"/>
      <c r="E4" s="268"/>
      <c r="F4" s="269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232" t="s">
        <v>8</v>
      </c>
      <c r="B7" s="235" t="s">
        <v>9</v>
      </c>
      <c r="C7" s="236"/>
      <c r="D7" s="270" t="s">
        <v>12</v>
      </c>
      <c r="E7" s="271"/>
      <c r="F7" s="272"/>
      <c r="G7" s="235" t="s">
        <v>143</v>
      </c>
      <c r="H7" s="235"/>
      <c r="I7" s="237"/>
      <c r="J7" s="1" t="s">
        <v>144</v>
      </c>
    </row>
    <row r="8" spans="1:18" ht="28.2" customHeight="1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4"/>
      <c r="B9" s="80">
        <f>JJ_Optim_Scenario!G22</f>
        <v>5473288.7999999998</v>
      </c>
      <c r="C9" s="80">
        <f>JJ_Optim_Scenario!H22</f>
        <v>10164679.200000001</v>
      </c>
      <c r="D9" s="95">
        <f>JJ_Optim_Scenario!I22</f>
        <v>5473288.7999999998</v>
      </c>
      <c r="E9" s="118">
        <f>((($R$12/(1+EXP($P$12+$Q$12*D9)))-1) - ($F$12-$C$12))*$I$12</f>
        <v>23751.326482365839</v>
      </c>
      <c r="F9" s="145">
        <f>E9*$G$12</f>
        <v>273852.79434167809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2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4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4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197">
        <f>JJ_Optim_Scenario!D22</f>
        <v>1</v>
      </c>
      <c r="K12" s="242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265" t="s">
        <v>119</v>
      </c>
      <c r="B13" s="266"/>
      <c r="C13" s="266"/>
      <c r="D13" s="266"/>
      <c r="E13" s="266"/>
      <c r="F13" s="267"/>
      <c r="G13" s="198" t="s">
        <v>205</v>
      </c>
      <c r="H13" s="198" t="s">
        <v>206</v>
      </c>
      <c r="K13" s="265" t="s">
        <v>120</v>
      </c>
      <c r="L13" s="266"/>
      <c r="M13" s="266"/>
      <c r="N13" s="266"/>
      <c r="O13" s="266"/>
      <c r="P13" s="266"/>
      <c r="Q13" s="266"/>
      <c r="R13" s="267"/>
    </row>
    <row r="14" spans="1:18" ht="33.6" customHeight="1" thickBot="1" x14ac:dyDescent="0.35">
      <c r="A14" s="261"/>
      <c r="B14" s="262"/>
      <c r="C14" s="262"/>
      <c r="D14" s="262"/>
      <c r="E14" s="262"/>
      <c r="F14" s="263"/>
      <c r="G14" s="158">
        <f>JJ_Optim_Scenario!$I$31</f>
        <v>116.39999999999999</v>
      </c>
      <c r="H14" s="158">
        <f>JJ_Optim_Scenario!$F$31</f>
        <v>1118</v>
      </c>
      <c r="K14" s="261"/>
      <c r="L14" s="262"/>
      <c r="M14" s="262"/>
      <c r="N14" s="262"/>
      <c r="O14" s="262"/>
      <c r="P14" s="262"/>
      <c r="Q14" s="262"/>
      <c r="R14" s="263"/>
    </row>
    <row r="16" spans="1:18" ht="14.4" thickBot="1" x14ac:dyDescent="0.35"/>
    <row r="17" spans="1:8" ht="42.6" customHeight="1" x14ac:dyDescent="0.3">
      <c r="A17" s="24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2"/>
      <c r="B18" s="102">
        <v>0</v>
      </c>
      <c r="C18" s="103">
        <v>30000000</v>
      </c>
      <c r="D18" s="26">
        <v>20</v>
      </c>
    </row>
    <row r="20" spans="1:8" x14ac:dyDescent="0.3">
      <c r="A20" s="212" t="s">
        <v>37</v>
      </c>
      <c r="B20" s="212"/>
      <c r="C20" s="212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1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1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1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1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1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1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1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1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1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1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1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1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1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1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1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1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1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1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1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199">
        <f t="shared" si="2"/>
        <v>104150341.40321961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68" t="s">
        <v>111</v>
      </c>
      <c r="C4" s="268"/>
      <c r="D4" s="268"/>
      <c r="E4" s="268"/>
      <c r="F4" s="269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32" t="s">
        <v>8</v>
      </c>
      <c r="B7" s="235" t="s">
        <v>9</v>
      </c>
      <c r="C7" s="236"/>
      <c r="D7" s="270" t="s">
        <v>12</v>
      </c>
      <c r="E7" s="271"/>
      <c r="F7" s="272"/>
      <c r="G7" s="235" t="s">
        <v>143</v>
      </c>
      <c r="H7" s="235"/>
      <c r="I7" s="237"/>
      <c r="J7" s="1" t="s">
        <v>144</v>
      </c>
    </row>
    <row r="8" spans="1:18" ht="28.2" customHeight="1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4"/>
      <c r="B9" s="80">
        <f>JJ_Optim_Scenario!G23</f>
        <v>3347866.1999999997</v>
      </c>
      <c r="C9" s="80">
        <f>JJ_Optim_Scenario!H23</f>
        <v>6217465.7999999998</v>
      </c>
      <c r="D9" s="95">
        <f>JJ_Optim_Scenario!I23</f>
        <v>3347866.1999999997</v>
      </c>
      <c r="E9" s="118">
        <f>((($R$12/(1+EXP($P$12+$Q$12*D9)))-1) - ($F$12-$C$12))*$I$12</f>
        <v>5610.3927287058905</v>
      </c>
      <c r="F9" s="145">
        <f>E9*$G$12</f>
        <v>64687.828161978912</v>
      </c>
      <c r="G9" s="80">
        <f>JJ_Optim_Scenario!E23</f>
        <v>4782666</v>
      </c>
      <c r="H9" s="121">
        <f>((($R$12/(1+EXP($P$12+$Q$12*G9)))-1) - ($F$12-$C$12))*$I$12</f>
        <v>7922.3256312394515</v>
      </c>
      <c r="I9" s="146">
        <f>H9*$G$12</f>
        <v>91344.414528190871</v>
      </c>
      <c r="J9" s="123">
        <f>G9/I9</f>
        <v>52.358603694634937</v>
      </c>
      <c r="K9" s="1" t="s">
        <v>142</v>
      </c>
    </row>
    <row r="10" spans="1:18" ht="14.4" thickBot="1" x14ac:dyDescent="0.35"/>
    <row r="11" spans="1:18" ht="61.8" customHeight="1" x14ac:dyDescent="0.3">
      <c r="A11" s="2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24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4"/>
      <c r="B12" s="80">
        <v>5685666</v>
      </c>
      <c r="C12" s="86">
        <v>9349.7307908118928</v>
      </c>
      <c r="D12" s="12">
        <v>0</v>
      </c>
      <c r="E12" s="86">
        <v>103300</v>
      </c>
      <c r="F12" s="97">
        <v>5165000</v>
      </c>
      <c r="G12" s="148">
        <v>11.53</v>
      </c>
      <c r="H12" s="98">
        <f>C12*G12</f>
        <v>107802.39601806112</v>
      </c>
      <c r="I12" s="197">
        <f>JJ_Optim_Scenario!D23</f>
        <v>1</v>
      </c>
      <c r="K12" s="242"/>
      <c r="L12" s="98">
        <f>F12-C12</f>
        <v>5155650.2692091884</v>
      </c>
      <c r="M12" s="98">
        <f>L12+E12</f>
        <v>5258950.2692091884</v>
      </c>
      <c r="N12" s="99">
        <f>B12</f>
        <v>5685666</v>
      </c>
      <c r="O12" s="98">
        <f>F12</f>
        <v>5165000</v>
      </c>
      <c r="P12" s="24">
        <f>LN((($M$12+1)/($L$12+1))-1)</f>
        <v>-3.9102113497285353</v>
      </c>
      <c r="Q12" s="100">
        <f>(LN((($M$12+1)/($O$12+1))-1)-$P$12)/$N$12</f>
        <v>-1.7004803681565007E-8</v>
      </c>
      <c r="R12" s="101">
        <f>M12+1</f>
        <v>5258951.2692091884</v>
      </c>
    </row>
    <row r="13" spans="1:18" ht="34.200000000000003" customHeight="1" x14ac:dyDescent="0.3">
      <c r="A13" s="265" t="s">
        <v>119</v>
      </c>
      <c r="B13" s="266"/>
      <c r="C13" s="266"/>
      <c r="D13" s="266"/>
      <c r="E13" s="266"/>
      <c r="F13" s="267"/>
      <c r="G13" s="198" t="s">
        <v>205</v>
      </c>
      <c r="H13" s="198" t="s">
        <v>206</v>
      </c>
      <c r="K13" s="265" t="s">
        <v>120</v>
      </c>
      <c r="L13" s="266"/>
      <c r="M13" s="266"/>
      <c r="N13" s="266"/>
      <c r="O13" s="266"/>
      <c r="P13" s="266"/>
      <c r="Q13" s="266"/>
      <c r="R13" s="267"/>
    </row>
    <row r="14" spans="1:18" ht="33.6" customHeight="1" thickBot="1" x14ac:dyDescent="0.35">
      <c r="A14" s="261"/>
      <c r="B14" s="262"/>
      <c r="C14" s="262"/>
      <c r="D14" s="262"/>
      <c r="E14" s="262"/>
      <c r="F14" s="263"/>
      <c r="G14" s="158">
        <f>JJ_Optim_Scenario!$I$31</f>
        <v>116.39999999999999</v>
      </c>
      <c r="H14" s="158">
        <f>JJ_Optim_Scenario!$F$31</f>
        <v>1118</v>
      </c>
      <c r="K14" s="261"/>
      <c r="L14" s="262"/>
      <c r="M14" s="262"/>
      <c r="N14" s="262"/>
      <c r="O14" s="262"/>
      <c r="P14" s="262"/>
      <c r="Q14" s="262"/>
      <c r="R14" s="263"/>
    </row>
    <row r="16" spans="1:18" ht="14.4" thickBot="1" x14ac:dyDescent="0.35"/>
    <row r="17" spans="1:8" ht="42.6" customHeight="1" x14ac:dyDescent="0.3">
      <c r="A17" s="24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2"/>
      <c r="B18" s="102">
        <v>0</v>
      </c>
      <c r="C18" s="103">
        <v>20000000</v>
      </c>
      <c r="D18" s="26">
        <v>20</v>
      </c>
    </row>
    <row r="20" spans="1:8" x14ac:dyDescent="0.3">
      <c r="A20" s="212" t="s">
        <v>37</v>
      </c>
      <c r="B20" s="212"/>
      <c r="C20" s="212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1708.0983693981543</v>
      </c>
      <c r="C23" s="106">
        <f t="shared" ref="C23:C42" si="1">B23*$G$12</f>
        <v>19694.374199160717</v>
      </c>
      <c r="D23" s="1">
        <f>(B23-B22)/A23</f>
        <v>1.7080983693981543E-3</v>
      </c>
      <c r="E23" s="199">
        <f t="shared" ref="E23:E42" si="2">B23*$H$14</f>
        <v>1909653.9769871365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3388.5001289946958</v>
      </c>
      <c r="C24" s="106">
        <f t="shared" si="1"/>
        <v>39069.406487308843</v>
      </c>
      <c r="D24" s="1">
        <f t="shared" ref="D24:D42" si="4">(B24-B23)/A24</f>
        <v>8.4020087979827073E-4</v>
      </c>
      <c r="E24" s="199">
        <f t="shared" si="2"/>
        <v>3788343.14421607</v>
      </c>
    </row>
    <row r="25" spans="1:8" x14ac:dyDescent="0.3">
      <c r="A25" s="122">
        <f t="shared" si="3"/>
        <v>3000000</v>
      </c>
      <c r="B25" s="106">
        <f t="shared" si="0"/>
        <v>5041.6364102456719</v>
      </c>
      <c r="C25" s="106">
        <f t="shared" si="1"/>
        <v>58130.06781013259</v>
      </c>
      <c r="D25" s="1">
        <f t="shared" si="4"/>
        <v>5.510454270836587E-4</v>
      </c>
      <c r="E25" s="199">
        <f t="shared" si="2"/>
        <v>5636549.5066546611</v>
      </c>
    </row>
    <row r="26" spans="1:8" x14ac:dyDescent="0.3">
      <c r="A26" s="122">
        <f t="shared" si="3"/>
        <v>4000000</v>
      </c>
      <c r="B26" s="106">
        <f t="shared" si="0"/>
        <v>6667.9322238313034</v>
      </c>
      <c r="C26" s="106">
        <f t="shared" si="1"/>
        <v>76881.258540774928</v>
      </c>
      <c r="D26" s="1">
        <f t="shared" si="4"/>
        <v>4.0657395339640791E-4</v>
      </c>
      <c r="E26" s="199">
        <f t="shared" si="2"/>
        <v>7454748.2262433972</v>
      </c>
    </row>
    <row r="27" spans="1:8" x14ac:dyDescent="0.3">
      <c r="A27" s="122">
        <f t="shared" si="3"/>
        <v>5000000</v>
      </c>
      <c r="B27" s="106">
        <f t="shared" si="0"/>
        <v>8267.8065268909559</v>
      </c>
      <c r="C27" s="106">
        <f t="shared" si="1"/>
        <v>95327.809255052722</v>
      </c>
      <c r="D27" s="1">
        <f t="shared" si="4"/>
        <v>3.1997486061193051E-4</v>
      </c>
      <c r="E27" s="199">
        <f t="shared" si="2"/>
        <v>9243407.6970640887</v>
      </c>
    </row>
    <row r="28" spans="1:8" x14ac:dyDescent="0.3">
      <c r="A28" s="122">
        <f t="shared" si="3"/>
        <v>6000000</v>
      </c>
      <c r="B28" s="106">
        <f t="shared" si="0"/>
        <v>9841.6722902022302</v>
      </c>
      <c r="C28" s="106">
        <f t="shared" si="1"/>
        <v>113474.48150603171</v>
      </c>
      <c r="D28" s="1">
        <f t="shared" si="4"/>
        <v>2.6231096055187906E-4</v>
      </c>
      <c r="E28" s="199">
        <f t="shared" si="2"/>
        <v>11002989.620446093</v>
      </c>
    </row>
    <row r="29" spans="1:8" x14ac:dyDescent="0.3">
      <c r="A29" s="122">
        <f t="shared" si="3"/>
        <v>7000000</v>
      </c>
      <c r="B29" s="106">
        <f t="shared" si="0"/>
        <v>11389.936565298587</v>
      </c>
      <c r="C29" s="106">
        <f t="shared" si="1"/>
        <v>131325.9685978927</v>
      </c>
      <c r="D29" s="1">
        <f t="shared" si="4"/>
        <v>2.2118061072805097E-4</v>
      </c>
      <c r="E29" s="199">
        <f t="shared" si="2"/>
        <v>12733949.08000382</v>
      </c>
    </row>
    <row r="30" spans="1:8" x14ac:dyDescent="0.3">
      <c r="A30" s="122">
        <f t="shared" si="3"/>
        <v>8000000</v>
      </c>
      <c r="B30" s="106">
        <f t="shared" si="0"/>
        <v>12913.000551461242</v>
      </c>
      <c r="C30" s="106">
        <f t="shared" si="1"/>
        <v>148886.89635834811</v>
      </c>
      <c r="D30" s="1">
        <f t="shared" si="4"/>
        <v>1.9038299827033188E-4</v>
      </c>
      <c r="E30" s="199">
        <f t="shared" si="2"/>
        <v>14436734.616533669</v>
      </c>
    </row>
    <row r="31" spans="1:8" x14ac:dyDescent="0.3">
      <c r="A31" s="122">
        <f t="shared" si="3"/>
        <v>9000000</v>
      </c>
      <c r="B31" s="106">
        <f t="shared" si="0"/>
        <v>14411.259662600234</v>
      </c>
      <c r="C31" s="106">
        <f t="shared" si="1"/>
        <v>166161.82390978068</v>
      </c>
      <c r="D31" s="1">
        <f t="shared" si="4"/>
        <v>1.6647323457099912E-4</v>
      </c>
      <c r="E31" s="199">
        <f t="shared" si="2"/>
        <v>16111788.302787062</v>
      </c>
    </row>
    <row r="32" spans="1:8" x14ac:dyDescent="0.3">
      <c r="A32" s="122">
        <f t="shared" si="3"/>
        <v>10000000</v>
      </c>
      <c r="B32" s="106">
        <f t="shared" si="0"/>
        <v>15885.103593955748</v>
      </c>
      <c r="C32" s="106">
        <f t="shared" si="1"/>
        <v>183155.24443830978</v>
      </c>
      <c r="D32" s="1">
        <f t="shared" si="4"/>
        <v>1.4738439313555137E-4</v>
      </c>
      <c r="E32" s="199">
        <f t="shared" si="2"/>
        <v>17759545.818042524</v>
      </c>
    </row>
    <row r="33" spans="1:5" x14ac:dyDescent="0.3">
      <c r="A33" s="122">
        <f t="shared" si="3"/>
        <v>11000000</v>
      </c>
      <c r="B33" s="106">
        <f t="shared" si="0"/>
        <v>17334.916388627142</v>
      </c>
      <c r="C33" s="106">
        <f t="shared" si="1"/>
        <v>199871.58596087093</v>
      </c>
      <c r="D33" s="1">
        <f t="shared" si="4"/>
        <v>1.3180116315194491E-4</v>
      </c>
      <c r="E33" s="199">
        <f t="shared" si="2"/>
        <v>19380436.522485144</v>
      </c>
    </row>
    <row r="34" spans="1:5" x14ac:dyDescent="0.3">
      <c r="A34" s="122">
        <f>A33+(($C$18-$B$18)/$D$18)</f>
        <v>12000000</v>
      </c>
      <c r="B34" s="106">
        <f t="shared" si="0"/>
        <v>18761.07650389336</v>
      </c>
      <c r="C34" s="106">
        <f t="shared" si="1"/>
        <v>216315.21208989044</v>
      </c>
      <c r="D34" s="1">
        <f t="shared" si="4"/>
        <v>1.1884667627218489E-4</v>
      </c>
      <c r="E34" s="199">
        <f t="shared" si="2"/>
        <v>20974883.531352777</v>
      </c>
    </row>
    <row r="35" spans="1:5" x14ac:dyDescent="0.3">
      <c r="A35" s="122">
        <f t="shared" si="3"/>
        <v>13000000</v>
      </c>
      <c r="B35" s="106">
        <f t="shared" si="0"/>
        <v>20163.956877290271</v>
      </c>
      <c r="C35" s="106">
        <f t="shared" si="1"/>
        <v>232490.4227951568</v>
      </c>
      <c r="D35" s="1">
        <f t="shared" si="4"/>
        <v>1.0791387487668544E-4</v>
      </c>
      <c r="E35" s="199">
        <f t="shared" si="2"/>
        <v>22543303.788810521</v>
      </c>
    </row>
    <row r="36" spans="1:5" x14ac:dyDescent="0.3">
      <c r="A36" s="122">
        <f t="shared" si="3"/>
        <v>14000000</v>
      </c>
      <c r="B36" s="106">
        <f t="shared" si="0"/>
        <v>21543.92499244865</v>
      </c>
      <c r="C36" s="106">
        <f t="shared" si="1"/>
        <v>248401.45516293292</v>
      </c>
      <c r="D36" s="1">
        <f t="shared" si="4"/>
        <v>9.8569151082741367E-5</v>
      </c>
      <c r="E36" s="199">
        <f t="shared" si="2"/>
        <v>24086108.141557589</v>
      </c>
    </row>
    <row r="37" spans="1:5" x14ac:dyDescent="0.3">
      <c r="A37" s="122">
        <f t="shared" si="3"/>
        <v>15000000</v>
      </c>
      <c r="B37" s="106">
        <f t="shared" si="0"/>
        <v>22901.342944648117</v>
      </c>
      <c r="C37" s="106">
        <f t="shared" si="1"/>
        <v>264052.48415179277</v>
      </c>
      <c r="D37" s="1">
        <f t="shared" si="4"/>
        <v>9.0494530146631108E-5</v>
      </c>
      <c r="E37" s="199">
        <f t="shared" si="2"/>
        <v>25603701.412116595</v>
      </c>
    </row>
    <row r="38" spans="1:5" x14ac:dyDescent="0.3">
      <c r="A38" s="122">
        <f t="shared" si="3"/>
        <v>16000000</v>
      </c>
      <c r="B38" s="106">
        <f t="shared" si="0"/>
        <v>24236.567506083287</v>
      </c>
      <c r="C38" s="106">
        <f t="shared" si="1"/>
        <v>279447.62334514031</v>
      </c>
      <c r="D38" s="1">
        <f t="shared" si="4"/>
        <v>8.3451535089698161E-5</v>
      </c>
      <c r="E38" s="199">
        <f t="shared" si="2"/>
        <v>27096482.471801117</v>
      </c>
    </row>
    <row r="39" spans="1:5" x14ac:dyDescent="0.3">
      <c r="A39" s="122">
        <f t="shared" si="3"/>
        <v>17000000</v>
      </c>
      <c r="B39" s="106">
        <f t="shared" si="0"/>
        <v>25549.950190809555</v>
      </c>
      <c r="C39" s="106">
        <f t="shared" si="1"/>
        <v>294590.92570003413</v>
      </c>
      <c r="D39" s="1">
        <f t="shared" si="4"/>
        <v>7.7257804983898125E-5</v>
      </c>
      <c r="E39" s="199">
        <f t="shared" si="2"/>
        <v>28564844.313325085</v>
      </c>
    </row>
    <row r="40" spans="1:5" x14ac:dyDescent="0.3">
      <c r="A40" s="122">
        <f t="shared" si="3"/>
        <v>18000000</v>
      </c>
      <c r="B40" s="106">
        <f t="shared" si="0"/>
        <v>26841.837319366634</v>
      </c>
      <c r="C40" s="106">
        <f t="shared" si="1"/>
        <v>309486.3842922973</v>
      </c>
      <c r="D40" s="1">
        <f t="shared" si="4"/>
        <v>7.1771507142059915E-5</v>
      </c>
      <c r="E40" s="199">
        <f t="shared" si="2"/>
        <v>30009174.123051897</v>
      </c>
    </row>
    <row r="41" spans="1:5" x14ac:dyDescent="0.3">
      <c r="A41" s="122">
        <f>A40+(($C$18-$B$18)/$D$18)</f>
        <v>19000000</v>
      </c>
      <c r="B41" s="106">
        <f t="shared" si="0"/>
        <v>28112.570083050989</v>
      </c>
      <c r="C41" s="106">
        <f t="shared" si="1"/>
        <v>324137.93305757787</v>
      </c>
      <c r="D41" s="1">
        <f t="shared" si="4"/>
        <v>6.6880671772860778E-5</v>
      </c>
      <c r="E41" s="199">
        <f t="shared" si="2"/>
        <v>31429853.352851003</v>
      </c>
    </row>
    <row r="42" spans="1:5" x14ac:dyDescent="0.3">
      <c r="A42" s="122">
        <f t="shared" si="3"/>
        <v>20000000</v>
      </c>
      <c r="B42" s="106">
        <f t="shared" si="0"/>
        <v>29362.484607818536</v>
      </c>
      <c r="C42" s="106">
        <f t="shared" si="1"/>
        <v>338549.44752814772</v>
      </c>
      <c r="D42" s="1">
        <f t="shared" si="4"/>
        <v>6.2495726238377396E-5</v>
      </c>
      <c r="E42" s="199">
        <f t="shared" si="2"/>
        <v>32827257.791541122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8" sqref="E18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268" t="s">
        <v>111</v>
      </c>
      <c r="C4" s="268"/>
      <c r="D4" s="268"/>
      <c r="E4" s="268"/>
      <c r="F4" s="269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232" t="s">
        <v>8</v>
      </c>
      <c r="B7" s="235" t="s">
        <v>9</v>
      </c>
      <c r="C7" s="236"/>
      <c r="D7" s="270" t="s">
        <v>12</v>
      </c>
      <c r="E7" s="271"/>
      <c r="F7" s="272"/>
      <c r="G7" s="235" t="s">
        <v>143</v>
      </c>
      <c r="H7" s="235"/>
      <c r="I7" s="237"/>
      <c r="J7" s="1" t="s">
        <v>144</v>
      </c>
    </row>
    <row r="8" spans="1:18" ht="28.2" customHeight="1" x14ac:dyDescent="0.3">
      <c r="A8" s="233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4"/>
      <c r="B9" s="80">
        <f>JJ_Optim_Scenario!G24</f>
        <v>10990000</v>
      </c>
      <c r="C9" s="158">
        <f>JJ_Optim_Scenario!H24</f>
        <v>20410000</v>
      </c>
      <c r="D9" s="158">
        <f>JJ_Optim_Scenario!I24</f>
        <v>10990000</v>
      </c>
      <c r="E9" s="118">
        <f>((($R$12/(1+EXP($P$12+$Q$12*D9)))-1) - ($F$12-$C$12))*$I$12</f>
        <v>258393.506278947</v>
      </c>
      <c r="F9" s="145">
        <f>E9*$G$12</f>
        <v>258393.506278947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232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241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4"/>
      <c r="B12" s="80">
        <v>15700000</v>
      </c>
      <c r="C12" s="86">
        <v>360832.73711340211</v>
      </c>
      <c r="D12" s="12">
        <v>0</v>
      </c>
      <c r="E12" s="86">
        <v>2197350</v>
      </c>
      <c r="F12" s="97">
        <v>14649000</v>
      </c>
      <c r="G12" s="151">
        <v>1</v>
      </c>
      <c r="H12" s="98">
        <f>C12*G12</f>
        <v>360832.73711340211</v>
      </c>
      <c r="I12" s="197">
        <f>JJ_Optim_Scenario!D24</f>
        <v>1</v>
      </c>
      <c r="K12" s="242"/>
      <c r="L12" s="98">
        <f>F12-C12</f>
        <v>14288167.262886599</v>
      </c>
      <c r="M12" s="98">
        <f>L12+E12</f>
        <v>16485517.262886599</v>
      </c>
      <c r="N12" s="99">
        <f>B12</f>
        <v>15700000</v>
      </c>
      <c r="O12" s="98">
        <f>F12</f>
        <v>14649000</v>
      </c>
      <c r="P12" s="24">
        <f>LN((($M$12+1)/($L$12+1))-1)</f>
        <v>-1.8721797117208678</v>
      </c>
      <c r="Q12" s="100">
        <f>(LN((($M$12+1)/($O$12+1))-1)-$P$12)/$N$12</f>
        <v>-1.3014104724433269E-8</v>
      </c>
      <c r="R12" s="101">
        <f>M12+1</f>
        <v>16485518.262886599</v>
      </c>
    </row>
    <row r="13" spans="1:18" ht="34.200000000000003" customHeight="1" x14ac:dyDescent="0.3">
      <c r="A13" s="265" t="s">
        <v>119</v>
      </c>
      <c r="B13" s="266"/>
      <c r="C13" s="266"/>
      <c r="D13" s="266"/>
      <c r="E13" s="266"/>
      <c r="F13" s="267"/>
      <c r="G13" s="198" t="s">
        <v>205</v>
      </c>
      <c r="H13" s="198" t="s">
        <v>206</v>
      </c>
      <c r="K13" s="265" t="s">
        <v>120</v>
      </c>
      <c r="L13" s="266"/>
      <c r="M13" s="266"/>
      <c r="N13" s="266"/>
      <c r="O13" s="266"/>
      <c r="P13" s="266"/>
      <c r="Q13" s="266"/>
      <c r="R13" s="267"/>
    </row>
    <row r="14" spans="1:18" ht="33.6" customHeight="1" thickBot="1" x14ac:dyDescent="0.35">
      <c r="A14" s="261"/>
      <c r="B14" s="262"/>
      <c r="C14" s="262"/>
      <c r="D14" s="262"/>
      <c r="E14" s="262"/>
      <c r="F14" s="263"/>
      <c r="G14" s="158">
        <f>JJ_Optim_Scenario!$I$31</f>
        <v>116.39999999999999</v>
      </c>
      <c r="H14" s="158">
        <f>JJ_Optim_Scenario!$F$31</f>
        <v>1118</v>
      </c>
      <c r="K14" s="261"/>
      <c r="L14" s="262"/>
      <c r="M14" s="262"/>
      <c r="N14" s="262"/>
      <c r="O14" s="262"/>
      <c r="P14" s="262"/>
      <c r="Q14" s="262"/>
      <c r="R14" s="263"/>
    </row>
    <row r="16" spans="1:18" ht="14.4" thickBot="1" x14ac:dyDescent="0.35"/>
    <row r="17" spans="1:8" ht="42.6" customHeight="1" x14ac:dyDescent="0.3">
      <c r="A17" s="241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2"/>
      <c r="B18" s="102">
        <v>0</v>
      </c>
      <c r="C18" s="103">
        <v>50000000</v>
      </c>
      <c r="D18" s="26">
        <v>20</v>
      </c>
    </row>
    <row r="20" spans="1:8" x14ac:dyDescent="0.3">
      <c r="A20" s="212" t="s">
        <v>37</v>
      </c>
      <c r="B20" s="212"/>
      <c r="C20" s="212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198" t="s">
        <v>208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B22*$G$14</f>
        <v>0</v>
      </c>
    </row>
    <row r="23" spans="1:8" x14ac:dyDescent="0.3">
      <c r="A23" s="122">
        <f>A22+(($C$18-$B$18)/$D$18)</f>
        <v>2500000</v>
      </c>
      <c r="B23" s="106">
        <f t="shared" si="0"/>
        <v>61226.401077322662</v>
      </c>
      <c r="C23" s="106">
        <f t="shared" ref="C23:C42" si="1">B23*$G$12</f>
        <v>61226.401077322662</v>
      </c>
      <c r="D23" s="1">
        <f>(B23-B22)/A23</f>
        <v>2.4490560430929065E-2</v>
      </c>
      <c r="E23" s="199">
        <f t="shared" ref="E23:E42" si="2">B23*$G$14</f>
        <v>7126753.0854003569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120994.72060368396</v>
      </c>
      <c r="C24" s="106">
        <f t="shared" si="1"/>
        <v>120994.72060368396</v>
      </c>
      <c r="D24" s="1">
        <f t="shared" ref="D24:D42" si="4">(B24-B23)/A24</f>
        <v>1.195366390527226E-2</v>
      </c>
      <c r="E24" s="199">
        <f t="shared" si="2"/>
        <v>14083785.478268811</v>
      </c>
    </row>
    <row r="25" spans="1:8" x14ac:dyDescent="0.3">
      <c r="A25" s="122">
        <f t="shared" si="3"/>
        <v>7500000</v>
      </c>
      <c r="B25" s="106">
        <f t="shared" si="0"/>
        <v>179325.91864795052</v>
      </c>
      <c r="C25" s="106">
        <f t="shared" si="1"/>
        <v>179325.91864795052</v>
      </c>
      <c r="D25" s="1">
        <f t="shared" si="4"/>
        <v>7.7774930725688736E-3</v>
      </c>
      <c r="E25" s="199">
        <f t="shared" si="2"/>
        <v>20873536.930621438</v>
      </c>
    </row>
    <row r="26" spans="1:8" x14ac:dyDescent="0.3">
      <c r="A26" s="122">
        <f t="shared" si="3"/>
        <v>10000000</v>
      </c>
      <c r="B26" s="106">
        <f t="shared" si="0"/>
        <v>236241.44401214831</v>
      </c>
      <c r="C26" s="106">
        <f t="shared" si="1"/>
        <v>236241.44401214831</v>
      </c>
      <c r="D26" s="1">
        <f t="shared" si="4"/>
        <v>5.6915525364197792E-3</v>
      </c>
      <c r="E26" s="199">
        <f t="shared" si="2"/>
        <v>27498504.08301406</v>
      </c>
    </row>
    <row r="27" spans="1:8" x14ac:dyDescent="0.3">
      <c r="A27" s="122">
        <f t="shared" si="3"/>
        <v>12500000</v>
      </c>
      <c r="B27" s="106">
        <f t="shared" si="0"/>
        <v>291763.17912199162</v>
      </c>
      <c r="C27" s="106">
        <f t="shared" si="1"/>
        <v>291763.17912199162</v>
      </c>
      <c r="D27" s="1">
        <f t="shared" si="4"/>
        <v>4.4417388087874647E-3</v>
      </c>
      <c r="E27" s="199">
        <f t="shared" si="2"/>
        <v>33961234.049799822</v>
      </c>
    </row>
    <row r="28" spans="1:8" x14ac:dyDescent="0.3">
      <c r="A28" s="122">
        <f t="shared" si="3"/>
        <v>15000000</v>
      </c>
      <c r="B28" s="106">
        <f t="shared" si="0"/>
        <v>345913.38696239889</v>
      </c>
      <c r="C28" s="106">
        <f t="shared" si="1"/>
        <v>345913.38696239889</v>
      </c>
      <c r="D28" s="1">
        <f t="shared" si="4"/>
        <v>3.6100138560271511E-3</v>
      </c>
      <c r="E28" s="199">
        <f t="shared" si="2"/>
        <v>40264318.242423229</v>
      </c>
    </row>
    <row r="29" spans="1:8" x14ac:dyDescent="0.3">
      <c r="A29" s="122">
        <f t="shared" si="3"/>
        <v>17500000</v>
      </c>
      <c r="B29" s="106">
        <f t="shared" si="0"/>
        <v>398714.66009361669</v>
      </c>
      <c r="C29" s="106">
        <f t="shared" si="1"/>
        <v>398714.66009361669</v>
      </c>
      <c r="D29" s="1">
        <f t="shared" si="4"/>
        <v>3.0172156074981605E-3</v>
      </c>
      <c r="E29" s="199">
        <f t="shared" si="2"/>
        <v>46410386.434896983</v>
      </c>
    </row>
    <row r="30" spans="1:8" x14ac:dyDescent="0.3">
      <c r="A30" s="122">
        <f t="shared" si="3"/>
        <v>20000000</v>
      </c>
      <c r="B30" s="106">
        <f t="shared" si="0"/>
        <v>450189.87177247368</v>
      </c>
      <c r="C30" s="106">
        <f t="shared" si="1"/>
        <v>450189.87177247368</v>
      </c>
      <c r="D30" s="1">
        <f t="shared" si="4"/>
        <v>2.5737605839428494E-3</v>
      </c>
      <c r="E30" s="199">
        <f t="shared" si="2"/>
        <v>52402101.074315935</v>
      </c>
    </row>
    <row r="31" spans="1:8" x14ac:dyDescent="0.3">
      <c r="A31" s="122">
        <f t="shared" si="3"/>
        <v>22500000</v>
      </c>
      <c r="B31" s="106">
        <f t="shared" si="0"/>
        <v>500362.12919285521</v>
      </c>
      <c r="C31" s="106">
        <f t="shared" si="1"/>
        <v>500362.12919285521</v>
      </c>
      <c r="D31" s="1">
        <f t="shared" si="4"/>
        <v>2.2298781075725123E-3</v>
      </c>
      <c r="E31" s="199">
        <f t="shared" si="2"/>
        <v>58242151.838048339</v>
      </c>
    </row>
    <row r="32" spans="1:8" x14ac:dyDescent="0.3">
      <c r="A32" s="122">
        <f t="shared" si="3"/>
        <v>25000000</v>
      </c>
      <c r="B32" s="106">
        <f t="shared" si="0"/>
        <v>549254.72884996422</v>
      </c>
      <c r="C32" s="106">
        <f t="shared" si="1"/>
        <v>549254.72884996422</v>
      </c>
      <c r="D32" s="1">
        <f t="shared" si="4"/>
        <v>1.9557039862843602E-3</v>
      </c>
      <c r="E32" s="199">
        <f t="shared" si="2"/>
        <v>63933250.438135833</v>
      </c>
    </row>
    <row r="33" spans="1:5" x14ac:dyDescent="0.3">
      <c r="A33" s="122">
        <f t="shared" si="3"/>
        <v>27500000</v>
      </c>
      <c r="B33" s="106">
        <f t="shared" si="0"/>
        <v>596891.11402404681</v>
      </c>
      <c r="C33" s="106">
        <f t="shared" si="1"/>
        <v>596891.11402404681</v>
      </c>
      <c r="D33" s="1">
        <f t="shared" si="4"/>
        <v>1.732232188148458E-3</v>
      </c>
      <c r="E33" s="199">
        <f t="shared" si="2"/>
        <v>69478125.672399044</v>
      </c>
    </row>
    <row r="34" spans="1:5" x14ac:dyDescent="0.3">
      <c r="A34" s="122">
        <f>A33+(($C$18-$B$18)/$D$18)</f>
        <v>30000000</v>
      </c>
      <c r="B34" s="106">
        <f t="shared" si="0"/>
        <v>643294.8343712315</v>
      </c>
      <c r="C34" s="106">
        <f t="shared" si="1"/>
        <v>643294.8343712315</v>
      </c>
      <c r="D34" s="1">
        <f t="shared" si="4"/>
        <v>1.5467906782394897E-3</v>
      </c>
      <c r="E34" s="199">
        <f t="shared" si="2"/>
        <v>74879518.720811337</v>
      </c>
    </row>
    <row r="35" spans="1:5" x14ac:dyDescent="0.3">
      <c r="A35" s="122">
        <f t="shared" si="3"/>
        <v>32500000</v>
      </c>
      <c r="B35" s="106">
        <f t="shared" si="0"/>
        <v>688489.50760174915</v>
      </c>
      <c r="C35" s="106">
        <f t="shared" si="1"/>
        <v>688489.50760174915</v>
      </c>
      <c r="D35" s="1">
        <f t="shared" si="4"/>
        <v>1.390605330169774E-3</v>
      </c>
      <c r="E35" s="199">
        <f t="shared" si="2"/>
        <v>80140178.6848436</v>
      </c>
    </row>
    <row r="36" spans="1:5" x14ac:dyDescent="0.3">
      <c r="A36" s="122">
        <f t="shared" si="3"/>
        <v>35000000</v>
      </c>
      <c r="B36" s="106">
        <f t="shared" si="0"/>
        <v>732498.78321923688</v>
      </c>
      <c r="C36" s="106">
        <f t="shared" si="1"/>
        <v>732498.78321923688</v>
      </c>
      <c r="D36" s="1">
        <f t="shared" si="4"/>
        <v>1.2574078747853636E-3</v>
      </c>
      <c r="E36" s="199">
        <f t="shared" si="2"/>
        <v>85262858.366719171</v>
      </c>
    </row>
    <row r="37" spans="1:5" x14ac:dyDescent="0.3">
      <c r="A37" s="122">
        <f t="shared" si="3"/>
        <v>37500000</v>
      </c>
      <c r="B37" s="106">
        <f t="shared" si="0"/>
        <v>775346.30828877538</v>
      </c>
      <c r="C37" s="106">
        <f t="shared" si="1"/>
        <v>775346.30828877538</v>
      </c>
      <c r="D37" s="1">
        <f t="shared" si="4"/>
        <v>1.1426006685210269E-3</v>
      </c>
      <c r="E37" s="199">
        <f t="shared" si="2"/>
        <v>90250310.284813449</v>
      </c>
    </row>
    <row r="38" spans="1:5" x14ac:dyDescent="0.3">
      <c r="A38" s="122">
        <f t="shared" si="3"/>
        <v>40000000</v>
      </c>
      <c r="B38" s="106">
        <f t="shared" si="0"/>
        <v>817055.69519616477</v>
      </c>
      <c r="C38" s="106">
        <f t="shared" si="1"/>
        <v>817055.69519616477</v>
      </c>
      <c r="D38" s="1">
        <f t="shared" si="4"/>
        <v>1.0427346726847348E-3</v>
      </c>
      <c r="E38" s="199">
        <f t="shared" si="2"/>
        <v>95105282.920833573</v>
      </c>
    </row>
    <row r="39" spans="1:5" x14ac:dyDescent="0.3">
      <c r="A39" s="122">
        <f t="shared" si="3"/>
        <v>42500000</v>
      </c>
      <c r="B39" s="106">
        <f t="shared" si="0"/>
        <v>857650.49135614</v>
      </c>
      <c r="C39" s="106">
        <f t="shared" si="1"/>
        <v>857650.49135614</v>
      </c>
      <c r="D39" s="1">
        <f t="shared" si="4"/>
        <v>9.5517167435235834E-4</v>
      </c>
      <c r="E39" s="199">
        <f t="shared" si="2"/>
        <v>99830517.19385469</v>
      </c>
    </row>
    <row r="40" spans="1:5" x14ac:dyDescent="0.3">
      <c r="A40" s="122">
        <f t="shared" si="3"/>
        <v>45000000</v>
      </c>
      <c r="B40" s="106">
        <f t="shared" si="0"/>
        <v>897154.15082335845</v>
      </c>
      <c r="C40" s="106">
        <f t="shared" si="1"/>
        <v>897154.15082335845</v>
      </c>
      <c r="D40" s="1">
        <f t="shared" si="4"/>
        <v>8.7785909927152095E-4</v>
      </c>
      <c r="E40" s="199">
        <f t="shared" si="2"/>
        <v>104428743.15583892</v>
      </c>
    </row>
    <row r="41" spans="1:5" x14ac:dyDescent="0.3">
      <c r="A41" s="122">
        <f>A40+(($C$18-$B$18)/$D$18)</f>
        <v>47500000</v>
      </c>
      <c r="B41" s="106">
        <f t="shared" si="0"/>
        <v>935590.00775624253</v>
      </c>
      <c r="C41" s="106">
        <f t="shared" si="1"/>
        <v>935590.00775624253</v>
      </c>
      <c r="D41" s="1">
        <f t="shared" si="4"/>
        <v>8.0917593542913853E-4</v>
      </c>
      <c r="E41" s="199">
        <f t="shared" si="2"/>
        <v>108902676.90282662</v>
      </c>
    </row>
    <row r="42" spans="1:5" x14ac:dyDescent="0.3">
      <c r="A42" s="122">
        <f t="shared" si="3"/>
        <v>50000000</v>
      </c>
      <c r="B42" s="106">
        <f t="shared" si="0"/>
        <v>972981.25168112665</v>
      </c>
      <c r="C42" s="106">
        <f t="shared" si="1"/>
        <v>972981.25168112665</v>
      </c>
      <c r="D42" s="1">
        <f t="shared" si="4"/>
        <v>7.4782487849768249E-4</v>
      </c>
      <c r="E42" s="199">
        <f t="shared" si="2"/>
        <v>113255017.69568314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23" t="s">
        <v>105</v>
      </c>
      <c r="G2" s="224"/>
      <c r="H2" s="224"/>
      <c r="I2" s="224"/>
      <c r="J2" s="224"/>
      <c r="K2" s="224"/>
      <c r="L2" s="225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226" t="s">
        <v>72</v>
      </c>
      <c r="G3" s="227"/>
      <c r="H3" s="227"/>
      <c r="I3" s="227"/>
      <c r="J3" s="227"/>
      <c r="K3" s="227"/>
      <c r="L3" s="228"/>
    </row>
    <row r="4" spans="1:12" ht="14.4" thickBot="1" x14ac:dyDescent="0.35">
      <c r="A4" s="29" t="s">
        <v>38</v>
      </c>
      <c r="B4" s="273" t="s">
        <v>39</v>
      </c>
      <c r="C4" s="273"/>
      <c r="D4" s="274"/>
    </row>
    <row r="6" spans="1:12" ht="14.4" thickBot="1" x14ac:dyDescent="0.35"/>
    <row r="7" spans="1:12" ht="27.6" customHeight="1" x14ac:dyDescent="0.3">
      <c r="A7" s="232" t="s">
        <v>8</v>
      </c>
      <c r="B7" s="235" t="s">
        <v>9</v>
      </c>
      <c r="C7" s="236"/>
      <c r="D7" s="270" t="s">
        <v>12</v>
      </c>
      <c r="E7" s="272"/>
      <c r="F7" s="271" t="s">
        <v>24</v>
      </c>
      <c r="G7" s="281"/>
    </row>
    <row r="8" spans="1:12" ht="27.6" x14ac:dyDescent="0.3">
      <c r="A8" s="2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34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23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232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234"/>
      <c r="B12" s="12">
        <v>20</v>
      </c>
      <c r="C12" s="12">
        <v>30</v>
      </c>
      <c r="D12" s="12">
        <v>0</v>
      </c>
      <c r="E12" s="14">
        <v>70</v>
      </c>
      <c r="G12" s="234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265" t="s">
        <v>30</v>
      </c>
      <c r="B13" s="266"/>
      <c r="C13" s="266"/>
      <c r="D13" s="266"/>
      <c r="E13" s="267"/>
      <c r="G13" s="275" t="s">
        <v>29</v>
      </c>
      <c r="H13" s="276"/>
      <c r="I13" s="276"/>
      <c r="J13" s="277"/>
    </row>
    <row r="14" spans="1:12" ht="33.6" customHeight="1" x14ac:dyDescent="0.3">
      <c r="A14" s="261"/>
      <c r="B14" s="262"/>
      <c r="C14" s="262"/>
      <c r="D14" s="262"/>
      <c r="E14" s="263"/>
      <c r="G14" s="278"/>
      <c r="H14" s="279"/>
      <c r="I14" s="279"/>
      <c r="J14" s="280"/>
    </row>
    <row r="16" spans="1:12" ht="14.4" thickBot="1" x14ac:dyDescent="0.35"/>
    <row r="17" spans="1:4" ht="16.8" customHeight="1" x14ac:dyDescent="0.3">
      <c r="A17" s="241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242"/>
      <c r="B18" s="12">
        <v>0</v>
      </c>
      <c r="C18" s="12">
        <v>100</v>
      </c>
      <c r="D18" s="26">
        <v>20</v>
      </c>
    </row>
    <row r="20" spans="1:4" x14ac:dyDescent="0.3">
      <c r="A20" s="212" t="s">
        <v>37</v>
      </c>
      <c r="B20" s="212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23" t="s">
        <v>105</v>
      </c>
      <c r="G2" s="224"/>
      <c r="H2" s="224"/>
      <c r="I2" s="224"/>
      <c r="J2" s="224"/>
      <c r="K2" s="224"/>
      <c r="L2" s="225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226" t="s">
        <v>72</v>
      </c>
      <c r="G3" s="227"/>
      <c r="H3" s="227"/>
      <c r="I3" s="227"/>
      <c r="J3" s="227"/>
      <c r="K3" s="227"/>
      <c r="L3" s="228"/>
    </row>
    <row r="4" spans="1:12" ht="31.8" customHeight="1" thickBot="1" x14ac:dyDescent="0.35">
      <c r="A4" s="29" t="s">
        <v>38</v>
      </c>
      <c r="B4" s="285" t="s">
        <v>41</v>
      </c>
      <c r="C4" s="286"/>
      <c r="D4" s="287"/>
    </row>
    <row r="6" spans="1:12" ht="14.4" thickBot="1" x14ac:dyDescent="0.35"/>
    <row r="7" spans="1:12" ht="27.6" customHeight="1" x14ac:dyDescent="0.3">
      <c r="A7" s="232" t="s">
        <v>8</v>
      </c>
      <c r="B7" s="235" t="s">
        <v>9</v>
      </c>
      <c r="C7" s="236"/>
      <c r="D7" s="270" t="s">
        <v>12</v>
      </c>
      <c r="E7" s="272"/>
      <c r="F7" s="271" t="s">
        <v>24</v>
      </c>
      <c r="G7" s="281"/>
      <c r="H7" s="1" t="s">
        <v>54</v>
      </c>
    </row>
    <row r="8" spans="1:12" ht="27.6" x14ac:dyDescent="0.3">
      <c r="A8" s="2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34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232" t="s">
        <v>42</v>
      </c>
      <c r="B11" s="231" t="s">
        <v>47</v>
      </c>
      <c r="C11" s="282" t="s">
        <v>46</v>
      </c>
      <c r="D11" s="271"/>
      <c r="E11" s="271"/>
      <c r="F11" s="3" t="s">
        <v>48</v>
      </c>
      <c r="G11" s="33"/>
      <c r="H11" s="32"/>
      <c r="I11" s="32"/>
      <c r="J11" s="32"/>
    </row>
    <row r="12" spans="1:12" x14ac:dyDescent="0.3">
      <c r="A12" s="283"/>
      <c r="B12" s="21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284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240" t="s">
        <v>52</v>
      </c>
      <c r="B14" s="240"/>
      <c r="C14" s="240"/>
      <c r="D14" s="240"/>
      <c r="E14" s="240"/>
      <c r="F14" s="240"/>
      <c r="G14" s="38"/>
      <c r="H14" s="39"/>
      <c r="I14" s="39"/>
      <c r="J14" s="39"/>
    </row>
    <row r="15" spans="1:12" ht="30.6" customHeight="1" x14ac:dyDescent="0.3">
      <c r="A15" s="240"/>
      <c r="B15" s="240"/>
      <c r="C15" s="240"/>
      <c r="D15" s="240"/>
      <c r="E15" s="240"/>
      <c r="F15" s="240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241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242"/>
      <c r="B19" s="12">
        <v>0</v>
      </c>
      <c r="C19" s="12">
        <v>20000000</v>
      </c>
      <c r="D19" s="26">
        <v>20</v>
      </c>
    </row>
    <row r="21" spans="1:4" x14ac:dyDescent="0.3">
      <c r="A21" s="212" t="s">
        <v>37</v>
      </c>
      <c r="B21" s="212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223" t="s">
        <v>105</v>
      </c>
      <c r="G2" s="224"/>
      <c r="H2" s="224"/>
      <c r="I2" s="224"/>
      <c r="J2" s="224"/>
      <c r="K2" s="224"/>
      <c r="L2" s="225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226" t="s">
        <v>72</v>
      </c>
      <c r="G3" s="227"/>
      <c r="H3" s="227"/>
      <c r="I3" s="227"/>
      <c r="J3" s="227"/>
      <c r="K3" s="227"/>
      <c r="L3" s="228"/>
    </row>
    <row r="4" spans="1:14" ht="14.4" thickBot="1" x14ac:dyDescent="0.35">
      <c r="A4" s="29" t="s">
        <v>38</v>
      </c>
      <c r="B4" s="273" t="s">
        <v>57</v>
      </c>
      <c r="C4" s="273"/>
      <c r="D4" s="274"/>
    </row>
    <row r="6" spans="1:14" ht="14.4" thickBot="1" x14ac:dyDescent="0.35"/>
    <row r="7" spans="1:14" ht="27.6" customHeight="1" x14ac:dyDescent="0.3">
      <c r="A7" s="232" t="s">
        <v>8</v>
      </c>
      <c r="B7" s="235" t="s">
        <v>9</v>
      </c>
      <c r="C7" s="236"/>
      <c r="D7" s="270" t="s">
        <v>12</v>
      </c>
      <c r="E7" s="272"/>
      <c r="F7" s="271" t="s">
        <v>24</v>
      </c>
      <c r="G7" s="281"/>
      <c r="I7" s="264" t="s">
        <v>73</v>
      </c>
      <c r="J7" s="264"/>
      <c r="K7" s="264"/>
      <c r="L7" s="264"/>
      <c r="N7" s="47" t="s">
        <v>58</v>
      </c>
    </row>
    <row r="8" spans="1:14" ht="27.6" x14ac:dyDescent="0.3">
      <c r="A8" s="23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264"/>
      <c r="J8" s="264"/>
      <c r="K8" s="264"/>
      <c r="L8" s="264"/>
      <c r="N8" s="47" t="s">
        <v>59</v>
      </c>
    </row>
    <row r="9" spans="1:14" ht="14.4" thickBot="1" x14ac:dyDescent="0.35">
      <c r="A9" s="234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212" t="s">
        <v>60</v>
      </c>
      <c r="B11" s="3" t="s">
        <v>61</v>
      </c>
      <c r="C11" s="3" t="s">
        <v>62</v>
      </c>
      <c r="D11" s="32"/>
      <c r="E11" s="255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212"/>
      <c r="B12" s="41">
        <v>0</v>
      </c>
      <c r="C12" s="41">
        <v>0</v>
      </c>
      <c r="D12" s="32"/>
      <c r="E12" s="256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212"/>
      <c r="B13" s="41">
        <v>1</v>
      </c>
      <c r="C13" s="41">
        <v>0.75</v>
      </c>
      <c r="D13" s="32"/>
      <c r="E13" s="256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212"/>
      <c r="B14" s="41">
        <v>2</v>
      </c>
      <c r="C14" s="41">
        <v>0</v>
      </c>
      <c r="D14" s="32"/>
      <c r="E14" s="256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212"/>
      <c r="B15" s="41">
        <v>3</v>
      </c>
      <c r="C15" s="41">
        <v>-1</v>
      </c>
      <c r="D15" s="32"/>
      <c r="E15" s="256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212"/>
      <c r="B16" s="41">
        <v>4</v>
      </c>
      <c r="C16" s="41">
        <v>3</v>
      </c>
      <c r="D16" s="32"/>
      <c r="E16" s="256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212"/>
      <c r="B17" s="42">
        <v>5</v>
      </c>
      <c r="C17" s="42">
        <v>3</v>
      </c>
      <c r="D17" s="40"/>
      <c r="E17" s="256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288" t="s">
        <v>74</v>
      </c>
      <c r="B18" s="289"/>
      <c r="C18" s="290"/>
      <c r="D18" s="33"/>
      <c r="E18" s="240" t="s">
        <v>75</v>
      </c>
      <c r="F18" s="240"/>
      <c r="G18" s="240"/>
      <c r="H18" s="240"/>
      <c r="I18" s="240"/>
      <c r="J18" s="240"/>
      <c r="K18" s="240"/>
      <c r="L18" s="240"/>
      <c r="M18" s="240"/>
    </row>
    <row r="19" spans="1:13" ht="35.4" customHeight="1" x14ac:dyDescent="0.3">
      <c r="A19" s="261"/>
      <c r="B19" s="262"/>
      <c r="C19" s="263"/>
      <c r="D19" s="33"/>
      <c r="E19" s="240"/>
      <c r="F19" s="240"/>
      <c r="G19" s="240"/>
      <c r="H19" s="240"/>
      <c r="I19" s="240"/>
      <c r="J19" s="240"/>
      <c r="K19" s="240"/>
      <c r="L19" s="240"/>
      <c r="M19" s="240"/>
    </row>
    <row r="21" spans="1:13" ht="14.4" thickBot="1" x14ac:dyDescent="0.35"/>
    <row r="22" spans="1:13" ht="16.8" customHeight="1" x14ac:dyDescent="0.3">
      <c r="A22" s="241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242"/>
      <c r="B23" s="12">
        <v>0</v>
      </c>
      <c r="C23" s="12">
        <v>5</v>
      </c>
      <c r="D23" s="26">
        <v>20</v>
      </c>
    </row>
    <row r="25" spans="1:13" x14ac:dyDescent="0.3">
      <c r="A25" s="212" t="s">
        <v>37</v>
      </c>
      <c r="B25" s="212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291" t="s">
        <v>111</v>
      </c>
      <c r="C4" s="291"/>
      <c r="D4" s="291"/>
      <c r="E4" s="291"/>
      <c r="F4" s="292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232" t="s">
        <v>8</v>
      </c>
      <c r="B7" s="235" t="s">
        <v>9</v>
      </c>
      <c r="C7" s="236"/>
      <c r="D7" s="270" t="s">
        <v>12</v>
      </c>
      <c r="E7" s="272"/>
      <c r="F7" s="271" t="s">
        <v>24</v>
      </c>
      <c r="G7" s="281"/>
    </row>
    <row r="8" spans="1:15" ht="27.6" x14ac:dyDescent="0.3">
      <c r="A8" s="233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234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232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241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234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242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265" t="s">
        <v>119</v>
      </c>
      <c r="B13" s="266"/>
      <c r="C13" s="266"/>
      <c r="D13" s="266"/>
      <c r="E13" s="266"/>
      <c r="F13" s="267"/>
      <c r="H13" s="265" t="s">
        <v>120</v>
      </c>
      <c r="I13" s="266"/>
      <c r="J13" s="266"/>
      <c r="K13" s="266"/>
      <c r="L13" s="266"/>
      <c r="M13" s="266"/>
      <c r="N13" s="266"/>
      <c r="O13" s="267"/>
    </row>
    <row r="14" spans="1:15" ht="33.6" customHeight="1" x14ac:dyDescent="0.3">
      <c r="A14" s="261"/>
      <c r="B14" s="262"/>
      <c r="C14" s="262"/>
      <c r="D14" s="262"/>
      <c r="E14" s="262"/>
      <c r="F14" s="263"/>
      <c r="H14" s="261"/>
      <c r="I14" s="262"/>
      <c r="J14" s="262"/>
      <c r="K14" s="262"/>
      <c r="L14" s="262"/>
      <c r="M14" s="262"/>
      <c r="N14" s="262"/>
      <c r="O14" s="263"/>
    </row>
    <row r="16" spans="1:15" ht="14.4" thickBot="1" x14ac:dyDescent="0.35"/>
    <row r="17" spans="1:4" ht="16.8" customHeight="1" x14ac:dyDescent="0.3">
      <c r="A17" s="241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242"/>
      <c r="B18" s="102">
        <v>0</v>
      </c>
      <c r="C18" s="103">
        <v>200000000</v>
      </c>
      <c r="D18" s="26">
        <v>20</v>
      </c>
    </row>
    <row r="20" spans="1:4" x14ac:dyDescent="0.3">
      <c r="A20" s="212" t="s">
        <v>37</v>
      </c>
      <c r="B20" s="212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Charts - Idvl</vt:lpstr>
      <vt:lpstr>Charts - Idvl IRev</vt:lpstr>
      <vt:lpstr>Chart - Combined</vt:lpstr>
      <vt:lpstr>Case Notes</vt:lpstr>
      <vt:lpstr>STD30 (-15)</vt:lpstr>
      <vt:lpstr>STD30 (-10)</vt:lpstr>
      <vt:lpstr>STD30 (-5)</vt:lpstr>
      <vt:lpstr>STD30 (+0)</vt:lpstr>
      <vt:lpstr>STD30 (+5)</vt:lpstr>
      <vt:lpstr>STD30 (+10)</vt:lpstr>
      <vt:lpstr>STD30 (+15)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2013-05-09T22:58:17Z</dcterms:modified>
</cp:coreProperties>
</file>