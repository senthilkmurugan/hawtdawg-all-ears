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312" windowWidth="15576" windowHeight="7236" tabRatio="906" activeTab="3"/>
  </bookViews>
  <sheets>
    <sheet name="Charts - Idvl" sheetId="35" r:id="rId1"/>
    <sheet name="Chart - Combined" sheetId="36" r:id="rId2"/>
    <sheet name="JJ_Notes_1" sheetId="24" r:id="rId3"/>
    <sheet name="JJ_Optim_Scenario" sheetId="23" r:id="rId4"/>
    <sheet name="JANSample" sheetId="25" r:id="rId5"/>
    <sheet name="JMTSample" sheetId="26" r:id="rId6"/>
    <sheet name="TOTSample" sheetId="27" r:id="rId7"/>
    <sheet name="JJVCH" sheetId="29" r:id="rId8"/>
    <sheet name="JJMMF" sheetId="30" r:id="rId9"/>
    <sheet name="JJHCC" sheetId="31" r:id="rId10"/>
    <sheet name="JJMCM" sheetId="32" r:id="rId11"/>
    <sheet name="JJHCC_ACQ" sheetId="33" r:id="rId12"/>
    <sheet name="JJHCC_ADH" sheetId="34" r:id="rId13"/>
    <sheet name="Fn.Templates ==&gt;" sheetId="3" r:id="rId14"/>
    <sheet name="FT_SCurveEst" sheetId="2" r:id="rId15"/>
    <sheet name="FT_Equation" sheetId="4" r:id="rId16"/>
    <sheet name="FT_Interpolate" sheetId="5" r:id="rId17"/>
    <sheet name="FT_SCurve3Est" sheetId="13" r:id="rId18"/>
  </sheets>
  <functionGroups builtInGroupCount="17"/>
  <externalReferences>
    <externalReference r:id="rId19"/>
  </externalReferences>
  <definedNames>
    <definedName name="solver_adj" localSheetId="3" hidden="1">JJ_Optim_Scenario!$I$17:$I$24</definedName>
    <definedName name="solver_cvg" localSheetId="3" hidden="1">0.00001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lhs1" localSheetId="3" hidden="1">JJ_Optim_Scenario!$I$17:$I$24</definedName>
    <definedName name="solver_lhs2" localSheetId="3" hidden="1">JJ_Optim_Scenario!$I$17:$I$24</definedName>
    <definedName name="solver_lhs3" localSheetId="3" hidden="1">JJ_Optim_Scenario!$I$25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1</definedName>
    <definedName name="solver_nod" localSheetId="3" hidden="1">2147483647</definedName>
    <definedName name="solver_num" localSheetId="3" hidden="1">3</definedName>
    <definedName name="solver_nwt" localSheetId="3" hidden="1">1</definedName>
    <definedName name="solver_opt" localSheetId="3" hidden="1">JJ_Optim_Scenario!$B$9</definedName>
    <definedName name="solver_pre" localSheetId="3" hidden="1">0.000001</definedName>
    <definedName name="solver_rbv" localSheetId="3" hidden="1">1</definedName>
    <definedName name="solver_rel1" localSheetId="3" hidden="1">1</definedName>
    <definedName name="solver_rel2" localSheetId="3" hidden="1">3</definedName>
    <definedName name="solver_rel3" localSheetId="3" hidden="1">2</definedName>
    <definedName name="solver_rhs1" localSheetId="3" hidden="1">JJ_Optim_Scenario!$H$17:$H$24</definedName>
    <definedName name="solver_rhs2" localSheetId="3" hidden="1">JJ_Optim_Scenario!$G$17:$G$24</definedName>
    <definedName name="solver_rhs3" localSheetId="3" hidden="1">JJ_Optim_Scenario!$B$12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45621"/>
</workbook>
</file>

<file path=xl/calcChain.xml><?xml version="1.0" encoding="utf-8"?>
<calcChain xmlns="http://schemas.openxmlformats.org/spreadsheetml/2006/main">
  <c r="G35" i="23" l="1"/>
  <c r="G34" i="23"/>
  <c r="G12" i="33" l="1"/>
  <c r="G12" i="32"/>
  <c r="G12" i="31"/>
  <c r="C11" i="30"/>
  <c r="C43" i="29"/>
  <c r="B43" i="29"/>
  <c r="C42" i="29"/>
  <c r="B42" i="29"/>
  <c r="C41" i="29"/>
  <c r="B41" i="29"/>
  <c r="C40" i="29"/>
  <c r="B40" i="29"/>
  <c r="C39" i="29"/>
  <c r="B39" i="29"/>
  <c r="C38" i="29"/>
  <c r="B38" i="29"/>
  <c r="C37" i="29"/>
  <c r="B37" i="29"/>
  <c r="C36" i="29"/>
  <c r="B36" i="29"/>
  <c r="C35" i="29"/>
  <c r="B35" i="29"/>
  <c r="C34" i="29"/>
  <c r="B34" i="29"/>
  <c r="C33" i="29"/>
  <c r="B33" i="29"/>
  <c r="C32" i="29"/>
  <c r="B32" i="29"/>
  <c r="C31" i="29"/>
  <c r="B31" i="29"/>
  <c r="C30" i="29"/>
  <c r="B30" i="29"/>
  <c r="C29" i="29"/>
  <c r="B29" i="29"/>
  <c r="C28" i="29"/>
  <c r="B28" i="29"/>
  <c r="C27" i="29"/>
  <c r="B27" i="29"/>
  <c r="C26" i="29"/>
  <c r="B26" i="29"/>
  <c r="C25" i="29"/>
  <c r="B25" i="29"/>
  <c r="C24" i="29"/>
  <c r="B24" i="29"/>
  <c r="C23" i="29"/>
  <c r="B23" i="29"/>
  <c r="I9" i="29"/>
  <c r="H9" i="29"/>
  <c r="D13" i="29"/>
  <c r="C43" i="25" l="1"/>
  <c r="B43" i="25"/>
  <c r="C42" i="25"/>
  <c r="B42" i="25"/>
  <c r="C41" i="25"/>
  <c r="B41" i="25"/>
  <c r="C40" i="25"/>
  <c r="B40" i="25"/>
  <c r="C39" i="25"/>
  <c r="B39" i="25"/>
  <c r="C38" i="25"/>
  <c r="B38" i="25"/>
  <c r="C37" i="25"/>
  <c r="B37" i="25"/>
  <c r="C36" i="25"/>
  <c r="B36" i="25"/>
  <c r="C35" i="25"/>
  <c r="B35" i="25"/>
  <c r="C34" i="25"/>
  <c r="B34" i="25"/>
  <c r="C33" i="25"/>
  <c r="B33" i="25"/>
  <c r="C32" i="25"/>
  <c r="B32" i="25"/>
  <c r="C31" i="25"/>
  <c r="B31" i="25"/>
  <c r="C30" i="25"/>
  <c r="B30" i="25"/>
  <c r="C29" i="25"/>
  <c r="B29" i="25"/>
  <c r="C28" i="25"/>
  <c r="B28" i="25"/>
  <c r="C27" i="25"/>
  <c r="B27" i="25"/>
  <c r="C26" i="25"/>
  <c r="B26" i="25"/>
  <c r="C25" i="25"/>
  <c r="B25" i="25"/>
  <c r="C24" i="25"/>
  <c r="B24" i="25"/>
  <c r="C23" i="25"/>
  <c r="B23" i="25"/>
  <c r="C43" i="27"/>
  <c r="B43" i="27"/>
  <c r="C42" i="27"/>
  <c r="B42" i="27"/>
  <c r="C41" i="27"/>
  <c r="B41" i="27"/>
  <c r="C40" i="27"/>
  <c r="B40" i="27"/>
  <c r="C39" i="27"/>
  <c r="B39" i="27"/>
  <c r="C38" i="27"/>
  <c r="B38" i="27"/>
  <c r="C37" i="27"/>
  <c r="B37" i="27"/>
  <c r="C36" i="27"/>
  <c r="B36" i="27"/>
  <c r="C35" i="27"/>
  <c r="B35" i="27"/>
  <c r="C34" i="27"/>
  <c r="B34" i="27"/>
  <c r="C33" i="27"/>
  <c r="B33" i="27"/>
  <c r="C32" i="27"/>
  <c r="B32" i="27"/>
  <c r="C31" i="27"/>
  <c r="B31" i="27"/>
  <c r="C30" i="27"/>
  <c r="B30" i="27"/>
  <c r="C29" i="27"/>
  <c r="B29" i="27"/>
  <c r="C28" i="27"/>
  <c r="B28" i="27"/>
  <c r="C27" i="27"/>
  <c r="B27" i="27"/>
  <c r="C26" i="27"/>
  <c r="B26" i="27"/>
  <c r="C25" i="27"/>
  <c r="B25" i="27"/>
  <c r="C24" i="27"/>
  <c r="B24" i="27"/>
  <c r="C23" i="27"/>
  <c r="B23" i="27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C32" i="26"/>
  <c r="B32" i="26"/>
  <c r="C31" i="26"/>
  <c r="B31" i="26"/>
  <c r="C30" i="26"/>
  <c r="B30" i="26"/>
  <c r="C29" i="26"/>
  <c r="B29" i="26"/>
  <c r="C28" i="26"/>
  <c r="B28" i="26"/>
  <c r="C27" i="26"/>
  <c r="B27" i="26"/>
  <c r="C26" i="26"/>
  <c r="B26" i="26"/>
  <c r="C25" i="26"/>
  <c r="B25" i="26"/>
  <c r="C24" i="26"/>
  <c r="B24" i="26"/>
  <c r="C23" i="26"/>
  <c r="B23" i="26"/>
  <c r="I9" i="26"/>
  <c r="H9" i="26"/>
  <c r="I9" i="27"/>
  <c r="H9" i="27"/>
  <c r="F9" i="27"/>
  <c r="E9" i="27"/>
  <c r="D13" i="27"/>
  <c r="D13" i="26"/>
  <c r="I13" i="26"/>
  <c r="H13" i="26"/>
  <c r="I9" i="25" l="1"/>
  <c r="H9" i="25"/>
  <c r="D13" i="25" l="1"/>
  <c r="I13" i="25"/>
  <c r="H13" i="25"/>
  <c r="U31" i="23"/>
  <c r="O31" i="23"/>
  <c r="E23" i="32" l="1"/>
  <c r="E26" i="32"/>
  <c r="E27" i="32"/>
  <c r="E30" i="32"/>
  <c r="E31" i="32"/>
  <c r="E34" i="32"/>
  <c r="E35" i="32"/>
  <c r="E38" i="32"/>
  <c r="E39" i="32"/>
  <c r="E42" i="32"/>
  <c r="E22" i="32"/>
  <c r="D32" i="30"/>
  <c r="D33" i="30"/>
  <c r="D36" i="30"/>
  <c r="D37" i="30"/>
  <c r="D40" i="30"/>
  <c r="D41" i="30"/>
  <c r="D44" i="30"/>
  <c r="D45" i="30"/>
  <c r="D48" i="30"/>
  <c r="D49" i="30"/>
  <c r="D24" i="27"/>
  <c r="D27" i="27"/>
  <c r="D28" i="27"/>
  <c r="D31" i="27"/>
  <c r="D32" i="27"/>
  <c r="D35" i="27"/>
  <c r="D36" i="27"/>
  <c r="D39" i="27"/>
  <c r="D40" i="27"/>
  <c r="D43" i="27"/>
  <c r="D23" i="27"/>
  <c r="H14" i="34"/>
  <c r="H14" i="33"/>
  <c r="H14" i="32"/>
  <c r="E24" i="32" s="1"/>
  <c r="H14" i="31"/>
  <c r="E23" i="31" s="1"/>
  <c r="E12" i="30"/>
  <c r="D34" i="30" s="1"/>
  <c r="I13" i="29"/>
  <c r="D26" i="29" s="1"/>
  <c r="I13" i="27"/>
  <c r="D25" i="27" s="1"/>
  <c r="D24" i="26"/>
  <c r="D41" i="25"/>
  <c r="D37" i="25"/>
  <c r="D33" i="25"/>
  <c r="D29" i="25"/>
  <c r="D25" i="25"/>
  <c r="D40" i="25"/>
  <c r="D43" i="26" l="1"/>
  <c r="D35" i="26"/>
  <c r="D41" i="29"/>
  <c r="D33" i="29"/>
  <c r="D25" i="29"/>
  <c r="E42" i="31"/>
  <c r="E34" i="31"/>
  <c r="E26" i="31"/>
  <c r="D30" i="25"/>
  <c r="D38" i="25"/>
  <c r="D38" i="26"/>
  <c r="D30" i="26"/>
  <c r="D40" i="29"/>
  <c r="D32" i="29"/>
  <c r="D24" i="29"/>
  <c r="E37" i="31"/>
  <c r="E29" i="31"/>
  <c r="D23" i="25"/>
  <c r="D39" i="25"/>
  <c r="D29" i="26"/>
  <c r="D42" i="27"/>
  <c r="D30" i="27"/>
  <c r="D43" i="29"/>
  <c r="D39" i="29"/>
  <c r="D35" i="29"/>
  <c r="D31" i="29"/>
  <c r="D27" i="29"/>
  <c r="D30" i="30"/>
  <c r="D47" i="30"/>
  <c r="D43" i="30"/>
  <c r="D39" i="30"/>
  <c r="D35" i="30"/>
  <c r="D31" i="30"/>
  <c r="E40" i="31"/>
  <c r="E36" i="31"/>
  <c r="E32" i="31"/>
  <c r="E28" i="31"/>
  <c r="E24" i="31"/>
  <c r="E41" i="32"/>
  <c r="E37" i="32"/>
  <c r="E33" i="32"/>
  <c r="E29" i="32"/>
  <c r="E25" i="32"/>
  <c r="D39" i="26"/>
  <c r="D31" i="26"/>
  <c r="D27" i="26"/>
  <c r="D37" i="29"/>
  <c r="D29" i="29"/>
  <c r="E38" i="31"/>
  <c r="E30" i="31"/>
  <c r="D26" i="25"/>
  <c r="D34" i="25"/>
  <c r="D42" i="25"/>
  <c r="D42" i="26"/>
  <c r="D34" i="26"/>
  <c r="D26" i="26"/>
  <c r="D23" i="29"/>
  <c r="D36" i="29"/>
  <c r="D28" i="29"/>
  <c r="E41" i="31"/>
  <c r="E33" i="31"/>
  <c r="E25" i="31"/>
  <c r="D27" i="25"/>
  <c r="D31" i="25"/>
  <c r="D35" i="25"/>
  <c r="D43" i="25"/>
  <c r="D41" i="26"/>
  <c r="D37" i="26"/>
  <c r="D33" i="26"/>
  <c r="D25" i="26"/>
  <c r="D38" i="27"/>
  <c r="D34" i="27"/>
  <c r="D26" i="27"/>
  <c r="D24" i="25"/>
  <c r="D28" i="25"/>
  <c r="D32" i="25"/>
  <c r="D36" i="25"/>
  <c r="D23" i="26"/>
  <c r="D40" i="26"/>
  <c r="D36" i="26"/>
  <c r="D32" i="26"/>
  <c r="D28" i="26"/>
  <c r="D41" i="27"/>
  <c r="D37" i="27"/>
  <c r="D33" i="27"/>
  <c r="D29" i="27"/>
  <c r="D42" i="29"/>
  <c r="D38" i="29"/>
  <c r="D34" i="29"/>
  <c r="D30" i="29"/>
  <c r="D50" i="30"/>
  <c r="D46" i="30"/>
  <c r="D42" i="30"/>
  <c r="D38" i="30"/>
  <c r="E22" i="31"/>
  <c r="E39" i="31"/>
  <c r="E35" i="31"/>
  <c r="E31" i="31"/>
  <c r="E27" i="31"/>
  <c r="E40" i="32"/>
  <c r="E36" i="32"/>
  <c r="E32" i="32"/>
  <c r="E28" i="32"/>
  <c r="D9" i="34"/>
  <c r="D9" i="33"/>
  <c r="D9" i="32"/>
  <c r="D9" i="31"/>
  <c r="D9" i="30"/>
  <c r="D9" i="29"/>
  <c r="D9" i="26"/>
  <c r="D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G9" i="25"/>
  <c r="I31" i="23"/>
  <c r="H41" i="23"/>
  <c r="H40" i="23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4" i="23"/>
  <c r="C35" i="23"/>
  <c r="C36" i="23"/>
  <c r="C37" i="23"/>
  <c r="C38" i="23"/>
  <c r="C39" i="23"/>
  <c r="C40" i="23"/>
  <c r="C41" i="23"/>
  <c r="C42" i="23"/>
  <c r="D12" i="23"/>
  <c r="C12" i="23"/>
  <c r="E25" i="23"/>
  <c r="F9" i="25" l="1"/>
  <c r="E9" i="25"/>
  <c r="F9" i="26"/>
  <c r="E9" i="26"/>
  <c r="E9" i="29"/>
  <c r="F9" i="29"/>
  <c r="K41" i="23"/>
  <c r="M41" i="23" s="1"/>
  <c r="G14" i="34"/>
  <c r="G14" i="32"/>
  <c r="D12" i="30"/>
  <c r="H13" i="27"/>
  <c r="G14" i="31"/>
  <c r="H13" i="29"/>
  <c r="G14" i="33"/>
  <c r="K40" i="23"/>
  <c r="M40" i="23" s="1"/>
  <c r="H42" i="23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H24" i="23"/>
  <c r="C9" i="34" s="1"/>
  <c r="G24" i="23"/>
  <c r="B9" i="34" s="1"/>
  <c r="K23" i="23"/>
  <c r="H23" i="23"/>
  <c r="C9" i="33" s="1"/>
  <c r="G23" i="23"/>
  <c r="B9" i="33" s="1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B41" i="31"/>
  <c r="B40" i="31"/>
  <c r="B39" i="31"/>
  <c r="B38" i="31"/>
  <c r="B37" i="31"/>
  <c r="B36" i="31"/>
  <c r="B35" i="31"/>
  <c r="B34" i="31"/>
  <c r="B33" i="31"/>
  <c r="B32" i="31"/>
  <c r="B31" i="31"/>
  <c r="B30" i="31"/>
  <c r="B29" i="31"/>
  <c r="B28" i="31"/>
  <c r="B27" i="31"/>
  <c r="B26" i="31"/>
  <c r="B25" i="31"/>
  <c r="B24" i="31"/>
  <c r="B23" i="31"/>
  <c r="B22" i="3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A30" i="30"/>
  <c r="A31" i="30" s="1"/>
  <c r="A24" i="29"/>
  <c r="A25" i="29" s="1"/>
  <c r="A23" i="29"/>
  <c r="F19" i="23"/>
  <c r="J19" i="23"/>
  <c r="A24" i="27"/>
  <c r="A25" i="27" s="1"/>
  <c r="A23" i="27"/>
  <c r="J9" i="27"/>
  <c r="A23" i="26"/>
  <c r="F18" i="23"/>
  <c r="F35" i="23" s="1"/>
  <c r="J18" i="23"/>
  <c r="I35" i="23" s="1"/>
  <c r="J35" i="23" s="1"/>
  <c r="J17" i="23"/>
  <c r="I34" i="23" s="1"/>
  <c r="J34" i="23" s="1"/>
  <c r="A24" i="25"/>
  <c r="A25" i="25" s="1"/>
  <c r="A23" i="25"/>
  <c r="K22" i="23"/>
  <c r="H22" i="23"/>
  <c r="C9" i="32" s="1"/>
  <c r="G22" i="23"/>
  <c r="B9" i="32" s="1"/>
  <c r="K21" i="23"/>
  <c r="H21" i="23"/>
  <c r="C9" i="31" s="1"/>
  <c r="G21" i="23"/>
  <c r="B9" i="31" s="1"/>
  <c r="K20" i="23"/>
  <c r="H20" i="23"/>
  <c r="C9" i="30" s="1"/>
  <c r="G20" i="23"/>
  <c r="B9" i="30" s="1"/>
  <c r="K19" i="23"/>
  <c r="H19" i="23"/>
  <c r="C9" i="29" s="1"/>
  <c r="G19" i="23"/>
  <c r="B9" i="29" s="1"/>
  <c r="K18" i="23"/>
  <c r="H18" i="23"/>
  <c r="C9" i="26" s="1"/>
  <c r="G18" i="23"/>
  <c r="B9" i="26" s="1"/>
  <c r="K17" i="23"/>
  <c r="H17" i="23"/>
  <c r="C9" i="25" s="1"/>
  <c r="G17" i="23"/>
  <c r="B9" i="25" s="1"/>
  <c r="H14" i="30" a="1"/>
  <c r="I36" i="23" l="1"/>
  <c r="J36" i="23" s="1"/>
  <c r="G38" i="23"/>
  <c r="F38" i="23"/>
  <c r="G36" i="23"/>
  <c r="F36" i="23"/>
  <c r="J9" i="29"/>
  <c r="B41" i="33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F23" i="23" s="1"/>
  <c r="F40" i="2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J23" i="23" s="1"/>
  <c r="I40" i="23" s="1"/>
  <c r="B39" i="33"/>
  <c r="E39" i="33" s="1"/>
  <c r="B35" i="33"/>
  <c r="E35" i="33" s="1"/>
  <c r="B31" i="33"/>
  <c r="E31" i="33" s="1"/>
  <c r="B27" i="33"/>
  <c r="E27" i="33" s="1"/>
  <c r="B23" i="33"/>
  <c r="E23" i="33" s="1"/>
  <c r="B42" i="33"/>
  <c r="E42" i="33" s="1"/>
  <c r="B38" i="33"/>
  <c r="E38" i="33" s="1"/>
  <c r="B34" i="33"/>
  <c r="E34" i="33" s="1"/>
  <c r="B30" i="33"/>
  <c r="E30" i="33" s="1"/>
  <c r="B26" i="33"/>
  <c r="E26" i="33" s="1"/>
  <c r="B22" i="33"/>
  <c r="E22" i="33" s="1"/>
  <c r="J9" i="25"/>
  <c r="F17" i="23"/>
  <c r="F34" i="23" s="1"/>
  <c r="K25" i="23"/>
  <c r="M25" i="23" s="1"/>
  <c r="B41" i="32"/>
  <c r="B37" i="32"/>
  <c r="B33" i="32"/>
  <c r="B29" i="32"/>
  <c r="B25" i="32"/>
  <c r="H9" i="32"/>
  <c r="I9" i="32" s="1"/>
  <c r="B40" i="32"/>
  <c r="B36" i="32"/>
  <c r="B32" i="32"/>
  <c r="B28" i="32"/>
  <c r="B24" i="32"/>
  <c r="B39" i="32"/>
  <c r="B35" i="32"/>
  <c r="B31" i="32"/>
  <c r="B27" i="32"/>
  <c r="B23" i="32"/>
  <c r="E9" i="32"/>
  <c r="F9" i="32" s="1"/>
  <c r="J22" i="23" s="1"/>
  <c r="B42" i="32"/>
  <c r="B38" i="32"/>
  <c r="B34" i="32"/>
  <c r="B30" i="32"/>
  <c r="B26" i="32"/>
  <c r="B22" i="32"/>
  <c r="C22" i="32" s="1"/>
  <c r="J9" i="26"/>
  <c r="G25" i="23"/>
  <c r="H25" i="23"/>
  <c r="M18" i="23"/>
  <c r="M20" i="23"/>
  <c r="M21" i="23"/>
  <c r="M22" i="23"/>
  <c r="L19" i="23"/>
  <c r="N19" i="23" s="1"/>
  <c r="M19" i="23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1"/>
  <c r="F9" i="31"/>
  <c r="J21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A26" i="29"/>
  <c r="A26" i="27"/>
  <c r="A24" i="26"/>
  <c r="A26" i="25"/>
  <c r="B32" i="30"/>
  <c r="B31" i="30"/>
  <c r="B30" i="30"/>
  <c r="H9" i="30"/>
  <c r="E9" i="30"/>
  <c r="L36" i="23" l="1"/>
  <c r="N36" i="23" s="1"/>
  <c r="I38" i="23"/>
  <c r="J38" i="23" s="1"/>
  <c r="L38" i="23" s="1"/>
  <c r="N38" i="23" s="1"/>
  <c r="I39" i="23"/>
  <c r="J39" i="23" s="1"/>
  <c r="C22" i="34"/>
  <c r="E22" i="34"/>
  <c r="C22" i="33"/>
  <c r="G40" i="23"/>
  <c r="J9" i="33"/>
  <c r="L21" i="23"/>
  <c r="N21" i="23" s="1"/>
  <c r="J40" i="23"/>
  <c r="L23" i="23"/>
  <c r="N23" i="23" s="1"/>
  <c r="F22" i="23"/>
  <c r="F39" i="23" s="1"/>
  <c r="J9" i="32"/>
  <c r="J9" i="34"/>
  <c r="F24" i="23"/>
  <c r="F41" i="23" s="1"/>
  <c r="L35" i="23"/>
  <c r="L34" i="23"/>
  <c r="N34" i="23" s="1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A27" i="29"/>
  <c r="A27" i="27"/>
  <c r="A25" i="26"/>
  <c r="A27" i="25"/>
  <c r="B33" i="30"/>
  <c r="I37" i="23" l="1"/>
  <c r="J37" i="23" s="1"/>
  <c r="L40" i="23"/>
  <c r="N40" i="23" s="1"/>
  <c r="N35" i="23"/>
  <c r="G39" i="23"/>
  <c r="L39" i="23" s="1"/>
  <c r="N39" i="23" s="1"/>
  <c r="L22" i="23"/>
  <c r="N22" i="23" s="1"/>
  <c r="G41" i="23"/>
  <c r="L41" i="23" s="1"/>
  <c r="N41" i="23" s="1"/>
  <c r="L24" i="23"/>
  <c r="N24" i="23" s="1"/>
  <c r="J9" i="30"/>
  <c r="F20" i="23"/>
  <c r="C33" i="30"/>
  <c r="A34" i="30"/>
  <c r="A28" i="29"/>
  <c r="A28" i="27"/>
  <c r="A26" i="26"/>
  <c r="A28" i="25"/>
  <c r="B34" i="30"/>
  <c r="J43" i="23" l="1"/>
  <c r="J44" i="23"/>
  <c r="J42" i="23"/>
  <c r="J45" i="23"/>
  <c r="F37" i="23"/>
  <c r="G37" i="23" s="1"/>
  <c r="F25" i="23"/>
  <c r="L20" i="23"/>
  <c r="C34" i="30"/>
  <c r="A35" i="30"/>
  <c r="A29" i="29"/>
  <c r="A29" i="27"/>
  <c r="A27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G43" i="23" l="1"/>
  <c r="G44" i="23"/>
  <c r="G45" i="23"/>
  <c r="N20" i="23"/>
  <c r="L37" i="23"/>
  <c r="G42" i="23"/>
  <c r="C35" i="30"/>
  <c r="A36" i="30"/>
  <c r="A30" i="29"/>
  <c r="A30" i="27"/>
  <c r="A28" i="26"/>
  <c r="A30" i="25"/>
  <c r="N12" i="13"/>
  <c r="O12" i="13"/>
  <c r="B36" i="30"/>
  <c r="N37" i="23" l="1"/>
  <c r="L43" i="23"/>
  <c r="L44" i="23"/>
  <c r="L45" i="23"/>
  <c r="L42" i="23"/>
  <c r="C36" i="30"/>
  <c r="A37" i="30"/>
  <c r="A31" i="29"/>
  <c r="A31" i="27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M44" i="23" l="1"/>
  <c r="M43" i="23"/>
  <c r="M45" i="23"/>
  <c r="N42" i="23"/>
  <c r="C37" i="30"/>
  <c r="A38" i="30"/>
  <c r="A32" i="29"/>
  <c r="A32" i="27"/>
  <c r="A30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N43" i="23" l="1"/>
  <c r="N44" i="23"/>
  <c r="N45" i="23"/>
  <c r="B9" i="23"/>
  <c r="J25" i="23"/>
  <c r="L18" i="23"/>
  <c r="C38" i="30"/>
  <c r="A39" i="30"/>
  <c r="A33" i="29"/>
  <c r="A33" i="27"/>
  <c r="A31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39" i="30"/>
  <c r="B45" i="5"/>
  <c r="B27" i="5"/>
  <c r="B38" i="5"/>
  <c r="B36" i="5"/>
  <c r="B32" i="5"/>
  <c r="N18" i="23" l="1"/>
  <c r="L25" i="23"/>
  <c r="N25" i="23" s="1"/>
  <c r="C39" i="30"/>
  <c r="A40" i="30"/>
  <c r="A34" i="29"/>
  <c r="A34" i="27"/>
  <c r="A32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C40" i="30" l="1"/>
  <c r="A41" i="30"/>
  <c r="A35" i="29"/>
  <c r="A35" i="27"/>
  <c r="A33" i="26"/>
  <c r="A35" i="25"/>
  <c r="B41" i="30"/>
  <c r="C41" i="30" l="1"/>
  <c r="A42" i="30"/>
  <c r="A36" i="29"/>
  <c r="A36" i="27"/>
  <c r="A34" i="26"/>
  <c r="A36" i="25"/>
  <c r="B42" i="30"/>
  <c r="C42" i="30" l="1"/>
  <c r="A43" i="30"/>
  <c r="A37" i="29"/>
  <c r="A37" i="27"/>
  <c r="A35" i="26"/>
  <c r="A37" i="25"/>
  <c r="B43" i="30"/>
  <c r="C43" i="30" l="1"/>
  <c r="A44" i="30"/>
  <c r="A38" i="29"/>
  <c r="A38" i="27"/>
  <c r="A36" i="26"/>
  <c r="A38" i="25"/>
  <c r="B44" i="30"/>
  <c r="C44" i="30" l="1"/>
  <c r="A45" i="30"/>
  <c r="A39" i="29"/>
  <c r="A39" i="27"/>
  <c r="A37" i="26"/>
  <c r="A39" i="25"/>
  <c r="B45" i="30"/>
  <c r="C45" i="30" l="1"/>
  <c r="A46" i="30"/>
  <c r="A40" i="29"/>
  <c r="A40" i="27"/>
  <c r="A38" i="26"/>
  <c r="A40" i="25"/>
  <c r="B46" i="30"/>
  <c r="C46" i="30" l="1"/>
  <c r="A47" i="30"/>
  <c r="A41" i="29"/>
  <c r="A41" i="27"/>
  <c r="A39" i="26"/>
  <c r="A41" i="25"/>
  <c r="B47" i="30"/>
  <c r="C47" i="30" l="1"/>
  <c r="A48" i="30"/>
  <c r="A42" i="29"/>
  <c r="A42" i="27"/>
  <c r="A40" i="26"/>
  <c r="A42" i="25"/>
  <c r="B48" i="30"/>
  <c r="C48" i="30" l="1"/>
  <c r="A49" i="30"/>
  <c r="A43" i="29"/>
  <c r="A43" i="27"/>
  <c r="A41" i="26"/>
  <c r="A43" i="25"/>
  <c r="B49" i="30"/>
  <c r="C49" i="30" l="1"/>
  <c r="A50" i="30"/>
  <c r="A42" i="26"/>
  <c r="B50" i="30"/>
  <c r="C50" i="30" l="1"/>
  <c r="A43" i="26"/>
</calcChain>
</file>

<file path=xl/sharedStrings.xml><?xml version="1.0" encoding="utf-8"?>
<sst xmlns="http://schemas.openxmlformats.org/spreadsheetml/2006/main" count="1051" uniqueCount="277">
  <si>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</si>
  <si>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</si>
  <si>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</si>
  <si>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</si>
  <si>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</si>
  <si>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</si>
  <si>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</si>
  <si>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</si>
  <si>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</si>
  <si>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</si>
  <si>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</si>
  <si>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</si>
  <si>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</si>
  <si>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</si>
  <si>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</si>
  <si>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</si>
  <si>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</si>
  <si>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</si>
  <si>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</si>
  <si>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</si>
  <si>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</si>
  <si>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</si>
  <si>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</si>
  <si>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</si>
  <si>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</si>
  <si>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</si>
  <si>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</si>
  <si>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</si>
  <si>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</si>
  <si>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</si>
  <si>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</si>
  <si>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</si>
  <si>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</si>
  <si>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</si>
  <si>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</si>
  <si>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</si>
  <si>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</si>
  <si>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</si>
  <si>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</si>
  <si>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</si>
  <si>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</si>
  <si>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</si>
  <si>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</si>
  <si>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</si>
  <si>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</si>
  <si>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</si>
  <si>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</si>
  <si>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</si>
  <si>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</si>
  <si>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</si>
  <si>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</si>
  <si>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</si>
  <si>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</si>
  <si>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</si>
  <si>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</si>
  <si>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</si>
  <si>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</si>
  <si>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</si>
  <si>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</si>
  <si>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</si>
  <si>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</si>
  <si>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</si>
  <si>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</si>
  <si>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</si>
  <si>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</si>
  <si>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</si>
  <si>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</si>
  <si>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</si>
  <si>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</si>
  <si>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</si>
  <si>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</si>
  <si>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</si>
  <si>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</si>
  <si>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</si>
  <si>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</si>
  <si>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</si>
  <si>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</si>
  <si>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</si>
  <si>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</si>
  <si>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</si>
  <si>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</si>
  <si>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</si>
  <si>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</si>
  <si>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</si>
  <si>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</si>
  <si>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</si>
  <si>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</si>
  <si>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</si>
  <si>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</si>
  <si>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</si>
  <si>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</si>
  <si>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</si>
  <si>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</si>
  <si>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</si>
  <si>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</si>
  <si>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</si>
  <si>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</si>
  <si>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</si>
  <si>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</si>
  <si>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</si>
  <si>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</si>
  <si>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</si>
  <si>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</si>
  <si>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</si>
  <si>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</si>
  <si>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</si>
  <si>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</si>
  <si>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</si>
  <si>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</si>
  <si>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</si>
  <si>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</si>
  <si>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</si>
  <si>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</si>
  <si>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</si>
  <si>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</si>
  <si>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</si>
  <si>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</si>
  <si>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</si>
  <si>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</si>
  <si>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</si>
  <si>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</si>
  <si>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</si>
  <si>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</si>
  <si>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</si>
  <si>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</si>
  <si>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</si>
  <si>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</si>
  <si>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</si>
  <si>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</si>
  <si>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</si>
  <si>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</si>
  <si>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</si>
  <si>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</si>
  <si>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</si>
  <si>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</si>
  <si>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</si>
  <si>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</si>
  <si>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</si>
  <si>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</si>
  <si>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</si>
  <si>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</si>
  <si>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</si>
  <si>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</si>
  <si>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</si>
  <si>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</si>
  <si>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</si>
  <si>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</si>
  <si>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</si>
  <si>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</si>
  <si>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</si>
  <si>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</si>
  <si>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</si>
  <si>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</si>
  <si>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</si>
  <si>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</si>
  <si>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</si>
  <si>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</si>
  <si>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</si>
  <si>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</si>
  <si>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</si>
  <si>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</si>
  <si>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</si>
  <si>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</si>
  <si>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</si>
  <si>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</si>
  <si>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</si>
  <si>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</si>
  <si>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</si>
  <si>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</si>
  <si>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</si>
  <si>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</si>
  <si>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</si>
  <si>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</si>
  <si>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</si>
  <si>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</si>
  <si>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</si>
  <si>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</si>
  <si>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</si>
  <si>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</si>
  <si>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</si>
  <si>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</si>
  <si>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</si>
  <si>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</si>
  <si>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</si>
  <si>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</si>
  <si>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</si>
  <si>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</si>
  <si>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</si>
  <si>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</si>
  <si>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</si>
  <si>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</si>
  <si>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</si>
  <si>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</si>
  <si>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</si>
  <si>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</si>
  <si>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</si>
  <si>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</si>
  <si>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</si>
  <si>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</si>
  <si>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</si>
  <si>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</si>
  <si>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</si>
  <si>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</si>
  <si>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</si>
  <si>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</si>
  <si>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</si>
  <si>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</si>
  <si>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</si>
  <si>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</si>
  <si>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</si>
  <si>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</si>
  <si>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</si>
  <si>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</si>
  <si>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</si>
  <si>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</si>
  <si>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</si>
  <si>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</si>
  <si>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</si>
  <si>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</si>
  <si>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</si>
  <si>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</si>
  <si>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</si>
  <si>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</si>
  <si>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</si>
  <si>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</si>
  <si>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</si>
  <si>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</si>
  <si>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</si>
  <si>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</si>
  <si>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</si>
  <si>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</si>
  <si>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</si>
  <si>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</si>
  <si>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</si>
  <si>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</si>
  <si>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</si>
  <si>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</si>
  <si>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</si>
  <si>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</si>
  <si>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</si>
  <si>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</si>
  <si>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</si>
  <si>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</si>
  <si>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</si>
  <si>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</si>
  <si>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</si>
  <si>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</si>
  <si>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</si>
  <si>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</si>
  <si>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</si>
  <si>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</si>
  <si>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</si>
  <si>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</si>
  <si>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</si>
  <si>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</si>
  <si>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</si>
  <si>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</si>
  <si>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</si>
  <si>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</si>
  <si>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</si>
  <si>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</si>
  <si>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</si>
  <si>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</si>
  <si>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</si>
  <si>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</si>
  <si>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</si>
  <si>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</si>
  <si>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</si>
  <si>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</si>
  <si>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</si>
  <si>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</si>
  <si>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</si>
  <si>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</si>
  <si>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1A.</t>
    </r>
    <r>
      <rPr>
        <sz val="10"/>
        <color rgb="FF0000FF"/>
        <rFont val="Calibri"/>
        <family val="2"/>
        <scheme val="minor"/>
      </rPr>
      <t xml:space="preserve"> Local constraints can vary by + or - 30%. Global budget remains at currently planned level.</t>
    </r>
  </si>
  <si>
    <t>Januvia Family (Januvia / Janumet)</t>
  </si>
  <si>
    <t xml:space="preserve">Januvia </t>
  </si>
  <si>
    <t xml:space="preserve">Janumet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</si>
</sst>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1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02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164" fontId="5" fillId="5" borderId="2" xfId="0" applyNumberFormat="1" applyFont="1" applyFill="1" applyBorder="1"/>
    <xf numFmtId="9" fontId="1" fillId="0" borderId="0" xfId="3" applyFont="1"/>
    <xf numFmtId="0" fontId="36" fillId="0" borderId="0" xfId="0" applyFont="1"/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wrapText="1"/>
    </xf>
    <xf numFmtId="0" fontId="5" fillId="9" borderId="2" xfId="0" applyFont="1" applyFill="1" applyBorder="1" applyAlignment="1">
      <alignment horizont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5" fillId="47" borderId="2" xfId="0" applyFont="1" applyFill="1" applyBorder="1" applyAlignment="1">
      <alignment horizont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47488"/>
        <c:axId val="264470528"/>
      </c:scatterChart>
      <c:valAx>
        <c:axId val="2644474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4470528"/>
        <c:crosses val="autoZero"/>
        <c:crossBetween val="midCat"/>
        <c:dispUnits>
          <c:builtInUnit val="thousands"/>
        </c:dispUnits>
      </c:valAx>
      <c:valAx>
        <c:axId val="264470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644474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332416"/>
        <c:axId val="264334720"/>
      </c:scatterChart>
      <c:valAx>
        <c:axId val="2643324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4334720"/>
        <c:crosses val="autoZero"/>
        <c:crossBetween val="midCat"/>
        <c:dispUnits>
          <c:builtInUnit val="thousands"/>
        </c:dispUnits>
      </c:valAx>
      <c:valAx>
        <c:axId val="2643347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643324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152309.33747716085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01664"/>
        <c:axId val="264403968"/>
      </c:scatterChart>
      <c:valAx>
        <c:axId val="2644016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4403968"/>
        <c:crosses val="autoZero"/>
        <c:crossBetween val="midCat"/>
        <c:dispUnits>
          <c:builtInUnit val="thousands"/>
        </c:dispUnits>
      </c:valAx>
      <c:valAx>
        <c:axId val="264403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644016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27450.711351371949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587136"/>
        <c:axId val="264606080"/>
      </c:scatterChart>
      <c:valAx>
        <c:axId val="264587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4606080"/>
        <c:crosses val="autoZero"/>
        <c:crossBetween val="midCat"/>
        <c:dispUnits>
          <c:builtInUnit val="thousands"/>
        </c:dispUnits>
      </c:valAx>
      <c:valAx>
        <c:axId val="264606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645871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2210534.5887705665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36736"/>
        <c:axId val="266047488"/>
      </c:scatterChart>
      <c:valAx>
        <c:axId val="266036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6047488"/>
        <c:crosses val="autoZero"/>
        <c:crossBetween val="midCat"/>
        <c:dispUnits>
          <c:builtInUnit val="thousands"/>
        </c:dispUnits>
      </c:valAx>
      <c:valAx>
        <c:axId val="266047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0367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094848"/>
        <c:axId val="266126080"/>
      </c:scatterChart>
      <c:valAx>
        <c:axId val="2660948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6126080"/>
        <c:crosses val="autoZero"/>
        <c:crossBetween val="midCat"/>
        <c:dispUnits>
          <c:builtInUnit val="thousands"/>
        </c:dispUnits>
      </c:valAx>
      <c:valAx>
        <c:axId val="2661260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09484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84982.734953958949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6164096"/>
        <c:axId val="266183040"/>
      </c:scatterChart>
      <c:valAx>
        <c:axId val="266164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6183040"/>
        <c:crosses val="autoZero"/>
        <c:crossBetween val="midCat"/>
        <c:dispUnits>
          <c:builtInUnit val="thousands"/>
        </c:dispUnits>
      </c:valAx>
      <c:valAx>
        <c:axId val="266183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61640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296573.45688100718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345280"/>
        <c:axId val="267364224"/>
      </c:scatterChart>
      <c:valAx>
        <c:axId val="2673452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67364224"/>
        <c:crosses val="autoZero"/>
        <c:crossBetween val="midCat"/>
        <c:dispUnits>
          <c:builtInUnit val="thousands"/>
        </c:dispUnits>
      </c:valAx>
      <c:valAx>
        <c:axId val="2673642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73452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152309.33747716085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27450.711351371949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2210534.5887705665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84982.734953958949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296573.45688100718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152309.33747716085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27450.711351371949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2210534.5887705665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84982.734953958949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296573.45688100718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5907584"/>
        <c:axId val="265922816"/>
      </c:scatterChart>
      <c:valAx>
        <c:axId val="265907584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5922816"/>
        <c:crosses val="autoZero"/>
        <c:crossBetween val="midCat"/>
        <c:dispUnits>
          <c:builtInUnit val="thousands"/>
        </c:dispUnits>
      </c:valAx>
      <c:valAx>
        <c:axId val="265922816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659075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152309.33747716085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27450.711351371949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2210534.5887705665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84982.734953958949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296573.45688100718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152309.33747716085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27450.711351371949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2210534.5887705665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84982.734953958949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296573.45688100718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7619328"/>
        <c:axId val="267728384"/>
      </c:scatterChart>
      <c:valAx>
        <c:axId val="267619328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7728384"/>
        <c:crosses val="autoZero"/>
        <c:crossBetween val="midCat"/>
        <c:dispUnits>
          <c:builtInUnit val="thousands"/>
        </c:dispUnits>
      </c:valAx>
      <c:valAx>
        <c:axId val="267728384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676193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307256459.50202709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13778876.277940683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2483366.8225280931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199979089.34076658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35403140.715256058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7688081.4406222124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30935577.287257861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960896"/>
        <c:axId val="268967936"/>
      </c:scatterChart>
      <c:valAx>
        <c:axId val="268960896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8967936"/>
        <c:crosses val="autoZero"/>
        <c:crossBetween val="midCat"/>
        <c:dispUnits>
          <c:builtInUnit val="millions"/>
        </c:dispUnits>
      </c:valAx>
      <c:valAx>
        <c:axId val="268967936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6896089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32510341.298919387</c:v>
                </c:pt>
                <c:pt idx="2">
                  <c:v>64913757.961975709</c:v>
                </c:pt>
                <c:pt idx="3">
                  <c:v>97210249.989168957</c:v>
                </c:pt>
                <c:pt idx="4">
                  <c:v>129399817.38049912</c:v>
                </c:pt>
                <c:pt idx="5">
                  <c:v>161482460.13596624</c:v>
                </c:pt>
                <c:pt idx="6">
                  <c:v>193458178.25557023</c:v>
                </c:pt>
                <c:pt idx="7">
                  <c:v>225326971.73931122</c:v>
                </c:pt>
                <c:pt idx="8">
                  <c:v>257088840.58718908</c:v>
                </c:pt>
                <c:pt idx="9">
                  <c:v>288743784.79920393</c:v>
                </c:pt>
                <c:pt idx="10">
                  <c:v>320291804.37535566</c:v>
                </c:pt>
                <c:pt idx="11">
                  <c:v>351732899.31564426</c:v>
                </c:pt>
                <c:pt idx="12">
                  <c:v>383067069.62006992</c:v>
                </c:pt>
                <c:pt idx="13">
                  <c:v>414294315.28863245</c:v>
                </c:pt>
                <c:pt idx="14">
                  <c:v>445414636.32133186</c:v>
                </c:pt>
                <c:pt idx="15">
                  <c:v>476428032.71816826</c:v>
                </c:pt>
                <c:pt idx="16">
                  <c:v>507334504.47914159</c:v>
                </c:pt>
                <c:pt idx="17">
                  <c:v>538134051.60425186</c:v>
                </c:pt>
                <c:pt idx="18">
                  <c:v>568826674.09349895</c:v>
                </c:pt>
                <c:pt idx="19">
                  <c:v>599412371.94688308</c:v>
                </c:pt>
                <c:pt idx="20">
                  <c:v>629891145.16440403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256729429.50008738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307256459.50202709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35532883.959865317</c:v>
                </c:pt>
                <c:pt idx="2">
                  <c:v>71074817.715895742</c:v>
                </c:pt>
                <c:pt idx="3">
                  <c:v>106625801.26809132</c:v>
                </c:pt>
                <c:pt idx="4">
                  <c:v>142185834.61645198</c:v>
                </c:pt>
                <c:pt idx="5">
                  <c:v>177754917.7609778</c:v>
                </c:pt>
                <c:pt idx="6">
                  <c:v>213333050.70166874</c:v>
                </c:pt>
                <c:pt idx="7">
                  <c:v>248920233.43852475</c:v>
                </c:pt>
                <c:pt idx="8">
                  <c:v>284516465.97154588</c:v>
                </c:pt>
                <c:pt idx="9">
                  <c:v>320121748.3007322</c:v>
                </c:pt>
                <c:pt idx="10">
                  <c:v>355736080.42608356</c:v>
                </c:pt>
                <c:pt idx="11">
                  <c:v>391359462.3476001</c:v>
                </c:pt>
                <c:pt idx="12">
                  <c:v>426991894.06528181</c:v>
                </c:pt>
                <c:pt idx="13">
                  <c:v>462633375.5791285</c:v>
                </c:pt>
                <c:pt idx="14">
                  <c:v>498283906.88914043</c:v>
                </c:pt>
                <c:pt idx="15">
                  <c:v>533943487.9953174</c:v>
                </c:pt>
                <c:pt idx="16">
                  <c:v>569612118.89765954</c:v>
                </c:pt>
                <c:pt idx="17">
                  <c:v>605289799.59616673</c:v>
                </c:pt>
                <c:pt idx="18">
                  <c:v>640976530.09083915</c:v>
                </c:pt>
                <c:pt idx="19">
                  <c:v>676672310.38167667</c:v>
                </c:pt>
                <c:pt idx="20">
                  <c:v>712377140.46867931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277582233.11286116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333164838.90764552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2263395.934106518</c:v>
                </c:pt>
                <c:pt idx="2">
                  <c:v>4526814.4907949688</c:v>
                </c:pt>
                <c:pt idx="3">
                  <c:v>6790255.6700653536</c:v>
                </c:pt>
                <c:pt idx="4">
                  <c:v>9053719.4719176721</c:v>
                </c:pt>
                <c:pt idx="5">
                  <c:v>11317205.896351924</c:v>
                </c:pt>
                <c:pt idx="6">
                  <c:v>13580714.943368107</c:v>
                </c:pt>
                <c:pt idx="7">
                  <c:v>15844246.612966226</c:v>
                </c:pt>
                <c:pt idx="8">
                  <c:v>18107800.905146275</c:v>
                </c:pt>
                <c:pt idx="9">
                  <c:v>20371377.819908265</c:v>
                </c:pt>
                <c:pt idx="10">
                  <c:v>22634977.357252184</c:v>
                </c:pt>
                <c:pt idx="11">
                  <c:v>24898599.517178033</c:v>
                </c:pt>
                <c:pt idx="12">
                  <c:v>27162244.299685817</c:v>
                </c:pt>
                <c:pt idx="13">
                  <c:v>29425911.704775531</c:v>
                </c:pt>
                <c:pt idx="14">
                  <c:v>31689601.732447188</c:v>
                </c:pt>
                <c:pt idx="15">
                  <c:v>33953314.382700771</c:v>
                </c:pt>
                <c:pt idx="16">
                  <c:v>36217049.655536287</c:v>
                </c:pt>
                <c:pt idx="17">
                  <c:v>38480807.550953746</c:v>
                </c:pt>
                <c:pt idx="18">
                  <c:v>40744588.068953127</c:v>
                </c:pt>
                <c:pt idx="19">
                  <c:v>43008391.209534436</c:v>
                </c:pt>
                <c:pt idx="20">
                  <c:v>45272216.97269769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17223726.339992169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13778876.277940683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830396.10377881257</c:v>
                </c:pt>
                <c:pt idx="2">
                  <c:v>1573336.241599645</c:v>
                </c:pt>
                <c:pt idx="3">
                  <c:v>2183752.6617536447</c:v>
                </c:pt>
                <c:pt idx="4">
                  <c:v>2717026.0110859354</c:v>
                </c:pt>
                <c:pt idx="5">
                  <c:v>3204783.0991347739</c:v>
                </c:pt>
                <c:pt idx="6">
                  <c:v>3616567.6058843201</c:v>
                </c:pt>
                <c:pt idx="7">
                  <c:v>3952127.2124412442</c:v>
                </c:pt>
                <c:pt idx="8">
                  <c:v>4242797.2763169548</c:v>
                </c:pt>
                <c:pt idx="9">
                  <c:v>4502091.9271469023</c:v>
                </c:pt>
                <c:pt idx="10">
                  <c:v>4732480.6116008339</c:v>
                </c:pt>
                <c:pt idx="11">
                  <c:v>4936297.9761584429</c:v>
                </c:pt>
                <c:pt idx="12">
                  <c:v>5115857.5679551307</c:v>
                </c:pt>
                <c:pt idx="13">
                  <c:v>5273402.4955364978</c:v>
                </c:pt>
                <c:pt idx="14">
                  <c:v>5411161.1859890744</c:v>
                </c:pt>
                <c:pt idx="15">
                  <c:v>5531362.0663993917</c:v>
                </c:pt>
                <c:pt idx="16">
                  <c:v>5636233.5638539754</c:v>
                </c:pt>
                <c:pt idx="17">
                  <c:v>5728004.1054393593</c:v>
                </c:pt>
                <c:pt idx="18">
                  <c:v>5808902.1182420691</c:v>
                </c:pt>
                <c:pt idx="19">
                  <c:v>5881156.029348637</c:v>
                </c:pt>
                <c:pt idx="20">
                  <c:v>5946994.2658455903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2938768.6290912107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2483366.8225280931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26891518.563405465</c:v>
                </c:pt>
                <c:pt idx="2">
                  <c:v>52822108.635268539</c:v>
                </c:pt>
                <c:pt idx="3">
                  <c:v>77818250.93590495</c:v>
                </c:pt>
                <c:pt idx="4">
                  <c:v>101906321.32154958</c:v>
                </c:pt>
                <c:pt idx="5">
                  <c:v>125112532.91757707</c:v>
                </c:pt>
                <c:pt idx="6">
                  <c:v>147462883.42931002</c:v>
                </c:pt>
                <c:pt idx="7">
                  <c:v>168983107.42063725</c:v>
                </c:pt>
                <c:pt idx="8">
                  <c:v>189698633.33986819</c:v>
                </c:pt>
                <c:pt idx="9">
                  <c:v>209634545.06440687</c:v>
                </c:pt>
                <c:pt idx="10">
                  <c:v>228815547.7309525</c:v>
                </c:pt>
                <c:pt idx="11">
                  <c:v>247265937.61529857</c:v>
                </c:pt>
                <c:pt idx="12">
                  <c:v>265009575.82555684</c:v>
                </c:pt>
                <c:pt idx="13">
                  <c:v>282069865.57415175</c:v>
                </c:pt>
                <c:pt idx="14">
                  <c:v>298469732.7971009</c:v>
                </c:pt>
                <c:pt idx="15">
                  <c:v>314231609.89374036</c:v>
                </c:pt>
                <c:pt idx="16">
                  <c:v>329377422.36575711</c:v>
                </c:pt>
                <c:pt idx="17">
                  <c:v>343928578.14110625</c:v>
                </c:pt>
                <c:pt idx="18">
                  <c:v>357905959.37593991</c:v>
                </c:pt>
                <c:pt idx="19">
                  <c:v>371329916.535662</c:v>
                </c:pt>
                <c:pt idx="20">
                  <c:v>384220264.56488615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182565617.25423408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199979089.34076658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9095392.7554883435</c:v>
                </c:pt>
                <c:pt idx="2">
                  <c:v>17797167.231097437</c:v>
                </c:pt>
                <c:pt idx="3">
                  <c:v>26121384.537788443</c:v>
                </c:pt>
                <c:pt idx="4">
                  <c:v>34083535.682424247</c:v>
                </c:pt>
                <c:pt idx="5">
                  <c:v>41698554.158957601</c:v>
                </c:pt>
                <c:pt idx="6">
                  <c:v>48980829.014459282</c:v>
                </c:pt>
                <c:pt idx="7">
                  <c:v>55944218.293279201</c:v>
                </c:pt>
                <c:pt idx="8">
                  <c:v>62602062.771540806</c:v>
                </c:pt>
                <c:pt idx="9">
                  <c:v>68967199.902406856</c:v>
                </c:pt>
                <c:pt idx="10">
                  <c:v>75051977.90051724</c:v>
                </c:pt>
                <c:pt idx="11">
                  <c:v>80868269.901061445</c:v>
                </c:pt>
                <c:pt idx="12">
                  <c:v>86427488.135900334</c:v>
                </c:pt>
                <c:pt idx="13">
                  <c:v>91740598.075286061</c:v>
                </c:pt>
                <c:pt idx="14">
                  <c:v>96818132.489608586</c:v>
                </c:pt>
                <c:pt idx="15">
                  <c:v>101670205.39092097</c:v>
                </c:pt>
                <c:pt idx="16">
                  <c:v>106306525.81893127</c:v>
                </c:pt>
                <c:pt idx="17">
                  <c:v>110736411.44068843</c:v>
                </c:pt>
                <c:pt idx="18">
                  <c:v>114968801.93732113</c:v>
                </c:pt>
                <c:pt idx="19">
                  <c:v>119012272.15500575</c:v>
                </c:pt>
                <c:pt idx="20">
                  <c:v>122875045.00075731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43274552.910443343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35403140.715256058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2785791.3336722385</c:v>
                </c:pt>
                <c:pt idx="2">
                  <c:v>5496718.5229516942</c:v>
                </c:pt>
                <c:pt idx="3">
                  <c:v>8134735.329043691</c:v>
                </c:pt>
                <c:pt idx="4">
                  <c:v>10701747.655996446</c:v>
                </c:pt>
                <c:pt idx="5">
                  <c:v>13199614.552575035</c:v>
                </c:pt>
                <c:pt idx="6">
                  <c:v>15630149.202787258</c:v>
                </c:pt>
                <c:pt idx="7">
                  <c:v>17995119.904533207</c:v>
                </c:pt>
                <c:pt idx="8">
                  <c:v>20296251.036003835</c:v>
                </c:pt>
                <c:pt idx="9">
                  <c:v>22535224.009394951</c:v>
                </c:pt>
                <c:pt idx="10">
                  <c:v>24713678.211604882</c:v>
                </c:pt>
                <c:pt idx="11">
                  <c:v>26833211.93163462</c:v>
                </c:pt>
                <c:pt idx="12">
                  <c:v>28895383.274402857</c:v>
                </c:pt>
                <c:pt idx="13">
                  <c:v>30901711.060751252</c:v>
                </c:pt>
                <c:pt idx="14">
                  <c:v>32853675.713481337</c:v>
                </c:pt>
                <c:pt idx="15">
                  <c:v>34752720.129224174</c:v>
                </c:pt>
                <c:pt idx="16">
                  <c:v>36600250.536029652</c:v>
                </c:pt>
                <c:pt idx="17">
                  <c:v>38397637.336596861</c:v>
                </c:pt>
                <c:pt idx="18">
                  <c:v>40146215.93703378</c:v>
                </c:pt>
                <c:pt idx="19">
                  <c:v>41847287.561128944</c:v>
                </c:pt>
                <c:pt idx="20">
                  <c:v>43502120.050093561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9519223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7688081.4406222124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-1.9429251551628113E-7</c:v>
                </c:pt>
                <c:pt idx="1">
                  <c:v>7261367.8559773611</c:v>
                </c:pt>
                <c:pt idx="2">
                  <c:v>14093667.952320075</c:v>
                </c:pt>
                <c:pt idx="3">
                  <c:v>20518404.836978998</c:v>
                </c:pt>
                <c:pt idx="4">
                  <c:v>26556489.343969874</c:v>
                </c:pt>
                <c:pt idx="5">
                  <c:v>32228188.284814943</c:v>
                </c:pt>
                <c:pt idx="6">
                  <c:v>37553085.629936844</c:v>
                </c:pt>
                <c:pt idx="7">
                  <c:v>42550053.940443978</c:v>
                </c:pt>
                <c:pt idx="8">
                  <c:v>47237234.868150271</c:v>
                </c:pt>
                <c:pt idx="9">
                  <c:v>51632027.609613016</c:v>
                </c:pt>
                <c:pt idx="10">
                  <c:v>55751084.274891779</c:v>
                </c:pt>
                <c:pt idx="11">
                  <c:v>59610311.210629523</c:v>
                </c:pt>
                <c:pt idx="12">
                  <c:v>63224875.397506736</c:v>
                </c:pt>
                <c:pt idx="13">
                  <c:v>66609215.122212268</c:v>
                </c:pt>
                <c:pt idx="14">
                  <c:v>69777054.202225581</c:v>
                </c:pt>
                <c:pt idx="15">
                  <c:v>72741419.116880849</c:v>
                </c:pt>
                <c:pt idx="16">
                  <c:v>75514658.469463244</c:v>
                </c:pt>
                <c:pt idx="17">
                  <c:v>78108464.272000462</c:v>
                </c:pt>
                <c:pt idx="18">
                  <c:v>80533894.606566995</c:v>
                </c:pt>
                <c:pt idx="19">
                  <c:v>82801397.274176598</c:v>
                </c:pt>
                <c:pt idx="20">
                  <c:v>84920834.094696164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37336797.551020384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30935577.287257861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113216"/>
        <c:axId val="269132544"/>
      </c:scatterChart>
      <c:valAx>
        <c:axId val="269113216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69132544"/>
        <c:crosses val="autoZero"/>
        <c:crossBetween val="midCat"/>
        <c:dispUnits>
          <c:builtInUnit val="millions"/>
        </c:dispUnits>
      </c:valAx>
      <c:valAx>
        <c:axId val="269132544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6911321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2767707.5889119492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350482.28988140263</c:v>
                </c:pt>
                <c:pt idx="2">
                  <c:v>699811.86374307924</c:v>
                </c:pt>
                <c:pt idx="3">
                  <c:v>1047988.7215850296</c:v>
                </c:pt>
                <c:pt idx="4">
                  <c:v>1395012.8634072545</c:v>
                </c:pt>
                <c:pt idx="5">
                  <c:v>1740884.289209753</c:v>
                </c:pt>
                <c:pt idx="6">
                  <c:v>2085602.9989925253</c:v>
                </c:pt>
                <c:pt idx="7">
                  <c:v>2429168.9927555718</c:v>
                </c:pt>
                <c:pt idx="8">
                  <c:v>2771582.2704988928</c:v>
                </c:pt>
                <c:pt idx="9">
                  <c:v>3112842.8322224868</c:v>
                </c:pt>
                <c:pt idx="10">
                  <c:v>3452950.6779263555</c:v>
                </c:pt>
                <c:pt idx="11">
                  <c:v>3791905.8076104978</c:v>
                </c:pt>
                <c:pt idx="12">
                  <c:v>4129708.2212749138</c:v>
                </c:pt>
                <c:pt idx="13">
                  <c:v>4466357.9189196052</c:v>
                </c:pt>
                <c:pt idx="14">
                  <c:v>4801854.9005445689</c:v>
                </c:pt>
                <c:pt idx="15">
                  <c:v>5136199.1661498072</c:v>
                </c:pt>
                <c:pt idx="16">
                  <c:v>5469390.7157353209</c:v>
                </c:pt>
                <c:pt idx="17">
                  <c:v>5801429.5493011065</c:v>
                </c:pt>
                <c:pt idx="18">
                  <c:v>6132315.6668471666</c:v>
                </c:pt>
                <c:pt idx="19">
                  <c:v>6462049.0683735013</c:v>
                </c:pt>
                <c:pt idx="20">
                  <c:v>6790629.7538801096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3312421.3159430088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436736"/>
        <c:axId val="262455680"/>
      </c:scatterChart>
      <c:valAx>
        <c:axId val="262436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2455680"/>
        <c:crosses val="autoZero"/>
        <c:crossBetween val="midCat"/>
        <c:dispUnits>
          <c:builtInUnit val="thousands"/>
        </c:dispUnits>
      </c:valAx>
      <c:valAx>
        <c:axId val="262455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24367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4793199.2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7189798.7999999998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239856.72092273776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2501888"/>
        <c:axId val="262516736"/>
      </c:scatterChart>
      <c:valAx>
        <c:axId val="262501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2516736"/>
        <c:crosses val="autoZero"/>
        <c:crossBetween val="midCat"/>
        <c:dispUnits>
          <c:builtInUnit val="thousands"/>
        </c:dispUnits>
      </c:valAx>
      <c:valAx>
        <c:axId val="2625167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2501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3281566.9987801639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420068.45346895687</c:v>
                </c:pt>
                <c:pt idx="2">
                  <c:v>840243.89329690405</c:v>
                </c:pt>
                <c:pt idx="3">
                  <c:v>1260526.3194838415</c:v>
                </c:pt>
                <c:pt idx="4">
                  <c:v>1680915.7320297693</c:v>
                </c:pt>
                <c:pt idx="5">
                  <c:v>2101412.1309346878</c:v>
                </c:pt>
                <c:pt idx="6">
                  <c:v>2522015.516198596</c:v>
                </c:pt>
                <c:pt idx="7">
                  <c:v>2942725.8878214951</c:v>
                </c:pt>
                <c:pt idx="8">
                  <c:v>3363543.2458033841</c:v>
                </c:pt>
                <c:pt idx="9">
                  <c:v>3784467.590144264</c:v>
                </c:pt>
                <c:pt idx="10">
                  <c:v>4205498.920844133</c:v>
                </c:pt>
                <c:pt idx="11">
                  <c:v>4626637.2379029933</c:v>
                </c:pt>
                <c:pt idx="12">
                  <c:v>5047882.5413208436</c:v>
                </c:pt>
                <c:pt idx="13">
                  <c:v>5469234.8310976848</c:v>
                </c:pt>
                <c:pt idx="14">
                  <c:v>5890694.1072335159</c:v>
                </c:pt>
                <c:pt idx="15">
                  <c:v>6312260.369728337</c:v>
                </c:pt>
                <c:pt idx="16">
                  <c:v>6733933.618582149</c:v>
                </c:pt>
                <c:pt idx="17">
                  <c:v>7155713.853794951</c:v>
                </c:pt>
                <c:pt idx="18">
                  <c:v>7577601.0753667438</c:v>
                </c:pt>
                <c:pt idx="19">
                  <c:v>7999595.2832975267</c:v>
                </c:pt>
                <c:pt idx="20">
                  <c:v>8421696.4775872994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3938662.5298482887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293440"/>
        <c:axId val="269300096"/>
      </c:scatterChart>
      <c:valAx>
        <c:axId val="2692934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300096"/>
        <c:crosses val="autoZero"/>
        <c:crossBetween val="midCat"/>
        <c:dispUnits>
          <c:builtInUnit val="thousands"/>
        </c:dispUnits>
      </c:valAx>
      <c:valAx>
        <c:axId val="2693000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2934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12488348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18732522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277175.40674512938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428224"/>
        <c:axId val="269438976"/>
      </c:scatterChart>
      <c:valAx>
        <c:axId val="2694282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438976"/>
        <c:crosses val="autoZero"/>
        <c:crossBetween val="midCat"/>
        <c:dispUnits>
          <c:builtInUnit val="thousands"/>
        </c:dispUnits>
      </c:valAx>
      <c:valAx>
        <c:axId val="2694389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4282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5869805.5007563764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814356.65353799029</c:v>
                </c:pt>
                <c:pt idx="2">
                  <c:v>1628978.1575544148</c:v>
                </c:pt>
                <c:pt idx="3">
                  <c:v>2443864.5120492736</c:v>
                </c:pt>
                <c:pt idx="4">
                  <c:v>3259015.7170225671</c:v>
                </c:pt>
                <c:pt idx="5">
                  <c:v>4074431.7724742941</c:v>
                </c:pt>
                <c:pt idx="6">
                  <c:v>4890112.6784044569</c:v>
                </c:pt>
                <c:pt idx="7">
                  <c:v>5706058.4348130533</c:v>
                </c:pt>
                <c:pt idx="8">
                  <c:v>6522269.0417000838</c:v>
                </c:pt>
                <c:pt idx="9">
                  <c:v>7338744.4990655482</c:v>
                </c:pt>
                <c:pt idx="10">
                  <c:v>8155484.8069094475</c:v>
                </c:pt>
                <c:pt idx="11">
                  <c:v>8972489.9652317818</c:v>
                </c:pt>
                <c:pt idx="12">
                  <c:v>9789759.9740325511</c:v>
                </c:pt>
                <c:pt idx="13">
                  <c:v>10607294.833311751</c:v>
                </c:pt>
                <c:pt idx="14">
                  <c:v>11425094.543069389</c:v>
                </c:pt>
                <c:pt idx="15">
                  <c:v>12243159.103305459</c:v>
                </c:pt>
                <c:pt idx="16">
                  <c:v>13061488.514019966</c:v>
                </c:pt>
                <c:pt idx="17">
                  <c:v>13880082.775212904</c:v>
                </c:pt>
                <c:pt idx="18">
                  <c:v>14698941.886884278</c:v>
                </c:pt>
                <c:pt idx="19">
                  <c:v>15518065.849034088</c:v>
                </c:pt>
                <c:pt idx="20">
                  <c:v>16337454.661662331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5869805.5007563764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64480"/>
        <c:axId val="269775232"/>
      </c:scatterChart>
      <c:valAx>
        <c:axId val="269764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775232"/>
        <c:crosses val="autoZero"/>
        <c:crossBetween val="midCat"/>
        <c:dispUnits>
          <c:builtInUnit val="thousands"/>
        </c:dispUnits>
      </c:valAx>
      <c:valAx>
        <c:axId val="2697752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7644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501952"/>
        <c:axId val="269516800"/>
      </c:scatterChart>
      <c:valAx>
        <c:axId val="2695019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516800"/>
        <c:crosses val="autoZero"/>
        <c:crossBetween val="midCat"/>
        <c:dispUnits>
          <c:builtInUnit val="thousands"/>
        </c:dispUnits>
      </c:valAx>
      <c:valAx>
        <c:axId val="269516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5019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190388.11981583459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25019.190840995474</c:v>
                </c:pt>
                <c:pt idx="2">
                  <c:v>50038.631748135442</c:v>
                </c:pt>
                <c:pt idx="3">
                  <c:v>75058.322721419914</c:v>
                </c:pt>
                <c:pt idx="4">
                  <c:v>100078.26376084886</c:v>
                </c:pt>
                <c:pt idx="5">
                  <c:v>125098.45486642233</c:v>
                </c:pt>
                <c:pt idx="6">
                  <c:v>150118.89603814026</c:v>
                </c:pt>
                <c:pt idx="7">
                  <c:v>175139.58727600271</c:v>
                </c:pt>
                <c:pt idx="8">
                  <c:v>200160.52858000965</c:v>
                </c:pt>
                <c:pt idx="9">
                  <c:v>225181.71995016106</c:v>
                </c:pt>
                <c:pt idx="10">
                  <c:v>250203.16138645701</c:v>
                </c:pt>
                <c:pt idx="11">
                  <c:v>275224.85288889741</c:v>
                </c:pt>
                <c:pt idx="12">
                  <c:v>300246.79445748235</c:v>
                </c:pt>
                <c:pt idx="13">
                  <c:v>325268.98609221174</c:v>
                </c:pt>
                <c:pt idx="14">
                  <c:v>350291.42779308563</c:v>
                </c:pt>
                <c:pt idx="15">
                  <c:v>375314.11956010404</c:v>
                </c:pt>
                <c:pt idx="16">
                  <c:v>400337.06139326689</c:v>
                </c:pt>
                <c:pt idx="17">
                  <c:v>425360.25329257431</c:v>
                </c:pt>
                <c:pt idx="18">
                  <c:v>450383.69525802619</c:v>
                </c:pt>
                <c:pt idx="19">
                  <c:v>475407.38728962251</c:v>
                </c:pt>
                <c:pt idx="20">
                  <c:v>500431.32938736345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152309.33747716085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739904"/>
        <c:axId val="269832576"/>
      </c:scatterChart>
      <c:valAx>
        <c:axId val="2697399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832576"/>
        <c:crosses val="autoZero"/>
        <c:crossBetween val="midCat"/>
        <c:dispUnits>
          <c:builtInUnit val="thousands"/>
        </c:dispUnits>
      </c:valAx>
      <c:valAx>
        <c:axId val="269832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7399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4565659.2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3043772.8000000003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10446.456617089221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882880"/>
        <c:axId val="269893632"/>
      </c:scatterChart>
      <c:valAx>
        <c:axId val="2698828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69893632"/>
        <c:crosses val="autoZero"/>
        <c:crossBetween val="midCat"/>
        <c:dispUnits>
          <c:builtInUnit val="thousands"/>
        </c:dispUnits>
      </c:valAx>
      <c:valAx>
        <c:axId val="26989363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698828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32484.644891698143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9179.0562495034792</c:v>
                </c:pt>
                <c:pt idx="2">
                  <c:v>17391.389236181065</c:v>
                </c:pt>
                <c:pt idx="3">
                  <c:v>24138.827754638471</c:v>
                </c:pt>
                <c:pt idx="4">
                  <c:v>30033.539986075008</c:v>
                </c:pt>
                <c:pt idx="5">
                  <c:v>35425.123264128131</c:v>
                </c:pt>
                <c:pt idx="6">
                  <c:v>39976.918645787257</c:v>
                </c:pt>
                <c:pt idx="7">
                  <c:v>43686.137041238318</c:v>
                </c:pt>
                <c:pt idx="8">
                  <c:v>46899.154123351931</c:v>
                </c:pt>
                <c:pt idx="9">
                  <c:v>49765.352765581381</c:v>
                </c:pt>
                <c:pt idx="10">
                  <c:v>52312.029808294283</c:v>
                </c:pt>
                <c:pt idx="11">
                  <c:v>54564.992033654358</c:v>
                </c:pt>
                <c:pt idx="12">
                  <c:v>56549.81299528871</c:v>
                </c:pt>
                <c:pt idx="13">
                  <c:v>58291.287630721868</c:v>
                </c:pt>
                <c:pt idx="14">
                  <c:v>59814.048591145343</c:v>
                </c:pt>
                <c:pt idx="15">
                  <c:v>61142.728527750667</c:v>
                </c:pt>
                <c:pt idx="16">
                  <c:v>62301.960091729314</c:v>
                </c:pt>
                <c:pt idx="17">
                  <c:v>63316.375934272823</c:v>
                </c:pt>
                <c:pt idx="18">
                  <c:v>64210.608706572675</c:v>
                </c:pt>
                <c:pt idx="19">
                  <c:v>65009.291059820411</c:v>
                </c:pt>
                <c:pt idx="20">
                  <c:v>65737.055645207511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27450.711351371949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014336"/>
        <c:axId val="270033280"/>
      </c:scatterChart>
      <c:valAx>
        <c:axId val="270014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0033280"/>
        <c:crosses val="autoZero"/>
        <c:crossBetween val="midCat"/>
        <c:dispUnits>
          <c:builtInUnit val="thousands"/>
        </c:dispUnits>
      </c:valAx>
      <c:valAx>
        <c:axId val="270033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0143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5328000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3552000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1882.7648389143997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095872"/>
        <c:axId val="270114816"/>
      </c:scatterChart>
      <c:valAx>
        <c:axId val="27009587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0114816"/>
        <c:crosses val="autoZero"/>
        <c:crossBetween val="midCat"/>
        <c:dispUnits>
          <c:builtInUnit val="thousands"/>
        </c:dispUnits>
      </c:valAx>
      <c:valAx>
        <c:axId val="270114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09587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2018049.0519838764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297254.23855530831</c:v>
                </c:pt>
                <c:pt idx="2">
                  <c:v>583886.53821244533</c:v>
                </c:pt>
                <c:pt idx="3">
                  <c:v>860189.61231652321</c:v>
                </c:pt>
                <c:pt idx="4">
                  <c:v>1126455.0150630728</c:v>
                </c:pt>
                <c:pt idx="5">
                  <c:v>1382972.5018485775</c:v>
                </c:pt>
                <c:pt idx="6">
                  <c:v>1630029.4468531767</c:v>
                </c:pt>
                <c:pt idx="7">
                  <c:v>1867910.3155366876</c:v>
                </c:pt>
                <c:pt idx="8">
                  <c:v>2096896.1896097637</c:v>
                </c:pt>
                <c:pt idx="9">
                  <c:v>2317264.3419553088</c:v>
                </c:pt>
                <c:pt idx="10">
                  <c:v>2529287.8589213705</c:v>
                </c:pt>
                <c:pt idx="11">
                  <c:v>2733235.3073775992</c:v>
                </c:pt>
                <c:pt idx="12">
                  <c:v>2929370.4439246543</c:v>
                </c:pt>
                <c:pt idx="13">
                  <c:v>3117951.963662724</c:v>
                </c:pt>
                <c:pt idx="14">
                  <c:v>3299233.2859603721</c:v>
                </c:pt>
                <c:pt idx="15">
                  <c:v>3473462.3747162502</c:v>
                </c:pt>
                <c:pt idx="16">
                  <c:v>3640881.5906692483</c:v>
                </c:pt>
                <c:pt idx="17">
                  <c:v>3801727.5733869057</c:v>
                </c:pt>
                <c:pt idx="18">
                  <c:v>3956231.1506453403</c:v>
                </c:pt>
                <c:pt idx="19">
                  <c:v>4104617.2730022375</c:v>
                </c:pt>
                <c:pt idx="20">
                  <c:v>4247104.9714602269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2210534.5887705665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276096"/>
        <c:axId val="270282752"/>
      </c:scatterChart>
      <c:valAx>
        <c:axId val="2702760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282752"/>
        <c:crosses val="autoZero"/>
        <c:crossBetween val="midCat"/>
        <c:dispUnits>
          <c:builtInUnit val="thousands"/>
        </c:dispUnits>
      </c:valAx>
      <c:valAx>
        <c:axId val="270282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2760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18363200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27544800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25532603.20000172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151614.16932582762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324864"/>
        <c:axId val="270327168"/>
      </c:scatterChart>
      <c:valAx>
        <c:axId val="2703248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327168"/>
        <c:crosses val="autoZero"/>
        <c:crossBetween val="midCat"/>
        <c:dispUnits>
          <c:builtInUnit val="thousands"/>
        </c:dispUnits>
      </c:valAx>
      <c:valAx>
        <c:axId val="270327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3248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478349.49312681123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100538.91309705841</c:v>
                </c:pt>
                <c:pt idx="2">
                  <c:v>196726.83717164566</c:v>
                </c:pt>
                <c:pt idx="3">
                  <c:v>288741.30899238476</c:v>
                </c:pt>
                <c:pt idx="4">
                  <c:v>376753.56349487905</c:v>
                </c:pt>
                <c:pt idx="5">
                  <c:v>460928.67296254874</c:v>
                </c:pt>
                <c:pt idx="6">
                  <c:v>541425.69145626714</c:v>
                </c:pt>
                <c:pt idx="7">
                  <c:v>618397.80342381413</c:v>
                </c:pt>
                <c:pt idx="8">
                  <c:v>691992.47551862395</c:v>
                </c:pt>
                <c:pt idx="9">
                  <c:v>762351.61074836389</c:v>
                </c:pt>
                <c:pt idx="10">
                  <c:v>829611.70416189637</c:v>
                </c:pt>
                <c:pt idx="11">
                  <c:v>893903.99936124031</c:v>
                </c:pt>
                <c:pt idx="12">
                  <c:v>955354.64520199155</c:v>
                </c:pt>
                <c:pt idx="13">
                  <c:v>1014084.8521134729</c:v>
                </c:pt>
                <c:pt idx="14">
                  <c:v>1070211.0475348698</c:v>
                </c:pt>
                <c:pt idx="15">
                  <c:v>1123845.0300224621</c:v>
                </c:pt>
                <c:pt idx="16">
                  <c:v>1175094.1216376177</c:v>
                </c:pt>
                <c:pt idx="17">
                  <c:v>1224061.3182753886</c:v>
                </c:pt>
                <c:pt idx="18">
                  <c:v>1270845.4376392283</c:v>
                </c:pt>
                <c:pt idx="19">
                  <c:v>1315541.2646095406</c:v>
                </c:pt>
                <c:pt idx="20">
                  <c:v>1358239.6937915403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391340.25142413448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77504"/>
        <c:axId val="270700544"/>
      </c:scatterChart>
      <c:valAx>
        <c:axId val="270677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700544"/>
        <c:crosses val="autoZero"/>
        <c:crossBetween val="midCat"/>
        <c:dispUnits>
          <c:builtInUnit val="thousands"/>
        </c:dispUnits>
      </c:valAx>
      <c:valAx>
        <c:axId val="2707005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6775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6255187.2000000002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9382780.7999999989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6255187.2000000011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26840.895159405656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484608"/>
        <c:axId val="270486912"/>
      </c:scatterChart>
      <c:valAx>
        <c:axId val="270484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486912"/>
        <c:crosses val="autoZero"/>
        <c:crossBetween val="midCat"/>
        <c:dispUnits>
          <c:builtInUnit val="thousands"/>
        </c:dispUnits>
      </c:valAx>
      <c:valAx>
        <c:axId val="2704869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4846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105223.86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30793.66007956121</c:v>
                </c:pt>
                <c:pt idx="2">
                  <c:v>60759.784734371271</c:v>
                </c:pt>
                <c:pt idx="3">
                  <c:v>89919.970506032609</c:v>
                </c:pt>
                <c:pt idx="4">
                  <c:v>118295.28493133298</c:v>
                </c:pt>
                <c:pt idx="5">
                  <c:v>145906.27761678849</c:v>
                </c:pt>
                <c:pt idx="6">
                  <c:v>172772.99118774696</c:v>
                </c:pt>
                <c:pt idx="7">
                  <c:v>198914.9721062124</c:v>
                </c:pt>
                <c:pt idx="8">
                  <c:v>224351.28135324939</c:v>
                </c:pt>
                <c:pt idx="9">
                  <c:v>249100.50497117388</c:v>
                </c:pt>
                <c:pt idx="10">
                  <c:v>273180.76446186443</c:v>
                </c:pt>
                <c:pt idx="11">
                  <c:v>296609.72703808395</c:v>
                </c:pt>
                <c:pt idx="12">
                  <c:v>319404.61572463508</c:v>
                </c:pt>
                <c:pt idx="13">
                  <c:v>341582.21930686373</c:v>
                </c:pt>
                <c:pt idx="14">
                  <c:v>363158.90212475957</c:v>
                </c:pt>
                <c:pt idx="15">
                  <c:v>384150.61371045368</c:v>
                </c:pt>
                <c:pt idx="16">
                  <c:v>404572.89826786373</c:v>
                </c:pt>
                <c:pt idx="17">
                  <c:v>424440.90399361809</c:v>
                </c:pt>
                <c:pt idx="18">
                  <c:v>443769.39223802311</c:v>
                </c:pt>
                <c:pt idx="19">
                  <c:v>462572.74650588329</c:v>
                </c:pt>
                <c:pt idx="20">
                  <c:v>480864.98129671277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84982.734953958949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657024"/>
        <c:axId val="270737408"/>
      </c:scatterChart>
      <c:valAx>
        <c:axId val="270657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737408"/>
        <c:crosses val="autoZero"/>
        <c:crossBetween val="midCat"/>
        <c:dispUnits>
          <c:builtInUnit val="thousands"/>
        </c:dispUnits>
      </c:valAx>
      <c:valAx>
        <c:axId val="270737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6570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4243134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2828756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5828.7198185157031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00000"/>
        <c:axId val="270802304"/>
      </c:scatterChart>
      <c:valAx>
        <c:axId val="2708000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802304"/>
        <c:crosses val="autoZero"/>
        <c:crossBetween val="midCat"/>
        <c:dispUnits>
          <c:builtInUnit val="thousands"/>
        </c:dispUnits>
      </c:valAx>
      <c:valAx>
        <c:axId val="27080230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080000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14895305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357940.73004525341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-1.862645149230957E-9</c:v>
                </c:pt>
                <c:pt idx="1">
                  <c:v>69613.343456786126</c:v>
                </c:pt>
                <c:pt idx="2">
                  <c:v>135113.29644636251</c:v>
                </c:pt>
                <c:pt idx="3">
                  <c:v>196706.01895291917</c:v>
                </c:pt>
                <c:pt idx="4">
                  <c:v>254591.97913881578</c:v>
                </c:pt>
                <c:pt idx="5">
                  <c:v>308965.47104606405</c:v>
                </c:pt>
                <c:pt idx="6">
                  <c:v>360014.24244978279</c:v>
                </c:pt>
                <c:pt idx="7">
                  <c:v>407919.22098019347</c:v>
                </c:pt>
                <c:pt idx="8">
                  <c:v>452854.32718004286</c:v>
                </c:pt>
                <c:pt idx="9">
                  <c:v>494986.36381567456</c:v>
                </c:pt>
                <c:pt idx="10">
                  <c:v>534474.97147820704</c:v>
                </c:pt>
                <c:pt idx="11">
                  <c:v>571472.64126765914</c:v>
                </c:pt>
                <c:pt idx="12">
                  <c:v>606124.7761241179</c:v>
                </c:pt>
                <c:pt idx="13">
                  <c:v>638569.79313788004</c:v>
                </c:pt>
                <c:pt idx="14">
                  <c:v>668939.25991971605</c:v>
                </c:pt>
                <c:pt idx="15">
                  <c:v>697358.05883310176</c:v>
                </c:pt>
                <c:pt idx="16">
                  <c:v>723944.57357360981</c:v>
                </c:pt>
                <c:pt idx="17">
                  <c:v>748810.89322213084</c:v>
                </c:pt>
                <c:pt idx="18">
                  <c:v>772063.02949445881</c:v>
                </c:pt>
                <c:pt idx="19">
                  <c:v>793801.14345869608</c:v>
                </c:pt>
                <c:pt idx="20">
                  <c:v>814119.77849387564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17874366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11916244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296573.45688100718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857728"/>
        <c:axId val="270880768"/>
      </c:scatterChart>
      <c:valAx>
        <c:axId val="27085772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0880768"/>
        <c:crosses val="autoZero"/>
        <c:crossBetween val="midCat"/>
        <c:dispUnits>
          <c:builtInUnit val="thousands"/>
        </c:dispUnits>
      </c:valAx>
      <c:valAx>
        <c:axId val="2708807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7085772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100160"/>
        <c:axId val="271114624"/>
      </c:scatterChart>
      <c:valAx>
        <c:axId val="2711001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114624"/>
        <c:crosses val="autoZero"/>
        <c:crossBetween val="midCat"/>
      </c:valAx>
      <c:valAx>
        <c:axId val="27111462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10016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292288"/>
        <c:axId val="271302656"/>
      </c:scatterChart>
      <c:valAx>
        <c:axId val="2712922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302656"/>
        <c:crosses val="autoZero"/>
        <c:crossBetween val="midCat"/>
      </c:valAx>
      <c:valAx>
        <c:axId val="271302656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7129228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9645312"/>
        <c:axId val="269647232"/>
      </c:scatterChart>
      <c:valAx>
        <c:axId val="269645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647232"/>
        <c:crosses val="autoZero"/>
        <c:crossBetween val="midCat"/>
      </c:valAx>
      <c:valAx>
        <c:axId val="2696472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6964531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1373824"/>
        <c:axId val="271720448"/>
      </c:scatterChart>
      <c:valAx>
        <c:axId val="271373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71720448"/>
        <c:crosses val="autoZero"/>
        <c:crossBetween val="midCat"/>
        <c:dispUnits>
          <c:builtInUnit val="millions"/>
        </c:dispUnits>
      </c:valAx>
      <c:valAx>
        <c:axId val="27172044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137382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10</xdr:col>
      <xdr:colOff>297180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10</xdr:col>
      <xdr:colOff>320040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92D050"/>
  </sheetPr>
  <dimension ref="A1"/>
  <sheetViews>
    <sheetView workbookViewId="0">
      <selection activeCell="X45" sqref="X45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rgb="FFFFFFCC"/>
  </sheetPr>
  <dimension ref="A2:AL66"/>
  <sheetViews>
    <sheetView workbookViewId="0">
      <selection activeCell="G17" sqref="G17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03" t="s">
        <v>191</v>
      </c>
      <c r="E6" s="303"/>
      <c r="F6" s="303" t="s">
        <v>183</v>
      </c>
      <c r="G6" s="303"/>
      <c r="H6" s="303"/>
      <c r="I6" s="303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4782666</v>
      </c>
      <c r="D14" s="171">
        <v>608.11</v>
      </c>
      <c r="E14" s="165">
        <v>52.74</v>
      </c>
      <c r="F14" s="179">
        <v>1.8102092528193402E-3</v>
      </c>
      <c r="G14" s="177">
        <v>0.02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0.15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81102300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04" t="s">
        <v>194</v>
      </c>
      <c r="D20" s="304"/>
      <c r="E20" s="304"/>
      <c r="F20" s="304" t="s">
        <v>195</v>
      </c>
      <c r="G20" s="304"/>
      <c r="H20" s="304"/>
      <c r="I20" s="304" t="s">
        <v>196</v>
      </c>
      <c r="J20" s="304"/>
      <c r="K20" s="192" t="s">
        <v>197</v>
      </c>
      <c r="L20" s="187"/>
      <c r="M20" s="189" t="s">
        <v>198</v>
      </c>
      <c r="N20" s="187"/>
      <c r="O20" s="304" t="s">
        <v>194</v>
      </c>
      <c r="P20" s="304"/>
      <c r="Q20" s="304"/>
      <c r="R20" s="304" t="s">
        <v>195</v>
      </c>
      <c r="S20" s="304"/>
      <c r="T20" s="304"/>
      <c r="U20" s="304" t="s">
        <v>196</v>
      </c>
      <c r="V20" s="304"/>
      <c r="W20" s="192" t="s">
        <v>197</v>
      </c>
      <c r="X20" s="187"/>
      <c r="Y20" s="189" t="s">
        <v>199</v>
      </c>
      <c r="Z20" s="187"/>
      <c r="AA20" s="305" t="s">
        <v>200</v>
      </c>
      <c r="AB20" s="306"/>
      <c r="AC20" s="307"/>
      <c r="AD20" s="305" t="s">
        <v>201</v>
      </c>
      <c r="AE20" s="307"/>
      <c r="AF20" s="212"/>
      <c r="AG20" s="308" t="s">
        <v>202</v>
      </c>
      <c r="AH20" s="309"/>
      <c r="AI20" s="309"/>
      <c r="AJ20" s="309"/>
      <c r="AK20" s="309"/>
      <c r="AL20" s="310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11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12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12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12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12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12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12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12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13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14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12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12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12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12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12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12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12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13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AA20:AC20"/>
    <mergeCell ref="AD20:AE20"/>
    <mergeCell ref="AG20:AL20"/>
    <mergeCell ref="Y22:Y30"/>
    <mergeCell ref="Y31:Y39"/>
    <mergeCell ref="D6:E6"/>
    <mergeCell ref="F6:I6"/>
    <mergeCell ref="U20:V20"/>
    <mergeCell ref="C20:E20"/>
    <mergeCell ref="F20:H20"/>
    <mergeCell ref="I20:J20"/>
    <mergeCell ref="O20:Q20"/>
    <mergeCell ref="R20:T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5" tint="-0.249977111117893"/>
  </sheetPr>
  <dimension ref="A1:U47"/>
  <sheetViews>
    <sheetView tabSelected="1" workbookViewId="0">
      <selection activeCell="B9" sqref="B9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2.332031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28.2" customHeight="1" x14ac:dyDescent="0.3">
      <c r="A4" s="49" t="s">
        <v>78</v>
      </c>
      <c r="B4" s="302" t="s">
        <v>273</v>
      </c>
    </row>
    <row r="5" spans="1:14" x14ac:dyDescent="0.3">
      <c r="A5" s="48" t="s">
        <v>79</v>
      </c>
      <c r="B5" s="1" t="s">
        <v>167</v>
      </c>
      <c r="E5" s="317" t="s">
        <v>50</v>
      </c>
      <c r="F5" s="318"/>
      <c r="G5" s="318"/>
      <c r="H5" s="318"/>
      <c r="I5" s="319"/>
    </row>
    <row r="6" spans="1:14" x14ac:dyDescent="0.3">
      <c r="A6" s="48" t="s">
        <v>80</v>
      </c>
      <c r="B6" s="1" t="s">
        <v>168</v>
      </c>
      <c r="E6" s="320" t="s">
        <v>51</v>
      </c>
      <c r="F6" s="321"/>
      <c r="G6" s="321"/>
      <c r="H6" s="321"/>
      <c r="I6" s="322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10414274.926649496</v>
      </c>
    </row>
    <row r="10" spans="1:14" ht="14.4" thickBot="1" x14ac:dyDescent="0.35">
      <c r="A10" s="50"/>
    </row>
    <row r="11" spans="1:14" ht="27.6" x14ac:dyDescent="0.3">
      <c r="A11" s="323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24"/>
      <c r="B12" s="80">
        <v>79050884</v>
      </c>
      <c r="C12" s="81">
        <f>1*B12 - 1</f>
        <v>79050883</v>
      </c>
      <c r="D12" s="82">
        <f>1*B12 + 1</f>
        <v>79050885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0.8</v>
      </c>
      <c r="H14" s="263">
        <v>1.2</v>
      </c>
      <c r="I14" s="63" t="s">
        <v>98</v>
      </c>
      <c r="J14" s="63" t="s">
        <v>99</v>
      </c>
    </row>
    <row r="15" spans="1:14" ht="27.6" customHeight="1" x14ac:dyDescent="0.3">
      <c r="A15" s="325" t="s">
        <v>2</v>
      </c>
      <c r="B15" s="327" t="s">
        <v>3</v>
      </c>
      <c r="C15" s="327" t="s">
        <v>38</v>
      </c>
      <c r="D15" s="327" t="s">
        <v>169</v>
      </c>
      <c r="E15" s="328" t="s">
        <v>86</v>
      </c>
      <c r="F15" s="329"/>
      <c r="G15" s="330" t="s">
        <v>241</v>
      </c>
      <c r="H15" s="331"/>
      <c r="I15" s="330" t="s">
        <v>89</v>
      </c>
      <c r="J15" s="331"/>
      <c r="K15" s="328" t="s">
        <v>90</v>
      </c>
      <c r="L15" s="332"/>
      <c r="M15" s="332"/>
      <c r="N15" s="329"/>
    </row>
    <row r="16" spans="1:14" ht="27.6" x14ac:dyDescent="0.3">
      <c r="A16" s="326"/>
      <c r="B16" s="326"/>
      <c r="C16" s="326"/>
      <c r="D16" s="326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21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2767707.5889119492</v>
      </c>
      <c r="G17" s="73">
        <f t="shared" ref="G17:G24" si="0">E17*$G$14</f>
        <v>4793199.2</v>
      </c>
      <c r="H17" s="73">
        <f t="shared" ref="H17:H24" si="1">E17*$H$14</f>
        <v>7189798.7999999998</v>
      </c>
      <c r="I17" s="273">
        <v>7189798.7999999998</v>
      </c>
      <c r="J17" s="64">
        <f>JANSample!F9</f>
        <v>3312421.3159430088</v>
      </c>
      <c r="K17" s="58">
        <f>I17-E17</f>
        <v>1198299.7999999998</v>
      </c>
      <c r="L17" s="58">
        <f>J17-F17</f>
        <v>544713.72703105956</v>
      </c>
      <c r="M17" s="59">
        <f>K17/E17</f>
        <v>0.19999999999999996</v>
      </c>
      <c r="N17" s="59">
        <f>L17/F17</f>
        <v>0.1968104322918012</v>
      </c>
    </row>
    <row r="18" spans="1:21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3281566.9987801639</v>
      </c>
      <c r="G18" s="74">
        <f t="shared" si="0"/>
        <v>12488348</v>
      </c>
      <c r="H18" s="74">
        <f t="shared" si="1"/>
        <v>18732522</v>
      </c>
      <c r="I18" s="274">
        <v>18732522</v>
      </c>
      <c r="J18" s="65">
        <f>JMTSample!F9</f>
        <v>3938662.5298482887</v>
      </c>
      <c r="K18" s="60">
        <f t="shared" ref="K18:L22" si="2">I18-E18</f>
        <v>3122087</v>
      </c>
      <c r="L18" s="60">
        <f t="shared" si="2"/>
        <v>657095.53106812481</v>
      </c>
      <c r="M18" s="61">
        <f t="shared" ref="M18:N25" si="3">K18/E18</f>
        <v>0.2</v>
      </c>
      <c r="N18" s="61">
        <f t="shared" si="3"/>
        <v>0.20023834080254427</v>
      </c>
    </row>
    <row r="19" spans="1:21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190388.11981583459</v>
      </c>
      <c r="G19" s="74">
        <f t="shared" si="0"/>
        <v>3043772.8000000003</v>
      </c>
      <c r="H19" s="74">
        <f t="shared" si="1"/>
        <v>4565659.2</v>
      </c>
      <c r="I19" s="274">
        <v>3043772.8000000003</v>
      </c>
      <c r="J19" s="65">
        <f>JJVCH!F9</f>
        <v>152309.33747716085</v>
      </c>
      <c r="K19" s="60">
        <f t="shared" si="2"/>
        <v>-760943.19999999972</v>
      </c>
      <c r="L19" s="60">
        <f t="shared" si="2"/>
        <v>-38078.782338673744</v>
      </c>
      <c r="M19" s="61">
        <f t="shared" si="3"/>
        <v>-0.19999999999999993</v>
      </c>
      <c r="N19" s="61">
        <f t="shared" si="3"/>
        <v>-0.20000608428460739</v>
      </c>
    </row>
    <row r="20" spans="1:21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32484.644891698143</v>
      </c>
      <c r="G20" s="74">
        <f t="shared" si="0"/>
        <v>3552000</v>
      </c>
      <c r="H20" s="74">
        <f t="shared" si="1"/>
        <v>5328000</v>
      </c>
      <c r="I20" s="274">
        <v>3552000</v>
      </c>
      <c r="J20" s="65">
        <f>JJMMF!F9</f>
        <v>27450.711351371949</v>
      </c>
      <c r="K20" s="60">
        <f t="shared" si="2"/>
        <v>-888000</v>
      </c>
      <c r="L20" s="60">
        <f t="shared" si="2"/>
        <v>-5033.9335403261939</v>
      </c>
      <c r="M20" s="61">
        <f t="shared" si="3"/>
        <v>-0.2</v>
      </c>
      <c r="N20" s="61">
        <f t="shared" si="3"/>
        <v>-0.15496347757868453</v>
      </c>
    </row>
    <row r="21" spans="1:21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2018049.0519838764</v>
      </c>
      <c r="G21" s="74">
        <f t="shared" si="0"/>
        <v>18363200</v>
      </c>
      <c r="H21" s="74">
        <f t="shared" si="1"/>
        <v>27544800</v>
      </c>
      <c r="I21" s="274">
        <v>25532603.20000172</v>
      </c>
      <c r="J21" s="65">
        <f>JJHCC!F9</f>
        <v>2210534.5887705665</v>
      </c>
      <c r="K21" s="60">
        <f t="shared" si="2"/>
        <v>2578603.2000017203</v>
      </c>
      <c r="L21" s="60">
        <f t="shared" si="2"/>
        <v>192485.53678669012</v>
      </c>
      <c r="M21" s="61">
        <f t="shared" si="3"/>
        <v>0.11233785832542129</v>
      </c>
      <c r="N21" s="61">
        <f t="shared" si="3"/>
        <v>9.5381991135182781E-2</v>
      </c>
    </row>
    <row r="22" spans="1:21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478349.49312681123</v>
      </c>
      <c r="G22" s="74">
        <f t="shared" si="0"/>
        <v>6255187.2000000002</v>
      </c>
      <c r="H22" s="74">
        <f t="shared" si="1"/>
        <v>9382780.7999999989</v>
      </c>
      <c r="I22" s="274">
        <v>6255187.2000000011</v>
      </c>
      <c r="J22" s="65">
        <f>JJMCM!F9</f>
        <v>391340.25142413448</v>
      </c>
      <c r="K22" s="60">
        <f t="shared" si="2"/>
        <v>-1563796.7999999989</v>
      </c>
      <c r="L22" s="60">
        <f t="shared" si="2"/>
        <v>-87009.241702676751</v>
      </c>
      <c r="M22" s="61">
        <f t="shared" si="3"/>
        <v>-0.19999999999999984</v>
      </c>
      <c r="N22" s="61">
        <f t="shared" si="3"/>
        <v>-0.18189470868658464</v>
      </c>
    </row>
    <row r="23" spans="1:21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105223.86</v>
      </c>
      <c r="G23" s="74">
        <f t="shared" si="0"/>
        <v>2828756</v>
      </c>
      <c r="H23" s="74">
        <f t="shared" si="1"/>
        <v>4243134</v>
      </c>
      <c r="I23" s="274">
        <v>2828756</v>
      </c>
      <c r="J23" s="65">
        <f>JJHCC_ACQ!F9</f>
        <v>84982.734953958949</v>
      </c>
      <c r="K23" s="60">
        <f t="shared" ref="K23:K24" si="4">I23-E23</f>
        <v>-707189</v>
      </c>
      <c r="L23" s="60">
        <f t="shared" ref="L23:L24" si="5">J23-F23</f>
        <v>-20241.125046041052</v>
      </c>
      <c r="M23" s="61">
        <f t="shared" ref="M23:M24" si="6">K23/E23</f>
        <v>-0.2</v>
      </c>
      <c r="N23" s="61">
        <f t="shared" ref="N23:N24" si="7">L23/F23</f>
        <v>-0.19236250263049703</v>
      </c>
    </row>
    <row r="24" spans="1:21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14895305</v>
      </c>
      <c r="F24" s="57">
        <f>JJHCC_ADH!I9</f>
        <v>357940.73004525341</v>
      </c>
      <c r="G24" s="74">
        <f t="shared" si="0"/>
        <v>11916244</v>
      </c>
      <c r="H24" s="74">
        <f t="shared" si="1"/>
        <v>17874366</v>
      </c>
      <c r="I24" s="274">
        <v>11916244</v>
      </c>
      <c r="J24" s="65">
        <f>JJHCC_ADH!F9</f>
        <v>296573.45688100718</v>
      </c>
      <c r="K24" s="60">
        <f t="shared" si="4"/>
        <v>-2979061</v>
      </c>
      <c r="L24" s="60">
        <f t="shared" si="5"/>
        <v>-61367.273164246231</v>
      </c>
      <c r="M24" s="61">
        <f t="shared" si="6"/>
        <v>-0.2</v>
      </c>
      <c r="N24" s="61">
        <f t="shared" si="7"/>
        <v>-0.17144534838627543</v>
      </c>
    </row>
    <row r="25" spans="1:21" x14ac:dyDescent="0.3">
      <c r="A25" s="75" t="s">
        <v>104</v>
      </c>
      <c r="B25" s="75" t="s">
        <v>103</v>
      </c>
      <c r="C25" s="75"/>
      <c r="D25" s="75"/>
      <c r="E25" s="76">
        <f t="shared" ref="E25:J25" si="8">SUM(E17:E24)</f>
        <v>79050884</v>
      </c>
      <c r="F25" s="77">
        <f t="shared" si="8"/>
        <v>9231710.4875555858</v>
      </c>
      <c r="G25" s="76">
        <f t="shared" si="8"/>
        <v>63240707.200000003</v>
      </c>
      <c r="H25" s="76">
        <f t="shared" si="8"/>
        <v>94861060.799999997</v>
      </c>
      <c r="I25" s="83">
        <f t="shared" si="8"/>
        <v>79050884.000001729</v>
      </c>
      <c r="J25" s="275">
        <f t="shared" si="8"/>
        <v>10414274.926649496</v>
      </c>
      <c r="K25" s="76">
        <f>SUM(K17:K24)</f>
        <v>1.7210841178894043E-6</v>
      </c>
      <c r="L25" s="275">
        <f>SUM(L17:L24)</f>
        <v>1182564.4390939106</v>
      </c>
      <c r="M25" s="79">
        <f>K25/E25</f>
        <v>2.1771851632796469E-14</v>
      </c>
      <c r="N25" s="79">
        <f t="shared" si="3"/>
        <v>0.1280980854726777</v>
      </c>
    </row>
    <row r="29" spans="1:21" s="256" customFormat="1" x14ac:dyDescent="0.3">
      <c r="D29" s="316" t="s">
        <v>274</v>
      </c>
      <c r="E29" s="316"/>
      <c r="F29" s="316"/>
      <c r="G29" s="316"/>
      <c r="H29" s="316"/>
      <c r="I29" s="316"/>
      <c r="J29" s="337" t="s">
        <v>275</v>
      </c>
      <c r="K29" s="337"/>
      <c r="L29" s="337"/>
      <c r="M29" s="337"/>
      <c r="N29" s="337"/>
      <c r="O29" s="337"/>
      <c r="P29" s="315" t="s">
        <v>276</v>
      </c>
      <c r="Q29" s="315"/>
      <c r="R29" s="315"/>
      <c r="S29" s="315"/>
      <c r="T29" s="315"/>
      <c r="U29" s="315"/>
    </row>
    <row r="30" spans="1:21" ht="69" x14ac:dyDescent="0.3">
      <c r="A30" s="336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  <c r="J30" s="291" t="s">
        <v>149</v>
      </c>
      <c r="K30" s="291" t="s">
        <v>256</v>
      </c>
      <c r="L30" s="291" t="s">
        <v>260</v>
      </c>
      <c r="M30" s="291" t="s">
        <v>257</v>
      </c>
      <c r="N30" s="291" t="s">
        <v>258</v>
      </c>
      <c r="O30" s="291" t="s">
        <v>259</v>
      </c>
      <c r="P30" s="291" t="s">
        <v>149</v>
      </c>
      <c r="Q30" s="291" t="s">
        <v>256</v>
      </c>
      <c r="R30" s="291" t="s">
        <v>260</v>
      </c>
      <c r="S30" s="291" t="s">
        <v>257</v>
      </c>
      <c r="T30" s="291" t="s">
        <v>258</v>
      </c>
      <c r="U30" s="291" t="s">
        <v>259</v>
      </c>
    </row>
    <row r="31" spans="1:21" x14ac:dyDescent="0.3">
      <c r="A31" s="336"/>
      <c r="D31" s="292">
        <v>14.58</v>
      </c>
      <c r="E31" s="293">
        <v>2216</v>
      </c>
      <c r="F31" s="293">
        <v>1319</v>
      </c>
      <c r="G31" s="294">
        <v>171</v>
      </c>
      <c r="H31" s="295">
        <v>0.39</v>
      </c>
      <c r="I31" s="294">
        <f>(1-H31)*G31</f>
        <v>104.31</v>
      </c>
      <c r="J31" s="292">
        <v>13.81</v>
      </c>
      <c r="K31" s="293">
        <v>2149</v>
      </c>
      <c r="L31" s="293">
        <v>1281</v>
      </c>
      <c r="M31" s="294">
        <v>178</v>
      </c>
      <c r="N31" s="295">
        <v>0.39</v>
      </c>
      <c r="O31" s="294">
        <f>(1-N31)*M31</f>
        <v>108.58</v>
      </c>
      <c r="P31" s="292">
        <v>14.21</v>
      </c>
      <c r="Q31" s="293">
        <v>2025</v>
      </c>
      <c r="R31" s="293">
        <v>1202</v>
      </c>
      <c r="S31" s="294">
        <v>153</v>
      </c>
      <c r="T31" s="295">
        <v>0.39</v>
      </c>
      <c r="U31" s="294">
        <f>(1-T31)*S31</f>
        <v>93.33</v>
      </c>
    </row>
    <row r="32" spans="1:21" ht="13.8" customHeight="1" x14ac:dyDescent="0.3">
      <c r="A32" s="338" t="s">
        <v>2</v>
      </c>
      <c r="B32" s="327" t="s">
        <v>3</v>
      </c>
      <c r="C32" s="327" t="str">
        <f t="shared" ref="C32:C42" si="9">D15</f>
        <v>Response Scaling Factor for Sensitivity Analysis</v>
      </c>
      <c r="D32" s="333" t="s">
        <v>86</v>
      </c>
      <c r="E32" s="334"/>
      <c r="F32" s="334"/>
      <c r="G32" s="335"/>
      <c r="H32" s="339" t="s">
        <v>89</v>
      </c>
      <c r="I32" s="340"/>
      <c r="J32" s="340"/>
      <c r="K32" s="333" t="s">
        <v>251</v>
      </c>
      <c r="L32" s="334"/>
      <c r="M32" s="334"/>
      <c r="N32" s="335"/>
    </row>
    <row r="33" spans="1:14" ht="74.400000000000006" customHeight="1" x14ac:dyDescent="0.3">
      <c r="A33" s="326"/>
      <c r="B33" s="326"/>
      <c r="C33" s="326">
        <f t="shared" si="9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3">
        <f t="shared" si="9"/>
        <v>1</v>
      </c>
      <c r="D34" s="266">
        <f t="shared" ref="D34:D41" si="10">E17</f>
        <v>5991499</v>
      </c>
      <c r="E34" s="264" t="s">
        <v>185</v>
      </c>
      <c r="F34" s="268">
        <f>F17/$J$31</f>
        <v>200413.29391107525</v>
      </c>
      <c r="G34" s="270">
        <f>F34*$L$31</f>
        <v>256729429.50008738</v>
      </c>
      <c r="H34" s="276">
        <f t="shared" ref="H34:H41" si="11">I17</f>
        <v>7189798.7999999998</v>
      </c>
      <c r="I34" s="268">
        <f>J17/$J$31</f>
        <v>239856.72092273776</v>
      </c>
      <c r="J34" s="279">
        <f>I34*$L$31</f>
        <v>307256459.50202709</v>
      </c>
      <c r="K34" s="266">
        <f>H34-D34</f>
        <v>1198299.7999999998</v>
      </c>
      <c r="L34" s="266">
        <f>J34-G34</f>
        <v>50527030.001939714</v>
      </c>
      <c r="M34" s="282">
        <f>K34/D34</f>
        <v>0.19999999999999996</v>
      </c>
      <c r="N34" s="283">
        <f>L34/G34</f>
        <v>0.19681043229180126</v>
      </c>
    </row>
    <row r="35" spans="1:14" x14ac:dyDescent="0.3">
      <c r="A35" s="55" t="s">
        <v>170</v>
      </c>
      <c r="B35" s="55" t="s">
        <v>93</v>
      </c>
      <c r="C35" s="154">
        <f t="shared" si="9"/>
        <v>1</v>
      </c>
      <c r="D35" s="267">
        <f t="shared" si="10"/>
        <v>15610435</v>
      </c>
      <c r="E35" s="265" t="s">
        <v>185</v>
      </c>
      <c r="F35" s="269">
        <f>F18/$P$31</f>
        <v>230933.63819705587</v>
      </c>
      <c r="G35" s="271">
        <f>F35*$R$31</f>
        <v>277582233.11286116</v>
      </c>
      <c r="H35" s="277">
        <f t="shared" si="11"/>
        <v>18732522</v>
      </c>
      <c r="I35" s="269">
        <f>J18/$P$31</f>
        <v>277175.40674512938</v>
      </c>
      <c r="J35" s="280">
        <f>I35*$R$31</f>
        <v>333164838.90764552</v>
      </c>
      <c r="K35" s="267">
        <f t="shared" ref="K35:K42" si="12">H35-D35</f>
        <v>3122087</v>
      </c>
      <c r="L35" s="267">
        <f t="shared" ref="L35:L42" si="13">J35-G35</f>
        <v>55582605.794784367</v>
      </c>
      <c r="M35" s="284">
        <f t="shared" ref="M35:M42" si="14">K35/D35</f>
        <v>0.2</v>
      </c>
      <c r="N35" s="285">
        <f t="shared" ref="N35:N42" si="15">L35/G35</f>
        <v>0.20023834080254421</v>
      </c>
    </row>
    <row r="36" spans="1:14" x14ac:dyDescent="0.3">
      <c r="A36" s="55" t="s">
        <v>104</v>
      </c>
      <c r="B36" s="55" t="s">
        <v>95</v>
      </c>
      <c r="C36" s="154">
        <f t="shared" si="9"/>
        <v>1</v>
      </c>
      <c r="D36" s="267">
        <f t="shared" si="10"/>
        <v>3804716</v>
      </c>
      <c r="E36" s="265" t="s">
        <v>185</v>
      </c>
      <c r="F36" s="269">
        <f>F19/$D$31</f>
        <v>13058.170083390576</v>
      </c>
      <c r="G36" s="271">
        <f t="shared" ref="G36:G40" si="16">F36*$F$31</f>
        <v>17223726.339992169</v>
      </c>
      <c r="H36" s="277">
        <f t="shared" si="11"/>
        <v>3043772.8000000003</v>
      </c>
      <c r="I36" s="269">
        <f t="shared" ref="I36:I40" si="17">J19/$D$31</f>
        <v>10446.456617089221</v>
      </c>
      <c r="J36" s="280">
        <f t="shared" ref="J36:J40" si="18">I36*$F$31</f>
        <v>13778876.277940683</v>
      </c>
      <c r="K36" s="267">
        <f t="shared" si="12"/>
        <v>-760943.19999999972</v>
      </c>
      <c r="L36" s="267">
        <f t="shared" si="13"/>
        <v>-3444850.0620514862</v>
      </c>
      <c r="M36" s="284">
        <f t="shared" si="14"/>
        <v>-0.19999999999999993</v>
      </c>
      <c r="N36" s="285">
        <f t="shared" si="15"/>
        <v>-0.20000608428460739</v>
      </c>
    </row>
    <row r="37" spans="1:14" x14ac:dyDescent="0.3">
      <c r="A37" s="55" t="s">
        <v>104</v>
      </c>
      <c r="B37" s="55" t="s">
        <v>94</v>
      </c>
      <c r="C37" s="154">
        <f t="shared" si="9"/>
        <v>1</v>
      </c>
      <c r="D37" s="267">
        <f t="shared" si="10"/>
        <v>4440000</v>
      </c>
      <c r="E37" s="265" t="s">
        <v>185</v>
      </c>
      <c r="F37" s="269">
        <f t="shared" ref="F37:F40" si="19">F20/$D$31</f>
        <v>2228.0277703496668</v>
      </c>
      <c r="G37" s="271">
        <f>F37*$F$31</f>
        <v>2938768.6290912107</v>
      </c>
      <c r="H37" s="277">
        <f t="shared" si="11"/>
        <v>3552000</v>
      </c>
      <c r="I37" s="269">
        <f t="shared" si="17"/>
        <v>1882.7648389143997</v>
      </c>
      <c r="J37" s="280">
        <f t="shared" si="18"/>
        <v>2483366.8225280931</v>
      </c>
      <c r="K37" s="267">
        <f t="shared" si="12"/>
        <v>-888000</v>
      </c>
      <c r="L37" s="267">
        <f t="shared" si="13"/>
        <v>-455401.80656311754</v>
      </c>
      <c r="M37" s="284">
        <f t="shared" si="14"/>
        <v>-0.2</v>
      </c>
      <c r="N37" s="285">
        <f t="shared" si="15"/>
        <v>-0.15496347757868462</v>
      </c>
    </row>
    <row r="38" spans="1:14" x14ac:dyDescent="0.3">
      <c r="A38" s="55" t="s">
        <v>104</v>
      </c>
      <c r="B38" s="55" t="s">
        <v>108</v>
      </c>
      <c r="C38" s="154">
        <f t="shared" si="9"/>
        <v>1</v>
      </c>
      <c r="D38" s="267">
        <f t="shared" si="10"/>
        <v>22954000</v>
      </c>
      <c r="E38" s="265" t="s">
        <v>185</v>
      </c>
      <c r="F38" s="269">
        <f t="shared" si="19"/>
        <v>138412.14348311909</v>
      </c>
      <c r="G38" s="271">
        <f t="shared" si="16"/>
        <v>182565617.25423408</v>
      </c>
      <c r="H38" s="277">
        <f t="shared" si="11"/>
        <v>25532603.20000172</v>
      </c>
      <c r="I38" s="269">
        <f t="shared" si="17"/>
        <v>151614.16932582759</v>
      </c>
      <c r="J38" s="280">
        <f t="shared" si="18"/>
        <v>199979089.34076658</v>
      </c>
      <c r="K38" s="267">
        <f t="shared" si="12"/>
        <v>2578603.2000017203</v>
      </c>
      <c r="L38" s="267">
        <f t="shared" si="13"/>
        <v>17413472.086532503</v>
      </c>
      <c r="M38" s="284">
        <f t="shared" si="14"/>
        <v>0.11233785832542129</v>
      </c>
      <c r="N38" s="285">
        <f t="shared" si="15"/>
        <v>9.5381991135182656E-2</v>
      </c>
    </row>
    <row r="39" spans="1:14" x14ac:dyDescent="0.3">
      <c r="A39" s="55" t="s">
        <v>104</v>
      </c>
      <c r="B39" s="55" t="s">
        <v>96</v>
      </c>
      <c r="C39" s="154">
        <f t="shared" si="9"/>
        <v>1</v>
      </c>
      <c r="D39" s="267">
        <f t="shared" si="10"/>
        <v>7818984</v>
      </c>
      <c r="E39" s="265" t="s">
        <v>185</v>
      </c>
      <c r="F39" s="269">
        <f t="shared" si="19"/>
        <v>32808.607210343704</v>
      </c>
      <c r="G39" s="271">
        <f t="shared" si="16"/>
        <v>43274552.910443343</v>
      </c>
      <c r="H39" s="277">
        <f t="shared" si="11"/>
        <v>6255187.2000000011</v>
      </c>
      <c r="I39" s="269">
        <f t="shared" si="17"/>
        <v>26840.895159405656</v>
      </c>
      <c r="J39" s="280">
        <f t="shared" si="18"/>
        <v>35403140.715256058</v>
      </c>
      <c r="K39" s="267">
        <f t="shared" si="12"/>
        <v>-1563796.7999999989</v>
      </c>
      <c r="L39" s="267">
        <f t="shared" si="13"/>
        <v>-7871412.1951872855</v>
      </c>
      <c r="M39" s="284">
        <f t="shared" si="14"/>
        <v>-0.19999999999999984</v>
      </c>
      <c r="N39" s="285">
        <f t="shared" si="15"/>
        <v>-0.18189470868658464</v>
      </c>
    </row>
    <row r="40" spans="1:14" x14ac:dyDescent="0.3">
      <c r="A40" s="55" t="s">
        <v>104</v>
      </c>
      <c r="B40" s="55" t="s">
        <v>177</v>
      </c>
      <c r="C40" s="154">
        <f t="shared" si="9"/>
        <v>1</v>
      </c>
      <c r="D40" s="267">
        <f t="shared" si="10"/>
        <v>3535945</v>
      </c>
      <c r="E40" s="265" t="s">
        <v>185</v>
      </c>
      <c r="F40" s="269">
        <f t="shared" si="19"/>
        <v>7217</v>
      </c>
      <c r="G40" s="271">
        <f t="shared" si="16"/>
        <v>9519223</v>
      </c>
      <c r="H40" s="277">
        <f t="shared" si="11"/>
        <v>2828756</v>
      </c>
      <c r="I40" s="269">
        <f t="shared" si="17"/>
        <v>5828.7198185157031</v>
      </c>
      <c r="J40" s="280">
        <f t="shared" si="18"/>
        <v>7688081.4406222124</v>
      </c>
      <c r="K40" s="267">
        <f t="shared" si="12"/>
        <v>-707189</v>
      </c>
      <c r="L40" s="267">
        <f t="shared" si="13"/>
        <v>-1831141.5593777876</v>
      </c>
      <c r="M40" s="284">
        <f t="shared" si="14"/>
        <v>-0.2</v>
      </c>
      <c r="N40" s="285">
        <f t="shared" si="15"/>
        <v>-0.19236250263049701</v>
      </c>
    </row>
    <row r="41" spans="1:14" x14ac:dyDescent="0.3">
      <c r="A41" s="55" t="s">
        <v>104</v>
      </c>
      <c r="B41" s="55" t="s">
        <v>172</v>
      </c>
      <c r="C41" s="154">
        <f t="shared" si="9"/>
        <v>1</v>
      </c>
      <c r="D41" s="267">
        <f t="shared" si="10"/>
        <v>14895305</v>
      </c>
      <c r="E41" s="287" t="s">
        <v>184</v>
      </c>
      <c r="F41" s="269">
        <f t="shared" ref="F41" si="20">F24</f>
        <v>357940.73004525341</v>
      </c>
      <c r="G41" s="271">
        <f>F41*$I$31</f>
        <v>37336797.551020384</v>
      </c>
      <c r="H41" s="277">
        <f t="shared" si="11"/>
        <v>11916244</v>
      </c>
      <c r="I41" s="269">
        <f>J24</f>
        <v>296573.45688100718</v>
      </c>
      <c r="J41" s="280">
        <f>I41*$I$31</f>
        <v>30935577.287257861</v>
      </c>
      <c r="K41" s="267">
        <f t="shared" si="12"/>
        <v>-2979061</v>
      </c>
      <c r="L41" s="267">
        <f t="shared" si="13"/>
        <v>-6401220.2637625225</v>
      </c>
      <c r="M41" s="284">
        <f t="shared" si="14"/>
        <v>-0.2</v>
      </c>
      <c r="N41" s="285">
        <f t="shared" si="15"/>
        <v>-0.17144534838627537</v>
      </c>
    </row>
    <row r="42" spans="1:14" x14ac:dyDescent="0.3">
      <c r="A42" s="75" t="s">
        <v>104</v>
      </c>
      <c r="B42" s="75" t="s">
        <v>103</v>
      </c>
      <c r="C42" s="75">
        <f t="shared" si="9"/>
        <v>0</v>
      </c>
      <c r="D42" s="76">
        <f>SUM(D34:D41)</f>
        <v>79050884</v>
      </c>
      <c r="E42" s="77"/>
      <c r="F42" s="77"/>
      <c r="G42" s="272">
        <f>SUM(G34:G41)</f>
        <v>827170348.29772973</v>
      </c>
      <c r="H42" s="278">
        <f>SUM(H34:H41)</f>
        <v>79050884.000001729</v>
      </c>
      <c r="I42" s="77"/>
      <c r="J42" s="281">
        <f>SUM(J34:J41)</f>
        <v>930689430.29404414</v>
      </c>
      <c r="K42" s="76">
        <f t="shared" si="12"/>
        <v>1.7285346984863281E-6</v>
      </c>
      <c r="L42" s="300">
        <f t="shared" si="13"/>
        <v>103519081.99631441</v>
      </c>
      <c r="M42" s="79">
        <f t="shared" si="14"/>
        <v>2.1866102072765285E-14</v>
      </c>
      <c r="N42" s="286">
        <f t="shared" si="15"/>
        <v>0.12514844398055477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288705277.93143225</v>
      </c>
      <c r="H43" s="256"/>
      <c r="I43" s="183"/>
      <c r="J43" s="289">
        <f>SUM(J34:J40)*$E$43 + (J41*$D$43)</f>
        <v>322621521.75742656</v>
      </c>
      <c r="K43" s="256"/>
      <c r="L43" s="289">
        <f>SUM(L34:L40)*$E$43 + (L41*$D$43)</f>
        <v>33916243.825994387</v>
      </c>
      <c r="M43" s="301">
        <f>L43/L42</f>
        <v>0.32763277235400823</v>
      </c>
      <c r="N43" s="290">
        <f>N42*(L43/L42)</f>
        <v>4.1002731657139455E-2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325210011.66468602</v>
      </c>
      <c r="H44" s="256"/>
      <c r="I44" s="183"/>
      <c r="J44" s="289">
        <f>SUM(J34:J40)*$E$44 + (J41*$D$44)</f>
        <v>365134368.22478527</v>
      </c>
      <c r="K44" s="256"/>
      <c r="L44" s="289">
        <f>SUM(L34:L40)*$E$44 + (L41*$D$44)</f>
        <v>39924356.560099229</v>
      </c>
      <c r="M44" s="301">
        <f>L44/L42</f>
        <v>0.38567147032390275</v>
      </c>
      <c r="N44" s="290">
        <f>N42*(L44/L42)</f>
        <v>4.8266184398729137E-2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213255058.70161155</v>
      </c>
      <c r="H45" s="256"/>
      <c r="I45" s="183"/>
      <c r="J45" s="289">
        <f>SUM(J34:J40)*$E$45 + (J41*$D$45)</f>
        <v>242933540.31183231</v>
      </c>
      <c r="K45" s="256"/>
      <c r="L45" s="289">
        <f>SUM(L34:L40)*$E$45 + (L41*$D$45)</f>
        <v>29678481.610220764</v>
      </c>
      <c r="M45" s="301">
        <f>L45/L42</f>
        <v>0.2866957573220888</v>
      </c>
      <c r="N45" s="290">
        <f>N42*(L45/L42)</f>
        <v>3.5879527924686155E-2</v>
      </c>
    </row>
    <row r="46" spans="1:14" x14ac:dyDescent="0.3">
      <c r="D46" s="1" t="s">
        <v>184</v>
      </c>
      <c r="E46" s="1" t="s">
        <v>271</v>
      </c>
    </row>
    <row r="47" spans="1:14" ht="27.6" x14ac:dyDescent="0.3">
      <c r="D47" s="186" t="s">
        <v>272</v>
      </c>
    </row>
  </sheetData>
  <mergeCells count="21">
    <mergeCell ref="K32:N32"/>
    <mergeCell ref="A30:A31"/>
    <mergeCell ref="J29:O29"/>
    <mergeCell ref="A32:A33"/>
    <mergeCell ref="B32:B33"/>
    <mergeCell ref="C32:C33"/>
    <mergeCell ref="D32:G32"/>
    <mergeCell ref="H32:J32"/>
    <mergeCell ref="P29:U29"/>
    <mergeCell ref="D29:I29"/>
    <mergeCell ref="E5:I5"/>
    <mergeCell ref="E6:I6"/>
    <mergeCell ref="A11:A12"/>
    <mergeCell ref="A15:A16"/>
    <mergeCell ref="B15:B16"/>
    <mergeCell ref="C15:C16"/>
    <mergeCell ref="D15:D16"/>
    <mergeCell ref="E15:F15"/>
    <mergeCell ref="G15:H15"/>
    <mergeCell ref="I15:J15"/>
    <mergeCell ref="K15:N15"/>
  </mergeCells>
  <pageMargins left="0.7" right="0.7" top="0.75" bottom="0.75" header="0.3" footer="0.3"/>
  <pageSetup orientation="portrait"/>
  <ignoredErrors>
    <ignoredError sqref="I36:I40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41" t="s">
        <v>105</v>
      </c>
      <c r="I2" s="342"/>
      <c r="J2" s="342"/>
      <c r="K2" s="342"/>
      <c r="L2" s="342"/>
      <c r="M2" s="342"/>
      <c r="N2" s="34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4" t="s">
        <v>136</v>
      </c>
      <c r="I3" s="345"/>
      <c r="J3" s="345"/>
      <c r="K3" s="345"/>
      <c r="L3" s="345"/>
      <c r="M3" s="345"/>
      <c r="N3" s="346"/>
    </row>
    <row r="4" spans="1:14" ht="18.600000000000001" customHeight="1" thickBot="1" x14ac:dyDescent="0.35">
      <c r="A4" s="29" t="s">
        <v>38</v>
      </c>
      <c r="B4" s="347" t="s">
        <v>131</v>
      </c>
      <c r="C4" s="348"/>
      <c r="D4" s="348"/>
      <c r="E4" s="348"/>
      <c r="F4" s="349"/>
    </row>
    <row r="6" spans="1:14" ht="14.4" thickBot="1" x14ac:dyDescent="0.35"/>
    <row r="7" spans="1:14" ht="27.6" customHeight="1" x14ac:dyDescent="0.3">
      <c r="A7" s="357" t="s">
        <v>8</v>
      </c>
      <c r="B7" s="351" t="s">
        <v>9</v>
      </c>
      <c r="C7" s="352"/>
      <c r="D7" s="350" t="s">
        <v>12</v>
      </c>
      <c r="E7" s="351"/>
      <c r="F7" s="352"/>
      <c r="G7" s="350" t="s">
        <v>143</v>
      </c>
      <c r="H7" s="351"/>
      <c r="I7" s="353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JJ_Optim_Scenario!G17</f>
        <v>4793199.2</v>
      </c>
      <c r="C9" s="113">
        <f>JJ_Optim_Scenario!H17</f>
        <v>7189798.7999999998</v>
      </c>
      <c r="D9" s="114">
        <f>JJ_Optim_Scenario!I17</f>
        <v>7189798.7999999998</v>
      </c>
      <c r="E9" s="119">
        <f>($B$13*D9+$C$13*D9*D9)*$G$13</f>
        <v>239856.72092273776</v>
      </c>
      <c r="F9" s="85">
        <f>($E$13*D9+$F$13*D9*D9)*$G$13</f>
        <v>3312421.3159430088</v>
      </c>
      <c r="G9" s="120">
        <f>JJ_Optim_Scenario!E17</f>
        <v>5991499</v>
      </c>
      <c r="H9" s="121">
        <f>($B$13*G9+$C$13*G9*G9)*$G$13</f>
        <v>200413.29391107528</v>
      </c>
      <c r="I9" s="115">
        <f>($E$13*G9+$F$13*G9*G9)*$G$13</f>
        <v>2767707.5889119492</v>
      </c>
      <c r="J9" s="123">
        <f>G9/I9</f>
        <v>2.164787575104854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51" t="s">
        <v>138</v>
      </c>
      <c r="C11" s="351"/>
      <c r="D11" s="351" t="s">
        <v>125</v>
      </c>
      <c r="E11" s="351" t="s">
        <v>137</v>
      </c>
      <c r="F11" s="351"/>
      <c r="G11" s="353" t="s">
        <v>134</v>
      </c>
      <c r="I11" s="141"/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36"/>
      <c r="E12" s="91" t="s">
        <v>132</v>
      </c>
      <c r="F12" s="91" t="s">
        <v>133</v>
      </c>
      <c r="G12" s="354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3.3894148963675173E-2</v>
      </c>
      <c r="C13" s="12">
        <v>-7.4195254306928158E-11</v>
      </c>
      <c r="D13" s="111">
        <f>JJ_Optim_Scenario!$J$31</f>
        <v>13.81</v>
      </c>
      <c r="E13" s="12">
        <v>0.46807819718835414</v>
      </c>
      <c r="F13" s="12">
        <v>-1.0246364619786779E-9</v>
      </c>
      <c r="G13" s="296">
        <f>JJ_Optim_Scenario!D17</f>
        <v>1</v>
      </c>
      <c r="H13" s="184">
        <f>JJ_Optim_Scenario!$O$31</f>
        <v>108.58</v>
      </c>
      <c r="I13" s="184">
        <f>JJ_Optim_Scenario!$L$31</f>
        <v>1281</v>
      </c>
      <c r="J13" s="32"/>
    </row>
    <row r="14" spans="1:14" ht="31.8" customHeight="1" x14ac:dyDescent="0.3">
      <c r="A14" s="355" t="s">
        <v>135</v>
      </c>
      <c r="B14" s="355"/>
      <c r="C14" s="355"/>
      <c r="D14" s="355"/>
      <c r="E14" s="355"/>
      <c r="F14" s="355"/>
      <c r="G14" s="355"/>
      <c r="H14" s="39"/>
      <c r="I14" s="39"/>
      <c r="J14" s="39"/>
    </row>
    <row r="15" spans="1:14" ht="30.6" customHeight="1" x14ac:dyDescent="0.3">
      <c r="A15" s="356"/>
      <c r="B15" s="356"/>
      <c r="C15" s="356"/>
      <c r="D15" s="356"/>
      <c r="E15" s="356"/>
      <c r="F15" s="356"/>
      <c r="G15" s="356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15000000</v>
      </c>
      <c r="D19" s="26">
        <v>20</v>
      </c>
    </row>
    <row r="21" spans="1:4" x14ac:dyDescent="0.3">
      <c r="A21" s="336" t="s">
        <v>37</v>
      </c>
      <c r="B21" s="336"/>
      <c r="C21" s="33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($B$13*A24+$C$13*A24*A24)*$G$13</f>
        <v>25378.876892208733</v>
      </c>
      <c r="C24" s="116">
        <f t="shared" ref="C24:C43" si="1">($E$13*A24+$F$13*A24*A24)*$G$13</f>
        <v>350482.28988140263</v>
      </c>
      <c r="D24" s="299">
        <f t="shared" ref="D24:D43" si="2">B24*$I$13</f>
        <v>32510341.298919387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699811.86374307924</v>
      </c>
      <c r="D25" s="299">
        <f t="shared" si="2"/>
        <v>64913757.961975709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1047988.7215850296</v>
      </c>
      <c r="D26" s="299">
        <f t="shared" si="2"/>
        <v>97210249.989168957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1395012.8634072545</v>
      </c>
      <c r="D27" s="299">
        <f t="shared" si="2"/>
        <v>129399817.38049912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1740884.289209753</v>
      </c>
      <c r="D28" s="299">
        <f t="shared" si="2"/>
        <v>161482460.13596624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2085602.9989925253</v>
      </c>
      <c r="D29" s="299">
        <f t="shared" si="2"/>
        <v>193458178.25557023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2429168.9927555718</v>
      </c>
      <c r="D30" s="299">
        <f t="shared" si="2"/>
        <v>225326971.73931122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2771582.2704988928</v>
      </c>
      <c r="D31" s="299">
        <f t="shared" si="2"/>
        <v>257088840.58718908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3112842.8322224868</v>
      </c>
      <c r="D32" s="299">
        <f t="shared" si="2"/>
        <v>288743784.79920393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3452950.6779263555</v>
      </c>
      <c r="D33" s="299">
        <f t="shared" si="2"/>
        <v>320291804.37535566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3791905.8076104978</v>
      </c>
      <c r="D34" s="299">
        <f t="shared" si="2"/>
        <v>351732899.31564426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4129708.2212749138</v>
      </c>
      <c r="D35" s="299">
        <f t="shared" si="2"/>
        <v>383067069.62006992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4466357.9189196052</v>
      </c>
      <c r="D36" s="299">
        <f t="shared" si="2"/>
        <v>414294315.28863245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4801854.9005445689</v>
      </c>
      <c r="D37" s="299">
        <f t="shared" si="2"/>
        <v>445414636.32133186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5136199.1661498072</v>
      </c>
      <c r="D38" s="299">
        <f t="shared" si="2"/>
        <v>476428032.71816826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5469390.7157353209</v>
      </c>
      <c r="D39" s="299">
        <f t="shared" si="2"/>
        <v>507334504.47914159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5801429.5493011065</v>
      </c>
      <c r="D40" s="299">
        <f t="shared" si="2"/>
        <v>538134051.60425186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6132315.6668471666</v>
      </c>
      <c r="D41" s="299">
        <f t="shared" si="2"/>
        <v>568826674.09349895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6462049.0683735013</v>
      </c>
      <c r="D42" s="299">
        <f t="shared" si="2"/>
        <v>599412371.94688308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6790629.7538801096</v>
      </c>
      <c r="D43" s="299">
        <f t="shared" si="2"/>
        <v>629891145.16440403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41" t="s">
        <v>105</v>
      </c>
      <c r="I2" s="342"/>
      <c r="J2" s="342"/>
      <c r="K2" s="342"/>
      <c r="L2" s="342"/>
      <c r="M2" s="342"/>
      <c r="N2" s="34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4" t="s">
        <v>136</v>
      </c>
      <c r="I3" s="345"/>
      <c r="J3" s="345"/>
      <c r="K3" s="345"/>
      <c r="L3" s="345"/>
      <c r="M3" s="345"/>
      <c r="N3" s="346"/>
    </row>
    <row r="4" spans="1:14" ht="18.600000000000001" customHeight="1" thickBot="1" x14ac:dyDescent="0.35">
      <c r="A4" s="29" t="s">
        <v>38</v>
      </c>
      <c r="B4" s="347" t="s">
        <v>131</v>
      </c>
      <c r="C4" s="348"/>
      <c r="D4" s="348"/>
      <c r="E4" s="348"/>
      <c r="F4" s="349"/>
    </row>
    <row r="6" spans="1:14" ht="14.4" thickBot="1" x14ac:dyDescent="0.35"/>
    <row r="7" spans="1:14" ht="27.6" customHeight="1" x14ac:dyDescent="0.3">
      <c r="A7" s="357" t="s">
        <v>8</v>
      </c>
      <c r="B7" s="351" t="s">
        <v>9</v>
      </c>
      <c r="C7" s="352"/>
      <c r="D7" s="350" t="s">
        <v>12</v>
      </c>
      <c r="E7" s="351"/>
      <c r="F7" s="352"/>
      <c r="G7" s="350" t="s">
        <v>143</v>
      </c>
      <c r="H7" s="351"/>
      <c r="I7" s="353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JJ_Optim_Scenario!G18</f>
        <v>12488348</v>
      </c>
      <c r="C9" s="113">
        <f>JJ_Optim_Scenario!H18</f>
        <v>18732522</v>
      </c>
      <c r="D9" s="114">
        <f>JJ_Optim_Scenario!I18</f>
        <v>18732522</v>
      </c>
      <c r="E9" s="119">
        <f>($B$13*D9+$C$13*D9*D9)*$G$13</f>
        <v>277175.40674512938</v>
      </c>
      <c r="F9" s="85">
        <f>($E$13*D9+$F$13*D9*D9)*$G$13</f>
        <v>3938662.5298482887</v>
      </c>
      <c r="G9" s="120">
        <f>JJ_Optim_Scenario!E18</f>
        <v>15610435</v>
      </c>
      <c r="H9" s="121">
        <f>($B$13*G9+$C$13*G9*G9)*$G$13</f>
        <v>230933.63819705584</v>
      </c>
      <c r="I9" s="115">
        <f>($E$13*G9+$F$13*G9*G9)*$G$13</f>
        <v>3281566.9987801639</v>
      </c>
      <c r="J9" s="123">
        <f>G9/I9</f>
        <v>4.7570063344136404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51" t="s">
        <v>138</v>
      </c>
      <c r="C11" s="351"/>
      <c r="D11" s="351" t="s">
        <v>125</v>
      </c>
      <c r="E11" s="351" t="s">
        <v>137</v>
      </c>
      <c r="F11" s="351"/>
      <c r="G11" s="353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36"/>
      <c r="E12" s="91" t="s">
        <v>132</v>
      </c>
      <c r="F12" s="91" t="s">
        <v>133</v>
      </c>
      <c r="G12" s="354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1.4778851523204141E-2</v>
      </c>
      <c r="C13" s="12">
        <v>9.4111856958413502E-13</v>
      </c>
      <c r="D13" s="111">
        <f>JJ_Optim_Scenario!$P$31</f>
        <v>14.21</v>
      </c>
      <c r="E13" s="12">
        <v>0.21000748014473086</v>
      </c>
      <c r="F13" s="12">
        <v>1.337329487379056E-11</v>
      </c>
      <c r="G13" s="296">
        <f>JJ_Optim_Scenario!D18</f>
        <v>1</v>
      </c>
      <c r="H13" s="184">
        <f>JJ_Optim_Scenario!$U$31</f>
        <v>93.33</v>
      </c>
      <c r="I13" s="184">
        <f>JJ_Optim_Scenario!$R$31</f>
        <v>1202</v>
      </c>
      <c r="J13" s="32"/>
    </row>
    <row r="14" spans="1:14" ht="31.8" customHeight="1" x14ac:dyDescent="0.3">
      <c r="A14" s="355" t="s">
        <v>135</v>
      </c>
      <c r="B14" s="355"/>
      <c r="C14" s="355"/>
      <c r="D14" s="355"/>
      <c r="E14" s="355"/>
      <c r="F14" s="355"/>
      <c r="G14" s="355"/>
      <c r="H14" s="39"/>
      <c r="I14" s="39"/>
      <c r="J14" s="39"/>
    </row>
    <row r="15" spans="1:14" ht="30.6" customHeight="1" x14ac:dyDescent="0.3">
      <c r="A15" s="356"/>
      <c r="B15" s="356"/>
      <c r="C15" s="356"/>
      <c r="D15" s="356"/>
      <c r="E15" s="356"/>
      <c r="F15" s="356"/>
      <c r="G15" s="356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40000000</v>
      </c>
      <c r="D19" s="26">
        <v>20</v>
      </c>
    </row>
    <row r="21" spans="1:4" x14ac:dyDescent="0.3">
      <c r="A21" s="336" t="s">
        <v>37</v>
      </c>
      <c r="B21" s="336"/>
      <c r="C21" s="33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($B$13*A24+$C$13*A24*A24)*$G$13</f>
        <v>29561.46752068662</v>
      </c>
      <c r="C24" s="116">
        <f t="shared" ref="C24:C43" si="1">($E$13*A24+$F$13*A24*A24)*$G$13</f>
        <v>420068.45346895687</v>
      </c>
      <c r="D24" s="299">
        <f t="shared" ref="D24:D43" si="2">B24*$I$13</f>
        <v>35532883.959865317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840243.89329690405</v>
      </c>
      <c r="D25" s="299">
        <f t="shared" si="2"/>
        <v>71074817.715895742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1260526.3194838415</v>
      </c>
      <c r="D26" s="299">
        <f t="shared" si="2"/>
        <v>106625801.26809132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1680915.7320297693</v>
      </c>
      <c r="D27" s="299">
        <f t="shared" si="2"/>
        <v>142185834.61645198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2101412.1309346878</v>
      </c>
      <c r="D28" s="299">
        <f t="shared" si="2"/>
        <v>177754917.7609778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2522015.516198596</v>
      </c>
      <c r="D29" s="299">
        <f t="shared" si="2"/>
        <v>213333050.70166874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2942725.8878214951</v>
      </c>
      <c r="D30" s="299">
        <f t="shared" si="2"/>
        <v>248920233.43852475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3363543.2458033841</v>
      </c>
      <c r="D31" s="299">
        <f t="shared" si="2"/>
        <v>284516465.97154588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3784467.590144264</v>
      </c>
      <c r="D32" s="299">
        <f t="shared" si="2"/>
        <v>320121748.3007322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4205498.920844133</v>
      </c>
      <c r="D33" s="299">
        <f t="shared" si="2"/>
        <v>355736080.42608356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4626637.2379029933</v>
      </c>
      <c r="D34" s="299">
        <f t="shared" si="2"/>
        <v>391359462.3476001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5047882.5413208436</v>
      </c>
      <c r="D35" s="299">
        <f t="shared" si="2"/>
        <v>426991894.06528181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5469234.8310976848</v>
      </c>
      <c r="D36" s="299">
        <f t="shared" si="2"/>
        <v>462633375.5791285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5890694.1072335159</v>
      </c>
      <c r="D37" s="299">
        <f t="shared" si="2"/>
        <v>498283906.88914043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6312260.369728337</v>
      </c>
      <c r="D38" s="299">
        <f t="shared" si="2"/>
        <v>533943487.9953174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6733933.618582149</v>
      </c>
      <c r="D39" s="299">
        <f t="shared" si="2"/>
        <v>569612118.89765954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7155713.853794951</v>
      </c>
      <c r="D40" s="299">
        <f t="shared" si="2"/>
        <v>605289799.59616673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7577601.0753667438</v>
      </c>
      <c r="D41" s="299">
        <f t="shared" si="2"/>
        <v>640976530.09083915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7999595.2832975267</v>
      </c>
      <c r="D42" s="299">
        <f t="shared" si="2"/>
        <v>676672310.38167667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8421696.4775872994</v>
      </c>
      <c r="D43" s="299">
        <f t="shared" si="2"/>
        <v>712377140.46867931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41" t="s">
        <v>105</v>
      </c>
      <c r="I2" s="342"/>
      <c r="J2" s="342"/>
      <c r="K2" s="342"/>
      <c r="L2" s="342"/>
      <c r="M2" s="342"/>
      <c r="N2" s="343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44" t="s">
        <v>136</v>
      </c>
      <c r="I3" s="345"/>
      <c r="J3" s="345"/>
      <c r="K3" s="345"/>
      <c r="L3" s="345"/>
      <c r="M3" s="345"/>
      <c r="N3" s="346"/>
    </row>
    <row r="4" spans="1:14" ht="18.600000000000001" customHeight="1" thickBot="1" x14ac:dyDescent="0.35">
      <c r="A4" s="29" t="s">
        <v>38</v>
      </c>
      <c r="B4" s="347" t="s">
        <v>131</v>
      </c>
      <c r="C4" s="348"/>
      <c r="D4" s="348"/>
      <c r="E4" s="348"/>
      <c r="F4" s="349"/>
    </row>
    <row r="6" spans="1:14" ht="14.4" thickBot="1" x14ac:dyDescent="0.35"/>
    <row r="7" spans="1:14" ht="27.6" customHeight="1" x14ac:dyDescent="0.3">
      <c r="A7" s="357" t="s">
        <v>8</v>
      </c>
      <c r="B7" s="351" t="s">
        <v>9</v>
      </c>
      <c r="C7" s="352"/>
      <c r="D7" s="350" t="s">
        <v>12</v>
      </c>
      <c r="E7" s="351"/>
      <c r="F7" s="352"/>
      <c r="G7" s="350" t="s">
        <v>143</v>
      </c>
      <c r="H7" s="351"/>
      <c r="I7" s="353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v>0</v>
      </c>
      <c r="C9" s="113">
        <v>50000000</v>
      </c>
      <c r="D9" s="114">
        <v>21601934</v>
      </c>
      <c r="E9" s="119">
        <f>($B$13*D9+$C$13*D9*D9)*$G$13</f>
        <v>402592.96987355122</v>
      </c>
      <c r="F9" s="85">
        <f>($E$13*D9+$F$13*D9*D9)*$G$13</f>
        <v>5869805.5007563764</v>
      </c>
      <c r="G9" s="120">
        <v>21601934</v>
      </c>
      <c r="H9" s="121">
        <f>($B$13*G9+$C$13*G9*G9)*$G$13</f>
        <v>402592.96987355122</v>
      </c>
      <c r="I9" s="115">
        <f>($E$13*G9+$F$13*G9*G9)*$G$13</f>
        <v>5869805.5007563764</v>
      </c>
      <c r="J9" s="123">
        <f>G9/I9</f>
        <v>3.6801788402045688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51" t="s">
        <v>138</v>
      </c>
      <c r="C11" s="351"/>
      <c r="D11" s="351" t="s">
        <v>125</v>
      </c>
      <c r="E11" s="351" t="s">
        <v>137</v>
      </c>
      <c r="F11" s="351"/>
      <c r="G11" s="353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36"/>
      <c r="E12" s="91" t="s">
        <v>132</v>
      </c>
      <c r="F12" s="91" t="s">
        <v>133</v>
      </c>
      <c r="G12" s="354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1.8615094382687998E-2</v>
      </c>
      <c r="C13" s="12">
        <v>1.0091848743878766E-12</v>
      </c>
      <c r="D13" s="111">
        <f>JJ_Optim_Scenario!$D$31</f>
        <v>14.58</v>
      </c>
      <c r="E13" s="12">
        <v>0.271408076099591</v>
      </c>
      <c r="F13" s="12">
        <v>1.4713915468575239E-11</v>
      </c>
      <c r="G13" s="14">
        <v>1</v>
      </c>
      <c r="H13" s="184">
        <f>JJ_Optim_Scenario!$I$31</f>
        <v>104.31</v>
      </c>
      <c r="I13" s="184">
        <f>JJ_Optim_Scenario!$F$31</f>
        <v>1319</v>
      </c>
      <c r="J13" s="32"/>
    </row>
    <row r="14" spans="1:14" ht="31.8" customHeight="1" x14ac:dyDescent="0.3">
      <c r="A14" s="355" t="s">
        <v>135</v>
      </c>
      <c r="B14" s="355"/>
      <c r="C14" s="355"/>
      <c r="D14" s="355"/>
      <c r="E14" s="355"/>
      <c r="F14" s="355"/>
      <c r="G14" s="355"/>
      <c r="H14" s="39"/>
      <c r="I14" s="39"/>
      <c r="J14" s="39"/>
    </row>
    <row r="15" spans="1:14" ht="30.6" customHeight="1" x14ac:dyDescent="0.3">
      <c r="A15" s="356"/>
      <c r="B15" s="356"/>
      <c r="C15" s="356"/>
      <c r="D15" s="356"/>
      <c r="E15" s="356"/>
      <c r="F15" s="356"/>
      <c r="G15" s="356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60000000</v>
      </c>
      <c r="D19" s="26">
        <v>20</v>
      </c>
    </row>
    <row r="21" spans="1:4" x14ac:dyDescent="0.3">
      <c r="A21" s="336" t="s">
        <v>37</v>
      </c>
      <c r="B21" s="336"/>
      <c r="C21" s="33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($B$13*A24+$C$13*A24*A24)*$G$13</f>
        <v>55854.365811933487</v>
      </c>
      <c r="C24" s="116">
        <f t="shared" ref="C24:C43" si="1">($E$13*A24+$F$13*A24*A24)*$G$13</f>
        <v>814356.65353799029</v>
      </c>
      <c r="D24" s="299">
        <f t="shared" ref="D24:D43" si="2">B24*$I$13</f>
        <v>73671908.505940273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1628978.1575544148</v>
      </c>
      <c r="D25" s="299">
        <f t="shared" si="2"/>
        <v>147367777.07916826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2443864.5120492736</v>
      </c>
      <c r="D26" s="299">
        <f t="shared" si="2"/>
        <v>221087605.71968397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3259015.7170225671</v>
      </c>
      <c r="D27" s="299">
        <f t="shared" si="2"/>
        <v>294831394.42748737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4074431.7724742941</v>
      </c>
      <c r="D28" s="299">
        <f t="shared" si="2"/>
        <v>368599143.20257849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4890112.6784044569</v>
      </c>
      <c r="D29" s="299">
        <f t="shared" si="2"/>
        <v>442390852.04495734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5706058.4348130533</v>
      </c>
      <c r="D30" s="299">
        <f t="shared" si="2"/>
        <v>516206520.95462394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6522269.0417000838</v>
      </c>
      <c r="D31" s="299">
        <f t="shared" si="2"/>
        <v>590046149.93157816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7338744.4990655482</v>
      </c>
      <c r="D32" s="299">
        <f t="shared" si="2"/>
        <v>663909738.97582018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8155484.8069094475</v>
      </c>
      <c r="D33" s="299">
        <f t="shared" si="2"/>
        <v>737797288.08735001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8972489.9652317818</v>
      </c>
      <c r="D34" s="299">
        <f t="shared" si="2"/>
        <v>811708797.2661674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9789759.9740325511</v>
      </c>
      <c r="D35" s="299">
        <f t="shared" si="2"/>
        <v>885644266.5122726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10607294.833311751</v>
      </c>
      <c r="D36" s="299">
        <f t="shared" si="2"/>
        <v>959603695.82566535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11425094.543069389</v>
      </c>
      <c r="D37" s="299">
        <f t="shared" si="2"/>
        <v>1033587085.2063459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12243159.103305459</v>
      </c>
      <c r="D38" s="299">
        <f t="shared" si="2"/>
        <v>1107594434.6543143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13061488.514019966</v>
      </c>
      <c r="D39" s="299">
        <f t="shared" si="2"/>
        <v>1181625744.1695702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13880082.775212904</v>
      </c>
      <c r="D40" s="299">
        <f t="shared" si="2"/>
        <v>1255681013.7521141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14698941.886884278</v>
      </c>
      <c r="D41" s="299">
        <f t="shared" si="2"/>
        <v>1329760243.4019456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15518065.849034088</v>
      </c>
      <c r="D42" s="299">
        <f t="shared" si="2"/>
        <v>1403863433.1190648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16337454.661662331</v>
      </c>
      <c r="D43" s="299">
        <f t="shared" si="2"/>
        <v>1477990582.9034717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>
      <selection activeCell="D13" sqref="D13:I13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41" t="s">
        <v>105</v>
      </c>
      <c r="I2" s="342"/>
      <c r="J2" s="342"/>
      <c r="K2" s="342"/>
      <c r="L2" s="342"/>
      <c r="M2" s="342"/>
      <c r="N2" s="343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44" t="s">
        <v>136</v>
      </c>
      <c r="I3" s="345"/>
      <c r="J3" s="345"/>
      <c r="K3" s="345"/>
      <c r="L3" s="345"/>
      <c r="M3" s="345"/>
      <c r="N3" s="346"/>
    </row>
    <row r="4" spans="1:14" ht="18.600000000000001" customHeight="1" thickBot="1" x14ac:dyDescent="0.35">
      <c r="A4" s="29" t="s">
        <v>38</v>
      </c>
      <c r="B4" s="347" t="s">
        <v>131</v>
      </c>
      <c r="C4" s="348"/>
      <c r="D4" s="348"/>
      <c r="E4" s="348"/>
      <c r="F4" s="349"/>
    </row>
    <row r="6" spans="1:14" ht="14.4" thickBot="1" x14ac:dyDescent="0.35"/>
    <row r="7" spans="1:14" ht="27.6" customHeight="1" x14ac:dyDescent="0.3">
      <c r="A7" s="357" t="s">
        <v>8</v>
      </c>
      <c r="B7" s="351" t="s">
        <v>9</v>
      </c>
      <c r="C7" s="352"/>
      <c r="D7" s="350" t="s">
        <v>12</v>
      </c>
      <c r="E7" s="351"/>
      <c r="F7" s="352"/>
      <c r="G7" s="350" t="s">
        <v>143</v>
      </c>
      <c r="H7" s="351"/>
      <c r="I7" s="353"/>
      <c r="J7" s="1" t="s">
        <v>144</v>
      </c>
    </row>
    <row r="8" spans="1:14" ht="27.6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59"/>
      <c r="B9" s="112">
        <f>JJ_Optim_Scenario!G19</f>
        <v>3043772.8000000003</v>
      </c>
      <c r="C9" s="113">
        <f>JJ_Optim_Scenario!H19</f>
        <v>4565659.2</v>
      </c>
      <c r="D9" s="114">
        <f>JJ_Optim_Scenario!I19</f>
        <v>3043772.8000000003</v>
      </c>
      <c r="E9" s="119">
        <f>($B$13*D9+$C$13*D9*D9)*$G$13</f>
        <v>10446.456617089221</v>
      </c>
      <c r="F9" s="85">
        <f>($E$13*D9+$F$13*D9*D9)*$G$13</f>
        <v>152309.33747716085</v>
      </c>
      <c r="G9" s="120">
        <f>JJ_Optim_Scenario!E19</f>
        <v>3804716</v>
      </c>
      <c r="H9" s="121">
        <f>($B$13*G9+$C$13*G9*G9)*$G$13</f>
        <v>13058.170083390574</v>
      </c>
      <c r="I9" s="115">
        <f>($E$13*G9+$F$13*G9*G9)*$G$13</f>
        <v>190388.11981583459</v>
      </c>
      <c r="J9" s="123">
        <f>G9/I9</f>
        <v>19.983999020949213</v>
      </c>
      <c r="K9" s="1" t="s">
        <v>142</v>
      </c>
    </row>
    <row r="10" spans="1:14" ht="14.4" thickBot="1" x14ac:dyDescent="0.35"/>
    <row r="11" spans="1:14" ht="50.4" customHeight="1" x14ac:dyDescent="0.3">
      <c r="A11" s="357" t="s">
        <v>42</v>
      </c>
      <c r="B11" s="351" t="s">
        <v>138</v>
      </c>
      <c r="C11" s="351"/>
      <c r="D11" s="351" t="s">
        <v>125</v>
      </c>
      <c r="E11" s="351" t="s">
        <v>137</v>
      </c>
      <c r="F11" s="351"/>
      <c r="G11" s="353" t="s">
        <v>134</v>
      </c>
      <c r="J11" s="32"/>
    </row>
    <row r="12" spans="1:14" ht="24.6" customHeight="1" x14ac:dyDescent="0.3">
      <c r="A12" s="358"/>
      <c r="B12" s="91" t="s">
        <v>43</v>
      </c>
      <c r="C12" s="91" t="s">
        <v>44</v>
      </c>
      <c r="D12" s="336"/>
      <c r="E12" s="91" t="s">
        <v>132</v>
      </c>
      <c r="F12" s="91" t="s">
        <v>133</v>
      </c>
      <c r="G12" s="354"/>
      <c r="H12" s="298" t="s">
        <v>267</v>
      </c>
      <c r="I12" s="298" t="s">
        <v>268</v>
      </c>
      <c r="J12" s="32"/>
    </row>
    <row r="13" spans="1:14" ht="14.4" thickBot="1" x14ac:dyDescent="0.35">
      <c r="A13" s="359"/>
      <c r="B13" s="12">
        <v>3.4319706183708132E-3</v>
      </c>
      <c r="C13" s="12">
        <v>3.4302626130901291E-14</v>
      </c>
      <c r="D13" s="111">
        <f>JJ_Optim_Scenario!$D$31</f>
        <v>14.58</v>
      </c>
      <c r="E13" s="12">
        <v>5.0038131615846457E-2</v>
      </c>
      <c r="F13" s="12">
        <v>5.0013228898854081E-13</v>
      </c>
      <c r="G13" s="296">
        <f>JJ_Optim_Scenario!D19</f>
        <v>1</v>
      </c>
      <c r="H13" s="184">
        <f>JJ_Optim_Scenario!$I$31</f>
        <v>104.31</v>
      </c>
      <c r="I13" s="184">
        <f>JJ_Optim_Scenario!$F$31</f>
        <v>1319</v>
      </c>
      <c r="J13" s="32"/>
    </row>
    <row r="14" spans="1:14" ht="31.8" customHeight="1" x14ac:dyDescent="0.3">
      <c r="A14" s="355" t="s">
        <v>135</v>
      </c>
      <c r="B14" s="355"/>
      <c r="C14" s="355"/>
      <c r="D14" s="355"/>
      <c r="E14" s="355"/>
      <c r="F14" s="355"/>
      <c r="G14" s="355"/>
      <c r="H14" s="39"/>
      <c r="I14" s="39"/>
      <c r="J14" s="39"/>
    </row>
    <row r="15" spans="1:14" ht="30.6" customHeight="1" x14ac:dyDescent="0.3">
      <c r="A15" s="356"/>
      <c r="B15" s="356"/>
      <c r="C15" s="356"/>
      <c r="D15" s="356"/>
      <c r="E15" s="356"/>
      <c r="F15" s="356"/>
      <c r="G15" s="356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61"/>
      <c r="B19" s="103">
        <v>0</v>
      </c>
      <c r="C19" s="103">
        <v>10000000</v>
      </c>
      <c r="D19" s="26">
        <v>20</v>
      </c>
    </row>
    <row r="21" spans="1:4" x14ac:dyDescent="0.3">
      <c r="A21" s="336" t="s">
        <v>37</v>
      </c>
      <c r="B21" s="336"/>
      <c r="C21" s="336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($B$13*A24+$C$13*A24*A24)*$G$13</f>
        <v>1715.9938848419392</v>
      </c>
      <c r="C24" s="116">
        <f t="shared" ref="C24:C43" si="1">($E$13*A24+$F$13*A24*A24)*$G$13</f>
        <v>25019.190840995474</v>
      </c>
      <c r="D24" s="299">
        <f t="shared" ref="D24:D43" si="2">B24*$I$13</f>
        <v>2263395.934106518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50038.631748135442</v>
      </c>
      <c r="D25" s="299">
        <f t="shared" si="2"/>
        <v>4526814.4907949688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75058.322721419914</v>
      </c>
      <c r="D26" s="299">
        <f t="shared" si="2"/>
        <v>6790255.6700653536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100078.26376084886</v>
      </c>
      <c r="D27" s="299">
        <f t="shared" si="2"/>
        <v>9053719.4719176721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125098.45486642233</v>
      </c>
      <c r="D28" s="299">
        <f t="shared" si="2"/>
        <v>11317205.896351924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150118.89603814026</v>
      </c>
      <c r="D29" s="299">
        <f t="shared" si="2"/>
        <v>13580714.943368107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175139.58727600271</v>
      </c>
      <c r="D30" s="299">
        <f t="shared" si="2"/>
        <v>15844246.612966226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200160.52858000965</v>
      </c>
      <c r="D31" s="299">
        <f t="shared" si="2"/>
        <v>18107800.905146275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225181.71995016106</v>
      </c>
      <c r="D32" s="299">
        <f t="shared" si="2"/>
        <v>20371377.819908265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250203.16138645701</v>
      </c>
      <c r="D33" s="299">
        <f t="shared" si="2"/>
        <v>22634977.357252184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275224.85288889741</v>
      </c>
      <c r="D34" s="299">
        <f t="shared" si="2"/>
        <v>24898599.517178033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300246.79445748235</v>
      </c>
      <c r="D35" s="299">
        <f t="shared" si="2"/>
        <v>27162244.299685817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325268.98609221174</v>
      </c>
      <c r="D36" s="299">
        <f t="shared" si="2"/>
        <v>29425911.704775531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350291.42779308563</v>
      </c>
      <c r="D37" s="299">
        <f t="shared" si="2"/>
        <v>31689601.732447188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375314.11956010404</v>
      </c>
      <c r="D38" s="299">
        <f t="shared" si="2"/>
        <v>33953314.382700771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400337.06139326689</v>
      </c>
      <c r="D39" s="299">
        <f t="shared" si="2"/>
        <v>36217049.655536287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425360.25329257431</v>
      </c>
      <c r="D40" s="299">
        <f t="shared" si="2"/>
        <v>38480807.550953746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450383.69525802619</v>
      </c>
      <c r="D41" s="299">
        <f t="shared" si="2"/>
        <v>40744588.068953127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475407.38728962251</v>
      </c>
      <c r="D42" s="299">
        <f t="shared" si="2"/>
        <v>43008391.209534436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500431.32938736345</v>
      </c>
      <c r="D43" s="299">
        <f t="shared" si="2"/>
        <v>45272216.97269769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workbookViewId="0">
      <selection activeCell="A5" sqref="A5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17" t="s">
        <v>105</v>
      </c>
      <c r="N2" s="318"/>
      <c r="O2" s="318"/>
      <c r="P2" s="318"/>
      <c r="Q2" s="318"/>
      <c r="R2" s="318"/>
      <c r="S2" s="319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20" t="s">
        <v>72</v>
      </c>
      <c r="N3" s="321"/>
      <c r="O3" s="321"/>
      <c r="P3" s="321"/>
      <c r="Q3" s="321"/>
      <c r="R3" s="321"/>
      <c r="S3" s="322"/>
    </row>
    <row r="4" spans="1:25" ht="15" customHeight="1" thickBot="1" x14ac:dyDescent="0.35">
      <c r="A4" s="29" t="s">
        <v>38</v>
      </c>
      <c r="B4" s="347" t="s">
        <v>57</v>
      </c>
      <c r="C4" s="348"/>
      <c r="D4" s="348"/>
      <c r="E4" s="348"/>
      <c r="F4" s="349"/>
    </row>
    <row r="6" spans="1:25" ht="14.4" thickBot="1" x14ac:dyDescent="0.35"/>
    <row r="7" spans="1:25" ht="27.6" customHeight="1" x14ac:dyDescent="0.3">
      <c r="A7" s="357" t="s">
        <v>8</v>
      </c>
      <c r="B7" s="351" t="s">
        <v>9</v>
      </c>
      <c r="C7" s="351"/>
      <c r="D7" s="351" t="s">
        <v>12</v>
      </c>
      <c r="E7" s="351"/>
      <c r="F7" s="351"/>
      <c r="G7" s="351" t="s">
        <v>143</v>
      </c>
      <c r="H7" s="351"/>
      <c r="I7" s="353"/>
      <c r="J7" s="363" t="s">
        <v>144</v>
      </c>
      <c r="K7" s="364"/>
      <c r="M7" s="362" t="s">
        <v>73</v>
      </c>
      <c r="N7" s="362"/>
      <c r="O7" s="362"/>
      <c r="P7" s="362"/>
      <c r="R7" s="47" t="s">
        <v>58</v>
      </c>
    </row>
    <row r="8" spans="1:25" ht="27.6" x14ac:dyDescent="0.3">
      <c r="A8" s="358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62"/>
      <c r="N8" s="362"/>
      <c r="O8" s="362"/>
      <c r="P8" s="362"/>
      <c r="R8" s="47" t="s">
        <v>59</v>
      </c>
    </row>
    <row r="9" spans="1:25" ht="14.4" thickBot="1" x14ac:dyDescent="0.35">
      <c r="A9" s="359"/>
      <c r="B9" s="112">
        <f>JJ_Optim_Scenario!G20</f>
        <v>3552000</v>
      </c>
      <c r="C9" s="112">
        <f>JJ_Optim_Scenario!H20</f>
        <v>5328000</v>
      </c>
      <c r="D9" s="117">
        <f>JJ_Optim_Scenario!I20</f>
        <v>3552000</v>
      </c>
      <c r="E9" s="118">
        <f>csplinePred($B$14:$B$20,$C$14:$C$20,$H$14:$O$20,D9)*$C$12</f>
        <v>1882.7648389143997</v>
      </c>
      <c r="F9" s="118">
        <f>E9*$C$11</f>
        <v>27450.711351371949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32484.644891698143</v>
      </c>
      <c r="J9" s="123">
        <f>G9/I9</f>
        <v>136.67996109554818</v>
      </c>
      <c r="K9" s="1" t="s">
        <v>142</v>
      </c>
    </row>
    <row r="10" spans="1:25" ht="14.4" thickBot="1" x14ac:dyDescent="0.35"/>
    <row r="11" spans="1:25" ht="27.6" customHeight="1" x14ac:dyDescent="0.3">
      <c r="A11" s="357" t="s">
        <v>148</v>
      </c>
      <c r="B11" s="93" t="s">
        <v>149</v>
      </c>
      <c r="C11" s="10">
        <f>JJ_Optim_Scenario!$D$31</f>
        <v>14.58</v>
      </c>
      <c r="D11" s="298" t="s">
        <v>267</v>
      </c>
      <c r="E11" s="298" t="s">
        <v>268</v>
      </c>
    </row>
    <row r="12" spans="1:25" ht="38.4" customHeight="1" thickBot="1" x14ac:dyDescent="0.35">
      <c r="A12" s="359"/>
      <c r="B12" s="137" t="s">
        <v>134</v>
      </c>
      <c r="C12" s="296">
        <f>JJ_Optim_Scenario!D20</f>
        <v>1</v>
      </c>
      <c r="D12" s="184">
        <f>JJ_Optim_Scenario!$I$31</f>
        <v>104.31</v>
      </c>
      <c r="E12" s="184">
        <f>JJ_Optim_Scenario!$F$31</f>
        <v>1319</v>
      </c>
    </row>
    <row r="13" spans="1:25" ht="13.8" customHeight="1" x14ac:dyDescent="0.3">
      <c r="A13" s="357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65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58"/>
      <c r="B14" s="125">
        <v>0</v>
      </c>
      <c r="C14" s="127">
        <v>0</v>
      </c>
      <c r="D14" s="133">
        <f>C14*$C$11</f>
        <v>0</v>
      </c>
      <c r="E14" s="130"/>
      <c r="G14" s="366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58"/>
      <c r="B15" s="124">
        <v>1823251.2350824692</v>
      </c>
      <c r="C15" s="127">
        <f>(B15/$B$16)*$C$16*1.15</f>
        <v>1100.9472644677069</v>
      </c>
      <c r="D15" s="133">
        <f>C15*$C$11</f>
        <v>16051.811115939166</v>
      </c>
      <c r="E15" s="131" t="s">
        <v>150</v>
      </c>
      <c r="G15" s="366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58"/>
      <c r="B16" s="138">
        <v>3692448.4012890165</v>
      </c>
      <c r="C16" s="126">
        <v>1938.816</v>
      </c>
      <c r="D16" s="139">
        <f>C16*$C$11</f>
        <v>28267.937280000002</v>
      </c>
      <c r="E16" s="128" t="s">
        <v>155</v>
      </c>
      <c r="G16" s="366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58"/>
      <c r="B17" s="124">
        <v>5469753.7052474078</v>
      </c>
      <c r="C17" s="127">
        <f>(B17/$B$16)*$C$16*0.9</f>
        <v>2584.8327078807038</v>
      </c>
      <c r="D17" s="133">
        <f t="shared" ref="D17:D20" si="0">C17*$C$11</f>
        <v>37686.860880900662</v>
      </c>
      <c r="E17" s="131" t="s">
        <v>154</v>
      </c>
      <c r="G17" s="366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58"/>
      <c r="B18" s="124">
        <v>7293004.9403298767</v>
      </c>
      <c r="C18" s="127">
        <f>(B18/$B$16)*$C$16*0.8</f>
        <v>3063.5054315623152</v>
      </c>
      <c r="D18" s="133">
        <f t="shared" si="0"/>
        <v>44665.909192178558</v>
      </c>
      <c r="E18" s="132" t="s">
        <v>151</v>
      </c>
      <c r="G18" s="366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58"/>
      <c r="B19" s="124">
        <v>10939507.410494816</v>
      </c>
      <c r="C19" s="127">
        <f>(B19/$B$16)*$C$16*0.65</f>
        <v>3733.647244716572</v>
      </c>
      <c r="D19" s="133">
        <f t="shared" si="0"/>
        <v>54436.576827967619</v>
      </c>
      <c r="E19" s="131" t="s">
        <v>152</v>
      </c>
      <c r="G19" s="366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59"/>
      <c r="B20" s="134">
        <v>21879014.820989631</v>
      </c>
      <c r="C20" s="135">
        <f>(B20/$B$16)*$C$16*0.4</f>
        <v>4595.258147343473</v>
      </c>
      <c r="D20" s="136">
        <f t="shared" si="0"/>
        <v>66998.86378826783</v>
      </c>
      <c r="E20" s="131" t="s">
        <v>153</v>
      </c>
      <c r="G20" s="367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68" t="s">
        <v>74</v>
      </c>
      <c r="B21" s="369"/>
      <c r="C21" s="370"/>
      <c r="D21" s="33"/>
      <c r="G21" s="356" t="s">
        <v>75</v>
      </c>
      <c r="H21" s="356"/>
      <c r="I21" s="356"/>
      <c r="J21" s="356"/>
      <c r="K21" s="356"/>
      <c r="L21" s="356"/>
      <c r="M21" s="356"/>
      <c r="N21" s="356"/>
      <c r="O21" s="356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71"/>
      <c r="B22" s="372"/>
      <c r="C22" s="373"/>
      <c r="D22" s="33"/>
      <c r="G22" s="356"/>
      <c r="H22" s="356"/>
      <c r="I22" s="356"/>
      <c r="J22" s="356"/>
      <c r="K22" s="356"/>
      <c r="L22" s="356"/>
      <c r="M22" s="356"/>
      <c r="N22" s="356"/>
      <c r="O22" s="356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60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61"/>
      <c r="B26" s="103">
        <v>0</v>
      </c>
      <c r="C26" s="103">
        <v>20000000</v>
      </c>
      <c r="D26" s="26">
        <v>20</v>
      </c>
    </row>
    <row r="28" spans="1:25" x14ac:dyDescent="0.3">
      <c r="A28" s="336" t="s">
        <v>37</v>
      </c>
      <c r="B28" s="336"/>
      <c r="C28" s="336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9179.0562495034792</v>
      </c>
      <c r="D31" s="299">
        <f t="shared" ref="D31:D50" si="2">B31*$E$12</f>
        <v>830396.10377881257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17391.389236181065</v>
      </c>
      <c r="D32" s="299">
        <f t="shared" si="2"/>
        <v>1573336.241599645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24138.827754638471</v>
      </c>
      <c r="D33" s="299">
        <f t="shared" si="2"/>
        <v>2183752.6617536447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30033.539986075008</v>
      </c>
      <c r="D34" s="299">
        <f t="shared" si="2"/>
        <v>2717026.0110859354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35425.123264128131</v>
      </c>
      <c r="D35" s="299">
        <f t="shared" si="2"/>
        <v>3204783.0991347739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39976.918645787257</v>
      </c>
      <c r="D36" s="299">
        <f t="shared" si="2"/>
        <v>3616567.6058843201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43686.137041238318</v>
      </c>
      <c r="D37" s="299">
        <f t="shared" si="2"/>
        <v>3952127.2124412442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46899.154123351931</v>
      </c>
      <c r="D38" s="299">
        <f t="shared" si="2"/>
        <v>4242797.2763169548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49765.352765581381</v>
      </c>
      <c r="D39" s="299">
        <f t="shared" si="2"/>
        <v>4502091.9271469023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52312.029808294283</v>
      </c>
      <c r="D40" s="299">
        <f t="shared" si="2"/>
        <v>4732480.6116008339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54564.992033654358</v>
      </c>
      <c r="D41" s="299">
        <f t="shared" si="2"/>
        <v>4936297.9761584429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56549.81299528871</v>
      </c>
      <c r="D42" s="299">
        <f t="shared" si="2"/>
        <v>5115857.5679551307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58291.287630721868</v>
      </c>
      <c r="D43" s="299">
        <f t="shared" si="2"/>
        <v>5273402.4955364978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59814.048591145343</v>
      </c>
      <c r="D44" s="299">
        <f t="shared" si="2"/>
        <v>5411161.1859890744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61142.728527750667</v>
      </c>
      <c r="D45" s="299">
        <f t="shared" si="2"/>
        <v>5531362.0663993917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62301.960091729314</v>
      </c>
      <c r="D46" s="299">
        <f t="shared" si="2"/>
        <v>5636233.5638539754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63316.375934272823</v>
      </c>
      <c r="D47" s="299">
        <f t="shared" si="2"/>
        <v>5728004.1054393593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64210.608706572675</v>
      </c>
      <c r="D48" s="299">
        <f t="shared" si="2"/>
        <v>5808902.1182420691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65009.291059820411</v>
      </c>
      <c r="D49" s="299">
        <f t="shared" si="2"/>
        <v>5881156.029348637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65737.055645207511</v>
      </c>
      <c r="D50" s="299">
        <f t="shared" si="2"/>
        <v>5946994.2658455903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3" tint="0.79998168889431442"/>
  </sheetPr>
  <dimension ref="A1:R42"/>
  <sheetViews>
    <sheetView workbookViewId="0">
      <selection activeCell="A5" sqref="A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4" t="s">
        <v>111</v>
      </c>
      <c r="C4" s="374"/>
      <c r="D4" s="374"/>
      <c r="E4" s="374"/>
      <c r="F4" s="37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7" t="s">
        <v>8</v>
      </c>
      <c r="B7" s="351" t="s">
        <v>9</v>
      </c>
      <c r="C7" s="352"/>
      <c r="D7" s="376" t="s">
        <v>12</v>
      </c>
      <c r="E7" s="377"/>
      <c r="F7" s="378"/>
      <c r="G7" s="351" t="s">
        <v>143</v>
      </c>
      <c r="H7" s="351"/>
      <c r="I7" s="353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JJ_Optim_Scenario!G21</f>
        <v>18363200</v>
      </c>
      <c r="C9" s="80">
        <f>JJ_Optim_Scenario!H21</f>
        <v>27544800</v>
      </c>
      <c r="D9" s="95">
        <f>JJ_Optim_Scenario!I21</f>
        <v>25532603.20000172</v>
      </c>
      <c r="E9" s="118">
        <f>((($R$12/(1+EXP($P$12+$Q$12*D9)))-1) - ($F$12-$C$12))*$I$12</f>
        <v>151614.16932582762</v>
      </c>
      <c r="F9" s="145">
        <f>E9*$G$12</f>
        <v>2210534.5887705665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2018049.0519838764</v>
      </c>
      <c r="J9" s="123">
        <f>G9/I9</f>
        <v>11.374351865944334</v>
      </c>
      <c r="K9" s="1" t="s">
        <v>142</v>
      </c>
    </row>
    <row r="10" spans="1:18" ht="14.4" thickBot="1" x14ac:dyDescent="0.35"/>
    <row r="11" spans="1:18" ht="51.6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f>JJ_Optim_Scenario!$D$31</f>
        <v>14.58</v>
      </c>
      <c r="H12" s="98">
        <f>C12*G12</f>
        <v>1978496.8017817349</v>
      </c>
      <c r="I12" s="297">
        <f>JJ_Optim_Scenario!D21</f>
        <v>1</v>
      </c>
      <c r="K12" s="361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79" t="s">
        <v>119</v>
      </c>
      <c r="B13" s="380"/>
      <c r="C13" s="380"/>
      <c r="D13" s="380"/>
      <c r="E13" s="380"/>
      <c r="F13" s="381"/>
      <c r="G13" s="298" t="s">
        <v>267</v>
      </c>
      <c r="H13" s="298" t="s">
        <v>268</v>
      </c>
      <c r="K13" s="379" t="s">
        <v>120</v>
      </c>
      <c r="L13" s="380"/>
      <c r="M13" s="380"/>
      <c r="N13" s="380"/>
      <c r="O13" s="380"/>
      <c r="P13" s="380"/>
      <c r="Q13" s="380"/>
      <c r="R13" s="381"/>
    </row>
    <row r="14" spans="1:18" ht="33.6" customHeight="1" thickBot="1" x14ac:dyDescent="0.35">
      <c r="A14" s="371"/>
      <c r="B14" s="372"/>
      <c r="C14" s="372"/>
      <c r="D14" s="372"/>
      <c r="E14" s="372"/>
      <c r="F14" s="373"/>
      <c r="G14" s="184">
        <f>JJ_Optim_Scenario!$I$31</f>
        <v>104.31</v>
      </c>
      <c r="H14" s="184">
        <f>JJ_Optim_Scenario!$F$31</f>
        <v>1319</v>
      </c>
      <c r="K14" s="371"/>
      <c r="L14" s="372"/>
      <c r="M14" s="372"/>
      <c r="N14" s="372"/>
      <c r="O14" s="372"/>
      <c r="P14" s="372"/>
      <c r="Q14" s="372"/>
      <c r="R14" s="373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60000000</v>
      </c>
      <c r="D18" s="26">
        <v>20</v>
      </c>
    </row>
    <row r="20" spans="1:8" x14ac:dyDescent="0.3">
      <c r="A20" s="336" t="s">
        <v>37</v>
      </c>
      <c r="B20" s="336"/>
      <c r="C20" s="336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297254.23855530831</v>
      </c>
      <c r="D23" s="1">
        <f>(B23-B22)/A23</f>
        <v>6.7959359523390109E-3</v>
      </c>
      <c r="E23" s="299">
        <f t="shared" ref="E23:E42" si="2">B23*$H$14</f>
        <v>26891518.563405465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583886.53821244533</v>
      </c>
      <c r="D24" s="1">
        <f t="shared" ref="D24:D42" si="4">(B24-B23)/A24</f>
        <v>3.276546635312494E-3</v>
      </c>
      <c r="E24" s="299">
        <f t="shared" si="2"/>
        <v>52822108.635268539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860189.61231652321</v>
      </c>
      <c r="D25" s="1">
        <f t="shared" si="4"/>
        <v>2.1056475697613011E-3</v>
      </c>
      <c r="E25" s="299">
        <f t="shared" si="2"/>
        <v>77818250.93590495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1126455.0150630728</v>
      </c>
      <c r="D26" s="1">
        <f t="shared" si="4"/>
        <v>1.5218644418527063E-3</v>
      </c>
      <c r="E26" s="299">
        <f t="shared" si="2"/>
        <v>101906321.32154958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1382972.5018485775</v>
      </c>
      <c r="D27" s="1">
        <f t="shared" si="4"/>
        <v>1.1729194640398026E-3</v>
      </c>
      <c r="E27" s="299">
        <f t="shared" si="2"/>
        <v>125112532.91757707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1630029.4468531767</v>
      </c>
      <c r="D28" s="1">
        <f t="shared" si="4"/>
        <v>9.4138448790046902E-4</v>
      </c>
      <c r="E28" s="299">
        <f t="shared" si="2"/>
        <v>147462883.42931002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1867910.3155366876</v>
      </c>
      <c r="D29" s="1">
        <f t="shared" si="4"/>
        <v>7.7693144125517988E-4</v>
      </c>
      <c r="E29" s="299">
        <f t="shared" si="2"/>
        <v>168983107.42063725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2096896.1896097637</v>
      </c>
      <c r="D30" s="1">
        <f t="shared" si="4"/>
        <v>6.5439493047861222E-4</v>
      </c>
      <c r="E30" s="299">
        <f t="shared" si="2"/>
        <v>189698633.33986819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2317264.3419553088</v>
      </c>
      <c r="D31" s="1">
        <f t="shared" si="4"/>
        <v>5.5979310152300251E-4</v>
      </c>
      <c r="E31" s="299">
        <f t="shared" si="2"/>
        <v>209634545.06440687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2529287.8589213705</v>
      </c>
      <c r="D32" s="1">
        <f t="shared" si="4"/>
        <v>4.847359784317824E-4</v>
      </c>
      <c r="E32" s="299">
        <f t="shared" si="2"/>
        <v>228815547.7309525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2733235.3073775992</v>
      </c>
      <c r="D33" s="1">
        <f t="shared" si="4"/>
        <v>4.2388379360732597E-4</v>
      </c>
      <c r="E33" s="299">
        <f t="shared" si="2"/>
        <v>247265937.61529857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2929370.4439246543</v>
      </c>
      <c r="D34" s="1">
        <f t="shared" si="4"/>
        <v>3.7367614797106946E-4</v>
      </c>
      <c r="E34" s="299">
        <f t="shared" si="2"/>
        <v>265009575.82555684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3117951.963662724</v>
      </c>
      <c r="D35" s="1">
        <f t="shared" si="4"/>
        <v>3.3164770802657288E-4</v>
      </c>
      <c r="E35" s="299">
        <f t="shared" si="2"/>
        <v>282069865.57415175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3299233.2859603721</v>
      </c>
      <c r="D36" s="1">
        <f t="shared" si="4"/>
        <v>2.9603717143126277E-4</v>
      </c>
      <c r="E36" s="299">
        <f t="shared" si="2"/>
        <v>298469732.7971009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3473462.3747162502</v>
      </c>
      <c r="D37" s="1">
        <f t="shared" si="4"/>
        <v>2.6555264251772312E-4</v>
      </c>
      <c r="E37" s="299">
        <f t="shared" si="2"/>
        <v>314231609.89374036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3640881.5906692483</v>
      </c>
      <c r="D38" s="1">
        <f t="shared" si="4"/>
        <v>2.3922498850165478E-4</v>
      </c>
      <c r="E38" s="299">
        <f t="shared" si="2"/>
        <v>329377422.36575711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3801727.5733869057</v>
      </c>
      <c r="D39" s="1">
        <f t="shared" si="4"/>
        <v>2.1631294913480387E-4</v>
      </c>
      <c r="E39" s="299">
        <f t="shared" si="2"/>
        <v>343928578.14110625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3956231.1506453403</v>
      </c>
      <c r="D40" s="1">
        <f t="shared" si="4"/>
        <v>1.9623987356911379E-4</v>
      </c>
      <c r="E40" s="299">
        <f t="shared" si="2"/>
        <v>357905959.37593991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4104617.2730022375</v>
      </c>
      <c r="D41" s="1">
        <f t="shared" si="4"/>
        <v>1.7855043240788541E-4</v>
      </c>
      <c r="E41" s="299">
        <f t="shared" si="2"/>
        <v>371329916.535662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4247104.9714602269</v>
      </c>
      <c r="D42" s="1">
        <f t="shared" si="4"/>
        <v>1.6288031373798537E-4</v>
      </c>
      <c r="E42" s="299">
        <f t="shared" si="2"/>
        <v>384220264.56488615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3" tint="0.79998168889431442"/>
  </sheetPr>
  <dimension ref="A1:R42"/>
  <sheetViews>
    <sheetView workbookViewId="0">
      <selection activeCell="G12" sqref="G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4" t="s">
        <v>111</v>
      </c>
      <c r="C4" s="374"/>
      <c r="D4" s="374"/>
      <c r="E4" s="374"/>
      <c r="F4" s="37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57" t="s">
        <v>8</v>
      </c>
      <c r="B7" s="351" t="s">
        <v>9</v>
      </c>
      <c r="C7" s="352"/>
      <c r="D7" s="376" t="s">
        <v>12</v>
      </c>
      <c r="E7" s="377"/>
      <c r="F7" s="378"/>
      <c r="G7" s="351" t="s">
        <v>143</v>
      </c>
      <c r="H7" s="351"/>
      <c r="I7" s="353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JJ_Optim_Scenario!G22</f>
        <v>6255187.2000000002</v>
      </c>
      <c r="C9" s="80">
        <f>JJ_Optim_Scenario!H22</f>
        <v>9382780.7999999989</v>
      </c>
      <c r="D9" s="95">
        <f>JJ_Optim_Scenario!I22</f>
        <v>6255187.2000000011</v>
      </c>
      <c r="E9" s="118">
        <f>((($R$12/(1+EXP($P$12+$Q$12*D9)))-1) - ($F$12-$C$12))*$I$12</f>
        <v>26840.895159405656</v>
      </c>
      <c r="F9" s="145">
        <f>E9*$G$12</f>
        <v>391340.25142413448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478349.49312681123</v>
      </c>
      <c r="J9" s="123">
        <f>G9/I9</f>
        <v>16.345755796436425</v>
      </c>
      <c r="K9" s="1" t="s">
        <v>142</v>
      </c>
    </row>
    <row r="10" spans="1:18" ht="14.4" thickBot="1" x14ac:dyDescent="0.35"/>
    <row r="11" spans="1:18" ht="51.6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f>JJ_Optim_Scenario!$D$31</f>
        <v>14.58</v>
      </c>
      <c r="H12" s="98">
        <f>C12*G12</f>
        <v>435096.36</v>
      </c>
      <c r="I12" s="297">
        <f>JJ_Optim_Scenario!D22</f>
        <v>1</v>
      </c>
      <c r="K12" s="361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79" t="s">
        <v>119</v>
      </c>
      <c r="B13" s="380"/>
      <c r="C13" s="380"/>
      <c r="D13" s="380"/>
      <c r="E13" s="380"/>
      <c r="F13" s="381"/>
      <c r="G13" s="298" t="s">
        <v>267</v>
      </c>
      <c r="H13" s="298" t="s">
        <v>268</v>
      </c>
      <c r="K13" s="379" t="s">
        <v>120</v>
      </c>
      <c r="L13" s="380"/>
      <c r="M13" s="380"/>
      <c r="N13" s="380"/>
      <c r="O13" s="380"/>
      <c r="P13" s="380"/>
      <c r="Q13" s="380"/>
      <c r="R13" s="381"/>
    </row>
    <row r="14" spans="1:18" ht="33.6" customHeight="1" thickBot="1" x14ac:dyDescent="0.35">
      <c r="A14" s="371"/>
      <c r="B14" s="372"/>
      <c r="C14" s="372"/>
      <c r="D14" s="372"/>
      <c r="E14" s="372"/>
      <c r="F14" s="373"/>
      <c r="G14" s="184">
        <f>JJ_Optim_Scenario!$I$31</f>
        <v>104.31</v>
      </c>
      <c r="H14" s="184">
        <f>JJ_Optim_Scenario!$F$31</f>
        <v>1319</v>
      </c>
      <c r="K14" s="371"/>
      <c r="L14" s="372"/>
      <c r="M14" s="372"/>
      <c r="N14" s="372"/>
      <c r="O14" s="372"/>
      <c r="P14" s="372"/>
      <c r="Q14" s="372"/>
      <c r="R14" s="373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30000000</v>
      </c>
      <c r="D18" s="26">
        <v>20</v>
      </c>
    </row>
    <row r="20" spans="1:8" x14ac:dyDescent="0.3">
      <c r="A20" s="336" t="s">
        <v>37</v>
      </c>
      <c r="B20" s="336"/>
      <c r="C20" s="336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100538.91309705841</v>
      </c>
      <c r="D23" s="1">
        <f>(B23-B22)/A23</f>
        <v>4.5971153679496297E-3</v>
      </c>
      <c r="E23" s="299">
        <f t="shared" ref="E23:E42" si="2">B23*$H$14</f>
        <v>9095392.7554883435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196726.83717164566</v>
      </c>
      <c r="D24" s="1">
        <f t="shared" ref="D24:D42" si="4">(B24-B23)/A24</f>
        <v>2.1990837694235766E-3</v>
      </c>
      <c r="E24" s="299">
        <f t="shared" si="2"/>
        <v>17797167.231097437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288741.30899238476</v>
      </c>
      <c r="D25" s="1">
        <f t="shared" si="4"/>
        <v>1.4024458439374963E-3</v>
      </c>
      <c r="E25" s="299">
        <f t="shared" si="2"/>
        <v>26121384.537788443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376753.56349487905</v>
      </c>
      <c r="D26" s="1">
        <f t="shared" si="4"/>
        <v>1.0060842992969169E-3</v>
      </c>
      <c r="E26" s="299">
        <f t="shared" si="2"/>
        <v>34083535.682424247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460928.67296254874</v>
      </c>
      <c r="D27" s="1">
        <f t="shared" si="4"/>
        <v>7.6977694986437759E-4</v>
      </c>
      <c r="E27" s="299">
        <f t="shared" si="2"/>
        <v>41698554.158957601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541425.69145626714</v>
      </c>
      <c r="D28" s="1">
        <f t="shared" si="4"/>
        <v>6.1345083442858111E-4</v>
      </c>
      <c r="E28" s="299">
        <f t="shared" si="2"/>
        <v>48980829.014459282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618397.80342381413</v>
      </c>
      <c r="D29" s="1">
        <f t="shared" si="4"/>
        <v>5.0278994034585502E-4</v>
      </c>
      <c r="E29" s="299">
        <f t="shared" si="2"/>
        <v>55944218.293279201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691992.47551862395</v>
      </c>
      <c r="D30" s="1">
        <f t="shared" si="4"/>
        <v>4.2063712902840538E-4</v>
      </c>
      <c r="E30" s="299">
        <f t="shared" si="2"/>
        <v>62602062.771540806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762351.61074836389</v>
      </c>
      <c r="D31" s="1">
        <f t="shared" si="4"/>
        <v>3.574614399722605E-4</v>
      </c>
      <c r="E31" s="299">
        <f t="shared" si="2"/>
        <v>68967199.902406856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829611.70416189637</v>
      </c>
      <c r="D32" s="1">
        <f t="shared" si="4"/>
        <v>3.0754500874957691E-4</v>
      </c>
      <c r="E32" s="299">
        <f t="shared" si="2"/>
        <v>75051977.90051724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893903.99936124031</v>
      </c>
      <c r="D33" s="1">
        <f t="shared" si="4"/>
        <v>2.6724984494884581E-4</v>
      </c>
      <c r="E33" s="299">
        <f t="shared" si="2"/>
        <v>80868269.901061445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955354.64520199155</v>
      </c>
      <c r="D34" s="1">
        <f t="shared" si="4"/>
        <v>2.3415121871952176E-4</v>
      </c>
      <c r="E34" s="299">
        <f t="shared" si="2"/>
        <v>86427488.135900334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1014084.8521134729</v>
      </c>
      <c r="D35" s="1">
        <f t="shared" si="4"/>
        <v>2.0657102075720635E-4</v>
      </c>
      <c r="E35" s="299">
        <f t="shared" si="2"/>
        <v>91740598.075286061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1070211.0475348698</v>
      </c>
      <c r="D36" s="1">
        <f t="shared" si="4"/>
        <v>1.8331110922136299E-4</v>
      </c>
      <c r="E36" s="299">
        <f t="shared" si="2"/>
        <v>96818132.489608586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1123845.0300224621</v>
      </c>
      <c r="D37" s="1">
        <f t="shared" si="4"/>
        <v>1.63493316529774E-4</v>
      </c>
      <c r="E37" s="299">
        <f t="shared" si="2"/>
        <v>101670205.39092097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1175094.1216376177</v>
      </c>
      <c r="D38" s="1">
        <f t="shared" si="4"/>
        <v>1.4645945248958499E-4</v>
      </c>
      <c r="E38" s="299">
        <f t="shared" si="2"/>
        <v>106306525.81893127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1224061.3182753886</v>
      </c>
      <c r="D39" s="1">
        <f t="shared" si="4"/>
        <v>1.3170659952599774E-4</v>
      </c>
      <c r="E39" s="299">
        <f t="shared" si="2"/>
        <v>110736411.44068843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1270845.4376392283</v>
      </c>
      <c r="D40" s="1">
        <f t="shared" si="4"/>
        <v>1.1884397542000644E-4</v>
      </c>
      <c r="E40" s="299">
        <f t="shared" si="2"/>
        <v>114968801.93732113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1315541.2646095406</v>
      </c>
      <c r="D41" s="1">
        <f t="shared" si="4"/>
        <v>1.0756341773232348E-4</v>
      </c>
      <c r="E41" s="299">
        <f t="shared" si="2"/>
        <v>119012272.15500575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1358239.6937915403</v>
      </c>
      <c r="D42" s="1">
        <f t="shared" si="4"/>
        <v>9.7618722409692897E-5</v>
      </c>
      <c r="E42" s="299">
        <f t="shared" si="2"/>
        <v>122875045.00075731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3" tint="0.79998168889431442"/>
  </sheetPr>
  <dimension ref="A1:R42"/>
  <sheetViews>
    <sheetView workbookViewId="0">
      <selection activeCell="G12" sqref="G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74" t="s">
        <v>111</v>
      </c>
      <c r="C4" s="374"/>
      <c r="D4" s="374"/>
      <c r="E4" s="374"/>
      <c r="F4" s="37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57" t="s">
        <v>8</v>
      </c>
      <c r="B7" s="351" t="s">
        <v>9</v>
      </c>
      <c r="C7" s="352"/>
      <c r="D7" s="376" t="s">
        <v>12</v>
      </c>
      <c r="E7" s="377"/>
      <c r="F7" s="378"/>
      <c r="G7" s="351" t="s">
        <v>143</v>
      </c>
      <c r="H7" s="351"/>
      <c r="I7" s="353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JJ_Optim_Scenario!G23</f>
        <v>2828756</v>
      </c>
      <c r="C9" s="80">
        <f>JJ_Optim_Scenario!H23</f>
        <v>4243134</v>
      </c>
      <c r="D9" s="95">
        <f>JJ_Optim_Scenario!I23</f>
        <v>2828756</v>
      </c>
      <c r="E9" s="118">
        <f>((($R$12/(1+EXP($P$12+$Q$12*D9)))-1) - ($F$12-$C$12))*$I$12</f>
        <v>5828.7198185157031</v>
      </c>
      <c r="F9" s="145">
        <f>E9*$G$12</f>
        <v>84982.734953958949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105223.86</v>
      </c>
      <c r="J9" s="123">
        <f>G9/I9</f>
        <v>33.604022889865476</v>
      </c>
      <c r="K9" s="1" t="s">
        <v>142</v>
      </c>
    </row>
    <row r="10" spans="1:18" ht="14.4" thickBot="1" x14ac:dyDescent="0.35"/>
    <row r="11" spans="1:18" ht="61.8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184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f>JJ_Optim_Scenario!$D$31</f>
        <v>14.58</v>
      </c>
      <c r="H12" s="98">
        <f>C12*G12</f>
        <v>105223.86</v>
      </c>
      <c r="I12" s="297">
        <f>JJ_Optim_Scenario!D23</f>
        <v>1</v>
      </c>
      <c r="K12" s="361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379" t="s">
        <v>119</v>
      </c>
      <c r="B13" s="380"/>
      <c r="C13" s="380"/>
      <c r="D13" s="380"/>
      <c r="E13" s="380"/>
      <c r="F13" s="381"/>
      <c r="G13" s="298" t="s">
        <v>267</v>
      </c>
      <c r="H13" s="298" t="s">
        <v>268</v>
      </c>
      <c r="K13" s="379" t="s">
        <v>120</v>
      </c>
      <c r="L13" s="380"/>
      <c r="M13" s="380"/>
      <c r="N13" s="380"/>
      <c r="O13" s="380"/>
      <c r="P13" s="380"/>
      <c r="Q13" s="380"/>
      <c r="R13" s="381"/>
    </row>
    <row r="14" spans="1:18" ht="33.6" customHeight="1" thickBot="1" x14ac:dyDescent="0.35">
      <c r="A14" s="371"/>
      <c r="B14" s="372"/>
      <c r="C14" s="372"/>
      <c r="D14" s="372"/>
      <c r="E14" s="372"/>
      <c r="F14" s="373"/>
      <c r="G14" s="184">
        <f>JJ_Optim_Scenario!$I$31</f>
        <v>104.31</v>
      </c>
      <c r="H14" s="184">
        <f>JJ_Optim_Scenario!$F$31</f>
        <v>1319</v>
      </c>
      <c r="K14" s="371"/>
      <c r="L14" s="372"/>
      <c r="M14" s="372"/>
      <c r="N14" s="372"/>
      <c r="O14" s="372"/>
      <c r="P14" s="372"/>
      <c r="Q14" s="372"/>
      <c r="R14" s="373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20000000</v>
      </c>
      <c r="D18" s="26">
        <v>20</v>
      </c>
    </row>
    <row r="20" spans="1:8" x14ac:dyDescent="0.3">
      <c r="A20" s="336" t="s">
        <v>37</v>
      </c>
      <c r="B20" s="336"/>
      <c r="C20" s="336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30793.66007956121</v>
      </c>
      <c r="D23" s="1">
        <f>(B23-B22)/A23</f>
        <v>2.1120480164308099E-3</v>
      </c>
      <c r="E23" s="299">
        <f t="shared" ref="E23:E42" si="2">B23*$H$14</f>
        <v>2785791.3336722385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60759.784734371271</v>
      </c>
      <c r="D24" s="1">
        <f t="shared" ref="D24:D42" si="4">(B24-B23)/A24</f>
        <v>1.0276448784228415E-3</v>
      </c>
      <c r="E24" s="299">
        <f t="shared" si="2"/>
        <v>5496718.5229516942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89919.970506032609</v>
      </c>
      <c r="D25" s="1">
        <f t="shared" si="4"/>
        <v>6.6667091384685286E-4</v>
      </c>
      <c r="E25" s="299">
        <f t="shared" si="2"/>
        <v>8134735.329043691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118295.28493133298</v>
      </c>
      <c r="D26" s="1">
        <f t="shared" si="4"/>
        <v>4.8654517190158369E-4</v>
      </c>
      <c r="E26" s="299">
        <f t="shared" si="2"/>
        <v>10701747.655996446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145906.27761678849</v>
      </c>
      <c r="D27" s="1">
        <f t="shared" si="4"/>
        <v>3.7875161434095352E-4</v>
      </c>
      <c r="E27" s="299">
        <f t="shared" si="2"/>
        <v>13199614.552575035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172772.99118774696</v>
      </c>
      <c r="D28" s="1">
        <f t="shared" si="4"/>
        <v>3.0711835357748592E-4</v>
      </c>
      <c r="E28" s="299">
        <f t="shared" si="2"/>
        <v>15630149.202787258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198914.9721062124</v>
      </c>
      <c r="D29" s="1">
        <f t="shared" si="4"/>
        <v>2.5614325806844445E-4</v>
      </c>
      <c r="E29" s="299">
        <f t="shared" si="2"/>
        <v>17995119.904533207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224351.28135324939</v>
      </c>
      <c r="D30" s="1">
        <f t="shared" si="4"/>
        <v>2.180753536268603E-4</v>
      </c>
      <c r="E30" s="299">
        <f t="shared" si="2"/>
        <v>20296251.036003835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249100.50497117388</v>
      </c>
      <c r="D31" s="1">
        <f t="shared" si="4"/>
        <v>1.886086238220127E-4</v>
      </c>
      <c r="E31" s="299">
        <f t="shared" si="2"/>
        <v>22535224.009394951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273180.76446186443</v>
      </c>
      <c r="D32" s="1">
        <f t="shared" si="4"/>
        <v>1.6515953011447563E-4</v>
      </c>
      <c r="E32" s="299">
        <f t="shared" si="2"/>
        <v>24713678.211604882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296609.72703808395</v>
      </c>
      <c r="D33" s="1">
        <f t="shared" si="4"/>
        <v>1.460840664435686E-4</v>
      </c>
      <c r="E33" s="299">
        <f t="shared" si="2"/>
        <v>26833211.93163462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319404.61572463508</v>
      </c>
      <c r="D34" s="1">
        <f t="shared" si="4"/>
        <v>1.3028628650292134E-4</v>
      </c>
      <c r="E34" s="299">
        <f t="shared" si="2"/>
        <v>28895383.274402857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341582.21930686373</v>
      </c>
      <c r="D35" s="1">
        <f t="shared" si="4"/>
        <v>1.1700751072189842E-4</v>
      </c>
      <c r="E35" s="299">
        <f t="shared" si="2"/>
        <v>30901711.060751252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363158.90212475957</v>
      </c>
      <c r="D36" s="1">
        <f t="shared" si="4"/>
        <v>1.0570587310354624E-4</v>
      </c>
      <c r="E36" s="299">
        <f t="shared" si="2"/>
        <v>32853675.713481337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384150.61371045368</v>
      </c>
      <c r="D37" s="1">
        <f t="shared" si="4"/>
        <v>9.5984049317302799E-5</v>
      </c>
      <c r="E37" s="299">
        <f t="shared" si="2"/>
        <v>34752720.129224174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404572.89826786373</v>
      </c>
      <c r="D38" s="1">
        <f t="shared" si="4"/>
        <v>8.7544086751586289E-5</v>
      </c>
      <c r="E38" s="299">
        <f t="shared" si="2"/>
        <v>36600250.536029652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424440.90399361809</v>
      </c>
      <c r="D39" s="1">
        <f t="shared" si="4"/>
        <v>8.0158176897258005E-5</v>
      </c>
      <c r="E39" s="299">
        <f t="shared" si="2"/>
        <v>38397637.336596861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443769.39223802311</v>
      </c>
      <c r="D40" s="1">
        <f t="shared" si="4"/>
        <v>7.3649170265222588E-5</v>
      </c>
      <c r="E40" s="299">
        <f t="shared" si="2"/>
        <v>40146215.93703378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462572.74650588329</v>
      </c>
      <c r="D41" s="1">
        <f t="shared" si="4"/>
        <v>6.7877244487257778E-5</v>
      </c>
      <c r="E41" s="299">
        <f t="shared" si="2"/>
        <v>41847287.561128944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480864.98129671277</v>
      </c>
      <c r="D42" s="1">
        <f t="shared" si="4"/>
        <v>6.2730571985011917E-5</v>
      </c>
      <c r="E42" s="299">
        <f t="shared" si="2"/>
        <v>43502120.050093561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3" tint="0.79998168889431442"/>
  </sheetPr>
  <dimension ref="A1:R42"/>
  <sheetViews>
    <sheetView workbookViewId="0">
      <selection activeCell="E15" sqref="E1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33203125" style="1" customWidth="1"/>
    <col min="15" max="15" width="11.21875" style="1" customWidth="1"/>
    <col min="16" max="16" width="8.88671875" style="1"/>
    <col min="17" max="17" width="10.33203125" style="1" customWidth="1"/>
    <col min="18" max="18" width="12.10937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74" t="s">
        <v>111</v>
      </c>
      <c r="C4" s="374"/>
      <c r="D4" s="374"/>
      <c r="E4" s="374"/>
      <c r="F4" s="375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57" t="s">
        <v>8</v>
      </c>
      <c r="B7" s="351" t="s">
        <v>9</v>
      </c>
      <c r="C7" s="352"/>
      <c r="D7" s="376" t="s">
        <v>12</v>
      </c>
      <c r="E7" s="377"/>
      <c r="F7" s="378"/>
      <c r="G7" s="351" t="s">
        <v>143</v>
      </c>
      <c r="H7" s="351"/>
      <c r="I7" s="353"/>
      <c r="J7" s="1" t="s">
        <v>144</v>
      </c>
    </row>
    <row r="8" spans="1:18" ht="28.2" customHeight="1" x14ac:dyDescent="0.3">
      <c r="A8" s="358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59"/>
      <c r="B9" s="80">
        <f>JJ_Optim_Scenario!G24</f>
        <v>11916244</v>
      </c>
      <c r="C9" s="184">
        <f>JJ_Optim_Scenario!H24</f>
        <v>17874366</v>
      </c>
      <c r="D9" s="184">
        <f>JJ_Optim_Scenario!I24</f>
        <v>11916244</v>
      </c>
      <c r="E9" s="118">
        <f>((($R$12/(1+EXP($P$12+$Q$12*D9)))-1) - ($F$12-$C$12))*$I$12</f>
        <v>296573.45688100718</v>
      </c>
      <c r="F9" s="145">
        <f>E9*$G$12</f>
        <v>296573.45688100718</v>
      </c>
      <c r="G9" s="80">
        <f>JJ_Optim_Scenario!E24</f>
        <v>14895305</v>
      </c>
      <c r="H9" s="121">
        <f>((($R$12/(1+EXP($P$12+$Q$12*G9)))-1) - ($F$12-$C$12))*$I$12</f>
        <v>357940.73004525341</v>
      </c>
      <c r="I9" s="146">
        <f>H9*$G$12</f>
        <v>357940.73004525341</v>
      </c>
      <c r="J9" s="123">
        <f>G9/I9</f>
        <v>41.6138867407373</v>
      </c>
      <c r="K9" s="1" t="s">
        <v>142</v>
      </c>
    </row>
    <row r="10" spans="1:18" ht="14.4" thickBot="1" x14ac:dyDescent="0.35"/>
    <row r="11" spans="1:18" ht="61.8" customHeight="1" x14ac:dyDescent="0.3">
      <c r="A11" s="357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60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59"/>
      <c r="B12" s="80">
        <v>14895305</v>
      </c>
      <c r="C12" s="86">
        <v>357940.73004525516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357940.73004525516</v>
      </c>
      <c r="I12" s="297">
        <f>JJ_Optim_Scenario!D24</f>
        <v>1</v>
      </c>
      <c r="K12" s="361"/>
      <c r="L12" s="98">
        <f>F12-C12</f>
        <v>14291059.269954745</v>
      </c>
      <c r="M12" s="98">
        <f>L12+E12</f>
        <v>15389734.269954745</v>
      </c>
      <c r="N12" s="99">
        <f>B12</f>
        <v>14895305</v>
      </c>
      <c r="O12" s="98">
        <f>F12</f>
        <v>14649000</v>
      </c>
      <c r="P12" s="24">
        <f>LN((($M$12+1)/($L$12+1))-1)</f>
        <v>-2.5655292775253753</v>
      </c>
      <c r="Q12" s="100">
        <f>(LN((($M$12+1)/($O$12+1))-1)-$P$12)/$N$12</f>
        <v>-2.8126728021741543E-8</v>
      </c>
      <c r="R12" s="101">
        <f>M12+1</f>
        <v>15389735.269954745</v>
      </c>
    </row>
    <row r="13" spans="1:18" ht="34.200000000000003" customHeight="1" x14ac:dyDescent="0.3">
      <c r="A13" s="379" t="s">
        <v>119</v>
      </c>
      <c r="B13" s="380"/>
      <c r="C13" s="380"/>
      <c r="D13" s="380"/>
      <c r="E13" s="380"/>
      <c r="F13" s="381"/>
      <c r="G13" s="298" t="s">
        <v>267</v>
      </c>
      <c r="H13" s="298" t="s">
        <v>268</v>
      </c>
      <c r="K13" s="379" t="s">
        <v>120</v>
      </c>
      <c r="L13" s="380"/>
      <c r="M13" s="380"/>
      <c r="N13" s="380"/>
      <c r="O13" s="380"/>
      <c r="P13" s="380"/>
      <c r="Q13" s="380"/>
      <c r="R13" s="381"/>
    </row>
    <row r="14" spans="1:18" ht="33.6" customHeight="1" thickBot="1" x14ac:dyDescent="0.35">
      <c r="A14" s="371"/>
      <c r="B14" s="372"/>
      <c r="C14" s="372"/>
      <c r="D14" s="372"/>
      <c r="E14" s="372"/>
      <c r="F14" s="373"/>
      <c r="G14" s="184">
        <f>JJ_Optim_Scenario!$I$31</f>
        <v>104.31</v>
      </c>
      <c r="H14" s="184">
        <f>JJ_Optim_Scenario!$F$31</f>
        <v>1319</v>
      </c>
      <c r="K14" s="371"/>
      <c r="L14" s="372"/>
      <c r="M14" s="372"/>
      <c r="N14" s="372"/>
      <c r="O14" s="372"/>
      <c r="P14" s="372"/>
      <c r="Q14" s="372"/>
      <c r="R14" s="373"/>
    </row>
    <row r="16" spans="1:18" ht="14.4" thickBot="1" x14ac:dyDescent="0.35"/>
    <row r="17" spans="1:8" ht="42.6" customHeight="1" x14ac:dyDescent="0.3">
      <c r="A17" s="360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61"/>
      <c r="B18" s="102">
        <v>0</v>
      </c>
      <c r="C18" s="103">
        <v>50000000</v>
      </c>
      <c r="D18" s="26">
        <v>20</v>
      </c>
    </row>
    <row r="20" spans="1:8" x14ac:dyDescent="0.3">
      <c r="A20" s="336" t="s">
        <v>37</v>
      </c>
      <c r="B20" s="336"/>
      <c r="C20" s="336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-1.862645149230957E-9</v>
      </c>
      <c r="C22" s="106">
        <f>B22*$G$12</f>
        <v>-1.862645149230957E-9</v>
      </c>
      <c r="E22" s="299">
        <f>B22*$G$14</f>
        <v>-1.9429251551628113E-7</v>
      </c>
    </row>
    <row r="23" spans="1:8" x14ac:dyDescent="0.3">
      <c r="A23" s="122">
        <f>A22+(($C$18-$B$18)/$D$18)</f>
        <v>2500000</v>
      </c>
      <c r="B23" s="106">
        <f t="shared" si="0"/>
        <v>69613.343456786126</v>
      </c>
      <c r="C23" s="106">
        <f t="shared" ref="C23:C42" si="1">B23*$G$12</f>
        <v>69613.343456786126</v>
      </c>
      <c r="D23" s="1">
        <f>(B23-B22)/A23</f>
        <v>2.7845337382715194E-2</v>
      </c>
      <c r="E23" s="299">
        <f t="shared" ref="E23:E42" si="2">B23*$G$14</f>
        <v>7261367.8559773611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135113.29644636251</v>
      </c>
      <c r="C24" s="106">
        <f t="shared" si="1"/>
        <v>135113.29644636251</v>
      </c>
      <c r="D24" s="1">
        <f t="shared" ref="D24:D42" si="4">(B24-B23)/A24</f>
        <v>1.3099990597915277E-2</v>
      </c>
      <c r="E24" s="299">
        <f t="shared" si="2"/>
        <v>14093667.952320075</v>
      </c>
    </row>
    <row r="25" spans="1:8" x14ac:dyDescent="0.3">
      <c r="A25" s="122">
        <f t="shared" si="3"/>
        <v>7500000</v>
      </c>
      <c r="B25" s="106">
        <f t="shared" si="0"/>
        <v>196706.01895291917</v>
      </c>
      <c r="C25" s="106">
        <f t="shared" si="1"/>
        <v>196706.01895291917</v>
      </c>
      <c r="D25" s="1">
        <f t="shared" si="4"/>
        <v>8.2123630008742211E-3</v>
      </c>
      <c r="E25" s="299">
        <f t="shared" si="2"/>
        <v>20518404.836978998</v>
      </c>
    </row>
    <row r="26" spans="1:8" x14ac:dyDescent="0.3">
      <c r="A26" s="122">
        <f t="shared" si="3"/>
        <v>10000000</v>
      </c>
      <c r="B26" s="106">
        <f t="shared" si="0"/>
        <v>254591.97913881578</v>
      </c>
      <c r="C26" s="106">
        <f t="shared" si="1"/>
        <v>254591.97913881578</v>
      </c>
      <c r="D26" s="1">
        <f t="shared" si="4"/>
        <v>5.7885960185896602E-3</v>
      </c>
      <c r="E26" s="299">
        <f t="shared" si="2"/>
        <v>26556489.343969874</v>
      </c>
    </row>
    <row r="27" spans="1:8" x14ac:dyDescent="0.3">
      <c r="A27" s="122">
        <f t="shared" si="3"/>
        <v>12500000</v>
      </c>
      <c r="B27" s="106">
        <f t="shared" si="0"/>
        <v>308965.47104606405</v>
      </c>
      <c r="C27" s="106">
        <f t="shared" si="1"/>
        <v>308965.47104606405</v>
      </c>
      <c r="D27" s="1">
        <f t="shared" si="4"/>
        <v>4.3498793525798621E-3</v>
      </c>
      <c r="E27" s="299">
        <f t="shared" si="2"/>
        <v>32228188.284814943</v>
      </c>
    </row>
    <row r="28" spans="1:8" x14ac:dyDescent="0.3">
      <c r="A28" s="122">
        <f t="shared" si="3"/>
        <v>15000000</v>
      </c>
      <c r="B28" s="106">
        <f t="shared" si="0"/>
        <v>360014.24244978279</v>
      </c>
      <c r="C28" s="106">
        <f t="shared" si="1"/>
        <v>360014.24244978279</v>
      </c>
      <c r="D28" s="1">
        <f t="shared" si="4"/>
        <v>3.4032514269145826E-3</v>
      </c>
      <c r="E28" s="299">
        <f t="shared" si="2"/>
        <v>37553085.629936844</v>
      </c>
    </row>
    <row r="29" spans="1:8" x14ac:dyDescent="0.3">
      <c r="A29" s="122">
        <f t="shared" si="3"/>
        <v>17500000</v>
      </c>
      <c r="B29" s="106">
        <f t="shared" si="0"/>
        <v>407919.22098019347</v>
      </c>
      <c r="C29" s="106">
        <f t="shared" si="1"/>
        <v>407919.22098019347</v>
      </c>
      <c r="D29" s="1">
        <f t="shared" si="4"/>
        <v>2.7374273445948958E-3</v>
      </c>
      <c r="E29" s="299">
        <f t="shared" si="2"/>
        <v>42550053.940443978</v>
      </c>
    </row>
    <row r="30" spans="1:8" x14ac:dyDescent="0.3">
      <c r="A30" s="122">
        <f t="shared" si="3"/>
        <v>20000000</v>
      </c>
      <c r="B30" s="106">
        <f t="shared" si="0"/>
        <v>452854.32718004286</v>
      </c>
      <c r="C30" s="106">
        <f t="shared" si="1"/>
        <v>452854.32718004286</v>
      </c>
      <c r="D30" s="1">
        <f t="shared" si="4"/>
        <v>2.2467553099924696E-3</v>
      </c>
      <c r="E30" s="299">
        <f t="shared" si="2"/>
        <v>47237234.868150271</v>
      </c>
    </row>
    <row r="31" spans="1:8" x14ac:dyDescent="0.3">
      <c r="A31" s="122">
        <f t="shared" si="3"/>
        <v>22500000</v>
      </c>
      <c r="B31" s="106">
        <f t="shared" si="0"/>
        <v>494986.36381567456</v>
      </c>
      <c r="C31" s="106">
        <f t="shared" si="1"/>
        <v>494986.36381567456</v>
      </c>
      <c r="D31" s="1">
        <f t="shared" si="4"/>
        <v>1.872534961583631E-3</v>
      </c>
      <c r="E31" s="299">
        <f t="shared" si="2"/>
        <v>51632027.609613016</v>
      </c>
    </row>
    <row r="32" spans="1:8" x14ac:dyDescent="0.3">
      <c r="A32" s="122">
        <f t="shared" si="3"/>
        <v>25000000</v>
      </c>
      <c r="B32" s="106">
        <f t="shared" si="0"/>
        <v>534474.97147820704</v>
      </c>
      <c r="C32" s="106">
        <f t="shared" si="1"/>
        <v>534474.97147820704</v>
      </c>
      <c r="D32" s="1">
        <f t="shared" si="4"/>
        <v>1.5795443065012992E-3</v>
      </c>
      <c r="E32" s="299">
        <f t="shared" si="2"/>
        <v>55751084.274891779</v>
      </c>
    </row>
    <row r="33" spans="1:5" x14ac:dyDescent="0.3">
      <c r="A33" s="122">
        <f t="shared" si="3"/>
        <v>27500000</v>
      </c>
      <c r="B33" s="106">
        <f t="shared" si="0"/>
        <v>571472.64126765914</v>
      </c>
      <c r="C33" s="106">
        <f t="shared" si="1"/>
        <v>571472.64126765914</v>
      </c>
      <c r="D33" s="1">
        <f t="shared" si="4"/>
        <v>1.3453698105255311E-3</v>
      </c>
      <c r="E33" s="299">
        <f t="shared" si="2"/>
        <v>59610311.210629523</v>
      </c>
    </row>
    <row r="34" spans="1:5" x14ac:dyDescent="0.3">
      <c r="A34" s="122">
        <f>A33+(($C$18-$B$18)/$D$18)</f>
        <v>30000000</v>
      </c>
      <c r="B34" s="106">
        <f t="shared" si="0"/>
        <v>606124.7761241179</v>
      </c>
      <c r="C34" s="106">
        <f t="shared" si="1"/>
        <v>606124.7761241179</v>
      </c>
      <c r="D34" s="1">
        <f t="shared" si="4"/>
        <v>1.1550711618819585E-3</v>
      </c>
      <c r="E34" s="299">
        <f t="shared" si="2"/>
        <v>63224875.397506736</v>
      </c>
    </row>
    <row r="35" spans="1:5" x14ac:dyDescent="0.3">
      <c r="A35" s="122">
        <f t="shared" si="3"/>
        <v>32500000</v>
      </c>
      <c r="B35" s="106">
        <f t="shared" si="0"/>
        <v>638569.79313788004</v>
      </c>
      <c r="C35" s="106">
        <f t="shared" si="1"/>
        <v>638569.79313788004</v>
      </c>
      <c r="D35" s="1">
        <f t="shared" si="4"/>
        <v>9.9830821580806613E-4</v>
      </c>
      <c r="E35" s="299">
        <f t="shared" si="2"/>
        <v>66609215.122212268</v>
      </c>
    </row>
    <row r="36" spans="1:5" x14ac:dyDescent="0.3">
      <c r="A36" s="122">
        <f t="shared" si="3"/>
        <v>35000000</v>
      </c>
      <c r="B36" s="106">
        <f t="shared" si="0"/>
        <v>668939.25991971605</v>
      </c>
      <c r="C36" s="106">
        <f t="shared" si="1"/>
        <v>668939.25991971605</v>
      </c>
      <c r="D36" s="1">
        <f t="shared" si="4"/>
        <v>8.6769905090960009E-4</v>
      </c>
      <c r="E36" s="299">
        <f t="shared" si="2"/>
        <v>69777054.202225581</v>
      </c>
    </row>
    <row r="37" spans="1:5" x14ac:dyDescent="0.3">
      <c r="A37" s="122">
        <f t="shared" si="3"/>
        <v>37500000</v>
      </c>
      <c r="B37" s="106">
        <f t="shared" si="0"/>
        <v>697358.05883310176</v>
      </c>
      <c r="C37" s="106">
        <f t="shared" si="1"/>
        <v>697358.05883310176</v>
      </c>
      <c r="D37" s="1">
        <f t="shared" si="4"/>
        <v>7.5783463769028587E-4</v>
      </c>
      <c r="E37" s="299">
        <f t="shared" si="2"/>
        <v>72741419.116880849</v>
      </c>
    </row>
    <row r="38" spans="1:5" x14ac:dyDescent="0.3">
      <c r="A38" s="122">
        <f t="shared" si="3"/>
        <v>40000000</v>
      </c>
      <c r="B38" s="106">
        <f t="shared" si="0"/>
        <v>723944.57357360981</v>
      </c>
      <c r="C38" s="106">
        <f t="shared" si="1"/>
        <v>723944.57357360981</v>
      </c>
      <c r="D38" s="1">
        <f t="shared" si="4"/>
        <v>6.6466286851270121E-4</v>
      </c>
      <c r="E38" s="299">
        <f t="shared" si="2"/>
        <v>75514658.469463244</v>
      </c>
    </row>
    <row r="39" spans="1:5" x14ac:dyDescent="0.3">
      <c r="A39" s="122">
        <f t="shared" si="3"/>
        <v>42500000</v>
      </c>
      <c r="B39" s="106">
        <f t="shared" si="0"/>
        <v>748810.89322213084</v>
      </c>
      <c r="C39" s="106">
        <f t="shared" si="1"/>
        <v>748810.89322213084</v>
      </c>
      <c r="D39" s="1">
        <f t="shared" si="4"/>
        <v>5.8508987408284756E-4</v>
      </c>
      <c r="E39" s="299">
        <f t="shared" si="2"/>
        <v>78108464.272000462</v>
      </c>
    </row>
    <row r="40" spans="1:5" x14ac:dyDescent="0.3">
      <c r="A40" s="122">
        <f t="shared" si="3"/>
        <v>45000000</v>
      </c>
      <c r="B40" s="106">
        <f t="shared" si="0"/>
        <v>772063.02949445881</v>
      </c>
      <c r="C40" s="106">
        <f t="shared" si="1"/>
        <v>772063.02949445881</v>
      </c>
      <c r="D40" s="1">
        <f t="shared" si="4"/>
        <v>5.1671413938506614E-4</v>
      </c>
      <c r="E40" s="299">
        <f t="shared" si="2"/>
        <v>80533894.606566995</v>
      </c>
    </row>
    <row r="41" spans="1:5" x14ac:dyDescent="0.3">
      <c r="A41" s="122">
        <f>A40+(($C$18-$B$18)/$D$18)</f>
        <v>47500000</v>
      </c>
      <c r="B41" s="106">
        <f t="shared" si="0"/>
        <v>793801.14345869608</v>
      </c>
      <c r="C41" s="106">
        <f t="shared" si="1"/>
        <v>793801.14345869608</v>
      </c>
      <c r="D41" s="1">
        <f t="shared" si="4"/>
        <v>4.5764450451025838E-4</v>
      </c>
      <c r="E41" s="299">
        <f t="shared" si="2"/>
        <v>82801397.274176598</v>
      </c>
    </row>
    <row r="42" spans="1:5" x14ac:dyDescent="0.3">
      <c r="A42" s="122">
        <f t="shared" si="3"/>
        <v>50000000</v>
      </c>
      <c r="B42" s="106">
        <f t="shared" si="0"/>
        <v>814119.77849387564</v>
      </c>
      <c r="C42" s="106">
        <f t="shared" si="1"/>
        <v>814119.77849387564</v>
      </c>
      <c r="D42" s="1">
        <f t="shared" si="4"/>
        <v>4.0637270070359113E-4</v>
      </c>
      <c r="E42" s="299">
        <f t="shared" si="2"/>
        <v>84920834.094696164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0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17" t="s">
        <v>105</v>
      </c>
      <c r="G2" s="318"/>
      <c r="H2" s="318"/>
      <c r="I2" s="318"/>
      <c r="J2" s="318"/>
      <c r="K2" s="318"/>
      <c r="L2" s="319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20" t="s">
        <v>72</v>
      </c>
      <c r="G3" s="321"/>
      <c r="H3" s="321"/>
      <c r="I3" s="321"/>
      <c r="J3" s="321"/>
      <c r="K3" s="321"/>
      <c r="L3" s="322"/>
    </row>
    <row r="4" spans="1:12" ht="14.4" thickBot="1" x14ac:dyDescent="0.35">
      <c r="A4" s="29" t="s">
        <v>38</v>
      </c>
      <c r="B4" s="382" t="s">
        <v>39</v>
      </c>
      <c r="C4" s="382"/>
      <c r="D4" s="383"/>
    </row>
    <row r="6" spans="1:12" ht="14.4" thickBot="1" x14ac:dyDescent="0.35"/>
    <row r="7" spans="1:12" ht="27.6" customHeight="1" x14ac:dyDescent="0.3">
      <c r="A7" s="357" t="s">
        <v>8</v>
      </c>
      <c r="B7" s="351" t="s">
        <v>9</v>
      </c>
      <c r="C7" s="352"/>
      <c r="D7" s="376" t="s">
        <v>12</v>
      </c>
      <c r="E7" s="378"/>
      <c r="F7" s="377" t="s">
        <v>24</v>
      </c>
      <c r="G7" s="390"/>
    </row>
    <row r="8" spans="1:12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9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57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57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59"/>
      <c r="B12" s="12">
        <v>20</v>
      </c>
      <c r="C12" s="12">
        <v>30</v>
      </c>
      <c r="D12" s="12">
        <v>0</v>
      </c>
      <c r="E12" s="14">
        <v>70</v>
      </c>
      <c r="G12" s="359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79" t="s">
        <v>30</v>
      </c>
      <c r="B13" s="380"/>
      <c r="C13" s="380"/>
      <c r="D13" s="380"/>
      <c r="E13" s="381"/>
      <c r="G13" s="384" t="s">
        <v>29</v>
      </c>
      <c r="H13" s="385"/>
      <c r="I13" s="385"/>
      <c r="J13" s="386"/>
    </row>
    <row r="14" spans="1:12" ht="33.6" customHeight="1" x14ac:dyDescent="0.3">
      <c r="A14" s="371"/>
      <c r="B14" s="372"/>
      <c r="C14" s="372"/>
      <c r="D14" s="372"/>
      <c r="E14" s="373"/>
      <c r="G14" s="387"/>
      <c r="H14" s="388"/>
      <c r="I14" s="388"/>
      <c r="J14" s="389"/>
    </row>
    <row r="16" spans="1:12" ht="14.4" thickBot="1" x14ac:dyDescent="0.35"/>
    <row r="17" spans="1:4" ht="16.8" customHeight="1" x14ac:dyDescent="0.3">
      <c r="A17" s="360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61"/>
      <c r="B18" s="12">
        <v>0</v>
      </c>
      <c r="C18" s="12">
        <v>100</v>
      </c>
      <c r="D18" s="26">
        <v>20</v>
      </c>
    </row>
    <row r="20" spans="1:4" x14ac:dyDescent="0.3">
      <c r="A20" s="336" t="s">
        <v>37</v>
      </c>
      <c r="B20" s="336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topLeftCell="A19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17" t="s">
        <v>105</v>
      </c>
      <c r="G2" s="318"/>
      <c r="H2" s="318"/>
      <c r="I2" s="318"/>
      <c r="J2" s="318"/>
      <c r="K2" s="318"/>
      <c r="L2" s="319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20" t="s">
        <v>72</v>
      </c>
      <c r="G3" s="321"/>
      <c r="H3" s="321"/>
      <c r="I3" s="321"/>
      <c r="J3" s="321"/>
      <c r="K3" s="321"/>
      <c r="L3" s="322"/>
    </row>
    <row r="4" spans="1:12" ht="31.8" customHeight="1" thickBot="1" x14ac:dyDescent="0.35">
      <c r="A4" s="29" t="s">
        <v>38</v>
      </c>
      <c r="B4" s="391" t="s">
        <v>41</v>
      </c>
      <c r="C4" s="392"/>
      <c r="D4" s="393"/>
    </row>
    <row r="6" spans="1:12" ht="14.4" thickBot="1" x14ac:dyDescent="0.35"/>
    <row r="7" spans="1:12" ht="27.6" customHeight="1" x14ac:dyDescent="0.3">
      <c r="A7" s="357" t="s">
        <v>8</v>
      </c>
      <c r="B7" s="351" t="s">
        <v>9</v>
      </c>
      <c r="C7" s="352"/>
      <c r="D7" s="376" t="s">
        <v>12</v>
      </c>
      <c r="E7" s="378"/>
      <c r="F7" s="377" t="s">
        <v>24</v>
      </c>
      <c r="G7" s="390"/>
      <c r="H7" s="1" t="s">
        <v>54</v>
      </c>
    </row>
    <row r="8" spans="1:12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59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57" t="s">
        <v>42</v>
      </c>
      <c r="B11" s="325" t="s">
        <v>47</v>
      </c>
      <c r="C11" s="394" t="s">
        <v>46</v>
      </c>
      <c r="D11" s="377"/>
      <c r="E11" s="377"/>
      <c r="F11" s="3" t="s">
        <v>48</v>
      </c>
      <c r="G11" s="33"/>
      <c r="H11" s="32"/>
      <c r="I11" s="32"/>
      <c r="J11" s="32"/>
    </row>
    <row r="12" spans="1:12" x14ac:dyDescent="0.3">
      <c r="A12" s="395"/>
      <c r="B12" s="326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396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56" t="s">
        <v>52</v>
      </c>
      <c r="B14" s="356"/>
      <c r="C14" s="356"/>
      <c r="D14" s="356"/>
      <c r="E14" s="356"/>
      <c r="F14" s="356"/>
      <c r="G14" s="38"/>
      <c r="H14" s="39"/>
      <c r="I14" s="39"/>
      <c r="J14" s="39"/>
    </row>
    <row r="15" spans="1:12" ht="30.6" customHeight="1" x14ac:dyDescent="0.3">
      <c r="A15" s="356"/>
      <c r="B15" s="356"/>
      <c r="C15" s="356"/>
      <c r="D15" s="356"/>
      <c r="E15" s="356"/>
      <c r="F15" s="356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60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61"/>
      <c r="B19" s="12">
        <v>0</v>
      </c>
      <c r="C19" s="12">
        <v>20000000</v>
      </c>
      <c r="D19" s="26">
        <v>20</v>
      </c>
    </row>
    <row r="21" spans="1:4" x14ac:dyDescent="0.3">
      <c r="A21" s="336" t="s">
        <v>37</v>
      </c>
      <c r="B21" s="336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topLeftCell="A16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17" t="s">
        <v>105</v>
      </c>
      <c r="G2" s="318"/>
      <c r="H2" s="318"/>
      <c r="I2" s="318"/>
      <c r="J2" s="318"/>
      <c r="K2" s="318"/>
      <c r="L2" s="319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20" t="s">
        <v>72</v>
      </c>
      <c r="G3" s="321"/>
      <c r="H3" s="321"/>
      <c r="I3" s="321"/>
      <c r="J3" s="321"/>
      <c r="K3" s="321"/>
      <c r="L3" s="322"/>
    </row>
    <row r="4" spans="1:14" ht="14.4" thickBot="1" x14ac:dyDescent="0.35">
      <c r="A4" s="29" t="s">
        <v>38</v>
      </c>
      <c r="B4" s="382" t="s">
        <v>57</v>
      </c>
      <c r="C4" s="382"/>
      <c r="D4" s="383"/>
    </row>
    <row r="6" spans="1:14" ht="14.4" thickBot="1" x14ac:dyDescent="0.35"/>
    <row r="7" spans="1:14" ht="27.6" customHeight="1" x14ac:dyDescent="0.3">
      <c r="A7" s="357" t="s">
        <v>8</v>
      </c>
      <c r="B7" s="351" t="s">
        <v>9</v>
      </c>
      <c r="C7" s="352"/>
      <c r="D7" s="376" t="s">
        <v>12</v>
      </c>
      <c r="E7" s="378"/>
      <c r="F7" s="377" t="s">
        <v>24</v>
      </c>
      <c r="G7" s="390"/>
      <c r="I7" s="362" t="s">
        <v>73</v>
      </c>
      <c r="J7" s="362"/>
      <c r="K7" s="362"/>
      <c r="L7" s="362"/>
      <c r="N7" s="47" t="s">
        <v>58</v>
      </c>
    </row>
    <row r="8" spans="1:14" ht="27.6" x14ac:dyDescent="0.3">
      <c r="A8" s="358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62"/>
      <c r="J8" s="362"/>
      <c r="K8" s="362"/>
      <c r="L8" s="362"/>
      <c r="N8" s="47" t="s">
        <v>59</v>
      </c>
    </row>
    <row r="9" spans="1:14" ht="14.4" thickBot="1" x14ac:dyDescent="0.35">
      <c r="A9" s="359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36" t="s">
        <v>60</v>
      </c>
      <c r="B11" s="3" t="s">
        <v>61</v>
      </c>
      <c r="C11" s="3" t="s">
        <v>62</v>
      </c>
      <c r="D11" s="32"/>
      <c r="E11" s="365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36"/>
      <c r="B12" s="41">
        <v>0</v>
      </c>
      <c r="C12" s="41">
        <v>0</v>
      </c>
      <c r="D12" s="32"/>
      <c r="E12" s="366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36"/>
      <c r="B13" s="41">
        <v>1</v>
      </c>
      <c r="C13" s="41">
        <v>0.75</v>
      </c>
      <c r="D13" s="32"/>
      <c r="E13" s="366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36"/>
      <c r="B14" s="41">
        <v>2</v>
      </c>
      <c r="C14" s="41">
        <v>0</v>
      </c>
      <c r="D14" s="32"/>
      <c r="E14" s="366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36"/>
      <c r="B15" s="41">
        <v>3</v>
      </c>
      <c r="C15" s="41">
        <v>-1</v>
      </c>
      <c r="D15" s="32"/>
      <c r="E15" s="366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36"/>
      <c r="B16" s="41">
        <v>4</v>
      </c>
      <c r="C16" s="41">
        <v>3</v>
      </c>
      <c r="D16" s="32"/>
      <c r="E16" s="366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36"/>
      <c r="B17" s="42">
        <v>5</v>
      </c>
      <c r="C17" s="42">
        <v>3</v>
      </c>
      <c r="D17" s="40"/>
      <c r="E17" s="366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397" t="s">
        <v>74</v>
      </c>
      <c r="B18" s="398"/>
      <c r="C18" s="399"/>
      <c r="D18" s="33"/>
      <c r="E18" s="356" t="s">
        <v>75</v>
      </c>
      <c r="F18" s="356"/>
      <c r="G18" s="356"/>
      <c r="H18" s="356"/>
      <c r="I18" s="356"/>
      <c r="J18" s="356"/>
      <c r="K18" s="356"/>
      <c r="L18" s="356"/>
      <c r="M18" s="356"/>
    </row>
    <row r="19" spans="1:13" ht="35.4" customHeight="1" x14ac:dyDescent="0.3">
      <c r="A19" s="371"/>
      <c r="B19" s="372"/>
      <c r="C19" s="373"/>
      <c r="D19" s="33"/>
      <c r="E19" s="356"/>
      <c r="F19" s="356"/>
      <c r="G19" s="356"/>
      <c r="H19" s="356"/>
      <c r="I19" s="356"/>
      <c r="J19" s="356"/>
      <c r="K19" s="356"/>
      <c r="L19" s="356"/>
      <c r="M19" s="356"/>
    </row>
    <row r="21" spans="1:13" ht="14.4" thickBot="1" x14ac:dyDescent="0.35"/>
    <row r="22" spans="1:13" ht="16.8" customHeight="1" x14ac:dyDescent="0.3">
      <c r="A22" s="360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61"/>
      <c r="B23" s="12">
        <v>0</v>
      </c>
      <c r="C23" s="12">
        <v>5</v>
      </c>
      <c r="D23" s="26">
        <v>20</v>
      </c>
    </row>
    <row r="25" spans="1:13" x14ac:dyDescent="0.3">
      <c r="A25" s="336" t="s">
        <v>37</v>
      </c>
      <c r="B25" s="336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1"/>
  </sheetPr>
  <dimension ref="A1:O42"/>
  <sheetViews>
    <sheetView topLeftCell="A13"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00" t="s">
        <v>111</v>
      </c>
      <c r="C4" s="400"/>
      <c r="D4" s="400"/>
      <c r="E4" s="400"/>
      <c r="F4" s="401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57" t="s">
        <v>8</v>
      </c>
      <c r="B7" s="351" t="s">
        <v>9</v>
      </c>
      <c r="C7" s="352"/>
      <c r="D7" s="376" t="s">
        <v>12</v>
      </c>
      <c r="E7" s="378"/>
      <c r="F7" s="377" t="s">
        <v>24</v>
      </c>
      <c r="G7" s="390"/>
    </row>
    <row r="8" spans="1:15" ht="27.6" x14ac:dyDescent="0.3">
      <c r="A8" s="358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59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57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60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59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61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79" t="s">
        <v>119</v>
      </c>
      <c r="B13" s="380"/>
      <c r="C13" s="380"/>
      <c r="D13" s="380"/>
      <c r="E13" s="380"/>
      <c r="F13" s="381"/>
      <c r="H13" s="379" t="s">
        <v>120</v>
      </c>
      <c r="I13" s="380"/>
      <c r="J13" s="380"/>
      <c r="K13" s="380"/>
      <c r="L13" s="380"/>
      <c r="M13" s="380"/>
      <c r="N13" s="380"/>
      <c r="O13" s="381"/>
    </row>
    <row r="14" spans="1:15" ht="33.6" customHeight="1" x14ac:dyDescent="0.3">
      <c r="A14" s="371"/>
      <c r="B14" s="372"/>
      <c r="C14" s="372"/>
      <c r="D14" s="372"/>
      <c r="E14" s="372"/>
      <c r="F14" s="373"/>
      <c r="H14" s="371"/>
      <c r="I14" s="372"/>
      <c r="J14" s="372"/>
      <c r="K14" s="372"/>
      <c r="L14" s="372"/>
      <c r="M14" s="372"/>
      <c r="N14" s="372"/>
      <c r="O14" s="373"/>
    </row>
    <row r="16" spans="1:15" ht="14.4" thickBot="1" x14ac:dyDescent="0.35"/>
    <row r="17" spans="1:4" ht="16.8" customHeight="1" x14ac:dyDescent="0.3">
      <c r="A17" s="360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61"/>
      <c r="B18" s="102">
        <v>0</v>
      </c>
      <c r="C18" s="103">
        <v>200000000</v>
      </c>
      <c r="D18" s="26">
        <v>20</v>
      </c>
    </row>
    <row r="20" spans="1:4" x14ac:dyDescent="0.3">
      <c r="A20" s="336" t="s">
        <v>37</v>
      </c>
      <c r="B20" s="336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Charts - Idvl</vt:lpstr>
      <vt:lpstr>Chart - Combined</vt:lpstr>
      <vt:lpstr>JJ_Notes_1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2013-07-22T14:02:06Z</dcterms:modified>
</cp:coreProperties>
</file>