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7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9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1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2.xml" ContentType="application/vnd.openxmlformats-officedocument.drawing+xml"/>
  <Override PartName="/xl/charts/chart37.xml" ContentType="application/vnd.openxmlformats-officedocument.drawingml.chart+xml"/>
  <Override PartName="/xl/drawings/drawing13.xml" ContentType="application/vnd.openxmlformats-officedocument.drawing+xml"/>
  <Override PartName="/xl/charts/chart38.xml" ContentType="application/vnd.openxmlformats-officedocument.drawingml.chart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52" windowWidth="15576" windowHeight="7296" tabRatio="906" activeTab="2"/>
  </bookViews>
  <sheets>
    <sheet name="Charts - Idvl" sheetId="35" r:id="rId1"/>
    <sheet name="Charts - Idvl IRev" sheetId="38" r:id="rId2"/>
    <sheet name="Chart - Combined" sheetId="36" r:id="rId3"/>
    <sheet name="JJ_Notes_1" sheetId="24" r:id="rId4"/>
    <sheet name="JJ_Notes_2" sheetId="39" r:id="rId5"/>
    <sheet name="Case Notes" sheetId="37" r:id="rId6"/>
    <sheet name="JJ_Optim_Scenario" sheetId="23" r:id="rId7"/>
    <sheet name="JANSample" sheetId="25" r:id="rId8"/>
    <sheet name="JMTSample" sheetId="26" r:id="rId9"/>
    <sheet name="TOTSample" sheetId="27" r:id="rId10"/>
    <sheet name="JJVCH" sheetId="29" r:id="rId11"/>
    <sheet name="JJMMF" sheetId="30" r:id="rId12"/>
    <sheet name="JJHCC" sheetId="31" r:id="rId13"/>
    <sheet name="JJMCM" sheetId="32" r:id="rId14"/>
    <sheet name="JJHCC_ACQ" sheetId="33" r:id="rId15"/>
    <sheet name="JJHCC_ADH" sheetId="34" r:id="rId16"/>
    <sheet name="Fn.Templates ==&gt;" sheetId="3" r:id="rId17"/>
    <sheet name="FT_SCurveEst" sheetId="2" r:id="rId18"/>
    <sheet name="FT_Equation" sheetId="4" r:id="rId19"/>
    <sheet name="FT_Interpolate" sheetId="5" r:id="rId20"/>
    <sheet name="FT_SCurve3Est" sheetId="13" r:id="rId21"/>
  </sheets>
  <functionGroups builtInGroupCount="17"/>
  <definedNames>
    <definedName name="_xlnm.Print_Area" localSheetId="3">JJ_Notes_1!$A$72:$J$77</definedName>
    <definedName name="solver_adj" localSheetId="6" hidden="1">JJ_Optim_Scenario!$I$17:$I$24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6" hidden="1">JJ_Optim_Scenario!$I$17:$I$24</definedName>
    <definedName name="solver_lhs2" localSheetId="6" hidden="1">JJ_Optim_Scenario!$I$17:$I$24</definedName>
    <definedName name="solver_lhs3" localSheetId="6" hidden="1">JJ_Optim_Scenario!$I$25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3</definedName>
    <definedName name="solver_nwt" localSheetId="6" hidden="1">1</definedName>
    <definedName name="solver_opt" localSheetId="6" hidden="1">JJ_Optim_Scenario!$B$9</definedName>
    <definedName name="solver_pre" localSheetId="6" hidden="1">0.000001</definedName>
    <definedName name="solver_rbv" localSheetId="6" hidden="1">1</definedName>
    <definedName name="solver_rel1" localSheetId="6" hidden="1">1</definedName>
    <definedName name="solver_rel2" localSheetId="6" hidden="1">3</definedName>
    <definedName name="solver_rel3" localSheetId="6" hidden="1">2</definedName>
    <definedName name="solver_rhs1" localSheetId="6" hidden="1">JJ_Optim_Scenario!$H$17:$H$24</definedName>
    <definedName name="solver_rhs2" localSheetId="6" hidden="1">JJ_Optim_Scenario!$G$17:$G$24</definedName>
    <definedName name="solver_rhs3" localSheetId="6" hidden="1">JJ_Optim_Scenario!$B$12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1</definedName>
    <definedName name="solver_val" localSheetId="6" hidden="1">0</definedName>
    <definedName name="solver_ver" localSheetId="6" hidden="1">3</definedName>
  </definedNames>
  <calcPr calcId="145621"/>
</workbook>
</file>

<file path=xl/calcChain.xml><?xml version="1.0" encoding="utf-8"?>
<calcChain xmlns="http://schemas.openxmlformats.org/spreadsheetml/2006/main">
  <c r="D10" i="24" l="1"/>
  <c r="G35" i="23" l="1"/>
  <c r="G34" i="23"/>
  <c r="F35" i="23"/>
  <c r="F34" i="23"/>
  <c r="G12" i="33"/>
  <c r="G12" i="32"/>
  <c r="G12" i="31"/>
  <c r="C11" i="30"/>
  <c r="I13" i="29"/>
  <c r="H13" i="29"/>
  <c r="G13" i="29"/>
  <c r="D13" i="29"/>
  <c r="B43" i="29"/>
  <c r="C43" i="29"/>
  <c r="C42" i="29"/>
  <c r="C41" i="29"/>
  <c r="C40" i="29"/>
  <c r="C39" i="29"/>
  <c r="C38" i="29"/>
  <c r="C37" i="29"/>
  <c r="C36" i="29"/>
  <c r="C35" i="29"/>
  <c r="C34" i="29"/>
  <c r="C33" i="29"/>
  <c r="C32" i="29"/>
  <c r="C31" i="29"/>
  <c r="C30" i="29"/>
  <c r="C29" i="29"/>
  <c r="C28" i="29"/>
  <c r="C27" i="29"/>
  <c r="C26" i="29"/>
  <c r="C25" i="29"/>
  <c r="C24" i="29"/>
  <c r="C23" i="29"/>
  <c r="I9" i="29"/>
  <c r="I9" i="27"/>
  <c r="H9" i="27"/>
  <c r="F9" i="27"/>
  <c r="E9" i="27"/>
  <c r="I13" i="27"/>
  <c r="H13" i="27"/>
  <c r="D13" i="27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C32" i="26"/>
  <c r="B32" i="26"/>
  <c r="C31" i="26"/>
  <c r="B31" i="26"/>
  <c r="C30" i="26"/>
  <c r="B30" i="26"/>
  <c r="C29" i="26"/>
  <c r="B29" i="26"/>
  <c r="C28" i="26"/>
  <c r="B28" i="26"/>
  <c r="C27" i="26"/>
  <c r="B27" i="26"/>
  <c r="C26" i="26"/>
  <c r="B26" i="26"/>
  <c r="C25" i="26"/>
  <c r="B25" i="26"/>
  <c r="C24" i="26"/>
  <c r="B24" i="26"/>
  <c r="C23" i="26"/>
  <c r="B23" i="26"/>
  <c r="I9" i="26"/>
  <c r="H9" i="26"/>
  <c r="I13" i="26"/>
  <c r="H13" i="26"/>
  <c r="G13" i="26"/>
  <c r="D13" i="26"/>
  <c r="C43" i="25"/>
  <c r="B43" i="25"/>
  <c r="C42" i="25"/>
  <c r="B42" i="25"/>
  <c r="C41" i="25"/>
  <c r="B41" i="25"/>
  <c r="C40" i="25"/>
  <c r="B40" i="25"/>
  <c r="C39" i="25"/>
  <c r="B39" i="25"/>
  <c r="C38" i="25"/>
  <c r="B38" i="25"/>
  <c r="C37" i="25"/>
  <c r="B37" i="25"/>
  <c r="C36" i="25"/>
  <c r="B36" i="25"/>
  <c r="C35" i="25"/>
  <c r="B35" i="25"/>
  <c r="C34" i="25"/>
  <c r="B34" i="25"/>
  <c r="C33" i="25"/>
  <c r="B33" i="25"/>
  <c r="C32" i="25"/>
  <c r="B32" i="25"/>
  <c r="C31" i="25"/>
  <c r="B31" i="25"/>
  <c r="C30" i="25"/>
  <c r="B30" i="25"/>
  <c r="C29" i="25"/>
  <c r="B29" i="25"/>
  <c r="C28" i="25"/>
  <c r="B28" i="25"/>
  <c r="C27" i="25"/>
  <c r="B27" i="25"/>
  <c r="C26" i="25"/>
  <c r="B26" i="25"/>
  <c r="C25" i="25"/>
  <c r="B25" i="25"/>
  <c r="C24" i="25"/>
  <c r="B24" i="25"/>
  <c r="C23" i="25"/>
  <c r="B23" i="25"/>
  <c r="I9" i="25"/>
  <c r="H9" i="25"/>
  <c r="I13" i="25"/>
  <c r="H13" i="25"/>
  <c r="G13" i="25"/>
  <c r="D13" i="25"/>
  <c r="U31" i="23"/>
  <c r="O31" i="23"/>
  <c r="I31" i="23"/>
  <c r="H9" i="29" l="1"/>
  <c r="B24" i="29"/>
  <c r="B26" i="29"/>
  <c r="B28" i="29"/>
  <c r="B30" i="29"/>
  <c r="B32" i="29"/>
  <c r="B34" i="29"/>
  <c r="B36" i="29"/>
  <c r="B38" i="29"/>
  <c r="B40" i="29"/>
  <c r="B42" i="29"/>
  <c r="B23" i="29"/>
  <c r="B25" i="29"/>
  <c r="B27" i="29"/>
  <c r="B29" i="29"/>
  <c r="B31" i="29"/>
  <c r="B33" i="29"/>
  <c r="B35" i="29"/>
  <c r="B37" i="29"/>
  <c r="B39" i="29"/>
  <c r="B41" i="29"/>
  <c r="G17" i="23"/>
  <c r="H17" i="23"/>
  <c r="G18" i="23"/>
  <c r="H18" i="23"/>
  <c r="G19" i="23"/>
  <c r="H19" i="23"/>
  <c r="G20" i="23"/>
  <c r="H20" i="23"/>
  <c r="G21" i="23"/>
  <c r="H21" i="23"/>
  <c r="G22" i="23"/>
  <c r="H22" i="23"/>
  <c r="G23" i="23"/>
  <c r="H23" i="23"/>
  <c r="G24" i="23"/>
  <c r="H24" i="23"/>
  <c r="E19" i="37" l="1"/>
  <c r="D19" i="37"/>
  <c r="E18" i="37"/>
  <c r="E17" i="37"/>
  <c r="D17" i="37"/>
  <c r="D18" i="37"/>
  <c r="G12" i="39"/>
  <c r="F12" i="39"/>
  <c r="E12" i="39"/>
  <c r="G8" i="39"/>
  <c r="F8" i="39"/>
  <c r="E8" i="39"/>
  <c r="D11" i="39"/>
  <c r="C11" i="39"/>
  <c r="B11" i="39"/>
  <c r="F6" i="39"/>
  <c r="G6" i="39"/>
  <c r="E6" i="39"/>
  <c r="D22" i="37" l="1"/>
  <c r="E22" i="37"/>
  <c r="D21" i="37"/>
  <c r="D20" i="37"/>
  <c r="C19" i="37"/>
  <c r="C20" i="37"/>
  <c r="E20" i="37" s="1"/>
  <c r="G76" i="24"/>
  <c r="G77" i="24"/>
  <c r="G75" i="24"/>
  <c r="D76" i="24"/>
  <c r="D77" i="24"/>
  <c r="D75" i="24"/>
  <c r="G13" i="37"/>
  <c r="C24" i="37" l="1"/>
  <c r="C23" i="37"/>
  <c r="C22" i="37"/>
  <c r="C21" i="37"/>
  <c r="E21" i="37" s="1"/>
  <c r="B25" i="37"/>
  <c r="C25" i="37"/>
  <c r="G56" i="24"/>
  <c r="C26" i="37" l="1"/>
  <c r="C27" i="37"/>
  <c r="D25" i="37"/>
  <c r="E25" i="37"/>
  <c r="E25" i="32"/>
  <c r="E26" i="32"/>
  <c r="E29" i="32"/>
  <c r="E30" i="32"/>
  <c r="E33" i="32"/>
  <c r="E34" i="32"/>
  <c r="E37" i="32"/>
  <c r="E38" i="32"/>
  <c r="E41" i="32"/>
  <c r="E42" i="32"/>
  <c r="D24" i="27"/>
  <c r="D27" i="27"/>
  <c r="D28" i="27"/>
  <c r="D31" i="27"/>
  <c r="D32" i="27"/>
  <c r="D33" i="27"/>
  <c r="D35" i="27"/>
  <c r="D36" i="27"/>
  <c r="D37" i="27"/>
  <c r="D39" i="27"/>
  <c r="D40" i="27"/>
  <c r="D41" i="27"/>
  <c r="D43" i="27"/>
  <c r="D23" i="27"/>
  <c r="H14" i="34"/>
  <c r="G14" i="34"/>
  <c r="H14" i="33"/>
  <c r="G14" i="33"/>
  <c r="H14" i="32"/>
  <c r="E23" i="32" s="1"/>
  <c r="G14" i="32"/>
  <c r="H14" i="31"/>
  <c r="E26" i="31" s="1"/>
  <c r="G14" i="31"/>
  <c r="E12" i="30"/>
  <c r="D12" i="30"/>
  <c r="D26" i="29"/>
  <c r="D25" i="27"/>
  <c r="D24" i="26"/>
  <c r="D41" i="25"/>
  <c r="D37" i="25"/>
  <c r="D33" i="25"/>
  <c r="D29" i="25"/>
  <c r="D25" i="25"/>
  <c r="D40" i="25"/>
  <c r="D43" i="26" l="1"/>
  <c r="D35" i="26"/>
  <c r="D31" i="26"/>
  <c r="D27" i="26"/>
  <c r="D37" i="29"/>
  <c r="D33" i="29"/>
  <c r="D25" i="29"/>
  <c r="E37" i="31"/>
  <c r="E29" i="31"/>
  <c r="D26" i="25"/>
  <c r="D38" i="25"/>
  <c r="D34" i="26"/>
  <c r="D26" i="26"/>
  <c r="D40" i="29"/>
  <c r="D36" i="29"/>
  <c r="D32" i="29"/>
  <c r="D28" i="29"/>
  <c r="D24" i="29"/>
  <c r="E40" i="31"/>
  <c r="E36" i="31"/>
  <c r="E32" i="31"/>
  <c r="E28" i="31"/>
  <c r="E24" i="31"/>
  <c r="D23" i="25"/>
  <c r="D27" i="25"/>
  <c r="D31" i="25"/>
  <c r="D35" i="25"/>
  <c r="D39" i="25"/>
  <c r="D43" i="25"/>
  <c r="D41" i="26"/>
  <c r="D37" i="26"/>
  <c r="D33" i="26"/>
  <c r="D29" i="26"/>
  <c r="D25" i="26"/>
  <c r="D42" i="27"/>
  <c r="D38" i="27"/>
  <c r="D34" i="27"/>
  <c r="D30" i="27"/>
  <c r="D26" i="27"/>
  <c r="D43" i="29"/>
  <c r="D39" i="29"/>
  <c r="D35" i="29"/>
  <c r="D31" i="29"/>
  <c r="D27" i="29"/>
  <c r="E22" i="31"/>
  <c r="E39" i="31"/>
  <c r="E35" i="31"/>
  <c r="E31" i="31"/>
  <c r="E27" i="31"/>
  <c r="E23" i="31"/>
  <c r="E40" i="32"/>
  <c r="E36" i="32"/>
  <c r="E32" i="32"/>
  <c r="E28" i="32"/>
  <c r="E24" i="32"/>
  <c r="D39" i="26"/>
  <c r="D41" i="29"/>
  <c r="D29" i="29"/>
  <c r="E41" i="31"/>
  <c r="E33" i="31"/>
  <c r="E25" i="31"/>
  <c r="D30" i="25"/>
  <c r="D34" i="25"/>
  <c r="D42" i="25"/>
  <c r="D42" i="26"/>
  <c r="D38" i="26"/>
  <c r="D30" i="26"/>
  <c r="D23" i="29"/>
  <c r="D24" i="25"/>
  <c r="D28" i="25"/>
  <c r="D32" i="25"/>
  <c r="D36" i="25"/>
  <c r="D23" i="26"/>
  <c r="D40" i="26"/>
  <c r="D36" i="26"/>
  <c r="D32" i="26"/>
  <c r="D28" i="26"/>
  <c r="D29" i="27"/>
  <c r="D42" i="29"/>
  <c r="D38" i="29"/>
  <c r="D34" i="29"/>
  <c r="D30" i="29"/>
  <c r="E42" i="31"/>
  <c r="E38" i="31"/>
  <c r="E34" i="31"/>
  <c r="E30" i="31"/>
  <c r="E22" i="32"/>
  <c r="E39" i="32"/>
  <c r="E35" i="32"/>
  <c r="E31" i="32"/>
  <c r="E27" i="32"/>
  <c r="D9" i="34"/>
  <c r="C9" i="34"/>
  <c r="B9" i="34"/>
  <c r="D9" i="33"/>
  <c r="C9" i="33"/>
  <c r="B9" i="33"/>
  <c r="D9" i="32"/>
  <c r="C9" i="32"/>
  <c r="B9" i="32"/>
  <c r="D9" i="31"/>
  <c r="C9" i="31"/>
  <c r="B9" i="31"/>
  <c r="D9" i="30"/>
  <c r="C9" i="30"/>
  <c r="B9" i="30"/>
  <c r="D9" i="29"/>
  <c r="C9" i="29"/>
  <c r="B9" i="29"/>
  <c r="D9" i="26"/>
  <c r="C9" i="26"/>
  <c r="B9" i="26"/>
  <c r="D9" i="25"/>
  <c r="C9" i="25"/>
  <c r="B9" i="25"/>
  <c r="I12" i="34"/>
  <c r="I12" i="33"/>
  <c r="I12" i="32"/>
  <c r="I12" i="31"/>
  <c r="C12" i="30"/>
  <c r="G9" i="34"/>
  <c r="G9" i="33"/>
  <c r="G9" i="32"/>
  <c r="G9" i="31"/>
  <c r="G9" i="30"/>
  <c r="G9" i="29"/>
  <c r="G9" i="26"/>
  <c r="D35" i="23"/>
  <c r="G9" i="25"/>
  <c r="H41" i="23"/>
  <c r="K41" i="23" s="1"/>
  <c r="M41" i="23" s="1"/>
  <c r="H40" i="23"/>
  <c r="H39" i="23"/>
  <c r="K39" i="23" s="1"/>
  <c r="M39" i="23" s="1"/>
  <c r="H38" i="23"/>
  <c r="K38" i="23" s="1"/>
  <c r="M38" i="23" s="1"/>
  <c r="H37" i="23"/>
  <c r="K37" i="23" s="1"/>
  <c r="M37" i="23" s="1"/>
  <c r="H36" i="23"/>
  <c r="K36" i="23" s="1"/>
  <c r="M36" i="23" s="1"/>
  <c r="H35" i="23"/>
  <c r="H34" i="23"/>
  <c r="I25" i="23"/>
  <c r="D34" i="23"/>
  <c r="D36" i="23"/>
  <c r="D37" i="23"/>
  <c r="D38" i="23"/>
  <c r="D39" i="23"/>
  <c r="D40" i="23"/>
  <c r="D41" i="23"/>
  <c r="C32" i="23"/>
  <c r="C33" i="23"/>
  <c r="C34" i="23"/>
  <c r="C35" i="23"/>
  <c r="C36" i="23"/>
  <c r="C37" i="23"/>
  <c r="C38" i="23"/>
  <c r="C39" i="23"/>
  <c r="C40" i="23"/>
  <c r="C41" i="23"/>
  <c r="C42" i="23"/>
  <c r="D12" i="23"/>
  <c r="C12" i="23"/>
  <c r="E25" i="23"/>
  <c r="F9" i="29" l="1"/>
  <c r="E9" i="29"/>
  <c r="E9" i="26"/>
  <c r="F9" i="26"/>
  <c r="E9" i="25"/>
  <c r="F9" i="25"/>
  <c r="K40" i="23"/>
  <c r="M40" i="23" s="1"/>
  <c r="H42" i="23"/>
  <c r="K34" i="23"/>
  <c r="M34" i="23" s="1"/>
  <c r="D42" i="23"/>
  <c r="K35" i="23"/>
  <c r="M35" i="23" s="1"/>
  <c r="K42" i="23" l="1"/>
  <c r="M42" i="23" s="1"/>
  <c r="C18" i="24"/>
  <c r="D11" i="24"/>
  <c r="K24" i="23" l="1"/>
  <c r="K23" i="23"/>
  <c r="M24" i="23" l="1"/>
  <c r="M23" i="23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O12" i="34"/>
  <c r="N12" i="34"/>
  <c r="L12" i="34"/>
  <c r="M12" i="34" s="1"/>
  <c r="H12" i="34"/>
  <c r="H12" i="32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H9" i="31"/>
  <c r="I9" i="31" s="1"/>
  <c r="H12" i="31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O12" i="33"/>
  <c r="N12" i="33"/>
  <c r="L12" i="33"/>
  <c r="M12" i="33" s="1"/>
  <c r="P12" i="33" s="1"/>
  <c r="H12" i="33"/>
  <c r="A22" i="32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O12" i="32"/>
  <c r="N12" i="32"/>
  <c r="L12" i="32"/>
  <c r="M12" i="32" s="1"/>
  <c r="P12" i="32" s="1"/>
  <c r="A22" i="3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O12" i="31"/>
  <c r="N12" i="31"/>
  <c r="M12" i="31"/>
  <c r="P12" i="31" s="1"/>
  <c r="L12" i="31"/>
  <c r="E9" i="31"/>
  <c r="J9" i="31" l="1"/>
  <c r="F21" i="23"/>
  <c r="F38" i="23" s="1"/>
  <c r="G38" i="23" s="1"/>
  <c r="R12" i="34"/>
  <c r="P12" i="34"/>
  <c r="Q12" i="34" s="1"/>
  <c r="Q12" i="33"/>
  <c r="R12" i="33"/>
  <c r="Q12" i="32"/>
  <c r="R12" i="32"/>
  <c r="Q12" i="31"/>
  <c r="R12" i="31"/>
  <c r="D16" i="30"/>
  <c r="D20" i="30"/>
  <c r="D19" i="30"/>
  <c r="D18" i="30"/>
  <c r="D17" i="30"/>
  <c r="D14" i="30"/>
  <c r="D15" i="30"/>
  <c r="C20" i="30"/>
  <c r="C19" i="30"/>
  <c r="C18" i="30"/>
  <c r="C17" i="30"/>
  <c r="C15" i="30"/>
  <c r="J9" i="29"/>
  <c r="A30" i="30"/>
  <c r="A31" i="30" s="1"/>
  <c r="A24" i="29"/>
  <c r="A25" i="29" s="1"/>
  <c r="A23" i="29"/>
  <c r="F19" i="23"/>
  <c r="F36" i="23" s="1"/>
  <c r="G36" i="23" s="1"/>
  <c r="J19" i="23"/>
  <c r="I36" i="23" s="1"/>
  <c r="J36" i="23" s="1"/>
  <c r="A24" i="27"/>
  <c r="A25" i="27" s="1"/>
  <c r="B23" i="27"/>
  <c r="A23" i="27"/>
  <c r="C23" i="27" s="1"/>
  <c r="J9" i="27"/>
  <c r="A23" i="26"/>
  <c r="F18" i="23"/>
  <c r="J18" i="23"/>
  <c r="I35" i="23" s="1"/>
  <c r="J35" i="23" s="1"/>
  <c r="J17" i="23"/>
  <c r="I34" i="23" s="1"/>
  <c r="J34" i="23" s="1"/>
  <c r="A24" i="25"/>
  <c r="A25" i="25" s="1"/>
  <c r="A23" i="25"/>
  <c r="K22" i="23"/>
  <c r="K21" i="23"/>
  <c r="K20" i="23"/>
  <c r="K19" i="23"/>
  <c r="K18" i="23"/>
  <c r="K17" i="23"/>
  <c r="H14" i="30" a="1"/>
  <c r="J9" i="25" l="1"/>
  <c r="F17" i="23"/>
  <c r="B41" i="33"/>
  <c r="E41" i="33" s="1"/>
  <c r="B37" i="33"/>
  <c r="E37" i="33" s="1"/>
  <c r="B33" i="33"/>
  <c r="E33" i="33" s="1"/>
  <c r="B29" i="33"/>
  <c r="E29" i="33" s="1"/>
  <c r="B25" i="33"/>
  <c r="E25" i="33" s="1"/>
  <c r="H9" i="33"/>
  <c r="I9" i="33" s="1"/>
  <c r="B39" i="33"/>
  <c r="E39" i="33" s="1"/>
  <c r="B35" i="33"/>
  <c r="E35" i="33" s="1"/>
  <c r="B31" i="33"/>
  <c r="E31" i="33" s="1"/>
  <c r="B27" i="33"/>
  <c r="E27" i="33" s="1"/>
  <c r="B23" i="33"/>
  <c r="E23" i="33" s="1"/>
  <c r="B42" i="33"/>
  <c r="E42" i="33" s="1"/>
  <c r="B34" i="33"/>
  <c r="E34" i="33" s="1"/>
  <c r="B30" i="33"/>
  <c r="E30" i="33" s="1"/>
  <c r="B26" i="33"/>
  <c r="E26" i="33" s="1"/>
  <c r="B40" i="33"/>
  <c r="E40" i="33" s="1"/>
  <c r="B36" i="33"/>
  <c r="E36" i="33" s="1"/>
  <c r="B32" i="33"/>
  <c r="E32" i="33" s="1"/>
  <c r="B28" i="33"/>
  <c r="E28" i="33" s="1"/>
  <c r="B24" i="33"/>
  <c r="E24" i="33" s="1"/>
  <c r="E9" i="33"/>
  <c r="F9" i="33" s="1"/>
  <c r="J23" i="23" s="1"/>
  <c r="B38" i="33"/>
  <c r="E38" i="33" s="1"/>
  <c r="B22" i="33"/>
  <c r="E22" i="33" s="1"/>
  <c r="K25" i="23"/>
  <c r="M25" i="23" s="1"/>
  <c r="B41" i="32"/>
  <c r="B37" i="32"/>
  <c r="B33" i="32"/>
  <c r="B29" i="32"/>
  <c r="B25" i="32"/>
  <c r="H9" i="32"/>
  <c r="I9" i="32" s="1"/>
  <c r="B40" i="32"/>
  <c r="B36" i="32"/>
  <c r="B32" i="32"/>
  <c r="B28" i="32"/>
  <c r="B24" i="32"/>
  <c r="B39" i="32"/>
  <c r="B35" i="32"/>
  <c r="B31" i="32"/>
  <c r="B27" i="32"/>
  <c r="B23" i="32"/>
  <c r="E9" i="32"/>
  <c r="F9" i="32" s="1"/>
  <c r="J22" i="23" s="1"/>
  <c r="I39" i="23" s="1"/>
  <c r="J39" i="23" s="1"/>
  <c r="B42" i="32"/>
  <c r="B38" i="32"/>
  <c r="B34" i="32"/>
  <c r="B30" i="32"/>
  <c r="B26" i="32"/>
  <c r="B22" i="32"/>
  <c r="C22" i="32" s="1"/>
  <c r="J9" i="26"/>
  <c r="G25" i="23"/>
  <c r="H25" i="23"/>
  <c r="M18" i="23"/>
  <c r="M20" i="23"/>
  <c r="M21" i="23"/>
  <c r="M22" i="23"/>
  <c r="L19" i="23"/>
  <c r="N19" i="23" s="1"/>
  <c r="M19" i="23"/>
  <c r="L36" i="23"/>
  <c r="N36" i="23" s="1"/>
  <c r="M17" i="23"/>
  <c r="B42" i="34"/>
  <c r="E42" i="34" s="1"/>
  <c r="B41" i="34"/>
  <c r="E41" i="34" s="1"/>
  <c r="B40" i="34"/>
  <c r="E40" i="34" s="1"/>
  <c r="B39" i="34"/>
  <c r="E39" i="34" s="1"/>
  <c r="B38" i="34"/>
  <c r="E38" i="34" s="1"/>
  <c r="B37" i="34"/>
  <c r="E37" i="34" s="1"/>
  <c r="B36" i="34"/>
  <c r="E36" i="34" s="1"/>
  <c r="B35" i="34"/>
  <c r="E35" i="34" s="1"/>
  <c r="B34" i="34"/>
  <c r="E34" i="34" s="1"/>
  <c r="B33" i="34"/>
  <c r="E33" i="34" s="1"/>
  <c r="B32" i="34"/>
  <c r="E32" i="34" s="1"/>
  <c r="B31" i="34"/>
  <c r="E31" i="34" s="1"/>
  <c r="B30" i="34"/>
  <c r="E30" i="34" s="1"/>
  <c r="B29" i="34"/>
  <c r="E29" i="34" s="1"/>
  <c r="B28" i="34"/>
  <c r="E28" i="34" s="1"/>
  <c r="B27" i="34"/>
  <c r="E27" i="34" s="1"/>
  <c r="B26" i="34"/>
  <c r="E26" i="34" s="1"/>
  <c r="B25" i="34"/>
  <c r="E25" i="34" s="1"/>
  <c r="B24" i="34"/>
  <c r="E24" i="34" s="1"/>
  <c r="B23" i="34"/>
  <c r="E23" i="34" s="1"/>
  <c r="B22" i="34"/>
  <c r="E9" i="34"/>
  <c r="F9" i="34" s="1"/>
  <c r="J24" i="23" s="1"/>
  <c r="I41" i="23" s="1"/>
  <c r="J41" i="23" s="1"/>
  <c r="H9" i="34"/>
  <c r="I9" i="34" s="1"/>
  <c r="C22" i="33"/>
  <c r="C22" i="31"/>
  <c r="F9" i="31"/>
  <c r="J21" i="23" s="1"/>
  <c r="I38" i="23" s="1"/>
  <c r="J38" i="23" s="1"/>
  <c r="L38" i="23" s="1"/>
  <c r="N38" i="23" s="1"/>
  <c r="A32" i="30"/>
  <c r="K14" i="30"/>
  <c r="O14" i="30"/>
  <c r="K15" i="30"/>
  <c r="O15" i="30"/>
  <c r="K16" i="30"/>
  <c r="O16" i="30"/>
  <c r="K17" i="30"/>
  <c r="O17" i="30"/>
  <c r="K18" i="30"/>
  <c r="O18" i="30"/>
  <c r="K19" i="30"/>
  <c r="O19" i="30"/>
  <c r="K20" i="30"/>
  <c r="O20" i="30"/>
  <c r="M14" i="30"/>
  <c r="N14" i="30"/>
  <c r="H14" i="30"/>
  <c r="L14" i="30"/>
  <c r="H15" i="30"/>
  <c r="L15" i="30"/>
  <c r="H16" i="30"/>
  <c r="L16" i="30"/>
  <c r="H17" i="30"/>
  <c r="L17" i="30"/>
  <c r="H18" i="30"/>
  <c r="L18" i="30"/>
  <c r="H19" i="30"/>
  <c r="L19" i="30"/>
  <c r="H20" i="30"/>
  <c r="L20" i="30"/>
  <c r="I14" i="30"/>
  <c r="I15" i="30"/>
  <c r="M15" i="30"/>
  <c r="I16" i="30"/>
  <c r="M16" i="30"/>
  <c r="I17" i="30"/>
  <c r="M17" i="30"/>
  <c r="I18" i="30"/>
  <c r="M18" i="30"/>
  <c r="I19" i="30"/>
  <c r="M19" i="30"/>
  <c r="I20" i="30"/>
  <c r="M20" i="30"/>
  <c r="J14" i="30"/>
  <c r="J15" i="30"/>
  <c r="N15" i="30"/>
  <c r="J16" i="30"/>
  <c r="N16" i="30"/>
  <c r="J17" i="30"/>
  <c r="N17" i="30"/>
  <c r="J18" i="30"/>
  <c r="N18" i="30"/>
  <c r="J19" i="30"/>
  <c r="N19" i="30"/>
  <c r="J20" i="30"/>
  <c r="N20" i="30"/>
  <c r="A26" i="29"/>
  <c r="C24" i="27"/>
  <c r="A26" i="27"/>
  <c r="C25" i="27"/>
  <c r="B25" i="27"/>
  <c r="B24" i="27"/>
  <c r="A24" i="26"/>
  <c r="A26" i="25"/>
  <c r="B31" i="30"/>
  <c r="B30" i="30"/>
  <c r="B32" i="30"/>
  <c r="H9" i="30"/>
  <c r="E9" i="30"/>
  <c r="C22" i="34" l="1"/>
  <c r="E22" i="34"/>
  <c r="F23" i="23"/>
  <c r="F40" i="23" s="1"/>
  <c r="G40" i="23" s="1"/>
  <c r="J9" i="33"/>
  <c r="D32" i="30"/>
  <c r="D30" i="30"/>
  <c r="D31" i="30"/>
  <c r="L21" i="23"/>
  <c r="N21" i="23" s="1"/>
  <c r="I40" i="23"/>
  <c r="J40" i="23" s="1"/>
  <c r="F22" i="23"/>
  <c r="J9" i="32"/>
  <c r="J9" i="34"/>
  <c r="F24" i="23"/>
  <c r="L35" i="23"/>
  <c r="N35" i="23" s="1"/>
  <c r="L34" i="23"/>
  <c r="N34" i="23" s="1"/>
  <c r="D28" i="34"/>
  <c r="C28" i="34"/>
  <c r="C32" i="34"/>
  <c r="D32" i="34"/>
  <c r="D40" i="34"/>
  <c r="C40" i="34"/>
  <c r="C25" i="34"/>
  <c r="D25" i="34"/>
  <c r="C29" i="34"/>
  <c r="D29" i="34"/>
  <c r="D37" i="34"/>
  <c r="C37" i="34"/>
  <c r="D41" i="34"/>
  <c r="C41" i="34"/>
  <c r="D23" i="34"/>
  <c r="C23" i="34"/>
  <c r="C27" i="34"/>
  <c r="D27" i="34"/>
  <c r="D31" i="34"/>
  <c r="C31" i="34"/>
  <c r="D35" i="34"/>
  <c r="C35" i="34"/>
  <c r="C39" i="34"/>
  <c r="D39" i="34"/>
  <c r="D24" i="34"/>
  <c r="C24" i="34"/>
  <c r="D36" i="34"/>
  <c r="C36" i="34"/>
  <c r="D33" i="34"/>
  <c r="C33" i="34"/>
  <c r="D26" i="34"/>
  <c r="C26" i="34"/>
  <c r="D30" i="34"/>
  <c r="C30" i="34"/>
  <c r="C34" i="34"/>
  <c r="D34" i="34"/>
  <c r="D38" i="34"/>
  <c r="C38" i="34"/>
  <c r="C42" i="34"/>
  <c r="D42" i="34"/>
  <c r="C38" i="33"/>
  <c r="D38" i="33"/>
  <c r="C24" i="33"/>
  <c r="D24" i="33"/>
  <c r="C28" i="33"/>
  <c r="D28" i="33"/>
  <c r="C32" i="33"/>
  <c r="D32" i="33"/>
  <c r="C36" i="33"/>
  <c r="D36" i="33"/>
  <c r="C40" i="33"/>
  <c r="D40" i="33"/>
  <c r="C25" i="33"/>
  <c r="D25" i="33"/>
  <c r="C29" i="33"/>
  <c r="D29" i="33"/>
  <c r="C33" i="33"/>
  <c r="D33" i="33"/>
  <c r="C37" i="33"/>
  <c r="D37" i="33"/>
  <c r="C41" i="33"/>
  <c r="D41" i="33"/>
  <c r="C26" i="33"/>
  <c r="D26" i="33"/>
  <c r="C30" i="33"/>
  <c r="D30" i="33"/>
  <c r="C34" i="33"/>
  <c r="D34" i="33"/>
  <c r="C42" i="33"/>
  <c r="D42" i="33"/>
  <c r="C23" i="33"/>
  <c r="D23" i="33"/>
  <c r="C27" i="33"/>
  <c r="D27" i="33"/>
  <c r="C31" i="33"/>
  <c r="D31" i="33"/>
  <c r="C35" i="33"/>
  <c r="D35" i="33"/>
  <c r="C39" i="33"/>
  <c r="D39" i="33"/>
  <c r="C26" i="32"/>
  <c r="D26" i="32"/>
  <c r="C30" i="32"/>
  <c r="D30" i="32"/>
  <c r="C38" i="32"/>
  <c r="D38" i="32"/>
  <c r="C42" i="32"/>
  <c r="D42" i="32"/>
  <c r="C24" i="32"/>
  <c r="D24" i="32"/>
  <c r="C28" i="32"/>
  <c r="D28" i="32"/>
  <c r="C32" i="32"/>
  <c r="D32" i="32"/>
  <c r="C36" i="32"/>
  <c r="D36" i="32"/>
  <c r="C40" i="32"/>
  <c r="D40" i="32"/>
  <c r="C25" i="32"/>
  <c r="D25" i="32"/>
  <c r="C29" i="32"/>
  <c r="D29" i="32"/>
  <c r="C33" i="32"/>
  <c r="D33" i="32"/>
  <c r="C37" i="32"/>
  <c r="D37" i="32"/>
  <c r="C41" i="32"/>
  <c r="D41" i="32"/>
  <c r="C34" i="32"/>
  <c r="D34" i="32"/>
  <c r="C23" i="32"/>
  <c r="D23" i="32"/>
  <c r="C27" i="32"/>
  <c r="D27" i="32"/>
  <c r="C31" i="32"/>
  <c r="D31" i="32"/>
  <c r="C35" i="32"/>
  <c r="D35" i="32"/>
  <c r="C39" i="32"/>
  <c r="D39" i="32"/>
  <c r="C30" i="30"/>
  <c r="C31" i="30"/>
  <c r="I9" i="30"/>
  <c r="F9" i="30"/>
  <c r="J20" i="23" s="1"/>
  <c r="I37" i="23" s="1"/>
  <c r="J37" i="23" s="1"/>
  <c r="C30" i="31"/>
  <c r="D30" i="31"/>
  <c r="C38" i="31"/>
  <c r="D38" i="31"/>
  <c r="C24" i="31"/>
  <c r="D24" i="31"/>
  <c r="C28" i="31"/>
  <c r="D28" i="31"/>
  <c r="C32" i="31"/>
  <c r="D32" i="31"/>
  <c r="C36" i="31"/>
  <c r="D36" i="31"/>
  <c r="C40" i="31"/>
  <c r="D40" i="31"/>
  <c r="C25" i="31"/>
  <c r="D25" i="31"/>
  <c r="C29" i="31"/>
  <c r="D29" i="31"/>
  <c r="C33" i="31"/>
  <c r="D33" i="31"/>
  <c r="C37" i="31"/>
  <c r="D37" i="31"/>
  <c r="C41" i="31"/>
  <c r="D41" i="31"/>
  <c r="C26" i="31"/>
  <c r="D26" i="31"/>
  <c r="C34" i="31"/>
  <c r="D34" i="31"/>
  <c r="C42" i="31"/>
  <c r="D42" i="31"/>
  <c r="C23" i="31"/>
  <c r="D23" i="31"/>
  <c r="C27" i="31"/>
  <c r="D27" i="31"/>
  <c r="C31" i="31"/>
  <c r="D31" i="31"/>
  <c r="C35" i="31"/>
  <c r="D35" i="31"/>
  <c r="C39" i="31"/>
  <c r="D39" i="31"/>
  <c r="C32" i="30"/>
  <c r="A33" i="30"/>
  <c r="A27" i="29"/>
  <c r="B26" i="27"/>
  <c r="A27" i="27"/>
  <c r="C26" i="27"/>
  <c r="A25" i="26"/>
  <c r="A27" i="25"/>
  <c r="B33" i="30"/>
  <c r="L23" i="23" l="1"/>
  <c r="N23" i="23" s="1"/>
  <c r="L40" i="23"/>
  <c r="N40" i="23" s="1"/>
  <c r="D33" i="30"/>
  <c r="J43" i="23"/>
  <c r="J45" i="23"/>
  <c r="J44" i="23"/>
  <c r="J42" i="23"/>
  <c r="F39" i="23"/>
  <c r="G39" i="23" s="1"/>
  <c r="L39" i="23" s="1"/>
  <c r="N39" i="23" s="1"/>
  <c r="L22" i="23"/>
  <c r="N22" i="23" s="1"/>
  <c r="F41" i="23"/>
  <c r="G41" i="23" s="1"/>
  <c r="L41" i="23" s="1"/>
  <c r="N41" i="23" s="1"/>
  <c r="L24" i="23"/>
  <c r="N24" i="23" s="1"/>
  <c r="J9" i="30"/>
  <c r="F20" i="23"/>
  <c r="C33" i="30"/>
  <c r="A34" i="30"/>
  <c r="A28" i="29"/>
  <c r="C27" i="27"/>
  <c r="B27" i="27"/>
  <c r="A28" i="27"/>
  <c r="A26" i="26"/>
  <c r="A28" i="25"/>
  <c r="B34" i="30"/>
  <c r="D34" i="30" l="1"/>
  <c r="F37" i="23"/>
  <c r="G37" i="23" s="1"/>
  <c r="F25" i="23"/>
  <c r="L20" i="23"/>
  <c r="C34" i="30"/>
  <c r="A35" i="30"/>
  <c r="A29" i="29"/>
  <c r="A29" i="27"/>
  <c r="C28" i="27"/>
  <c r="B28" i="27"/>
  <c r="A27" i="26"/>
  <c r="A29" i="25"/>
  <c r="A23" i="13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22" i="13"/>
  <c r="L12" i="13"/>
  <c r="K12" i="13"/>
  <c r="J12" i="13"/>
  <c r="M12" i="13" s="1"/>
  <c r="I12" i="13"/>
  <c r="G9" i="13"/>
  <c r="F9" i="13"/>
  <c r="D9" i="13" s="1"/>
  <c r="C9" i="13"/>
  <c r="B9" i="13"/>
  <c r="B35" i="30"/>
  <c r="D35" i="30" l="1"/>
  <c r="G44" i="23"/>
  <c r="G45" i="23"/>
  <c r="G43" i="23"/>
  <c r="N20" i="23"/>
  <c r="L37" i="23"/>
  <c r="G42" i="23"/>
  <c r="C35" i="30"/>
  <c r="A36" i="30"/>
  <c r="A30" i="29"/>
  <c r="A30" i="27"/>
  <c r="C29" i="27"/>
  <c r="B29" i="27"/>
  <c r="A28" i="26"/>
  <c r="A30" i="25"/>
  <c r="N12" i="13"/>
  <c r="O12" i="13"/>
  <c r="B36" i="30"/>
  <c r="D36" i="30" l="1"/>
  <c r="N37" i="23"/>
  <c r="L43" i="23"/>
  <c r="L45" i="23"/>
  <c r="L44" i="23"/>
  <c r="L42" i="23"/>
  <c r="C36" i="30"/>
  <c r="A37" i="30"/>
  <c r="A31" i="29"/>
  <c r="B30" i="27"/>
  <c r="A31" i="27"/>
  <c r="C30" i="27"/>
  <c r="A29" i="26"/>
  <c r="A31" i="25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B37" i="30"/>
  <c r="D37" i="30" l="1"/>
  <c r="M45" i="23"/>
  <c r="M44" i="23"/>
  <c r="M43" i="23"/>
  <c r="N42" i="23"/>
  <c r="N44" i="23" s="1"/>
  <c r="C37" i="30"/>
  <c r="A38" i="30"/>
  <c r="A32" i="29"/>
  <c r="C31" i="27"/>
  <c r="B31" i="27"/>
  <c r="A32" i="27"/>
  <c r="A30" i="26"/>
  <c r="A32" i="25"/>
  <c r="C33" i="13"/>
  <c r="C28" i="13"/>
  <c r="C23" i="13"/>
  <c r="C38" i="13"/>
  <c r="C29" i="13"/>
  <c r="C37" i="13"/>
  <c r="C34" i="13"/>
  <c r="C25" i="13"/>
  <c r="C41" i="13"/>
  <c r="B38" i="30"/>
  <c r="F12" i="5" a="1"/>
  <c r="N45" i="23" l="1"/>
  <c r="N43" i="23"/>
  <c r="D38" i="30"/>
  <c r="B9" i="23"/>
  <c r="J25" i="23"/>
  <c r="L18" i="23"/>
  <c r="N18" i="23" s="1"/>
  <c r="C38" i="30"/>
  <c r="A39" i="30"/>
  <c r="A33" i="29"/>
  <c r="A33" i="27"/>
  <c r="C32" i="27"/>
  <c r="B32" i="27"/>
  <c r="A31" i="26"/>
  <c r="A33" i="25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B31" i="5"/>
  <c r="B40" i="5"/>
  <c r="B29" i="5"/>
  <c r="B35" i="5"/>
  <c r="B27" i="5"/>
  <c r="B38" i="5"/>
  <c r="B44" i="5"/>
  <c r="E9" i="5"/>
  <c r="B36" i="5"/>
  <c r="B28" i="5"/>
  <c r="B41" i="5"/>
  <c r="B45" i="5"/>
  <c r="B43" i="5"/>
  <c r="B42" i="5"/>
  <c r="B37" i="5"/>
  <c r="B39" i="5"/>
  <c r="B46" i="5"/>
  <c r="B47" i="5"/>
  <c r="B34" i="5"/>
  <c r="B39" i="30"/>
  <c r="B33" i="5"/>
  <c r="B30" i="5"/>
  <c r="B32" i="5"/>
  <c r="D39" i="30" l="1"/>
  <c r="L25" i="23"/>
  <c r="N25" i="23" s="1"/>
  <c r="C39" i="30"/>
  <c r="A40" i="30"/>
  <c r="A34" i="29"/>
  <c r="A34" i="27"/>
  <c r="C33" i="27"/>
  <c r="B33" i="27"/>
  <c r="A32" i="26"/>
  <c r="A34" i="25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G9" i="2"/>
  <c r="F9" i="2"/>
  <c r="B40" i="30"/>
  <c r="D40" i="30" l="1"/>
  <c r="C40" i="30"/>
  <c r="A41" i="30"/>
  <c r="A35" i="29"/>
  <c r="B34" i="27"/>
  <c r="A35" i="27"/>
  <c r="C34" i="27"/>
  <c r="A33" i="26"/>
  <c r="A35" i="25"/>
  <c r="B41" i="30"/>
  <c r="D41" i="30" l="1"/>
  <c r="C41" i="30"/>
  <c r="A42" i="30"/>
  <c r="A36" i="29"/>
  <c r="C35" i="27"/>
  <c r="B35" i="27"/>
  <c r="A36" i="27"/>
  <c r="A34" i="26"/>
  <c r="A36" i="25"/>
  <c r="B42" i="30"/>
  <c r="D42" i="30" l="1"/>
  <c r="C42" i="30"/>
  <c r="A43" i="30"/>
  <c r="A37" i="29"/>
  <c r="A37" i="27"/>
  <c r="C36" i="27"/>
  <c r="B36" i="27"/>
  <c r="A35" i="26"/>
  <c r="A37" i="25"/>
  <c r="B43" i="30"/>
  <c r="D43" i="30" l="1"/>
  <c r="C43" i="30"/>
  <c r="A44" i="30"/>
  <c r="A38" i="29"/>
  <c r="A38" i="27"/>
  <c r="C37" i="27"/>
  <c r="B37" i="27"/>
  <c r="A36" i="26"/>
  <c r="A38" i="25"/>
  <c r="B44" i="30"/>
  <c r="D44" i="30" l="1"/>
  <c r="C44" i="30"/>
  <c r="A45" i="30"/>
  <c r="A39" i="29"/>
  <c r="B38" i="27"/>
  <c r="A39" i="27"/>
  <c r="C38" i="27"/>
  <c r="A37" i="26"/>
  <c r="A39" i="25"/>
  <c r="B45" i="30"/>
  <c r="D45" i="30" l="1"/>
  <c r="C45" i="30"/>
  <c r="A46" i="30"/>
  <c r="A40" i="29"/>
  <c r="C39" i="27"/>
  <c r="B39" i="27"/>
  <c r="A40" i="27"/>
  <c r="A38" i="26"/>
  <c r="A40" i="25"/>
  <c r="B46" i="30"/>
  <c r="D46" i="30" l="1"/>
  <c r="C46" i="30"/>
  <c r="A47" i="30"/>
  <c r="A41" i="29"/>
  <c r="A41" i="27"/>
  <c r="C40" i="27"/>
  <c r="B40" i="27"/>
  <c r="A39" i="26"/>
  <c r="A41" i="25"/>
  <c r="B47" i="30"/>
  <c r="D47" i="30" l="1"/>
  <c r="C47" i="30"/>
  <c r="A48" i="30"/>
  <c r="A42" i="29"/>
  <c r="A42" i="27"/>
  <c r="C41" i="27"/>
  <c r="B41" i="27"/>
  <c r="A40" i="26"/>
  <c r="A42" i="25"/>
  <c r="B48" i="30"/>
  <c r="D48" i="30" l="1"/>
  <c r="C48" i="30"/>
  <c r="A49" i="30"/>
  <c r="A43" i="29"/>
  <c r="B42" i="27"/>
  <c r="A43" i="27"/>
  <c r="C42" i="27"/>
  <c r="A41" i="26"/>
  <c r="A43" i="25"/>
  <c r="B49" i="30"/>
  <c r="D49" i="30" l="1"/>
  <c r="C49" i="30"/>
  <c r="A50" i="30"/>
  <c r="C43" i="27"/>
  <c r="B43" i="27"/>
  <c r="A42" i="26"/>
  <c r="B50" i="30"/>
  <c r="D50" i="30" l="1"/>
  <c r="C50" i="30"/>
  <c r="A43" i="26"/>
</calcChain>
</file>

<file path=xl/sharedStrings.xml><?xml version="1.0" encoding="utf-8"?>
<sst xmlns="http://schemas.openxmlformats.org/spreadsheetml/2006/main" count="1141" uniqueCount="327">
  <si>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</si>
  <si>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</si>
  <si>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</si>
  <si>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</si>
  <si>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</si>
  <si>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</si>
  <si>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</si>
  <si>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</si>
  <si>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</si>
  <si>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</si>
  <si>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</si>
  <si>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</si>
  <si>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</si>
  <si>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</si>
  <si>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</si>
  <si>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</si>
  <si>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</si>
  <si>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</si>
  <si>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</si>
  <si>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</si>
  <si>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</si>
  <si>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</si>
  <si>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</si>
  <si>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</si>
  <si>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</si>
  <si>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</si>
  <si>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</si>
  <si>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</si>
  <si>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</si>
  <si>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</si>
  <si>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</si>
  <si>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</si>
  <si>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</si>
  <si>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</si>
  <si>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</si>
  <si>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</si>
  <si>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</si>
  <si>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</si>
  <si>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</si>
  <si>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</si>
  <si>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</si>
  <si>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</si>
  <si>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</si>
  <si>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</si>
  <si>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</si>
  <si>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</si>
  <si>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</si>
  <si>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</si>
  <si>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</si>
  <si>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</si>
  <si>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</si>
  <si>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</si>
  <si>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</si>
  <si>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</si>
  <si>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</si>
  <si>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</si>
  <si>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</si>
  <si>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</si>
  <si>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</si>
  <si>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</si>
  <si>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</si>
  <si>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</si>
  <si>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</si>
  <si>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</si>
  <si>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</si>
  <si>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</si>
  <si>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</si>
  <si>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</si>
  <si>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</si>
  <si>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</si>
  <si>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</si>
  <si>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</si>
  <si>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</si>
  <si>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</si>
  <si>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</si>
  <si>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</si>
  <si>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</si>
  <si>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</si>
  <si>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</si>
  <si>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</si>
  <si>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</si>
  <si>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</si>
  <si>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</si>
  <si>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</si>
  <si>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</si>
  <si>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</si>
  <si>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</si>
  <si>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</si>
  <si>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</si>
  <si>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</si>
  <si>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</si>
  <si>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</si>
  <si>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</si>
  <si>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Samples</t>
  </si>
  <si>
    <t>MMF</t>
  </si>
  <si>
    <t>Vouchers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</si>
  <si>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</si>
  <si>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</si>
  <si>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</si>
  <si>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</si>
  <si>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</si>
  <si>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</si>
  <si>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Quadractic Eqn.</t>
  </si>
  <si>
    <t>TOTAL</t>
  </si>
  <si>
    <t>Januvia Family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</si>
  <si>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</si>
  <si>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</si>
  <si>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</si>
  <si>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</si>
  <si>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</si>
  <si>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</si>
  <si>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</si>
  <si>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</si>
  <si>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</si>
  <si>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</si>
  <si>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</si>
  <si>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</si>
  <si>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</si>
  <si>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</si>
  <si>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</si>
  <si>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</si>
  <si>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Assumption</t>
  </si>
  <si>
    <t>YT unit</t>
  </si>
  <si>
    <t>Incr. TRx</t>
  </si>
  <si>
    <t>Optimal YT value</t>
  </si>
  <si>
    <t>Multiplication Factor (3yr Adherence Rxs)</t>
  </si>
  <si>
    <t>YT Current</t>
  </si>
  <si>
    <t>Y (Incr. NRx)</t>
  </si>
  <si>
    <t>YT (Incr. TRx)</t>
  </si>
  <si>
    <t>Incr. NRx slope</t>
  </si>
  <si>
    <t>HCC Pharmacy Acquisition</t>
  </si>
  <si>
    <t>Equation: Quadratic Polynomial</t>
  </si>
  <si>
    <t>X  [at]</t>
  </si>
  <si>
    <t>X^2  [bt]</t>
  </si>
  <si>
    <t>Response Function Scaling Factor (for sensitivity analysis)</t>
  </si>
  <si>
    <t>*Note: The above inputs are for quadratic polynomial. Y represents original scale (here, Incr. NRx) used for response function modeling. YT is the transformed Y (here, Incr. TRx) and brings the Response function to the same Y scale needed for optimization.</t>
  </si>
  <si>
    <t>Note2 : ORANGE cells need formulas</t>
  </si>
  <si>
    <r>
      <t xml:space="preserve">SLOPES of Polynomial Eqn for YT. </t>
    </r>
    <r>
      <rPr>
        <b/>
        <sz val="10"/>
        <color rgb="FFC00000"/>
        <rFont val="Calibri"/>
        <family val="2"/>
        <scheme val="minor"/>
      </rPr>
      <t>YT</t>
    </r>
    <r>
      <rPr>
        <sz val="10"/>
        <color rgb="FFC00000"/>
        <rFont val="Calibri"/>
        <family val="2"/>
        <scheme val="minor"/>
      </rPr>
      <t>=at*X+bt*X^2</t>
    </r>
  </si>
  <si>
    <r>
      <t xml:space="preserve">SLOPES of Polynomial Eqn. </t>
    </r>
    <r>
      <rPr>
        <b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>=a*X+b*X^2</t>
    </r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</si>
  <si>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</si>
  <si>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Starting YT value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</si>
  <si>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Janumet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</si>
  <si>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&lt;-- Spend per Incr. TRx</t>
  </si>
  <si>
    <t>Current Values (optional)</t>
  </si>
  <si>
    <t>The current values here represents 2013 levels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</si>
  <si>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Family (JANTOT) Vouchers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</si>
  <si>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Janumet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</si>
  <si>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</si>
  <si>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Inputs for Transformation and Scaling</t>
  </si>
  <si>
    <t>3-Yr Adherence Rxs per New Patient</t>
  </si>
  <si>
    <t>15% increment to Incr. NRx linear projection</t>
  </si>
  <si>
    <t>20% reduction from Incr. NRx linear projection</t>
  </si>
  <si>
    <t>35% reduction from Incr. NRx linear projection</t>
  </si>
  <si>
    <t>60% reduction from Incr. NRx linear projection</t>
  </si>
  <si>
    <t>10% reduction from Incr. NRx linear projection</t>
  </si>
  <si>
    <t>Mean Est. of Incr. NRx from ROI point estimate</t>
  </si>
  <si>
    <t>Y (Incr. TRx)</t>
  </si>
  <si>
    <r>
      <rPr>
        <b/>
        <sz val="10"/>
        <color rgb="FFC00000"/>
        <rFont val="Calibri"/>
        <family val="2"/>
        <scheme val="minor"/>
      </rPr>
      <t>Januvia Family MMF</t>
    </r>
    <r>
      <rPr>
        <sz val="10"/>
        <color theme="1"/>
        <rFont val="Calibri"/>
        <family val="2"/>
        <scheme val="minor"/>
      </rPr>
      <t>. Given a set of X and Y values, a cubic spline function (i.e., a smooth continuous curve) is fit for each pair of values</t>
    </r>
  </si>
  <si>
    <r>
      <rPr>
        <b/>
        <sz val="10"/>
        <color rgb="FFC00000"/>
        <rFont val="Calibri"/>
        <family val="2"/>
        <scheme val="minor"/>
      </rPr>
      <t>Januvia Family HCC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</si>
  <si>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</si>
  <si>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HCC Pharmacy Acquisition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</si>
  <si>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Adherence</t>
  </si>
  <si>
    <r>
      <rPr>
        <b/>
        <sz val="10"/>
        <color rgb="FFC00000"/>
        <rFont val="Calibri"/>
        <family val="2"/>
        <scheme val="minor"/>
      </rPr>
      <t>Januvia Family HCC Adherence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</si>
  <si>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Multiplication Factor (=1 since Y and YT units are same Incr. TRx here)</t>
  </si>
  <si>
    <t xml:space="preserve"> TRx</t>
  </si>
  <si>
    <t>Samples, Vouchers, MMF, HCC, MCM, HCC Pharmacy Acquisition and Adherence</t>
  </si>
  <si>
    <r>
      <t xml:space="preserve">To optimize allocation of spend across represented channels. All used response functions are converted to </t>
    </r>
    <r>
      <rPr>
        <b/>
        <sz val="10"/>
        <color theme="1"/>
        <rFont val="Calibri"/>
        <family val="2"/>
        <scheme val="minor"/>
      </rPr>
      <t>Channel Spend vs.  Incr. TRx scale</t>
    </r>
  </si>
  <si>
    <t>Spend in $</t>
  </si>
  <si>
    <t xml:space="preserve">Incremental TRx </t>
  </si>
  <si>
    <t>Response Scaling Factor for Sensitivity Analysis</t>
  </si>
  <si>
    <t>Janumet + XR</t>
  </si>
  <si>
    <t>Pharmacy Acquisition</t>
  </si>
  <si>
    <t>Adherence</t>
  </si>
  <si>
    <t>Scurve Est. [Base Adjusted]</t>
  </si>
  <si>
    <t>Spline [Assumed Response Decays]</t>
  </si>
  <si>
    <t>Current 2013 budget place holder values.</t>
  </si>
  <si>
    <t>Budgeted Spend ($)</t>
  </si>
  <si>
    <t>Phar. Acquisition</t>
  </si>
  <si>
    <t>Total</t>
  </si>
  <si>
    <t>Est. Spend per Incr. NRx (approx)</t>
  </si>
  <si>
    <t>Est. Spend per Incr. TRx (approx)</t>
  </si>
  <si>
    <t xml:space="preserve"> - </t>
  </si>
  <si>
    <t>NA</t>
  </si>
  <si>
    <t>Assumptions on Current and Max. Impact</t>
  </si>
  <si>
    <t>TRx</t>
  </si>
  <si>
    <t>NRx</t>
  </si>
  <si>
    <t>Base Unit</t>
  </si>
  <si>
    <t>% Impact w.r.t 2012 Base Unit</t>
  </si>
  <si>
    <t>Assumed Max. Impact (for S-Curve)</t>
  </si>
  <si>
    <t>Base Unit Value (2012 NPA)</t>
  </si>
  <si>
    <t>Est. Mktg. Spend per Incr. Rx From Response Curves (~ 2012 or 2013 spend levels):</t>
  </si>
  <si>
    <t>Reference: 2012 Spend Index Chart from CSD Audit Data</t>
  </si>
  <si>
    <t>Spend and Volume</t>
  </si>
  <si>
    <t>DPP-4</t>
  </si>
  <si>
    <t>DPP-4 Combo</t>
  </si>
  <si>
    <t>GLP-1</t>
  </si>
  <si>
    <t>TZD</t>
  </si>
  <si>
    <t>2012 Index (Januvia = 100)</t>
  </si>
  <si>
    <t>Share of Spend</t>
  </si>
  <si>
    <t>Shares within DPP-4 Brands</t>
  </si>
  <si>
    <t>Shares within DPP-4 Combo Brands</t>
  </si>
  <si>
    <t>Shares when Main Brands are considered
[Brands here + JentaDueto + Byetta + Actos]</t>
  </si>
  <si>
    <t>Year</t>
  </si>
  <si>
    <t>JANUVIA</t>
  </si>
  <si>
    <t>TRADJENTA</t>
  </si>
  <si>
    <t>ONGLYZA</t>
  </si>
  <si>
    <t>JANUMET + XR</t>
  </si>
  <si>
    <t>KOMBIGLYZE</t>
  </si>
  <si>
    <t>JENTADUETO</t>
  </si>
  <si>
    <t>VICTOZA</t>
  </si>
  <si>
    <t>BYETTA</t>
  </si>
  <si>
    <t>ACTOS</t>
  </si>
  <si>
    <t>Total Promo</t>
  </si>
  <si>
    <t>Detail Spend</t>
  </si>
  <si>
    <t>Detail Volume</t>
  </si>
  <si>
    <t>Sample Spend</t>
  </si>
  <si>
    <t>DTC Spend</t>
  </si>
  <si>
    <t>Meetings Spend</t>
  </si>
  <si>
    <t>Mailings Spend</t>
  </si>
  <si>
    <t>Clinical Trial Spend</t>
  </si>
  <si>
    <t>Print Spend</t>
  </si>
  <si>
    <t>Spend Category</t>
  </si>
  <si>
    <t>2013 Total Spend</t>
  </si>
  <si>
    <t>Difference</t>
  </si>
  <si>
    <t xml:space="preserve">% Change </t>
  </si>
  <si>
    <t>SC_1_DISEASE_TREATMENT_RSCRS</t>
  </si>
  <si>
    <t>SC_1_PRODUCT_PROMO_RESOURCES</t>
  </si>
  <si>
    <t>SC_2_ADVERTISING_PROGRAMS</t>
  </si>
  <si>
    <t>SC_2_MCM_CAMPAIGN_EXECUTION</t>
  </si>
  <si>
    <t>SC_3_LECTURE_PROGRAMS</t>
  </si>
  <si>
    <t>SC_3_MMFS</t>
  </si>
  <si>
    <t>SC_6_COUPONS_VOUCHERS</t>
  </si>
  <si>
    <t>SC_6_PRODUCT_SAMPLES</t>
  </si>
  <si>
    <t>SC_6_SAMPLES_DIST_FULFILLMENT</t>
  </si>
  <si>
    <t>Delta X 
($ Spend)</t>
  </si>
  <si>
    <t>Delta Y 
(Incr. TRx)</t>
  </si>
  <si>
    <t>Local Constraints ($ Spend)</t>
  </si>
  <si>
    <t>Incremental Revenue vs. Channel Spend</t>
  </si>
  <si>
    <t>Measured Unit of Response</t>
  </si>
  <si>
    <t>2013 Planned Spend ($)</t>
  </si>
  <si>
    <t>Incremental Rxs (in Response Units)</t>
  </si>
  <si>
    <t>Year 1</t>
  </si>
  <si>
    <t>Year 2</t>
  </si>
  <si>
    <t>Year 3</t>
  </si>
  <si>
    <t>2013 Optimal Spend ($)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</si>
  <si>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</si>
  <si>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</si>
  <si>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</si>
  <si>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</si>
  <si>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</si>
  <si>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</si>
  <si>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</si>
  <si>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</si>
  <si>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</si>
  <si>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</si>
  <si>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</si>
  <si>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</si>
  <si>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</si>
  <si>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</si>
  <si>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Y opt 
(Incr. TRx)</t>
  </si>
  <si>
    <t>X curr 
($ Spend)</t>
  </si>
  <si>
    <t>Y curr 
(Incr. TRx)</t>
  </si>
  <si>
    <t>Post Tax PGM ($)</t>
  </si>
  <si>
    <t>3-yr post tax NPV</t>
  </si>
  <si>
    <t>3-yr Incr. Rev.</t>
  </si>
  <si>
    <t xml:space="preserve"> Incr. Rev.</t>
  </si>
  <si>
    <t>Current Spend</t>
  </si>
  <si>
    <t>Min. Constraint</t>
  </si>
  <si>
    <t>Max. Constraint</t>
  </si>
  <si>
    <t>Januvia Samples</t>
  </si>
  <si>
    <t>Janumet Samples</t>
  </si>
  <si>
    <t>Notes</t>
  </si>
  <si>
    <t>New Patient</t>
  </si>
  <si>
    <t>Equal Impact Distribution</t>
  </si>
  <si>
    <r>
      <rPr>
        <b/>
        <sz val="10"/>
        <color rgb="FF0000FF"/>
        <rFont val="Calibri"/>
        <family val="2"/>
        <scheme val="minor"/>
      </rPr>
      <t>CASE 3A.</t>
    </r>
    <r>
      <rPr>
        <sz val="10"/>
        <color rgb="FF0000FF"/>
        <rFont val="Calibri"/>
        <family val="2"/>
        <scheme val="minor"/>
      </rPr>
      <t xml:space="preserve"> Increase Max. spends for HCC, MCM, MMF, VCH &amp; Sample to 2012-Q1 projected spend levels +10%. Other channels allow +10% of curr. Spend. Let min. local spends to be at current level -10%. Global spend is same as </t>
    </r>
    <r>
      <rPr>
        <u/>
        <sz val="10"/>
        <color rgb="FF0000FF"/>
        <rFont val="Calibri"/>
        <family val="2"/>
        <scheme val="minor"/>
      </rPr>
      <t>2012-Q1 projected level</t>
    </r>
    <r>
      <rPr>
        <sz val="10"/>
        <color rgb="FF0000FF"/>
        <rFont val="Calibri"/>
        <family val="2"/>
        <scheme val="minor"/>
      </rPr>
      <t>. NOTE: If Q1-12 level is less than curr. spend, then base for min and max spends are reversed.</t>
    </r>
  </si>
  <si>
    <t>Reference: Annualized 2011 S2 Spend (Growth period in terms of NRx)</t>
  </si>
  <si>
    <t>Yearly projection based on 2011-S2  vs. 2013</t>
  </si>
  <si>
    <t>2011_S2</t>
  </si>
  <si>
    <t>Yearly spend based on 2011 S2 spend levels</t>
  </si>
  <si>
    <t>Comparison of samples across various years</t>
  </si>
  <si>
    <t>Change ('12 vs '13)</t>
  </si>
  <si>
    <t>Change ('11 vs '12)</t>
  </si>
  <si>
    <t>Compared to 2011</t>
  </si>
  <si>
    <t>2013 JAN samples increased by ~25% to 30%</t>
  </si>
  <si>
    <t>2013 JMT samples decreased by ~15%</t>
  </si>
  <si>
    <t>Overall sample UNITS increased by ~10%</t>
  </si>
  <si>
    <t>Janumet + XR (no XR in 2011)</t>
  </si>
  <si>
    <r>
      <rPr>
        <b/>
        <u/>
        <sz val="11"/>
        <color theme="1"/>
        <rFont val="Calibri"/>
        <family val="2"/>
        <scheme val="minor"/>
      </rPr>
      <t>Sample 7 DOT</t>
    </r>
    <r>
      <rPr>
        <sz val="11"/>
        <color theme="1"/>
        <rFont val="Calibri"/>
        <family val="2"/>
        <scheme val="minor"/>
      </rPr>
      <t xml:space="preserve"> from Grail</t>
    </r>
  </si>
  <si>
    <r>
      <rPr>
        <b/>
        <u/>
        <sz val="11"/>
        <color theme="1"/>
        <rFont val="Calibri"/>
        <family val="2"/>
        <scheme val="minor"/>
      </rPr>
      <t>Sample UNITS</t>
    </r>
    <r>
      <rPr>
        <sz val="11"/>
        <color theme="1"/>
        <rFont val="Calibri"/>
        <family val="2"/>
        <scheme val="minor"/>
      </rPr>
      <t xml:space="preserve"> from Forecast (Gail Boyden)</t>
    </r>
  </si>
  <si>
    <t>Equivalent 2011-S2 Projected level.</t>
  </si>
  <si>
    <t>S2-11 level is less than curr level. MIN is 80% of curr. MAX is 10% more than curr.</t>
  </si>
  <si>
    <t>7DOT Samples</t>
  </si>
  <si>
    <t>Sample Units</t>
  </si>
  <si>
    <t>Budget ($)</t>
  </si>
  <si>
    <t>2013 Forecast</t>
  </si>
  <si>
    <t>Janumet XR</t>
  </si>
  <si>
    <t>Janumet Total</t>
  </si>
  <si>
    <t>NONE</t>
  </si>
  <si>
    <t>Difference (in %) ==&gt;</t>
  </si>
  <si>
    <t>Comment</t>
  </si>
  <si>
    <t>An overall MAX constraint of 20% would increase budget by $3MM which would support doubling Janumet IR.</t>
  </si>
  <si>
    <r>
      <rPr>
        <b/>
        <sz val="11"/>
        <color theme="1"/>
        <rFont val="Calibri"/>
        <family val="2"/>
        <scheme val="minor"/>
      </rPr>
      <t>2013</t>
    </r>
    <r>
      <rPr>
        <sz val="11"/>
        <color theme="1"/>
        <rFont val="Calibri"/>
        <family val="2"/>
        <scheme val="minor"/>
      </rPr>
      <t>: Small change in budgets. Units increased. DOT decreased. Hence, probably +20% MAX constraint is ok.</t>
    </r>
  </si>
  <si>
    <r>
      <rPr>
        <b/>
        <sz val="11"/>
        <color theme="1"/>
        <rFont val="Calibri"/>
        <family val="2"/>
        <scheme val="minor"/>
      </rPr>
      <t>2013</t>
    </r>
    <r>
      <rPr>
        <sz val="11"/>
        <color theme="1"/>
        <rFont val="Calibri"/>
        <family val="2"/>
        <scheme val="minor"/>
      </rPr>
      <t>: JMT budget reduced. Could be increased by 175% (~$2MM). Same with Units and DOT.</t>
    </r>
  </si>
  <si>
    <t>Janumet XR not launched in 2011.</t>
  </si>
  <si>
    <r>
      <t>In 2011-S2 based yearly projection, to produce 3,576,000 total JMT 7DOT samples with similar 2013 JMT / JMT XR split, the 2011 projected budget would be approximately (3,576,000 / 4,305,000) *$15,610,435 =</t>
    </r>
    <r>
      <rPr>
        <b/>
        <sz val="11"/>
        <color rgb="FFC00000"/>
        <rFont val="Calibri"/>
        <family val="2"/>
        <scheme val="minor"/>
      </rPr>
      <t xml:space="preserve"> $13 MM.</t>
    </r>
  </si>
  <si>
    <r>
      <t>Janumet IR</t>
    </r>
    <r>
      <rPr>
        <b/>
        <sz val="11"/>
        <color rgb="FF0000FF"/>
        <rFont val="Calibri"/>
        <family val="2"/>
        <scheme val="minor"/>
      </rPr>
      <t>*</t>
    </r>
  </si>
  <si>
    <t>Other notes,</t>
  </si>
  <si>
    <t>In calculating DOT of samples for Januvia in 2013, their sample pack changes from 28 tabs to 14 tabs from Feb 2013 onwards is considered.</t>
  </si>
  <si>
    <t>In 2013, Janmet IR has sample units with both 28 DOT and 14 DOT supplies. DOT of samples computation takes into acoount of this.</t>
  </si>
  <si>
    <t>In 2013, Janumet XR has only 14 DOT sample units.</t>
  </si>
  <si>
    <t xml:space="preserve"> * For numbers in blue,  actual values are multiplied by 1.5 as Nov/Dec 2011 had 0 samples and samples shipped in previous months would have been distributed throughout 2011-S2.</t>
  </si>
  <si>
    <r>
      <t>2011-S2 Projected to Yearly levels
[</t>
    </r>
    <r>
      <rPr>
        <sz val="11"/>
        <color theme="1"/>
        <rFont val="Calibri"/>
        <family val="2"/>
        <scheme val="minor"/>
      </rPr>
      <t>Jul/2011 to Dec/2011 numbers are aggregated and then doubled to compute the yearly level</t>
    </r>
    <r>
      <rPr>
        <b/>
        <sz val="11"/>
        <color theme="1"/>
        <rFont val="Calibri"/>
        <family val="2"/>
        <scheme val="minor"/>
      </rPr>
      <t>]</t>
    </r>
  </si>
  <si>
    <t>Considered same as current spend. Min and Max as specified by Marketing lead Chris Yothers</t>
  </si>
  <si>
    <t>Change --&gt;</t>
  </si>
  <si>
    <t>% Change  --&gt;</t>
  </si>
  <si>
    <t>S2-11 is similar to curr. Budget. MIN and MAX are curr. -20% and curr. +20% respectively.</t>
  </si>
  <si>
    <t>Equivalent S2-11 budget is slightly less than current to produce the total 2011-S2 projected DOT of samples. MIN and MAX are curr. -20% and curr. +20%. This may also support doubling of Janumet IR during 2013-S2.</t>
  </si>
  <si>
    <t>Assumed same level as current for S2-11. MIN and MAX are curr.-10% and curr.+10%.</t>
  </si>
  <si>
    <t>2011eq MMF spends are approximate. MIN is same as curr. Max is same as 2011-S2 (since it is much higher than curr)</t>
  </si>
  <si>
    <t>Assume S2-11 lvl of $36 MM represents consumer HCC only. MIN is same as curr. MAX is same as 2011-S2 (as it is much higher than current).</t>
  </si>
  <si>
    <r>
      <t xml:space="preserve">Total Spend Increases by about </t>
    </r>
    <r>
      <rPr>
        <b/>
        <sz val="11"/>
        <color theme="1"/>
        <rFont val="Calibri"/>
        <family val="2"/>
        <scheme val="minor"/>
      </rPr>
      <t>$9.89MM</t>
    </r>
  </si>
  <si>
    <t>Januvia Family (Januvia / Janumet)</t>
  </si>
  <si>
    <t xml:space="preserve">Januvia </t>
  </si>
  <si>
    <t xml:space="preserve">Janumet </t>
  </si>
  <si>
    <t>3-Yr Adherence Rxs per New Patient (from finance NPV sheet) - JANUVIA FAMILY</t>
  </si>
  <si>
    <t>3-Yr Adherence Rxs per New Patient (from finance NPV sheet) - JANUVIA</t>
  </si>
  <si>
    <t>3-Yr Adherence Rxs per New Patient (from finance NPV sheet) - JANUMET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</si>
</sst>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_(&quot;$&quot;* #,##0.0_);_(&quot;$&quot;* \(#,##0.0\);_(&quot;$&quot;* &quot;-&quot;??_);_(@_)"/>
  </numFmts>
  <fonts count="5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0"/>
      <color rgb="FF0000FF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rgb="FF0000FF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9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2" applyNumberFormat="0" applyFill="0" applyAlignment="0" applyProtection="0"/>
    <xf numFmtId="0" fontId="16" fillId="0" borderId="53" applyNumberFormat="0" applyFill="0" applyAlignment="0" applyProtection="0"/>
    <xf numFmtId="0" fontId="17" fillId="0" borderId="54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5" applyNumberFormat="0" applyAlignment="0" applyProtection="0"/>
    <xf numFmtId="0" fontId="22" fillId="14" borderId="56" applyNumberFormat="0" applyAlignment="0" applyProtection="0"/>
    <xf numFmtId="0" fontId="23" fillId="14" borderId="55" applyNumberFormat="0" applyAlignment="0" applyProtection="0"/>
    <xf numFmtId="0" fontId="24" fillId="0" borderId="57" applyNumberFormat="0" applyFill="0" applyAlignment="0" applyProtection="0"/>
    <xf numFmtId="0" fontId="25" fillId="15" borderId="58" applyNumberFormat="0" applyAlignment="0" applyProtection="0"/>
    <xf numFmtId="0" fontId="26" fillId="0" borderId="0" applyNumberFormat="0" applyFill="0" applyBorder="0" applyAlignment="0" applyProtection="0"/>
    <xf numFmtId="0" fontId="11" fillId="16" borderId="5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60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46" fillId="0" borderId="0"/>
    <xf numFmtId="0" fontId="46" fillId="0" borderId="0"/>
    <xf numFmtId="43" fontId="46" fillId="0" borderId="0" applyFont="0" applyFill="0" applyBorder="0" applyAlignment="0" applyProtection="0"/>
    <xf numFmtId="0" fontId="46" fillId="0" borderId="0"/>
  </cellStyleXfs>
  <cellXfs count="492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64" fontId="1" fillId="2" borderId="12" xfId="4" applyNumberFormat="1" applyFont="1" applyFill="1" applyBorder="1"/>
    <xf numFmtId="164" fontId="1" fillId="2" borderId="37" xfId="4" applyNumberFormat="1" applyFont="1" applyFill="1" applyBorder="1"/>
    <xf numFmtId="0" fontId="1" fillId="5" borderId="2" xfId="0" applyFont="1" applyFill="1" applyBorder="1"/>
    <xf numFmtId="164" fontId="1" fillId="5" borderId="2" xfId="0" applyNumberFormat="1" applyFont="1" applyFill="1" applyBorder="1"/>
    <xf numFmtId="3" fontId="1" fillId="5" borderId="2" xfId="0" applyNumberFormat="1" applyFont="1" applyFill="1" applyBorder="1"/>
    <xf numFmtId="9" fontId="1" fillId="0" borderId="0" xfId="0" applyNumberFormat="1" applyFont="1"/>
    <xf numFmtId="9" fontId="1" fillId="5" borderId="2" xfId="3" applyFont="1" applyFill="1" applyBorder="1"/>
    <xf numFmtId="164" fontId="1" fillId="2" borderId="10" xfId="4" applyNumberFormat="1" applyFont="1" applyFill="1" applyBorder="1"/>
    <xf numFmtId="6" fontId="1" fillId="2" borderId="10" xfId="0" applyNumberFormat="1" applyFont="1" applyFill="1" applyBorder="1"/>
    <xf numFmtId="6" fontId="1" fillId="2" borderId="11" xfId="0" applyNumberFormat="1" applyFont="1" applyFill="1" applyBorder="1"/>
    <xf numFmtId="164" fontId="1" fillId="6" borderId="2" xfId="0" applyNumberFormat="1" applyFont="1" applyFill="1" applyBorder="1"/>
    <xf numFmtId="3" fontId="1" fillId="2" borderId="11" xfId="0" applyNumberFormat="1" applyFont="1" applyFill="1" applyBorder="1"/>
    <xf numFmtId="3" fontId="3" fillId="6" borderId="17" xfId="0" applyNumberFormat="1" applyFont="1" applyFill="1" applyBorder="1"/>
    <xf numFmtId="3" fontId="1" fillId="2" borderId="1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43" fontId="1" fillId="2" borderId="10" xfId="2" applyNumberFormat="1" applyFont="1" applyFill="1" applyBorder="1"/>
    <xf numFmtId="166" fontId="1" fillId="2" borderId="10" xfId="0" applyNumberFormat="1" applyFont="1" applyFill="1" applyBorder="1" applyAlignment="1">
      <alignment vertical="center" wrapText="1"/>
    </xf>
    <xf numFmtId="166" fontId="1" fillId="2" borderId="17" xfId="0" applyNumberFormat="1" applyFont="1" applyFill="1" applyBorder="1" applyAlignment="1">
      <alignment vertical="center" wrapText="1"/>
    </xf>
    <xf numFmtId="166" fontId="3" fillId="5" borderId="23" xfId="0" applyNumberFormat="1" applyFont="1" applyFill="1" applyBorder="1"/>
    <xf numFmtId="3" fontId="1" fillId="6" borderId="11" xfId="0" applyNumberFormat="1" applyFont="1" applyFill="1" applyBorder="1"/>
    <xf numFmtId="3" fontId="1" fillId="6" borderId="2" xfId="0" applyNumberFormat="1" applyFont="1" applyFill="1" applyBorder="1"/>
    <xf numFmtId="166" fontId="3" fillId="5" borderId="10" xfId="0" applyNumberFormat="1" applyFont="1" applyFill="1" applyBorder="1"/>
    <xf numFmtId="3" fontId="3" fillId="6" borderId="10" xfId="0" applyNumberFormat="1" applyFont="1" applyFill="1" applyBorder="1"/>
    <xf numFmtId="3" fontId="4" fillId="6" borderId="10" xfId="0" applyNumberFormat="1" applyFont="1" applyFill="1" applyBorder="1"/>
    <xf numFmtId="166" fontId="1" fillId="2" borderId="23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166" fontId="4" fillId="2" borderId="2" xfId="0" applyNumberFormat="1" applyFont="1" applyFill="1" applyBorder="1" applyAlignment="1">
      <alignment vertical="center" wrapText="1"/>
    </xf>
    <xf numFmtId="166" fontId="4" fillId="2" borderId="2" xfId="0" applyNumberFormat="1" applyFont="1" applyFill="1" applyBorder="1" applyAlignment="1">
      <alignment horizontal="right" wrapText="1"/>
    </xf>
    <xf numFmtId="3" fontId="2" fillId="2" borderId="2" xfId="0" applyNumberFormat="1" applyFont="1" applyFill="1" applyBorder="1" applyAlignment="1">
      <alignment horizontal="right" vertical="center" wrapText="1"/>
    </xf>
    <xf numFmtId="3" fontId="4" fillId="2" borderId="2" xfId="0" applyNumberFormat="1" applyFont="1" applyFill="1" applyBorder="1" applyAlignment="1">
      <alignment horizontal="right" vertical="center" wrapText="1"/>
    </xf>
    <xf numFmtId="0" fontId="30" fillId="0" borderId="0" xfId="0" applyFont="1" applyBorder="1" applyAlignment="1"/>
    <xf numFmtId="0" fontId="5" fillId="0" borderId="0" xfId="0" applyFont="1" applyBorder="1"/>
    <xf numFmtId="0" fontId="0" fillId="0" borderId="0" xfId="0" applyFont="1" applyBorder="1" applyAlignment="1"/>
    <xf numFmtId="0" fontId="34" fillId="0" borderId="0" xfId="0" applyFont="1" applyBorder="1" applyAlignment="1"/>
    <xf numFmtId="9" fontId="34" fillId="0" borderId="0" xfId="0" applyNumberFormat="1" applyFont="1" applyBorder="1" applyAlignment="1"/>
    <xf numFmtId="3" fontId="4" fillId="2" borderId="8" xfId="0" applyNumberFormat="1" applyFont="1" applyFill="1" applyBorder="1" applyAlignment="1">
      <alignment horizontal="right" vertical="center" wrapText="1"/>
    </xf>
    <xf numFmtId="166" fontId="4" fillId="2" borderId="10" xfId="0" applyNumberFormat="1" applyFont="1" applyFill="1" applyBorder="1" applyAlignment="1"/>
    <xf numFmtId="3" fontId="4" fillId="2" borderId="10" xfId="0" applyNumberFormat="1" applyFont="1" applyFill="1" applyBorder="1" applyAlignment="1">
      <alignment horizontal="right"/>
    </xf>
    <xf numFmtId="3" fontId="4" fillId="2" borderId="11" xfId="0" applyNumberFormat="1" applyFont="1" applyFill="1" applyBorder="1" applyAlignment="1">
      <alignment horizontal="right"/>
    </xf>
    <xf numFmtId="0" fontId="2" fillId="3" borderId="10" xfId="0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vertical="center" wrapText="1"/>
    </xf>
    <xf numFmtId="3" fontId="2" fillId="2" borderId="8" xfId="0" applyNumberFormat="1" applyFont="1" applyFill="1" applyBorder="1" applyAlignment="1">
      <alignment horizontal="right" vertical="center" wrapText="1"/>
    </xf>
    <xf numFmtId="0" fontId="4" fillId="7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2" fillId="3" borderId="69" xfId="0" applyFont="1" applyFill="1" applyBorder="1" applyAlignment="1">
      <alignment horizontal="center" vertical="center" wrapText="1"/>
    </xf>
    <xf numFmtId="3" fontId="3" fillId="6" borderId="64" xfId="0" applyNumberFormat="1" applyFont="1" applyFill="1" applyBorder="1"/>
    <xf numFmtId="3" fontId="1" fillId="6" borderId="70" xfId="0" applyNumberFormat="1" applyFont="1" applyFill="1" applyBorder="1"/>
    <xf numFmtId="0" fontId="1" fillId="2" borderId="10" xfId="0" applyFont="1" applyFill="1" applyBorder="1" applyAlignment="1">
      <alignment wrapText="1"/>
    </xf>
    <xf numFmtId="43" fontId="1" fillId="2" borderId="9" xfId="2" applyNumberFormat="1" applyFont="1" applyFill="1" applyBorder="1"/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43" fontId="31" fillId="2" borderId="9" xfId="2" applyNumberFormat="1" applyFont="1" applyFill="1" applyBorder="1"/>
    <xf numFmtId="164" fontId="1" fillId="2" borderId="10" xfId="4" applyNumberFormat="1" applyFont="1" applyFill="1" applyBorder="1"/>
    <xf numFmtId="9" fontId="1" fillId="0" borderId="12" xfId="0" applyNumberFormat="1" applyFont="1" applyBorder="1"/>
    <xf numFmtId="9" fontId="1" fillId="0" borderId="37" xfId="0" applyNumberFormat="1" applyFont="1" applyBorder="1"/>
    <xf numFmtId="0" fontId="1" fillId="0" borderId="2" xfId="0" applyFont="1" applyBorder="1" applyAlignment="1">
      <alignment wrapText="1"/>
    </xf>
    <xf numFmtId="0" fontId="28" fillId="9" borderId="2" xfId="0" applyFont="1" applyFill="1" applyBorder="1" applyAlignment="1">
      <alignment horizontal="center" vertical="center" wrapText="1"/>
    </xf>
    <xf numFmtId="164" fontId="1" fillId="0" borderId="2" xfId="4" applyNumberFormat="1" applyFont="1" applyFill="1" applyBorder="1"/>
    <xf numFmtId="164" fontId="1" fillId="0" borderId="2" xfId="4" applyNumberFormat="1" applyFont="1" applyBorder="1"/>
    <xf numFmtId="0" fontId="37" fillId="0" borderId="0" xfId="0" applyFont="1"/>
    <xf numFmtId="164" fontId="40" fillId="2" borderId="2" xfId="4" applyNumberFormat="1" applyFont="1" applyFill="1" applyBorder="1"/>
    <xf numFmtId="164" fontId="39" fillId="0" borderId="2" xfId="4" applyNumberFormat="1" applyFont="1" applyBorder="1"/>
    <xf numFmtId="42" fontId="39" fillId="0" borderId="2" xfId="4" applyNumberFormat="1" applyFont="1" applyBorder="1" applyAlignment="1">
      <alignment horizontal="right"/>
    </xf>
    <xf numFmtId="0" fontId="5" fillId="2" borderId="2" xfId="0" applyFont="1" applyFill="1" applyBorder="1" applyAlignment="1">
      <alignment wrapText="1"/>
    </xf>
    <xf numFmtId="0" fontId="43" fillId="0" borderId="2" xfId="0" applyFont="1" applyBorder="1"/>
    <xf numFmtId="0" fontId="28" fillId="0" borderId="2" xfId="0" applyFont="1" applyBorder="1" applyAlignment="1">
      <alignment wrapText="1"/>
    </xf>
    <xf numFmtId="164" fontId="0" fillId="0" borderId="2" xfId="0" applyNumberFormat="1" applyBorder="1" applyAlignment="1">
      <alignment horizontal="right"/>
    </xf>
    <xf numFmtId="164" fontId="0" fillId="0" borderId="2" xfId="0" applyNumberFormat="1" applyBorder="1"/>
    <xf numFmtId="164" fontId="0" fillId="0" borderId="2" xfId="4" applyNumberFormat="1" applyFont="1" applyBorder="1"/>
    <xf numFmtId="0" fontId="0" fillId="0" borderId="2" xfId="0" applyBorder="1"/>
    <xf numFmtId="3" fontId="0" fillId="0" borderId="2" xfId="0" applyNumberFormat="1" applyBorder="1"/>
    <xf numFmtId="0" fontId="0" fillId="0" borderId="2" xfId="0" applyBorder="1" applyAlignment="1">
      <alignment horizontal="right"/>
    </xf>
    <xf numFmtId="10" fontId="42" fillId="0" borderId="2" xfId="0" applyNumberFormat="1" applyFont="1" applyBorder="1"/>
    <xf numFmtId="10" fontId="34" fillId="0" borderId="2" xfId="0" applyNumberFormat="1" applyFont="1" applyBorder="1"/>
    <xf numFmtId="0" fontId="0" fillId="0" borderId="0" xfId="0"/>
    <xf numFmtId="10" fontId="0" fillId="0" borderId="2" xfId="0" applyNumberFormat="1" applyBorder="1"/>
    <xf numFmtId="0" fontId="0" fillId="2" borderId="2" xfId="0" applyFill="1" applyBorder="1"/>
    <xf numFmtId="0" fontId="0" fillId="0" borderId="0" xfId="0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5" fillId="0" borderId="0" xfId="0" applyFont="1"/>
    <xf numFmtId="0" fontId="1" fillId="0" borderId="0" xfId="0" applyFont="1" applyAlignment="1">
      <alignment wrapText="1"/>
    </xf>
    <xf numFmtId="0" fontId="0" fillId="0" borderId="0" xfId="0"/>
    <xf numFmtId="0" fontId="0" fillId="0" borderId="2" xfId="0" applyBorder="1"/>
    <xf numFmtId="0" fontId="38" fillId="0" borderId="0" xfId="0" applyFont="1"/>
    <xf numFmtId="0" fontId="1" fillId="0" borderId="2" xfId="0" applyFont="1" applyBorder="1"/>
    <xf numFmtId="165" fontId="0" fillId="0" borderId="2" xfId="2" applyNumberFormat="1" applyFont="1" applyBorder="1"/>
    <xf numFmtId="0" fontId="28" fillId="44" borderId="12" xfId="0" applyFont="1" applyFill="1" applyBorder="1" applyAlignment="1">
      <alignment horizontal="center" vertical="center"/>
    </xf>
    <xf numFmtId="0" fontId="5" fillId="44" borderId="2" xfId="0" applyFont="1" applyFill="1" applyBorder="1" applyAlignment="1">
      <alignment wrapText="1"/>
    </xf>
    <xf numFmtId="0" fontId="41" fillId="44" borderId="2" xfId="53" applyFont="1" applyFill="1" applyBorder="1" applyAlignment="1">
      <alignment wrapText="1"/>
    </xf>
    <xf numFmtId="0" fontId="0" fillId="0" borderId="71" xfId="0" applyBorder="1"/>
    <xf numFmtId="0" fontId="1" fillId="0" borderId="71" xfId="0" applyFont="1" applyBorder="1"/>
    <xf numFmtId="165" fontId="0" fillId="0" borderId="71" xfId="2" applyNumberFormat="1" applyFont="1" applyBorder="1"/>
    <xf numFmtId="0" fontId="5" fillId="0" borderId="2" xfId="0" applyFont="1" applyBorder="1"/>
    <xf numFmtId="0" fontId="28" fillId="0" borderId="2" xfId="0" applyFont="1" applyBorder="1"/>
    <xf numFmtId="0" fontId="28" fillId="0" borderId="32" xfId="0" applyFont="1" applyBorder="1"/>
    <xf numFmtId="0" fontId="5" fillId="0" borderId="32" xfId="0" applyFont="1" applyBorder="1"/>
    <xf numFmtId="165" fontId="28" fillId="0" borderId="2" xfId="2" applyNumberFormat="1" applyFont="1" applyBorder="1"/>
    <xf numFmtId="165" fontId="28" fillId="46" borderId="2" xfId="2" applyNumberFormat="1" applyFont="1" applyFill="1" applyBorder="1"/>
    <xf numFmtId="165" fontId="28" fillId="46" borderId="32" xfId="2" applyNumberFormat="1" applyFont="1" applyFill="1" applyBorder="1"/>
    <xf numFmtId="165" fontId="28" fillId="46" borderId="71" xfId="2" applyNumberFormat="1" applyFont="1" applyFill="1" applyBorder="1"/>
    <xf numFmtId="165" fontId="28" fillId="0" borderId="32" xfId="2" applyNumberFormat="1" applyFont="1" applyBorder="1"/>
    <xf numFmtId="165" fontId="28" fillId="0" borderId="71" xfId="2" applyNumberFormat="1" applyFont="1" applyBorder="1"/>
    <xf numFmtId="0" fontId="41" fillId="44" borderId="16" xfId="53" applyFont="1" applyFill="1" applyBorder="1" applyAlignment="1">
      <alignment wrapText="1"/>
    </xf>
    <xf numFmtId="0" fontId="41" fillId="44" borderId="22" xfId="53" applyFont="1" applyFill="1" applyBorder="1" applyAlignment="1">
      <alignment wrapText="1"/>
    </xf>
    <xf numFmtId="165" fontId="28" fillId="0" borderId="0" xfId="2" applyNumberFormat="1" applyFont="1" applyBorder="1"/>
    <xf numFmtId="165" fontId="0" fillId="0" borderId="0" xfId="2" applyNumberFormat="1" applyFont="1" applyBorder="1"/>
    <xf numFmtId="0" fontId="28" fillId="0" borderId="76" xfId="0" applyFont="1" applyFill="1" applyBorder="1" applyAlignment="1">
      <alignment horizontal="center" vertical="center" wrapText="1"/>
    </xf>
    <xf numFmtId="0" fontId="41" fillId="0" borderId="76" xfId="53" applyFont="1" applyFill="1" applyBorder="1" applyAlignment="1">
      <alignment wrapText="1"/>
    </xf>
    <xf numFmtId="0" fontId="5" fillId="44" borderId="41" xfId="0" applyFont="1" applyFill="1" applyBorder="1" applyAlignment="1">
      <alignment wrapText="1"/>
    </xf>
    <xf numFmtId="0" fontId="1" fillId="0" borderId="41" xfId="0" applyFont="1" applyBorder="1"/>
    <xf numFmtId="0" fontId="1" fillId="0" borderId="80" xfId="0" applyFont="1" applyBorder="1"/>
    <xf numFmtId="9" fontId="11" fillId="0" borderId="22" xfId="3" applyFont="1" applyBorder="1"/>
    <xf numFmtId="9" fontId="11" fillId="0" borderId="2" xfId="3" applyFont="1" applyBorder="1"/>
    <xf numFmtId="9" fontId="11" fillId="0" borderId="16" xfId="3" applyFont="1" applyBorder="1"/>
    <xf numFmtId="9" fontId="11" fillId="0" borderId="74" xfId="3" applyFont="1" applyBorder="1"/>
    <xf numFmtId="9" fontId="11" fillId="0" borderId="71" xfId="3" applyFont="1" applyBorder="1"/>
    <xf numFmtId="9" fontId="11" fillId="0" borderId="72" xfId="3" applyFont="1" applyBorder="1"/>
    <xf numFmtId="9" fontId="11" fillId="0" borderId="22" xfId="3" applyFont="1" applyFill="1" applyBorder="1"/>
    <xf numFmtId="9" fontId="11" fillId="0" borderId="74" xfId="3" applyFont="1" applyFill="1" applyBorder="1"/>
    <xf numFmtId="9" fontId="0" fillId="0" borderId="22" xfId="3" applyFont="1" applyBorder="1"/>
    <xf numFmtId="9" fontId="0" fillId="0" borderId="16" xfId="3" applyFont="1" applyBorder="1"/>
    <xf numFmtId="9" fontId="0" fillId="0" borderId="22" xfId="3" applyFont="1" applyBorder="1" applyAlignment="1">
      <alignment horizontal="right"/>
    </xf>
    <xf numFmtId="9" fontId="0" fillId="0" borderId="16" xfId="3" applyFont="1" applyBorder="1" applyAlignment="1">
      <alignment horizontal="right"/>
    </xf>
    <xf numFmtId="9" fontId="0" fillId="0" borderId="2" xfId="3" applyFont="1" applyBorder="1"/>
    <xf numFmtId="9" fontId="0" fillId="0" borderId="74" xfId="3" applyFont="1" applyBorder="1"/>
    <xf numFmtId="9" fontId="0" fillId="0" borderId="71" xfId="3" applyFont="1" applyBorder="1"/>
    <xf numFmtId="9" fontId="0" fillId="0" borderId="72" xfId="3" applyFont="1" applyBorder="1"/>
    <xf numFmtId="0" fontId="5" fillId="42" borderId="41" xfId="0" applyFont="1" applyFill="1" applyBorder="1"/>
    <xf numFmtId="9" fontId="11" fillId="42" borderId="2" xfId="3" applyFont="1" applyFill="1" applyBorder="1"/>
    <xf numFmtId="9" fontId="11" fillId="42" borderId="16" xfId="3" applyFont="1" applyFill="1" applyBorder="1"/>
    <xf numFmtId="9" fontId="0" fillId="42" borderId="2" xfId="3" applyFont="1" applyFill="1" applyBorder="1"/>
    <xf numFmtId="9" fontId="0" fillId="42" borderId="16" xfId="3" applyFont="1" applyFill="1" applyBorder="1"/>
    <xf numFmtId="0" fontId="5" fillId="42" borderId="25" xfId="0" applyFont="1" applyFill="1" applyBorder="1"/>
    <xf numFmtId="9" fontId="11" fillId="42" borderId="32" xfId="3" applyFont="1" applyFill="1" applyBorder="1"/>
    <xf numFmtId="9" fontId="11" fillId="42" borderId="73" xfId="3" applyFont="1" applyFill="1" applyBorder="1"/>
    <xf numFmtId="9" fontId="0" fillId="42" borderId="32" xfId="3" applyFont="1" applyFill="1" applyBorder="1"/>
    <xf numFmtId="9" fontId="0" fillId="42" borderId="73" xfId="3" applyFont="1" applyFill="1" applyBorder="1"/>
    <xf numFmtId="9" fontId="28" fillId="42" borderId="22" xfId="3" applyFont="1" applyFill="1" applyBorder="1"/>
    <xf numFmtId="9" fontId="28" fillId="42" borderId="75" xfId="3" applyFont="1" applyFill="1" applyBorder="1"/>
    <xf numFmtId="9" fontId="28" fillId="42" borderId="2" xfId="3" applyFont="1" applyFill="1" applyBorder="1"/>
    <xf numFmtId="9" fontId="28" fillId="42" borderId="32" xfId="3" applyFont="1" applyFill="1" applyBorder="1"/>
    <xf numFmtId="0" fontId="36" fillId="0" borderId="2" xfId="0" applyFont="1" applyBorder="1"/>
    <xf numFmtId="0" fontId="0" fillId="0" borderId="0" xfId="0"/>
    <xf numFmtId="0" fontId="1" fillId="0" borderId="0" xfId="0" applyFont="1"/>
    <xf numFmtId="3" fontId="47" fillId="41" borderId="2" xfId="0" applyNumberFormat="1" applyFont="1" applyFill="1" applyBorder="1" applyAlignment="1">
      <alignment horizontal="center" vertical="center" wrapText="1"/>
    </xf>
    <xf numFmtId="3" fontId="47" fillId="43" borderId="37" xfId="0" applyNumberFormat="1" applyFont="1" applyFill="1" applyBorder="1" applyAlignment="1">
      <alignment horizontal="left" vertical="top" wrapText="1"/>
    </xf>
    <xf numFmtId="3" fontId="47" fillId="43" borderId="71" xfId="0" applyNumberFormat="1" applyFont="1" applyFill="1" applyBorder="1" applyAlignment="1">
      <alignment horizontal="left" vertical="top" wrapText="1"/>
    </xf>
    <xf numFmtId="0" fontId="47" fillId="0" borderId="0" xfId="0" applyFont="1"/>
    <xf numFmtId="3" fontId="48" fillId="43" borderId="37" xfId="0" applyNumberFormat="1" applyFont="1" applyFill="1" applyBorder="1" applyAlignment="1">
      <alignment horizontal="left" vertical="top" wrapText="1"/>
    </xf>
    <xf numFmtId="0" fontId="36" fillId="0" borderId="41" xfId="0" applyFont="1" applyBorder="1"/>
    <xf numFmtId="9" fontId="36" fillId="8" borderId="2" xfId="0" applyNumberFormat="1" applyFont="1" applyFill="1" applyBorder="1"/>
    <xf numFmtId="3" fontId="1" fillId="0" borderId="12" xfId="2" applyNumberFormat="1" applyFont="1" applyFill="1" applyBorder="1" applyAlignment="1">
      <alignment horizontal="right"/>
    </xf>
    <xf numFmtId="3" fontId="1" fillId="0" borderId="37" xfId="2" applyNumberFormat="1" applyFont="1" applyFill="1" applyBorder="1" applyAlignment="1">
      <alignment horizontal="right"/>
    </xf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2" borderId="12" xfId="2" applyNumberFormat="1" applyFont="1" applyFill="1" applyBorder="1" applyAlignment="1">
      <alignment horizontal="left"/>
    </xf>
    <xf numFmtId="42" fontId="1" fillId="42" borderId="37" xfId="2" applyNumberFormat="1" applyFont="1" applyFill="1" applyBorder="1" applyAlignment="1">
      <alignment horizontal="left"/>
    </xf>
    <xf numFmtId="42" fontId="1" fillId="5" borderId="2" xfId="0" applyNumberFormat="1" applyFont="1" applyFill="1" applyBorder="1" applyAlignment="1">
      <alignment horizontal="left"/>
    </xf>
    <xf numFmtId="42" fontId="12" fillId="8" borderId="12" xfId="2" applyNumberFormat="1" applyFont="1" applyFill="1" applyBorder="1"/>
    <xf numFmtId="42" fontId="12" fillId="8" borderId="37" xfId="2" applyNumberFormat="1" applyFont="1" applyFill="1" applyBorder="1"/>
    <xf numFmtId="37" fontId="1" fillId="5" borderId="2" xfId="0" applyNumberFormat="1" applyFont="1" applyFill="1" applyBorder="1"/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164" fontId="1" fillId="8" borderId="2" xfId="0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42" fontId="1" fillId="8" borderId="2" xfId="0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9" fontId="1" fillId="5" borderId="2" xfId="3" applyFont="1" applyFill="1" applyBorder="1" applyAlignment="1">
      <alignment horizontal="left"/>
    </xf>
    <xf numFmtId="3" fontId="49" fillId="0" borderId="37" xfId="2" applyNumberFormat="1" applyFont="1" applyFill="1" applyBorder="1" applyAlignment="1">
      <alignment horizontal="right"/>
    </xf>
    <xf numFmtId="9" fontId="1" fillId="2" borderId="0" xfId="0" applyNumberFormat="1" applyFont="1" applyFill="1"/>
    <xf numFmtId="164" fontId="1" fillId="0" borderId="0" xfId="0" applyNumberFormat="1" applyFont="1"/>
    <xf numFmtId="9" fontId="1" fillId="0" borderId="0" xfId="3" applyFont="1" applyAlignment="1">
      <alignment horizontal="left"/>
    </xf>
    <xf numFmtId="0" fontId="1" fillId="9" borderId="2" xfId="0" applyFont="1" applyFill="1" applyBorder="1" applyAlignment="1">
      <alignment wrapText="1"/>
    </xf>
    <xf numFmtId="0" fontId="1" fillId="9" borderId="2" xfId="0" applyFont="1" applyFill="1" applyBorder="1"/>
    <xf numFmtId="164" fontId="1" fillId="9" borderId="2" xfId="4" applyNumberFormat="1" applyFont="1" applyFill="1" applyBorder="1"/>
    <xf numFmtId="6" fontId="1" fillId="9" borderId="2" xfId="0" applyNumberFormat="1" applyFont="1" applyFill="1" applyBorder="1"/>
    <xf numFmtId="9" fontId="1" fillId="9" borderId="2" xfId="0" applyNumberFormat="1" applyFont="1" applyFill="1" applyBorder="1"/>
    <xf numFmtId="9" fontId="1" fillId="2" borderId="11" xfId="0" applyNumberFormat="1" applyFont="1" applyFill="1" applyBorder="1"/>
    <xf numFmtId="9" fontId="1" fillId="2" borderId="11" xfId="3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center" vertical="center" wrapText="1"/>
    </xf>
    <xf numFmtId="5" fontId="1" fillId="5" borderId="2" xfId="4" applyNumberFormat="1" applyFont="1" applyFill="1" applyBorder="1"/>
    <xf numFmtId="3" fontId="0" fillId="0" borderId="0" xfId="0" applyNumberFormat="1"/>
    <xf numFmtId="164" fontId="0" fillId="0" borderId="0" xfId="0" applyNumberFormat="1"/>
    <xf numFmtId="9" fontId="0" fillId="0" borderId="0" xfId="0" applyNumberFormat="1"/>
    <xf numFmtId="9" fontId="0" fillId="0" borderId="0" xfId="3" applyFont="1"/>
    <xf numFmtId="164" fontId="5" fillId="5" borderId="2" xfId="0" applyNumberFormat="1" applyFont="1" applyFill="1" applyBorder="1"/>
    <xf numFmtId="9" fontId="1" fillId="0" borderId="0" xfId="3" applyFont="1"/>
    <xf numFmtId="0" fontId="28" fillId="0" borderId="0" xfId="0" applyFont="1"/>
    <xf numFmtId="0" fontId="0" fillId="0" borderId="0" xfId="0"/>
    <xf numFmtId="3" fontId="5" fillId="41" borderId="2" xfId="0" applyNumberFormat="1" applyFont="1" applyFill="1" applyBorder="1" applyAlignment="1">
      <alignment horizontal="center" vertical="center" wrapText="1"/>
    </xf>
    <xf numFmtId="0" fontId="38" fillId="0" borderId="0" xfId="0" applyFont="1"/>
    <xf numFmtId="3" fontId="44" fillId="43" borderId="37" xfId="0" applyNumberFormat="1" applyFont="1" applyFill="1" applyBorder="1"/>
    <xf numFmtId="3" fontId="44" fillId="43" borderId="71" xfId="0" applyNumberFormat="1" applyFont="1" applyFill="1" applyBorder="1"/>
    <xf numFmtId="9" fontId="44" fillId="43" borderId="37" xfId="3" applyFont="1" applyFill="1" applyBorder="1"/>
    <xf numFmtId="3" fontId="45" fillId="43" borderId="71" xfId="0" applyNumberFormat="1" applyFont="1" applyFill="1" applyBorder="1"/>
    <xf numFmtId="9" fontId="45" fillId="43" borderId="71" xfId="3" applyFont="1" applyFill="1" applyBorder="1"/>
    <xf numFmtId="0" fontId="0" fillId="0" borderId="0" xfId="0"/>
    <xf numFmtId="3" fontId="5" fillId="41" borderId="2" xfId="0" applyNumberFormat="1" applyFont="1" applyFill="1" applyBorder="1" applyAlignment="1">
      <alignment horizontal="center" vertical="center" wrapText="1"/>
    </xf>
    <xf numFmtId="3" fontId="44" fillId="43" borderId="37" xfId="0" applyNumberFormat="1" applyFont="1" applyFill="1" applyBorder="1"/>
    <xf numFmtId="3" fontId="44" fillId="43" borderId="71" xfId="0" applyNumberFormat="1" applyFont="1" applyFill="1" applyBorder="1"/>
    <xf numFmtId="9" fontId="44" fillId="43" borderId="37" xfId="3" applyFont="1" applyFill="1" applyBorder="1"/>
    <xf numFmtId="0" fontId="38" fillId="0" borderId="0" xfId="0" applyFont="1"/>
    <xf numFmtId="3" fontId="45" fillId="43" borderId="71" xfId="0" applyNumberFormat="1" applyFont="1" applyFill="1" applyBorder="1"/>
    <xf numFmtId="9" fontId="45" fillId="43" borderId="71" xfId="3" applyFont="1" applyFill="1" applyBorder="1"/>
    <xf numFmtId="165" fontId="0" fillId="0" borderId="2" xfId="2" applyNumberFormat="1" applyFont="1" applyBorder="1"/>
    <xf numFmtId="0" fontId="0" fillId="9" borderId="12" xfId="0" applyFill="1" applyBorder="1" applyAlignment="1">
      <alignment horizontal="center" vertical="center"/>
    </xf>
    <xf numFmtId="0" fontId="0" fillId="9" borderId="85" xfId="0" applyFill="1" applyBorder="1" applyAlignment="1">
      <alignment horizontal="center" vertical="center" wrapText="1"/>
    </xf>
    <xf numFmtId="9" fontId="0" fillId="0" borderId="16" xfId="3" applyNumberFormat="1" applyFont="1" applyBorder="1"/>
    <xf numFmtId="0" fontId="0" fillId="9" borderId="86" xfId="0" applyFill="1" applyBorder="1" applyAlignment="1">
      <alignment horizontal="center" vertical="center"/>
    </xf>
    <xf numFmtId="165" fontId="0" fillId="0" borderId="22" xfId="2" applyNumberFormat="1" applyFont="1" applyBorder="1"/>
    <xf numFmtId="0" fontId="0" fillId="0" borderId="0" xfId="0" applyAlignment="1">
      <alignment vertical="center"/>
    </xf>
    <xf numFmtId="0" fontId="0" fillId="9" borderId="2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2" xfId="2" applyNumberFormat="1" applyFont="1" applyBorder="1" applyAlignment="1">
      <alignment vertical="center"/>
    </xf>
    <xf numFmtId="9" fontId="0" fillId="48" borderId="2" xfId="3" applyFont="1" applyFill="1" applyBorder="1"/>
    <xf numFmtId="0" fontId="28" fillId="9" borderId="16" xfId="0" applyFont="1" applyFill="1" applyBorder="1" applyAlignment="1">
      <alignment horizontal="center" vertical="center" wrapText="1"/>
    </xf>
    <xf numFmtId="164" fontId="0" fillId="0" borderId="16" xfId="4" applyNumberFormat="1" applyFont="1" applyBorder="1" applyAlignment="1">
      <alignment vertical="center"/>
    </xf>
    <xf numFmtId="0" fontId="28" fillId="9" borderId="22" xfId="0" applyFont="1" applyFill="1" applyBorder="1" applyAlignment="1">
      <alignment horizontal="center" vertical="center" wrapText="1"/>
    </xf>
    <xf numFmtId="165" fontId="0" fillId="0" borderId="22" xfId="2" applyNumberFormat="1" applyFont="1" applyBorder="1" applyAlignment="1">
      <alignment vertical="center"/>
    </xf>
    <xf numFmtId="9" fontId="0" fillId="48" borderId="22" xfId="3" applyFont="1" applyFill="1" applyBorder="1"/>
    <xf numFmtId="9" fontId="0" fillId="48" borderId="16" xfId="3" applyFont="1" applyFill="1" applyBorder="1"/>
    <xf numFmtId="165" fontId="51" fillId="0" borderId="22" xfId="2" applyNumberFormat="1" applyFont="1" applyBorder="1" applyAlignment="1">
      <alignment vertical="center"/>
    </xf>
    <xf numFmtId="165" fontId="51" fillId="0" borderId="2" xfId="2" applyNumberFormat="1" applyFont="1" applyBorder="1" applyAlignment="1">
      <alignment vertical="center"/>
    </xf>
    <xf numFmtId="164" fontId="51" fillId="0" borderId="16" xfId="4" applyNumberFormat="1" applyFont="1" applyBorder="1" applyAlignment="1">
      <alignment vertical="center"/>
    </xf>
    <xf numFmtId="0" fontId="51" fillId="0" borderId="0" xfId="0" applyFont="1"/>
    <xf numFmtId="0" fontId="28" fillId="9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28" fillId="42" borderId="2" xfId="0" applyFont="1" applyFill="1" applyBorder="1" applyAlignment="1">
      <alignment vertical="center"/>
    </xf>
    <xf numFmtId="0" fontId="0" fillId="0" borderId="0" xfId="0" applyAlignment="1"/>
    <xf numFmtId="164" fontId="28" fillId="42" borderId="2" xfId="0" applyNumberFormat="1" applyFont="1" applyFill="1" applyBorder="1" applyAlignment="1">
      <alignment vertical="center"/>
    </xf>
    <xf numFmtId="164" fontId="28" fillId="47" borderId="2" xfId="0" applyNumberFormat="1" applyFont="1" applyFill="1" applyBorder="1" applyAlignment="1">
      <alignment vertical="center"/>
    </xf>
    <xf numFmtId="0" fontId="0" fillId="0" borderId="0" xfId="0" applyAlignment="1">
      <alignment wrapText="1"/>
    </xf>
    <xf numFmtId="0" fontId="0" fillId="0" borderId="2" xfId="0" applyBorder="1" applyAlignment="1">
      <alignment vertical="center" wrapText="1"/>
    </xf>
    <xf numFmtId="164" fontId="1" fillId="0" borderId="2" xfId="4" applyNumberFormat="1" applyFont="1" applyFill="1" applyBorder="1" applyAlignment="1">
      <alignment vertical="center"/>
    </xf>
    <xf numFmtId="164" fontId="54" fillId="0" borderId="2" xfId="4" applyNumberFormat="1" applyFont="1" applyBorder="1" applyAlignment="1">
      <alignment vertical="center"/>
    </xf>
    <xf numFmtId="164" fontId="0" fillId="0" borderId="2" xfId="0" applyNumberFormat="1" applyBorder="1" applyAlignment="1">
      <alignment vertical="center"/>
    </xf>
    <xf numFmtId="164" fontId="0" fillId="0" borderId="2" xfId="4" applyNumberFormat="1" applyFont="1" applyBorder="1" applyAlignment="1">
      <alignment vertical="center"/>
    </xf>
    <xf numFmtId="0" fontId="0" fillId="0" borderId="2" xfId="0" applyFont="1" applyBorder="1" applyAlignment="1">
      <alignment vertical="center" wrapText="1"/>
    </xf>
    <xf numFmtId="164" fontId="39" fillId="0" borderId="2" xfId="4" applyNumberFormat="1" applyFont="1" applyBorder="1" applyAlignment="1">
      <alignment vertical="center"/>
    </xf>
    <xf numFmtId="164" fontId="39" fillId="0" borderId="2" xfId="0" applyNumberFormat="1" applyFont="1" applyBorder="1" applyAlignment="1">
      <alignment vertical="center"/>
    </xf>
    <xf numFmtId="164" fontId="51" fillId="0" borderId="2" xfId="4" applyNumberFormat="1" applyFont="1" applyBorder="1" applyAlignment="1">
      <alignment vertical="center"/>
    </xf>
    <xf numFmtId="164" fontId="51" fillId="0" borderId="2" xfId="0" applyNumberFormat="1" applyFont="1" applyBorder="1" applyAlignment="1">
      <alignment vertical="center"/>
    </xf>
    <xf numFmtId="169" fontId="0" fillId="43" borderId="2" xfId="0" applyNumberFormat="1" applyFill="1" applyBorder="1"/>
    <xf numFmtId="169" fontId="0" fillId="5" borderId="2" xfId="0" applyNumberFormat="1" applyFill="1" applyBorder="1"/>
    <xf numFmtId="169" fontId="0" fillId="42" borderId="2" xfId="0" applyNumberFormat="1" applyFill="1" applyBorder="1"/>
    <xf numFmtId="169" fontId="0" fillId="45" borderId="2" xfId="0" applyNumberFormat="1" applyFill="1" applyBorder="1"/>
    <xf numFmtId="0" fontId="51" fillId="0" borderId="87" xfId="0" applyFont="1" applyBorder="1" applyAlignment="1">
      <alignment horizontal="left" vertical="center" wrapText="1"/>
    </xf>
    <xf numFmtId="0" fontId="51" fillId="0" borderId="42" xfId="0" applyFont="1" applyBorder="1" applyAlignment="1">
      <alignment horizontal="left" vertical="center" wrapText="1"/>
    </xf>
    <xf numFmtId="0" fontId="51" fillId="0" borderId="13" xfId="0" applyFont="1" applyBorder="1" applyAlignment="1">
      <alignment horizontal="left" vertical="center" wrapText="1"/>
    </xf>
    <xf numFmtId="0" fontId="51" fillId="0" borderId="2" xfId="0" applyFont="1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28" fillId="44" borderId="81" xfId="0" applyFont="1" applyFill="1" applyBorder="1" applyAlignment="1">
      <alignment horizontal="center" vertical="center" wrapText="1"/>
    </xf>
    <xf numFmtId="0" fontId="28" fillId="44" borderId="82" xfId="0" applyFont="1" applyFill="1" applyBorder="1" applyAlignment="1">
      <alignment horizontal="center" vertical="center" wrapText="1"/>
    </xf>
    <xf numFmtId="0" fontId="28" fillId="44" borderId="83" xfId="0" applyFont="1" applyFill="1" applyBorder="1" applyAlignment="1">
      <alignment horizontal="center" vertical="center" wrapText="1"/>
    </xf>
    <xf numFmtId="0" fontId="28" fillId="44" borderId="77" xfId="0" applyFont="1" applyFill="1" applyBorder="1" applyAlignment="1">
      <alignment horizontal="center" vertical="center" wrapText="1"/>
    </xf>
    <xf numFmtId="0" fontId="28" fillId="44" borderId="78" xfId="0" applyFont="1" applyFill="1" applyBorder="1" applyAlignment="1">
      <alignment horizontal="center" vertical="center" wrapText="1"/>
    </xf>
    <xf numFmtId="0" fontId="28" fillId="44" borderId="79" xfId="0" applyFont="1" applyFill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37" xfId="0" applyFont="1" applyBorder="1" applyAlignment="1">
      <alignment horizontal="center" vertical="center" wrapText="1"/>
    </xf>
    <xf numFmtId="0" fontId="28" fillId="0" borderId="84" xfId="0" applyFont="1" applyBorder="1" applyAlignment="1">
      <alignment horizontal="center" vertical="center" wrapText="1"/>
    </xf>
    <xf numFmtId="0" fontId="28" fillId="0" borderId="82" xfId="0" applyFont="1" applyBorder="1" applyAlignment="1">
      <alignment horizontal="center" vertical="center" wrapText="1"/>
    </xf>
    <xf numFmtId="0" fontId="28" fillId="44" borderId="12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wrapText="1"/>
    </xf>
    <xf numFmtId="0" fontId="0" fillId="9" borderId="16" xfId="0" applyFill="1" applyBorder="1" applyAlignment="1">
      <alignment horizontal="center" vertical="center" wrapText="1"/>
    </xf>
    <xf numFmtId="0" fontId="0" fillId="9" borderId="22" xfId="0" applyFill="1" applyBorder="1" applyAlignment="1">
      <alignment horizontal="center" vertical="center" wrapText="1"/>
    </xf>
    <xf numFmtId="0" fontId="28" fillId="9" borderId="2" xfId="0" applyFont="1" applyFill="1" applyBorder="1" applyAlignment="1">
      <alignment horizontal="center" wrapText="1"/>
    </xf>
    <xf numFmtId="0" fontId="0" fillId="9" borderId="13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34" fillId="48" borderId="2" xfId="0" applyFont="1" applyFill="1" applyBorder="1" applyAlignment="1">
      <alignment horizontal="right" vertical="center"/>
    </xf>
    <xf numFmtId="0" fontId="34" fillId="48" borderId="16" xfId="0" applyFont="1" applyFill="1" applyBorder="1" applyAlignment="1">
      <alignment horizontal="right" vertical="center"/>
    </xf>
    <xf numFmtId="0" fontId="0" fillId="48" borderId="2" xfId="0" applyFill="1" applyBorder="1" applyAlignment="1">
      <alignment horizontal="right" vertical="center"/>
    </xf>
    <xf numFmtId="0" fontId="0" fillId="48" borderId="16" xfId="0" applyFill="1" applyBorder="1" applyAlignment="1">
      <alignment horizontal="right" vertical="center"/>
    </xf>
    <xf numFmtId="0" fontId="0" fillId="0" borderId="0" xfId="0" applyAlignment="1">
      <alignment horizontal="left" vertical="top" wrapText="1"/>
    </xf>
    <xf numFmtId="0" fontId="0" fillId="0" borderId="2" xfId="0" applyBorder="1" applyAlignment="1">
      <alignment horizontal="center" wrapText="1"/>
    </xf>
    <xf numFmtId="0" fontId="0" fillId="0" borderId="13" xfId="0" applyBorder="1" applyAlignment="1">
      <alignment horizontal="left" vertical="top" wrapText="1"/>
    </xf>
    <xf numFmtId="0" fontId="0" fillId="0" borderId="13" xfId="0" applyBorder="1" applyAlignment="1">
      <alignment horizontal="left" wrapText="1"/>
    </xf>
    <xf numFmtId="0" fontId="0" fillId="0" borderId="49" xfId="0" applyBorder="1" applyAlignment="1">
      <alignment horizontal="left" vertical="top"/>
    </xf>
    <xf numFmtId="0" fontId="0" fillId="0" borderId="27" xfId="0" applyBorder="1" applyAlignment="1">
      <alignment horizontal="left" vertical="top"/>
    </xf>
    <xf numFmtId="0" fontId="28" fillId="9" borderId="49" xfId="0" applyFont="1" applyFill="1" applyBorder="1" applyAlignment="1">
      <alignment horizontal="center" vertical="center" wrapText="1"/>
    </xf>
    <xf numFmtId="0" fontId="28" fillId="9" borderId="27" xfId="0" applyFont="1" applyFill="1" applyBorder="1" applyAlignment="1">
      <alignment horizontal="center" vertical="center" wrapText="1"/>
    </xf>
    <xf numFmtId="0" fontId="28" fillId="9" borderId="2" xfId="0" applyFont="1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0" fillId="0" borderId="89" xfId="0" applyBorder="1" applyAlignment="1">
      <alignment horizontal="center" vertical="center" wrapText="1"/>
    </xf>
    <xf numFmtId="0" fontId="0" fillId="0" borderId="90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91" xfId="0" applyBorder="1" applyAlignment="1">
      <alignment horizontal="center" vertical="center" wrapText="1"/>
    </xf>
    <xf numFmtId="0" fontId="28" fillId="9" borderId="22" xfId="0" applyFont="1" applyFill="1" applyBorder="1" applyAlignment="1">
      <alignment horizontal="center" vertical="center" wrapText="1"/>
    </xf>
    <xf numFmtId="0" fontId="28" fillId="9" borderId="1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left" wrapText="1"/>
    </xf>
    <xf numFmtId="0" fontId="0" fillId="42" borderId="2" xfId="0" applyFill="1" applyBorder="1" applyAlignment="1">
      <alignment horizontal="left" wrapText="1"/>
    </xf>
    <xf numFmtId="0" fontId="0" fillId="0" borderId="48" xfId="0" applyBorder="1" applyAlignment="1">
      <alignment horizontal="center"/>
    </xf>
    <xf numFmtId="0" fontId="0" fillId="0" borderId="0" xfId="0" applyBorder="1" applyAlignment="1">
      <alignment horizontal="center"/>
    </xf>
    <xf numFmtId="0" fontId="5" fillId="5" borderId="2" xfId="0" applyFont="1" applyFill="1" applyBorder="1" applyAlignment="1">
      <alignment horizont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wrapText="1"/>
    </xf>
    <xf numFmtId="0" fontId="5" fillId="48" borderId="2" xfId="0" applyFont="1" applyFill="1" applyBorder="1" applyAlignment="1">
      <alignment horizont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6" fillId="0" borderId="40" xfId="0" applyFont="1" applyBorder="1" applyAlignment="1">
      <alignment horizontal="left" wrapText="1"/>
    </xf>
    <xf numFmtId="0" fontId="36" fillId="0" borderId="0" xfId="0" applyFont="1" applyAlignment="1">
      <alignment horizontal="left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 vertical="center" wrapText="1"/>
    </xf>
    <xf numFmtId="0" fontId="1" fillId="2" borderId="4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6" borderId="41" xfId="0" applyFont="1" applyFill="1" applyBorder="1" applyAlignment="1">
      <alignment horizontal="left" vertical="center"/>
    </xf>
    <xf numFmtId="0" fontId="1" fillId="6" borderId="42" xfId="0" applyFont="1" applyFill="1" applyBorder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 vertical="center" wrapText="1"/>
    </xf>
    <xf numFmtId="0" fontId="1" fillId="0" borderId="68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2" fillId="3" borderId="66" xfId="0" applyFont="1" applyFill="1" applyBorder="1" applyAlignment="1">
      <alignment horizontal="left" vertical="center" wrapText="1"/>
    </xf>
    <xf numFmtId="0" fontId="1" fillId="0" borderId="4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3" borderId="61" xfId="0" applyFont="1" applyFill="1" applyBorder="1" applyAlignment="1">
      <alignment horizontal="center" wrapText="1"/>
    </xf>
    <xf numFmtId="0" fontId="1" fillId="3" borderId="62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/>
    <cellStyle name="Comma 2 2" xfId="6"/>
    <cellStyle name="Comma 2 3" xfId="7"/>
    <cellStyle name="Comma 3" xfId="55"/>
    <cellStyle name="Currency" xfId="4" builtinId="4"/>
    <cellStyle name="Currency 2" xfId="8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/>
    <cellStyle name="Normal 2 2" xfId="9"/>
    <cellStyle name="Normal 2 2 2" xfId="56"/>
    <cellStyle name="Normal 2 3" xfId="10"/>
    <cellStyle name="Normal 3" xfId="53"/>
    <cellStyle name="Normal 4" xfId="54"/>
    <cellStyle name="Note" xfId="26" builtinId="10" customBuiltin="1"/>
    <cellStyle name="Output" xfId="21" builtinId="21" customBuiltin="1"/>
    <cellStyle name="Percent" xfId="3" builtinId="5"/>
    <cellStyle name="Percent 2" xfId="11"/>
    <cellStyle name="Title" xfId="12" builtinId="15" customBuiltin="1"/>
    <cellStyle name="Total" xfId="28" builtinId="25" customBuiltin="1"/>
    <cellStyle name="Warning Text" xfId="25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3312421.3159430088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383744"/>
        <c:axId val="138386048"/>
      </c:scatterChart>
      <c:valAx>
        <c:axId val="138383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38386048"/>
        <c:crosses val="autoZero"/>
        <c:crossBetween val="midCat"/>
        <c:dispUnits>
          <c:builtInUnit val="thousands"/>
        </c:dispUnits>
      </c:valAx>
      <c:valAx>
        <c:axId val="138386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3838374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3938662.5298482887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02816"/>
        <c:axId val="138409472"/>
      </c:scatterChart>
      <c:valAx>
        <c:axId val="1384028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38409472"/>
        <c:crosses val="autoZero"/>
        <c:crossBetween val="midCat"/>
        <c:dispUnits>
          <c:builtInUnit val="thousands"/>
        </c:dispUnits>
      </c:valAx>
      <c:valAx>
        <c:axId val="138409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3840281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1.4367816091954023E-2"/>
                  <c:y val="-6.9300069300069298E-3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4185187.6000000006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839080459770114E-3"/>
                  <c:y val="3.1185031185031187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171348.65624802854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94976"/>
        <c:axId val="155701632"/>
      </c:scatterChart>
      <c:valAx>
        <c:axId val="1556949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5701632"/>
        <c:crosses val="autoZero"/>
        <c:crossBetween val="midCat"/>
        <c:dispUnits>
          <c:builtInUnit val="thousands"/>
        </c:dispUnits>
      </c:valAx>
      <c:valAx>
        <c:axId val="155701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56949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6253528.5509214355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59360"/>
        <c:axId val="155761664"/>
      </c:scatterChart>
      <c:valAx>
        <c:axId val="1557593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5761664"/>
        <c:crosses val="autoZero"/>
        <c:crossBetween val="midCat"/>
        <c:dispUnits>
          <c:builtInUnit val="thousands"/>
        </c:dispUnits>
      </c:valAx>
      <c:valAx>
        <c:axId val="155761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575936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36811696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33364081.59999875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2757449.6901896722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29984"/>
        <c:axId val="155936640"/>
      </c:scatterChart>
      <c:valAx>
        <c:axId val="1559299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55936640"/>
        <c:crosses val="autoZero"/>
        <c:crossBetween val="midCat"/>
        <c:dispUnits>
          <c:builtInUnit val="thousands"/>
        </c:dispUnits>
      </c:valAx>
      <c:valAx>
        <c:axId val="155936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592998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0"/>
                  <c:y val="2.1097046413502109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1.1887779362814982E-2"/>
                  <c:y val="-2.46132208157524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391340.25142413448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94368"/>
        <c:axId val="155996928"/>
      </c:scatterChart>
      <c:valAx>
        <c:axId val="1559943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55996928"/>
        <c:crosses val="autoZero"/>
        <c:crossBetween val="midCat"/>
        <c:dispUnits>
          <c:builtInUnit val="thousands"/>
        </c:dispUnits>
      </c:valAx>
      <c:valAx>
        <c:axId val="155996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599436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2.3946360153256703E-3"/>
                  <c:y val="2.552881108679795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017792"/>
        <c:axId val="156020096"/>
      </c:scatterChart>
      <c:valAx>
        <c:axId val="1560177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56020096"/>
        <c:crosses val="autoZero"/>
        <c:crossBetween val="midCat"/>
        <c:dispUnits>
          <c:builtInUnit val="thousands"/>
        </c:dispUnits>
      </c:valAx>
      <c:valAx>
        <c:axId val="1560200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601779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16500000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024591386303982E-3"/>
                  <c:y val="6.1594202898550728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298362.66148692742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069888"/>
        <c:axId val="156072192"/>
      </c:scatterChart>
      <c:valAx>
        <c:axId val="1560698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56072192"/>
        <c:crosses val="autoZero"/>
        <c:crossBetween val="midCat"/>
        <c:dispUnits>
          <c:builtInUnit val="thousands"/>
        </c:dispUnits>
      </c:valAx>
      <c:valAx>
        <c:axId val="156072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60698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3-year </a:t>
            </a:r>
            <a:r>
              <a:rPr lang="en-US" sz="1200">
                <a:solidFill>
                  <a:sysClr val="windowText" lastClr="000000"/>
                </a:solidFill>
              </a:rPr>
              <a:t>Incr. Revenue </a:t>
            </a:r>
            <a:r>
              <a:rPr lang="en-US" sz="1200"/>
              <a:t>from Samples</a:t>
            </a:r>
          </a:p>
        </c:rich>
      </c:tx>
      <c:overlay val="0"/>
      <c:spPr>
        <a:solidFill>
          <a:sysClr val="window" lastClr="FFFFFF"/>
        </a:solidFill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256729429.50008738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32510341.298919387</c:v>
                </c:pt>
                <c:pt idx="2">
                  <c:v>64913757.961975709</c:v>
                </c:pt>
                <c:pt idx="3">
                  <c:v>97210249.989168957</c:v>
                </c:pt>
                <c:pt idx="4">
                  <c:v>129399817.38049912</c:v>
                </c:pt>
                <c:pt idx="5">
                  <c:v>161482460.13596624</c:v>
                </c:pt>
                <c:pt idx="6">
                  <c:v>193458178.25557023</c:v>
                </c:pt>
                <c:pt idx="7">
                  <c:v>225326971.73931122</c:v>
                </c:pt>
                <c:pt idx="8">
                  <c:v>257088840.58718908</c:v>
                </c:pt>
                <c:pt idx="9">
                  <c:v>288743784.79920393</c:v>
                </c:pt>
                <c:pt idx="10">
                  <c:v>320291804.37535566</c:v>
                </c:pt>
                <c:pt idx="11">
                  <c:v>351732899.31564426</c:v>
                </c:pt>
                <c:pt idx="12">
                  <c:v>383067069.62006992</c:v>
                </c:pt>
                <c:pt idx="13">
                  <c:v>414294315.28863245</c:v>
                </c:pt>
                <c:pt idx="14">
                  <c:v>445414636.32133186</c:v>
                </c:pt>
                <c:pt idx="15">
                  <c:v>476428032.71816826</c:v>
                </c:pt>
                <c:pt idx="16">
                  <c:v>507334504.47914159</c:v>
                </c:pt>
                <c:pt idx="17">
                  <c:v>538134051.60425186</c:v>
                </c:pt>
                <c:pt idx="18">
                  <c:v>568826674.09349895</c:v>
                </c:pt>
                <c:pt idx="19">
                  <c:v>599412371.94688308</c:v>
                </c:pt>
                <c:pt idx="20">
                  <c:v>629891145.16440403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307256459.50202709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59392"/>
        <c:axId val="156861952"/>
      </c:scatterChart>
      <c:valAx>
        <c:axId val="1568593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6861952"/>
        <c:crosses val="autoZero"/>
        <c:crossBetween val="midCat"/>
        <c:dispUnits>
          <c:builtInUnit val="millions"/>
        </c:dispUnits>
      </c:valAx>
      <c:valAx>
        <c:axId val="1568619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3-year Incr. Revenue (in MM $)</a:t>
                </a: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685939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>
                <a:solidFill>
                  <a:srgbClr val="0000FF"/>
                </a:solidFill>
              </a:rPr>
              <a:t> </a:t>
            </a:r>
            <a:r>
              <a:rPr lang="en-US" sz="1200"/>
              <a:t>from Samples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277582233.11286116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35532883.959865317</c:v>
                </c:pt>
                <c:pt idx="2">
                  <c:v>71074817.715895742</c:v>
                </c:pt>
                <c:pt idx="3">
                  <c:v>106625801.26809132</c:v>
                </c:pt>
                <c:pt idx="4">
                  <c:v>142185834.61645198</c:v>
                </c:pt>
                <c:pt idx="5">
                  <c:v>177754917.7609778</c:v>
                </c:pt>
                <c:pt idx="6">
                  <c:v>213333050.70166874</c:v>
                </c:pt>
                <c:pt idx="7">
                  <c:v>248920233.43852475</c:v>
                </c:pt>
                <c:pt idx="8">
                  <c:v>284516465.97154588</c:v>
                </c:pt>
                <c:pt idx="9">
                  <c:v>320121748.3007322</c:v>
                </c:pt>
                <c:pt idx="10">
                  <c:v>355736080.42608356</c:v>
                </c:pt>
                <c:pt idx="11">
                  <c:v>391359462.3476001</c:v>
                </c:pt>
                <c:pt idx="12">
                  <c:v>426991894.06528181</c:v>
                </c:pt>
                <c:pt idx="13">
                  <c:v>462633375.5791285</c:v>
                </c:pt>
                <c:pt idx="14">
                  <c:v>498283906.88914043</c:v>
                </c:pt>
                <c:pt idx="15">
                  <c:v>533943487.9953174</c:v>
                </c:pt>
                <c:pt idx="16">
                  <c:v>569612118.89765954</c:v>
                </c:pt>
                <c:pt idx="17">
                  <c:v>605289799.59616673</c:v>
                </c:pt>
                <c:pt idx="18">
                  <c:v>640976530.09083915</c:v>
                </c:pt>
                <c:pt idx="19">
                  <c:v>676672310.38167667</c:v>
                </c:pt>
                <c:pt idx="20">
                  <c:v>712377140.46867931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333164838.90764552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85984"/>
        <c:axId val="156988544"/>
      </c:scatterChart>
      <c:valAx>
        <c:axId val="1569859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6988544"/>
        <c:crosses val="autoZero"/>
        <c:crossBetween val="midCat"/>
        <c:dispUnits>
          <c:builtInUnit val="millions"/>
        </c:dispUnits>
      </c:valAx>
      <c:valAx>
        <c:axId val="156988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3-year Incr. Revenue (in MM $)</a:t>
                </a:r>
                <a:endParaRPr lang="en-US" sz="1000"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698598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17223726.339992169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2263395.934106518</c:v>
                </c:pt>
                <c:pt idx="2">
                  <c:v>4526814.4907949688</c:v>
                </c:pt>
                <c:pt idx="3">
                  <c:v>6790255.6700653536</c:v>
                </c:pt>
                <c:pt idx="4">
                  <c:v>9053719.4719176721</c:v>
                </c:pt>
                <c:pt idx="5">
                  <c:v>11317205.896351924</c:v>
                </c:pt>
                <c:pt idx="6">
                  <c:v>13580714.943368107</c:v>
                </c:pt>
                <c:pt idx="7">
                  <c:v>15844246.612966226</c:v>
                </c:pt>
                <c:pt idx="8">
                  <c:v>18107800.905146275</c:v>
                </c:pt>
                <c:pt idx="9">
                  <c:v>20371377.819908265</c:v>
                </c:pt>
                <c:pt idx="10">
                  <c:v>22634977.357252184</c:v>
                </c:pt>
                <c:pt idx="11">
                  <c:v>24898599.517178033</c:v>
                </c:pt>
                <c:pt idx="12">
                  <c:v>27162244.299685817</c:v>
                </c:pt>
                <c:pt idx="13">
                  <c:v>29425911.704775531</c:v>
                </c:pt>
                <c:pt idx="14">
                  <c:v>31689601.732447188</c:v>
                </c:pt>
                <c:pt idx="15">
                  <c:v>33953314.382700771</c:v>
                </c:pt>
                <c:pt idx="16">
                  <c:v>36217049.655536287</c:v>
                </c:pt>
                <c:pt idx="17">
                  <c:v>38480807.550953746</c:v>
                </c:pt>
                <c:pt idx="18">
                  <c:v>40744588.068953127</c:v>
                </c:pt>
                <c:pt idx="19">
                  <c:v>43008391.209534436</c:v>
                </c:pt>
                <c:pt idx="20">
                  <c:v>45272216.97269769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4185187.6000000006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15501294.759338109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095424"/>
        <c:axId val="157114368"/>
      </c:scatterChart>
      <c:valAx>
        <c:axId val="1570954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7114368"/>
        <c:crosses val="autoZero"/>
        <c:crossBetween val="midCat"/>
        <c:dispUnits>
          <c:builtInUnit val="millions"/>
        </c:dispUnits>
      </c:valAx>
      <c:valAx>
        <c:axId val="157114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solidFill>
                      <a:sysClr val="windowText" lastClr="000000"/>
                    </a:solidFill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709542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 b="1" i="0" baseline="0">
                <a:effectLst/>
              </a:rPr>
              <a:t> from MMF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2938768.6290912107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830396.10377881257</c:v>
                </c:pt>
                <c:pt idx="2">
                  <c:v>1573336.241599645</c:v>
                </c:pt>
                <c:pt idx="3">
                  <c:v>2183752.6617536447</c:v>
                </c:pt>
                <c:pt idx="4">
                  <c:v>2717026.0110859354</c:v>
                </c:pt>
                <c:pt idx="5">
                  <c:v>3204783.0991347739</c:v>
                </c:pt>
                <c:pt idx="6">
                  <c:v>3616567.6058843201</c:v>
                </c:pt>
                <c:pt idx="7">
                  <c:v>3952127.2124412442</c:v>
                </c:pt>
                <c:pt idx="8">
                  <c:v>4242797.2763169548</c:v>
                </c:pt>
                <c:pt idx="9">
                  <c:v>4502091.9271469023</c:v>
                </c:pt>
                <c:pt idx="10">
                  <c:v>4732480.6116008339</c:v>
                </c:pt>
                <c:pt idx="11">
                  <c:v>4936297.9761584429</c:v>
                </c:pt>
                <c:pt idx="12">
                  <c:v>5115857.5679551307</c:v>
                </c:pt>
                <c:pt idx="13">
                  <c:v>5273402.4955364978</c:v>
                </c:pt>
                <c:pt idx="14">
                  <c:v>5411161.1859890744</c:v>
                </c:pt>
                <c:pt idx="15">
                  <c:v>5531362.0663993917</c:v>
                </c:pt>
                <c:pt idx="16">
                  <c:v>5636233.5638539754</c:v>
                </c:pt>
                <c:pt idx="17">
                  <c:v>5728004.1054393593</c:v>
                </c:pt>
                <c:pt idx="18">
                  <c:v>5808902.1182420691</c:v>
                </c:pt>
                <c:pt idx="19">
                  <c:v>5881156.029348637</c:v>
                </c:pt>
                <c:pt idx="20">
                  <c:v>5946994.2658455903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6253528.5509214355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2938768.6290912107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237632"/>
        <c:axId val="157239936"/>
      </c:scatterChart>
      <c:valAx>
        <c:axId val="1572376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7239936"/>
        <c:crosses val="autoZero"/>
        <c:crossBetween val="midCat"/>
        <c:dispUnits>
          <c:builtInUnit val="millions"/>
        </c:dispUnits>
      </c:valAx>
      <c:valAx>
        <c:axId val="157239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.0_);_(&quot;$&quot;* \(#,##0.0\);_(&quot;$&quot;* &quot;-&quot;?_);_(@_)" sourceLinked="0"/>
        <c:majorTickMark val="out"/>
        <c:minorTickMark val="none"/>
        <c:tickLblPos val="nextTo"/>
        <c:crossAx val="15723763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HCC Programs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182565617.25423408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26891518.563405465</c:v>
                </c:pt>
                <c:pt idx="2">
                  <c:v>52822108.635268539</c:v>
                </c:pt>
                <c:pt idx="3">
                  <c:v>77818250.93590495</c:v>
                </c:pt>
                <c:pt idx="4">
                  <c:v>101906321.32154958</c:v>
                </c:pt>
                <c:pt idx="5">
                  <c:v>125112532.91757707</c:v>
                </c:pt>
                <c:pt idx="6">
                  <c:v>147462883.42931002</c:v>
                </c:pt>
                <c:pt idx="7">
                  <c:v>168983107.42063725</c:v>
                </c:pt>
                <c:pt idx="8">
                  <c:v>189698633.33986819</c:v>
                </c:pt>
                <c:pt idx="9">
                  <c:v>209634545.06440687</c:v>
                </c:pt>
                <c:pt idx="10">
                  <c:v>228815547.7309525</c:v>
                </c:pt>
                <c:pt idx="11">
                  <c:v>247265937.61529857</c:v>
                </c:pt>
                <c:pt idx="12">
                  <c:v>265009575.82555684</c:v>
                </c:pt>
                <c:pt idx="13">
                  <c:v>282069865.57415175</c:v>
                </c:pt>
                <c:pt idx="14">
                  <c:v>298469732.7971009</c:v>
                </c:pt>
                <c:pt idx="15">
                  <c:v>314231609.89374036</c:v>
                </c:pt>
                <c:pt idx="16">
                  <c:v>329377422.36575711</c:v>
                </c:pt>
                <c:pt idx="17">
                  <c:v>343928578.14110625</c:v>
                </c:pt>
                <c:pt idx="18">
                  <c:v>357905959.37593991</c:v>
                </c:pt>
                <c:pt idx="19">
                  <c:v>371329916.535662</c:v>
                </c:pt>
                <c:pt idx="20">
                  <c:v>384220264.56488615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36811696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33364081.59999875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249456525.47051975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674496"/>
        <c:axId val="158488064"/>
      </c:scatterChart>
      <c:valAx>
        <c:axId val="1576744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8488064"/>
        <c:crosses val="autoZero"/>
        <c:crossBetween val="midCat"/>
        <c:dispUnits>
          <c:builtInUnit val="millions"/>
        </c:dispUnits>
      </c:valAx>
      <c:valAx>
        <c:axId val="158488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767449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MCM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1887779362815026E-2"/>
                  <c:y val="3.867791842475387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43274552.910443343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9095392.7554883435</c:v>
                </c:pt>
                <c:pt idx="2">
                  <c:v>17797167.231097437</c:v>
                </c:pt>
                <c:pt idx="3">
                  <c:v>26121384.537788443</c:v>
                </c:pt>
                <c:pt idx="4">
                  <c:v>34083535.682424247</c:v>
                </c:pt>
                <c:pt idx="5">
                  <c:v>41698554.158957601</c:v>
                </c:pt>
                <c:pt idx="6">
                  <c:v>48980829.014459282</c:v>
                </c:pt>
                <c:pt idx="7">
                  <c:v>55944218.293279201</c:v>
                </c:pt>
                <c:pt idx="8">
                  <c:v>62602062.771540806</c:v>
                </c:pt>
                <c:pt idx="9">
                  <c:v>68967199.902406856</c:v>
                </c:pt>
                <c:pt idx="10">
                  <c:v>75051977.90051724</c:v>
                </c:pt>
                <c:pt idx="11">
                  <c:v>80868269.901061445</c:v>
                </c:pt>
                <c:pt idx="12">
                  <c:v>86427488.135900334</c:v>
                </c:pt>
                <c:pt idx="13">
                  <c:v>91740598.075286061</c:v>
                </c:pt>
                <c:pt idx="14">
                  <c:v>96818132.489608586</c:v>
                </c:pt>
                <c:pt idx="15">
                  <c:v>101670205.39092097</c:v>
                </c:pt>
                <c:pt idx="16">
                  <c:v>106306525.81893127</c:v>
                </c:pt>
                <c:pt idx="17">
                  <c:v>110736411.44068843</c:v>
                </c:pt>
                <c:pt idx="18">
                  <c:v>114968801.93732113</c:v>
                </c:pt>
                <c:pt idx="19">
                  <c:v>119012272.15500575</c:v>
                </c:pt>
                <c:pt idx="20">
                  <c:v>122875045.00075731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4.7551117451260106E-3"/>
                  <c:y val="-2.76864126161445E-7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35403140.715256058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570368"/>
        <c:axId val="158589312"/>
      </c:scatterChart>
      <c:valAx>
        <c:axId val="1585703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8589312"/>
        <c:crosses val="autoZero"/>
        <c:crossBetween val="midCat"/>
        <c:dispUnits>
          <c:builtInUnit val="millions"/>
        </c:dispUnits>
      </c:valAx>
      <c:valAx>
        <c:axId val="1585893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857036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Pharmacy Acquisition Programs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9519223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2785791.3336722385</c:v>
                </c:pt>
                <c:pt idx="2">
                  <c:v>5496718.5229516942</c:v>
                </c:pt>
                <c:pt idx="3">
                  <c:v>8134735.329043691</c:v>
                </c:pt>
                <c:pt idx="4">
                  <c:v>10701747.655996446</c:v>
                </c:pt>
                <c:pt idx="5">
                  <c:v>13199614.552575035</c:v>
                </c:pt>
                <c:pt idx="6">
                  <c:v>15630149.202787258</c:v>
                </c:pt>
                <c:pt idx="7">
                  <c:v>17995119.904533207</c:v>
                </c:pt>
                <c:pt idx="8">
                  <c:v>20296251.036003835</c:v>
                </c:pt>
                <c:pt idx="9">
                  <c:v>22535224.009394951</c:v>
                </c:pt>
                <c:pt idx="10">
                  <c:v>24713678.211604882</c:v>
                </c:pt>
                <c:pt idx="11">
                  <c:v>26833211.93163462</c:v>
                </c:pt>
                <c:pt idx="12">
                  <c:v>28895383.274402857</c:v>
                </c:pt>
                <c:pt idx="13">
                  <c:v>30901711.060751252</c:v>
                </c:pt>
                <c:pt idx="14">
                  <c:v>32853675.713481337</c:v>
                </c:pt>
                <c:pt idx="15">
                  <c:v>34752720.129224174</c:v>
                </c:pt>
                <c:pt idx="16">
                  <c:v>36600250.536029652</c:v>
                </c:pt>
                <c:pt idx="17">
                  <c:v>38397637.336596861</c:v>
                </c:pt>
                <c:pt idx="18">
                  <c:v>40146215.93703378</c:v>
                </c:pt>
                <c:pt idx="19">
                  <c:v>41847287.561128944</c:v>
                </c:pt>
                <c:pt idx="20">
                  <c:v>43502120.050093561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9.5785440613026813E-3"/>
                  <c:y val="3.6469730123997082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9519223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08480"/>
        <c:axId val="158710784"/>
      </c:scatterChart>
      <c:valAx>
        <c:axId val="1587084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8710784"/>
        <c:crosses val="autoZero"/>
        <c:crossBetween val="midCat"/>
        <c:dispUnits>
          <c:builtInUnit val="millions"/>
        </c:dispUnits>
      </c:valAx>
      <c:valAx>
        <c:axId val="1587107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870848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 </a:t>
            </a:r>
            <a:r>
              <a:rPr lang="en-US" sz="1200"/>
              <a:t>from Adherence</a:t>
            </a:r>
            <a:r>
              <a:rPr lang="en-US" sz="1200" baseline="0"/>
              <a:t> Programs</a:t>
            </a:r>
            <a:endParaRPr lang="en-US" sz="12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37336797.551020384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-1.9429251551628113E-7</c:v>
                </c:pt>
                <c:pt idx="1">
                  <c:v>7261367.8559773611</c:v>
                </c:pt>
                <c:pt idx="2">
                  <c:v>14093667.952320075</c:v>
                </c:pt>
                <c:pt idx="3">
                  <c:v>20518404.836978998</c:v>
                </c:pt>
                <c:pt idx="4">
                  <c:v>26556489.343969874</c:v>
                </c:pt>
                <c:pt idx="5">
                  <c:v>32228188.284814943</c:v>
                </c:pt>
                <c:pt idx="6">
                  <c:v>37553085.629936844</c:v>
                </c:pt>
                <c:pt idx="7">
                  <c:v>42550053.940443978</c:v>
                </c:pt>
                <c:pt idx="8">
                  <c:v>47237234.868150271</c:v>
                </c:pt>
                <c:pt idx="9">
                  <c:v>51632027.609613016</c:v>
                </c:pt>
                <c:pt idx="10">
                  <c:v>55751084.274891779</c:v>
                </c:pt>
                <c:pt idx="11">
                  <c:v>59610311.210629523</c:v>
                </c:pt>
                <c:pt idx="12">
                  <c:v>63224875.397506736</c:v>
                </c:pt>
                <c:pt idx="13">
                  <c:v>66609215.122212268</c:v>
                </c:pt>
                <c:pt idx="14">
                  <c:v>69777054.202225581</c:v>
                </c:pt>
                <c:pt idx="15">
                  <c:v>72741419.116880849</c:v>
                </c:pt>
                <c:pt idx="16">
                  <c:v>75514658.469463244</c:v>
                </c:pt>
                <c:pt idx="17">
                  <c:v>78108464.272000462</c:v>
                </c:pt>
                <c:pt idx="18">
                  <c:v>80533894.606566995</c:v>
                </c:pt>
                <c:pt idx="19">
                  <c:v>82801397.274176598</c:v>
                </c:pt>
                <c:pt idx="20">
                  <c:v>84920834.094696164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16500000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2.3674242424242859E-3"/>
                  <c:y val="3.623188405797101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31122209.219701398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39072"/>
        <c:axId val="158749824"/>
      </c:scatterChart>
      <c:valAx>
        <c:axId val="1587390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8749824"/>
        <c:crosses val="autoZero"/>
        <c:crossBetween val="midCat"/>
        <c:dispUnits>
          <c:builtInUnit val="millions"/>
        </c:dispUnits>
      </c:valAx>
      <c:valAx>
        <c:axId val="158749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873907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3312421.3159430088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3938662.5298482887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171348.65624802854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33364081.59999875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2757449.6901896722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391340.25142413448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298362.66148692742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3312421.3159430088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3838141025641027"/>
                  <c:y val="2.306805074971163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3938662.5298482887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171348.65624802854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7.2115384615384609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 Media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33364081.59999875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2757449.6901896722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391340.25142413448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4070512820512747E-2"/>
                  <c:y val="-1.7301038062283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298362.66148692742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51072"/>
        <c:axId val="159401472"/>
      </c:scatterChart>
      <c:valAx>
        <c:axId val="159251072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Pre-tax Promotion Type Spend (in MM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59401472"/>
        <c:crosses val="autoZero"/>
        <c:crossBetween val="midCat"/>
        <c:dispUnits>
          <c:builtInUnit val="millions"/>
        </c:dispUnits>
      </c:valAx>
      <c:valAx>
        <c:axId val="159401472"/>
        <c:scaling>
          <c:orientation val="minMax"/>
          <c:max val="60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5925107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3312421.3159430088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3938662.5298482887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171348.65624802854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33364081.59999875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2757449.6901896722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391340.25142413448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298362.66148692742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3312421.3159430088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3938662.5298482887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171348.65624802854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33364081.59999875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2757449.6901896722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5.4086538461538464E-2"/>
                  <c:y val="-0.1412918108419838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391340.25142413448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9"/>
              <c:layout>
                <c:manualLayout>
                  <c:x val="-9.6153846153846159E-2"/>
                  <c:y val="-2.88350634371395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298362.66148692742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0080"/>
        <c:axId val="159565312"/>
      </c:scatterChart>
      <c:valAx>
        <c:axId val="159550080"/>
        <c:scaling>
          <c:orientation val="minMax"/>
          <c:max val="25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Channel Spend (in MM $)</a:t>
                </a:r>
              </a:p>
            </c:rich>
          </c:tx>
          <c:layout>
            <c:manualLayout>
              <c:xMode val="edge"/>
              <c:yMode val="edge"/>
              <c:x val="0.38775126817080557"/>
              <c:y val="0.91738754325259508"/>
            </c:manualLayout>
          </c:layout>
          <c:overlay val="0"/>
        </c:title>
        <c:numFmt formatCode="&quot;$&quot;#,##0" sourceLinked="1"/>
        <c:majorTickMark val="out"/>
        <c:minorTickMark val="none"/>
        <c:tickLblPos val="nextTo"/>
        <c:crossAx val="159565312"/>
        <c:crosses val="autoZero"/>
        <c:crossBetween val="midCat"/>
        <c:dispUnits>
          <c:builtInUnit val="thousands"/>
        </c:dispUnits>
      </c:valAx>
      <c:valAx>
        <c:axId val="159565312"/>
        <c:scaling>
          <c:orientation val="minMax"/>
          <c:max val="9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5955008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32510341.298919387</c:v>
                </c:pt>
                <c:pt idx="2">
                  <c:v>64913757.961975709</c:v>
                </c:pt>
                <c:pt idx="3">
                  <c:v>97210249.989168957</c:v>
                </c:pt>
                <c:pt idx="4">
                  <c:v>129399817.38049912</c:v>
                </c:pt>
                <c:pt idx="5">
                  <c:v>161482460.13596624</c:v>
                </c:pt>
                <c:pt idx="6">
                  <c:v>193458178.25557023</c:v>
                </c:pt>
                <c:pt idx="7">
                  <c:v>225326971.73931122</c:v>
                </c:pt>
                <c:pt idx="8">
                  <c:v>257088840.58718908</c:v>
                </c:pt>
                <c:pt idx="9">
                  <c:v>288743784.79920393</c:v>
                </c:pt>
                <c:pt idx="10">
                  <c:v>320291804.37535566</c:v>
                </c:pt>
                <c:pt idx="11">
                  <c:v>351732899.31564426</c:v>
                </c:pt>
                <c:pt idx="12">
                  <c:v>383067069.62006992</c:v>
                </c:pt>
                <c:pt idx="13">
                  <c:v>414294315.28863245</c:v>
                </c:pt>
                <c:pt idx="14">
                  <c:v>445414636.32133186</c:v>
                </c:pt>
                <c:pt idx="15">
                  <c:v>476428032.71816826</c:v>
                </c:pt>
                <c:pt idx="16">
                  <c:v>507334504.47914159</c:v>
                </c:pt>
                <c:pt idx="17">
                  <c:v>538134051.60425186</c:v>
                </c:pt>
                <c:pt idx="18">
                  <c:v>568826674.09349895</c:v>
                </c:pt>
                <c:pt idx="19">
                  <c:v>599412371.94688308</c:v>
                </c:pt>
                <c:pt idx="20">
                  <c:v>629891145.16440403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256729429.50008738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307256459.50202709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35532883.959865317</c:v>
                </c:pt>
                <c:pt idx="2">
                  <c:v>71074817.715895742</c:v>
                </c:pt>
                <c:pt idx="3">
                  <c:v>106625801.26809132</c:v>
                </c:pt>
                <c:pt idx="4">
                  <c:v>142185834.61645198</c:v>
                </c:pt>
                <c:pt idx="5">
                  <c:v>177754917.7609778</c:v>
                </c:pt>
                <c:pt idx="6">
                  <c:v>213333050.70166874</c:v>
                </c:pt>
                <c:pt idx="7">
                  <c:v>248920233.43852475</c:v>
                </c:pt>
                <c:pt idx="8">
                  <c:v>284516465.97154588</c:v>
                </c:pt>
                <c:pt idx="9">
                  <c:v>320121748.3007322</c:v>
                </c:pt>
                <c:pt idx="10">
                  <c:v>355736080.42608356</c:v>
                </c:pt>
                <c:pt idx="11">
                  <c:v>391359462.3476001</c:v>
                </c:pt>
                <c:pt idx="12">
                  <c:v>426991894.06528181</c:v>
                </c:pt>
                <c:pt idx="13">
                  <c:v>462633375.5791285</c:v>
                </c:pt>
                <c:pt idx="14">
                  <c:v>498283906.88914043</c:v>
                </c:pt>
                <c:pt idx="15">
                  <c:v>533943487.9953174</c:v>
                </c:pt>
                <c:pt idx="16">
                  <c:v>569612118.89765954</c:v>
                </c:pt>
                <c:pt idx="17">
                  <c:v>605289799.59616673</c:v>
                </c:pt>
                <c:pt idx="18">
                  <c:v>640976530.09083915</c:v>
                </c:pt>
                <c:pt idx="19">
                  <c:v>676672310.38167667</c:v>
                </c:pt>
                <c:pt idx="20">
                  <c:v>712377140.46867931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277582233.11286116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333164838.90764552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2263395.934106518</c:v>
                </c:pt>
                <c:pt idx="2">
                  <c:v>4526814.4907949688</c:v>
                </c:pt>
                <c:pt idx="3">
                  <c:v>6790255.6700653536</c:v>
                </c:pt>
                <c:pt idx="4">
                  <c:v>9053719.4719176721</c:v>
                </c:pt>
                <c:pt idx="5">
                  <c:v>11317205.896351924</c:v>
                </c:pt>
                <c:pt idx="6">
                  <c:v>13580714.943368107</c:v>
                </c:pt>
                <c:pt idx="7">
                  <c:v>15844246.612966226</c:v>
                </c:pt>
                <c:pt idx="8">
                  <c:v>18107800.905146275</c:v>
                </c:pt>
                <c:pt idx="9">
                  <c:v>20371377.819908265</c:v>
                </c:pt>
                <c:pt idx="10">
                  <c:v>22634977.357252184</c:v>
                </c:pt>
                <c:pt idx="11">
                  <c:v>24898599.517178033</c:v>
                </c:pt>
                <c:pt idx="12">
                  <c:v>27162244.299685817</c:v>
                </c:pt>
                <c:pt idx="13">
                  <c:v>29425911.704775531</c:v>
                </c:pt>
                <c:pt idx="14">
                  <c:v>31689601.732447188</c:v>
                </c:pt>
                <c:pt idx="15">
                  <c:v>33953314.382700771</c:v>
                </c:pt>
                <c:pt idx="16">
                  <c:v>36217049.655536287</c:v>
                </c:pt>
                <c:pt idx="17">
                  <c:v>38480807.550953746</c:v>
                </c:pt>
                <c:pt idx="18">
                  <c:v>40744588.068953127</c:v>
                </c:pt>
                <c:pt idx="19">
                  <c:v>43008391.209534436</c:v>
                </c:pt>
                <c:pt idx="20">
                  <c:v>45272216.97269769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17223726.339992169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15501294.759338109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830396.10377881257</c:v>
                </c:pt>
                <c:pt idx="2">
                  <c:v>1573336.241599645</c:v>
                </c:pt>
                <c:pt idx="3">
                  <c:v>2183752.6617536447</c:v>
                </c:pt>
                <c:pt idx="4">
                  <c:v>2717026.0110859354</c:v>
                </c:pt>
                <c:pt idx="5">
                  <c:v>3204783.0991347739</c:v>
                </c:pt>
                <c:pt idx="6">
                  <c:v>3616567.6058843201</c:v>
                </c:pt>
                <c:pt idx="7">
                  <c:v>3952127.2124412442</c:v>
                </c:pt>
                <c:pt idx="8">
                  <c:v>4242797.2763169548</c:v>
                </c:pt>
                <c:pt idx="9">
                  <c:v>4502091.9271469023</c:v>
                </c:pt>
                <c:pt idx="10">
                  <c:v>4732480.6116008339</c:v>
                </c:pt>
                <c:pt idx="11">
                  <c:v>4936297.9761584429</c:v>
                </c:pt>
                <c:pt idx="12">
                  <c:v>5115857.5679551307</c:v>
                </c:pt>
                <c:pt idx="13">
                  <c:v>5273402.4955364978</c:v>
                </c:pt>
                <c:pt idx="14">
                  <c:v>5411161.1859890744</c:v>
                </c:pt>
                <c:pt idx="15">
                  <c:v>5531362.0663993917</c:v>
                </c:pt>
                <c:pt idx="16">
                  <c:v>5636233.5638539754</c:v>
                </c:pt>
                <c:pt idx="17">
                  <c:v>5728004.1054393593</c:v>
                </c:pt>
                <c:pt idx="18">
                  <c:v>5808902.1182420691</c:v>
                </c:pt>
                <c:pt idx="19">
                  <c:v>5881156.029348637</c:v>
                </c:pt>
                <c:pt idx="20">
                  <c:v>5946994.2658455903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2938768.6290912107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2938768.6290912107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26891518.563405465</c:v>
                </c:pt>
                <c:pt idx="2">
                  <c:v>52822108.635268539</c:v>
                </c:pt>
                <c:pt idx="3">
                  <c:v>77818250.93590495</c:v>
                </c:pt>
                <c:pt idx="4">
                  <c:v>101906321.32154958</c:v>
                </c:pt>
                <c:pt idx="5">
                  <c:v>125112532.91757707</c:v>
                </c:pt>
                <c:pt idx="6">
                  <c:v>147462883.42931002</c:v>
                </c:pt>
                <c:pt idx="7">
                  <c:v>168983107.42063725</c:v>
                </c:pt>
                <c:pt idx="8">
                  <c:v>189698633.33986819</c:v>
                </c:pt>
                <c:pt idx="9">
                  <c:v>209634545.06440687</c:v>
                </c:pt>
                <c:pt idx="10">
                  <c:v>228815547.7309525</c:v>
                </c:pt>
                <c:pt idx="11">
                  <c:v>247265937.61529857</c:v>
                </c:pt>
                <c:pt idx="12">
                  <c:v>265009575.82555684</c:v>
                </c:pt>
                <c:pt idx="13">
                  <c:v>282069865.57415175</c:v>
                </c:pt>
                <c:pt idx="14">
                  <c:v>298469732.7971009</c:v>
                </c:pt>
                <c:pt idx="15">
                  <c:v>314231609.89374036</c:v>
                </c:pt>
                <c:pt idx="16">
                  <c:v>329377422.36575711</c:v>
                </c:pt>
                <c:pt idx="17">
                  <c:v>343928578.14110625</c:v>
                </c:pt>
                <c:pt idx="18">
                  <c:v>357905959.37593991</c:v>
                </c:pt>
                <c:pt idx="19">
                  <c:v>371329916.535662</c:v>
                </c:pt>
                <c:pt idx="20">
                  <c:v>384220264.56488615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182565617.25423408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33364081.59999875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249456525.47051975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9095392.7554883435</c:v>
                </c:pt>
                <c:pt idx="2">
                  <c:v>17797167.231097437</c:v>
                </c:pt>
                <c:pt idx="3">
                  <c:v>26121384.537788443</c:v>
                </c:pt>
                <c:pt idx="4">
                  <c:v>34083535.682424247</c:v>
                </c:pt>
                <c:pt idx="5">
                  <c:v>41698554.158957601</c:v>
                </c:pt>
                <c:pt idx="6">
                  <c:v>48980829.014459282</c:v>
                </c:pt>
                <c:pt idx="7">
                  <c:v>55944218.293279201</c:v>
                </c:pt>
                <c:pt idx="8">
                  <c:v>62602062.771540806</c:v>
                </c:pt>
                <c:pt idx="9">
                  <c:v>68967199.902406856</c:v>
                </c:pt>
                <c:pt idx="10">
                  <c:v>75051977.90051724</c:v>
                </c:pt>
                <c:pt idx="11">
                  <c:v>80868269.901061445</c:v>
                </c:pt>
                <c:pt idx="12">
                  <c:v>86427488.135900334</c:v>
                </c:pt>
                <c:pt idx="13">
                  <c:v>91740598.075286061</c:v>
                </c:pt>
                <c:pt idx="14">
                  <c:v>96818132.489608586</c:v>
                </c:pt>
                <c:pt idx="15">
                  <c:v>101670205.39092097</c:v>
                </c:pt>
                <c:pt idx="16">
                  <c:v>106306525.81893127</c:v>
                </c:pt>
                <c:pt idx="17">
                  <c:v>110736411.44068843</c:v>
                </c:pt>
                <c:pt idx="18">
                  <c:v>114968801.93732113</c:v>
                </c:pt>
                <c:pt idx="19">
                  <c:v>119012272.15500575</c:v>
                </c:pt>
                <c:pt idx="20">
                  <c:v>122875045.00075731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43274552.910443343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35403140.715256058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2785791.3336722385</c:v>
                </c:pt>
                <c:pt idx="2">
                  <c:v>5496718.5229516942</c:v>
                </c:pt>
                <c:pt idx="3">
                  <c:v>8134735.329043691</c:v>
                </c:pt>
                <c:pt idx="4">
                  <c:v>10701747.655996446</c:v>
                </c:pt>
                <c:pt idx="5">
                  <c:v>13199614.552575035</c:v>
                </c:pt>
                <c:pt idx="6">
                  <c:v>15630149.202787258</c:v>
                </c:pt>
                <c:pt idx="7">
                  <c:v>17995119.904533207</c:v>
                </c:pt>
                <c:pt idx="8">
                  <c:v>20296251.036003835</c:v>
                </c:pt>
                <c:pt idx="9">
                  <c:v>22535224.009394951</c:v>
                </c:pt>
                <c:pt idx="10">
                  <c:v>24713678.211604882</c:v>
                </c:pt>
                <c:pt idx="11">
                  <c:v>26833211.93163462</c:v>
                </c:pt>
                <c:pt idx="12">
                  <c:v>28895383.274402857</c:v>
                </c:pt>
                <c:pt idx="13">
                  <c:v>30901711.060751252</c:v>
                </c:pt>
                <c:pt idx="14">
                  <c:v>32853675.713481337</c:v>
                </c:pt>
                <c:pt idx="15">
                  <c:v>34752720.129224174</c:v>
                </c:pt>
                <c:pt idx="16">
                  <c:v>36600250.536029652</c:v>
                </c:pt>
                <c:pt idx="17">
                  <c:v>38397637.336596861</c:v>
                </c:pt>
                <c:pt idx="18">
                  <c:v>40146215.93703378</c:v>
                </c:pt>
                <c:pt idx="19">
                  <c:v>41847287.561128944</c:v>
                </c:pt>
                <c:pt idx="20">
                  <c:v>43502120.050093561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9519223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9519223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-1.9429251551628113E-7</c:v>
                </c:pt>
                <c:pt idx="1">
                  <c:v>7261367.8559773611</c:v>
                </c:pt>
                <c:pt idx="2">
                  <c:v>14093667.952320075</c:v>
                </c:pt>
                <c:pt idx="3">
                  <c:v>20518404.836978998</c:v>
                </c:pt>
                <c:pt idx="4">
                  <c:v>26556489.343969874</c:v>
                </c:pt>
                <c:pt idx="5">
                  <c:v>32228188.284814943</c:v>
                </c:pt>
                <c:pt idx="6">
                  <c:v>37553085.629936844</c:v>
                </c:pt>
                <c:pt idx="7">
                  <c:v>42550053.940443978</c:v>
                </c:pt>
                <c:pt idx="8">
                  <c:v>47237234.868150271</c:v>
                </c:pt>
                <c:pt idx="9">
                  <c:v>51632027.609613016</c:v>
                </c:pt>
                <c:pt idx="10">
                  <c:v>55751084.274891779</c:v>
                </c:pt>
                <c:pt idx="11">
                  <c:v>59610311.210629523</c:v>
                </c:pt>
                <c:pt idx="12">
                  <c:v>63224875.397506736</c:v>
                </c:pt>
                <c:pt idx="13">
                  <c:v>66609215.122212268</c:v>
                </c:pt>
                <c:pt idx="14">
                  <c:v>69777054.202225581</c:v>
                </c:pt>
                <c:pt idx="15">
                  <c:v>72741419.116880849</c:v>
                </c:pt>
                <c:pt idx="16">
                  <c:v>75514658.469463244</c:v>
                </c:pt>
                <c:pt idx="17">
                  <c:v>78108464.272000462</c:v>
                </c:pt>
                <c:pt idx="18">
                  <c:v>80533894.606566995</c:v>
                </c:pt>
                <c:pt idx="19">
                  <c:v>82801397.274176598</c:v>
                </c:pt>
                <c:pt idx="20">
                  <c:v>84920834.094696164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37336797.551020384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31122209.219701398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72128"/>
        <c:axId val="159883264"/>
      </c:scatterChart>
      <c:valAx>
        <c:axId val="159872128"/>
        <c:scaling>
          <c:orientation val="minMax"/>
          <c:max val="6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59883264"/>
        <c:crosses val="autoZero"/>
        <c:crossBetween val="midCat"/>
        <c:dispUnits>
          <c:builtInUnit val="millions"/>
        </c:dispUnits>
      </c:valAx>
      <c:valAx>
        <c:axId val="159883264"/>
        <c:scaling>
          <c:orientation val="minMax"/>
          <c:max val="6000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layout/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15987212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32510341.298919387</c:v>
                </c:pt>
                <c:pt idx="2">
                  <c:v>64913757.961975709</c:v>
                </c:pt>
                <c:pt idx="3">
                  <c:v>97210249.989168957</c:v>
                </c:pt>
                <c:pt idx="4">
                  <c:v>129399817.38049912</c:v>
                </c:pt>
                <c:pt idx="5">
                  <c:v>161482460.13596624</c:v>
                </c:pt>
                <c:pt idx="6">
                  <c:v>193458178.25557023</c:v>
                </c:pt>
                <c:pt idx="7">
                  <c:v>225326971.73931122</c:v>
                </c:pt>
                <c:pt idx="8">
                  <c:v>257088840.58718908</c:v>
                </c:pt>
                <c:pt idx="9">
                  <c:v>288743784.79920393</c:v>
                </c:pt>
                <c:pt idx="10">
                  <c:v>320291804.37535566</c:v>
                </c:pt>
                <c:pt idx="11">
                  <c:v>351732899.31564426</c:v>
                </c:pt>
                <c:pt idx="12">
                  <c:v>383067069.62006992</c:v>
                </c:pt>
                <c:pt idx="13">
                  <c:v>414294315.28863245</c:v>
                </c:pt>
                <c:pt idx="14">
                  <c:v>445414636.32133186</c:v>
                </c:pt>
                <c:pt idx="15">
                  <c:v>476428032.71816826</c:v>
                </c:pt>
                <c:pt idx="16">
                  <c:v>507334504.47914159</c:v>
                </c:pt>
                <c:pt idx="17">
                  <c:v>538134051.60425186</c:v>
                </c:pt>
                <c:pt idx="18">
                  <c:v>568826674.09349895</c:v>
                </c:pt>
                <c:pt idx="19">
                  <c:v>599412371.94688308</c:v>
                </c:pt>
                <c:pt idx="20">
                  <c:v>629891145.16440403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256729429.50008738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307256459.50202709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35532883.959865317</c:v>
                </c:pt>
                <c:pt idx="2">
                  <c:v>71074817.715895742</c:v>
                </c:pt>
                <c:pt idx="3">
                  <c:v>106625801.26809132</c:v>
                </c:pt>
                <c:pt idx="4">
                  <c:v>142185834.61645198</c:v>
                </c:pt>
                <c:pt idx="5">
                  <c:v>177754917.7609778</c:v>
                </c:pt>
                <c:pt idx="6">
                  <c:v>213333050.70166874</c:v>
                </c:pt>
                <c:pt idx="7">
                  <c:v>248920233.43852475</c:v>
                </c:pt>
                <c:pt idx="8">
                  <c:v>284516465.97154588</c:v>
                </c:pt>
                <c:pt idx="9">
                  <c:v>320121748.3007322</c:v>
                </c:pt>
                <c:pt idx="10">
                  <c:v>355736080.42608356</c:v>
                </c:pt>
                <c:pt idx="11">
                  <c:v>391359462.3476001</c:v>
                </c:pt>
                <c:pt idx="12">
                  <c:v>426991894.06528181</c:v>
                </c:pt>
                <c:pt idx="13">
                  <c:v>462633375.5791285</c:v>
                </c:pt>
                <c:pt idx="14">
                  <c:v>498283906.88914043</c:v>
                </c:pt>
                <c:pt idx="15">
                  <c:v>533943487.9953174</c:v>
                </c:pt>
                <c:pt idx="16">
                  <c:v>569612118.89765954</c:v>
                </c:pt>
                <c:pt idx="17">
                  <c:v>605289799.59616673</c:v>
                </c:pt>
                <c:pt idx="18">
                  <c:v>640976530.09083915</c:v>
                </c:pt>
                <c:pt idx="19">
                  <c:v>676672310.38167667</c:v>
                </c:pt>
                <c:pt idx="20">
                  <c:v>712377140.46867931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277582233.11286116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333164838.90764552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2263395.934106518</c:v>
                </c:pt>
                <c:pt idx="2">
                  <c:v>4526814.4907949688</c:v>
                </c:pt>
                <c:pt idx="3">
                  <c:v>6790255.6700653536</c:v>
                </c:pt>
                <c:pt idx="4">
                  <c:v>9053719.4719176721</c:v>
                </c:pt>
                <c:pt idx="5">
                  <c:v>11317205.896351924</c:v>
                </c:pt>
                <c:pt idx="6">
                  <c:v>13580714.943368107</c:v>
                </c:pt>
                <c:pt idx="7">
                  <c:v>15844246.612966226</c:v>
                </c:pt>
                <c:pt idx="8">
                  <c:v>18107800.905146275</c:v>
                </c:pt>
                <c:pt idx="9">
                  <c:v>20371377.819908265</c:v>
                </c:pt>
                <c:pt idx="10">
                  <c:v>22634977.357252184</c:v>
                </c:pt>
                <c:pt idx="11">
                  <c:v>24898599.517178033</c:v>
                </c:pt>
                <c:pt idx="12">
                  <c:v>27162244.299685817</c:v>
                </c:pt>
                <c:pt idx="13">
                  <c:v>29425911.704775531</c:v>
                </c:pt>
                <c:pt idx="14">
                  <c:v>31689601.732447188</c:v>
                </c:pt>
                <c:pt idx="15">
                  <c:v>33953314.382700771</c:v>
                </c:pt>
                <c:pt idx="16">
                  <c:v>36217049.655536287</c:v>
                </c:pt>
                <c:pt idx="17">
                  <c:v>38480807.550953746</c:v>
                </c:pt>
                <c:pt idx="18">
                  <c:v>40744588.068953127</c:v>
                </c:pt>
                <c:pt idx="19">
                  <c:v>43008391.209534436</c:v>
                </c:pt>
                <c:pt idx="20">
                  <c:v>45272216.97269769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17223726.339992169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15501294.759338109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830396.10377881257</c:v>
                </c:pt>
                <c:pt idx="2">
                  <c:v>1573336.241599645</c:v>
                </c:pt>
                <c:pt idx="3">
                  <c:v>2183752.6617536447</c:v>
                </c:pt>
                <c:pt idx="4">
                  <c:v>2717026.0110859354</c:v>
                </c:pt>
                <c:pt idx="5">
                  <c:v>3204783.0991347739</c:v>
                </c:pt>
                <c:pt idx="6">
                  <c:v>3616567.6058843201</c:v>
                </c:pt>
                <c:pt idx="7">
                  <c:v>3952127.2124412442</c:v>
                </c:pt>
                <c:pt idx="8">
                  <c:v>4242797.2763169548</c:v>
                </c:pt>
                <c:pt idx="9">
                  <c:v>4502091.9271469023</c:v>
                </c:pt>
                <c:pt idx="10">
                  <c:v>4732480.6116008339</c:v>
                </c:pt>
                <c:pt idx="11">
                  <c:v>4936297.9761584429</c:v>
                </c:pt>
                <c:pt idx="12">
                  <c:v>5115857.5679551307</c:v>
                </c:pt>
                <c:pt idx="13">
                  <c:v>5273402.4955364978</c:v>
                </c:pt>
                <c:pt idx="14">
                  <c:v>5411161.1859890744</c:v>
                </c:pt>
                <c:pt idx="15">
                  <c:v>5531362.0663993917</c:v>
                </c:pt>
                <c:pt idx="16">
                  <c:v>5636233.5638539754</c:v>
                </c:pt>
                <c:pt idx="17">
                  <c:v>5728004.1054393593</c:v>
                </c:pt>
                <c:pt idx="18">
                  <c:v>5808902.1182420691</c:v>
                </c:pt>
                <c:pt idx="19">
                  <c:v>5881156.029348637</c:v>
                </c:pt>
                <c:pt idx="20">
                  <c:v>5946994.2658455903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2938768.6290912107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2938768.6290912107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26891518.563405465</c:v>
                </c:pt>
                <c:pt idx="2">
                  <c:v>52822108.635268539</c:v>
                </c:pt>
                <c:pt idx="3">
                  <c:v>77818250.93590495</c:v>
                </c:pt>
                <c:pt idx="4">
                  <c:v>101906321.32154958</c:v>
                </c:pt>
                <c:pt idx="5">
                  <c:v>125112532.91757707</c:v>
                </c:pt>
                <c:pt idx="6">
                  <c:v>147462883.42931002</c:v>
                </c:pt>
                <c:pt idx="7">
                  <c:v>168983107.42063725</c:v>
                </c:pt>
                <c:pt idx="8">
                  <c:v>189698633.33986819</c:v>
                </c:pt>
                <c:pt idx="9">
                  <c:v>209634545.06440687</c:v>
                </c:pt>
                <c:pt idx="10">
                  <c:v>228815547.7309525</c:v>
                </c:pt>
                <c:pt idx="11">
                  <c:v>247265937.61529857</c:v>
                </c:pt>
                <c:pt idx="12">
                  <c:v>265009575.82555684</c:v>
                </c:pt>
                <c:pt idx="13">
                  <c:v>282069865.57415175</c:v>
                </c:pt>
                <c:pt idx="14">
                  <c:v>298469732.7971009</c:v>
                </c:pt>
                <c:pt idx="15">
                  <c:v>314231609.89374036</c:v>
                </c:pt>
                <c:pt idx="16">
                  <c:v>329377422.36575711</c:v>
                </c:pt>
                <c:pt idx="17">
                  <c:v>343928578.14110625</c:v>
                </c:pt>
                <c:pt idx="18">
                  <c:v>357905959.37593991</c:v>
                </c:pt>
                <c:pt idx="19">
                  <c:v>371329916.535662</c:v>
                </c:pt>
                <c:pt idx="20">
                  <c:v>384220264.56488615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182565617.25423408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33364081.59999875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249456525.47051975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9095392.7554883435</c:v>
                </c:pt>
                <c:pt idx="2">
                  <c:v>17797167.231097437</c:v>
                </c:pt>
                <c:pt idx="3">
                  <c:v>26121384.537788443</c:v>
                </c:pt>
                <c:pt idx="4">
                  <c:v>34083535.682424247</c:v>
                </c:pt>
                <c:pt idx="5">
                  <c:v>41698554.158957601</c:v>
                </c:pt>
                <c:pt idx="6">
                  <c:v>48980829.014459282</c:v>
                </c:pt>
                <c:pt idx="7">
                  <c:v>55944218.293279201</c:v>
                </c:pt>
                <c:pt idx="8">
                  <c:v>62602062.771540806</c:v>
                </c:pt>
                <c:pt idx="9">
                  <c:v>68967199.902406856</c:v>
                </c:pt>
                <c:pt idx="10">
                  <c:v>75051977.90051724</c:v>
                </c:pt>
                <c:pt idx="11">
                  <c:v>80868269.901061445</c:v>
                </c:pt>
                <c:pt idx="12">
                  <c:v>86427488.135900334</c:v>
                </c:pt>
                <c:pt idx="13">
                  <c:v>91740598.075286061</c:v>
                </c:pt>
                <c:pt idx="14">
                  <c:v>96818132.489608586</c:v>
                </c:pt>
                <c:pt idx="15">
                  <c:v>101670205.39092097</c:v>
                </c:pt>
                <c:pt idx="16">
                  <c:v>106306525.81893127</c:v>
                </c:pt>
                <c:pt idx="17">
                  <c:v>110736411.44068843</c:v>
                </c:pt>
                <c:pt idx="18">
                  <c:v>114968801.93732113</c:v>
                </c:pt>
                <c:pt idx="19">
                  <c:v>119012272.15500575</c:v>
                </c:pt>
                <c:pt idx="20">
                  <c:v>122875045.00075731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43274552.910443343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35403140.715256058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2785791.3336722385</c:v>
                </c:pt>
                <c:pt idx="2">
                  <c:v>5496718.5229516942</c:v>
                </c:pt>
                <c:pt idx="3">
                  <c:v>8134735.329043691</c:v>
                </c:pt>
                <c:pt idx="4">
                  <c:v>10701747.655996446</c:v>
                </c:pt>
                <c:pt idx="5">
                  <c:v>13199614.552575035</c:v>
                </c:pt>
                <c:pt idx="6">
                  <c:v>15630149.202787258</c:v>
                </c:pt>
                <c:pt idx="7">
                  <c:v>17995119.904533207</c:v>
                </c:pt>
                <c:pt idx="8">
                  <c:v>20296251.036003835</c:v>
                </c:pt>
                <c:pt idx="9">
                  <c:v>22535224.009394951</c:v>
                </c:pt>
                <c:pt idx="10">
                  <c:v>24713678.211604882</c:v>
                </c:pt>
                <c:pt idx="11">
                  <c:v>26833211.93163462</c:v>
                </c:pt>
                <c:pt idx="12">
                  <c:v>28895383.274402857</c:v>
                </c:pt>
                <c:pt idx="13">
                  <c:v>30901711.060751252</c:v>
                </c:pt>
                <c:pt idx="14">
                  <c:v>32853675.713481337</c:v>
                </c:pt>
                <c:pt idx="15">
                  <c:v>34752720.129224174</c:v>
                </c:pt>
                <c:pt idx="16">
                  <c:v>36600250.536029652</c:v>
                </c:pt>
                <c:pt idx="17">
                  <c:v>38397637.336596861</c:v>
                </c:pt>
                <c:pt idx="18">
                  <c:v>40146215.93703378</c:v>
                </c:pt>
                <c:pt idx="19">
                  <c:v>41847287.561128944</c:v>
                </c:pt>
                <c:pt idx="20">
                  <c:v>43502120.050093561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9519223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9519223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-1.9429251551628113E-7</c:v>
                </c:pt>
                <c:pt idx="1">
                  <c:v>7261367.8559773611</c:v>
                </c:pt>
                <c:pt idx="2">
                  <c:v>14093667.952320075</c:v>
                </c:pt>
                <c:pt idx="3">
                  <c:v>20518404.836978998</c:v>
                </c:pt>
                <c:pt idx="4">
                  <c:v>26556489.343969874</c:v>
                </c:pt>
                <c:pt idx="5">
                  <c:v>32228188.284814943</c:v>
                </c:pt>
                <c:pt idx="6">
                  <c:v>37553085.629936844</c:v>
                </c:pt>
                <c:pt idx="7">
                  <c:v>42550053.940443978</c:v>
                </c:pt>
                <c:pt idx="8">
                  <c:v>47237234.868150271</c:v>
                </c:pt>
                <c:pt idx="9">
                  <c:v>51632027.609613016</c:v>
                </c:pt>
                <c:pt idx="10">
                  <c:v>55751084.274891779</c:v>
                </c:pt>
                <c:pt idx="11">
                  <c:v>59610311.210629523</c:v>
                </c:pt>
                <c:pt idx="12">
                  <c:v>63224875.397506736</c:v>
                </c:pt>
                <c:pt idx="13">
                  <c:v>66609215.122212268</c:v>
                </c:pt>
                <c:pt idx="14">
                  <c:v>69777054.202225581</c:v>
                </c:pt>
                <c:pt idx="15">
                  <c:v>72741419.116880849</c:v>
                </c:pt>
                <c:pt idx="16">
                  <c:v>75514658.469463244</c:v>
                </c:pt>
                <c:pt idx="17">
                  <c:v>78108464.272000462</c:v>
                </c:pt>
                <c:pt idx="18">
                  <c:v>80533894.606566995</c:v>
                </c:pt>
                <c:pt idx="19">
                  <c:v>82801397.274176598</c:v>
                </c:pt>
                <c:pt idx="20">
                  <c:v>84920834.094696164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37336797.551020384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31122209.219701398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581504"/>
        <c:axId val="160588544"/>
      </c:scatterChart>
      <c:valAx>
        <c:axId val="160581504"/>
        <c:scaling>
          <c:orientation val="minMax"/>
          <c:max val="2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60588544"/>
        <c:crosses val="autoZero"/>
        <c:crossBetween val="midCat"/>
        <c:dispUnits>
          <c:builtInUnit val="millions"/>
        </c:dispUnits>
      </c:valAx>
      <c:valAx>
        <c:axId val="160588544"/>
        <c:scaling>
          <c:orientation val="minMax"/>
          <c:max val="1000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layout/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16058150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3312421.3159430088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721984"/>
        <c:axId val="249724288"/>
      </c:scatterChart>
      <c:valAx>
        <c:axId val="2497219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49724288"/>
        <c:crosses val="autoZero"/>
        <c:crossBetween val="midCat"/>
        <c:dispUnits>
          <c:builtInUnit val="thousands"/>
        </c:dispUnits>
      </c:valAx>
      <c:valAx>
        <c:axId val="249724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4972198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JANSample!$H$9</c:f>
              <c:numCache>
                <c:formatCode>#,##0</c:formatCode>
                <c:ptCount val="1"/>
                <c:pt idx="0">
                  <c:v>200413.29391107528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25378.876892208733</c:v>
                </c:pt>
                <c:pt idx="2">
                  <c:v>50674.284123322177</c:v>
                </c:pt>
                <c:pt idx="3">
                  <c:v>75886.221693340325</c:v>
                </c:pt>
                <c:pt idx="4">
                  <c:v>101014.68960226317</c:v>
                </c:pt>
                <c:pt idx="5">
                  <c:v>126059.68785009073</c:v>
                </c:pt>
                <c:pt idx="6">
                  <c:v>151021.21643682299</c:v>
                </c:pt>
                <c:pt idx="7">
                  <c:v>175899.27536245997</c:v>
                </c:pt>
                <c:pt idx="8">
                  <c:v>200693.86462700163</c:v>
                </c:pt>
                <c:pt idx="9">
                  <c:v>225404.98423044803</c:v>
                </c:pt>
                <c:pt idx="10">
                  <c:v>250032.63417279909</c:v>
                </c:pt>
                <c:pt idx="11">
                  <c:v>274576.81445405487</c:v>
                </c:pt>
                <c:pt idx="12">
                  <c:v>299037.52507421537</c:v>
                </c:pt>
                <c:pt idx="13">
                  <c:v>323414.76603328058</c:v>
                </c:pt>
                <c:pt idx="14">
                  <c:v>347708.5373312505</c:v>
                </c:pt>
                <c:pt idx="15">
                  <c:v>371918.83896812511</c:v>
                </c:pt>
                <c:pt idx="16">
                  <c:v>396045.67094390444</c:v>
                </c:pt>
                <c:pt idx="17">
                  <c:v>420089.03325858846</c:v>
                </c:pt>
                <c:pt idx="18">
                  <c:v>444048.92591217719</c:v>
                </c:pt>
                <c:pt idx="19">
                  <c:v>467925.34890467062</c:v>
                </c:pt>
                <c:pt idx="20">
                  <c:v>491718.30223606876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JANSample!$E$9</c:f>
              <c:numCache>
                <c:formatCode>#,##0</c:formatCode>
                <c:ptCount val="1"/>
                <c:pt idx="0">
                  <c:v>239856.72092273776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774848"/>
        <c:axId val="249777152"/>
      </c:scatterChart>
      <c:valAx>
        <c:axId val="2497748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49777152"/>
        <c:crosses val="autoZero"/>
        <c:crossBetween val="midCat"/>
        <c:dispUnits>
          <c:builtInUnit val="thousands"/>
        </c:dispUnits>
      </c:valAx>
      <c:valAx>
        <c:axId val="249777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4977484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3938662.5298482887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213504"/>
        <c:axId val="250215808"/>
      </c:scatterChart>
      <c:valAx>
        <c:axId val="2502135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50215808"/>
        <c:crosses val="autoZero"/>
        <c:crossBetween val="midCat"/>
        <c:dispUnits>
          <c:builtInUnit val="thousands"/>
        </c:dispUnits>
      </c:valAx>
      <c:valAx>
        <c:axId val="2502158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02135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JMTSample!$H$9</c:f>
              <c:numCache>
                <c:formatCode>#,##0</c:formatCode>
                <c:ptCount val="1"/>
                <c:pt idx="0">
                  <c:v>230933.63819705584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29561.46752068662</c:v>
                </c:pt>
                <c:pt idx="2">
                  <c:v>59130.463989929907</c:v>
                </c:pt>
                <c:pt idx="3">
                  <c:v>88706.989407729881</c:v>
                </c:pt>
                <c:pt idx="4">
                  <c:v>118291.04377408652</c:v>
                </c:pt>
                <c:pt idx="5">
                  <c:v>147882.62708899984</c:v>
                </c:pt>
                <c:pt idx="6">
                  <c:v>177481.73935246983</c:v>
                </c:pt>
                <c:pt idx="7">
                  <c:v>207088.38056449647</c:v>
                </c:pt>
                <c:pt idx="8">
                  <c:v>236702.55072507978</c:v>
                </c:pt>
                <c:pt idx="9">
                  <c:v>266324.24983421981</c:v>
                </c:pt>
                <c:pt idx="10">
                  <c:v>295953.47789191647</c:v>
                </c:pt>
                <c:pt idx="11">
                  <c:v>325590.23489816982</c:v>
                </c:pt>
                <c:pt idx="12">
                  <c:v>355234.52085297985</c:v>
                </c:pt>
                <c:pt idx="13">
                  <c:v>384886.33575634653</c:v>
                </c:pt>
                <c:pt idx="14">
                  <c:v>414545.67960826989</c:v>
                </c:pt>
                <c:pt idx="15">
                  <c:v>444212.55240874994</c:v>
                </c:pt>
                <c:pt idx="16">
                  <c:v>473886.95415778668</c:v>
                </c:pt>
                <c:pt idx="17">
                  <c:v>503568.88485537999</c:v>
                </c:pt>
                <c:pt idx="18">
                  <c:v>533258.34450153005</c:v>
                </c:pt>
                <c:pt idx="19">
                  <c:v>562955.33309623681</c:v>
                </c:pt>
                <c:pt idx="20">
                  <c:v>592659.85063950031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JMTSample!$E$9</c:f>
              <c:numCache>
                <c:formatCode>#,##0</c:formatCode>
                <c:ptCount val="1"/>
                <c:pt idx="0">
                  <c:v>277175.40674512938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23712"/>
        <c:axId val="250326016"/>
      </c:scatterChart>
      <c:valAx>
        <c:axId val="2503237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50326016"/>
        <c:crosses val="autoZero"/>
        <c:crossBetween val="midCat"/>
        <c:dispUnits>
          <c:builtInUnit val="thousands"/>
        </c:dispUnits>
      </c:valAx>
      <c:valAx>
        <c:axId val="25032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032371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TOTSample!$I$9</c:f>
              <c:numCache>
                <c:formatCode>#,##0</c:formatCode>
                <c:ptCount val="1"/>
                <c:pt idx="0">
                  <c:v>5869805.5007563764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814356.65353799029</c:v>
                </c:pt>
                <c:pt idx="2">
                  <c:v>1628978.1575544148</c:v>
                </c:pt>
                <c:pt idx="3">
                  <c:v>2443864.5120492736</c:v>
                </c:pt>
                <c:pt idx="4">
                  <c:v>3259015.7170225671</c:v>
                </c:pt>
                <c:pt idx="5">
                  <c:v>4074431.7724742941</c:v>
                </c:pt>
                <c:pt idx="6">
                  <c:v>4890112.6784044569</c:v>
                </c:pt>
                <c:pt idx="7">
                  <c:v>5706058.4348130533</c:v>
                </c:pt>
                <c:pt idx="8">
                  <c:v>6522269.0417000838</c:v>
                </c:pt>
                <c:pt idx="9">
                  <c:v>7338744.4990655482</c:v>
                </c:pt>
                <c:pt idx="10">
                  <c:v>8155484.8069094475</c:v>
                </c:pt>
                <c:pt idx="11">
                  <c:v>8972489.9652317818</c:v>
                </c:pt>
                <c:pt idx="12">
                  <c:v>9789759.9740325511</c:v>
                </c:pt>
                <c:pt idx="13">
                  <c:v>10607294.833311751</c:v>
                </c:pt>
                <c:pt idx="14">
                  <c:v>11425094.543069389</c:v>
                </c:pt>
                <c:pt idx="15">
                  <c:v>12243159.103305459</c:v>
                </c:pt>
                <c:pt idx="16">
                  <c:v>13061488.514019966</c:v>
                </c:pt>
                <c:pt idx="17">
                  <c:v>13880082.775212904</c:v>
                </c:pt>
                <c:pt idx="18">
                  <c:v>14698941.886884278</c:v>
                </c:pt>
                <c:pt idx="19">
                  <c:v>15518065.849034088</c:v>
                </c:pt>
                <c:pt idx="20">
                  <c:v>16337454.661662331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TOTSample!$F$9</c:f>
              <c:numCache>
                <c:formatCode>#,##0</c:formatCode>
                <c:ptCount val="1"/>
                <c:pt idx="0">
                  <c:v>5869805.5007563764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97824"/>
        <c:axId val="250400128"/>
      </c:scatterChart>
      <c:valAx>
        <c:axId val="2503978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50400128"/>
        <c:crosses val="autoZero"/>
        <c:crossBetween val="midCat"/>
        <c:dispUnits>
          <c:builtInUnit val="thousands"/>
        </c:dispUnits>
      </c:valAx>
      <c:valAx>
        <c:axId val="250400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03978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TOTSample!$H$9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55854.365811933487</c:v>
                </c:pt>
                <c:pt idx="2">
                  <c:v>111726.89695160596</c:v>
                </c:pt>
                <c:pt idx="3">
                  <c:v>167617.59341901742</c:v>
                </c:pt>
                <c:pt idx="4">
                  <c:v>223526.45521416783</c:v>
                </c:pt>
                <c:pt idx="5">
                  <c:v>279453.48233705724</c:v>
                </c:pt>
                <c:pt idx="6">
                  <c:v>335398.67478768562</c:v>
                </c:pt>
                <c:pt idx="7">
                  <c:v>391362.03256605304</c:v>
                </c:pt>
                <c:pt idx="8">
                  <c:v>447343.55567215936</c:v>
                </c:pt>
                <c:pt idx="9">
                  <c:v>503343.24410600471</c:v>
                </c:pt>
                <c:pt idx="10">
                  <c:v>559361.09786758909</c:v>
                </c:pt>
                <c:pt idx="11">
                  <c:v>615397.11695691233</c:v>
                </c:pt>
                <c:pt idx="12">
                  <c:v>671451.30137397465</c:v>
                </c:pt>
                <c:pt idx="13">
                  <c:v>727523.65111877583</c:v>
                </c:pt>
                <c:pt idx="14">
                  <c:v>783614.16619131609</c:v>
                </c:pt>
                <c:pt idx="15">
                  <c:v>839722.84659159533</c:v>
                </c:pt>
                <c:pt idx="16">
                  <c:v>895849.69231961353</c:v>
                </c:pt>
                <c:pt idx="17">
                  <c:v>951994.70337537082</c:v>
                </c:pt>
                <c:pt idx="18">
                  <c:v>1008157.879758867</c:v>
                </c:pt>
                <c:pt idx="19">
                  <c:v>1064339.2214701022</c:v>
                </c:pt>
                <c:pt idx="20">
                  <c:v>1120538.7285090764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TOTSample!$E$9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454784"/>
        <c:axId val="250457088"/>
      </c:scatterChart>
      <c:valAx>
        <c:axId val="2504547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50457088"/>
        <c:crosses val="autoZero"/>
        <c:crossBetween val="midCat"/>
        <c:dispUnits>
          <c:builtInUnit val="thousands"/>
        </c:dispUnits>
      </c:valAx>
      <c:valAx>
        <c:axId val="25045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045478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4185187.6000000006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171348.65624802854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45952"/>
        <c:axId val="253648256"/>
      </c:scatterChart>
      <c:valAx>
        <c:axId val="2536459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53648256"/>
        <c:crosses val="autoZero"/>
        <c:crossBetween val="midCat"/>
        <c:dispUnits>
          <c:builtInUnit val="thousands"/>
        </c:dispUnits>
      </c:valAx>
      <c:valAx>
        <c:axId val="2536482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36459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JJVCH!$H$9</c:f>
              <c:numCache>
                <c:formatCode>#,##0</c:formatCode>
                <c:ptCount val="1"/>
                <c:pt idx="0">
                  <c:v>13058.170083390574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JJVCH!$B$23:$B$43</c:f>
              <c:numCache>
                <c:formatCode>#,##0</c:formatCode>
                <c:ptCount val="21"/>
                <c:pt idx="0">
                  <c:v>0</c:v>
                </c:pt>
                <c:pt idx="1">
                  <c:v>1715.9938848419392</c:v>
                </c:pt>
                <c:pt idx="2">
                  <c:v>3432.0049209969438</c:v>
                </c:pt>
                <c:pt idx="3">
                  <c:v>5148.0331084650143</c:v>
                </c:pt>
                <c:pt idx="4">
                  <c:v>6864.0784472461501</c:v>
                </c:pt>
                <c:pt idx="5">
                  <c:v>8580.1409373403512</c:v>
                </c:pt>
                <c:pt idx="6">
                  <c:v>10296.220578747618</c:v>
                </c:pt>
                <c:pt idx="7">
                  <c:v>12012.317371467951</c:v>
                </c:pt>
                <c:pt idx="8">
                  <c:v>13728.431315501346</c:v>
                </c:pt>
                <c:pt idx="9">
                  <c:v>15444.562410847811</c:v>
                </c:pt>
                <c:pt idx="10">
                  <c:v>17160.710657507341</c:v>
                </c:pt>
                <c:pt idx="11">
                  <c:v>18876.876055479934</c:v>
                </c:pt>
                <c:pt idx="12">
                  <c:v>20593.058604765592</c:v>
                </c:pt>
                <c:pt idx="13">
                  <c:v>22309.258305364314</c:v>
                </c:pt>
                <c:pt idx="14">
                  <c:v>24025.475157276109</c:v>
                </c:pt>
                <c:pt idx="15">
                  <c:v>25741.709160500963</c:v>
                </c:pt>
                <c:pt idx="16">
                  <c:v>27457.960315038883</c:v>
                </c:pt>
                <c:pt idx="17">
                  <c:v>29174.228620889873</c:v>
                </c:pt>
                <c:pt idx="18">
                  <c:v>30890.514078053922</c:v>
                </c:pt>
                <c:pt idx="19">
                  <c:v>32606.816686531038</c:v>
                </c:pt>
                <c:pt idx="20">
                  <c:v>34323.136446321223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4185187.6000000006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JJVCH!$E$9</c:f>
              <c:numCache>
                <c:formatCode>#,##0</c:formatCode>
                <c:ptCount val="1"/>
                <c:pt idx="0">
                  <c:v>11752.308384638445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82432"/>
        <c:axId val="253684736"/>
      </c:scatterChart>
      <c:valAx>
        <c:axId val="2536824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53684736"/>
        <c:crosses val="autoZero"/>
        <c:crossBetween val="midCat"/>
        <c:dispUnits>
          <c:builtInUnit val="thousands"/>
        </c:dispUnits>
      </c:valAx>
      <c:valAx>
        <c:axId val="25368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368243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6253528.5509214355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740160"/>
        <c:axId val="253742464"/>
      </c:scatterChart>
      <c:valAx>
        <c:axId val="2537401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53742464"/>
        <c:crosses val="autoZero"/>
        <c:crossBetween val="midCat"/>
        <c:dispUnits>
          <c:builtInUnit val="thousands"/>
        </c:dispUnits>
      </c:valAx>
      <c:valAx>
        <c:axId val="253742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374016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Incr. NRx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JJMMF!$H$9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JJMMF!$B$30:$B$50</c:f>
              <c:numCache>
                <c:formatCode>#,##0</c:formatCode>
                <c:ptCount val="21"/>
                <c:pt idx="0">
                  <c:v>0</c:v>
                </c:pt>
                <c:pt idx="1">
                  <c:v>629.56490051464186</c:v>
                </c:pt>
                <c:pt idx="2">
                  <c:v>1192.8250504925284</c:v>
                </c:pt>
                <c:pt idx="3">
                  <c:v>1655.6123288503752</c:v>
                </c:pt>
                <c:pt idx="4">
                  <c:v>2059.9135792918387</c:v>
                </c:pt>
                <c:pt idx="5">
                  <c:v>2429.7066710650297</c:v>
                </c:pt>
                <c:pt idx="6">
                  <c:v>2741.9011416863686</c:v>
                </c:pt>
                <c:pt idx="7">
                  <c:v>2996.3056955581837</c:v>
                </c:pt>
                <c:pt idx="8">
                  <c:v>3216.6772375412847</c:v>
                </c:pt>
                <c:pt idx="9">
                  <c:v>3413.2615065556502</c:v>
                </c:pt>
                <c:pt idx="10">
                  <c:v>3587.9307138747795</c:v>
                </c:pt>
                <c:pt idx="11">
                  <c:v>3742.4548719927543</c:v>
                </c:pt>
                <c:pt idx="12">
                  <c:v>3878.5879969333819</c:v>
                </c:pt>
                <c:pt idx="13">
                  <c:v>3998.0307016956012</c:v>
                </c:pt>
                <c:pt idx="14">
                  <c:v>4102.4724685284873</c:v>
                </c:pt>
                <c:pt idx="15">
                  <c:v>4193.6027796811159</c:v>
                </c:pt>
                <c:pt idx="16">
                  <c:v>4273.1111174025591</c:v>
                </c:pt>
                <c:pt idx="17">
                  <c:v>4342.6869639418946</c:v>
                </c:pt>
                <c:pt idx="18">
                  <c:v>4404.0198015481947</c:v>
                </c:pt>
                <c:pt idx="19">
                  <c:v>4458.7991124705359</c:v>
                </c:pt>
                <c:pt idx="20">
                  <c:v>4508.7143789579914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6253528.5509214355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JJMMF!$E$9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13504"/>
        <c:axId val="253815808"/>
      </c:scatterChart>
      <c:valAx>
        <c:axId val="2538135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53815808"/>
        <c:crosses val="autoZero"/>
        <c:crossBetween val="midCat"/>
        <c:dispUnits>
          <c:builtInUnit val="thousands"/>
        </c:dispUnits>
      </c:valAx>
      <c:valAx>
        <c:axId val="2538158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381350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36811696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33364081.59999875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2757449.6901896722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993344"/>
        <c:axId val="253995648"/>
      </c:scatterChart>
      <c:valAx>
        <c:axId val="2539933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53995648"/>
        <c:crosses val="autoZero"/>
        <c:crossBetween val="midCat"/>
        <c:dispUnits>
          <c:builtInUnit val="thousands"/>
        </c:dispUnits>
      </c:valAx>
      <c:valAx>
        <c:axId val="253995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399334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JJHCC!$H$9</c:f>
              <c:numCache>
                <c:formatCode>#,##0</c:formatCode>
                <c:ptCount val="1"/>
                <c:pt idx="0">
                  <c:v>138412.14348311909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JJHCC!$B$22:$B$42</c:f>
              <c:numCache>
                <c:formatCode>#,##0</c:formatCode>
                <c:ptCount val="21"/>
                <c:pt idx="0">
                  <c:v>0</c:v>
                </c:pt>
                <c:pt idx="1">
                  <c:v>20387.807857017033</c:v>
                </c:pt>
                <c:pt idx="2">
                  <c:v>40047.087668891996</c:v>
                </c:pt>
                <c:pt idx="3">
                  <c:v>58997.915796743706</c:v>
                </c:pt>
                <c:pt idx="4">
                  <c:v>77260.28909897618</c:v>
                </c:pt>
                <c:pt idx="5">
                  <c:v>94854.081059573218</c:v>
                </c:pt>
                <c:pt idx="6">
                  <c:v>111799.00184178166</c:v>
                </c:pt>
                <c:pt idx="7">
                  <c:v>128114.56210814044</c:v>
                </c:pt>
                <c:pt idx="8">
                  <c:v>143820.04043962713</c:v>
                </c:pt>
                <c:pt idx="9">
                  <c:v>158934.4541807482</c:v>
                </c:pt>
                <c:pt idx="10">
                  <c:v>173476.53353370167</c:v>
                </c:pt>
                <c:pt idx="11">
                  <c:v>187464.69872274343</c:v>
                </c:pt>
                <c:pt idx="12">
                  <c:v>200917.04004970193</c:v>
                </c:pt>
                <c:pt idx="13">
                  <c:v>213851.30066273827</c:v>
                </c:pt>
                <c:pt idx="14">
                  <c:v>226284.86186285131</c:v>
                </c:pt>
                <c:pt idx="15">
                  <c:v>238234.73077614885</c:v>
                </c:pt>
                <c:pt idx="16">
                  <c:v>249717.53022422828</c:v>
                </c:pt>
                <c:pt idx="17">
                  <c:v>260749.49063010328</c:v>
                </c:pt>
                <c:pt idx="18">
                  <c:v>271346.44380283542</c:v>
                </c:pt>
                <c:pt idx="19">
                  <c:v>281523.81845008489</c:v>
                </c:pt>
                <c:pt idx="20">
                  <c:v>291296.63727436401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36811696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33364081.59999875</c:v>
                </c:pt>
              </c:numCache>
            </c:numRef>
          </c:xVal>
          <c:yVal>
            <c:numRef>
              <c:f>JJHCC!$E$9</c:f>
              <c:numCache>
                <c:formatCode>#,##0</c:formatCode>
                <c:ptCount val="1"/>
                <c:pt idx="0">
                  <c:v>189125.49315429851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050304"/>
        <c:axId val="254052608"/>
      </c:scatterChart>
      <c:valAx>
        <c:axId val="2540503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54052608"/>
        <c:crosses val="autoZero"/>
        <c:crossBetween val="midCat"/>
        <c:dispUnits>
          <c:builtInUnit val="thousands"/>
        </c:dispUnits>
      </c:valAx>
      <c:valAx>
        <c:axId val="2540526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40503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391340.25142413448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099456"/>
        <c:axId val="254101760"/>
      </c:scatterChart>
      <c:valAx>
        <c:axId val="2540994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54101760"/>
        <c:crosses val="autoZero"/>
        <c:crossBetween val="midCat"/>
        <c:dispUnits>
          <c:builtInUnit val="thousands"/>
        </c:dispUnits>
      </c:valAx>
      <c:valAx>
        <c:axId val="254101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409945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JJMCM!$H$9</c:f>
              <c:numCache>
                <c:formatCode>#,##0</c:formatCode>
                <c:ptCount val="1"/>
                <c:pt idx="0">
                  <c:v>32808.607210343704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JJMCM!$B$22:$B$42</c:f>
              <c:numCache>
                <c:formatCode>#,##0</c:formatCode>
                <c:ptCount val="21"/>
                <c:pt idx="0">
                  <c:v>0</c:v>
                </c:pt>
                <c:pt idx="1">
                  <c:v>6895.6730519244447</c:v>
                </c:pt>
                <c:pt idx="2">
                  <c:v>13492.924360195175</c:v>
                </c:pt>
                <c:pt idx="3">
                  <c:v>19803.930657913908</c:v>
                </c:pt>
                <c:pt idx="4">
                  <c:v>25840.436453695409</c:v>
                </c:pt>
                <c:pt idx="5">
                  <c:v>31613.763577678241</c:v>
                </c:pt>
                <c:pt idx="6">
                  <c:v>37134.821087535471</c:v>
                </c:pt>
                <c:pt idx="7">
                  <c:v>42414.115461166948</c:v>
                </c:pt>
                <c:pt idx="8">
                  <c:v>47461.761009507813</c:v>
                </c:pt>
                <c:pt idx="9">
                  <c:v>52287.490449133329</c:v>
                </c:pt>
                <c:pt idx="10">
                  <c:v>56900.665580376983</c:v>
                </c:pt>
                <c:pt idx="11">
                  <c:v>61310.288022032939</c:v>
                </c:pt>
                <c:pt idx="12">
                  <c:v>65525.00995898433</c:v>
                </c:pt>
                <c:pt idx="13">
                  <c:v>69553.144863749854</c:v>
                </c:pt>
                <c:pt idx="14">
                  <c:v>73402.678157398477</c:v>
                </c:pt>
                <c:pt idx="15">
                  <c:v>77081.277779318392</c:v>
                </c:pt>
                <c:pt idx="16">
                  <c:v>80596.304639068432</c:v>
                </c:pt>
                <c:pt idx="17">
                  <c:v>83954.822926981375</c:v>
                </c:pt>
                <c:pt idx="18">
                  <c:v>87163.610263321549</c:v>
                </c:pt>
                <c:pt idx="19">
                  <c:v>90229.167668692768</c:v>
                </c:pt>
                <c:pt idx="20">
                  <c:v>93157.729340983555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JJMCM!$E$9</c:f>
              <c:numCache>
                <c:formatCode>#,##0</c:formatCode>
                <c:ptCount val="1"/>
                <c:pt idx="0">
                  <c:v>26840.895159405656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229888"/>
        <c:axId val="254240640"/>
      </c:scatterChart>
      <c:valAx>
        <c:axId val="2542298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54240640"/>
        <c:crosses val="autoZero"/>
        <c:crossBetween val="midCat"/>
        <c:dispUnits>
          <c:builtInUnit val="thousands"/>
        </c:dispUnits>
      </c:valAx>
      <c:valAx>
        <c:axId val="254240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42298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956096"/>
        <c:axId val="259991424"/>
      </c:scatterChart>
      <c:valAx>
        <c:axId val="2599560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59991424"/>
        <c:crosses val="autoZero"/>
        <c:crossBetween val="midCat"/>
        <c:dispUnits>
          <c:builtInUnit val="thousands"/>
        </c:dispUnits>
      </c:valAx>
      <c:valAx>
        <c:axId val="259991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99560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Pharmacy Acquisition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JJHCC_ACQ!$H$9</c:f>
              <c:numCache>
                <c:formatCode>#,##0</c:formatCode>
                <c:ptCount val="1"/>
                <c:pt idx="0">
                  <c:v>7217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JJHCC_ACQ!$B$22:$B$42</c:f>
              <c:numCache>
                <c:formatCode>#,##0</c:formatCode>
                <c:ptCount val="21"/>
                <c:pt idx="0">
                  <c:v>0</c:v>
                </c:pt>
                <c:pt idx="1">
                  <c:v>2112.0480164308101</c:v>
                </c:pt>
                <c:pt idx="2">
                  <c:v>4167.337773276493</c:v>
                </c:pt>
                <c:pt idx="3">
                  <c:v>6167.3505148170516</c:v>
                </c:pt>
                <c:pt idx="4">
                  <c:v>8113.5312024233863</c:v>
                </c:pt>
                <c:pt idx="5">
                  <c:v>10007.289274128154</c:v>
                </c:pt>
                <c:pt idx="6">
                  <c:v>11849.999395593069</c:v>
                </c:pt>
                <c:pt idx="7">
                  <c:v>13643.002202072181</c:v>
                </c:pt>
                <c:pt idx="8">
                  <c:v>15387.605031087063</c:v>
                </c:pt>
                <c:pt idx="9">
                  <c:v>17085.082645485178</c:v>
                </c:pt>
                <c:pt idx="10">
                  <c:v>18736.677946629934</c:v>
                </c:pt>
                <c:pt idx="11">
                  <c:v>20343.602677509189</c:v>
                </c:pt>
                <c:pt idx="12">
                  <c:v>21907.038115544245</c:v>
                </c:pt>
                <c:pt idx="13">
                  <c:v>23428.135754928924</c:v>
                </c:pt>
                <c:pt idx="14">
                  <c:v>24908.017978378572</c:v>
                </c:pt>
                <c:pt idx="15">
                  <c:v>26347.778718138114</c:v>
                </c:pt>
                <c:pt idx="16">
                  <c:v>27748.484106163494</c:v>
                </c:pt>
                <c:pt idx="17">
                  <c:v>29111.17311341688</c:v>
                </c:pt>
                <c:pt idx="18">
                  <c:v>30436.858178190887</c:v>
                </c:pt>
                <c:pt idx="19">
                  <c:v>31726.525823448785</c:v>
                </c:pt>
                <c:pt idx="20">
                  <c:v>32981.137263149023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JJHCC_ACQ!$E$9</c:f>
              <c:numCache>
                <c:formatCode>#,##0</c:formatCode>
                <c:ptCount val="1"/>
                <c:pt idx="0">
                  <c:v>7217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49920"/>
        <c:axId val="260056576"/>
      </c:scatterChart>
      <c:valAx>
        <c:axId val="2600499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0056576"/>
        <c:crosses val="autoZero"/>
        <c:crossBetween val="midCat"/>
        <c:dispUnits>
          <c:builtInUnit val="thousands"/>
        </c:dispUnits>
      </c:valAx>
      <c:valAx>
        <c:axId val="260056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00499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16500000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298362.66148692742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389888"/>
        <c:axId val="260519424"/>
      </c:scatterChart>
      <c:valAx>
        <c:axId val="2603898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0519424"/>
        <c:crosses val="autoZero"/>
        <c:crossBetween val="midCat"/>
        <c:dispUnits>
          <c:builtInUnit val="thousands"/>
        </c:dispUnits>
      </c:valAx>
      <c:valAx>
        <c:axId val="260519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03898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115904"/>
        <c:axId val="261117824"/>
      </c:scatterChart>
      <c:valAx>
        <c:axId val="2611159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1117824"/>
        <c:crosses val="autoZero"/>
        <c:crossBetween val="midCat"/>
      </c:valAx>
      <c:valAx>
        <c:axId val="26111782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111590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196032"/>
        <c:axId val="263214592"/>
      </c:scatterChart>
      <c:valAx>
        <c:axId val="2631960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3214592"/>
        <c:crosses val="autoZero"/>
        <c:crossBetween val="midCat"/>
      </c:valAx>
      <c:valAx>
        <c:axId val="2632145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319603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748608"/>
        <c:axId val="263804032"/>
      </c:scatterChart>
      <c:valAx>
        <c:axId val="2637486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3804032"/>
        <c:crosses val="autoZero"/>
        <c:crossBetween val="midCat"/>
      </c:valAx>
      <c:valAx>
        <c:axId val="26380403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37486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039040"/>
        <c:axId val="264111232"/>
      </c:scatterChart>
      <c:valAx>
        <c:axId val="2640390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4111232"/>
        <c:crosses val="autoZero"/>
        <c:crossBetween val="midCat"/>
        <c:dispUnits>
          <c:builtInUnit val="millions"/>
        </c:dispUnits>
      </c:valAx>
      <c:valAx>
        <c:axId val="26411123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4039040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53340</xdr:colOff>
      <xdr:row>61</xdr:row>
      <xdr:rowOff>38100</xdr:rowOff>
    </xdr:from>
    <xdr:to>
      <xdr:col>8</xdr:col>
      <xdr:colOff>480060</xdr:colOff>
      <xdr:row>80</xdr:row>
      <xdr:rowOff>45720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502920</xdr:colOff>
      <xdr:row>61</xdr:row>
      <xdr:rowOff>53340</xdr:rowOff>
    </xdr:from>
    <xdr:to>
      <xdr:col>17</xdr:col>
      <xdr:colOff>381000</xdr:colOff>
      <xdr:row>80</xdr:row>
      <xdr:rowOff>83820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68580</xdr:colOff>
      <xdr:row>61</xdr:row>
      <xdr:rowOff>30480</xdr:rowOff>
    </xdr:from>
    <xdr:to>
      <xdr:col>8</xdr:col>
      <xdr:colOff>495300</xdr:colOff>
      <xdr:row>80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518160</xdr:colOff>
      <xdr:row>61</xdr:row>
      <xdr:rowOff>30480</xdr:rowOff>
    </xdr:from>
    <xdr:to>
      <xdr:col>17</xdr:col>
      <xdr:colOff>396240</xdr:colOff>
      <xdr:row>80</xdr:row>
      <xdr:rowOff>60960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1</xdr:row>
      <xdr:rowOff>83820</xdr:rowOff>
    </xdr:from>
    <xdr:to>
      <xdr:col>10</xdr:col>
      <xdr:colOff>449580</xdr:colOff>
      <xdr:row>25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26</xdr:row>
      <xdr:rowOff>175260</xdr:rowOff>
    </xdr:from>
    <xdr:to>
      <xdr:col>10</xdr:col>
      <xdr:colOff>464820</xdr:colOff>
      <xdr:row>51</xdr:row>
      <xdr:rowOff>7620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1</xdr:row>
      <xdr:rowOff>83820</xdr:rowOff>
    </xdr:from>
    <xdr:to>
      <xdr:col>21</xdr:col>
      <xdr:colOff>335280</xdr:colOff>
      <xdr:row>25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129540</xdr:colOff>
      <xdr:row>27</xdr:row>
      <xdr:rowOff>0</xdr:rowOff>
    </xdr:from>
    <xdr:to>
      <xdr:col>21</xdr:col>
      <xdr:colOff>373380</xdr:colOff>
      <xdr:row>51</xdr:row>
      <xdr:rowOff>15240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26</xdr:row>
      <xdr:rowOff>133350</xdr:rowOff>
    </xdr:from>
    <xdr:to>
      <xdr:col>12</xdr:col>
      <xdr:colOff>358140</xdr:colOff>
      <xdr:row>48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670560</xdr:colOff>
      <xdr:row>49</xdr:row>
      <xdr:rowOff>91440</xdr:rowOff>
    </xdr:from>
    <xdr:to>
      <xdr:col>12</xdr:col>
      <xdr:colOff>350520</xdr:colOff>
      <xdr:row>70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17</xdr:row>
      <xdr:rowOff>220980</xdr:rowOff>
    </xdr:from>
    <xdr:to>
      <xdr:col>12</xdr:col>
      <xdr:colOff>510540</xdr:colOff>
      <xdr:row>41</xdr:row>
      <xdr:rowOff>80010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160020</xdr:colOff>
      <xdr:row>42</xdr:row>
      <xdr:rowOff>144780</xdr:rowOff>
    </xdr:from>
    <xdr:to>
      <xdr:col>12</xdr:col>
      <xdr:colOff>541020</xdr:colOff>
      <xdr:row>66</xdr:row>
      <xdr:rowOff>125730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18</xdr:row>
      <xdr:rowOff>160020</xdr:rowOff>
    </xdr:from>
    <xdr:to>
      <xdr:col>12</xdr:col>
      <xdr:colOff>548640</xdr:colOff>
      <xdr:row>42</xdr:row>
      <xdr:rowOff>140970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243840</xdr:colOff>
      <xdr:row>43</xdr:row>
      <xdr:rowOff>91440</xdr:rowOff>
    </xdr:from>
    <xdr:to>
      <xdr:col>12</xdr:col>
      <xdr:colOff>624840</xdr:colOff>
      <xdr:row>67</xdr:row>
      <xdr:rowOff>72390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38</xdr:row>
      <xdr:rowOff>129540</xdr:rowOff>
    </xdr:from>
    <xdr:to>
      <xdr:col>12</xdr:col>
      <xdr:colOff>22860</xdr:colOff>
      <xdr:row>59</xdr:row>
      <xdr:rowOff>129540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workbookViewId="0">
      <selection activeCell="V61" sqref="V6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workbookViewId="0">
      <selection activeCell="I30" sqref="I30"/>
    </sheetView>
  </sheetViews>
  <sheetFormatPr defaultRowHeight="14.4" x14ac:dyDescent="0.3"/>
  <cols>
    <col min="1" max="16384" width="8.88671875" style="244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abSelected="1" workbookViewId="0">
      <selection activeCell="L27" sqref="L27"/>
    </sheetView>
  </sheetViews>
  <sheetFormatPr defaultRowHeight="14.4" x14ac:dyDescent="0.3"/>
  <cols>
    <col min="1" max="16384" width="8.88671875" style="244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  <pageSetUpPr fitToPage="1"/>
  </sheetPr>
  <dimension ref="A2:AL78"/>
  <sheetViews>
    <sheetView workbookViewId="0">
      <selection activeCell="A7" sqref="A7"/>
    </sheetView>
  </sheetViews>
  <sheetFormatPr defaultRowHeight="14.4" x14ac:dyDescent="0.3"/>
  <cols>
    <col min="1" max="1" width="24.33203125" customWidth="1"/>
    <col min="2" max="2" width="18.6640625" customWidth="1"/>
    <col min="3" max="3" width="16.109375" customWidth="1"/>
    <col min="4" max="4" width="13.21875" customWidth="1"/>
    <col min="5" max="5" width="13.6640625" customWidth="1"/>
    <col min="6" max="6" width="12.5546875" bestFit="1" customWidth="1"/>
    <col min="7" max="7" width="10.88671875" customWidth="1"/>
    <col min="9" max="9" width="9.88671875" bestFit="1" customWidth="1"/>
    <col min="14" max="14" width="13.6640625" customWidth="1"/>
    <col min="26" max="26" width="17.21875" customWidth="1"/>
  </cols>
  <sheetData>
    <row r="2" spans="1:9" s="304" customFormat="1" x14ac:dyDescent="0.3"/>
    <row r="3" spans="1:9" s="304" customFormat="1" ht="43.2" x14ac:dyDescent="0.3">
      <c r="A3" s="165" t="s">
        <v>325</v>
      </c>
      <c r="B3" s="184">
        <v>13.81</v>
      </c>
    </row>
    <row r="4" spans="1:9" s="177" customFormat="1" ht="43.2" x14ac:dyDescent="0.3">
      <c r="A4" s="165" t="s">
        <v>326</v>
      </c>
      <c r="B4" s="184">
        <v>14.21</v>
      </c>
    </row>
    <row r="5" spans="1:9" s="177" customFormat="1" ht="57.6" x14ac:dyDescent="0.3">
      <c r="A5" s="165" t="s">
        <v>324</v>
      </c>
      <c r="B5" s="169">
        <v>14.58</v>
      </c>
    </row>
    <row r="6" spans="1:9" s="177" customFormat="1" x14ac:dyDescent="0.3"/>
    <row r="7" spans="1:9" x14ac:dyDescent="0.3">
      <c r="A7" s="159" t="s">
        <v>175</v>
      </c>
    </row>
    <row r="8" spans="1:9" s="174" customFormat="1" ht="45.6" customHeight="1" x14ac:dyDescent="0.3">
      <c r="D8" s="374" t="s">
        <v>190</v>
      </c>
      <c r="E8" s="374"/>
      <c r="F8" s="374" t="s">
        <v>183</v>
      </c>
      <c r="G8" s="374"/>
      <c r="H8" s="374"/>
      <c r="I8" s="374"/>
    </row>
    <row r="9" spans="1:9" ht="57.6" x14ac:dyDescent="0.3">
      <c r="A9" s="156" t="s">
        <v>2</v>
      </c>
      <c r="B9" s="156" t="s">
        <v>3</v>
      </c>
      <c r="C9" s="156" t="s">
        <v>176</v>
      </c>
      <c r="D9" s="156" t="s">
        <v>179</v>
      </c>
      <c r="E9" s="156" t="s">
        <v>180</v>
      </c>
      <c r="F9" s="156" t="s">
        <v>187</v>
      </c>
      <c r="G9" s="156" t="s">
        <v>188</v>
      </c>
      <c r="H9" s="156" t="s">
        <v>186</v>
      </c>
      <c r="I9" s="156" t="s">
        <v>189</v>
      </c>
    </row>
    <row r="10" spans="1:9" x14ac:dyDescent="0.3">
      <c r="A10" s="155" t="s">
        <v>13</v>
      </c>
      <c r="B10" s="155" t="s">
        <v>93</v>
      </c>
      <c r="C10" s="158">
        <v>5991499</v>
      </c>
      <c r="D10" s="167">
        <f>E10*$B$5</f>
        <v>31.492800000000003</v>
      </c>
      <c r="E10" s="350">
        <v>2.16</v>
      </c>
      <c r="F10" s="175">
        <v>4.5699999999999998E-2</v>
      </c>
      <c r="G10" s="171" t="s">
        <v>182</v>
      </c>
      <c r="H10" s="169" t="s">
        <v>185</v>
      </c>
      <c r="I10" s="170">
        <v>3567000</v>
      </c>
    </row>
    <row r="11" spans="1:9" x14ac:dyDescent="0.3">
      <c r="A11" s="155" t="s">
        <v>170</v>
      </c>
      <c r="B11" s="155" t="s">
        <v>93</v>
      </c>
      <c r="C11" s="157">
        <v>15610435</v>
      </c>
      <c r="D11" s="167">
        <f>E11*$B$5</f>
        <v>69.400800000000004</v>
      </c>
      <c r="E11" s="350">
        <v>4.76</v>
      </c>
      <c r="F11" s="175">
        <v>0.13750000000000001</v>
      </c>
      <c r="G11" s="171" t="s">
        <v>182</v>
      </c>
      <c r="H11" s="169" t="s">
        <v>185</v>
      </c>
      <c r="I11" s="170">
        <v>1598000</v>
      </c>
    </row>
    <row r="12" spans="1:9" x14ac:dyDescent="0.3">
      <c r="A12" s="155" t="s">
        <v>104</v>
      </c>
      <c r="B12" s="155" t="s">
        <v>95</v>
      </c>
      <c r="C12" s="168">
        <v>3804716</v>
      </c>
      <c r="D12" s="167">
        <v>291</v>
      </c>
      <c r="E12" s="351">
        <v>19.98</v>
      </c>
      <c r="F12" s="175">
        <v>2.5000000000000001E-3</v>
      </c>
      <c r="G12" s="171" t="s">
        <v>182</v>
      </c>
      <c r="H12" s="169" t="s">
        <v>185</v>
      </c>
      <c r="I12" s="170">
        <v>5165000</v>
      </c>
    </row>
    <row r="13" spans="1:9" x14ac:dyDescent="0.3">
      <c r="A13" s="155" t="s">
        <v>104</v>
      </c>
      <c r="B13" s="155" t="s">
        <v>94</v>
      </c>
      <c r="C13" s="161">
        <v>4440000</v>
      </c>
      <c r="D13" s="167">
        <v>1904</v>
      </c>
      <c r="E13" s="352">
        <v>130.62</v>
      </c>
      <c r="F13" s="175">
        <v>4.0000000000000002E-4</v>
      </c>
      <c r="G13" s="171" t="s">
        <v>182</v>
      </c>
      <c r="H13" s="169" t="s">
        <v>185</v>
      </c>
      <c r="I13" s="170">
        <v>5165000</v>
      </c>
    </row>
    <row r="14" spans="1:9" x14ac:dyDescent="0.3">
      <c r="A14" s="155" t="s">
        <v>104</v>
      </c>
      <c r="B14" s="155" t="s">
        <v>108</v>
      </c>
      <c r="C14" s="162">
        <v>22954000</v>
      </c>
      <c r="D14" s="167">
        <v>165.33</v>
      </c>
      <c r="E14" s="351">
        <v>11.34</v>
      </c>
      <c r="F14" s="175">
        <v>2.627286914246511E-2</v>
      </c>
      <c r="G14" s="173">
        <v>0.1</v>
      </c>
      <c r="H14" s="169" t="s">
        <v>185</v>
      </c>
      <c r="I14" s="170">
        <v>5165000</v>
      </c>
    </row>
    <row r="15" spans="1:9" x14ac:dyDescent="0.3">
      <c r="A15" s="155" t="s">
        <v>104</v>
      </c>
      <c r="B15" s="155" t="s">
        <v>96</v>
      </c>
      <c r="C15" s="161">
        <v>7818984</v>
      </c>
      <c r="D15" s="167">
        <v>235.66</v>
      </c>
      <c r="E15" s="351">
        <v>16.16</v>
      </c>
      <c r="F15" s="175">
        <v>5.7800000000000004E-3</v>
      </c>
      <c r="G15" s="173">
        <v>0.03</v>
      </c>
      <c r="H15" s="169" t="s">
        <v>185</v>
      </c>
      <c r="I15" s="170">
        <v>5165000</v>
      </c>
    </row>
    <row r="16" spans="1:9" x14ac:dyDescent="0.3">
      <c r="A16" s="155" t="s">
        <v>104</v>
      </c>
      <c r="B16" s="155" t="s">
        <v>171</v>
      </c>
      <c r="C16" s="161">
        <v>3535945</v>
      </c>
      <c r="D16" s="167">
        <v>489.95</v>
      </c>
      <c r="E16" s="353">
        <v>33.6</v>
      </c>
      <c r="F16" s="175">
        <v>1.4E-3</v>
      </c>
      <c r="G16" s="173">
        <v>1.4999999999999999E-2</v>
      </c>
      <c r="H16" s="169" t="s">
        <v>185</v>
      </c>
      <c r="I16" s="170">
        <v>5165000</v>
      </c>
    </row>
    <row r="17" spans="1:38" x14ac:dyDescent="0.3">
      <c r="A17" s="155" t="s">
        <v>104</v>
      </c>
      <c r="B17" s="155" t="s">
        <v>172</v>
      </c>
      <c r="C17" s="161">
        <v>14895305</v>
      </c>
      <c r="D17" s="166" t="s">
        <v>182</v>
      </c>
      <c r="E17" s="353">
        <v>41.61</v>
      </c>
      <c r="F17" s="172">
        <v>2.4400000000000002E-2</v>
      </c>
      <c r="G17" s="172">
        <v>7.4999999999999997E-2</v>
      </c>
      <c r="H17" s="164" t="s">
        <v>184</v>
      </c>
      <c r="I17" s="170">
        <v>14649000</v>
      </c>
    </row>
    <row r="18" spans="1:38" x14ac:dyDescent="0.3">
      <c r="A18" s="163" t="s">
        <v>178</v>
      </c>
      <c r="B18" s="163"/>
      <c r="C18" s="160">
        <f>SUM(C10:C17)</f>
        <v>79050884</v>
      </c>
      <c r="D18" s="176"/>
      <c r="E18" s="176"/>
      <c r="F18" s="176"/>
      <c r="G18" s="176"/>
      <c r="H18" s="176"/>
      <c r="I18" s="176"/>
    </row>
    <row r="21" spans="1:38" ht="15" thickBot="1" x14ac:dyDescent="0.35">
      <c r="A21" s="159" t="s">
        <v>191</v>
      </c>
    </row>
    <row r="22" spans="1:38" ht="15" thickTop="1" x14ac:dyDescent="0.3">
      <c r="A22" s="185" t="s">
        <v>192</v>
      </c>
      <c r="B22" s="183"/>
      <c r="C22" s="370" t="s">
        <v>193</v>
      </c>
      <c r="D22" s="370"/>
      <c r="E22" s="370"/>
      <c r="F22" s="370" t="s">
        <v>194</v>
      </c>
      <c r="G22" s="370"/>
      <c r="H22" s="370"/>
      <c r="I22" s="370" t="s">
        <v>195</v>
      </c>
      <c r="J22" s="370"/>
      <c r="K22" s="188" t="s">
        <v>196</v>
      </c>
      <c r="L22" s="183"/>
      <c r="M22" s="185" t="s">
        <v>197</v>
      </c>
      <c r="N22" s="183"/>
      <c r="O22" s="370" t="s">
        <v>193</v>
      </c>
      <c r="P22" s="370"/>
      <c r="Q22" s="370"/>
      <c r="R22" s="370" t="s">
        <v>194</v>
      </c>
      <c r="S22" s="370"/>
      <c r="T22" s="370"/>
      <c r="U22" s="370" t="s">
        <v>195</v>
      </c>
      <c r="V22" s="370"/>
      <c r="W22" s="188" t="s">
        <v>196</v>
      </c>
      <c r="X22" s="183"/>
      <c r="Y22" s="185" t="s">
        <v>198</v>
      </c>
      <c r="Z22" s="183"/>
      <c r="AA22" s="360" t="s">
        <v>199</v>
      </c>
      <c r="AB22" s="361"/>
      <c r="AC22" s="362"/>
      <c r="AD22" s="360" t="s">
        <v>200</v>
      </c>
      <c r="AE22" s="362"/>
      <c r="AF22" s="208"/>
      <c r="AG22" s="363" t="s">
        <v>201</v>
      </c>
      <c r="AH22" s="364"/>
      <c r="AI22" s="364"/>
      <c r="AJ22" s="364"/>
      <c r="AK22" s="364"/>
      <c r="AL22" s="365"/>
    </row>
    <row r="23" spans="1:38" ht="27.6" x14ac:dyDescent="0.3">
      <c r="A23" s="190" t="s">
        <v>202</v>
      </c>
      <c r="B23" s="189" t="s">
        <v>3</v>
      </c>
      <c r="C23" s="190" t="s">
        <v>203</v>
      </c>
      <c r="D23" s="190" t="s">
        <v>204</v>
      </c>
      <c r="E23" s="190" t="s">
        <v>205</v>
      </c>
      <c r="F23" s="190" t="s">
        <v>206</v>
      </c>
      <c r="G23" s="190" t="s">
        <v>207</v>
      </c>
      <c r="H23" s="190" t="s">
        <v>208</v>
      </c>
      <c r="I23" s="190" t="s">
        <v>209</v>
      </c>
      <c r="J23" s="190" t="s">
        <v>210</v>
      </c>
      <c r="K23" s="190" t="s">
        <v>211</v>
      </c>
      <c r="L23" s="183"/>
      <c r="M23" s="190" t="s">
        <v>202</v>
      </c>
      <c r="N23" s="189" t="s">
        <v>3</v>
      </c>
      <c r="O23" s="190" t="s">
        <v>203</v>
      </c>
      <c r="P23" s="190" t="s">
        <v>204</v>
      </c>
      <c r="Q23" s="190" t="s">
        <v>205</v>
      </c>
      <c r="R23" s="190" t="s">
        <v>206</v>
      </c>
      <c r="S23" s="190" t="s">
        <v>207</v>
      </c>
      <c r="T23" s="190" t="s">
        <v>208</v>
      </c>
      <c r="U23" s="190" t="s">
        <v>209</v>
      </c>
      <c r="V23" s="190" t="s">
        <v>210</v>
      </c>
      <c r="W23" s="190" t="s">
        <v>211</v>
      </c>
      <c r="X23" s="183"/>
      <c r="Y23" s="190" t="s">
        <v>202</v>
      </c>
      <c r="Z23" s="210" t="s">
        <v>3</v>
      </c>
      <c r="AA23" s="205" t="s">
        <v>203</v>
      </c>
      <c r="AB23" s="190" t="s">
        <v>204</v>
      </c>
      <c r="AC23" s="204" t="s">
        <v>205</v>
      </c>
      <c r="AD23" s="205" t="s">
        <v>206</v>
      </c>
      <c r="AE23" s="204" t="s">
        <v>207</v>
      </c>
      <c r="AF23" s="209"/>
      <c r="AG23" s="205" t="s">
        <v>203</v>
      </c>
      <c r="AH23" s="190" t="s">
        <v>204</v>
      </c>
      <c r="AI23" s="190" t="s">
        <v>205</v>
      </c>
      <c r="AJ23" s="190" t="s">
        <v>206</v>
      </c>
      <c r="AK23" s="190" t="s">
        <v>207</v>
      </c>
      <c r="AL23" s="204" t="s">
        <v>209</v>
      </c>
    </row>
    <row r="24" spans="1:38" x14ac:dyDescent="0.3">
      <c r="A24" s="195">
        <v>2011</v>
      </c>
      <c r="B24" s="194" t="s">
        <v>212</v>
      </c>
      <c r="C24" s="198">
        <v>202929</v>
      </c>
      <c r="D24" s="198">
        <v>156047</v>
      </c>
      <c r="E24" s="198">
        <v>183545</v>
      </c>
      <c r="F24" s="198">
        <v>105723</v>
      </c>
      <c r="G24" s="198">
        <v>130317</v>
      </c>
      <c r="H24" s="198">
        <v>0</v>
      </c>
      <c r="I24" s="198">
        <v>218771</v>
      </c>
      <c r="J24" s="198">
        <v>99148</v>
      </c>
      <c r="K24" s="198">
        <v>149552</v>
      </c>
      <c r="L24" s="183"/>
      <c r="M24" s="195">
        <v>2011</v>
      </c>
      <c r="N24" s="194" t="s">
        <v>212</v>
      </c>
      <c r="O24" s="187"/>
      <c r="P24" s="187"/>
      <c r="Q24" s="187"/>
      <c r="R24" s="187"/>
      <c r="S24" s="187"/>
      <c r="T24" s="187"/>
      <c r="U24" s="187"/>
      <c r="V24" s="187"/>
      <c r="W24" s="187"/>
      <c r="X24" s="183"/>
      <c r="Y24" s="366">
        <v>2011</v>
      </c>
      <c r="Z24" s="229" t="s">
        <v>212</v>
      </c>
      <c r="AA24" s="239">
        <v>0.37404819352614921</v>
      </c>
      <c r="AB24" s="230">
        <v>0.28763310544660942</v>
      </c>
      <c r="AC24" s="231">
        <v>0.33831870102724132</v>
      </c>
      <c r="AD24" s="239">
        <v>0.44790289781392983</v>
      </c>
      <c r="AE24" s="231">
        <v>0.55209710218607011</v>
      </c>
      <c r="AF24" s="206"/>
      <c r="AG24" s="239">
        <v>0.16286018336607727</v>
      </c>
      <c r="AH24" s="232">
        <v>0.12523514644888734</v>
      </c>
      <c r="AI24" s="232">
        <v>0.14730360054958461</v>
      </c>
      <c r="AJ24" s="241">
        <v>8.4847740667976429E-2</v>
      </c>
      <c r="AK24" s="232">
        <v>0.10458559651758542</v>
      </c>
      <c r="AL24" s="233">
        <v>0</v>
      </c>
    </row>
    <row r="25" spans="1:38" x14ac:dyDescent="0.3">
      <c r="A25" s="184">
        <v>2011</v>
      </c>
      <c r="B25" s="186" t="s">
        <v>213</v>
      </c>
      <c r="C25" s="187">
        <v>113817</v>
      </c>
      <c r="D25" s="187">
        <v>96852</v>
      </c>
      <c r="E25" s="187">
        <v>111249</v>
      </c>
      <c r="F25" s="187">
        <v>67138</v>
      </c>
      <c r="G25" s="187">
        <v>84849</v>
      </c>
      <c r="H25" s="187">
        <v>0</v>
      </c>
      <c r="I25" s="187">
        <v>125031</v>
      </c>
      <c r="J25" s="187">
        <v>65362</v>
      </c>
      <c r="K25" s="187">
        <v>99248</v>
      </c>
      <c r="L25" s="183"/>
      <c r="M25" s="184">
        <v>2011</v>
      </c>
      <c r="N25" s="186" t="s">
        <v>213</v>
      </c>
      <c r="O25" s="187"/>
      <c r="P25" s="187"/>
      <c r="Q25" s="187"/>
      <c r="R25" s="187"/>
      <c r="S25" s="187"/>
      <c r="T25" s="187"/>
      <c r="U25" s="187"/>
      <c r="V25" s="187"/>
      <c r="W25" s="187"/>
      <c r="X25" s="183"/>
      <c r="Y25" s="367"/>
      <c r="Z25" s="211" t="s">
        <v>213</v>
      </c>
      <c r="AA25" s="213">
        <v>0.35355898085847948</v>
      </c>
      <c r="AB25" s="214">
        <v>0.30085922502003615</v>
      </c>
      <c r="AC25" s="215">
        <v>0.34558179412148438</v>
      </c>
      <c r="AD25" s="213">
        <v>0.4417351484008501</v>
      </c>
      <c r="AE25" s="215">
        <v>0.55826485159914996</v>
      </c>
      <c r="AF25" s="207"/>
      <c r="AG25" s="221">
        <v>0.14906371063432983</v>
      </c>
      <c r="AH25" s="225">
        <v>0.12684500999284914</v>
      </c>
      <c r="AI25" s="225">
        <v>0.14570045550628252</v>
      </c>
      <c r="AJ25" s="225">
        <v>8.792921448085643E-2</v>
      </c>
      <c r="AK25" s="225">
        <v>0.11112493549831969</v>
      </c>
      <c r="AL25" s="222">
        <v>0</v>
      </c>
    </row>
    <row r="26" spans="1:38" x14ac:dyDescent="0.3">
      <c r="A26" s="184">
        <v>2011</v>
      </c>
      <c r="B26" s="186" t="s">
        <v>214</v>
      </c>
      <c r="C26" s="187">
        <v>1179</v>
      </c>
      <c r="D26" s="187">
        <v>899</v>
      </c>
      <c r="E26" s="187">
        <v>1116</v>
      </c>
      <c r="F26" s="187">
        <v>750</v>
      </c>
      <c r="G26" s="187">
        <v>887</v>
      </c>
      <c r="H26" s="187">
        <v>0</v>
      </c>
      <c r="I26" s="187">
        <v>1138</v>
      </c>
      <c r="J26" s="187">
        <v>598</v>
      </c>
      <c r="K26" s="187">
        <v>909</v>
      </c>
      <c r="L26" s="183"/>
      <c r="M26" s="184">
        <v>2011</v>
      </c>
      <c r="N26" s="186" t="s">
        <v>214</v>
      </c>
      <c r="O26" s="187"/>
      <c r="P26" s="187"/>
      <c r="Q26" s="187"/>
      <c r="R26" s="187"/>
      <c r="S26" s="187"/>
      <c r="T26" s="187"/>
      <c r="U26" s="187"/>
      <c r="V26" s="187"/>
      <c r="W26" s="187"/>
      <c r="X26" s="183"/>
      <c r="Y26" s="367"/>
      <c r="Z26" s="211" t="s">
        <v>214</v>
      </c>
      <c r="AA26" s="213">
        <v>0.36912961803381339</v>
      </c>
      <c r="AB26" s="214">
        <v>0.28146524733876016</v>
      </c>
      <c r="AC26" s="215">
        <v>0.34940513462742645</v>
      </c>
      <c r="AD26" s="213">
        <v>0.45815516188149052</v>
      </c>
      <c r="AE26" s="215">
        <v>0.54184483811850948</v>
      </c>
      <c r="AF26" s="207"/>
      <c r="AG26" s="221">
        <v>0.15770465489566612</v>
      </c>
      <c r="AH26" s="225">
        <v>0.12025147137506688</v>
      </c>
      <c r="AI26" s="225">
        <v>0.1492776886035313</v>
      </c>
      <c r="AJ26" s="225">
        <v>0.10032102728731943</v>
      </c>
      <c r="AK26" s="225">
        <v>0.11864633493846977</v>
      </c>
      <c r="AL26" s="222">
        <v>0</v>
      </c>
    </row>
    <row r="27" spans="1:38" x14ac:dyDescent="0.3">
      <c r="A27" s="184">
        <v>2011</v>
      </c>
      <c r="B27" s="186" t="s">
        <v>215</v>
      </c>
      <c r="C27" s="187">
        <v>45980</v>
      </c>
      <c r="D27" s="187">
        <v>25190</v>
      </c>
      <c r="E27" s="187">
        <v>37421</v>
      </c>
      <c r="F27" s="187">
        <v>31623</v>
      </c>
      <c r="G27" s="187">
        <v>31073</v>
      </c>
      <c r="H27" s="187">
        <v>0</v>
      </c>
      <c r="I27" s="187">
        <v>35420</v>
      </c>
      <c r="J27" s="187">
        <v>19333</v>
      </c>
      <c r="K27" s="187">
        <v>38677</v>
      </c>
      <c r="L27" s="183"/>
      <c r="M27" s="184">
        <v>2011</v>
      </c>
      <c r="N27" s="186" t="s">
        <v>215</v>
      </c>
      <c r="O27" s="187"/>
      <c r="P27" s="187"/>
      <c r="Q27" s="187"/>
      <c r="R27" s="187"/>
      <c r="S27" s="187"/>
      <c r="T27" s="187"/>
      <c r="U27" s="187"/>
      <c r="V27" s="187"/>
      <c r="W27" s="187"/>
      <c r="X27" s="183"/>
      <c r="Y27" s="367"/>
      <c r="Z27" s="211" t="s">
        <v>215</v>
      </c>
      <c r="AA27" s="213">
        <v>0.42342367231170169</v>
      </c>
      <c r="AB27" s="214">
        <v>0.23197134200808539</v>
      </c>
      <c r="AC27" s="215">
        <v>0.34460498568021292</v>
      </c>
      <c r="AD27" s="213">
        <v>0.50438624473650628</v>
      </c>
      <c r="AE27" s="215">
        <v>0.49561375526349366</v>
      </c>
      <c r="AF27" s="207"/>
      <c r="AG27" s="221">
        <v>0.17369492703528674</v>
      </c>
      <c r="AH27" s="225">
        <v>9.5158225576747996E-2</v>
      </c>
      <c r="AI27" s="225">
        <v>0.14136228500625195</v>
      </c>
      <c r="AJ27" s="225">
        <v>0.11945964936139349</v>
      </c>
      <c r="AK27" s="225">
        <v>0.11738195884661733</v>
      </c>
      <c r="AL27" s="222">
        <v>0</v>
      </c>
    </row>
    <row r="28" spans="1:38" x14ac:dyDescent="0.3">
      <c r="A28" s="184">
        <v>2011</v>
      </c>
      <c r="B28" s="186" t="s">
        <v>216</v>
      </c>
      <c r="C28" s="187">
        <v>29878</v>
      </c>
      <c r="D28" s="187">
        <v>1</v>
      </c>
      <c r="E28" s="187">
        <v>22592</v>
      </c>
      <c r="F28" s="187">
        <v>0</v>
      </c>
      <c r="G28" s="187">
        <v>32</v>
      </c>
      <c r="H28" s="187">
        <v>0</v>
      </c>
      <c r="I28" s="187">
        <v>15377</v>
      </c>
      <c r="J28" s="187">
        <v>2</v>
      </c>
      <c r="K28" s="187">
        <v>21</v>
      </c>
      <c r="L28" s="183"/>
      <c r="M28" s="184">
        <v>2011</v>
      </c>
      <c r="N28" s="186" t="s">
        <v>216</v>
      </c>
      <c r="O28" s="187"/>
      <c r="P28" s="187"/>
      <c r="Q28" s="187"/>
      <c r="R28" s="187"/>
      <c r="S28" s="187"/>
      <c r="T28" s="187"/>
      <c r="U28" s="187"/>
      <c r="V28" s="187"/>
      <c r="W28" s="187"/>
      <c r="X28" s="183"/>
      <c r="Y28" s="367"/>
      <c r="Z28" s="211" t="s">
        <v>216</v>
      </c>
      <c r="AA28" s="213">
        <v>0.56941929827904936</v>
      </c>
      <c r="AB28" s="214">
        <v>1.9058146404680682E-5</v>
      </c>
      <c r="AC28" s="215">
        <v>0.43056164357454596</v>
      </c>
      <c r="AD28" s="213">
        <v>0</v>
      </c>
      <c r="AE28" s="215">
        <v>1</v>
      </c>
      <c r="AF28" s="207"/>
      <c r="AG28" s="221">
        <v>0.44001001428508313</v>
      </c>
      <c r="AH28" s="225">
        <v>1.4726889828137195E-5</v>
      </c>
      <c r="AI28" s="225">
        <v>0.33270989499727555</v>
      </c>
      <c r="AJ28" s="225">
        <v>0</v>
      </c>
      <c r="AK28" s="225">
        <v>4.7126047450039024E-4</v>
      </c>
      <c r="AL28" s="222">
        <v>0</v>
      </c>
    </row>
    <row r="29" spans="1:38" x14ac:dyDescent="0.3">
      <c r="A29" s="184">
        <v>2011</v>
      </c>
      <c r="B29" s="186" t="s">
        <v>217</v>
      </c>
      <c r="C29" s="187">
        <v>8099</v>
      </c>
      <c r="D29" s="187">
        <v>13884</v>
      </c>
      <c r="E29" s="187">
        <v>6553</v>
      </c>
      <c r="F29" s="187">
        <v>4193</v>
      </c>
      <c r="G29" s="187">
        <v>9436</v>
      </c>
      <c r="H29" s="187">
        <v>0</v>
      </c>
      <c r="I29" s="187">
        <v>25024</v>
      </c>
      <c r="J29" s="187">
        <v>9966</v>
      </c>
      <c r="K29" s="187">
        <v>8297</v>
      </c>
      <c r="L29" s="183"/>
      <c r="M29" s="184">
        <v>2011</v>
      </c>
      <c r="N29" s="186" t="s">
        <v>217</v>
      </c>
      <c r="O29" s="187"/>
      <c r="P29" s="187"/>
      <c r="Q29" s="187"/>
      <c r="R29" s="187"/>
      <c r="S29" s="187"/>
      <c r="T29" s="187"/>
      <c r="U29" s="187"/>
      <c r="V29" s="187"/>
      <c r="W29" s="187"/>
      <c r="X29" s="183"/>
      <c r="Y29" s="367"/>
      <c r="Z29" s="211" t="s">
        <v>217</v>
      </c>
      <c r="AA29" s="213">
        <v>0.28381693299691618</v>
      </c>
      <c r="AB29" s="214">
        <v>0.48654331370899917</v>
      </c>
      <c r="AC29" s="215">
        <v>0.22963975329408468</v>
      </c>
      <c r="AD29" s="213">
        <v>0.30765279917822291</v>
      </c>
      <c r="AE29" s="215">
        <v>0.69234720082177714</v>
      </c>
      <c r="AF29" s="207"/>
      <c r="AG29" s="221">
        <v>9.4778355099939149E-2</v>
      </c>
      <c r="AH29" s="225">
        <v>0.16247718017132426</v>
      </c>
      <c r="AI29" s="225">
        <v>7.6686326826756537E-2</v>
      </c>
      <c r="AJ29" s="225">
        <v>4.9068482890979731E-2</v>
      </c>
      <c r="AK29" s="225">
        <v>0.11042456583813134</v>
      </c>
      <c r="AL29" s="222">
        <v>0</v>
      </c>
    </row>
    <row r="30" spans="1:38" x14ac:dyDescent="0.3">
      <c r="A30" s="184">
        <v>2011</v>
      </c>
      <c r="B30" s="186" t="s">
        <v>218</v>
      </c>
      <c r="C30" s="187">
        <v>4538</v>
      </c>
      <c r="D30" s="187">
        <v>5985</v>
      </c>
      <c r="E30" s="187">
        <v>4736</v>
      </c>
      <c r="F30" s="187">
        <v>2412</v>
      </c>
      <c r="G30" s="187">
        <v>4121</v>
      </c>
      <c r="H30" s="187">
        <v>0</v>
      </c>
      <c r="I30" s="187">
        <v>13823</v>
      </c>
      <c r="J30" s="187">
        <v>3172</v>
      </c>
      <c r="K30" s="187">
        <v>3308</v>
      </c>
      <c r="L30" s="183"/>
      <c r="M30" s="184">
        <v>2011</v>
      </c>
      <c r="N30" s="186" t="s">
        <v>218</v>
      </c>
      <c r="O30" s="187"/>
      <c r="P30" s="187"/>
      <c r="Q30" s="187"/>
      <c r="R30" s="187"/>
      <c r="S30" s="187"/>
      <c r="T30" s="187"/>
      <c r="U30" s="187"/>
      <c r="V30" s="187"/>
      <c r="W30" s="187"/>
      <c r="X30" s="183"/>
      <c r="Y30" s="367"/>
      <c r="Z30" s="211" t="s">
        <v>218</v>
      </c>
      <c r="AA30" s="213">
        <v>0.29739825676649845</v>
      </c>
      <c r="AB30" s="214">
        <v>0.39222753784651682</v>
      </c>
      <c r="AC30" s="215">
        <v>0.31037420538698474</v>
      </c>
      <c r="AD30" s="213">
        <v>0.36920251033215978</v>
      </c>
      <c r="AE30" s="215">
        <v>0.63079748966784022</v>
      </c>
      <c r="AF30" s="207"/>
      <c r="AG30" s="221">
        <v>0.10780377717068536</v>
      </c>
      <c r="AH30" s="225">
        <v>0.1421784059864592</v>
      </c>
      <c r="AI30" s="225">
        <v>0.1125074236845231</v>
      </c>
      <c r="AJ30" s="225">
        <v>5.7298966623114386E-2</v>
      </c>
      <c r="AK30" s="225">
        <v>9.7897612543057372E-2</v>
      </c>
      <c r="AL30" s="222">
        <v>0</v>
      </c>
    </row>
    <row r="31" spans="1:38" x14ac:dyDescent="0.3">
      <c r="A31" s="184">
        <v>2011</v>
      </c>
      <c r="B31" s="186" t="s">
        <v>219</v>
      </c>
      <c r="C31" s="187">
        <v>132</v>
      </c>
      <c r="D31" s="187">
        <v>13262</v>
      </c>
      <c r="E31" s="187">
        <v>262</v>
      </c>
      <c r="F31" s="187">
        <v>0</v>
      </c>
      <c r="G31" s="187">
        <v>0</v>
      </c>
      <c r="H31" s="187">
        <v>0</v>
      </c>
      <c r="I31" s="187">
        <v>2272</v>
      </c>
      <c r="J31" s="187">
        <v>81</v>
      </c>
      <c r="K31" s="187">
        <v>0</v>
      </c>
      <c r="L31" s="183"/>
      <c r="M31" s="184">
        <v>2011</v>
      </c>
      <c r="N31" s="186" t="s">
        <v>219</v>
      </c>
      <c r="O31" s="187"/>
      <c r="P31" s="187"/>
      <c r="Q31" s="187"/>
      <c r="R31" s="187"/>
      <c r="S31" s="187"/>
      <c r="T31" s="187"/>
      <c r="U31" s="187"/>
      <c r="V31" s="187"/>
      <c r="W31" s="187"/>
      <c r="X31" s="183"/>
      <c r="Y31" s="367"/>
      <c r="Z31" s="211" t="s">
        <v>219</v>
      </c>
      <c r="AA31" s="213">
        <v>9.6660808435852369E-3</v>
      </c>
      <c r="AB31" s="214">
        <v>0.97114821323960165</v>
      </c>
      <c r="AC31" s="215">
        <v>1.9185705916813123E-2</v>
      </c>
      <c r="AD31" s="223" t="s">
        <v>181</v>
      </c>
      <c r="AE31" s="224" t="s">
        <v>181</v>
      </c>
      <c r="AF31" s="207"/>
      <c r="AG31" s="221">
        <v>8.2453619838840659E-3</v>
      </c>
      <c r="AH31" s="225">
        <v>0.82840901992629146</v>
      </c>
      <c r="AI31" s="225">
        <v>1.6365794240739584E-2</v>
      </c>
      <c r="AJ31" s="225">
        <v>0</v>
      </c>
      <c r="AK31" s="225">
        <v>0</v>
      </c>
      <c r="AL31" s="222">
        <v>0</v>
      </c>
    </row>
    <row r="32" spans="1:38" ht="15" thickBot="1" x14ac:dyDescent="0.35">
      <c r="A32" s="191">
        <v>2011</v>
      </c>
      <c r="B32" s="192" t="s">
        <v>220</v>
      </c>
      <c r="C32" s="193">
        <v>484</v>
      </c>
      <c r="D32" s="193">
        <v>876</v>
      </c>
      <c r="E32" s="193">
        <v>734</v>
      </c>
      <c r="F32" s="193">
        <v>356</v>
      </c>
      <c r="G32" s="193">
        <v>807</v>
      </c>
      <c r="H32" s="193">
        <v>0</v>
      </c>
      <c r="I32" s="193">
        <v>1823</v>
      </c>
      <c r="J32" s="193">
        <v>1232</v>
      </c>
      <c r="K32" s="193">
        <v>0</v>
      </c>
      <c r="L32" s="183"/>
      <c r="M32" s="191">
        <v>2011</v>
      </c>
      <c r="N32" s="192" t="s">
        <v>220</v>
      </c>
      <c r="O32" s="193"/>
      <c r="P32" s="193"/>
      <c r="Q32" s="193"/>
      <c r="R32" s="193"/>
      <c r="S32" s="193"/>
      <c r="T32" s="193"/>
      <c r="U32" s="193"/>
      <c r="V32" s="193"/>
      <c r="W32" s="193"/>
      <c r="X32" s="183"/>
      <c r="Y32" s="368"/>
      <c r="Z32" s="212" t="s">
        <v>220</v>
      </c>
      <c r="AA32" s="216">
        <v>0.23113658070678128</v>
      </c>
      <c r="AB32" s="217">
        <v>0.41833810888252149</v>
      </c>
      <c r="AC32" s="218">
        <v>0.35052531041069723</v>
      </c>
      <c r="AD32" s="216">
        <v>0.30610490111779881</v>
      </c>
      <c r="AE32" s="218">
        <v>0.69389509888220124</v>
      </c>
      <c r="AF32" s="207"/>
      <c r="AG32" s="226">
        <v>7.6679340937896065E-2</v>
      </c>
      <c r="AH32" s="227">
        <v>0.13878326996197718</v>
      </c>
      <c r="AI32" s="227">
        <v>0.11628643852978454</v>
      </c>
      <c r="AJ32" s="227">
        <v>5.6400506970849175E-2</v>
      </c>
      <c r="AK32" s="227">
        <v>0.12785171102661597</v>
      </c>
      <c r="AL32" s="228">
        <v>0</v>
      </c>
    </row>
    <row r="33" spans="1:38" ht="15" thickTop="1" x14ac:dyDescent="0.3">
      <c r="A33" s="196">
        <v>2012</v>
      </c>
      <c r="B33" s="197" t="s">
        <v>212</v>
      </c>
      <c r="C33" s="200">
        <v>194453</v>
      </c>
      <c r="D33" s="202">
        <v>284707</v>
      </c>
      <c r="E33" s="202">
        <v>210491</v>
      </c>
      <c r="F33" s="202">
        <v>178069</v>
      </c>
      <c r="G33" s="202">
        <v>118968</v>
      </c>
      <c r="H33" s="202">
        <v>47684</v>
      </c>
      <c r="I33" s="202">
        <v>211006</v>
      </c>
      <c r="J33" s="202">
        <v>159989</v>
      </c>
      <c r="K33" s="202">
        <v>65632</v>
      </c>
      <c r="L33" s="183"/>
      <c r="M33" s="196">
        <v>2012</v>
      </c>
      <c r="N33" s="197" t="s">
        <v>212</v>
      </c>
      <c r="O33" s="202">
        <v>100</v>
      </c>
      <c r="P33" s="202">
        <v>146.41430062791522</v>
      </c>
      <c r="Q33" s="202">
        <v>108.24775138465337</v>
      </c>
      <c r="R33" s="202">
        <v>91.574313587345017</v>
      </c>
      <c r="S33" s="202">
        <v>61.180850899703266</v>
      </c>
      <c r="T33" s="202">
        <v>24.522121026674824</v>
      </c>
      <c r="U33" s="202">
        <v>108.51259687430897</v>
      </c>
      <c r="V33" s="202">
        <v>82.276436979630034</v>
      </c>
      <c r="W33" s="202">
        <v>33.752114906944094</v>
      </c>
      <c r="X33" s="183"/>
      <c r="Y33" s="369">
        <v>2012</v>
      </c>
      <c r="Z33" s="234" t="s">
        <v>212</v>
      </c>
      <c r="AA33" s="240">
        <v>0.28195855584926288</v>
      </c>
      <c r="AB33" s="235">
        <v>0.41282764760726803</v>
      </c>
      <c r="AC33" s="236">
        <v>0.30521379654346908</v>
      </c>
      <c r="AD33" s="240">
        <v>0.51655976862448183</v>
      </c>
      <c r="AE33" s="236">
        <v>0.34511387469866933</v>
      </c>
      <c r="AF33" s="206"/>
      <c r="AG33" s="240">
        <v>0.13219111637737346</v>
      </c>
      <c r="AH33" s="237">
        <v>0.19354669853616488</v>
      </c>
      <c r="AI33" s="237">
        <v>0.14309391100877702</v>
      </c>
      <c r="AJ33" s="242">
        <v>0.12105310744602818</v>
      </c>
      <c r="AK33" s="237">
        <v>8.0875649813494099E-2</v>
      </c>
      <c r="AL33" s="238">
        <v>3.241606554457209E-2</v>
      </c>
    </row>
    <row r="34" spans="1:38" x14ac:dyDescent="0.3">
      <c r="A34" s="184">
        <v>2012</v>
      </c>
      <c r="B34" s="186" t="s">
        <v>213</v>
      </c>
      <c r="C34" s="199">
        <v>104837</v>
      </c>
      <c r="D34" s="187">
        <v>189342</v>
      </c>
      <c r="E34" s="187">
        <v>142918</v>
      </c>
      <c r="F34" s="187">
        <v>112466</v>
      </c>
      <c r="G34" s="187">
        <v>75149</v>
      </c>
      <c r="H34" s="187">
        <v>28273</v>
      </c>
      <c r="I34" s="187">
        <v>126463</v>
      </c>
      <c r="J34" s="187">
        <v>102778</v>
      </c>
      <c r="K34" s="187">
        <v>46610</v>
      </c>
      <c r="L34" s="183"/>
      <c r="M34" s="184">
        <v>2012</v>
      </c>
      <c r="N34" s="186" t="s">
        <v>213</v>
      </c>
      <c r="O34" s="198">
        <v>100</v>
      </c>
      <c r="P34" s="187">
        <v>180.60608372998084</v>
      </c>
      <c r="Q34" s="187">
        <v>136.32400774535708</v>
      </c>
      <c r="R34" s="187">
        <v>107.27701097894825</v>
      </c>
      <c r="S34" s="187">
        <v>71.68175357936606</v>
      </c>
      <c r="T34" s="187">
        <v>26.968532102215821</v>
      </c>
      <c r="U34" s="187">
        <v>120.62821332163263</v>
      </c>
      <c r="V34" s="187">
        <v>98.035998740902542</v>
      </c>
      <c r="W34" s="187">
        <v>44.459494262521822</v>
      </c>
      <c r="X34" s="183"/>
      <c r="Y34" s="367"/>
      <c r="Z34" s="211" t="s">
        <v>213</v>
      </c>
      <c r="AA34" s="219">
        <v>0.23984836317796737</v>
      </c>
      <c r="AB34" s="214">
        <v>0.43318073562618825</v>
      </c>
      <c r="AC34" s="215">
        <v>0.32697090119584438</v>
      </c>
      <c r="AD34" s="213">
        <v>0.52094604609797668</v>
      </c>
      <c r="AE34" s="215">
        <v>0.34809252945971986</v>
      </c>
      <c r="AF34" s="207"/>
      <c r="AG34" s="221">
        <v>0.11286922556834576</v>
      </c>
      <c r="AH34" s="225">
        <v>0.20384868803534748</v>
      </c>
      <c r="AI34" s="225">
        <v>0.15386785180591622</v>
      </c>
      <c r="AJ34" s="225">
        <v>0.12108273150480817</v>
      </c>
      <c r="AK34" s="225">
        <v>8.0906640138840441E-2</v>
      </c>
      <c r="AL34" s="222">
        <v>3.0439173330921714E-2</v>
      </c>
    </row>
    <row r="35" spans="1:38" x14ac:dyDescent="0.3">
      <c r="A35" s="184">
        <v>2012</v>
      </c>
      <c r="B35" s="186" t="s">
        <v>214</v>
      </c>
      <c r="C35" s="187">
        <v>1203</v>
      </c>
      <c r="D35" s="187">
        <v>1706</v>
      </c>
      <c r="E35" s="187">
        <v>1269</v>
      </c>
      <c r="F35" s="187">
        <v>1181</v>
      </c>
      <c r="G35" s="187">
        <v>753</v>
      </c>
      <c r="H35" s="187">
        <v>320</v>
      </c>
      <c r="I35" s="187">
        <v>1165</v>
      </c>
      <c r="J35" s="187">
        <v>886</v>
      </c>
      <c r="K35" s="187">
        <v>423</v>
      </c>
      <c r="L35" s="183"/>
      <c r="M35" s="184">
        <v>2012</v>
      </c>
      <c r="N35" s="186" t="s">
        <v>214</v>
      </c>
      <c r="O35" s="198">
        <v>100</v>
      </c>
      <c r="P35" s="187">
        <v>141.81213632585204</v>
      </c>
      <c r="Q35" s="187">
        <v>105.4862842892768</v>
      </c>
      <c r="R35" s="187">
        <v>98.171238570241059</v>
      </c>
      <c r="S35" s="187">
        <v>62.593516209476306</v>
      </c>
      <c r="T35" s="187">
        <v>26.60016625103907</v>
      </c>
      <c r="U35" s="187">
        <v>96.841230257689119</v>
      </c>
      <c r="V35" s="187">
        <v>73.649210307564431</v>
      </c>
      <c r="W35" s="187">
        <v>35.16209476309227</v>
      </c>
      <c r="X35" s="183"/>
      <c r="Y35" s="367"/>
      <c r="Z35" s="211" t="s">
        <v>214</v>
      </c>
      <c r="AA35" s="219">
        <v>0.28793681187170894</v>
      </c>
      <c r="AB35" s="214">
        <v>0.40832934418382</v>
      </c>
      <c r="AC35" s="215">
        <v>0.30373384394447106</v>
      </c>
      <c r="AD35" s="213">
        <v>0.52395740905057675</v>
      </c>
      <c r="AE35" s="215">
        <v>0.33407275953859805</v>
      </c>
      <c r="AF35" s="207"/>
      <c r="AG35" s="221">
        <v>0.13507747585897148</v>
      </c>
      <c r="AH35" s="225">
        <v>0.19155625421064451</v>
      </c>
      <c r="AI35" s="225">
        <v>0.14248821019537392</v>
      </c>
      <c r="AJ35" s="225">
        <v>0.13260723108017067</v>
      </c>
      <c r="AK35" s="225">
        <v>8.4549741747136767E-2</v>
      </c>
      <c r="AL35" s="222">
        <v>3.593083314619358E-2</v>
      </c>
    </row>
    <row r="36" spans="1:38" x14ac:dyDescent="0.3">
      <c r="A36" s="184">
        <v>2012</v>
      </c>
      <c r="B36" s="186" t="s">
        <v>215</v>
      </c>
      <c r="C36" s="199">
        <v>46478</v>
      </c>
      <c r="D36" s="187">
        <v>51950</v>
      </c>
      <c r="E36" s="187">
        <v>48297</v>
      </c>
      <c r="F36" s="187">
        <v>46369</v>
      </c>
      <c r="G36" s="187">
        <v>32481</v>
      </c>
      <c r="H36" s="187">
        <v>10661</v>
      </c>
      <c r="I36" s="187">
        <v>37997</v>
      </c>
      <c r="J36" s="187">
        <v>19717</v>
      </c>
      <c r="K36" s="187">
        <v>14732</v>
      </c>
      <c r="L36" s="183"/>
      <c r="M36" s="184">
        <v>2012</v>
      </c>
      <c r="N36" s="243" t="s">
        <v>215</v>
      </c>
      <c r="O36" s="198">
        <v>100</v>
      </c>
      <c r="P36" s="187">
        <v>111.77331210465167</v>
      </c>
      <c r="Q36" s="187">
        <v>103.9136795903438</v>
      </c>
      <c r="R36" s="187">
        <v>99.765480442359816</v>
      </c>
      <c r="S36" s="187">
        <v>69.88467662119713</v>
      </c>
      <c r="T36" s="187">
        <v>22.937733981668746</v>
      </c>
      <c r="U36" s="187">
        <v>81.752657171134729</v>
      </c>
      <c r="V36" s="187">
        <v>42.422221265975303</v>
      </c>
      <c r="W36" s="187">
        <v>31.696716726193035</v>
      </c>
      <c r="X36" s="183"/>
      <c r="Y36" s="367"/>
      <c r="Z36" s="251" t="s">
        <v>215</v>
      </c>
      <c r="AA36" s="219">
        <v>0.31676946668938488</v>
      </c>
      <c r="AB36" s="214">
        <v>0.35406372465496677</v>
      </c>
      <c r="AC36" s="215">
        <v>0.32916680865564835</v>
      </c>
      <c r="AD36" s="213">
        <v>0.51802571750957982</v>
      </c>
      <c r="AE36" s="215">
        <v>0.36287160237289273</v>
      </c>
      <c r="AF36" s="207"/>
      <c r="AG36" s="221">
        <v>0.15056919418689785</v>
      </c>
      <c r="AH36" s="225">
        <v>0.16829617535198035</v>
      </c>
      <c r="AI36" s="225">
        <v>0.1564619900091356</v>
      </c>
      <c r="AJ36" s="225">
        <v>0.15021607997874836</v>
      </c>
      <c r="AK36" s="225">
        <v>0.1052247944486559</v>
      </c>
      <c r="AL36" s="222">
        <v>3.4537161220932866E-2</v>
      </c>
    </row>
    <row r="37" spans="1:38" x14ac:dyDescent="0.3">
      <c r="A37" s="184">
        <v>2012</v>
      </c>
      <c r="B37" s="186" t="s">
        <v>216</v>
      </c>
      <c r="C37" s="187">
        <v>31770</v>
      </c>
      <c r="D37" s="187">
        <v>82</v>
      </c>
      <c r="E37" s="187">
        <v>816</v>
      </c>
      <c r="F37" s="187">
        <v>0</v>
      </c>
      <c r="G37" s="187">
        <v>36</v>
      </c>
      <c r="H37" s="187">
        <v>0</v>
      </c>
      <c r="I37" s="187">
        <v>11680</v>
      </c>
      <c r="J37" s="187">
        <v>5</v>
      </c>
      <c r="K37" s="187">
        <v>30</v>
      </c>
      <c r="L37" s="183"/>
      <c r="M37" s="184">
        <v>2012</v>
      </c>
      <c r="N37" s="186" t="s">
        <v>216</v>
      </c>
      <c r="O37" s="198"/>
      <c r="P37" s="187"/>
      <c r="Q37" s="187"/>
      <c r="R37" s="187"/>
      <c r="S37" s="187"/>
      <c r="T37" s="187"/>
      <c r="U37" s="187"/>
      <c r="V37" s="187"/>
      <c r="W37" s="187"/>
      <c r="X37" s="183"/>
      <c r="Y37" s="367"/>
      <c r="Z37" s="211" t="s">
        <v>216</v>
      </c>
      <c r="AA37" s="219">
        <v>0.97251132606832369</v>
      </c>
      <c r="AB37" s="214">
        <v>2.5101016285049588E-3</v>
      </c>
      <c r="AC37" s="215">
        <v>2.4978572303171298E-2</v>
      </c>
      <c r="AD37" s="213">
        <v>0</v>
      </c>
      <c r="AE37" s="215">
        <v>1</v>
      </c>
      <c r="AF37" s="207"/>
      <c r="AG37" s="221">
        <v>0.71523447173506838</v>
      </c>
      <c r="AH37" s="225">
        <v>1.8460568675566762E-3</v>
      </c>
      <c r="AI37" s="225">
        <v>1.8370517121051803E-2</v>
      </c>
      <c r="AJ37" s="225">
        <v>0</v>
      </c>
      <c r="AK37" s="225">
        <v>8.1046399063463832E-4</v>
      </c>
      <c r="AL37" s="222">
        <v>0</v>
      </c>
    </row>
    <row r="38" spans="1:38" x14ac:dyDescent="0.3">
      <c r="A38" s="184">
        <v>2012</v>
      </c>
      <c r="B38" s="186" t="s">
        <v>217</v>
      </c>
      <c r="C38" s="199">
        <v>8121</v>
      </c>
      <c r="D38" s="187">
        <v>21615</v>
      </c>
      <c r="E38" s="187">
        <v>13800</v>
      </c>
      <c r="F38" s="187">
        <v>14085</v>
      </c>
      <c r="G38" s="187">
        <v>7091</v>
      </c>
      <c r="H38" s="187">
        <v>2862</v>
      </c>
      <c r="I38" s="187">
        <v>16469</v>
      </c>
      <c r="J38" s="187">
        <v>25000</v>
      </c>
      <c r="K38" s="187">
        <v>2527</v>
      </c>
      <c r="L38" s="183"/>
      <c r="M38" s="184">
        <v>2012</v>
      </c>
      <c r="N38" s="243" t="s">
        <v>217</v>
      </c>
      <c r="O38" s="198">
        <v>100</v>
      </c>
      <c r="P38" s="187">
        <v>266.16180273365353</v>
      </c>
      <c r="Q38" s="187">
        <v>169.9298115995567</v>
      </c>
      <c r="R38" s="187">
        <v>173.43923162172146</v>
      </c>
      <c r="S38" s="187">
        <v>87.316832902351933</v>
      </c>
      <c r="T38" s="187">
        <v>35.241965275212408</v>
      </c>
      <c r="U38" s="187">
        <v>202.79522226326807</v>
      </c>
      <c r="V38" s="187">
        <v>307.84386159339982</v>
      </c>
      <c r="W38" s="187">
        <v>31.116857529860852</v>
      </c>
      <c r="X38" s="183"/>
      <c r="Y38" s="367"/>
      <c r="Z38" s="251" t="s">
        <v>217</v>
      </c>
      <c r="AA38" s="219">
        <v>0.18653528114663726</v>
      </c>
      <c r="AB38" s="214">
        <v>0.49648566703417862</v>
      </c>
      <c r="AC38" s="215">
        <v>0.31697905181918412</v>
      </c>
      <c r="AD38" s="213">
        <v>0.58594725018720362</v>
      </c>
      <c r="AE38" s="215">
        <v>0.29499126383226559</v>
      </c>
      <c r="AF38" s="207"/>
      <c r="AG38" s="221">
        <v>7.2788383974186605E-2</v>
      </c>
      <c r="AH38" s="225">
        <v>0.1937348749663888</v>
      </c>
      <c r="AI38" s="225">
        <v>0.12368916375369723</v>
      </c>
      <c r="AJ38" s="225">
        <v>0.12624361387469749</v>
      </c>
      <c r="AK38" s="225">
        <v>6.3556511607062827E-2</v>
      </c>
      <c r="AL38" s="222">
        <v>2.565205700457112E-2</v>
      </c>
    </row>
    <row r="39" spans="1:38" x14ac:dyDescent="0.3">
      <c r="A39" s="184">
        <v>2012</v>
      </c>
      <c r="B39" s="186" t="s">
        <v>218</v>
      </c>
      <c r="C39" s="199">
        <v>3007</v>
      </c>
      <c r="D39" s="187">
        <v>12150</v>
      </c>
      <c r="E39" s="187">
        <v>4070</v>
      </c>
      <c r="F39" s="187">
        <v>4729</v>
      </c>
      <c r="G39" s="187">
        <v>3589</v>
      </c>
      <c r="H39" s="187">
        <v>4919</v>
      </c>
      <c r="I39" s="187">
        <v>16185</v>
      </c>
      <c r="J39" s="187">
        <v>10016</v>
      </c>
      <c r="K39" s="187">
        <v>1734</v>
      </c>
      <c r="L39" s="183"/>
      <c r="M39" s="184">
        <v>2012</v>
      </c>
      <c r="N39" s="186" t="s">
        <v>218</v>
      </c>
      <c r="O39" s="198">
        <v>100</v>
      </c>
      <c r="P39" s="187">
        <v>404.0571998669771</v>
      </c>
      <c r="Q39" s="187">
        <v>135.35084802128367</v>
      </c>
      <c r="R39" s="187">
        <v>157.26637845028267</v>
      </c>
      <c r="S39" s="187">
        <v>119.35483870967742</v>
      </c>
      <c r="T39" s="187">
        <v>163.58496840705021</v>
      </c>
      <c r="U39" s="187">
        <v>538.24409710675093</v>
      </c>
      <c r="V39" s="187">
        <v>333.0894579314932</v>
      </c>
      <c r="W39" s="187">
        <v>57.665447289657465</v>
      </c>
      <c r="X39" s="183"/>
      <c r="Y39" s="367"/>
      <c r="Z39" s="211" t="s">
        <v>218</v>
      </c>
      <c r="AA39" s="219">
        <v>0.15639465335205702</v>
      </c>
      <c r="AB39" s="214">
        <v>0.63192385707598686</v>
      </c>
      <c r="AC39" s="215">
        <v>0.21168148957195609</v>
      </c>
      <c r="AD39" s="213">
        <v>0.35725617587066555</v>
      </c>
      <c r="AE39" s="215">
        <v>0.27113394273626956</v>
      </c>
      <c r="AF39" s="207"/>
      <c r="AG39" s="221">
        <v>4.9785592476696637E-2</v>
      </c>
      <c r="AH39" s="225">
        <v>0.20116227089852481</v>
      </c>
      <c r="AI39" s="225">
        <v>6.7385221609629301E-2</v>
      </c>
      <c r="AJ39" s="225">
        <v>7.8295998278117188E-2</v>
      </c>
      <c r="AK39" s="225">
        <v>5.9421513601218563E-2</v>
      </c>
      <c r="AL39" s="222">
        <v>8.1441745724266962E-2</v>
      </c>
    </row>
    <row r="40" spans="1:38" x14ac:dyDescent="0.3">
      <c r="A40" s="184">
        <v>2012</v>
      </c>
      <c r="B40" s="186" t="s">
        <v>219</v>
      </c>
      <c r="C40" s="187">
        <v>0</v>
      </c>
      <c r="D40" s="187">
        <v>7985</v>
      </c>
      <c r="E40" s="187">
        <v>23</v>
      </c>
      <c r="F40" s="187">
        <v>0</v>
      </c>
      <c r="G40" s="187">
        <v>0</v>
      </c>
      <c r="H40" s="187">
        <v>0</v>
      </c>
      <c r="I40" s="187">
        <v>800</v>
      </c>
      <c r="J40" s="187">
        <v>29</v>
      </c>
      <c r="K40" s="187">
        <v>0</v>
      </c>
      <c r="L40" s="183"/>
      <c r="M40" s="184">
        <v>2012</v>
      </c>
      <c r="N40" s="186" t="s">
        <v>219</v>
      </c>
      <c r="O40" s="198"/>
      <c r="P40" s="187"/>
      <c r="Q40" s="187"/>
      <c r="R40" s="187"/>
      <c r="S40" s="187"/>
      <c r="T40" s="187"/>
      <c r="U40" s="187"/>
      <c r="V40" s="187"/>
      <c r="W40" s="187"/>
      <c r="X40" s="183"/>
      <c r="Y40" s="367"/>
      <c r="Z40" s="211" t="s">
        <v>219</v>
      </c>
      <c r="AA40" s="219">
        <v>0</v>
      </c>
      <c r="AB40" s="214">
        <v>0.99712787212787213</v>
      </c>
      <c r="AC40" s="215">
        <v>2.872127872127872E-3</v>
      </c>
      <c r="AD40" s="223" t="s">
        <v>181</v>
      </c>
      <c r="AE40" s="224" t="s">
        <v>181</v>
      </c>
      <c r="AF40" s="207"/>
      <c r="AG40" s="221">
        <v>0</v>
      </c>
      <c r="AH40" s="225">
        <v>0.90358719022292633</v>
      </c>
      <c r="AI40" s="225">
        <v>2.602693221681566E-3</v>
      </c>
      <c r="AJ40" s="225">
        <v>0</v>
      </c>
      <c r="AK40" s="225">
        <v>0</v>
      </c>
      <c r="AL40" s="222">
        <v>0</v>
      </c>
    </row>
    <row r="41" spans="1:38" ht="15" thickBot="1" x14ac:dyDescent="0.35">
      <c r="A41" s="191">
        <v>2012</v>
      </c>
      <c r="B41" s="192" t="s">
        <v>220</v>
      </c>
      <c r="C41" s="201">
        <v>242</v>
      </c>
      <c r="D41" s="193">
        <v>1583</v>
      </c>
      <c r="E41" s="193">
        <v>568</v>
      </c>
      <c r="F41" s="193">
        <v>419</v>
      </c>
      <c r="G41" s="193">
        <v>623</v>
      </c>
      <c r="H41" s="193">
        <v>967</v>
      </c>
      <c r="I41" s="193">
        <v>1411</v>
      </c>
      <c r="J41" s="193">
        <v>2442</v>
      </c>
      <c r="K41" s="193">
        <v>0</v>
      </c>
      <c r="L41" s="183"/>
      <c r="M41" s="191">
        <v>2012</v>
      </c>
      <c r="N41" s="192" t="s">
        <v>220</v>
      </c>
      <c r="O41" s="203">
        <v>100</v>
      </c>
      <c r="P41" s="193">
        <v>654.13223140495859</v>
      </c>
      <c r="Q41" s="193">
        <v>234.71074380165291</v>
      </c>
      <c r="R41" s="193">
        <v>173.14049586776858</v>
      </c>
      <c r="S41" s="193">
        <v>257.43801652892563</v>
      </c>
      <c r="T41" s="193">
        <v>399.58677685950414</v>
      </c>
      <c r="U41" s="193">
        <v>583.05785123966939</v>
      </c>
      <c r="V41" s="193">
        <v>1009.0909090909091</v>
      </c>
      <c r="W41" s="193">
        <v>0</v>
      </c>
      <c r="X41" s="183"/>
      <c r="Y41" s="368"/>
      <c r="Z41" s="212" t="s">
        <v>220</v>
      </c>
      <c r="AA41" s="220">
        <v>0.10112829084830756</v>
      </c>
      <c r="AB41" s="217">
        <v>0.66151274550773087</v>
      </c>
      <c r="AC41" s="218">
        <v>0.23735896364396156</v>
      </c>
      <c r="AD41" s="216">
        <v>0.20856147336983574</v>
      </c>
      <c r="AE41" s="218">
        <v>0.31010452961672474</v>
      </c>
      <c r="AF41" s="207"/>
      <c r="AG41" s="226">
        <v>2.9315566323440338E-2</v>
      </c>
      <c r="AH41" s="227">
        <v>0.19176256814052089</v>
      </c>
      <c r="AI41" s="227">
        <v>6.8806783767413685E-2</v>
      </c>
      <c r="AJ41" s="227">
        <v>5.0757116898849181E-2</v>
      </c>
      <c r="AK41" s="227">
        <v>7.5469412477286488E-2</v>
      </c>
      <c r="AL41" s="228">
        <v>0.11714112658994549</v>
      </c>
    </row>
    <row r="44" spans="1:38" x14ac:dyDescent="0.3">
      <c r="A44" s="159" t="s">
        <v>275</v>
      </c>
    </row>
    <row r="45" spans="1:38" x14ac:dyDescent="0.3">
      <c r="A45" s="298" t="s">
        <v>276</v>
      </c>
      <c r="B45" s="296"/>
      <c r="C45" s="296"/>
      <c r="D45" s="296"/>
      <c r="E45" s="296"/>
      <c r="F45" s="296"/>
    </row>
    <row r="46" spans="1:38" ht="41.4" x14ac:dyDescent="0.3">
      <c r="A46" s="297" t="s">
        <v>221</v>
      </c>
      <c r="B46" s="297" t="s">
        <v>277</v>
      </c>
      <c r="C46" s="297" t="s">
        <v>278</v>
      </c>
      <c r="D46" s="297" t="s">
        <v>222</v>
      </c>
      <c r="E46" s="297" t="s">
        <v>223</v>
      </c>
      <c r="F46" s="297" t="s">
        <v>224</v>
      </c>
    </row>
    <row r="47" spans="1:38" x14ac:dyDescent="0.3">
      <c r="A47" s="247" t="s">
        <v>225</v>
      </c>
      <c r="B47" s="299">
        <v>3501577</v>
      </c>
      <c r="C47" s="299">
        <v>7003154</v>
      </c>
      <c r="D47" s="299">
        <v>5111928</v>
      </c>
      <c r="E47" s="299">
        <v>-1891226</v>
      </c>
      <c r="F47" s="301">
        <v>-0.27</v>
      </c>
    </row>
    <row r="48" spans="1:38" x14ac:dyDescent="0.3">
      <c r="A48" s="247" t="s">
        <v>226</v>
      </c>
      <c r="B48" s="299">
        <v>18052530</v>
      </c>
      <c r="C48" s="299">
        <v>36105060</v>
      </c>
      <c r="D48" s="299">
        <v>40058044</v>
      </c>
      <c r="E48" s="299">
        <v>3952984</v>
      </c>
      <c r="F48" s="301">
        <v>0.11</v>
      </c>
    </row>
    <row r="49" spans="1:7" x14ac:dyDescent="0.3">
      <c r="A49" s="250" t="s">
        <v>227</v>
      </c>
      <c r="B49" s="299">
        <v>18405848</v>
      </c>
      <c r="C49" s="299">
        <v>36811696</v>
      </c>
      <c r="D49" s="299">
        <v>25228000</v>
      </c>
      <c r="E49" s="299">
        <v>-11583696</v>
      </c>
      <c r="F49" s="301">
        <v>-0.31</v>
      </c>
      <c r="G49" t="s">
        <v>108</v>
      </c>
    </row>
    <row r="50" spans="1:7" x14ac:dyDescent="0.3">
      <c r="A50" s="250" t="s">
        <v>228</v>
      </c>
      <c r="B50" s="299">
        <v>2247994</v>
      </c>
      <c r="C50" s="299">
        <v>4495988</v>
      </c>
      <c r="D50" s="299">
        <v>7242494</v>
      </c>
      <c r="E50" s="299">
        <v>2746506</v>
      </c>
      <c r="F50" s="301">
        <v>0.61</v>
      </c>
      <c r="G50" t="s">
        <v>96</v>
      </c>
    </row>
    <row r="51" spans="1:7" x14ac:dyDescent="0.3">
      <c r="A51" s="247" t="s">
        <v>229</v>
      </c>
      <c r="B51" s="299">
        <v>0</v>
      </c>
      <c r="C51" s="299">
        <v>0</v>
      </c>
      <c r="D51" s="299">
        <v>0</v>
      </c>
      <c r="E51" s="299">
        <v>0</v>
      </c>
      <c r="F51" s="301"/>
    </row>
    <row r="52" spans="1:7" x14ac:dyDescent="0.3">
      <c r="A52" s="250" t="s">
        <v>230</v>
      </c>
      <c r="B52" s="299">
        <v>3630286</v>
      </c>
      <c r="C52" s="299">
        <v>7260572</v>
      </c>
      <c r="D52" s="299">
        <v>5155000</v>
      </c>
      <c r="E52" s="299">
        <v>-2105572</v>
      </c>
      <c r="F52" s="301">
        <v>-0.28999999999999998</v>
      </c>
      <c r="G52" t="s">
        <v>94</v>
      </c>
    </row>
    <row r="53" spans="1:7" x14ac:dyDescent="0.3">
      <c r="A53" s="250" t="s">
        <v>231</v>
      </c>
      <c r="B53" s="299">
        <v>2397883</v>
      </c>
      <c r="C53" s="299">
        <v>4795766</v>
      </c>
      <c r="D53" s="299">
        <v>7077000</v>
      </c>
      <c r="E53" s="299">
        <v>2281234</v>
      </c>
      <c r="F53" s="301">
        <v>0.48</v>
      </c>
      <c r="G53" t="s">
        <v>95</v>
      </c>
    </row>
    <row r="54" spans="1:7" x14ac:dyDescent="0.3">
      <c r="A54" s="250" t="s">
        <v>232</v>
      </c>
      <c r="B54" s="299">
        <v>5291870</v>
      </c>
      <c r="C54" s="299">
        <v>10583740</v>
      </c>
      <c r="D54" s="299">
        <v>21601934</v>
      </c>
      <c r="E54" s="299">
        <v>11018194</v>
      </c>
      <c r="F54" s="301">
        <v>1.04</v>
      </c>
      <c r="G54" t="s">
        <v>93</v>
      </c>
    </row>
    <row r="55" spans="1:7" x14ac:dyDescent="0.3">
      <c r="A55" s="247" t="s">
        <v>233</v>
      </c>
      <c r="B55" s="299">
        <v>2027584</v>
      </c>
      <c r="C55" s="299">
        <v>4055168</v>
      </c>
      <c r="D55" s="299">
        <v>0</v>
      </c>
      <c r="E55" s="299">
        <v>-4055168</v>
      </c>
      <c r="F55" s="301">
        <v>-1</v>
      </c>
    </row>
    <row r="56" spans="1:7" ht="15" thickBot="1" x14ac:dyDescent="0.35">
      <c r="A56" s="248" t="s">
        <v>103</v>
      </c>
      <c r="B56" s="300">
        <v>55555572</v>
      </c>
      <c r="C56" s="302">
        <v>111111144</v>
      </c>
      <c r="D56" s="302">
        <v>111474400</v>
      </c>
      <c r="E56" s="302">
        <v>363256</v>
      </c>
      <c r="F56" s="303">
        <v>0</v>
      </c>
      <c r="G56" s="289">
        <f>C49+C50+C52+C53+C54</f>
        <v>63947762</v>
      </c>
    </row>
    <row r="57" spans="1:7" ht="15" thickTop="1" x14ac:dyDescent="0.3">
      <c r="A57" s="249"/>
      <c r="B57" s="244"/>
      <c r="C57" s="244"/>
      <c r="D57" s="244"/>
      <c r="E57" s="244"/>
      <c r="F57" s="244"/>
    </row>
    <row r="58" spans="1:7" ht="41.4" x14ac:dyDescent="0.3">
      <c r="A58" s="246" t="s">
        <v>221</v>
      </c>
      <c r="B58" s="305" t="s">
        <v>277</v>
      </c>
      <c r="C58" s="305" t="s">
        <v>278</v>
      </c>
      <c r="D58" s="305" t="s">
        <v>222</v>
      </c>
      <c r="E58" s="305" t="s">
        <v>223</v>
      </c>
      <c r="F58" s="305" t="s">
        <v>224</v>
      </c>
    </row>
    <row r="59" spans="1:7" x14ac:dyDescent="0.3">
      <c r="A59" s="247" t="s">
        <v>225</v>
      </c>
      <c r="B59" s="306">
        <v>1386967</v>
      </c>
      <c r="C59" s="308">
        <v>0.06</v>
      </c>
      <c r="D59" s="308">
        <v>0.05</v>
      </c>
      <c r="E59" s="308">
        <v>-0.02</v>
      </c>
      <c r="F59" s="308">
        <v>-0.27</v>
      </c>
    </row>
    <row r="60" spans="1:7" x14ac:dyDescent="0.3">
      <c r="A60" s="247" t="s">
        <v>226</v>
      </c>
      <c r="B60" s="306">
        <v>9543371</v>
      </c>
      <c r="C60" s="308">
        <v>0.32</v>
      </c>
      <c r="D60" s="308">
        <v>0.36</v>
      </c>
      <c r="E60" s="308">
        <v>0.03</v>
      </c>
      <c r="F60" s="308">
        <v>0.11</v>
      </c>
    </row>
    <row r="61" spans="1:7" x14ac:dyDescent="0.3">
      <c r="A61" s="250" t="s">
        <v>227</v>
      </c>
      <c r="B61" s="306">
        <v>10381561</v>
      </c>
      <c r="C61" s="308">
        <v>0.33</v>
      </c>
      <c r="D61" s="308">
        <v>0.23</v>
      </c>
      <c r="E61" s="308">
        <v>-0.1</v>
      </c>
      <c r="F61" s="308">
        <v>-0.32</v>
      </c>
      <c r="G61" s="244" t="s">
        <v>108</v>
      </c>
    </row>
    <row r="62" spans="1:7" x14ac:dyDescent="0.3">
      <c r="A62" s="250" t="s">
        <v>228</v>
      </c>
      <c r="B62" s="306">
        <v>783123</v>
      </c>
      <c r="C62" s="308">
        <v>0.04</v>
      </c>
      <c r="D62" s="308">
        <v>0.06</v>
      </c>
      <c r="E62" s="308">
        <v>0.02</v>
      </c>
      <c r="F62" s="308">
        <v>0.61</v>
      </c>
      <c r="G62" s="244" t="s">
        <v>96</v>
      </c>
    </row>
    <row r="63" spans="1:7" x14ac:dyDescent="0.3">
      <c r="A63" s="247" t="s">
        <v>229</v>
      </c>
      <c r="B63" s="306">
        <v>0</v>
      </c>
      <c r="C63" s="308">
        <v>0</v>
      </c>
      <c r="D63" s="308">
        <v>0</v>
      </c>
      <c r="E63" s="308">
        <v>0</v>
      </c>
      <c r="F63" s="308"/>
      <c r="G63" s="244"/>
    </row>
    <row r="64" spans="1:7" x14ac:dyDescent="0.3">
      <c r="A64" s="250" t="s">
        <v>230</v>
      </c>
      <c r="B64" s="306">
        <v>1589760</v>
      </c>
      <c r="C64" s="308">
        <v>7.0000000000000007E-2</v>
      </c>
      <c r="D64" s="308">
        <v>0.05</v>
      </c>
      <c r="E64" s="308">
        <v>-0.02</v>
      </c>
      <c r="F64" s="308">
        <v>-0.28999999999999998</v>
      </c>
      <c r="G64" s="244" t="s">
        <v>94</v>
      </c>
    </row>
    <row r="65" spans="1:10" x14ac:dyDescent="0.3">
      <c r="A65" s="250" t="s">
        <v>231</v>
      </c>
      <c r="B65" s="306">
        <v>856192</v>
      </c>
      <c r="C65" s="308">
        <v>0.04</v>
      </c>
      <c r="D65" s="308">
        <v>0.06</v>
      </c>
      <c r="E65" s="308">
        <v>0.02</v>
      </c>
      <c r="F65" s="308">
        <v>0.47</v>
      </c>
      <c r="G65" s="244" t="s">
        <v>95</v>
      </c>
    </row>
    <row r="66" spans="1:10" x14ac:dyDescent="0.3">
      <c r="A66" s="250" t="s">
        <v>232</v>
      </c>
      <c r="B66" s="306">
        <v>2856402</v>
      </c>
      <c r="C66" s="308">
        <v>0.1</v>
      </c>
      <c r="D66" s="308">
        <v>0.19</v>
      </c>
      <c r="E66" s="308">
        <v>0.1</v>
      </c>
      <c r="F66" s="308">
        <v>1.03</v>
      </c>
      <c r="G66" s="244" t="s">
        <v>93</v>
      </c>
    </row>
    <row r="67" spans="1:10" x14ac:dyDescent="0.3">
      <c r="A67" s="247" t="s">
        <v>233</v>
      </c>
      <c r="B67" s="306">
        <v>0</v>
      </c>
      <c r="C67" s="308">
        <v>0.04</v>
      </c>
      <c r="D67" s="308">
        <v>0</v>
      </c>
      <c r="E67" s="308">
        <v>-0.04</v>
      </c>
      <c r="F67" s="308">
        <v>-1</v>
      </c>
    </row>
    <row r="68" spans="1:10" ht="15" thickBot="1" x14ac:dyDescent="0.35">
      <c r="A68" s="248" t="s">
        <v>103</v>
      </c>
      <c r="B68" s="307">
        <v>27397376</v>
      </c>
      <c r="C68" s="311">
        <v>1</v>
      </c>
      <c r="D68" s="311">
        <v>1</v>
      </c>
      <c r="E68" s="311">
        <v>0</v>
      </c>
      <c r="F68" s="311">
        <v>0</v>
      </c>
    </row>
    <row r="69" spans="1:10" ht="15" thickTop="1" x14ac:dyDescent="0.3"/>
    <row r="72" spans="1:10" x14ac:dyDescent="0.3">
      <c r="A72" t="s">
        <v>279</v>
      </c>
    </row>
    <row r="73" spans="1:10" ht="28.8" customHeight="1" x14ac:dyDescent="0.3">
      <c r="B73" s="371" t="s">
        <v>287</v>
      </c>
      <c r="C73" s="371"/>
      <c r="D73" s="372"/>
      <c r="E73" s="373" t="s">
        <v>288</v>
      </c>
      <c r="F73" s="371"/>
      <c r="G73" s="372"/>
      <c r="H73" s="375" t="s">
        <v>282</v>
      </c>
      <c r="I73" s="376"/>
      <c r="J73" s="376"/>
    </row>
    <row r="74" spans="1:10" ht="28.8" x14ac:dyDescent="0.3">
      <c r="B74" s="313">
        <v>2011</v>
      </c>
      <c r="C74" s="313">
        <v>2012</v>
      </c>
      <c r="D74" s="314" t="s">
        <v>281</v>
      </c>
      <c r="E74" s="316">
        <v>2012</v>
      </c>
      <c r="F74" s="313">
        <v>2013</v>
      </c>
      <c r="G74" s="314" t="s">
        <v>280</v>
      </c>
      <c r="H74" s="375"/>
      <c r="I74" s="376"/>
      <c r="J74" s="376"/>
    </row>
    <row r="75" spans="1:10" ht="28.8" customHeight="1" x14ac:dyDescent="0.3">
      <c r="A75" s="319" t="s">
        <v>13</v>
      </c>
      <c r="B75" s="312">
        <v>5972840</v>
      </c>
      <c r="C75" s="312">
        <v>6268473</v>
      </c>
      <c r="D75" s="315">
        <f>(C75-B75)/B75</f>
        <v>4.949621955384708E-2</v>
      </c>
      <c r="E75" s="317">
        <v>1566423</v>
      </c>
      <c r="F75" s="312">
        <v>1929356</v>
      </c>
      <c r="G75" s="315">
        <f>(F75-E75)/E75</f>
        <v>0.23169539773100881</v>
      </c>
      <c r="H75" s="354" t="s">
        <v>283</v>
      </c>
      <c r="I75" s="355"/>
      <c r="J75" s="356"/>
    </row>
    <row r="76" spans="1:10" ht="28.2" customHeight="1" x14ac:dyDescent="0.3">
      <c r="A76" s="319" t="s">
        <v>286</v>
      </c>
      <c r="B76" s="312">
        <v>3835934</v>
      </c>
      <c r="C76" s="312">
        <v>3192410</v>
      </c>
      <c r="D76" s="315">
        <f t="shared" ref="D76:D77" si="0">(C76-B76)/B76</f>
        <v>-0.16776201050383036</v>
      </c>
      <c r="E76" s="317">
        <v>1606286</v>
      </c>
      <c r="F76" s="312">
        <v>1643700</v>
      </c>
      <c r="G76" s="315">
        <f t="shared" ref="G76:G77" si="1">(F76-E76)/E76</f>
        <v>2.3292240609704622E-2</v>
      </c>
      <c r="H76" s="356" t="s">
        <v>284</v>
      </c>
      <c r="I76" s="357"/>
      <c r="J76" s="357"/>
    </row>
    <row r="77" spans="1:10" ht="26.4" customHeight="1" x14ac:dyDescent="0.3">
      <c r="A77" s="319" t="s">
        <v>106</v>
      </c>
      <c r="B77" s="312">
        <v>9961079</v>
      </c>
      <c r="C77" s="312">
        <v>9750539</v>
      </c>
      <c r="D77" s="315">
        <f t="shared" si="0"/>
        <v>-2.1136264454884857E-2</v>
      </c>
      <c r="E77" s="317">
        <v>3172709</v>
      </c>
      <c r="F77" s="312">
        <v>3573056</v>
      </c>
      <c r="G77" s="315">
        <f t="shared" si="1"/>
        <v>0.12618459493133471</v>
      </c>
      <c r="H77" s="358" t="s">
        <v>285</v>
      </c>
      <c r="I77" s="359"/>
      <c r="J77" s="359"/>
    </row>
    <row r="78" spans="1:10" x14ac:dyDescent="0.3">
      <c r="A78" s="320"/>
    </row>
  </sheetData>
  <mergeCells count="19">
    <mergeCell ref="B73:D73"/>
    <mergeCell ref="E73:G73"/>
    <mergeCell ref="D8:E8"/>
    <mergeCell ref="F8:I8"/>
    <mergeCell ref="H73:J74"/>
    <mergeCell ref="AG22:AL22"/>
    <mergeCell ref="Y24:Y32"/>
    <mergeCell ref="Y33:Y41"/>
    <mergeCell ref="U22:V22"/>
    <mergeCell ref="C22:E22"/>
    <mergeCell ref="F22:H22"/>
    <mergeCell ref="I22:J22"/>
    <mergeCell ref="O22:Q22"/>
    <mergeCell ref="R22:T22"/>
    <mergeCell ref="H75:J75"/>
    <mergeCell ref="H76:J76"/>
    <mergeCell ref="H77:J77"/>
    <mergeCell ref="AA22:AC22"/>
    <mergeCell ref="AD22:AE22"/>
  </mergeCells>
  <pageMargins left="0.7" right="0.7" top="0.75" bottom="0.75" header="0.3" footer="0.3"/>
  <pageSetup scale="89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3:H21"/>
  <sheetViews>
    <sheetView workbookViewId="0">
      <selection activeCell="J5" sqref="J5"/>
    </sheetView>
  </sheetViews>
  <sheetFormatPr defaultRowHeight="14.4" x14ac:dyDescent="0.3"/>
  <cols>
    <col min="1" max="1" width="17.33203125" customWidth="1"/>
    <col min="2" max="2" width="11.6640625" customWidth="1"/>
    <col min="3" max="3" width="10.77734375" customWidth="1"/>
    <col min="4" max="4" width="13.77734375" customWidth="1"/>
    <col min="5" max="5" width="11.44140625" customWidth="1"/>
    <col min="6" max="6" width="11.109375" customWidth="1"/>
    <col min="7" max="7" width="13.21875" customWidth="1"/>
    <col min="8" max="8" width="38" customWidth="1"/>
  </cols>
  <sheetData>
    <row r="3" spans="1:8" ht="66" customHeight="1" x14ac:dyDescent="0.3">
      <c r="A3" s="382"/>
      <c r="B3" s="389" t="s">
        <v>294</v>
      </c>
      <c r="C3" s="389"/>
      <c r="D3" s="397"/>
      <c r="E3" s="396" t="s">
        <v>311</v>
      </c>
      <c r="F3" s="389"/>
      <c r="G3" s="397"/>
      <c r="H3" s="387" t="s">
        <v>299</v>
      </c>
    </row>
    <row r="4" spans="1:8" ht="28.8" x14ac:dyDescent="0.3">
      <c r="A4" s="382"/>
      <c r="B4" s="156" t="s">
        <v>291</v>
      </c>
      <c r="C4" s="156" t="s">
        <v>292</v>
      </c>
      <c r="D4" s="323" t="s">
        <v>293</v>
      </c>
      <c r="E4" s="325" t="s">
        <v>291</v>
      </c>
      <c r="F4" s="156" t="s">
        <v>292</v>
      </c>
      <c r="G4" s="323" t="s">
        <v>293</v>
      </c>
      <c r="H4" s="388"/>
    </row>
    <row r="5" spans="1:8" ht="31.8" customHeight="1" x14ac:dyDescent="0.3">
      <c r="A5" s="389" t="s">
        <v>13</v>
      </c>
      <c r="B5" s="321">
        <v>4173938</v>
      </c>
      <c r="C5" s="321">
        <v>1929356</v>
      </c>
      <c r="D5" s="324">
        <v>5991499</v>
      </c>
      <c r="E5" s="326">
        <v>5880000</v>
      </c>
      <c r="F5" s="321">
        <v>1470000</v>
      </c>
      <c r="G5" s="324">
        <v>6144600</v>
      </c>
      <c r="H5" s="384" t="s">
        <v>301</v>
      </c>
    </row>
    <row r="6" spans="1:8" x14ac:dyDescent="0.3">
      <c r="A6" s="389"/>
      <c r="B6" s="377" t="s">
        <v>298</v>
      </c>
      <c r="C6" s="377"/>
      <c r="D6" s="378"/>
      <c r="E6" s="327">
        <f>E5/B5</f>
        <v>1.4087415768993214</v>
      </c>
      <c r="F6" s="322">
        <f t="shared" ref="F6:G6" si="0">F5/C5</f>
        <v>0.7619122650252208</v>
      </c>
      <c r="G6" s="328">
        <f t="shared" si="0"/>
        <v>1.0255530377289557</v>
      </c>
      <c r="H6" s="384"/>
    </row>
    <row r="7" spans="1:8" ht="28.2" customHeight="1" x14ac:dyDescent="0.3">
      <c r="A7" s="389" t="s">
        <v>305</v>
      </c>
      <c r="B7" s="321">
        <v>2035200</v>
      </c>
      <c r="C7" s="321">
        <v>508800</v>
      </c>
      <c r="D7" s="324">
        <v>3787906</v>
      </c>
      <c r="E7" s="329">
        <v>3576000</v>
      </c>
      <c r="F7" s="330">
        <v>894000</v>
      </c>
      <c r="G7" s="331">
        <v>6547140</v>
      </c>
      <c r="H7" s="383" t="s">
        <v>302</v>
      </c>
    </row>
    <row r="8" spans="1:8" x14ac:dyDescent="0.3">
      <c r="A8" s="389"/>
      <c r="B8" s="377" t="s">
        <v>298</v>
      </c>
      <c r="C8" s="377"/>
      <c r="D8" s="378"/>
      <c r="E8" s="327">
        <f>E7/B7</f>
        <v>1.7570754716981132</v>
      </c>
      <c r="F8" s="322">
        <f t="shared" ref="F8" si="1">F7/C7</f>
        <v>1.7570754716981132</v>
      </c>
      <c r="G8" s="328">
        <f t="shared" ref="G8" si="2">G7/D7</f>
        <v>1.7284325429406115</v>
      </c>
      <c r="H8" s="383"/>
    </row>
    <row r="9" spans="1:8" ht="25.2" customHeight="1" x14ac:dyDescent="0.3">
      <c r="A9" s="389" t="s">
        <v>295</v>
      </c>
      <c r="B9" s="321">
        <v>2269800</v>
      </c>
      <c r="C9" s="321">
        <v>1134900</v>
      </c>
      <c r="D9" s="324">
        <v>11822529</v>
      </c>
      <c r="E9" s="390" t="s">
        <v>297</v>
      </c>
      <c r="F9" s="391"/>
      <c r="G9" s="392"/>
      <c r="H9" s="385" t="s">
        <v>303</v>
      </c>
    </row>
    <row r="10" spans="1:8" x14ac:dyDescent="0.3">
      <c r="A10" s="389"/>
      <c r="B10" s="379"/>
      <c r="C10" s="379"/>
      <c r="D10" s="380"/>
      <c r="E10" s="393"/>
      <c r="F10" s="394"/>
      <c r="G10" s="395"/>
      <c r="H10" s="386"/>
    </row>
    <row r="11" spans="1:8" ht="28.8" customHeight="1" x14ac:dyDescent="0.3">
      <c r="A11" s="389" t="s">
        <v>296</v>
      </c>
      <c r="B11" s="321">
        <f>SUM(B7,B9)</f>
        <v>4305000</v>
      </c>
      <c r="C11" s="321">
        <f>SUM(C7,C9)</f>
        <v>1643700</v>
      </c>
      <c r="D11" s="324">
        <f>SUM(D7,D9)</f>
        <v>15610435</v>
      </c>
      <c r="E11" s="326">
        <v>3576000</v>
      </c>
      <c r="F11" s="321">
        <v>894000</v>
      </c>
      <c r="G11" s="324">
        <v>6547140</v>
      </c>
      <c r="H11" s="383" t="s">
        <v>300</v>
      </c>
    </row>
    <row r="12" spans="1:8" x14ac:dyDescent="0.3">
      <c r="A12" s="389"/>
      <c r="B12" s="377" t="s">
        <v>298</v>
      </c>
      <c r="C12" s="377"/>
      <c r="D12" s="378"/>
      <c r="E12" s="327">
        <f>E11/B11</f>
        <v>0.83066202090592334</v>
      </c>
      <c r="F12" s="322">
        <f t="shared" ref="F12" si="3">F11/C11</f>
        <v>0.54389487132688452</v>
      </c>
      <c r="G12" s="328">
        <f t="shared" ref="G12" si="4">G11/D11</f>
        <v>0.41940791528230958</v>
      </c>
      <c r="H12" s="383"/>
    </row>
    <row r="13" spans="1:8" x14ac:dyDescent="0.3">
      <c r="A13" s="332" t="s">
        <v>310</v>
      </c>
    </row>
    <row r="15" spans="1:8" ht="16.8" customHeight="1" x14ac:dyDescent="0.3">
      <c r="A15" s="381" t="s">
        <v>304</v>
      </c>
      <c r="B15" s="381"/>
      <c r="C15" s="381"/>
      <c r="D15" s="381"/>
      <c r="E15" s="381"/>
      <c r="F15" s="381"/>
      <c r="G15" s="381"/>
      <c r="H15" s="381"/>
    </row>
    <row r="16" spans="1:8" x14ac:dyDescent="0.3">
      <c r="A16" s="381"/>
      <c r="B16" s="381"/>
      <c r="C16" s="381"/>
      <c r="D16" s="381"/>
      <c r="E16" s="381"/>
      <c r="F16" s="381"/>
      <c r="G16" s="381"/>
      <c r="H16" s="381"/>
    </row>
    <row r="18" spans="1:1" x14ac:dyDescent="0.3">
      <c r="A18" t="s">
        <v>306</v>
      </c>
    </row>
    <row r="19" spans="1:1" x14ac:dyDescent="0.3">
      <c r="A19" t="s">
        <v>307</v>
      </c>
    </row>
    <row r="20" spans="1:1" x14ac:dyDescent="0.3">
      <c r="A20" t="s">
        <v>308</v>
      </c>
    </row>
    <row r="21" spans="1:1" x14ac:dyDescent="0.3">
      <c r="A21" t="s">
        <v>309</v>
      </c>
    </row>
  </sheetData>
  <mergeCells count="18">
    <mergeCell ref="B3:D3"/>
    <mergeCell ref="B6:D6"/>
    <mergeCell ref="B8:D8"/>
    <mergeCell ref="B10:D10"/>
    <mergeCell ref="A15:H16"/>
    <mergeCell ref="A3:A4"/>
    <mergeCell ref="H7:H8"/>
    <mergeCell ref="H5:H6"/>
    <mergeCell ref="H9:H10"/>
    <mergeCell ref="H11:H12"/>
    <mergeCell ref="H3:H4"/>
    <mergeCell ref="B12:D12"/>
    <mergeCell ref="A5:A6"/>
    <mergeCell ref="A7:A8"/>
    <mergeCell ref="A9:A10"/>
    <mergeCell ref="A11:A12"/>
    <mergeCell ref="E9:G10"/>
    <mergeCell ref="E3:G3"/>
  </mergeCell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  <pageSetUpPr fitToPage="1"/>
  </sheetPr>
  <dimension ref="A1:P27"/>
  <sheetViews>
    <sheetView topLeftCell="A16" workbookViewId="0">
      <selection activeCell="B24" sqref="B24"/>
    </sheetView>
  </sheetViews>
  <sheetFormatPr defaultRowHeight="14.4" x14ac:dyDescent="0.3"/>
  <cols>
    <col min="1" max="1" width="9.88671875" customWidth="1"/>
    <col min="2" max="2" width="12.44140625" customWidth="1"/>
    <col min="3" max="3" width="14.109375" customWidth="1"/>
    <col min="4" max="4" width="13.33203125" customWidth="1"/>
    <col min="5" max="5" width="13.88671875" customWidth="1"/>
    <col min="7" max="7" width="11.88671875" customWidth="1"/>
    <col min="9" max="9" width="10.33203125" customWidth="1"/>
  </cols>
  <sheetData>
    <row r="1" spans="1:9" x14ac:dyDescent="0.3">
      <c r="A1" s="159" t="s">
        <v>275</v>
      </c>
      <c r="B1" s="304"/>
      <c r="C1" s="304"/>
      <c r="D1" s="304"/>
      <c r="E1" s="304"/>
      <c r="F1" s="304"/>
      <c r="G1" s="304"/>
    </row>
    <row r="2" spans="1:9" x14ac:dyDescent="0.3">
      <c r="A2" s="309" t="s">
        <v>276</v>
      </c>
      <c r="B2" s="304"/>
      <c r="C2" s="304"/>
      <c r="D2" s="304"/>
      <c r="E2" s="304"/>
      <c r="F2" s="304"/>
      <c r="G2" s="304"/>
    </row>
    <row r="3" spans="1:9" ht="41.4" x14ac:dyDescent="0.3">
      <c r="A3" s="305" t="s">
        <v>221</v>
      </c>
      <c r="B3" s="305" t="s">
        <v>277</v>
      </c>
      <c r="C3" s="305" t="s">
        <v>278</v>
      </c>
      <c r="D3" s="305" t="s">
        <v>222</v>
      </c>
      <c r="E3" s="305" t="s">
        <v>223</v>
      </c>
      <c r="F3" s="305" t="s">
        <v>224</v>
      </c>
      <c r="G3" s="304"/>
    </row>
    <row r="4" spans="1:9" x14ac:dyDescent="0.3">
      <c r="A4" s="247" t="s">
        <v>225</v>
      </c>
      <c r="B4" s="306">
        <v>3501577</v>
      </c>
      <c r="C4" s="306">
        <v>7003154</v>
      </c>
      <c r="D4" s="306">
        <v>5111928</v>
      </c>
      <c r="E4" s="306">
        <v>-1891226</v>
      </c>
      <c r="F4" s="308">
        <v>-0.27</v>
      </c>
      <c r="G4" s="304"/>
    </row>
    <row r="5" spans="1:9" ht="20.399999999999999" x14ac:dyDescent="0.3">
      <c r="A5" s="247" t="s">
        <v>226</v>
      </c>
      <c r="B5" s="306">
        <v>18052530</v>
      </c>
      <c r="C5" s="306">
        <v>36105060</v>
      </c>
      <c r="D5" s="306">
        <v>40058044</v>
      </c>
      <c r="E5" s="306">
        <v>3952984</v>
      </c>
      <c r="F5" s="308">
        <v>0.11</v>
      </c>
      <c r="G5" s="304"/>
    </row>
    <row r="6" spans="1:9" x14ac:dyDescent="0.3">
      <c r="A6" s="250" t="s">
        <v>227</v>
      </c>
      <c r="B6" s="306">
        <v>18405848</v>
      </c>
      <c r="C6" s="306">
        <v>36811696</v>
      </c>
      <c r="D6" s="306">
        <v>25228000</v>
      </c>
      <c r="E6" s="306">
        <v>-11583696</v>
      </c>
      <c r="F6" s="308">
        <v>-0.31</v>
      </c>
      <c r="G6" s="295" t="s">
        <v>108</v>
      </c>
    </row>
    <row r="7" spans="1:9" x14ac:dyDescent="0.3">
      <c r="A7" s="250" t="s">
        <v>228</v>
      </c>
      <c r="B7" s="306">
        <v>2247994</v>
      </c>
      <c r="C7" s="306">
        <v>4495988</v>
      </c>
      <c r="D7" s="306">
        <v>7242494</v>
      </c>
      <c r="E7" s="306">
        <v>2746506</v>
      </c>
      <c r="F7" s="308">
        <v>0.61</v>
      </c>
      <c r="G7" s="295" t="s">
        <v>96</v>
      </c>
    </row>
    <row r="8" spans="1:9" x14ac:dyDescent="0.3">
      <c r="A8" s="247" t="s">
        <v>229</v>
      </c>
      <c r="B8" s="306">
        <v>0</v>
      </c>
      <c r="C8" s="306">
        <v>0</v>
      </c>
      <c r="D8" s="306">
        <v>0</v>
      </c>
      <c r="E8" s="306">
        <v>0</v>
      </c>
      <c r="F8" s="308"/>
      <c r="G8" s="304"/>
    </row>
    <row r="9" spans="1:9" x14ac:dyDescent="0.3">
      <c r="A9" s="250" t="s">
        <v>230</v>
      </c>
      <c r="B9" s="306">
        <v>3630286</v>
      </c>
      <c r="C9" s="306">
        <v>7260572</v>
      </c>
      <c r="D9" s="306">
        <v>5155000</v>
      </c>
      <c r="E9" s="306">
        <v>-2105572</v>
      </c>
      <c r="F9" s="308">
        <v>-0.28999999999999998</v>
      </c>
      <c r="G9" s="295" t="s">
        <v>94</v>
      </c>
    </row>
    <row r="10" spans="1:9" x14ac:dyDescent="0.3">
      <c r="A10" s="250" t="s">
        <v>231</v>
      </c>
      <c r="B10" s="306">
        <v>2397883</v>
      </c>
      <c r="C10" s="306">
        <v>4795766</v>
      </c>
      <c r="D10" s="306">
        <v>7077000</v>
      </c>
      <c r="E10" s="306">
        <v>2281234</v>
      </c>
      <c r="F10" s="308">
        <v>0.48</v>
      </c>
      <c r="G10" s="304" t="s">
        <v>95</v>
      </c>
    </row>
    <row r="11" spans="1:9" x14ac:dyDescent="0.3">
      <c r="A11" s="250" t="s">
        <v>232</v>
      </c>
      <c r="B11" s="306">
        <v>5291870</v>
      </c>
      <c r="C11" s="306">
        <v>10583740</v>
      </c>
      <c r="D11" s="306">
        <v>21601934</v>
      </c>
      <c r="E11" s="306">
        <v>11018194</v>
      </c>
      <c r="F11" s="308">
        <v>1.04</v>
      </c>
      <c r="G11" s="304" t="s">
        <v>93</v>
      </c>
    </row>
    <row r="12" spans="1:9" x14ac:dyDescent="0.3">
      <c r="A12" s="247" t="s">
        <v>233</v>
      </c>
      <c r="B12" s="306">
        <v>2027584</v>
      </c>
      <c r="C12" s="306">
        <v>4055168</v>
      </c>
      <c r="D12" s="306">
        <v>0</v>
      </c>
      <c r="E12" s="306">
        <v>-4055168</v>
      </c>
      <c r="F12" s="308">
        <v>-1</v>
      </c>
      <c r="G12" s="304"/>
    </row>
    <row r="13" spans="1:9" ht="15" thickBot="1" x14ac:dyDescent="0.35">
      <c r="A13" s="248" t="s">
        <v>103</v>
      </c>
      <c r="B13" s="307">
        <v>55555572</v>
      </c>
      <c r="C13" s="310">
        <v>111111144</v>
      </c>
      <c r="D13" s="310">
        <v>111474400</v>
      </c>
      <c r="E13" s="310">
        <v>363256</v>
      </c>
      <c r="F13" s="311">
        <v>0</v>
      </c>
      <c r="G13" s="289">
        <f>C6+C7+C9+C10+C11</f>
        <v>63947762</v>
      </c>
    </row>
    <row r="14" spans="1:9" ht="15" thickTop="1" x14ac:dyDescent="0.3"/>
    <row r="15" spans="1:9" x14ac:dyDescent="0.3">
      <c r="D15" s="291">
        <v>0.9</v>
      </c>
      <c r="E15" s="291">
        <v>1.1000000000000001</v>
      </c>
    </row>
    <row r="16" spans="1:9" ht="43.2" x14ac:dyDescent="0.3">
      <c r="A16" s="333" t="s">
        <v>3</v>
      </c>
      <c r="B16" s="333" t="s">
        <v>266</v>
      </c>
      <c r="C16" s="333" t="s">
        <v>289</v>
      </c>
      <c r="D16" s="333" t="s">
        <v>267</v>
      </c>
      <c r="E16" s="333" t="s">
        <v>268</v>
      </c>
      <c r="F16" s="389" t="s">
        <v>271</v>
      </c>
      <c r="G16" s="389"/>
      <c r="H16" s="389"/>
      <c r="I16" s="389"/>
    </row>
    <row r="17" spans="1:16" ht="40.200000000000003" customHeight="1" x14ac:dyDescent="0.3">
      <c r="A17" s="340" t="s">
        <v>269</v>
      </c>
      <c r="B17" s="341">
        <v>5991499</v>
      </c>
      <c r="C17" s="342">
        <v>6144600</v>
      </c>
      <c r="D17" s="343">
        <f>B17*0.8</f>
        <v>4793199.2</v>
      </c>
      <c r="E17" s="344">
        <f>B17*1.2</f>
        <v>7189798.7999999998</v>
      </c>
      <c r="F17" s="359" t="s">
        <v>315</v>
      </c>
      <c r="G17" s="359"/>
      <c r="H17" s="359"/>
      <c r="I17" s="359"/>
      <c r="J17" s="318"/>
      <c r="K17" s="318"/>
      <c r="L17" s="318"/>
      <c r="M17" s="318"/>
      <c r="N17" s="318"/>
      <c r="O17" s="318"/>
      <c r="P17" s="318"/>
    </row>
    <row r="18" spans="1:16" ht="74.400000000000006" customHeight="1" x14ac:dyDescent="0.3">
      <c r="A18" s="345" t="s">
        <v>270</v>
      </c>
      <c r="B18" s="341">
        <v>15610435</v>
      </c>
      <c r="C18" s="342">
        <v>13000000</v>
      </c>
      <c r="D18" s="343">
        <f>B18*0.8</f>
        <v>12488348</v>
      </c>
      <c r="E18" s="344">
        <f>B18*1.2</f>
        <v>18732522</v>
      </c>
      <c r="F18" s="359" t="s">
        <v>316</v>
      </c>
      <c r="G18" s="359"/>
      <c r="H18" s="359"/>
      <c r="I18" s="359"/>
      <c r="J18" s="318"/>
      <c r="K18" s="318"/>
      <c r="L18" s="318"/>
      <c r="M18" s="318"/>
      <c r="N18" s="318"/>
      <c r="O18" s="318"/>
      <c r="P18" s="318"/>
    </row>
    <row r="19" spans="1:16" ht="36" customHeight="1" x14ac:dyDescent="0.3">
      <c r="A19" s="340" t="s">
        <v>95</v>
      </c>
      <c r="B19" s="341">
        <v>3804716</v>
      </c>
      <c r="C19" s="342">
        <f>B19</f>
        <v>3804716</v>
      </c>
      <c r="D19" s="343">
        <f>B19*0.9</f>
        <v>3424244.4</v>
      </c>
      <c r="E19" s="344">
        <f>B19*1.1</f>
        <v>4185187.6000000006</v>
      </c>
      <c r="F19" s="359" t="s">
        <v>317</v>
      </c>
      <c r="G19" s="359"/>
      <c r="H19" s="359"/>
      <c r="I19" s="359"/>
      <c r="J19" s="318"/>
      <c r="K19" s="318"/>
      <c r="L19" s="318"/>
      <c r="M19" s="318"/>
      <c r="N19" s="318"/>
      <c r="O19" s="318"/>
      <c r="P19" s="318"/>
    </row>
    <row r="20" spans="1:16" ht="45" customHeight="1" x14ac:dyDescent="0.3">
      <c r="A20" s="345" t="s">
        <v>94</v>
      </c>
      <c r="B20" s="341">
        <v>4440000</v>
      </c>
      <c r="C20" s="346">
        <f>(C9/D9)*B20</f>
        <v>6253528.5509214355</v>
      </c>
      <c r="D20" s="347">
        <f>B20</f>
        <v>4440000</v>
      </c>
      <c r="E20" s="346">
        <f>C20</f>
        <v>6253528.5509214355</v>
      </c>
      <c r="F20" s="399" t="s">
        <v>318</v>
      </c>
      <c r="G20" s="399"/>
      <c r="H20" s="399"/>
      <c r="I20" s="399"/>
      <c r="J20" s="336"/>
      <c r="K20" s="336"/>
      <c r="L20" s="336"/>
      <c r="M20" s="336"/>
      <c r="N20" s="336"/>
      <c r="O20" s="336"/>
      <c r="P20" s="336"/>
    </row>
    <row r="21" spans="1:16" ht="57" customHeight="1" x14ac:dyDescent="0.3">
      <c r="A21" s="345" t="s">
        <v>108</v>
      </c>
      <c r="B21" s="341">
        <v>22954000</v>
      </c>
      <c r="C21" s="344">
        <f>C6</f>
        <v>36811696</v>
      </c>
      <c r="D21" s="343">
        <f>B21</f>
        <v>22954000</v>
      </c>
      <c r="E21" s="344">
        <f>C21</f>
        <v>36811696</v>
      </c>
      <c r="F21" s="399" t="s">
        <v>319</v>
      </c>
      <c r="G21" s="399"/>
      <c r="H21" s="399"/>
      <c r="I21" s="399"/>
      <c r="J21" s="339"/>
      <c r="K21" s="339"/>
      <c r="L21" s="339"/>
      <c r="M21" s="339"/>
      <c r="N21" s="339"/>
      <c r="O21" s="339"/>
      <c r="P21" s="339"/>
    </row>
    <row r="22" spans="1:16" ht="26.4" customHeight="1" x14ac:dyDescent="0.3">
      <c r="A22" s="340" t="s">
        <v>96</v>
      </c>
      <c r="B22" s="341">
        <v>7818984</v>
      </c>
      <c r="C22" s="348">
        <f>C7</f>
        <v>4495988</v>
      </c>
      <c r="D22" s="349">
        <f>B22*0.8</f>
        <v>6255187.2000000002</v>
      </c>
      <c r="E22" s="349">
        <f>B22*1.1</f>
        <v>8600882.4000000004</v>
      </c>
      <c r="F22" s="359" t="s">
        <v>290</v>
      </c>
      <c r="G22" s="359"/>
      <c r="H22" s="359"/>
      <c r="I22" s="359"/>
      <c r="J22" s="318"/>
      <c r="K22" s="318"/>
      <c r="L22" s="318"/>
      <c r="M22" s="318"/>
      <c r="N22" s="318"/>
      <c r="O22" s="318"/>
      <c r="P22" s="318"/>
    </row>
    <row r="23" spans="1:16" ht="32.4" customHeight="1" x14ac:dyDescent="0.3">
      <c r="A23" s="340" t="s">
        <v>177</v>
      </c>
      <c r="B23" s="341">
        <v>3535945</v>
      </c>
      <c r="C23" s="343">
        <f>B23</f>
        <v>3535945</v>
      </c>
      <c r="D23" s="343">
        <v>3535945</v>
      </c>
      <c r="E23" s="343">
        <v>5000000</v>
      </c>
      <c r="F23" s="359" t="s">
        <v>312</v>
      </c>
      <c r="G23" s="359"/>
      <c r="H23" s="359"/>
      <c r="I23" s="359"/>
      <c r="J23" s="318"/>
      <c r="K23" s="318"/>
      <c r="L23" s="318"/>
      <c r="M23" s="318"/>
      <c r="N23" s="318"/>
      <c r="O23" s="318"/>
      <c r="P23" s="318"/>
    </row>
    <row r="24" spans="1:16" ht="26.4" customHeight="1" x14ac:dyDescent="0.3">
      <c r="A24" s="340" t="s">
        <v>172</v>
      </c>
      <c r="B24" s="341">
        <v>14895305</v>
      </c>
      <c r="C24" s="343">
        <f>B24</f>
        <v>14895305</v>
      </c>
      <c r="D24" s="343">
        <v>12000000</v>
      </c>
      <c r="E24" s="343">
        <v>16500000</v>
      </c>
      <c r="F24" s="359" t="s">
        <v>312</v>
      </c>
      <c r="G24" s="359"/>
      <c r="H24" s="359"/>
      <c r="I24" s="359"/>
      <c r="J24" s="318"/>
      <c r="K24" s="318"/>
      <c r="L24" s="318"/>
      <c r="M24" s="318"/>
      <c r="N24" s="318"/>
      <c r="O24" s="318"/>
      <c r="P24" s="318"/>
    </row>
    <row r="25" spans="1:16" x14ac:dyDescent="0.3">
      <c r="A25" s="335" t="s">
        <v>103</v>
      </c>
      <c r="B25" s="337">
        <f>SUM(B17:B24)</f>
        <v>79050884</v>
      </c>
      <c r="C25" s="338">
        <f t="shared" ref="C25:E25" si="0">SUM(C17:C24)</f>
        <v>88941778.55092144</v>
      </c>
      <c r="D25" s="337">
        <f t="shared" si="0"/>
        <v>69890923.799999997</v>
      </c>
      <c r="E25" s="337">
        <f t="shared" si="0"/>
        <v>103273615.35092145</v>
      </c>
      <c r="F25" s="400" t="s">
        <v>320</v>
      </c>
      <c r="G25" s="400"/>
      <c r="H25" s="400"/>
      <c r="I25" s="400"/>
    </row>
    <row r="26" spans="1:16" x14ac:dyDescent="0.3">
      <c r="A26" s="398"/>
      <c r="B26" s="334" t="s">
        <v>314</v>
      </c>
      <c r="C26" s="292">
        <f>C25/B25</f>
        <v>1.1251206065060757</v>
      </c>
      <c r="D26" s="401"/>
      <c r="E26" s="401"/>
      <c r="F26" s="401"/>
      <c r="G26" s="401"/>
      <c r="H26" s="401"/>
      <c r="I26" s="401"/>
    </row>
    <row r="27" spans="1:16" x14ac:dyDescent="0.3">
      <c r="A27" s="398"/>
      <c r="B27" s="334" t="s">
        <v>313</v>
      </c>
      <c r="C27" s="290">
        <f>C25-B25</f>
        <v>9890894.5509214401</v>
      </c>
      <c r="D27" s="402"/>
      <c r="E27" s="402"/>
      <c r="F27" s="402"/>
      <c r="G27" s="402"/>
      <c r="H27" s="402"/>
      <c r="I27" s="402"/>
    </row>
  </sheetData>
  <mergeCells count="12">
    <mergeCell ref="A26:A27"/>
    <mergeCell ref="F16:I16"/>
    <mergeCell ref="F17:I17"/>
    <mergeCell ref="F18:I18"/>
    <mergeCell ref="F19:I19"/>
    <mergeCell ref="F20:I20"/>
    <mergeCell ref="F21:I21"/>
    <mergeCell ref="F22:I22"/>
    <mergeCell ref="F23:I23"/>
    <mergeCell ref="F24:I24"/>
    <mergeCell ref="F25:I25"/>
    <mergeCell ref="D26:I27"/>
  </mergeCells>
  <pageMargins left="0.7" right="0.7" top="0.75" bottom="0.75" header="0.3" footer="0.3"/>
  <pageSetup scale="94" fitToWidth="0"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U47"/>
  <sheetViews>
    <sheetView topLeftCell="A25" workbookViewId="0">
      <selection activeCell="A38" sqref="A38"/>
    </sheetView>
  </sheetViews>
  <sheetFormatPr defaultRowHeight="13.8" x14ac:dyDescent="0.3"/>
  <cols>
    <col min="1" max="1" width="14.109375" style="1" customWidth="1"/>
    <col min="2" max="2" width="14.21875" style="1" customWidth="1"/>
    <col min="3" max="3" width="13.88671875" style="1" customWidth="1"/>
    <col min="4" max="4" width="12.44140625" style="1" customWidth="1"/>
    <col min="5" max="5" width="13.88671875" style="1" customWidth="1"/>
    <col min="6" max="6" width="12.44140625" style="1" customWidth="1"/>
    <col min="7" max="7" width="13.77734375" style="1" customWidth="1"/>
    <col min="8" max="8" width="14" style="1" customWidth="1"/>
    <col min="9" max="9" width="14.6640625" style="1" customWidth="1"/>
    <col min="10" max="10" width="14.77734375" style="1" customWidth="1"/>
    <col min="11" max="11" width="13.88671875" style="1" customWidth="1"/>
    <col min="12" max="12" width="13.5546875" style="1" customWidth="1"/>
    <col min="13" max="13" width="11.21875" style="1" customWidth="1"/>
    <col min="14" max="14" width="10.5546875" style="1" customWidth="1"/>
    <col min="15" max="16384" width="8.88671875" style="1"/>
  </cols>
  <sheetData>
    <row r="1" spans="1:14" x14ac:dyDescent="0.3">
      <c r="A1" s="48" t="s">
        <v>0</v>
      </c>
      <c r="B1" s="1" t="s">
        <v>166</v>
      </c>
    </row>
    <row r="2" spans="1:14" x14ac:dyDescent="0.3">
      <c r="A2" s="48" t="s">
        <v>76</v>
      </c>
      <c r="B2" s="1" t="s">
        <v>104</v>
      </c>
    </row>
    <row r="3" spans="1:14" x14ac:dyDescent="0.3">
      <c r="A3" s="48" t="s">
        <v>77</v>
      </c>
      <c r="B3" s="1" t="s">
        <v>165</v>
      </c>
    </row>
    <row r="4" spans="1:14" ht="42.6" customHeight="1" x14ac:dyDescent="0.3">
      <c r="A4" s="49" t="s">
        <v>78</v>
      </c>
      <c r="B4" s="428" t="s">
        <v>274</v>
      </c>
      <c r="C4" s="429"/>
      <c r="D4" s="429"/>
      <c r="E4" s="429"/>
      <c r="F4" s="429"/>
      <c r="G4" s="429"/>
      <c r="H4" s="429"/>
      <c r="I4" s="429"/>
    </row>
    <row r="5" spans="1:14" x14ac:dyDescent="0.3">
      <c r="A5" s="48" t="s">
        <v>79</v>
      </c>
      <c r="B5" s="1" t="s">
        <v>167</v>
      </c>
      <c r="E5" s="408" t="s">
        <v>50</v>
      </c>
      <c r="F5" s="409"/>
      <c r="G5" s="409"/>
      <c r="H5" s="409"/>
      <c r="I5" s="410"/>
    </row>
    <row r="6" spans="1:14" x14ac:dyDescent="0.3">
      <c r="A6" s="48" t="s">
        <v>80</v>
      </c>
      <c r="B6" s="1" t="s">
        <v>168</v>
      </c>
      <c r="E6" s="411" t="s">
        <v>51</v>
      </c>
      <c r="F6" s="412"/>
      <c r="G6" s="412"/>
      <c r="H6" s="412"/>
      <c r="I6" s="413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11007293.610031756</v>
      </c>
    </row>
    <row r="10" spans="1:14" ht="14.4" thickBot="1" x14ac:dyDescent="0.35">
      <c r="A10" s="50"/>
    </row>
    <row r="11" spans="1:14" ht="27.6" x14ac:dyDescent="0.3">
      <c r="A11" s="414" t="s">
        <v>82</v>
      </c>
      <c r="B11" s="51" t="s">
        <v>84</v>
      </c>
      <c r="C11" s="93" t="s">
        <v>100</v>
      </c>
      <c r="D11" s="15" t="s">
        <v>101</v>
      </c>
      <c r="E11" s="1" t="s">
        <v>97</v>
      </c>
    </row>
    <row r="12" spans="1:14" ht="14.4" thickBot="1" x14ac:dyDescent="0.35">
      <c r="A12" s="415"/>
      <c r="B12" s="80">
        <v>88941779</v>
      </c>
      <c r="C12" s="81">
        <f>1*B12 - 1</f>
        <v>88941778</v>
      </c>
      <c r="D12" s="82">
        <f>1*B12 + 1</f>
        <v>88941780</v>
      </c>
    </row>
    <row r="13" spans="1:14" ht="14.4" thickBot="1" x14ac:dyDescent="0.35"/>
    <row r="14" spans="1:14" ht="60.6" customHeight="1" thickBot="1" x14ac:dyDescent="0.35">
      <c r="A14" s="53" t="s">
        <v>85</v>
      </c>
      <c r="D14" s="182" t="s">
        <v>98</v>
      </c>
      <c r="E14" s="182" t="s">
        <v>98</v>
      </c>
      <c r="F14" s="182" t="s">
        <v>99</v>
      </c>
      <c r="G14" s="252">
        <v>0.9</v>
      </c>
      <c r="H14" s="252">
        <v>1.1000000000000001</v>
      </c>
      <c r="I14" s="63" t="s">
        <v>98</v>
      </c>
      <c r="J14" s="63" t="s">
        <v>99</v>
      </c>
    </row>
    <row r="15" spans="1:14" ht="27.6" customHeight="1" x14ac:dyDescent="0.3">
      <c r="A15" s="416" t="s">
        <v>2</v>
      </c>
      <c r="B15" s="406" t="s">
        <v>3</v>
      </c>
      <c r="C15" s="406" t="s">
        <v>38</v>
      </c>
      <c r="D15" s="406" t="s">
        <v>169</v>
      </c>
      <c r="E15" s="417" t="s">
        <v>86</v>
      </c>
      <c r="F15" s="418"/>
      <c r="G15" s="419" t="s">
        <v>236</v>
      </c>
      <c r="H15" s="420"/>
      <c r="I15" s="419" t="s">
        <v>89</v>
      </c>
      <c r="J15" s="420"/>
      <c r="K15" s="417" t="s">
        <v>90</v>
      </c>
      <c r="L15" s="430"/>
      <c r="M15" s="430"/>
      <c r="N15" s="418"/>
    </row>
    <row r="16" spans="1:14" ht="27.6" x14ac:dyDescent="0.3">
      <c r="A16" s="405"/>
      <c r="B16" s="405"/>
      <c r="C16" s="405"/>
      <c r="D16" s="405"/>
      <c r="E16" s="105" t="s">
        <v>260</v>
      </c>
      <c r="F16" s="105" t="s">
        <v>261</v>
      </c>
      <c r="G16" s="105" t="s">
        <v>87</v>
      </c>
      <c r="H16" s="105" t="s">
        <v>88</v>
      </c>
      <c r="I16" s="62" t="s">
        <v>258</v>
      </c>
      <c r="J16" s="62" t="s">
        <v>259</v>
      </c>
      <c r="K16" s="105" t="s">
        <v>234</v>
      </c>
      <c r="L16" s="105" t="s">
        <v>235</v>
      </c>
      <c r="M16" s="105" t="s">
        <v>91</v>
      </c>
      <c r="N16" s="105" t="s">
        <v>92</v>
      </c>
    </row>
    <row r="17" spans="1:21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f>JANSample!I9</f>
        <v>2767707.5889119492</v>
      </c>
      <c r="G17" s="73">
        <f>'Case Notes'!D17</f>
        <v>4793199.2</v>
      </c>
      <c r="H17" s="73">
        <f>'Case Notes'!E17</f>
        <v>7189798.7999999998</v>
      </c>
      <c r="I17" s="262">
        <v>7189798.7999999998</v>
      </c>
      <c r="J17" s="64">
        <f>JANSample!F9</f>
        <v>3312421.3159430088</v>
      </c>
      <c r="K17" s="58">
        <f>I17-E17</f>
        <v>1198299.7999999998</v>
      </c>
      <c r="L17" s="58">
        <f>J17-F17</f>
        <v>544713.72703105956</v>
      </c>
      <c r="M17" s="59">
        <f>K17/E17</f>
        <v>0.19999999999999996</v>
      </c>
      <c r="N17" s="59">
        <f>L17/F17</f>
        <v>0.1968104322918012</v>
      </c>
    </row>
    <row r="18" spans="1:21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f>JMTSample!I9</f>
        <v>3281566.9987801639</v>
      </c>
      <c r="G18" s="74">
        <f>'Case Notes'!D18</f>
        <v>12488348</v>
      </c>
      <c r="H18" s="74">
        <f>'Case Notes'!E18</f>
        <v>18732522</v>
      </c>
      <c r="I18" s="263">
        <v>18732522</v>
      </c>
      <c r="J18" s="65">
        <f>JMTSample!F9</f>
        <v>3938662.5298482887</v>
      </c>
      <c r="K18" s="60">
        <f t="shared" ref="K18:L22" si="0">I18-E18</f>
        <v>3122087</v>
      </c>
      <c r="L18" s="60">
        <f t="shared" si="0"/>
        <v>657095.53106812481</v>
      </c>
      <c r="M18" s="61">
        <f t="shared" ref="M18:N25" si="1">K18/E18</f>
        <v>0.2</v>
      </c>
      <c r="N18" s="61">
        <f t="shared" si="1"/>
        <v>0.20023834080254427</v>
      </c>
    </row>
    <row r="19" spans="1:21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f>JJVCH!I9</f>
        <v>190388.11981583459</v>
      </c>
      <c r="G19" s="74">
        <f>'Case Notes'!D19</f>
        <v>3424244.4</v>
      </c>
      <c r="H19" s="74">
        <f>'Case Notes'!E19</f>
        <v>4185187.6000000006</v>
      </c>
      <c r="I19" s="263">
        <v>3424244.4</v>
      </c>
      <c r="J19" s="65">
        <f>JJVCH!F9</f>
        <v>171348.65624802854</v>
      </c>
      <c r="K19" s="60">
        <f t="shared" si="0"/>
        <v>-380471.60000000009</v>
      </c>
      <c r="L19" s="60">
        <f t="shared" si="0"/>
        <v>-19039.463567806059</v>
      </c>
      <c r="M19" s="61">
        <f t="shared" si="1"/>
        <v>-0.10000000000000002</v>
      </c>
      <c r="N19" s="61">
        <f t="shared" si="1"/>
        <v>-0.10000342241009171</v>
      </c>
    </row>
    <row r="20" spans="1:21" x14ac:dyDescent="0.3">
      <c r="A20" s="55" t="s">
        <v>104</v>
      </c>
      <c r="B20" s="55" t="s">
        <v>94</v>
      </c>
      <c r="C20" s="55" t="s">
        <v>174</v>
      </c>
      <c r="D20" s="154">
        <v>1</v>
      </c>
      <c r="E20" s="74">
        <v>4440000</v>
      </c>
      <c r="F20" s="57">
        <f>JJMMF!I9</f>
        <v>32484.644891698143</v>
      </c>
      <c r="G20" s="74">
        <f>'Case Notes'!D20</f>
        <v>4440000</v>
      </c>
      <c r="H20" s="74">
        <f>'Case Notes'!E20</f>
        <v>6253528.5509214355</v>
      </c>
      <c r="I20" s="263">
        <v>4440000</v>
      </c>
      <c r="J20" s="65">
        <f>JJMMF!F9</f>
        <v>32484.644891698143</v>
      </c>
      <c r="K20" s="60">
        <f t="shared" si="0"/>
        <v>0</v>
      </c>
      <c r="L20" s="60">
        <f t="shared" si="0"/>
        <v>0</v>
      </c>
      <c r="M20" s="61">
        <f t="shared" si="1"/>
        <v>0</v>
      </c>
      <c r="N20" s="61">
        <f t="shared" si="1"/>
        <v>0</v>
      </c>
    </row>
    <row r="21" spans="1:21" x14ac:dyDescent="0.3">
      <c r="A21" s="55" t="s">
        <v>104</v>
      </c>
      <c r="B21" s="55" t="s">
        <v>108</v>
      </c>
      <c r="C21" s="55" t="s">
        <v>173</v>
      </c>
      <c r="D21" s="154">
        <v>1</v>
      </c>
      <c r="E21" s="74">
        <v>22954000</v>
      </c>
      <c r="F21" s="57">
        <f>JJHCC!I9</f>
        <v>2018049.0519838764</v>
      </c>
      <c r="G21" s="74">
        <f>'Case Notes'!D21</f>
        <v>22954000</v>
      </c>
      <c r="H21" s="74">
        <f>'Case Notes'!E21</f>
        <v>36811696</v>
      </c>
      <c r="I21" s="263">
        <v>33364081.59999875</v>
      </c>
      <c r="J21" s="65">
        <f>JJHCC!F9</f>
        <v>2757449.6901896722</v>
      </c>
      <c r="K21" s="60">
        <f t="shared" si="0"/>
        <v>10410081.59999875</v>
      </c>
      <c r="L21" s="60">
        <f t="shared" si="0"/>
        <v>739400.63820579578</v>
      </c>
      <c r="M21" s="61">
        <f t="shared" si="1"/>
        <v>0.45351928204229108</v>
      </c>
      <c r="N21" s="61">
        <f t="shared" si="1"/>
        <v>0.36639378883229612</v>
      </c>
    </row>
    <row r="22" spans="1:21" x14ac:dyDescent="0.3">
      <c r="A22" s="55" t="s">
        <v>104</v>
      </c>
      <c r="B22" s="55" t="s">
        <v>96</v>
      </c>
      <c r="C22" s="55" t="s">
        <v>173</v>
      </c>
      <c r="D22" s="154">
        <v>1</v>
      </c>
      <c r="E22" s="74">
        <v>7818984</v>
      </c>
      <c r="F22" s="57">
        <f>JJMCM!I9</f>
        <v>478349.49312681123</v>
      </c>
      <c r="G22" s="74">
        <f>'Case Notes'!D22</f>
        <v>6255187.2000000002</v>
      </c>
      <c r="H22" s="74">
        <f>'Case Notes'!E22</f>
        <v>8600882.4000000004</v>
      </c>
      <c r="I22" s="263">
        <v>6255187.2000000002</v>
      </c>
      <c r="J22" s="65">
        <f>JJMCM!F9</f>
        <v>391340.25142413448</v>
      </c>
      <c r="K22" s="60">
        <f t="shared" si="0"/>
        <v>-1563796.7999999998</v>
      </c>
      <c r="L22" s="60">
        <f t="shared" si="0"/>
        <v>-87009.241702676751</v>
      </c>
      <c r="M22" s="61">
        <f t="shared" si="1"/>
        <v>-0.19999999999999998</v>
      </c>
      <c r="N22" s="61">
        <f t="shared" si="1"/>
        <v>-0.18189470868658464</v>
      </c>
    </row>
    <row r="23" spans="1:21" x14ac:dyDescent="0.3">
      <c r="A23" s="55" t="s">
        <v>104</v>
      </c>
      <c r="B23" s="55" t="s">
        <v>177</v>
      </c>
      <c r="C23" s="55" t="s">
        <v>173</v>
      </c>
      <c r="D23" s="154">
        <v>1</v>
      </c>
      <c r="E23" s="74">
        <v>3535945</v>
      </c>
      <c r="F23" s="57">
        <f>JJHCC_ACQ!I9</f>
        <v>105223.86</v>
      </c>
      <c r="G23" s="74">
        <f>'Case Notes'!D23</f>
        <v>3535945</v>
      </c>
      <c r="H23" s="74">
        <f>'Case Notes'!E23</f>
        <v>5000000</v>
      </c>
      <c r="I23" s="263">
        <v>3535945</v>
      </c>
      <c r="J23" s="65">
        <f>JJHCC_ACQ!F9</f>
        <v>105223.86</v>
      </c>
      <c r="K23" s="60">
        <f t="shared" ref="K23:K24" si="2">I23-E23</f>
        <v>0</v>
      </c>
      <c r="L23" s="60">
        <f t="shared" ref="L23:L24" si="3">J23-F23</f>
        <v>0</v>
      </c>
      <c r="M23" s="61">
        <f t="shared" ref="M23:M24" si="4">K23/E23</f>
        <v>0</v>
      </c>
      <c r="N23" s="61">
        <f t="shared" ref="N23:N24" si="5">L23/F23</f>
        <v>0</v>
      </c>
    </row>
    <row r="24" spans="1:21" x14ac:dyDescent="0.3">
      <c r="A24" s="55" t="s">
        <v>104</v>
      </c>
      <c r="B24" s="55" t="s">
        <v>172</v>
      </c>
      <c r="C24" s="55" t="s">
        <v>173</v>
      </c>
      <c r="D24" s="154">
        <v>1</v>
      </c>
      <c r="E24" s="74">
        <v>14895305</v>
      </c>
      <c r="F24" s="57">
        <f>JJHCC_ADH!I9</f>
        <v>357940.73004525341</v>
      </c>
      <c r="G24" s="74">
        <f>'Case Notes'!D24</f>
        <v>12000000</v>
      </c>
      <c r="H24" s="74">
        <f>'Case Notes'!E24</f>
        <v>16500000</v>
      </c>
      <c r="I24" s="263">
        <v>12000000</v>
      </c>
      <c r="J24" s="65">
        <f>JJHCC_ADH!F9</f>
        <v>298362.66148692742</v>
      </c>
      <c r="K24" s="60">
        <f t="shared" si="2"/>
        <v>-2895305</v>
      </c>
      <c r="L24" s="60">
        <f t="shared" si="3"/>
        <v>-59578.068558325991</v>
      </c>
      <c r="M24" s="61">
        <f t="shared" si="4"/>
        <v>-0.19437702014158154</v>
      </c>
      <c r="N24" s="61">
        <f t="shared" si="5"/>
        <v>-0.16644674259560713</v>
      </c>
    </row>
    <row r="25" spans="1:21" x14ac:dyDescent="0.3">
      <c r="A25" s="75" t="s">
        <v>104</v>
      </c>
      <c r="B25" s="75" t="s">
        <v>103</v>
      </c>
      <c r="C25" s="75"/>
      <c r="D25" s="75"/>
      <c r="E25" s="76">
        <f t="shared" ref="E25:J25" si="6">SUM(E17:E24)</f>
        <v>79050884</v>
      </c>
      <c r="F25" s="77">
        <f t="shared" si="6"/>
        <v>9231710.4875555858</v>
      </c>
      <c r="G25" s="76">
        <f t="shared" si="6"/>
        <v>69890923.799999997</v>
      </c>
      <c r="H25" s="76">
        <f t="shared" si="6"/>
        <v>103273615.35092145</v>
      </c>
      <c r="I25" s="83">
        <f t="shared" si="6"/>
        <v>88941778.999998763</v>
      </c>
      <c r="J25" s="264">
        <f t="shared" si="6"/>
        <v>11007293.610031756</v>
      </c>
      <c r="K25" s="76">
        <f>SUM(K17:K24)</f>
        <v>9890894.9999987483</v>
      </c>
      <c r="L25" s="264">
        <f>SUM(L17:L24)</f>
        <v>1775583.1224761715</v>
      </c>
      <c r="M25" s="79">
        <f>K25/E25</f>
        <v>0.12512061218693959</v>
      </c>
      <c r="N25" s="79">
        <f t="shared" si="1"/>
        <v>0.19233522594427876</v>
      </c>
    </row>
    <row r="29" spans="1:21" s="245" customFormat="1" x14ac:dyDescent="0.3">
      <c r="D29" s="421" t="s">
        <v>321</v>
      </c>
      <c r="E29" s="421"/>
      <c r="F29" s="421"/>
      <c r="G29" s="421"/>
      <c r="H29" s="421"/>
      <c r="I29" s="421"/>
      <c r="J29" s="422" t="s">
        <v>322</v>
      </c>
      <c r="K29" s="422"/>
      <c r="L29" s="422"/>
      <c r="M29" s="422"/>
      <c r="N29" s="422"/>
      <c r="O29" s="422"/>
      <c r="P29" s="403" t="s">
        <v>323</v>
      </c>
      <c r="Q29" s="403"/>
      <c r="R29" s="403"/>
      <c r="S29" s="403"/>
      <c r="T29" s="403"/>
      <c r="U29" s="403"/>
    </row>
    <row r="30" spans="1:21" ht="69" x14ac:dyDescent="0.3">
      <c r="A30" s="407" t="s">
        <v>237</v>
      </c>
      <c r="D30" s="280" t="s">
        <v>149</v>
      </c>
      <c r="E30" s="280" t="s">
        <v>251</v>
      </c>
      <c r="F30" s="280" t="s">
        <v>255</v>
      </c>
      <c r="G30" s="280" t="s">
        <v>252</v>
      </c>
      <c r="H30" s="280" t="s">
        <v>253</v>
      </c>
      <c r="I30" s="280" t="s">
        <v>254</v>
      </c>
      <c r="J30" s="280" t="s">
        <v>149</v>
      </c>
      <c r="K30" s="280" t="s">
        <v>251</v>
      </c>
      <c r="L30" s="280" t="s">
        <v>255</v>
      </c>
      <c r="M30" s="280" t="s">
        <v>252</v>
      </c>
      <c r="N30" s="280" t="s">
        <v>253</v>
      </c>
      <c r="O30" s="280" t="s">
        <v>254</v>
      </c>
      <c r="P30" s="280" t="s">
        <v>149</v>
      </c>
      <c r="Q30" s="280" t="s">
        <v>251</v>
      </c>
      <c r="R30" s="280" t="s">
        <v>255</v>
      </c>
      <c r="S30" s="280" t="s">
        <v>252</v>
      </c>
      <c r="T30" s="280" t="s">
        <v>253</v>
      </c>
      <c r="U30" s="280" t="s">
        <v>254</v>
      </c>
    </row>
    <row r="31" spans="1:21" x14ac:dyDescent="0.3">
      <c r="A31" s="407"/>
      <c r="D31" s="281">
        <v>14.58</v>
      </c>
      <c r="E31" s="282">
        <v>2216</v>
      </c>
      <c r="F31" s="282">
        <v>1319</v>
      </c>
      <c r="G31" s="283">
        <v>171</v>
      </c>
      <c r="H31" s="284">
        <v>0.39</v>
      </c>
      <c r="I31" s="283">
        <f>(1-H31)*G31</f>
        <v>104.31</v>
      </c>
      <c r="J31" s="281">
        <v>13.81</v>
      </c>
      <c r="K31" s="282">
        <v>2149</v>
      </c>
      <c r="L31" s="282">
        <v>1281</v>
      </c>
      <c r="M31" s="283">
        <v>178</v>
      </c>
      <c r="N31" s="284">
        <v>0.39</v>
      </c>
      <c r="O31" s="283">
        <f>(1-N31)*M31</f>
        <v>108.58</v>
      </c>
      <c r="P31" s="281">
        <v>14.21</v>
      </c>
      <c r="Q31" s="282">
        <v>2025</v>
      </c>
      <c r="R31" s="282">
        <v>1202</v>
      </c>
      <c r="S31" s="283">
        <v>153</v>
      </c>
      <c r="T31" s="284">
        <v>0.39</v>
      </c>
      <c r="U31" s="283">
        <f>(1-T31)*S31</f>
        <v>93.33</v>
      </c>
    </row>
    <row r="32" spans="1:21" ht="13.8" customHeight="1" x14ac:dyDescent="0.3">
      <c r="A32" s="404" t="s">
        <v>2</v>
      </c>
      <c r="B32" s="406" t="s">
        <v>3</v>
      </c>
      <c r="C32" s="406" t="str">
        <f t="shared" ref="C32:C42" si="7">D15</f>
        <v>Response Scaling Factor for Sensitivity Analysis</v>
      </c>
      <c r="D32" s="423" t="s">
        <v>86</v>
      </c>
      <c r="E32" s="424"/>
      <c r="F32" s="424"/>
      <c r="G32" s="425"/>
      <c r="H32" s="426" t="s">
        <v>89</v>
      </c>
      <c r="I32" s="427"/>
      <c r="J32" s="427"/>
      <c r="K32" s="423" t="s">
        <v>246</v>
      </c>
      <c r="L32" s="424"/>
      <c r="M32" s="424"/>
      <c r="N32" s="425"/>
    </row>
    <row r="33" spans="1:14" ht="74.400000000000006" customHeight="1" x14ac:dyDescent="0.3">
      <c r="A33" s="405"/>
      <c r="B33" s="405"/>
      <c r="C33" s="405">
        <f t="shared" si="7"/>
        <v>0</v>
      </c>
      <c r="D33" s="178" t="s">
        <v>239</v>
      </c>
      <c r="E33" s="178" t="s">
        <v>238</v>
      </c>
      <c r="F33" s="178" t="s">
        <v>240</v>
      </c>
      <c r="G33" s="178" t="s">
        <v>256</v>
      </c>
      <c r="H33" s="62" t="s">
        <v>244</v>
      </c>
      <c r="I33" s="62" t="s">
        <v>245</v>
      </c>
      <c r="J33" s="62" t="s">
        <v>257</v>
      </c>
      <c r="K33" s="178" t="s">
        <v>247</v>
      </c>
      <c r="L33" s="178" t="s">
        <v>248</v>
      </c>
      <c r="M33" s="178" t="s">
        <v>249</v>
      </c>
      <c r="N33" s="178" t="s">
        <v>250</v>
      </c>
    </row>
    <row r="34" spans="1:14" x14ac:dyDescent="0.3">
      <c r="A34" s="54" t="s">
        <v>13</v>
      </c>
      <c r="B34" s="54" t="s">
        <v>93</v>
      </c>
      <c r="C34" s="153">
        <f t="shared" si="7"/>
        <v>1</v>
      </c>
      <c r="D34" s="255">
        <f t="shared" ref="D34:D41" si="8">E17</f>
        <v>5991499</v>
      </c>
      <c r="E34" s="253" t="s">
        <v>185</v>
      </c>
      <c r="F34" s="257">
        <f>F17/$J$31</f>
        <v>200413.29391107525</v>
      </c>
      <c r="G34" s="259">
        <f>F34*$L$31</f>
        <v>256729429.50008738</v>
      </c>
      <c r="H34" s="265">
        <f t="shared" ref="H34:H41" si="9">I17</f>
        <v>7189798.7999999998</v>
      </c>
      <c r="I34" s="257">
        <f>J17/$J$31</f>
        <v>239856.72092273776</v>
      </c>
      <c r="J34" s="268">
        <f>I34*$L$31</f>
        <v>307256459.50202709</v>
      </c>
      <c r="K34" s="255">
        <f>H34-D34</f>
        <v>1198299.7999999998</v>
      </c>
      <c r="L34" s="255">
        <f>J34-G34</f>
        <v>50527030.001939714</v>
      </c>
      <c r="M34" s="271">
        <f>K34/D34</f>
        <v>0.19999999999999996</v>
      </c>
      <c r="N34" s="272">
        <f>L34/G34</f>
        <v>0.19681043229180126</v>
      </c>
    </row>
    <row r="35" spans="1:14" x14ac:dyDescent="0.3">
      <c r="A35" s="55" t="s">
        <v>170</v>
      </c>
      <c r="B35" s="55" t="s">
        <v>93</v>
      </c>
      <c r="C35" s="154">
        <f t="shared" si="7"/>
        <v>1</v>
      </c>
      <c r="D35" s="256">
        <f t="shared" si="8"/>
        <v>15610435</v>
      </c>
      <c r="E35" s="254" t="s">
        <v>185</v>
      </c>
      <c r="F35" s="258">
        <f>F18/$P$31</f>
        <v>230933.63819705587</v>
      </c>
      <c r="G35" s="260">
        <f>F35*$R$31</f>
        <v>277582233.11286116</v>
      </c>
      <c r="H35" s="266">
        <f t="shared" si="9"/>
        <v>18732522</v>
      </c>
      <c r="I35" s="258">
        <f>J18/$P$31</f>
        <v>277175.40674512938</v>
      </c>
      <c r="J35" s="269">
        <f>I35*$R$31</f>
        <v>333164838.90764552</v>
      </c>
      <c r="K35" s="256">
        <f t="shared" ref="K35:K42" si="10">H35-D35</f>
        <v>3122087</v>
      </c>
      <c r="L35" s="256">
        <f t="shared" ref="L35:L42" si="11">J35-G35</f>
        <v>55582605.794784367</v>
      </c>
      <c r="M35" s="273">
        <f t="shared" ref="M35:M42" si="12">K35/D35</f>
        <v>0.2</v>
      </c>
      <c r="N35" s="274">
        <f t="shared" ref="N35:N42" si="13">L35/G35</f>
        <v>0.20023834080254421</v>
      </c>
    </row>
    <row r="36" spans="1:14" x14ac:dyDescent="0.3">
      <c r="A36" s="55" t="s">
        <v>104</v>
      </c>
      <c r="B36" s="55" t="s">
        <v>95</v>
      </c>
      <c r="C36" s="154">
        <f t="shared" si="7"/>
        <v>1</v>
      </c>
      <c r="D36" s="256">
        <f t="shared" si="8"/>
        <v>3804716</v>
      </c>
      <c r="E36" s="254" t="s">
        <v>185</v>
      </c>
      <c r="F36" s="258">
        <f t="shared" ref="F36:F40" si="14">F19/$D$31</f>
        <v>13058.170083390576</v>
      </c>
      <c r="G36" s="260">
        <f t="shared" ref="G36:G40" si="15">F36*$F$31</f>
        <v>17223726.339992169</v>
      </c>
      <c r="H36" s="266">
        <f t="shared" si="9"/>
        <v>3424244.4</v>
      </c>
      <c r="I36" s="258">
        <f t="shared" ref="I36:I40" si="16">J19/$D$31</f>
        <v>11752.308384638445</v>
      </c>
      <c r="J36" s="269">
        <f t="shared" ref="J36:J40" si="17">I36*$F$31</f>
        <v>15501294.759338109</v>
      </c>
      <c r="K36" s="256">
        <f t="shared" si="10"/>
        <v>-380471.60000000009</v>
      </c>
      <c r="L36" s="256">
        <f t="shared" si="11"/>
        <v>-1722431.5806540605</v>
      </c>
      <c r="M36" s="273">
        <f t="shared" si="12"/>
        <v>-0.10000000000000002</v>
      </c>
      <c r="N36" s="274">
        <f t="shared" si="13"/>
        <v>-0.10000342241009175</v>
      </c>
    </row>
    <row r="37" spans="1:14" x14ac:dyDescent="0.3">
      <c r="A37" s="55" t="s">
        <v>104</v>
      </c>
      <c r="B37" s="55" t="s">
        <v>94</v>
      </c>
      <c r="C37" s="154">
        <f t="shared" si="7"/>
        <v>1</v>
      </c>
      <c r="D37" s="256">
        <f t="shared" si="8"/>
        <v>4440000</v>
      </c>
      <c r="E37" s="254" t="s">
        <v>185</v>
      </c>
      <c r="F37" s="258">
        <f t="shared" si="14"/>
        <v>2228.0277703496668</v>
      </c>
      <c r="G37" s="260">
        <f t="shared" si="15"/>
        <v>2938768.6290912107</v>
      </c>
      <c r="H37" s="266">
        <f t="shared" si="9"/>
        <v>4440000</v>
      </c>
      <c r="I37" s="258">
        <f t="shared" si="16"/>
        <v>2228.0277703496668</v>
      </c>
      <c r="J37" s="269">
        <f t="shared" si="17"/>
        <v>2938768.6290912107</v>
      </c>
      <c r="K37" s="256">
        <f t="shared" si="10"/>
        <v>0</v>
      </c>
      <c r="L37" s="256">
        <f t="shared" si="11"/>
        <v>0</v>
      </c>
      <c r="M37" s="273">
        <f t="shared" si="12"/>
        <v>0</v>
      </c>
      <c r="N37" s="274">
        <f t="shared" si="13"/>
        <v>0</v>
      </c>
    </row>
    <row r="38" spans="1:14" x14ac:dyDescent="0.3">
      <c r="A38" s="55" t="s">
        <v>104</v>
      </c>
      <c r="B38" s="55" t="s">
        <v>108</v>
      </c>
      <c r="C38" s="154">
        <f t="shared" si="7"/>
        <v>1</v>
      </c>
      <c r="D38" s="256">
        <f t="shared" si="8"/>
        <v>22954000</v>
      </c>
      <c r="E38" s="254" t="s">
        <v>185</v>
      </c>
      <c r="F38" s="258">
        <f t="shared" si="14"/>
        <v>138412.14348311909</v>
      </c>
      <c r="G38" s="260">
        <f t="shared" si="15"/>
        <v>182565617.25423408</v>
      </c>
      <c r="H38" s="266">
        <f t="shared" si="9"/>
        <v>33364081.59999875</v>
      </c>
      <c r="I38" s="258">
        <f t="shared" si="16"/>
        <v>189125.49315429851</v>
      </c>
      <c r="J38" s="269">
        <f t="shared" si="17"/>
        <v>249456525.47051975</v>
      </c>
      <c r="K38" s="256">
        <f t="shared" si="10"/>
        <v>10410081.59999875</v>
      </c>
      <c r="L38" s="256">
        <f t="shared" si="11"/>
        <v>66890908.216285676</v>
      </c>
      <c r="M38" s="273">
        <f t="shared" si="12"/>
        <v>0.45351928204229108</v>
      </c>
      <c r="N38" s="274">
        <f t="shared" si="13"/>
        <v>0.36639378883229634</v>
      </c>
    </row>
    <row r="39" spans="1:14" x14ac:dyDescent="0.3">
      <c r="A39" s="55" t="s">
        <v>104</v>
      </c>
      <c r="B39" s="55" t="s">
        <v>96</v>
      </c>
      <c r="C39" s="154">
        <f t="shared" si="7"/>
        <v>1</v>
      </c>
      <c r="D39" s="256">
        <f t="shared" si="8"/>
        <v>7818984</v>
      </c>
      <c r="E39" s="254" t="s">
        <v>185</v>
      </c>
      <c r="F39" s="258">
        <f t="shared" si="14"/>
        <v>32808.607210343704</v>
      </c>
      <c r="G39" s="260">
        <f t="shared" si="15"/>
        <v>43274552.910443343</v>
      </c>
      <c r="H39" s="266">
        <f t="shared" si="9"/>
        <v>6255187.2000000002</v>
      </c>
      <c r="I39" s="258">
        <f t="shared" si="16"/>
        <v>26840.895159405656</v>
      </c>
      <c r="J39" s="269">
        <f t="shared" si="17"/>
        <v>35403140.715256058</v>
      </c>
      <c r="K39" s="256">
        <f t="shared" si="10"/>
        <v>-1563796.7999999998</v>
      </c>
      <c r="L39" s="256">
        <f t="shared" si="11"/>
        <v>-7871412.1951872855</v>
      </c>
      <c r="M39" s="273">
        <f t="shared" si="12"/>
        <v>-0.19999999999999998</v>
      </c>
      <c r="N39" s="274">
        <f t="shared" si="13"/>
        <v>-0.18189470868658464</v>
      </c>
    </row>
    <row r="40" spans="1:14" x14ac:dyDescent="0.3">
      <c r="A40" s="55" t="s">
        <v>104</v>
      </c>
      <c r="B40" s="55" t="s">
        <v>177</v>
      </c>
      <c r="C40" s="154">
        <f t="shared" si="7"/>
        <v>1</v>
      </c>
      <c r="D40" s="256">
        <f t="shared" si="8"/>
        <v>3535945</v>
      </c>
      <c r="E40" s="254" t="s">
        <v>185</v>
      </c>
      <c r="F40" s="258">
        <f t="shared" si="14"/>
        <v>7217</v>
      </c>
      <c r="G40" s="260">
        <f t="shared" si="15"/>
        <v>9519223</v>
      </c>
      <c r="H40" s="266">
        <f t="shared" si="9"/>
        <v>3535945</v>
      </c>
      <c r="I40" s="258">
        <f t="shared" si="16"/>
        <v>7217</v>
      </c>
      <c r="J40" s="269">
        <f t="shared" si="17"/>
        <v>9519223</v>
      </c>
      <c r="K40" s="256">
        <f t="shared" si="10"/>
        <v>0</v>
      </c>
      <c r="L40" s="256">
        <f t="shared" si="11"/>
        <v>0</v>
      </c>
      <c r="M40" s="273">
        <f t="shared" si="12"/>
        <v>0</v>
      </c>
      <c r="N40" s="274">
        <f t="shared" si="13"/>
        <v>0</v>
      </c>
    </row>
    <row r="41" spans="1:14" x14ac:dyDescent="0.3">
      <c r="A41" s="55" t="s">
        <v>104</v>
      </c>
      <c r="B41" s="55" t="s">
        <v>172</v>
      </c>
      <c r="C41" s="154">
        <f t="shared" si="7"/>
        <v>1</v>
      </c>
      <c r="D41" s="256">
        <f t="shared" si="8"/>
        <v>14895305</v>
      </c>
      <c r="E41" s="276" t="s">
        <v>184</v>
      </c>
      <c r="F41" s="258">
        <f t="shared" ref="F41" si="18">F24</f>
        <v>357940.73004525341</v>
      </c>
      <c r="G41" s="260">
        <f>F41*$I$31</f>
        <v>37336797.551020384</v>
      </c>
      <c r="H41" s="266">
        <f t="shared" si="9"/>
        <v>12000000</v>
      </c>
      <c r="I41" s="258">
        <f>J24</f>
        <v>298362.66148692742</v>
      </c>
      <c r="J41" s="269">
        <f>I41*$I$31</f>
        <v>31122209.219701398</v>
      </c>
      <c r="K41" s="256">
        <f t="shared" si="10"/>
        <v>-2895305</v>
      </c>
      <c r="L41" s="256">
        <f t="shared" si="11"/>
        <v>-6214588.3313189857</v>
      </c>
      <c r="M41" s="273">
        <f t="shared" si="12"/>
        <v>-0.19437702014158154</v>
      </c>
      <c r="N41" s="274">
        <f t="shared" si="13"/>
        <v>-0.16644674259560716</v>
      </c>
    </row>
    <row r="42" spans="1:14" x14ac:dyDescent="0.3">
      <c r="A42" s="75" t="s">
        <v>104</v>
      </c>
      <c r="B42" s="75" t="s">
        <v>103</v>
      </c>
      <c r="C42" s="75">
        <f t="shared" si="7"/>
        <v>0</v>
      </c>
      <c r="D42" s="76">
        <f>SUM(D34:D41)</f>
        <v>79050884</v>
      </c>
      <c r="E42" s="77"/>
      <c r="F42" s="77"/>
      <c r="G42" s="261">
        <f>SUM(G34:G41)</f>
        <v>827170348.29772973</v>
      </c>
      <c r="H42" s="267">
        <f>SUM(H34:H41)</f>
        <v>88941778.999998763</v>
      </c>
      <c r="I42" s="77"/>
      <c r="J42" s="270">
        <f>SUM(J34:J41)</f>
        <v>984362460.20357931</v>
      </c>
      <c r="K42" s="76">
        <f t="shared" si="10"/>
        <v>9890894.9999987632</v>
      </c>
      <c r="L42" s="293">
        <f t="shared" si="11"/>
        <v>157192111.90584958</v>
      </c>
      <c r="M42" s="79">
        <f t="shared" si="12"/>
        <v>0.12512061218693979</v>
      </c>
      <c r="N42" s="275">
        <f t="shared" si="13"/>
        <v>0.19003596082637891</v>
      </c>
    </row>
    <row r="43" spans="1:14" x14ac:dyDescent="0.3">
      <c r="D43" s="277">
        <v>0.54</v>
      </c>
      <c r="E43" s="277">
        <v>0.34</v>
      </c>
      <c r="F43" s="181" t="s">
        <v>241</v>
      </c>
      <c r="G43" s="278">
        <f>SUM(G34:G40)*$E$43 + (G41*$D$43)</f>
        <v>288705277.93143225</v>
      </c>
      <c r="H43" s="245"/>
      <c r="I43" s="179"/>
      <c r="J43" s="278">
        <f>SUM(J34:J40)*$E$43 + (J41*$D$43)</f>
        <v>340907678.31315726</v>
      </c>
      <c r="K43" s="245"/>
      <c r="L43" s="278">
        <f>SUM(L34:L40)*$E$43 + (L41*$D$43)</f>
        <v>52202400.381725013</v>
      </c>
      <c r="M43" s="294">
        <f>L43/L42</f>
        <v>0.33209300230657701</v>
      </c>
      <c r="N43" s="279">
        <f>N42*(L43/L42)</f>
        <v>6.3109612777047228E-2</v>
      </c>
    </row>
    <row r="44" spans="1:14" x14ac:dyDescent="0.3">
      <c r="D44" s="277">
        <v>0.46</v>
      </c>
      <c r="E44" s="277">
        <v>0.39</v>
      </c>
      <c r="F44" s="181" t="s">
        <v>242</v>
      </c>
      <c r="G44" s="278">
        <f>SUM(G34:G40)*$E$44 + (G41*$D$44)</f>
        <v>325210011.66468602</v>
      </c>
      <c r="H44" s="245"/>
      <c r="I44" s="179"/>
      <c r="J44" s="278">
        <f>SUM(J34:J40)*$E$44 + (J41*$D$44)</f>
        <v>386079914.12477505</v>
      </c>
      <c r="K44" s="245"/>
      <c r="L44" s="278">
        <f>SUM(L34:L40)*$E$44 + (L41*$D$44)</f>
        <v>60869902.460088953</v>
      </c>
      <c r="M44" s="294">
        <f>L44/L42</f>
        <v>0.38723255080730173</v>
      </c>
      <c r="N44" s="279">
        <f>N42*(L44/L42)</f>
        <v>7.3588109855915171E-2</v>
      </c>
    </row>
    <row r="45" spans="1:14" x14ac:dyDescent="0.3">
      <c r="D45" s="277">
        <v>0</v>
      </c>
      <c r="E45" s="277">
        <v>0.27</v>
      </c>
      <c r="F45" s="181" t="s">
        <v>243</v>
      </c>
      <c r="G45" s="278">
        <f>SUM(G34:G40)*$E$45 + (G41*$D$45)</f>
        <v>213255058.70161155</v>
      </c>
      <c r="H45" s="245"/>
      <c r="I45" s="179"/>
      <c r="J45" s="278">
        <f>SUM(J34:J40)*$E$45 + (J41*$D$45)</f>
        <v>257374867.76564705</v>
      </c>
      <c r="K45" s="245"/>
      <c r="L45" s="278">
        <f>SUM(L34:L40)*$E$45 + (L41*$D$45)</f>
        <v>44119809.064035483</v>
      </c>
      <c r="M45" s="294">
        <f>L45/L42</f>
        <v>0.28067444688612048</v>
      </c>
      <c r="N45" s="279">
        <f>N42*(L45/L42)</f>
        <v>5.3338238193416362E-2</v>
      </c>
    </row>
    <row r="46" spans="1:14" x14ac:dyDescent="0.3">
      <c r="D46" s="245" t="s">
        <v>184</v>
      </c>
      <c r="E46" s="245" t="s">
        <v>272</v>
      </c>
      <c r="F46" s="245"/>
      <c r="G46" s="245"/>
      <c r="H46" s="245"/>
      <c r="I46" s="245"/>
      <c r="J46" s="245"/>
      <c r="K46" s="245"/>
      <c r="L46" s="245"/>
      <c r="M46" s="245"/>
      <c r="N46" s="245"/>
    </row>
    <row r="47" spans="1:14" ht="27.6" x14ac:dyDescent="0.3">
      <c r="D47" s="182" t="s">
        <v>273</v>
      </c>
      <c r="E47" s="245"/>
      <c r="F47" s="245"/>
      <c r="G47" s="245"/>
      <c r="H47" s="245"/>
      <c r="I47" s="245"/>
      <c r="J47" s="245"/>
      <c r="K47" s="245"/>
      <c r="L47" s="245"/>
      <c r="M47" s="245"/>
      <c r="N47" s="245"/>
    </row>
  </sheetData>
  <mergeCells count="22">
    <mergeCell ref="C32:C33"/>
    <mergeCell ref="D32:G32"/>
    <mergeCell ref="H32:J32"/>
    <mergeCell ref="B4:I4"/>
    <mergeCell ref="K15:N15"/>
    <mergeCell ref="K32:N32"/>
    <mergeCell ref="P29:U29"/>
    <mergeCell ref="A32:A33"/>
    <mergeCell ref="B32:B33"/>
    <mergeCell ref="A30:A31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D29:I29"/>
    <mergeCell ref="J29:O29"/>
  </mergeCells>
  <pageMargins left="0.7" right="0.7" top="0.75" bottom="0.75" header="0.3" footer="0.3"/>
  <pageSetup orientation="portrait"/>
  <ignoredErrors>
    <ignoredError sqref="I36:I40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79998168889431442"/>
  </sheetPr>
  <dimension ref="A1:N43"/>
  <sheetViews>
    <sheetView workbookViewId="0">
      <selection activeCell="D13" sqref="D1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5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139</v>
      </c>
    </row>
    <row r="2" spans="1:14" ht="16.2" customHeight="1" x14ac:dyDescent="0.3">
      <c r="A2" s="7" t="s">
        <v>2</v>
      </c>
      <c r="B2" s="8" t="s">
        <v>13</v>
      </c>
      <c r="C2" s="9" t="s">
        <v>4</v>
      </c>
      <c r="D2" s="10" t="s">
        <v>6</v>
      </c>
      <c r="E2" s="9" t="s">
        <v>122</v>
      </c>
      <c r="F2" s="10" t="s">
        <v>123</v>
      </c>
      <c r="H2" s="442" t="s">
        <v>105</v>
      </c>
      <c r="I2" s="443"/>
      <c r="J2" s="443"/>
      <c r="K2" s="443"/>
      <c r="L2" s="443"/>
      <c r="M2" s="443"/>
      <c r="N2" s="444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445" t="s">
        <v>136</v>
      </c>
      <c r="I3" s="446"/>
      <c r="J3" s="446"/>
      <c r="K3" s="446"/>
      <c r="L3" s="446"/>
      <c r="M3" s="446"/>
      <c r="N3" s="447"/>
    </row>
    <row r="4" spans="1:14" ht="18.600000000000001" customHeight="1" thickBot="1" x14ac:dyDescent="0.35">
      <c r="A4" s="29" t="s">
        <v>38</v>
      </c>
      <c r="B4" s="448" t="s">
        <v>131</v>
      </c>
      <c r="C4" s="449"/>
      <c r="D4" s="449"/>
      <c r="E4" s="449"/>
      <c r="F4" s="450"/>
    </row>
    <row r="6" spans="1:14" ht="14.4" thickBot="1" x14ac:dyDescent="0.35"/>
    <row r="7" spans="1:14" ht="27.6" customHeight="1" x14ac:dyDescent="0.3">
      <c r="A7" s="431" t="s">
        <v>8</v>
      </c>
      <c r="B7" s="434" t="s">
        <v>9</v>
      </c>
      <c r="C7" s="435"/>
      <c r="D7" s="451" t="s">
        <v>12</v>
      </c>
      <c r="E7" s="434"/>
      <c r="F7" s="435"/>
      <c r="G7" s="451" t="s">
        <v>143</v>
      </c>
      <c r="H7" s="434"/>
      <c r="I7" s="436"/>
      <c r="J7" s="1" t="s">
        <v>144</v>
      </c>
    </row>
    <row r="8" spans="1:14" ht="27.6" x14ac:dyDescent="0.3">
      <c r="A8" s="432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433"/>
      <c r="B9" s="112">
        <f>JJ_Optim_Scenario!G17</f>
        <v>4793199.2</v>
      </c>
      <c r="C9" s="113">
        <f>JJ_Optim_Scenario!H17</f>
        <v>7189798.7999999998</v>
      </c>
      <c r="D9" s="114">
        <f>JJ_Optim_Scenario!I17</f>
        <v>7189798.7999999998</v>
      </c>
      <c r="E9" s="119">
        <f>($B$13*D9+$C$13*D9*D9)*$G$13</f>
        <v>239856.72092273776</v>
      </c>
      <c r="F9" s="85">
        <f>($E$13*D9+$F$13*D9*D9)*$G$13</f>
        <v>3312421.3159430088</v>
      </c>
      <c r="G9" s="120">
        <f>JJ_Optim_Scenario!E17</f>
        <v>5991499</v>
      </c>
      <c r="H9" s="121">
        <f>($B$13*G9+$C$13*G9*G9)*$G$13</f>
        <v>200413.29391107528</v>
      </c>
      <c r="I9" s="115">
        <f>($E$13*G9+$F$13*G9*G9)*$G$13</f>
        <v>2767707.5889119492</v>
      </c>
      <c r="J9" s="123">
        <f>G9/I9</f>
        <v>2.164787575104854</v>
      </c>
      <c r="K9" s="1" t="s">
        <v>142</v>
      </c>
    </row>
    <row r="10" spans="1:14" ht="14.4" thickBot="1" x14ac:dyDescent="0.35"/>
    <row r="11" spans="1:14" ht="50.4" customHeight="1" x14ac:dyDescent="0.3">
      <c r="A11" s="431" t="s">
        <v>42</v>
      </c>
      <c r="B11" s="434" t="s">
        <v>138</v>
      </c>
      <c r="C11" s="434"/>
      <c r="D11" s="434" t="s">
        <v>125</v>
      </c>
      <c r="E11" s="434" t="s">
        <v>137</v>
      </c>
      <c r="F11" s="434"/>
      <c r="G11" s="436" t="s">
        <v>134</v>
      </c>
      <c r="I11" s="141"/>
      <c r="J11" s="32"/>
    </row>
    <row r="12" spans="1:14" ht="24.6" customHeight="1" x14ac:dyDescent="0.3">
      <c r="A12" s="432"/>
      <c r="B12" s="91" t="s">
        <v>43</v>
      </c>
      <c r="C12" s="91" t="s">
        <v>44</v>
      </c>
      <c r="D12" s="407"/>
      <c r="E12" s="91" t="s">
        <v>132</v>
      </c>
      <c r="F12" s="91" t="s">
        <v>133</v>
      </c>
      <c r="G12" s="437"/>
      <c r="H12" s="287" t="s">
        <v>262</v>
      </c>
      <c r="I12" s="287" t="s">
        <v>263</v>
      </c>
      <c r="J12" s="32"/>
    </row>
    <row r="13" spans="1:14" ht="14.4" thickBot="1" x14ac:dyDescent="0.35">
      <c r="A13" s="433"/>
      <c r="B13" s="12">
        <v>3.3894148963675173E-2</v>
      </c>
      <c r="C13" s="12">
        <v>-7.4195254306928158E-11</v>
      </c>
      <c r="D13" s="111">
        <f>JJ_Optim_Scenario!$J$31</f>
        <v>13.81</v>
      </c>
      <c r="E13" s="12">
        <v>0.46807819718835414</v>
      </c>
      <c r="F13" s="12">
        <v>-1.0246364619786779E-9</v>
      </c>
      <c r="G13" s="285">
        <f>JJ_Optim_Scenario!D17</f>
        <v>1</v>
      </c>
      <c r="H13" s="180">
        <f>JJ_Optim_Scenario!$O$31</f>
        <v>108.58</v>
      </c>
      <c r="I13" s="180">
        <f>JJ_Optim_Scenario!$L$31</f>
        <v>1281</v>
      </c>
      <c r="J13" s="32"/>
    </row>
    <row r="14" spans="1:14" ht="31.8" customHeight="1" x14ac:dyDescent="0.3">
      <c r="A14" s="438" t="s">
        <v>135</v>
      </c>
      <c r="B14" s="438"/>
      <c r="C14" s="438"/>
      <c r="D14" s="438"/>
      <c r="E14" s="438"/>
      <c r="F14" s="438"/>
      <c r="G14" s="438"/>
      <c r="H14" s="39"/>
      <c r="I14" s="39"/>
      <c r="J14" s="39"/>
    </row>
    <row r="15" spans="1:14" ht="30.6" customHeight="1" x14ac:dyDescent="0.3">
      <c r="A15" s="439"/>
      <c r="B15" s="439"/>
      <c r="C15" s="439"/>
      <c r="D15" s="439"/>
      <c r="E15" s="439"/>
      <c r="F15" s="439"/>
      <c r="G15" s="439"/>
      <c r="H15" s="39"/>
      <c r="I15" s="39"/>
      <c r="J15" s="39"/>
    </row>
    <row r="17" spans="1:4" ht="14.4" thickBot="1" x14ac:dyDescent="0.35"/>
    <row r="18" spans="1:4" ht="16.8" customHeight="1" x14ac:dyDescent="0.3">
      <c r="A18" s="440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441"/>
      <c r="B19" s="103">
        <v>0</v>
      </c>
      <c r="C19" s="103">
        <v>15000000</v>
      </c>
      <c r="D19" s="26">
        <v>20</v>
      </c>
    </row>
    <row r="21" spans="1:4" x14ac:dyDescent="0.3">
      <c r="A21" s="407" t="s">
        <v>37</v>
      </c>
      <c r="B21" s="407"/>
      <c r="C21" s="407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87" t="s">
        <v>264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288">
        <f>B23*$I$13</f>
        <v>0</v>
      </c>
    </row>
    <row r="24" spans="1:4" x14ac:dyDescent="0.3">
      <c r="A24" s="122">
        <f>A23+(($C$19-$B$19)/$D$19)</f>
        <v>750000</v>
      </c>
      <c r="B24" s="116">
        <f t="shared" ref="B24:B43" si="0">($B$13*A24+$C$13*A24*A24)*$G$13</f>
        <v>25378.876892208733</v>
      </c>
      <c r="C24" s="116">
        <f t="shared" ref="C24:C43" si="1">($E$13*A24+$F$13*A24*A24)*$G$13</f>
        <v>350482.28988140263</v>
      </c>
      <c r="D24" s="288">
        <f t="shared" ref="D24:D43" si="2">B24*$I$13</f>
        <v>32510341.298919387</v>
      </c>
    </row>
    <row r="25" spans="1:4" x14ac:dyDescent="0.3">
      <c r="A25" s="122">
        <f t="shared" ref="A25:A43" si="3">A24+(($C$19-$B$19)/$D$19)</f>
        <v>1500000</v>
      </c>
      <c r="B25" s="116">
        <f t="shared" si="0"/>
        <v>50674.284123322177</v>
      </c>
      <c r="C25" s="116">
        <f t="shared" si="1"/>
        <v>699811.86374307924</v>
      </c>
      <c r="D25" s="288">
        <f t="shared" si="2"/>
        <v>64913757.961975709</v>
      </c>
    </row>
    <row r="26" spans="1:4" x14ac:dyDescent="0.3">
      <c r="A26" s="122">
        <f t="shared" si="3"/>
        <v>2250000</v>
      </c>
      <c r="B26" s="116">
        <f t="shared" si="0"/>
        <v>75886.221693340325</v>
      </c>
      <c r="C26" s="116">
        <f t="shared" si="1"/>
        <v>1047988.7215850296</v>
      </c>
      <c r="D26" s="288">
        <f t="shared" si="2"/>
        <v>97210249.989168957</v>
      </c>
    </row>
    <row r="27" spans="1:4" x14ac:dyDescent="0.3">
      <c r="A27" s="122">
        <f t="shared" si="3"/>
        <v>3000000</v>
      </c>
      <c r="B27" s="116">
        <f t="shared" si="0"/>
        <v>101014.68960226317</v>
      </c>
      <c r="C27" s="116">
        <f t="shared" si="1"/>
        <v>1395012.8634072545</v>
      </c>
      <c r="D27" s="288">
        <f t="shared" si="2"/>
        <v>129399817.38049912</v>
      </c>
    </row>
    <row r="28" spans="1:4" x14ac:dyDescent="0.3">
      <c r="A28" s="122">
        <f t="shared" si="3"/>
        <v>3750000</v>
      </c>
      <c r="B28" s="116">
        <f t="shared" si="0"/>
        <v>126059.68785009073</v>
      </c>
      <c r="C28" s="116">
        <f t="shared" si="1"/>
        <v>1740884.289209753</v>
      </c>
      <c r="D28" s="288">
        <f t="shared" si="2"/>
        <v>161482460.13596624</v>
      </c>
    </row>
    <row r="29" spans="1:4" x14ac:dyDescent="0.3">
      <c r="A29" s="122">
        <f t="shared" si="3"/>
        <v>4500000</v>
      </c>
      <c r="B29" s="116">
        <f t="shared" si="0"/>
        <v>151021.21643682299</v>
      </c>
      <c r="C29" s="116">
        <f t="shared" si="1"/>
        <v>2085602.9989925253</v>
      </c>
      <c r="D29" s="288">
        <f t="shared" si="2"/>
        <v>193458178.25557023</v>
      </c>
    </row>
    <row r="30" spans="1:4" x14ac:dyDescent="0.3">
      <c r="A30" s="122">
        <f t="shared" si="3"/>
        <v>5250000</v>
      </c>
      <c r="B30" s="116">
        <f t="shared" si="0"/>
        <v>175899.27536245997</v>
      </c>
      <c r="C30" s="116">
        <f t="shared" si="1"/>
        <v>2429168.9927555718</v>
      </c>
      <c r="D30" s="288">
        <f t="shared" si="2"/>
        <v>225326971.73931122</v>
      </c>
    </row>
    <row r="31" spans="1:4" x14ac:dyDescent="0.3">
      <c r="A31" s="122">
        <f t="shared" si="3"/>
        <v>6000000</v>
      </c>
      <c r="B31" s="116">
        <f t="shared" si="0"/>
        <v>200693.86462700163</v>
      </c>
      <c r="C31" s="116">
        <f t="shared" si="1"/>
        <v>2771582.2704988928</v>
      </c>
      <c r="D31" s="288">
        <f t="shared" si="2"/>
        <v>257088840.58718908</v>
      </c>
    </row>
    <row r="32" spans="1:4" x14ac:dyDescent="0.3">
      <c r="A32" s="122">
        <f t="shared" si="3"/>
        <v>6750000</v>
      </c>
      <c r="B32" s="116">
        <f t="shared" si="0"/>
        <v>225404.98423044803</v>
      </c>
      <c r="C32" s="116">
        <f t="shared" si="1"/>
        <v>3112842.8322224868</v>
      </c>
      <c r="D32" s="288">
        <f t="shared" si="2"/>
        <v>288743784.79920393</v>
      </c>
    </row>
    <row r="33" spans="1:4" x14ac:dyDescent="0.3">
      <c r="A33" s="122">
        <f t="shared" si="3"/>
        <v>7500000</v>
      </c>
      <c r="B33" s="116">
        <f t="shared" si="0"/>
        <v>250032.63417279909</v>
      </c>
      <c r="C33" s="116">
        <f t="shared" si="1"/>
        <v>3452950.6779263555</v>
      </c>
      <c r="D33" s="288">
        <f t="shared" si="2"/>
        <v>320291804.37535566</v>
      </c>
    </row>
    <row r="34" spans="1:4" x14ac:dyDescent="0.3">
      <c r="A34" s="122">
        <f t="shared" si="3"/>
        <v>8250000</v>
      </c>
      <c r="B34" s="116">
        <f t="shared" si="0"/>
        <v>274576.81445405487</v>
      </c>
      <c r="C34" s="116">
        <f t="shared" si="1"/>
        <v>3791905.8076104978</v>
      </c>
      <c r="D34" s="288">
        <f t="shared" si="2"/>
        <v>351732899.31564426</v>
      </c>
    </row>
    <row r="35" spans="1:4" x14ac:dyDescent="0.3">
      <c r="A35" s="122">
        <f>A34+(($C$19-$B$19)/$D$19)</f>
        <v>9000000</v>
      </c>
      <c r="B35" s="116">
        <f t="shared" si="0"/>
        <v>299037.52507421537</v>
      </c>
      <c r="C35" s="116">
        <f t="shared" si="1"/>
        <v>4129708.2212749138</v>
      </c>
      <c r="D35" s="288">
        <f t="shared" si="2"/>
        <v>383067069.62006992</v>
      </c>
    </row>
    <row r="36" spans="1:4" x14ac:dyDescent="0.3">
      <c r="A36" s="122">
        <f t="shared" si="3"/>
        <v>9750000</v>
      </c>
      <c r="B36" s="116">
        <f t="shared" si="0"/>
        <v>323414.76603328058</v>
      </c>
      <c r="C36" s="116">
        <f t="shared" si="1"/>
        <v>4466357.9189196052</v>
      </c>
      <c r="D36" s="288">
        <f t="shared" si="2"/>
        <v>414294315.28863245</v>
      </c>
    </row>
    <row r="37" spans="1:4" x14ac:dyDescent="0.3">
      <c r="A37" s="122">
        <f t="shared" si="3"/>
        <v>10500000</v>
      </c>
      <c r="B37" s="116">
        <f t="shared" si="0"/>
        <v>347708.5373312505</v>
      </c>
      <c r="C37" s="116">
        <f t="shared" si="1"/>
        <v>4801854.9005445689</v>
      </c>
      <c r="D37" s="288">
        <f t="shared" si="2"/>
        <v>445414636.32133186</v>
      </c>
    </row>
    <row r="38" spans="1:4" x14ac:dyDescent="0.3">
      <c r="A38" s="122">
        <f t="shared" si="3"/>
        <v>11250000</v>
      </c>
      <c r="B38" s="116">
        <f t="shared" si="0"/>
        <v>371918.83896812511</v>
      </c>
      <c r="C38" s="116">
        <f t="shared" si="1"/>
        <v>5136199.1661498072</v>
      </c>
      <c r="D38" s="288">
        <f t="shared" si="2"/>
        <v>476428032.71816826</v>
      </c>
    </row>
    <row r="39" spans="1:4" x14ac:dyDescent="0.3">
      <c r="A39" s="122">
        <f t="shared" si="3"/>
        <v>12000000</v>
      </c>
      <c r="B39" s="116">
        <f t="shared" si="0"/>
        <v>396045.67094390444</v>
      </c>
      <c r="C39" s="116">
        <f t="shared" si="1"/>
        <v>5469390.7157353209</v>
      </c>
      <c r="D39" s="288">
        <f t="shared" si="2"/>
        <v>507334504.47914159</v>
      </c>
    </row>
    <row r="40" spans="1:4" x14ac:dyDescent="0.3">
      <c r="A40" s="122">
        <f t="shared" si="3"/>
        <v>12750000</v>
      </c>
      <c r="B40" s="116">
        <f t="shared" si="0"/>
        <v>420089.03325858846</v>
      </c>
      <c r="C40" s="116">
        <f t="shared" si="1"/>
        <v>5801429.5493011065</v>
      </c>
      <c r="D40" s="288">
        <f t="shared" si="2"/>
        <v>538134051.60425186</v>
      </c>
    </row>
    <row r="41" spans="1:4" x14ac:dyDescent="0.3">
      <c r="A41" s="122">
        <f t="shared" si="3"/>
        <v>13500000</v>
      </c>
      <c r="B41" s="116">
        <f t="shared" si="0"/>
        <v>444048.92591217719</v>
      </c>
      <c r="C41" s="116">
        <f t="shared" si="1"/>
        <v>6132315.6668471666</v>
      </c>
      <c r="D41" s="288">
        <f t="shared" si="2"/>
        <v>568826674.09349895</v>
      </c>
    </row>
    <row r="42" spans="1:4" x14ac:dyDescent="0.3">
      <c r="A42" s="122">
        <f>A41+(($C$19-$B$19)/$D$19)</f>
        <v>14250000</v>
      </c>
      <c r="B42" s="116">
        <f t="shared" si="0"/>
        <v>467925.34890467062</v>
      </c>
      <c r="C42" s="116">
        <f t="shared" si="1"/>
        <v>6462049.0683735013</v>
      </c>
      <c r="D42" s="288">
        <f t="shared" si="2"/>
        <v>599412371.94688308</v>
      </c>
    </row>
    <row r="43" spans="1:4" x14ac:dyDescent="0.3">
      <c r="A43" s="122">
        <f t="shared" si="3"/>
        <v>15000000</v>
      </c>
      <c r="B43" s="116">
        <f t="shared" si="0"/>
        <v>491718.30223606876</v>
      </c>
      <c r="C43" s="116">
        <f t="shared" si="1"/>
        <v>6790629.7538801096</v>
      </c>
      <c r="D43" s="288">
        <f t="shared" si="2"/>
        <v>629891145.16440403</v>
      </c>
    </row>
  </sheetData>
  <mergeCells count="15">
    <mergeCell ref="H2:N2"/>
    <mergeCell ref="H3:N3"/>
    <mergeCell ref="B4:F4"/>
    <mergeCell ref="D7:F7"/>
    <mergeCell ref="G7:I7"/>
    <mergeCell ref="E11:F11"/>
    <mergeCell ref="G11:G12"/>
    <mergeCell ref="A14:G15"/>
    <mergeCell ref="A11:A13"/>
    <mergeCell ref="A18:A19"/>
    <mergeCell ref="A7:A9"/>
    <mergeCell ref="B7:C7"/>
    <mergeCell ref="A21:C21"/>
    <mergeCell ref="B11:C11"/>
    <mergeCell ref="D11:D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N43"/>
  <sheetViews>
    <sheetView workbookViewId="0">
      <selection activeCell="C27" sqref="C27"/>
    </sheetView>
  </sheetViews>
  <sheetFormatPr defaultRowHeight="13.8" x14ac:dyDescent="0.3"/>
  <cols>
    <col min="1" max="1" width="12.109375" style="1" customWidth="1"/>
    <col min="2" max="2" width="11.88671875" style="1" customWidth="1"/>
    <col min="3" max="3" width="11" style="1" customWidth="1"/>
    <col min="4" max="4" width="14.218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141</v>
      </c>
    </row>
    <row r="2" spans="1:14" ht="16.2" customHeight="1" x14ac:dyDescent="0.3">
      <c r="A2" s="7" t="s">
        <v>2</v>
      </c>
      <c r="B2" s="8" t="s">
        <v>146</v>
      </c>
      <c r="C2" s="9" t="s">
        <v>4</v>
      </c>
      <c r="D2" s="10" t="s">
        <v>6</v>
      </c>
      <c r="E2" s="9" t="s">
        <v>122</v>
      </c>
      <c r="F2" s="10" t="s">
        <v>123</v>
      </c>
      <c r="H2" s="442" t="s">
        <v>105</v>
      </c>
      <c r="I2" s="443"/>
      <c r="J2" s="443"/>
      <c r="K2" s="443"/>
      <c r="L2" s="443"/>
      <c r="M2" s="443"/>
      <c r="N2" s="444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445" t="s">
        <v>136</v>
      </c>
      <c r="I3" s="446"/>
      <c r="J3" s="446"/>
      <c r="K3" s="446"/>
      <c r="L3" s="446"/>
      <c r="M3" s="446"/>
      <c r="N3" s="447"/>
    </row>
    <row r="4" spans="1:14" ht="18.600000000000001" customHeight="1" thickBot="1" x14ac:dyDescent="0.35">
      <c r="A4" s="29" t="s">
        <v>38</v>
      </c>
      <c r="B4" s="448" t="s">
        <v>131</v>
      </c>
      <c r="C4" s="449"/>
      <c r="D4" s="449"/>
      <c r="E4" s="449"/>
      <c r="F4" s="450"/>
    </row>
    <row r="6" spans="1:14" ht="14.4" thickBot="1" x14ac:dyDescent="0.35"/>
    <row r="7" spans="1:14" ht="27.6" customHeight="1" x14ac:dyDescent="0.3">
      <c r="A7" s="431" t="s">
        <v>8</v>
      </c>
      <c r="B7" s="434" t="s">
        <v>9</v>
      </c>
      <c r="C7" s="435"/>
      <c r="D7" s="451" t="s">
        <v>12</v>
      </c>
      <c r="E7" s="434"/>
      <c r="F7" s="435"/>
      <c r="G7" s="451" t="s">
        <v>143</v>
      </c>
      <c r="H7" s="434"/>
      <c r="I7" s="436"/>
      <c r="J7" s="1" t="s">
        <v>144</v>
      </c>
    </row>
    <row r="8" spans="1:14" ht="27.6" x14ac:dyDescent="0.3">
      <c r="A8" s="432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433"/>
      <c r="B9" s="112">
        <f>JJ_Optim_Scenario!G18</f>
        <v>12488348</v>
      </c>
      <c r="C9" s="113">
        <f>JJ_Optim_Scenario!H18</f>
        <v>18732522</v>
      </c>
      <c r="D9" s="114">
        <f>JJ_Optim_Scenario!I18</f>
        <v>18732522</v>
      </c>
      <c r="E9" s="119">
        <f>($B$13*D9+$C$13*D9*D9)*$G$13</f>
        <v>277175.40674512938</v>
      </c>
      <c r="F9" s="85">
        <f>($E$13*D9+$F$13*D9*D9)*$G$13</f>
        <v>3938662.5298482887</v>
      </c>
      <c r="G9" s="120">
        <f>JJ_Optim_Scenario!E18</f>
        <v>15610435</v>
      </c>
      <c r="H9" s="121">
        <f>($B$13*G9+$C$13*G9*G9)*$G$13</f>
        <v>230933.63819705584</v>
      </c>
      <c r="I9" s="115">
        <f>($E$13*G9+$F$13*G9*G9)*$G$13</f>
        <v>3281566.9987801639</v>
      </c>
      <c r="J9" s="123">
        <f>G9/I9</f>
        <v>4.7570063344136404</v>
      </c>
      <c r="K9" s="1" t="s">
        <v>142</v>
      </c>
    </row>
    <row r="10" spans="1:14" ht="14.4" thickBot="1" x14ac:dyDescent="0.35"/>
    <row r="11" spans="1:14" ht="50.4" customHeight="1" x14ac:dyDescent="0.3">
      <c r="A11" s="431" t="s">
        <v>42</v>
      </c>
      <c r="B11" s="434" t="s">
        <v>138</v>
      </c>
      <c r="C11" s="434"/>
      <c r="D11" s="434" t="s">
        <v>125</v>
      </c>
      <c r="E11" s="434" t="s">
        <v>137</v>
      </c>
      <c r="F11" s="434"/>
      <c r="G11" s="436" t="s">
        <v>134</v>
      </c>
      <c r="J11" s="32"/>
    </row>
    <row r="12" spans="1:14" ht="24.6" customHeight="1" x14ac:dyDescent="0.3">
      <c r="A12" s="432"/>
      <c r="B12" s="91" t="s">
        <v>43</v>
      </c>
      <c r="C12" s="91" t="s">
        <v>44</v>
      </c>
      <c r="D12" s="407"/>
      <c r="E12" s="91" t="s">
        <v>132</v>
      </c>
      <c r="F12" s="91" t="s">
        <v>133</v>
      </c>
      <c r="G12" s="437"/>
      <c r="H12" s="287" t="s">
        <v>262</v>
      </c>
      <c r="I12" s="287" t="s">
        <v>263</v>
      </c>
      <c r="J12" s="32"/>
    </row>
    <row r="13" spans="1:14" ht="14.4" thickBot="1" x14ac:dyDescent="0.35">
      <c r="A13" s="433"/>
      <c r="B13" s="12">
        <v>1.4778851523204141E-2</v>
      </c>
      <c r="C13" s="12">
        <v>9.4111856958413502E-13</v>
      </c>
      <c r="D13" s="111">
        <f>JJ_Optim_Scenario!$P$31</f>
        <v>14.21</v>
      </c>
      <c r="E13" s="12">
        <v>0.21000748014473086</v>
      </c>
      <c r="F13" s="12">
        <v>1.337329487379056E-11</v>
      </c>
      <c r="G13" s="285">
        <f>JJ_Optim_Scenario!D18</f>
        <v>1</v>
      </c>
      <c r="H13" s="180">
        <f>JJ_Optim_Scenario!$U$31</f>
        <v>93.33</v>
      </c>
      <c r="I13" s="180">
        <f>JJ_Optim_Scenario!$R$31</f>
        <v>1202</v>
      </c>
      <c r="J13" s="32"/>
    </row>
    <row r="14" spans="1:14" ht="31.8" customHeight="1" x14ac:dyDescent="0.3">
      <c r="A14" s="438" t="s">
        <v>135</v>
      </c>
      <c r="B14" s="438"/>
      <c r="C14" s="438"/>
      <c r="D14" s="438"/>
      <c r="E14" s="438"/>
      <c r="F14" s="438"/>
      <c r="G14" s="438"/>
      <c r="H14" s="39"/>
      <c r="I14" s="39"/>
      <c r="J14" s="39"/>
    </row>
    <row r="15" spans="1:14" ht="30.6" customHeight="1" x14ac:dyDescent="0.3">
      <c r="A15" s="439"/>
      <c r="B15" s="439"/>
      <c r="C15" s="439"/>
      <c r="D15" s="439"/>
      <c r="E15" s="439"/>
      <c r="F15" s="439"/>
      <c r="G15" s="439"/>
      <c r="H15" s="39"/>
      <c r="I15" s="39"/>
      <c r="J15" s="39"/>
    </row>
    <row r="17" spans="1:4" ht="14.4" thickBot="1" x14ac:dyDescent="0.35"/>
    <row r="18" spans="1:4" ht="16.8" customHeight="1" x14ac:dyDescent="0.3">
      <c r="A18" s="440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441"/>
      <c r="B19" s="103">
        <v>0</v>
      </c>
      <c r="C19" s="103">
        <v>40000000</v>
      </c>
      <c r="D19" s="26">
        <v>20</v>
      </c>
    </row>
    <row r="21" spans="1:4" x14ac:dyDescent="0.3">
      <c r="A21" s="407" t="s">
        <v>37</v>
      </c>
      <c r="B21" s="407"/>
      <c r="C21" s="407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87" t="s">
        <v>264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288">
        <f>B23*$I$13</f>
        <v>0</v>
      </c>
    </row>
    <row r="24" spans="1:4" x14ac:dyDescent="0.3">
      <c r="A24" s="122">
        <f>A23+(($C$19-$B$19)/$D$19)</f>
        <v>2000000</v>
      </c>
      <c r="B24" s="116">
        <f t="shared" ref="B24:B43" si="0">($B$13*A24+$C$13*A24*A24)*$G$13</f>
        <v>29561.46752068662</v>
      </c>
      <c r="C24" s="116">
        <f t="shared" ref="C24:C43" si="1">($E$13*A24+$F$13*A24*A24)*$G$13</f>
        <v>420068.45346895687</v>
      </c>
      <c r="D24" s="288">
        <f t="shared" ref="D24:D43" si="2">B24*$I$13</f>
        <v>35532883.959865317</v>
      </c>
    </row>
    <row r="25" spans="1:4" x14ac:dyDescent="0.3">
      <c r="A25" s="122">
        <f t="shared" ref="A25:A43" si="3">A24+(($C$19-$B$19)/$D$19)</f>
        <v>4000000</v>
      </c>
      <c r="B25" s="116">
        <f t="shared" si="0"/>
        <v>59130.463989929907</v>
      </c>
      <c r="C25" s="116">
        <f t="shared" si="1"/>
        <v>840243.89329690405</v>
      </c>
      <c r="D25" s="288">
        <f t="shared" si="2"/>
        <v>71074817.715895742</v>
      </c>
    </row>
    <row r="26" spans="1:4" x14ac:dyDescent="0.3">
      <c r="A26" s="122">
        <f t="shared" si="3"/>
        <v>6000000</v>
      </c>
      <c r="B26" s="116">
        <f t="shared" si="0"/>
        <v>88706.989407729881</v>
      </c>
      <c r="C26" s="116">
        <f t="shared" si="1"/>
        <v>1260526.3194838415</v>
      </c>
      <c r="D26" s="288">
        <f t="shared" si="2"/>
        <v>106625801.26809132</v>
      </c>
    </row>
    <row r="27" spans="1:4" x14ac:dyDescent="0.3">
      <c r="A27" s="122">
        <f t="shared" si="3"/>
        <v>8000000</v>
      </c>
      <c r="B27" s="116">
        <f t="shared" si="0"/>
        <v>118291.04377408652</v>
      </c>
      <c r="C27" s="116">
        <f t="shared" si="1"/>
        <v>1680915.7320297693</v>
      </c>
      <c r="D27" s="288">
        <f t="shared" si="2"/>
        <v>142185834.61645198</v>
      </c>
    </row>
    <row r="28" spans="1:4" x14ac:dyDescent="0.3">
      <c r="A28" s="122">
        <f t="shared" si="3"/>
        <v>10000000</v>
      </c>
      <c r="B28" s="116">
        <f t="shared" si="0"/>
        <v>147882.62708899984</v>
      </c>
      <c r="C28" s="116">
        <f t="shared" si="1"/>
        <v>2101412.1309346878</v>
      </c>
      <c r="D28" s="288">
        <f t="shared" si="2"/>
        <v>177754917.7609778</v>
      </c>
    </row>
    <row r="29" spans="1:4" x14ac:dyDescent="0.3">
      <c r="A29" s="122">
        <f t="shared" si="3"/>
        <v>12000000</v>
      </c>
      <c r="B29" s="116">
        <f t="shared" si="0"/>
        <v>177481.73935246983</v>
      </c>
      <c r="C29" s="116">
        <f t="shared" si="1"/>
        <v>2522015.516198596</v>
      </c>
      <c r="D29" s="288">
        <f t="shared" si="2"/>
        <v>213333050.70166874</v>
      </c>
    </row>
    <row r="30" spans="1:4" x14ac:dyDescent="0.3">
      <c r="A30" s="122">
        <f t="shared" si="3"/>
        <v>14000000</v>
      </c>
      <c r="B30" s="116">
        <f t="shared" si="0"/>
        <v>207088.38056449647</v>
      </c>
      <c r="C30" s="116">
        <f t="shared" si="1"/>
        <v>2942725.8878214951</v>
      </c>
      <c r="D30" s="288">
        <f t="shared" si="2"/>
        <v>248920233.43852475</v>
      </c>
    </row>
    <row r="31" spans="1:4" x14ac:dyDescent="0.3">
      <c r="A31" s="122">
        <f t="shared" si="3"/>
        <v>16000000</v>
      </c>
      <c r="B31" s="116">
        <f t="shared" si="0"/>
        <v>236702.55072507978</v>
      </c>
      <c r="C31" s="116">
        <f t="shared" si="1"/>
        <v>3363543.2458033841</v>
      </c>
      <c r="D31" s="288">
        <f t="shared" si="2"/>
        <v>284516465.97154588</v>
      </c>
    </row>
    <row r="32" spans="1:4" x14ac:dyDescent="0.3">
      <c r="A32" s="122">
        <f t="shared" si="3"/>
        <v>18000000</v>
      </c>
      <c r="B32" s="116">
        <f t="shared" si="0"/>
        <v>266324.24983421981</v>
      </c>
      <c r="C32" s="116">
        <f t="shared" si="1"/>
        <v>3784467.590144264</v>
      </c>
      <c r="D32" s="288">
        <f t="shared" si="2"/>
        <v>320121748.3007322</v>
      </c>
    </row>
    <row r="33" spans="1:4" x14ac:dyDescent="0.3">
      <c r="A33" s="122">
        <f t="shared" si="3"/>
        <v>20000000</v>
      </c>
      <c r="B33" s="116">
        <f t="shared" si="0"/>
        <v>295953.47789191647</v>
      </c>
      <c r="C33" s="116">
        <f t="shared" si="1"/>
        <v>4205498.920844133</v>
      </c>
      <c r="D33" s="288">
        <f t="shared" si="2"/>
        <v>355736080.42608356</v>
      </c>
    </row>
    <row r="34" spans="1:4" x14ac:dyDescent="0.3">
      <c r="A34" s="122">
        <f t="shared" si="3"/>
        <v>22000000</v>
      </c>
      <c r="B34" s="116">
        <f t="shared" si="0"/>
        <v>325590.23489816982</v>
      </c>
      <c r="C34" s="116">
        <f t="shared" si="1"/>
        <v>4626637.2379029933</v>
      </c>
      <c r="D34" s="288">
        <f t="shared" si="2"/>
        <v>391359462.3476001</v>
      </c>
    </row>
    <row r="35" spans="1:4" x14ac:dyDescent="0.3">
      <c r="A35" s="122">
        <f>A34+(($C$19-$B$19)/$D$19)</f>
        <v>24000000</v>
      </c>
      <c r="B35" s="116">
        <f t="shared" si="0"/>
        <v>355234.52085297985</v>
      </c>
      <c r="C35" s="116">
        <f t="shared" si="1"/>
        <v>5047882.5413208436</v>
      </c>
      <c r="D35" s="288">
        <f t="shared" si="2"/>
        <v>426991894.06528181</v>
      </c>
    </row>
    <row r="36" spans="1:4" x14ac:dyDescent="0.3">
      <c r="A36" s="122">
        <f t="shared" si="3"/>
        <v>26000000</v>
      </c>
      <c r="B36" s="116">
        <f t="shared" si="0"/>
        <v>384886.33575634653</v>
      </c>
      <c r="C36" s="116">
        <f t="shared" si="1"/>
        <v>5469234.8310976848</v>
      </c>
      <c r="D36" s="288">
        <f t="shared" si="2"/>
        <v>462633375.5791285</v>
      </c>
    </row>
    <row r="37" spans="1:4" x14ac:dyDescent="0.3">
      <c r="A37" s="122">
        <f t="shared" si="3"/>
        <v>28000000</v>
      </c>
      <c r="B37" s="116">
        <f t="shared" si="0"/>
        <v>414545.67960826989</v>
      </c>
      <c r="C37" s="116">
        <f t="shared" si="1"/>
        <v>5890694.1072335159</v>
      </c>
      <c r="D37" s="288">
        <f t="shared" si="2"/>
        <v>498283906.88914043</v>
      </c>
    </row>
    <row r="38" spans="1:4" x14ac:dyDescent="0.3">
      <c r="A38" s="122">
        <f t="shared" si="3"/>
        <v>30000000</v>
      </c>
      <c r="B38" s="116">
        <f t="shared" si="0"/>
        <v>444212.55240874994</v>
      </c>
      <c r="C38" s="116">
        <f t="shared" si="1"/>
        <v>6312260.369728337</v>
      </c>
      <c r="D38" s="288">
        <f t="shared" si="2"/>
        <v>533943487.9953174</v>
      </c>
    </row>
    <row r="39" spans="1:4" x14ac:dyDescent="0.3">
      <c r="A39" s="122">
        <f t="shared" si="3"/>
        <v>32000000</v>
      </c>
      <c r="B39" s="116">
        <f t="shared" si="0"/>
        <v>473886.95415778668</v>
      </c>
      <c r="C39" s="116">
        <f t="shared" si="1"/>
        <v>6733933.618582149</v>
      </c>
      <c r="D39" s="288">
        <f t="shared" si="2"/>
        <v>569612118.89765954</v>
      </c>
    </row>
    <row r="40" spans="1:4" x14ac:dyDescent="0.3">
      <c r="A40" s="122">
        <f t="shared" si="3"/>
        <v>34000000</v>
      </c>
      <c r="B40" s="116">
        <f t="shared" si="0"/>
        <v>503568.88485537999</v>
      </c>
      <c r="C40" s="116">
        <f t="shared" si="1"/>
        <v>7155713.853794951</v>
      </c>
      <c r="D40" s="288">
        <f t="shared" si="2"/>
        <v>605289799.59616673</v>
      </c>
    </row>
    <row r="41" spans="1:4" x14ac:dyDescent="0.3">
      <c r="A41" s="122">
        <f t="shared" si="3"/>
        <v>36000000</v>
      </c>
      <c r="B41" s="116">
        <f t="shared" si="0"/>
        <v>533258.34450153005</v>
      </c>
      <c r="C41" s="116">
        <f t="shared" si="1"/>
        <v>7577601.0753667438</v>
      </c>
      <c r="D41" s="288">
        <f t="shared" si="2"/>
        <v>640976530.09083915</v>
      </c>
    </row>
    <row r="42" spans="1:4" x14ac:dyDescent="0.3">
      <c r="A42" s="122">
        <f>A41+(($C$19-$B$19)/$D$19)</f>
        <v>38000000</v>
      </c>
      <c r="B42" s="116">
        <f t="shared" si="0"/>
        <v>562955.33309623681</v>
      </c>
      <c r="C42" s="116">
        <f t="shared" si="1"/>
        <v>7999595.2832975267</v>
      </c>
      <c r="D42" s="288">
        <f t="shared" si="2"/>
        <v>676672310.38167667</v>
      </c>
    </row>
    <row r="43" spans="1:4" x14ac:dyDescent="0.3">
      <c r="A43" s="122">
        <f t="shared" si="3"/>
        <v>40000000</v>
      </c>
      <c r="B43" s="116">
        <f t="shared" si="0"/>
        <v>592659.85063950031</v>
      </c>
      <c r="C43" s="116">
        <f t="shared" si="1"/>
        <v>8421696.4775872994</v>
      </c>
      <c r="D43" s="288">
        <f t="shared" si="2"/>
        <v>712377140.46867931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79998168889431442"/>
  </sheetPr>
  <dimension ref="A1:N43"/>
  <sheetViews>
    <sheetView workbookViewId="0">
      <selection activeCell="D13" sqref="D1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4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442" t="s">
        <v>105</v>
      </c>
      <c r="I2" s="443"/>
      <c r="J2" s="443"/>
      <c r="K2" s="443"/>
      <c r="L2" s="443"/>
      <c r="M2" s="443"/>
      <c r="N2" s="444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445" t="s">
        <v>136</v>
      </c>
      <c r="I3" s="446"/>
      <c r="J3" s="446"/>
      <c r="K3" s="446"/>
      <c r="L3" s="446"/>
      <c r="M3" s="446"/>
      <c r="N3" s="447"/>
    </row>
    <row r="4" spans="1:14" ht="18.600000000000001" customHeight="1" thickBot="1" x14ac:dyDescent="0.35">
      <c r="A4" s="29" t="s">
        <v>38</v>
      </c>
      <c r="B4" s="448" t="s">
        <v>131</v>
      </c>
      <c r="C4" s="449"/>
      <c r="D4" s="449"/>
      <c r="E4" s="449"/>
      <c r="F4" s="450"/>
    </row>
    <row r="6" spans="1:14" ht="14.4" thickBot="1" x14ac:dyDescent="0.35"/>
    <row r="7" spans="1:14" ht="27.6" customHeight="1" x14ac:dyDescent="0.3">
      <c r="A7" s="431" t="s">
        <v>8</v>
      </c>
      <c r="B7" s="434" t="s">
        <v>9</v>
      </c>
      <c r="C7" s="435"/>
      <c r="D7" s="451" t="s">
        <v>12</v>
      </c>
      <c r="E7" s="434"/>
      <c r="F7" s="435"/>
      <c r="G7" s="451" t="s">
        <v>143</v>
      </c>
      <c r="H7" s="434"/>
      <c r="I7" s="436"/>
      <c r="J7" s="1" t="s">
        <v>144</v>
      </c>
    </row>
    <row r="8" spans="1:14" ht="27.6" x14ac:dyDescent="0.3">
      <c r="A8" s="432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433"/>
      <c r="B9" s="112">
        <v>0</v>
      </c>
      <c r="C9" s="113">
        <v>50000000</v>
      </c>
      <c r="D9" s="114">
        <v>21601934</v>
      </c>
      <c r="E9" s="119">
        <f>($B$13*D9+$C$13*D9*D9)*$G$13</f>
        <v>402592.96987355122</v>
      </c>
      <c r="F9" s="85">
        <f>($E$13*D9+$F$13*D9*D9)*$G$13</f>
        <v>5869805.5007563764</v>
      </c>
      <c r="G9" s="120">
        <v>21601934</v>
      </c>
      <c r="H9" s="121">
        <f>($B$13*G9+$C$13*G9*G9)*$G$13</f>
        <v>402592.96987355122</v>
      </c>
      <c r="I9" s="115">
        <f>($E$13*G9+$F$13*G9*G9)*$G$13</f>
        <v>5869805.5007563764</v>
      </c>
      <c r="J9" s="123">
        <f>G9/I9</f>
        <v>3.6801788402045688</v>
      </c>
      <c r="K9" s="1" t="s">
        <v>142</v>
      </c>
    </row>
    <row r="10" spans="1:14" ht="14.4" thickBot="1" x14ac:dyDescent="0.35"/>
    <row r="11" spans="1:14" ht="50.4" customHeight="1" x14ac:dyDescent="0.3">
      <c r="A11" s="431" t="s">
        <v>42</v>
      </c>
      <c r="B11" s="434" t="s">
        <v>138</v>
      </c>
      <c r="C11" s="434"/>
      <c r="D11" s="434" t="s">
        <v>125</v>
      </c>
      <c r="E11" s="434" t="s">
        <v>137</v>
      </c>
      <c r="F11" s="434"/>
      <c r="G11" s="436" t="s">
        <v>134</v>
      </c>
      <c r="J11" s="32"/>
    </row>
    <row r="12" spans="1:14" ht="24.6" customHeight="1" x14ac:dyDescent="0.3">
      <c r="A12" s="432"/>
      <c r="B12" s="91" t="s">
        <v>43</v>
      </c>
      <c r="C12" s="91" t="s">
        <v>44</v>
      </c>
      <c r="D12" s="407"/>
      <c r="E12" s="91" t="s">
        <v>132</v>
      </c>
      <c r="F12" s="91" t="s">
        <v>133</v>
      </c>
      <c r="G12" s="437"/>
      <c r="H12" s="287" t="s">
        <v>262</v>
      </c>
      <c r="I12" s="287" t="s">
        <v>263</v>
      </c>
      <c r="J12" s="32"/>
    </row>
    <row r="13" spans="1:14" ht="14.4" thickBot="1" x14ac:dyDescent="0.35">
      <c r="A13" s="433"/>
      <c r="B13" s="12">
        <v>1.8615094382687998E-2</v>
      </c>
      <c r="C13" s="12">
        <v>1.0091848743878766E-12</v>
      </c>
      <c r="D13" s="111">
        <f>JJ_Optim_Scenario!$D$31</f>
        <v>14.58</v>
      </c>
      <c r="E13" s="12">
        <v>0.271408076099591</v>
      </c>
      <c r="F13" s="12">
        <v>1.4713915468575239E-11</v>
      </c>
      <c r="G13" s="14">
        <v>1</v>
      </c>
      <c r="H13" s="180">
        <f>JJ_Optim_Scenario!$I$31</f>
        <v>104.31</v>
      </c>
      <c r="I13" s="180">
        <f>JJ_Optim_Scenario!$F$31</f>
        <v>1319</v>
      </c>
      <c r="J13" s="32"/>
    </row>
    <row r="14" spans="1:14" ht="31.8" customHeight="1" x14ac:dyDescent="0.3">
      <c r="A14" s="438" t="s">
        <v>135</v>
      </c>
      <c r="B14" s="438"/>
      <c r="C14" s="438"/>
      <c r="D14" s="438"/>
      <c r="E14" s="438"/>
      <c r="F14" s="438"/>
      <c r="G14" s="438"/>
      <c r="H14" s="39"/>
      <c r="I14" s="39"/>
      <c r="J14" s="39"/>
    </row>
    <row r="15" spans="1:14" ht="30.6" customHeight="1" x14ac:dyDescent="0.3">
      <c r="A15" s="439"/>
      <c r="B15" s="439"/>
      <c r="C15" s="439"/>
      <c r="D15" s="439"/>
      <c r="E15" s="439"/>
      <c r="F15" s="439"/>
      <c r="G15" s="439"/>
      <c r="H15" s="39"/>
      <c r="I15" s="39"/>
      <c r="J15" s="39"/>
    </row>
    <row r="17" spans="1:4" ht="14.4" thickBot="1" x14ac:dyDescent="0.35"/>
    <row r="18" spans="1:4" ht="16.8" customHeight="1" x14ac:dyDescent="0.3">
      <c r="A18" s="440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441"/>
      <c r="B19" s="103">
        <v>0</v>
      </c>
      <c r="C19" s="103">
        <v>60000000</v>
      </c>
      <c r="D19" s="26">
        <v>20</v>
      </c>
    </row>
    <row r="21" spans="1:4" x14ac:dyDescent="0.3">
      <c r="A21" s="407" t="s">
        <v>37</v>
      </c>
      <c r="B21" s="407"/>
      <c r="C21" s="407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87" t="s">
        <v>264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88">
        <f>B23*$I$13</f>
        <v>0</v>
      </c>
    </row>
    <row r="24" spans="1:4" x14ac:dyDescent="0.3">
      <c r="A24" s="122">
        <f>A23+(($C$19-$B$19)/$D$19)</f>
        <v>3000000</v>
      </c>
      <c r="B24" s="116">
        <f t="shared" ref="B24:B43" si="0">$B$13*A24+$C$13*A24*A24</f>
        <v>55854.365811933487</v>
      </c>
      <c r="C24" s="116">
        <f t="shared" ref="C24:C43" si="1">$E$13*A24+$F$13*A24*A24</f>
        <v>814356.65353799029</v>
      </c>
      <c r="D24" s="288">
        <f t="shared" ref="D24:D43" si="2">B24*$I$13</f>
        <v>73671908.505940273</v>
      </c>
    </row>
    <row r="25" spans="1:4" x14ac:dyDescent="0.3">
      <c r="A25" s="122">
        <f t="shared" ref="A25:A43" si="3">A24+(($C$19-$B$19)/$D$19)</f>
        <v>6000000</v>
      </c>
      <c r="B25" s="116">
        <f t="shared" si="0"/>
        <v>111726.89695160596</v>
      </c>
      <c r="C25" s="116">
        <f t="shared" si="1"/>
        <v>1628978.1575544148</v>
      </c>
      <c r="D25" s="288">
        <f t="shared" si="2"/>
        <v>147367777.07916826</v>
      </c>
    </row>
    <row r="26" spans="1:4" x14ac:dyDescent="0.3">
      <c r="A26" s="122">
        <f t="shared" si="3"/>
        <v>9000000</v>
      </c>
      <c r="B26" s="116">
        <f t="shared" si="0"/>
        <v>167617.59341901742</v>
      </c>
      <c r="C26" s="116">
        <f t="shared" si="1"/>
        <v>2443864.5120492736</v>
      </c>
      <c r="D26" s="288">
        <f t="shared" si="2"/>
        <v>221087605.71968397</v>
      </c>
    </row>
    <row r="27" spans="1:4" x14ac:dyDescent="0.3">
      <c r="A27" s="122">
        <f t="shared" si="3"/>
        <v>12000000</v>
      </c>
      <c r="B27" s="116">
        <f t="shared" si="0"/>
        <v>223526.45521416783</v>
      </c>
      <c r="C27" s="116">
        <f t="shared" si="1"/>
        <v>3259015.7170225671</v>
      </c>
      <c r="D27" s="288">
        <f t="shared" si="2"/>
        <v>294831394.42748737</v>
      </c>
    </row>
    <row r="28" spans="1:4" x14ac:dyDescent="0.3">
      <c r="A28" s="122">
        <f t="shared" si="3"/>
        <v>15000000</v>
      </c>
      <c r="B28" s="116">
        <f t="shared" si="0"/>
        <v>279453.48233705724</v>
      </c>
      <c r="C28" s="116">
        <f t="shared" si="1"/>
        <v>4074431.7724742941</v>
      </c>
      <c r="D28" s="288">
        <f t="shared" si="2"/>
        <v>368599143.20257849</v>
      </c>
    </row>
    <row r="29" spans="1:4" x14ac:dyDescent="0.3">
      <c r="A29" s="122">
        <f t="shared" si="3"/>
        <v>18000000</v>
      </c>
      <c r="B29" s="116">
        <f t="shared" si="0"/>
        <v>335398.67478768562</v>
      </c>
      <c r="C29" s="116">
        <f t="shared" si="1"/>
        <v>4890112.6784044569</v>
      </c>
      <c r="D29" s="288">
        <f t="shared" si="2"/>
        <v>442390852.04495734</v>
      </c>
    </row>
    <row r="30" spans="1:4" x14ac:dyDescent="0.3">
      <c r="A30" s="122">
        <f t="shared" si="3"/>
        <v>21000000</v>
      </c>
      <c r="B30" s="116">
        <f t="shared" si="0"/>
        <v>391362.03256605304</v>
      </c>
      <c r="C30" s="116">
        <f t="shared" si="1"/>
        <v>5706058.4348130533</v>
      </c>
      <c r="D30" s="288">
        <f t="shared" si="2"/>
        <v>516206520.95462394</v>
      </c>
    </row>
    <row r="31" spans="1:4" x14ac:dyDescent="0.3">
      <c r="A31" s="122">
        <f t="shared" si="3"/>
        <v>24000000</v>
      </c>
      <c r="B31" s="116">
        <f t="shared" si="0"/>
        <v>447343.55567215936</v>
      </c>
      <c r="C31" s="116">
        <f t="shared" si="1"/>
        <v>6522269.0417000838</v>
      </c>
      <c r="D31" s="288">
        <f t="shared" si="2"/>
        <v>590046149.93157816</v>
      </c>
    </row>
    <row r="32" spans="1:4" x14ac:dyDescent="0.3">
      <c r="A32" s="122">
        <f t="shared" si="3"/>
        <v>27000000</v>
      </c>
      <c r="B32" s="116">
        <f t="shared" si="0"/>
        <v>503343.24410600471</v>
      </c>
      <c r="C32" s="116">
        <f t="shared" si="1"/>
        <v>7338744.4990655482</v>
      </c>
      <c r="D32" s="288">
        <f t="shared" si="2"/>
        <v>663909738.97582018</v>
      </c>
    </row>
    <row r="33" spans="1:4" x14ac:dyDescent="0.3">
      <c r="A33" s="122">
        <f t="shared" si="3"/>
        <v>30000000</v>
      </c>
      <c r="B33" s="116">
        <f t="shared" si="0"/>
        <v>559361.09786758909</v>
      </c>
      <c r="C33" s="116">
        <f t="shared" si="1"/>
        <v>8155484.8069094475</v>
      </c>
      <c r="D33" s="288">
        <f t="shared" si="2"/>
        <v>737797288.08735001</v>
      </c>
    </row>
    <row r="34" spans="1:4" x14ac:dyDescent="0.3">
      <c r="A34" s="122">
        <f t="shared" si="3"/>
        <v>33000000</v>
      </c>
      <c r="B34" s="116">
        <f t="shared" si="0"/>
        <v>615397.11695691233</v>
      </c>
      <c r="C34" s="116">
        <f t="shared" si="1"/>
        <v>8972489.9652317818</v>
      </c>
      <c r="D34" s="288">
        <f t="shared" si="2"/>
        <v>811708797.2661674</v>
      </c>
    </row>
    <row r="35" spans="1:4" x14ac:dyDescent="0.3">
      <c r="A35" s="122">
        <f>A34+(($C$19-$B$19)/$D$19)</f>
        <v>36000000</v>
      </c>
      <c r="B35" s="116">
        <f t="shared" si="0"/>
        <v>671451.30137397465</v>
      </c>
      <c r="C35" s="116">
        <f t="shared" si="1"/>
        <v>9789759.9740325511</v>
      </c>
      <c r="D35" s="288">
        <f t="shared" si="2"/>
        <v>885644266.5122726</v>
      </c>
    </row>
    <row r="36" spans="1:4" x14ac:dyDescent="0.3">
      <c r="A36" s="122">
        <f t="shared" si="3"/>
        <v>39000000</v>
      </c>
      <c r="B36" s="116">
        <f t="shared" si="0"/>
        <v>727523.65111877583</v>
      </c>
      <c r="C36" s="116">
        <f t="shared" si="1"/>
        <v>10607294.833311751</v>
      </c>
      <c r="D36" s="288">
        <f t="shared" si="2"/>
        <v>959603695.82566535</v>
      </c>
    </row>
    <row r="37" spans="1:4" x14ac:dyDescent="0.3">
      <c r="A37" s="122">
        <f t="shared" si="3"/>
        <v>42000000</v>
      </c>
      <c r="B37" s="116">
        <f t="shared" si="0"/>
        <v>783614.16619131609</v>
      </c>
      <c r="C37" s="116">
        <f t="shared" si="1"/>
        <v>11425094.543069389</v>
      </c>
      <c r="D37" s="288">
        <f t="shared" si="2"/>
        <v>1033587085.2063459</v>
      </c>
    </row>
    <row r="38" spans="1:4" x14ac:dyDescent="0.3">
      <c r="A38" s="122">
        <f t="shared" si="3"/>
        <v>45000000</v>
      </c>
      <c r="B38" s="116">
        <f t="shared" si="0"/>
        <v>839722.84659159533</v>
      </c>
      <c r="C38" s="116">
        <f t="shared" si="1"/>
        <v>12243159.103305459</v>
      </c>
      <c r="D38" s="288">
        <f t="shared" si="2"/>
        <v>1107594434.6543143</v>
      </c>
    </row>
    <row r="39" spans="1:4" x14ac:dyDescent="0.3">
      <c r="A39" s="122">
        <f t="shared" si="3"/>
        <v>48000000</v>
      </c>
      <c r="B39" s="116">
        <f t="shared" si="0"/>
        <v>895849.69231961353</v>
      </c>
      <c r="C39" s="116">
        <f t="shared" si="1"/>
        <v>13061488.514019966</v>
      </c>
      <c r="D39" s="288">
        <f t="shared" si="2"/>
        <v>1181625744.1695702</v>
      </c>
    </row>
    <row r="40" spans="1:4" x14ac:dyDescent="0.3">
      <c r="A40" s="122">
        <f t="shared" si="3"/>
        <v>51000000</v>
      </c>
      <c r="B40" s="116">
        <f t="shared" si="0"/>
        <v>951994.70337537082</v>
      </c>
      <c r="C40" s="116">
        <f t="shared" si="1"/>
        <v>13880082.775212904</v>
      </c>
      <c r="D40" s="288">
        <f t="shared" si="2"/>
        <v>1255681013.7521141</v>
      </c>
    </row>
    <row r="41" spans="1:4" x14ac:dyDescent="0.3">
      <c r="A41" s="122">
        <f t="shared" si="3"/>
        <v>54000000</v>
      </c>
      <c r="B41" s="116">
        <f t="shared" si="0"/>
        <v>1008157.879758867</v>
      </c>
      <c r="C41" s="116">
        <f t="shared" si="1"/>
        <v>14698941.886884278</v>
      </c>
      <c r="D41" s="288">
        <f t="shared" si="2"/>
        <v>1329760243.4019456</v>
      </c>
    </row>
    <row r="42" spans="1:4" x14ac:dyDescent="0.3">
      <c r="A42" s="122">
        <f>A41+(($C$19-$B$19)/$D$19)</f>
        <v>57000000</v>
      </c>
      <c r="B42" s="116">
        <f t="shared" si="0"/>
        <v>1064339.2214701022</v>
      </c>
      <c r="C42" s="116">
        <f t="shared" si="1"/>
        <v>15518065.849034088</v>
      </c>
      <c r="D42" s="288">
        <f t="shared" si="2"/>
        <v>1403863433.1190648</v>
      </c>
    </row>
    <row r="43" spans="1:4" x14ac:dyDescent="0.3">
      <c r="A43" s="122">
        <f t="shared" si="3"/>
        <v>60000000</v>
      </c>
      <c r="B43" s="116">
        <f t="shared" si="0"/>
        <v>1120538.7285090764</v>
      </c>
      <c r="C43" s="116">
        <f t="shared" si="1"/>
        <v>16337454.661662331</v>
      </c>
      <c r="D43" s="288">
        <f t="shared" si="2"/>
        <v>1477990582.9034717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79998168889431442"/>
  </sheetPr>
  <dimension ref="A1:N43"/>
  <sheetViews>
    <sheetView workbookViewId="0">
      <selection activeCell="E13" sqref="E1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442" t="s">
        <v>105</v>
      </c>
      <c r="I2" s="443"/>
      <c r="J2" s="443"/>
      <c r="K2" s="443"/>
      <c r="L2" s="443"/>
      <c r="M2" s="443"/>
      <c r="N2" s="444"/>
    </row>
    <row r="3" spans="1:14" ht="14.4" thickBot="1" x14ac:dyDescent="0.35">
      <c r="A3" s="11" t="s">
        <v>3</v>
      </c>
      <c r="B3" s="12" t="s">
        <v>95</v>
      </c>
      <c r="C3" s="13" t="s">
        <v>5</v>
      </c>
      <c r="D3" s="14" t="s">
        <v>7</v>
      </c>
      <c r="E3" s="13" t="s">
        <v>109</v>
      </c>
      <c r="F3" s="14"/>
      <c r="H3" s="445" t="s">
        <v>136</v>
      </c>
      <c r="I3" s="446"/>
      <c r="J3" s="446"/>
      <c r="K3" s="446"/>
      <c r="L3" s="446"/>
      <c r="M3" s="446"/>
      <c r="N3" s="447"/>
    </row>
    <row r="4" spans="1:14" ht="18.600000000000001" customHeight="1" thickBot="1" x14ac:dyDescent="0.35">
      <c r="A4" s="29" t="s">
        <v>38</v>
      </c>
      <c r="B4" s="448" t="s">
        <v>131</v>
      </c>
      <c r="C4" s="449"/>
      <c r="D4" s="449"/>
      <c r="E4" s="449"/>
      <c r="F4" s="450"/>
    </row>
    <row r="6" spans="1:14" ht="14.4" thickBot="1" x14ac:dyDescent="0.35"/>
    <row r="7" spans="1:14" ht="27.6" customHeight="1" x14ac:dyDescent="0.3">
      <c r="A7" s="431" t="s">
        <v>8</v>
      </c>
      <c r="B7" s="434" t="s">
        <v>9</v>
      </c>
      <c r="C7" s="435"/>
      <c r="D7" s="451" t="s">
        <v>12</v>
      </c>
      <c r="E7" s="434"/>
      <c r="F7" s="435"/>
      <c r="G7" s="451" t="s">
        <v>143</v>
      </c>
      <c r="H7" s="434"/>
      <c r="I7" s="436"/>
      <c r="J7" s="1" t="s">
        <v>144</v>
      </c>
    </row>
    <row r="8" spans="1:14" ht="27.6" x14ac:dyDescent="0.3">
      <c r="A8" s="432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433"/>
      <c r="B9" s="112">
        <f>JJ_Optim_Scenario!E19</f>
        <v>3804716</v>
      </c>
      <c r="C9" s="113">
        <f>JJ_Optim_Scenario!H19</f>
        <v>4185187.6000000006</v>
      </c>
      <c r="D9" s="114">
        <f>JJ_Optim_Scenario!I19</f>
        <v>3424244.4</v>
      </c>
      <c r="E9" s="119">
        <f>($B$13*D9+$C$13*D9*D9)*$G$13</f>
        <v>11752.308384638445</v>
      </c>
      <c r="F9" s="85">
        <f>($E$13*D9+$F$13*D9*D9)*$G$13</f>
        <v>171348.65624802854</v>
      </c>
      <c r="G9" s="120">
        <f>JJ_Optim_Scenario!E19</f>
        <v>3804716</v>
      </c>
      <c r="H9" s="121">
        <f>($B$13*G9+$C$13*G9*G9)*$G$13</f>
        <v>13058.170083390574</v>
      </c>
      <c r="I9" s="115">
        <f>($E$13*G9+$F$13*G9*G9)*$G$13</f>
        <v>190388.11981583459</v>
      </c>
      <c r="J9" s="123">
        <f>G9/I9</f>
        <v>19.983999020949213</v>
      </c>
      <c r="K9" s="1" t="s">
        <v>142</v>
      </c>
    </row>
    <row r="10" spans="1:14" ht="14.4" thickBot="1" x14ac:dyDescent="0.35"/>
    <row r="11" spans="1:14" ht="50.4" customHeight="1" x14ac:dyDescent="0.3">
      <c r="A11" s="431" t="s">
        <v>42</v>
      </c>
      <c r="B11" s="434" t="s">
        <v>138</v>
      </c>
      <c r="C11" s="434"/>
      <c r="D11" s="434" t="s">
        <v>125</v>
      </c>
      <c r="E11" s="434" t="s">
        <v>137</v>
      </c>
      <c r="F11" s="434"/>
      <c r="G11" s="436" t="s">
        <v>134</v>
      </c>
      <c r="J11" s="32"/>
    </row>
    <row r="12" spans="1:14" ht="24.6" customHeight="1" x14ac:dyDescent="0.3">
      <c r="A12" s="432"/>
      <c r="B12" s="91" t="s">
        <v>43</v>
      </c>
      <c r="C12" s="91" t="s">
        <v>44</v>
      </c>
      <c r="D12" s="407"/>
      <c r="E12" s="91" t="s">
        <v>132</v>
      </c>
      <c r="F12" s="91" t="s">
        <v>133</v>
      </c>
      <c r="G12" s="437"/>
      <c r="H12" s="287" t="s">
        <v>262</v>
      </c>
      <c r="I12" s="287" t="s">
        <v>263</v>
      </c>
      <c r="J12" s="32"/>
    </row>
    <row r="13" spans="1:14" ht="14.4" thickBot="1" x14ac:dyDescent="0.35">
      <c r="A13" s="433"/>
      <c r="B13" s="12">
        <v>3.4319706183708132E-3</v>
      </c>
      <c r="C13" s="12">
        <v>3.4302626130901291E-14</v>
      </c>
      <c r="D13" s="111">
        <f>JJ_Optim_Scenario!$D$31</f>
        <v>14.58</v>
      </c>
      <c r="E13" s="12">
        <v>5.0038131615846457E-2</v>
      </c>
      <c r="F13" s="12">
        <v>5.0013228898854081E-13</v>
      </c>
      <c r="G13" s="285">
        <f>JJ_Optim_Scenario!D19</f>
        <v>1</v>
      </c>
      <c r="H13" s="180">
        <f>JJ_Optim_Scenario!$I$31</f>
        <v>104.31</v>
      </c>
      <c r="I13" s="180">
        <f>JJ_Optim_Scenario!$F$31</f>
        <v>1319</v>
      </c>
      <c r="J13" s="32"/>
    </row>
    <row r="14" spans="1:14" ht="31.8" customHeight="1" x14ac:dyDescent="0.3">
      <c r="A14" s="438" t="s">
        <v>135</v>
      </c>
      <c r="B14" s="438"/>
      <c r="C14" s="438"/>
      <c r="D14" s="438"/>
      <c r="E14" s="438"/>
      <c r="F14" s="438"/>
      <c r="G14" s="438"/>
      <c r="H14" s="39"/>
      <c r="I14" s="39"/>
      <c r="J14" s="39"/>
    </row>
    <row r="15" spans="1:14" ht="30.6" customHeight="1" x14ac:dyDescent="0.3">
      <c r="A15" s="439"/>
      <c r="B15" s="439"/>
      <c r="C15" s="439"/>
      <c r="D15" s="439"/>
      <c r="E15" s="439"/>
      <c r="F15" s="439"/>
      <c r="G15" s="439"/>
      <c r="H15" s="39"/>
      <c r="I15" s="39"/>
      <c r="J15" s="39"/>
    </row>
    <row r="17" spans="1:4" ht="14.4" thickBot="1" x14ac:dyDescent="0.35"/>
    <row r="18" spans="1:4" ht="16.8" customHeight="1" x14ac:dyDescent="0.3">
      <c r="A18" s="440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441"/>
      <c r="B19" s="103">
        <v>0</v>
      </c>
      <c r="C19" s="103">
        <v>10000000</v>
      </c>
      <c r="D19" s="26">
        <v>20</v>
      </c>
    </row>
    <row r="21" spans="1:4" x14ac:dyDescent="0.3">
      <c r="A21" s="407" t="s">
        <v>37</v>
      </c>
      <c r="B21" s="407"/>
      <c r="C21" s="407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87" t="s">
        <v>264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288">
        <f>B23*$I$13</f>
        <v>0</v>
      </c>
    </row>
    <row r="24" spans="1:4" x14ac:dyDescent="0.3">
      <c r="A24" s="122">
        <f>A23+(($C$19-$B$19)/$D$19)</f>
        <v>500000</v>
      </c>
      <c r="B24" s="116">
        <f t="shared" ref="B24:B43" si="0">($B$13*A24+$C$13*A24*A24)*$G$13</f>
        <v>1715.9938848419392</v>
      </c>
      <c r="C24" s="116">
        <f t="shared" ref="C24:C43" si="1">($E$13*A24+$F$13*A24*A24)*$G$13</f>
        <v>25019.190840995474</v>
      </c>
      <c r="D24" s="288">
        <f t="shared" ref="D24:D43" si="2">B24*$I$13</f>
        <v>2263395.934106518</v>
      </c>
    </row>
    <row r="25" spans="1:4" x14ac:dyDescent="0.3">
      <c r="A25" s="122">
        <f t="shared" ref="A25:A43" si="3">A24+(($C$19-$B$19)/$D$19)</f>
        <v>1000000</v>
      </c>
      <c r="B25" s="116">
        <f t="shared" si="0"/>
        <v>3432.0049209969438</v>
      </c>
      <c r="C25" s="116">
        <f t="shared" si="1"/>
        <v>50038.631748135442</v>
      </c>
      <c r="D25" s="288">
        <f t="shared" si="2"/>
        <v>4526814.4907949688</v>
      </c>
    </row>
    <row r="26" spans="1:4" x14ac:dyDescent="0.3">
      <c r="A26" s="122">
        <f t="shared" si="3"/>
        <v>1500000</v>
      </c>
      <c r="B26" s="116">
        <f t="shared" si="0"/>
        <v>5148.0331084650143</v>
      </c>
      <c r="C26" s="116">
        <f t="shared" si="1"/>
        <v>75058.322721419914</v>
      </c>
      <c r="D26" s="288">
        <f t="shared" si="2"/>
        <v>6790255.6700653536</v>
      </c>
    </row>
    <row r="27" spans="1:4" x14ac:dyDescent="0.3">
      <c r="A27" s="122">
        <f t="shared" si="3"/>
        <v>2000000</v>
      </c>
      <c r="B27" s="116">
        <f t="shared" si="0"/>
        <v>6864.0784472461501</v>
      </c>
      <c r="C27" s="116">
        <f t="shared" si="1"/>
        <v>100078.26376084886</v>
      </c>
      <c r="D27" s="288">
        <f t="shared" si="2"/>
        <v>9053719.4719176721</v>
      </c>
    </row>
    <row r="28" spans="1:4" x14ac:dyDescent="0.3">
      <c r="A28" s="122">
        <f t="shared" si="3"/>
        <v>2500000</v>
      </c>
      <c r="B28" s="116">
        <f t="shared" si="0"/>
        <v>8580.1409373403512</v>
      </c>
      <c r="C28" s="116">
        <f t="shared" si="1"/>
        <v>125098.45486642233</v>
      </c>
      <c r="D28" s="288">
        <f t="shared" si="2"/>
        <v>11317205.896351924</v>
      </c>
    </row>
    <row r="29" spans="1:4" x14ac:dyDescent="0.3">
      <c r="A29" s="122">
        <f t="shared" si="3"/>
        <v>3000000</v>
      </c>
      <c r="B29" s="116">
        <f t="shared" si="0"/>
        <v>10296.220578747618</v>
      </c>
      <c r="C29" s="116">
        <f t="shared" si="1"/>
        <v>150118.89603814026</v>
      </c>
      <c r="D29" s="288">
        <f t="shared" si="2"/>
        <v>13580714.943368107</v>
      </c>
    </row>
    <row r="30" spans="1:4" x14ac:dyDescent="0.3">
      <c r="A30" s="122">
        <f t="shared" si="3"/>
        <v>3500000</v>
      </c>
      <c r="B30" s="116">
        <f t="shared" si="0"/>
        <v>12012.317371467951</v>
      </c>
      <c r="C30" s="116">
        <f t="shared" si="1"/>
        <v>175139.58727600271</v>
      </c>
      <c r="D30" s="288">
        <f t="shared" si="2"/>
        <v>15844246.612966226</v>
      </c>
    </row>
    <row r="31" spans="1:4" x14ac:dyDescent="0.3">
      <c r="A31" s="122">
        <f t="shared" si="3"/>
        <v>4000000</v>
      </c>
      <c r="B31" s="116">
        <f t="shared" si="0"/>
        <v>13728.431315501346</v>
      </c>
      <c r="C31" s="116">
        <f t="shared" si="1"/>
        <v>200160.52858000965</v>
      </c>
      <c r="D31" s="288">
        <f t="shared" si="2"/>
        <v>18107800.905146275</v>
      </c>
    </row>
    <row r="32" spans="1:4" x14ac:dyDescent="0.3">
      <c r="A32" s="122">
        <f t="shared" si="3"/>
        <v>4500000</v>
      </c>
      <c r="B32" s="116">
        <f t="shared" si="0"/>
        <v>15444.562410847811</v>
      </c>
      <c r="C32" s="116">
        <f t="shared" si="1"/>
        <v>225181.71995016106</v>
      </c>
      <c r="D32" s="288">
        <f t="shared" si="2"/>
        <v>20371377.819908265</v>
      </c>
    </row>
    <row r="33" spans="1:4" x14ac:dyDescent="0.3">
      <c r="A33" s="122">
        <f t="shared" si="3"/>
        <v>5000000</v>
      </c>
      <c r="B33" s="116">
        <f t="shared" si="0"/>
        <v>17160.710657507341</v>
      </c>
      <c r="C33" s="116">
        <f t="shared" si="1"/>
        <v>250203.16138645701</v>
      </c>
      <c r="D33" s="288">
        <f t="shared" si="2"/>
        <v>22634977.357252184</v>
      </c>
    </row>
    <row r="34" spans="1:4" x14ac:dyDescent="0.3">
      <c r="A34" s="122">
        <f t="shared" si="3"/>
        <v>5500000</v>
      </c>
      <c r="B34" s="116">
        <f t="shared" si="0"/>
        <v>18876.876055479934</v>
      </c>
      <c r="C34" s="116">
        <f t="shared" si="1"/>
        <v>275224.85288889741</v>
      </c>
      <c r="D34" s="288">
        <f t="shared" si="2"/>
        <v>24898599.517178033</v>
      </c>
    </row>
    <row r="35" spans="1:4" x14ac:dyDescent="0.3">
      <c r="A35" s="122">
        <f>A34+(($C$19-$B$19)/$D$19)</f>
        <v>6000000</v>
      </c>
      <c r="B35" s="116">
        <f t="shared" si="0"/>
        <v>20593.058604765592</v>
      </c>
      <c r="C35" s="116">
        <f t="shared" si="1"/>
        <v>300246.79445748235</v>
      </c>
      <c r="D35" s="288">
        <f t="shared" si="2"/>
        <v>27162244.299685817</v>
      </c>
    </row>
    <row r="36" spans="1:4" x14ac:dyDescent="0.3">
      <c r="A36" s="122">
        <f t="shared" si="3"/>
        <v>6500000</v>
      </c>
      <c r="B36" s="116">
        <f t="shared" si="0"/>
        <v>22309.258305364314</v>
      </c>
      <c r="C36" s="116">
        <f t="shared" si="1"/>
        <v>325268.98609221174</v>
      </c>
      <c r="D36" s="288">
        <f t="shared" si="2"/>
        <v>29425911.704775531</v>
      </c>
    </row>
    <row r="37" spans="1:4" x14ac:dyDescent="0.3">
      <c r="A37" s="122">
        <f t="shared" si="3"/>
        <v>7000000</v>
      </c>
      <c r="B37" s="116">
        <f t="shared" si="0"/>
        <v>24025.475157276109</v>
      </c>
      <c r="C37" s="116">
        <f t="shared" si="1"/>
        <v>350291.42779308563</v>
      </c>
      <c r="D37" s="288">
        <f t="shared" si="2"/>
        <v>31689601.732447188</v>
      </c>
    </row>
    <row r="38" spans="1:4" x14ac:dyDescent="0.3">
      <c r="A38" s="122">
        <f t="shared" si="3"/>
        <v>7500000</v>
      </c>
      <c r="B38" s="116">
        <f t="shared" si="0"/>
        <v>25741.709160500963</v>
      </c>
      <c r="C38" s="116">
        <f t="shared" si="1"/>
        <v>375314.11956010404</v>
      </c>
      <c r="D38" s="288">
        <f t="shared" si="2"/>
        <v>33953314.382700771</v>
      </c>
    </row>
    <row r="39" spans="1:4" x14ac:dyDescent="0.3">
      <c r="A39" s="122">
        <f t="shared" si="3"/>
        <v>8000000</v>
      </c>
      <c r="B39" s="116">
        <f t="shared" si="0"/>
        <v>27457.960315038883</v>
      </c>
      <c r="C39" s="116">
        <f t="shared" si="1"/>
        <v>400337.06139326689</v>
      </c>
      <c r="D39" s="288">
        <f t="shared" si="2"/>
        <v>36217049.655536287</v>
      </c>
    </row>
    <row r="40" spans="1:4" x14ac:dyDescent="0.3">
      <c r="A40" s="122">
        <f t="shared" si="3"/>
        <v>8500000</v>
      </c>
      <c r="B40" s="116">
        <f t="shared" si="0"/>
        <v>29174.228620889873</v>
      </c>
      <c r="C40" s="116">
        <f t="shared" si="1"/>
        <v>425360.25329257431</v>
      </c>
      <c r="D40" s="288">
        <f t="shared" si="2"/>
        <v>38480807.550953746</v>
      </c>
    </row>
    <row r="41" spans="1:4" x14ac:dyDescent="0.3">
      <c r="A41" s="122">
        <f t="shared" si="3"/>
        <v>9000000</v>
      </c>
      <c r="B41" s="116">
        <f t="shared" si="0"/>
        <v>30890.514078053922</v>
      </c>
      <c r="C41" s="116">
        <f t="shared" si="1"/>
        <v>450383.69525802619</v>
      </c>
      <c r="D41" s="288">
        <f t="shared" si="2"/>
        <v>40744588.068953127</v>
      </c>
    </row>
    <row r="42" spans="1:4" x14ac:dyDescent="0.3">
      <c r="A42" s="122">
        <f>A41+(($C$19-$B$19)/$D$19)</f>
        <v>9500000</v>
      </c>
      <c r="B42" s="116">
        <f t="shared" si="0"/>
        <v>32606.816686531038</v>
      </c>
      <c r="C42" s="116">
        <f t="shared" si="1"/>
        <v>475407.38728962251</v>
      </c>
      <c r="D42" s="288">
        <f t="shared" si="2"/>
        <v>43008391.209534436</v>
      </c>
    </row>
    <row r="43" spans="1:4" x14ac:dyDescent="0.3">
      <c r="A43" s="122">
        <f t="shared" si="3"/>
        <v>10000000</v>
      </c>
      <c r="B43" s="116">
        <f t="shared" si="0"/>
        <v>34323.136446321223</v>
      </c>
      <c r="C43" s="116">
        <f t="shared" si="1"/>
        <v>500431.32938736345</v>
      </c>
      <c r="D43" s="288">
        <f t="shared" si="2"/>
        <v>45272216.97269769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79998168889431442"/>
  </sheetPr>
  <dimension ref="A1:Y50"/>
  <sheetViews>
    <sheetView topLeftCell="B1" workbookViewId="0">
      <selection activeCell="C11" sqref="C11"/>
    </sheetView>
  </sheetViews>
  <sheetFormatPr defaultRowHeight="13.8" x14ac:dyDescent="0.3"/>
  <cols>
    <col min="1" max="1" width="13" style="1" customWidth="1"/>
    <col min="2" max="2" width="18.44140625" style="1" customWidth="1"/>
    <col min="3" max="3" width="11" style="1" customWidth="1"/>
    <col min="4" max="4" width="12.109375" style="1" customWidth="1"/>
    <col min="5" max="5" width="19.5546875" style="1" customWidth="1"/>
    <col min="6" max="6" width="19.33203125" style="1" customWidth="1"/>
    <col min="7" max="7" width="15.21875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9" style="1" bestFit="1" customWidth="1"/>
    <col min="12" max="12" width="12.33203125" style="1" bestFit="1" customWidth="1"/>
    <col min="13" max="13" width="11.44140625" style="1" bestFit="1" customWidth="1"/>
    <col min="14" max="15" width="12.33203125" style="1" bestFit="1" customWidth="1"/>
    <col min="16" max="16" width="8.88671875" style="1"/>
    <col min="17" max="17" width="14.21875" style="1" customWidth="1"/>
    <col min="18" max="16384" width="8.88671875" style="1"/>
  </cols>
  <sheetData>
    <row r="1" spans="1:25" ht="14.4" thickBot="1" x14ac:dyDescent="0.35">
      <c r="A1" s="6" t="s">
        <v>0</v>
      </c>
      <c r="B1" s="1" t="s">
        <v>157</v>
      </c>
    </row>
    <row r="2" spans="1:25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M2" s="408" t="s">
        <v>105</v>
      </c>
      <c r="N2" s="409"/>
      <c r="O2" s="409"/>
      <c r="P2" s="409"/>
      <c r="Q2" s="409"/>
      <c r="R2" s="409"/>
      <c r="S2" s="410"/>
    </row>
    <row r="3" spans="1:25" ht="14.4" thickBot="1" x14ac:dyDescent="0.35">
      <c r="A3" s="11" t="s">
        <v>3</v>
      </c>
      <c r="B3" s="12" t="s">
        <v>94</v>
      </c>
      <c r="C3" s="13" t="s">
        <v>5</v>
      </c>
      <c r="D3" s="14" t="s">
        <v>7</v>
      </c>
      <c r="E3" s="13" t="s">
        <v>109</v>
      </c>
      <c r="F3" s="14"/>
      <c r="M3" s="411" t="s">
        <v>72</v>
      </c>
      <c r="N3" s="412"/>
      <c r="O3" s="412"/>
      <c r="P3" s="412"/>
      <c r="Q3" s="412"/>
      <c r="R3" s="412"/>
      <c r="S3" s="413"/>
    </row>
    <row r="4" spans="1:25" ht="15" customHeight="1" thickBot="1" x14ac:dyDescent="0.35">
      <c r="A4" s="29" t="s">
        <v>38</v>
      </c>
      <c r="B4" s="448" t="s">
        <v>57</v>
      </c>
      <c r="C4" s="449"/>
      <c r="D4" s="449"/>
      <c r="E4" s="449"/>
      <c r="F4" s="450"/>
    </row>
    <row r="6" spans="1:25" ht="14.4" thickBot="1" x14ac:dyDescent="0.35"/>
    <row r="7" spans="1:25" ht="27.6" customHeight="1" x14ac:dyDescent="0.3">
      <c r="A7" s="431" t="s">
        <v>8</v>
      </c>
      <c r="B7" s="434" t="s">
        <v>9</v>
      </c>
      <c r="C7" s="434"/>
      <c r="D7" s="434" t="s">
        <v>12</v>
      </c>
      <c r="E7" s="434"/>
      <c r="F7" s="434"/>
      <c r="G7" s="434" t="s">
        <v>143</v>
      </c>
      <c r="H7" s="434"/>
      <c r="I7" s="436"/>
      <c r="J7" s="452" t="s">
        <v>144</v>
      </c>
      <c r="K7" s="453"/>
      <c r="M7" s="463" t="s">
        <v>73</v>
      </c>
      <c r="N7" s="463"/>
      <c r="O7" s="463"/>
      <c r="P7" s="463"/>
      <c r="R7" s="47" t="s">
        <v>58</v>
      </c>
    </row>
    <row r="8" spans="1:25" ht="27.6" x14ac:dyDescent="0.3">
      <c r="A8" s="432"/>
      <c r="B8" s="91" t="s">
        <v>10</v>
      </c>
      <c r="C8" s="91" t="s">
        <v>11</v>
      </c>
      <c r="D8" s="91" t="s">
        <v>20</v>
      </c>
      <c r="E8" s="91" t="s">
        <v>21</v>
      </c>
      <c r="F8" s="91" t="s">
        <v>124</v>
      </c>
      <c r="G8" s="91" t="s">
        <v>22</v>
      </c>
      <c r="H8" s="91" t="s">
        <v>23</v>
      </c>
      <c r="I8" s="4" t="s">
        <v>140</v>
      </c>
      <c r="M8" s="463"/>
      <c r="N8" s="463"/>
      <c r="O8" s="463"/>
      <c r="P8" s="463"/>
      <c r="R8" s="47" t="s">
        <v>59</v>
      </c>
    </row>
    <row r="9" spans="1:25" ht="14.4" thickBot="1" x14ac:dyDescent="0.35">
      <c r="A9" s="433"/>
      <c r="B9" s="112">
        <f>JJ_Optim_Scenario!G20</f>
        <v>4440000</v>
      </c>
      <c r="C9" s="112">
        <f>JJ_Optim_Scenario!H20</f>
        <v>6253528.5509214355</v>
      </c>
      <c r="D9" s="117">
        <f>JJ_Optim_Scenario!I20</f>
        <v>4440000</v>
      </c>
      <c r="E9" s="118">
        <f>csplinePred($B$14:$B$20,$C$14:$C$20,$H$14:$O$20,D9)*$C$12</f>
        <v>2228.0277703496668</v>
      </c>
      <c r="F9" s="118">
        <f>E9*$C$11</f>
        <v>32484.644891698143</v>
      </c>
      <c r="G9" s="103">
        <f>JJ_Optim_Scenario!E20</f>
        <v>4440000</v>
      </c>
      <c r="H9" s="86">
        <f>csplinePred($B$14:$B$20,$C$14:$C$20,$H$14:$O$20,G9)*$C$12</f>
        <v>2228.0277703496668</v>
      </c>
      <c r="I9" s="84">
        <f>H9*$C$11</f>
        <v>32484.644891698143</v>
      </c>
      <c r="J9" s="123">
        <f>G9/I9</f>
        <v>136.67996109554818</v>
      </c>
      <c r="K9" s="1" t="s">
        <v>142</v>
      </c>
    </row>
    <row r="10" spans="1:25" ht="14.4" thickBot="1" x14ac:dyDescent="0.35"/>
    <row r="11" spans="1:25" ht="27.6" customHeight="1" x14ac:dyDescent="0.3">
      <c r="A11" s="431" t="s">
        <v>148</v>
      </c>
      <c r="B11" s="93" t="s">
        <v>149</v>
      </c>
      <c r="C11" s="10">
        <f>JJ_Optim_Scenario!$D$31</f>
        <v>14.58</v>
      </c>
      <c r="D11" s="287" t="s">
        <v>262</v>
      </c>
      <c r="E11" s="287" t="s">
        <v>263</v>
      </c>
    </row>
    <row r="12" spans="1:25" ht="38.4" customHeight="1" thickBot="1" x14ac:dyDescent="0.35">
      <c r="A12" s="433"/>
      <c r="B12" s="137" t="s">
        <v>134</v>
      </c>
      <c r="C12" s="285">
        <f>JJ_Optim_Scenario!D20</f>
        <v>1</v>
      </c>
      <c r="D12" s="180">
        <f>JJ_Optim_Scenario!$I$31</f>
        <v>104.31</v>
      </c>
      <c r="E12" s="180">
        <f>JJ_Optim_Scenario!$F$31</f>
        <v>1319</v>
      </c>
    </row>
    <row r="13" spans="1:25" ht="13.8" customHeight="1" x14ac:dyDescent="0.3">
      <c r="A13" s="431" t="s">
        <v>60</v>
      </c>
      <c r="B13" s="93" t="s">
        <v>61</v>
      </c>
      <c r="C13" s="93" t="s">
        <v>127</v>
      </c>
      <c r="D13" s="15" t="s">
        <v>128</v>
      </c>
      <c r="E13" s="129" t="s">
        <v>121</v>
      </c>
      <c r="G13" s="454" t="s">
        <v>147</v>
      </c>
      <c r="H13" s="93" t="s">
        <v>63</v>
      </c>
      <c r="I13" s="93" t="s">
        <v>64</v>
      </c>
      <c r="J13" s="93" t="s">
        <v>65</v>
      </c>
      <c r="K13" s="93" t="s">
        <v>66</v>
      </c>
      <c r="L13" s="93" t="s">
        <v>67</v>
      </c>
      <c r="M13" s="93" t="s">
        <v>68</v>
      </c>
      <c r="N13" s="93" t="s">
        <v>69</v>
      </c>
      <c r="O13" s="93" t="s">
        <v>70</v>
      </c>
      <c r="Q13" s="141"/>
      <c r="R13" s="142"/>
      <c r="S13" s="142"/>
      <c r="T13" s="142"/>
      <c r="U13" s="142"/>
      <c r="V13" s="142"/>
      <c r="W13" s="142"/>
      <c r="X13" s="142"/>
      <c r="Y13" s="142"/>
    </row>
    <row r="14" spans="1:25" ht="13.8" customHeight="1" x14ac:dyDescent="0.3">
      <c r="A14" s="432"/>
      <c r="B14" s="125">
        <v>0</v>
      </c>
      <c r="C14" s="127">
        <v>0</v>
      </c>
      <c r="D14" s="133">
        <f>C14*$C$11</f>
        <v>0</v>
      </c>
      <c r="E14" s="130"/>
      <c r="G14" s="455"/>
      <c r="H14" s="140">
        <f t="array" ref="H14:O20">csplinea($B$14:$B$20,$C$14:$C$20,$B$14:$B$20,2)</f>
        <v>1823251.2350824692</v>
      </c>
      <c r="I14" s="140">
        <v>0</v>
      </c>
      <c r="J14" s="140">
        <v>1</v>
      </c>
      <c r="K14" s="140">
        <v>0</v>
      </c>
      <c r="L14" s="140">
        <v>0</v>
      </c>
      <c r="M14" s="140">
        <v>6.4063409125349224E-4</v>
      </c>
      <c r="N14" s="140">
        <v>0</v>
      </c>
      <c r="O14" s="140">
        <v>-1.106919073885033E-17</v>
      </c>
      <c r="Q14" s="141"/>
      <c r="R14" s="142"/>
      <c r="S14" s="142"/>
      <c r="T14" s="142"/>
      <c r="U14" s="142"/>
      <c r="V14" s="142"/>
      <c r="W14" s="142"/>
      <c r="X14" s="142"/>
      <c r="Y14" s="142"/>
    </row>
    <row r="15" spans="1:25" ht="14.4" customHeight="1" x14ac:dyDescent="0.3">
      <c r="A15" s="432"/>
      <c r="B15" s="124">
        <v>1823251.2350824692</v>
      </c>
      <c r="C15" s="127">
        <f>(B15/$B$16)*$C$16*1.15</f>
        <v>1100.9472644677069</v>
      </c>
      <c r="D15" s="133">
        <f>C15*$C$11</f>
        <v>16051.811115939166</v>
      </c>
      <c r="E15" s="131" t="s">
        <v>150</v>
      </c>
      <c r="G15" s="455"/>
      <c r="H15" s="43">
        <v>1869197.1662065473</v>
      </c>
      <c r="I15" s="43">
        <v>-4.6676039091725829E-4</v>
      </c>
      <c r="J15" s="43">
        <v>7384896.8025780329</v>
      </c>
      <c r="K15" s="44">
        <v>0.25311080387122259</v>
      </c>
      <c r="L15" s="44">
        <v>-6.3204727621151642E-11</v>
      </c>
      <c r="M15" s="44">
        <v>5.3024398315115447E-4</v>
      </c>
      <c r="N15" s="44">
        <v>-6.054574705791688E-11</v>
      </c>
      <c r="O15" s="44">
        <v>8.92371409920535E-18</v>
      </c>
      <c r="Q15" s="141"/>
      <c r="R15" s="32"/>
      <c r="S15" s="32"/>
      <c r="T15" s="32"/>
      <c r="U15" s="40"/>
      <c r="V15" s="40"/>
      <c r="W15" s="40"/>
      <c r="X15" s="40"/>
      <c r="Y15" s="40"/>
    </row>
    <row r="16" spans="1:25" ht="14.4" customHeight="1" x14ac:dyDescent="0.3">
      <c r="A16" s="432"/>
      <c r="B16" s="138">
        <v>3692448.4012890165</v>
      </c>
      <c r="C16" s="126">
        <v>1938.816</v>
      </c>
      <c r="D16" s="139">
        <f>C16*$C$11</f>
        <v>28267.937280000002</v>
      </c>
      <c r="E16" s="128" t="s">
        <v>155</v>
      </c>
      <c r="G16" s="455"/>
      <c r="H16" s="43">
        <v>1777305.3039583913</v>
      </c>
      <c r="I16" s="43">
        <v>-2.5430877694769842E-4</v>
      </c>
      <c r="J16" s="43">
        <v>6819890.9429975273</v>
      </c>
      <c r="K16" s="44">
        <v>0.26060611801766104</v>
      </c>
      <c r="L16" s="44">
        <v>-1.996610801045099E-11</v>
      </c>
      <c r="M16" s="44">
        <v>3.9743574726508831E-4</v>
      </c>
      <c r="N16" s="44">
        <v>-1.0505203739100726E-11</v>
      </c>
      <c r="O16" s="44">
        <v>-4.8384593020708105E-18</v>
      </c>
      <c r="Q16" s="141"/>
      <c r="R16" s="32"/>
      <c r="S16" s="32"/>
      <c r="T16" s="32"/>
      <c r="U16" s="40"/>
      <c r="V16" s="40"/>
      <c r="W16" s="40"/>
      <c r="X16" s="40"/>
      <c r="Y16" s="40"/>
    </row>
    <row r="17" spans="1:25" ht="14.4" customHeight="1" x14ac:dyDescent="0.3">
      <c r="A17" s="432"/>
      <c r="B17" s="124">
        <v>5469753.7052474078</v>
      </c>
      <c r="C17" s="127">
        <f>(B17/$B$16)*$C$16*0.9</f>
        <v>2584.8327078807038</v>
      </c>
      <c r="D17" s="133">
        <f t="shared" ref="D17:D20" si="0">C17*$C$11</f>
        <v>37686.860880900662</v>
      </c>
      <c r="E17" s="131" t="s">
        <v>154</v>
      </c>
      <c r="G17" s="455"/>
      <c r="H17" s="43">
        <v>1823251.2350824689</v>
      </c>
      <c r="I17" s="43">
        <v>-3.0282901272442656E-4</v>
      </c>
      <c r="J17" s="43">
        <v>6737936.4422849249</v>
      </c>
      <c r="K17" s="44">
        <v>0.27059489959572547</v>
      </c>
      <c r="L17" s="44">
        <v>-3.9677302590789388E-11</v>
      </c>
      <c r="M17" s="44">
        <v>3.1424245758767284E-4</v>
      </c>
      <c r="N17" s="44">
        <v>-3.6303461880772528E-11</v>
      </c>
      <c r="O17" s="44">
        <v>4.357641767838436E-18</v>
      </c>
      <c r="Q17" s="141"/>
      <c r="R17" s="32"/>
      <c r="S17" s="32"/>
      <c r="T17" s="32"/>
      <c r="U17" s="40"/>
      <c r="V17" s="40"/>
      <c r="W17" s="40"/>
      <c r="X17" s="40"/>
      <c r="Y17" s="40"/>
    </row>
    <row r="18" spans="1:25" ht="14.4" customHeight="1" x14ac:dyDescent="0.3">
      <c r="A18" s="432"/>
      <c r="B18" s="124">
        <v>7293004.9403298767</v>
      </c>
      <c r="C18" s="127">
        <f>(B18/$B$16)*$C$16*0.8</f>
        <v>3063.5054315623152</v>
      </c>
      <c r="D18" s="133">
        <f t="shared" si="0"/>
        <v>44665.909192178558</v>
      </c>
      <c r="E18" s="132" t="s">
        <v>151</v>
      </c>
      <c r="G18" s="455"/>
      <c r="H18" s="43">
        <v>3646502.4701649388</v>
      </c>
      <c r="I18" s="43">
        <v>-2.3628419552062618E-4</v>
      </c>
      <c r="J18" s="43">
        <v>10446144.925599892</v>
      </c>
      <c r="K18" s="44">
        <v>0.34907638139584118</v>
      </c>
      <c r="L18" s="44">
        <v>-1.5694067594779597E-11</v>
      </c>
      <c r="M18" s="44">
        <v>2.2531940160529796E-4</v>
      </c>
      <c r="N18" s="44">
        <v>-1.2468234674997381E-11</v>
      </c>
      <c r="O18" s="44">
        <v>2.9500257754524322E-19</v>
      </c>
      <c r="Q18" s="141"/>
      <c r="R18" s="32"/>
      <c r="S18" s="32"/>
      <c r="T18" s="32"/>
      <c r="U18" s="40"/>
      <c r="V18" s="40"/>
      <c r="W18" s="40"/>
      <c r="X18" s="40"/>
      <c r="Y18" s="40"/>
    </row>
    <row r="19" spans="1:25" ht="14.4" customHeight="1" x14ac:dyDescent="0.3">
      <c r="A19" s="432"/>
      <c r="B19" s="124">
        <v>10939507.410494816</v>
      </c>
      <c r="C19" s="127">
        <f>(B19/$B$16)*$C$16*0.65</f>
        <v>3733.647244716572</v>
      </c>
      <c r="D19" s="133">
        <f t="shared" si="0"/>
        <v>54436.576827967619</v>
      </c>
      <c r="E19" s="131" t="s">
        <v>152</v>
      </c>
      <c r="G19" s="455"/>
      <c r="H19" s="43">
        <v>10939507.410494816</v>
      </c>
      <c r="I19" s="43">
        <v>-3.1504559402750277E-4</v>
      </c>
      <c r="J19" s="43">
        <v>27899111.874283336</v>
      </c>
      <c r="K19" s="44">
        <v>0.39210952161450574</v>
      </c>
      <c r="L19" s="44">
        <v>-9.241051791826121E-12</v>
      </c>
      <c r="M19" s="44">
        <v>1.4615643487850776E-4</v>
      </c>
      <c r="N19" s="44">
        <v>-9.241051791826121E-12</v>
      </c>
      <c r="O19" s="44">
        <v>2.8158037484578507E-19</v>
      </c>
      <c r="Q19" s="141"/>
      <c r="R19" s="32"/>
      <c r="S19" s="32"/>
      <c r="T19" s="32"/>
      <c r="U19" s="40"/>
      <c r="V19" s="40"/>
      <c r="W19" s="40"/>
      <c r="X19" s="40"/>
      <c r="Y19" s="40"/>
    </row>
    <row r="20" spans="1:25" ht="15" customHeight="1" thickBot="1" x14ac:dyDescent="0.35">
      <c r="A20" s="433"/>
      <c r="B20" s="134">
        <v>21879014.820989631</v>
      </c>
      <c r="C20" s="135">
        <f>(B20/$B$16)*$C$16*0.4</f>
        <v>4595.258147343473</v>
      </c>
      <c r="D20" s="136">
        <f t="shared" si="0"/>
        <v>66998.86378826783</v>
      </c>
      <c r="E20" s="131" t="s">
        <v>153</v>
      </c>
      <c r="G20" s="456"/>
      <c r="H20" s="45">
        <v>0</v>
      </c>
      <c r="I20" s="45">
        <v>0</v>
      </c>
      <c r="J20" s="45">
        <v>1</v>
      </c>
      <c r="K20" s="46">
        <v>0</v>
      </c>
      <c r="L20" s="46">
        <v>0</v>
      </c>
      <c r="M20" s="46">
        <v>0</v>
      </c>
      <c r="N20" s="46">
        <v>0</v>
      </c>
      <c r="O20" s="46">
        <v>0</v>
      </c>
      <c r="Q20" s="141"/>
      <c r="R20" s="32"/>
      <c r="S20" s="32"/>
      <c r="T20" s="32"/>
      <c r="U20" s="40"/>
      <c r="V20" s="40"/>
      <c r="W20" s="40"/>
      <c r="X20" s="40"/>
      <c r="Y20" s="40"/>
    </row>
    <row r="21" spans="1:25" ht="47.4" customHeight="1" x14ac:dyDescent="0.3">
      <c r="A21" s="457" t="s">
        <v>74</v>
      </c>
      <c r="B21" s="458"/>
      <c r="C21" s="459"/>
      <c r="D21" s="33"/>
      <c r="G21" s="439" t="s">
        <v>75</v>
      </c>
      <c r="H21" s="439"/>
      <c r="I21" s="439"/>
      <c r="J21" s="439"/>
      <c r="K21" s="439"/>
      <c r="L21" s="439"/>
      <c r="M21" s="439"/>
      <c r="N21" s="439"/>
      <c r="O21" s="439"/>
      <c r="Q21" s="143"/>
      <c r="R21" s="143"/>
      <c r="S21" s="143"/>
      <c r="T21" s="143"/>
      <c r="U21" s="143"/>
      <c r="V21" s="143"/>
      <c r="W21" s="143"/>
      <c r="X21" s="143"/>
      <c r="Y21" s="143"/>
    </row>
    <row r="22" spans="1:25" ht="42" customHeight="1" x14ac:dyDescent="0.3">
      <c r="A22" s="460"/>
      <c r="B22" s="461"/>
      <c r="C22" s="462"/>
      <c r="D22" s="33"/>
      <c r="G22" s="439"/>
      <c r="H22" s="439"/>
      <c r="I22" s="439"/>
      <c r="J22" s="439"/>
      <c r="K22" s="439"/>
      <c r="L22" s="439"/>
      <c r="M22" s="439"/>
      <c r="N22" s="439"/>
      <c r="O22" s="439"/>
      <c r="Q22" s="143"/>
      <c r="R22" s="143"/>
      <c r="S22" s="143"/>
      <c r="T22" s="143"/>
      <c r="U22" s="143"/>
      <c r="V22" s="143"/>
      <c r="W22" s="143"/>
      <c r="X22" s="143"/>
      <c r="Y22" s="143"/>
    </row>
    <row r="24" spans="1:25" ht="14.4" thickBot="1" x14ac:dyDescent="0.35"/>
    <row r="25" spans="1:25" ht="16.8" customHeight="1" x14ac:dyDescent="0.3">
      <c r="A25" s="440" t="s">
        <v>34</v>
      </c>
      <c r="B25" s="93" t="s">
        <v>32</v>
      </c>
      <c r="C25" s="93" t="s">
        <v>31</v>
      </c>
      <c r="D25" s="15" t="s">
        <v>33</v>
      </c>
    </row>
    <row r="26" spans="1:25" ht="23.4" customHeight="1" thickBot="1" x14ac:dyDescent="0.35">
      <c r="A26" s="441"/>
      <c r="B26" s="103">
        <v>0</v>
      </c>
      <c r="C26" s="103">
        <v>20000000</v>
      </c>
      <c r="D26" s="26">
        <v>20</v>
      </c>
    </row>
    <row r="28" spans="1:25" x14ac:dyDescent="0.3">
      <c r="A28" s="407" t="s">
        <v>37</v>
      </c>
      <c r="B28" s="407"/>
      <c r="C28" s="407"/>
    </row>
    <row r="29" spans="1:25" x14ac:dyDescent="0.3">
      <c r="A29" s="91" t="s">
        <v>35</v>
      </c>
      <c r="B29" s="91" t="s">
        <v>127</v>
      </c>
      <c r="C29" s="91" t="s">
        <v>156</v>
      </c>
      <c r="D29" s="287" t="s">
        <v>264</v>
      </c>
    </row>
    <row r="30" spans="1:25" x14ac:dyDescent="0.3">
      <c r="A30" s="122">
        <f>B26</f>
        <v>0</v>
      </c>
      <c r="B30" s="116">
        <f>csplinePred($B$14:$B$20,$C$14:$C$20,$H$14:$O$20,A30)*$C$12</f>
        <v>0</v>
      </c>
      <c r="C30" s="116">
        <f t="shared" ref="C30:C50" si="1">B30*$C$11</f>
        <v>0</v>
      </c>
      <c r="D30" s="288">
        <f>B30*$E$12</f>
        <v>0</v>
      </c>
    </row>
    <row r="31" spans="1:25" x14ac:dyDescent="0.3">
      <c r="A31" s="122">
        <f>A30+(($C$26-$B$26)/$D$26)</f>
        <v>1000000</v>
      </c>
      <c r="B31" s="116">
        <f>csplinePred($B$14:$B$20,$C$14:$C$20,$H$14:$O$20,A31)*$C$12</f>
        <v>629.56490051464186</v>
      </c>
      <c r="C31" s="116">
        <f t="shared" si="1"/>
        <v>9179.0562495034792</v>
      </c>
      <c r="D31" s="288">
        <f t="shared" ref="D31:D50" si="2">B31*$E$12</f>
        <v>830396.10377881257</v>
      </c>
    </row>
    <row r="32" spans="1:25" x14ac:dyDescent="0.3">
      <c r="A32" s="122">
        <f t="shared" ref="A32:A50" si="3">A31+(($C$26-$B$26)/$D$26)</f>
        <v>2000000</v>
      </c>
      <c r="B32" s="116">
        <f t="shared" ref="B32:B50" si="4">csplinePred($B$14:$B$20,$C$14:$C$20,$H$14:$O$20,A32)*$C$12</f>
        <v>1192.8250504925284</v>
      </c>
      <c r="C32" s="116">
        <f t="shared" si="1"/>
        <v>17391.389236181065</v>
      </c>
      <c r="D32" s="288">
        <f t="shared" si="2"/>
        <v>1573336.241599645</v>
      </c>
    </row>
    <row r="33" spans="1:4" x14ac:dyDescent="0.3">
      <c r="A33" s="122">
        <f t="shared" si="3"/>
        <v>3000000</v>
      </c>
      <c r="B33" s="116">
        <f t="shared" si="4"/>
        <v>1655.6123288503752</v>
      </c>
      <c r="C33" s="116">
        <f t="shared" si="1"/>
        <v>24138.827754638471</v>
      </c>
      <c r="D33" s="288">
        <f t="shared" si="2"/>
        <v>2183752.6617536447</v>
      </c>
    </row>
    <row r="34" spans="1:4" x14ac:dyDescent="0.3">
      <c r="A34" s="122">
        <f t="shared" si="3"/>
        <v>4000000</v>
      </c>
      <c r="B34" s="116">
        <f t="shared" si="4"/>
        <v>2059.9135792918387</v>
      </c>
      <c r="C34" s="116">
        <f t="shared" si="1"/>
        <v>30033.539986075008</v>
      </c>
      <c r="D34" s="288">
        <f t="shared" si="2"/>
        <v>2717026.0110859354</v>
      </c>
    </row>
    <row r="35" spans="1:4" x14ac:dyDescent="0.3">
      <c r="A35" s="122">
        <f t="shared" si="3"/>
        <v>5000000</v>
      </c>
      <c r="B35" s="116">
        <f t="shared" si="4"/>
        <v>2429.7066710650297</v>
      </c>
      <c r="C35" s="116">
        <f t="shared" si="1"/>
        <v>35425.123264128131</v>
      </c>
      <c r="D35" s="288">
        <f t="shared" si="2"/>
        <v>3204783.0991347739</v>
      </c>
    </row>
    <row r="36" spans="1:4" x14ac:dyDescent="0.3">
      <c r="A36" s="122">
        <f t="shared" si="3"/>
        <v>6000000</v>
      </c>
      <c r="B36" s="116">
        <f t="shared" si="4"/>
        <v>2741.9011416863686</v>
      </c>
      <c r="C36" s="116">
        <f t="shared" si="1"/>
        <v>39976.918645787257</v>
      </c>
      <c r="D36" s="288">
        <f t="shared" si="2"/>
        <v>3616567.6058843201</v>
      </c>
    </row>
    <row r="37" spans="1:4" x14ac:dyDescent="0.3">
      <c r="A37" s="122">
        <f t="shared" si="3"/>
        <v>7000000</v>
      </c>
      <c r="B37" s="116">
        <f t="shared" si="4"/>
        <v>2996.3056955581837</v>
      </c>
      <c r="C37" s="116">
        <f t="shared" si="1"/>
        <v>43686.137041238318</v>
      </c>
      <c r="D37" s="288">
        <f t="shared" si="2"/>
        <v>3952127.2124412442</v>
      </c>
    </row>
    <row r="38" spans="1:4" x14ac:dyDescent="0.3">
      <c r="A38" s="122">
        <f t="shared" si="3"/>
        <v>8000000</v>
      </c>
      <c r="B38" s="116">
        <f t="shared" si="4"/>
        <v>3216.6772375412847</v>
      </c>
      <c r="C38" s="116">
        <f t="shared" si="1"/>
        <v>46899.154123351931</v>
      </c>
      <c r="D38" s="288">
        <f t="shared" si="2"/>
        <v>4242797.2763169548</v>
      </c>
    </row>
    <row r="39" spans="1:4" x14ac:dyDescent="0.3">
      <c r="A39" s="122">
        <f t="shared" si="3"/>
        <v>9000000</v>
      </c>
      <c r="B39" s="116">
        <f t="shared" si="4"/>
        <v>3413.2615065556502</v>
      </c>
      <c r="C39" s="116">
        <f t="shared" si="1"/>
        <v>49765.352765581381</v>
      </c>
      <c r="D39" s="288">
        <f t="shared" si="2"/>
        <v>4502091.9271469023</v>
      </c>
    </row>
    <row r="40" spans="1:4" x14ac:dyDescent="0.3">
      <c r="A40" s="122">
        <f t="shared" si="3"/>
        <v>10000000</v>
      </c>
      <c r="B40" s="116">
        <f t="shared" si="4"/>
        <v>3587.9307138747795</v>
      </c>
      <c r="C40" s="116">
        <f t="shared" si="1"/>
        <v>52312.029808294283</v>
      </c>
      <c r="D40" s="288">
        <f t="shared" si="2"/>
        <v>4732480.6116008339</v>
      </c>
    </row>
    <row r="41" spans="1:4" x14ac:dyDescent="0.3">
      <c r="A41" s="122">
        <f t="shared" si="3"/>
        <v>11000000</v>
      </c>
      <c r="B41" s="116">
        <f t="shared" si="4"/>
        <v>3742.4548719927543</v>
      </c>
      <c r="C41" s="116">
        <f t="shared" si="1"/>
        <v>54564.992033654358</v>
      </c>
      <c r="D41" s="288">
        <f t="shared" si="2"/>
        <v>4936297.9761584429</v>
      </c>
    </row>
    <row r="42" spans="1:4" x14ac:dyDescent="0.3">
      <c r="A42" s="122">
        <f>A41+(($C$26-$B$26)/$D$26)</f>
        <v>12000000</v>
      </c>
      <c r="B42" s="116">
        <f t="shared" si="4"/>
        <v>3878.5879969333819</v>
      </c>
      <c r="C42" s="116">
        <f t="shared" si="1"/>
        <v>56549.81299528871</v>
      </c>
      <c r="D42" s="288">
        <f t="shared" si="2"/>
        <v>5115857.5679551307</v>
      </c>
    </row>
    <row r="43" spans="1:4" x14ac:dyDescent="0.3">
      <c r="A43" s="122">
        <f t="shared" si="3"/>
        <v>13000000</v>
      </c>
      <c r="B43" s="116">
        <f t="shared" si="4"/>
        <v>3998.0307016956012</v>
      </c>
      <c r="C43" s="116">
        <f t="shared" si="1"/>
        <v>58291.287630721868</v>
      </c>
      <c r="D43" s="288">
        <f t="shared" si="2"/>
        <v>5273402.4955364978</v>
      </c>
    </row>
    <row r="44" spans="1:4" x14ac:dyDescent="0.3">
      <c r="A44" s="122">
        <f t="shared" si="3"/>
        <v>14000000</v>
      </c>
      <c r="B44" s="116">
        <f t="shared" si="4"/>
        <v>4102.4724685284873</v>
      </c>
      <c r="C44" s="116">
        <f t="shared" si="1"/>
        <v>59814.048591145343</v>
      </c>
      <c r="D44" s="288">
        <f t="shared" si="2"/>
        <v>5411161.1859890744</v>
      </c>
    </row>
    <row r="45" spans="1:4" x14ac:dyDescent="0.3">
      <c r="A45" s="122">
        <f t="shared" si="3"/>
        <v>15000000</v>
      </c>
      <c r="B45" s="116">
        <f t="shared" si="4"/>
        <v>4193.6027796811159</v>
      </c>
      <c r="C45" s="116">
        <f t="shared" si="1"/>
        <v>61142.728527750667</v>
      </c>
      <c r="D45" s="288">
        <f t="shared" si="2"/>
        <v>5531362.0663993917</v>
      </c>
    </row>
    <row r="46" spans="1:4" x14ac:dyDescent="0.3">
      <c r="A46" s="122">
        <f t="shared" si="3"/>
        <v>16000000</v>
      </c>
      <c r="B46" s="116">
        <f t="shared" si="4"/>
        <v>4273.1111174025591</v>
      </c>
      <c r="C46" s="116">
        <f t="shared" si="1"/>
        <v>62301.960091729314</v>
      </c>
      <c r="D46" s="288">
        <f t="shared" si="2"/>
        <v>5636233.5638539754</v>
      </c>
    </row>
    <row r="47" spans="1:4" x14ac:dyDescent="0.3">
      <c r="A47" s="122">
        <f t="shared" si="3"/>
        <v>17000000</v>
      </c>
      <c r="B47" s="116">
        <f t="shared" si="4"/>
        <v>4342.6869639418946</v>
      </c>
      <c r="C47" s="116">
        <f t="shared" si="1"/>
        <v>63316.375934272823</v>
      </c>
      <c r="D47" s="288">
        <f t="shared" si="2"/>
        <v>5728004.1054393593</v>
      </c>
    </row>
    <row r="48" spans="1:4" x14ac:dyDescent="0.3">
      <c r="A48" s="122">
        <f t="shared" si="3"/>
        <v>18000000</v>
      </c>
      <c r="B48" s="116">
        <f t="shared" si="4"/>
        <v>4404.0198015481947</v>
      </c>
      <c r="C48" s="116">
        <f t="shared" si="1"/>
        <v>64210.608706572675</v>
      </c>
      <c r="D48" s="288">
        <f t="shared" si="2"/>
        <v>5808902.1182420691</v>
      </c>
    </row>
    <row r="49" spans="1:4" x14ac:dyDescent="0.3">
      <c r="A49" s="122">
        <f>A48+(($C$26-$B$26)/$D$26)</f>
        <v>19000000</v>
      </c>
      <c r="B49" s="116">
        <f t="shared" si="4"/>
        <v>4458.7991124705359</v>
      </c>
      <c r="C49" s="116">
        <f t="shared" si="1"/>
        <v>65009.291059820411</v>
      </c>
      <c r="D49" s="288">
        <f t="shared" si="2"/>
        <v>5881156.029348637</v>
      </c>
    </row>
    <row r="50" spans="1:4" x14ac:dyDescent="0.3">
      <c r="A50" s="122">
        <f t="shared" si="3"/>
        <v>20000000</v>
      </c>
      <c r="B50" s="116">
        <f t="shared" si="4"/>
        <v>4508.7143789579914</v>
      </c>
      <c r="C50" s="116">
        <f t="shared" si="1"/>
        <v>65737.055645207511</v>
      </c>
      <c r="D50" s="288">
        <f t="shared" si="2"/>
        <v>5946994.2658455903</v>
      </c>
    </row>
  </sheetData>
  <mergeCells count="16">
    <mergeCell ref="M2:S2"/>
    <mergeCell ref="M3:S3"/>
    <mergeCell ref="A7:A9"/>
    <mergeCell ref="B7:C7"/>
    <mergeCell ref="M7:P8"/>
    <mergeCell ref="B4:F4"/>
    <mergeCell ref="A28:C28"/>
    <mergeCell ref="J7:K7"/>
    <mergeCell ref="D7:F7"/>
    <mergeCell ref="G7:I7"/>
    <mergeCell ref="A11:A12"/>
    <mergeCell ref="A13:A20"/>
    <mergeCell ref="G13:G20"/>
    <mergeCell ref="A21:C22"/>
    <mergeCell ref="G21:O22"/>
    <mergeCell ref="A25:A26"/>
  </mergeCells>
  <pageMargins left="0.7" right="0.7" top="0.75" bottom="0.75" header="0.3" footer="0.3"/>
  <pageSetup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workbookViewId="0">
      <selection activeCell="G13" sqref="G13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4.664062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2.77734375" style="1" customWidth="1"/>
    <col min="15" max="15" width="9.77734375" style="1" bestFit="1" customWidth="1"/>
    <col min="16" max="16" width="8.88671875" style="1"/>
    <col min="17" max="18" width="10.33203125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158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108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467" t="s">
        <v>111</v>
      </c>
      <c r="C4" s="467"/>
      <c r="D4" s="467"/>
      <c r="E4" s="467"/>
      <c r="F4" s="468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431" t="s">
        <v>8</v>
      </c>
      <c r="B7" s="434" t="s">
        <v>9</v>
      </c>
      <c r="C7" s="435"/>
      <c r="D7" s="469" t="s">
        <v>12</v>
      </c>
      <c r="E7" s="470"/>
      <c r="F7" s="471"/>
      <c r="G7" s="434" t="s">
        <v>143</v>
      </c>
      <c r="H7" s="434"/>
      <c r="I7" s="436"/>
      <c r="J7" s="1" t="s">
        <v>144</v>
      </c>
    </row>
    <row r="8" spans="1:18" ht="28.2" customHeight="1" x14ac:dyDescent="0.3">
      <c r="A8" s="432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433"/>
      <c r="B9" s="80">
        <f>JJ_Optim_Scenario!G21</f>
        <v>22954000</v>
      </c>
      <c r="C9" s="80">
        <f>JJ_Optim_Scenario!H21</f>
        <v>36811696</v>
      </c>
      <c r="D9" s="95">
        <f>JJ_Optim_Scenario!I21</f>
        <v>33364081.59999875</v>
      </c>
      <c r="E9" s="118">
        <f>((($R$12/(1+EXP($P$12+$Q$12*D9)))-1) - ($F$12-$C$12))*$I$12</f>
        <v>189125.49315429851</v>
      </c>
      <c r="F9" s="145">
        <f>E9*$G$12</f>
        <v>2757449.6901896722</v>
      </c>
      <c r="G9" s="152">
        <f>JJ_Optim_Scenario!E21</f>
        <v>22954000</v>
      </c>
      <c r="H9" s="121">
        <f>((($R$12/(1+EXP($P$12+$Q$12*G9)))-1) - ($F$12-$C$12))*$I$12</f>
        <v>138412.14348311909</v>
      </c>
      <c r="I9" s="146">
        <f>H9*$G$12</f>
        <v>2018049.0519838764</v>
      </c>
      <c r="J9" s="123">
        <f>G9/I9</f>
        <v>11.374351865944334</v>
      </c>
      <c r="K9" s="1" t="s">
        <v>142</v>
      </c>
    </row>
    <row r="10" spans="1:18" ht="14.4" thickBot="1" x14ac:dyDescent="0.35"/>
    <row r="11" spans="1:18" ht="51.6" customHeight="1" x14ac:dyDescent="0.3">
      <c r="A11" s="431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440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433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G12" s="148">
        <f>JJ_Optim_Scenario!$D$31</f>
        <v>14.58</v>
      </c>
      <c r="H12" s="98">
        <f>C12*G12</f>
        <v>1978496.8017817349</v>
      </c>
      <c r="I12" s="286">
        <f>JJ_Optim_Scenario!D21</f>
        <v>1</v>
      </c>
      <c r="K12" s="441"/>
      <c r="L12" s="98">
        <f>F12-C12</f>
        <v>5029300.6308791675</v>
      </c>
      <c r="M12" s="98">
        <f>L12+E12</f>
        <v>5545800.6308791675</v>
      </c>
      <c r="N12" s="99">
        <f>B12</f>
        <v>22434506</v>
      </c>
      <c r="O12" s="98">
        <f>F12</f>
        <v>5165000</v>
      </c>
      <c r="P12" s="24">
        <f>LN((($M$12+1)/($L$12+1))-1)</f>
        <v>-2.2759611241153297</v>
      </c>
      <c r="Q12" s="100">
        <f>(LN((($M$12+1)/($O$12+1))-1)-$P$12)/$N$12</f>
        <v>-1.4772934666486198E-8</v>
      </c>
      <c r="R12" s="101">
        <f>M12+1</f>
        <v>5545801.6308791675</v>
      </c>
    </row>
    <row r="13" spans="1:18" ht="34.200000000000003" customHeight="1" x14ac:dyDescent="0.3">
      <c r="A13" s="464" t="s">
        <v>119</v>
      </c>
      <c r="B13" s="465"/>
      <c r="C13" s="465"/>
      <c r="D13" s="465"/>
      <c r="E13" s="465"/>
      <c r="F13" s="466"/>
      <c r="G13" s="287" t="s">
        <v>262</v>
      </c>
      <c r="H13" s="287" t="s">
        <v>263</v>
      </c>
      <c r="K13" s="464" t="s">
        <v>120</v>
      </c>
      <c r="L13" s="465"/>
      <c r="M13" s="465"/>
      <c r="N13" s="465"/>
      <c r="O13" s="465"/>
      <c r="P13" s="465"/>
      <c r="Q13" s="465"/>
      <c r="R13" s="466"/>
    </row>
    <row r="14" spans="1:18" ht="33.6" customHeight="1" thickBot="1" x14ac:dyDescent="0.35">
      <c r="A14" s="460"/>
      <c r="B14" s="461"/>
      <c r="C14" s="461"/>
      <c r="D14" s="461"/>
      <c r="E14" s="461"/>
      <c r="F14" s="462"/>
      <c r="G14" s="180">
        <f>JJ_Optim_Scenario!$I$31</f>
        <v>104.31</v>
      </c>
      <c r="H14" s="180">
        <f>JJ_Optim_Scenario!$F$31</f>
        <v>1319</v>
      </c>
      <c r="K14" s="460"/>
      <c r="L14" s="461"/>
      <c r="M14" s="461"/>
      <c r="N14" s="461"/>
      <c r="O14" s="461"/>
      <c r="P14" s="461"/>
      <c r="Q14" s="461"/>
      <c r="R14" s="462"/>
    </row>
    <row r="16" spans="1:18" ht="14.4" thickBot="1" x14ac:dyDescent="0.35"/>
    <row r="17" spans="1:8" ht="42.6" customHeight="1" x14ac:dyDescent="0.3">
      <c r="A17" s="440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441"/>
      <c r="B18" s="102">
        <v>0</v>
      </c>
      <c r="C18" s="103">
        <v>60000000</v>
      </c>
      <c r="D18" s="26">
        <v>20</v>
      </c>
    </row>
    <row r="20" spans="1:8" x14ac:dyDescent="0.3">
      <c r="A20" s="407" t="s">
        <v>37</v>
      </c>
      <c r="B20" s="407"/>
      <c r="C20" s="407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87" t="s">
        <v>264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88">
        <f>B22*$H$14</f>
        <v>0</v>
      </c>
    </row>
    <row r="23" spans="1:8" x14ac:dyDescent="0.3">
      <c r="A23" s="122">
        <f>A22+(($C$18-$B$18)/$D$18)</f>
        <v>3000000</v>
      </c>
      <c r="B23" s="106">
        <f t="shared" si="0"/>
        <v>20387.807857017033</v>
      </c>
      <c r="C23" s="106">
        <f t="shared" ref="C23:C42" si="1">B23*$G$12</f>
        <v>297254.23855530831</v>
      </c>
      <c r="D23" s="1">
        <f>(B23-B22)/A23</f>
        <v>6.7959359523390109E-3</v>
      </c>
      <c r="E23" s="288">
        <f t="shared" ref="E23:E42" si="2">B23*$H$14</f>
        <v>26891518.563405465</v>
      </c>
    </row>
    <row r="24" spans="1:8" x14ac:dyDescent="0.3">
      <c r="A24" s="122">
        <f t="shared" ref="A24:A42" si="3">A23+(($C$18-$B$18)/$D$18)</f>
        <v>6000000</v>
      </c>
      <c r="B24" s="106">
        <f t="shared" si="0"/>
        <v>40047.087668891996</v>
      </c>
      <c r="C24" s="106">
        <f t="shared" si="1"/>
        <v>583886.53821244533</v>
      </c>
      <c r="D24" s="1">
        <f t="shared" ref="D24:D42" si="4">(B24-B23)/A24</f>
        <v>3.276546635312494E-3</v>
      </c>
      <c r="E24" s="288">
        <f t="shared" si="2"/>
        <v>52822108.635268539</v>
      </c>
    </row>
    <row r="25" spans="1:8" x14ac:dyDescent="0.3">
      <c r="A25" s="122">
        <f t="shared" si="3"/>
        <v>9000000</v>
      </c>
      <c r="B25" s="106">
        <f t="shared" si="0"/>
        <v>58997.915796743706</v>
      </c>
      <c r="C25" s="106">
        <f t="shared" si="1"/>
        <v>860189.61231652321</v>
      </c>
      <c r="D25" s="1">
        <f t="shared" si="4"/>
        <v>2.1056475697613011E-3</v>
      </c>
      <c r="E25" s="288">
        <f t="shared" si="2"/>
        <v>77818250.93590495</v>
      </c>
    </row>
    <row r="26" spans="1:8" x14ac:dyDescent="0.3">
      <c r="A26" s="122">
        <f t="shared" si="3"/>
        <v>12000000</v>
      </c>
      <c r="B26" s="106">
        <f t="shared" si="0"/>
        <v>77260.28909897618</v>
      </c>
      <c r="C26" s="106">
        <f t="shared" si="1"/>
        <v>1126455.0150630728</v>
      </c>
      <c r="D26" s="1">
        <f t="shared" si="4"/>
        <v>1.5218644418527063E-3</v>
      </c>
      <c r="E26" s="288">
        <f t="shared" si="2"/>
        <v>101906321.32154958</v>
      </c>
    </row>
    <row r="27" spans="1:8" x14ac:dyDescent="0.3">
      <c r="A27" s="122">
        <f t="shared" si="3"/>
        <v>15000000</v>
      </c>
      <c r="B27" s="106">
        <f t="shared" si="0"/>
        <v>94854.081059573218</v>
      </c>
      <c r="C27" s="106">
        <f t="shared" si="1"/>
        <v>1382972.5018485775</v>
      </c>
      <c r="D27" s="1">
        <f t="shared" si="4"/>
        <v>1.1729194640398026E-3</v>
      </c>
      <c r="E27" s="288">
        <f t="shared" si="2"/>
        <v>125112532.91757707</v>
      </c>
    </row>
    <row r="28" spans="1:8" x14ac:dyDescent="0.3">
      <c r="A28" s="122">
        <f t="shared" si="3"/>
        <v>18000000</v>
      </c>
      <c r="B28" s="106">
        <f t="shared" si="0"/>
        <v>111799.00184178166</v>
      </c>
      <c r="C28" s="106">
        <f t="shared" si="1"/>
        <v>1630029.4468531767</v>
      </c>
      <c r="D28" s="1">
        <f t="shared" si="4"/>
        <v>9.4138448790046902E-4</v>
      </c>
      <c r="E28" s="288">
        <f t="shared" si="2"/>
        <v>147462883.42931002</v>
      </c>
    </row>
    <row r="29" spans="1:8" x14ac:dyDescent="0.3">
      <c r="A29" s="122">
        <f t="shared" si="3"/>
        <v>21000000</v>
      </c>
      <c r="B29" s="106">
        <f t="shared" si="0"/>
        <v>128114.56210814044</v>
      </c>
      <c r="C29" s="106">
        <f t="shared" si="1"/>
        <v>1867910.3155366876</v>
      </c>
      <c r="D29" s="1">
        <f t="shared" si="4"/>
        <v>7.7693144125517988E-4</v>
      </c>
      <c r="E29" s="288">
        <f t="shared" si="2"/>
        <v>168983107.42063725</v>
      </c>
    </row>
    <row r="30" spans="1:8" x14ac:dyDescent="0.3">
      <c r="A30" s="122">
        <f t="shared" si="3"/>
        <v>24000000</v>
      </c>
      <c r="B30" s="106">
        <f t="shared" si="0"/>
        <v>143820.04043962713</v>
      </c>
      <c r="C30" s="106">
        <f t="shared" si="1"/>
        <v>2096896.1896097637</v>
      </c>
      <c r="D30" s="1">
        <f t="shared" si="4"/>
        <v>6.5439493047861222E-4</v>
      </c>
      <c r="E30" s="288">
        <f t="shared" si="2"/>
        <v>189698633.33986819</v>
      </c>
    </row>
    <row r="31" spans="1:8" x14ac:dyDescent="0.3">
      <c r="A31" s="122">
        <f t="shared" si="3"/>
        <v>27000000</v>
      </c>
      <c r="B31" s="106">
        <f t="shared" si="0"/>
        <v>158934.4541807482</v>
      </c>
      <c r="C31" s="106">
        <f t="shared" si="1"/>
        <v>2317264.3419553088</v>
      </c>
      <c r="D31" s="1">
        <f t="shared" si="4"/>
        <v>5.5979310152300251E-4</v>
      </c>
      <c r="E31" s="288">
        <f t="shared" si="2"/>
        <v>209634545.06440687</v>
      </c>
    </row>
    <row r="32" spans="1:8" x14ac:dyDescent="0.3">
      <c r="A32" s="122">
        <f t="shared" si="3"/>
        <v>30000000</v>
      </c>
      <c r="B32" s="106">
        <f t="shared" si="0"/>
        <v>173476.53353370167</v>
      </c>
      <c r="C32" s="106">
        <f t="shared" si="1"/>
        <v>2529287.8589213705</v>
      </c>
      <c r="D32" s="1">
        <f t="shared" si="4"/>
        <v>4.847359784317824E-4</v>
      </c>
      <c r="E32" s="288">
        <f t="shared" si="2"/>
        <v>228815547.7309525</v>
      </c>
    </row>
    <row r="33" spans="1:5" x14ac:dyDescent="0.3">
      <c r="A33" s="122">
        <f t="shared" si="3"/>
        <v>33000000</v>
      </c>
      <c r="B33" s="106">
        <f t="shared" si="0"/>
        <v>187464.69872274343</v>
      </c>
      <c r="C33" s="106">
        <f t="shared" si="1"/>
        <v>2733235.3073775992</v>
      </c>
      <c r="D33" s="1">
        <f t="shared" si="4"/>
        <v>4.2388379360732597E-4</v>
      </c>
      <c r="E33" s="288">
        <f t="shared" si="2"/>
        <v>247265937.61529857</v>
      </c>
    </row>
    <row r="34" spans="1:5" x14ac:dyDescent="0.3">
      <c r="A34" s="122">
        <f>A33+(($C$18-$B$18)/$D$18)</f>
        <v>36000000</v>
      </c>
      <c r="B34" s="106">
        <f t="shared" si="0"/>
        <v>200917.04004970193</v>
      </c>
      <c r="C34" s="106">
        <f t="shared" si="1"/>
        <v>2929370.4439246543</v>
      </c>
      <c r="D34" s="1">
        <f t="shared" si="4"/>
        <v>3.7367614797106946E-4</v>
      </c>
      <c r="E34" s="288">
        <f t="shared" si="2"/>
        <v>265009575.82555684</v>
      </c>
    </row>
    <row r="35" spans="1:5" x14ac:dyDescent="0.3">
      <c r="A35" s="122">
        <f t="shared" si="3"/>
        <v>39000000</v>
      </c>
      <c r="B35" s="106">
        <f t="shared" si="0"/>
        <v>213851.30066273827</v>
      </c>
      <c r="C35" s="106">
        <f t="shared" si="1"/>
        <v>3117951.963662724</v>
      </c>
      <c r="D35" s="1">
        <f t="shared" si="4"/>
        <v>3.3164770802657288E-4</v>
      </c>
      <c r="E35" s="288">
        <f t="shared" si="2"/>
        <v>282069865.57415175</v>
      </c>
    </row>
    <row r="36" spans="1:5" x14ac:dyDescent="0.3">
      <c r="A36" s="122">
        <f t="shared" si="3"/>
        <v>42000000</v>
      </c>
      <c r="B36" s="106">
        <f t="shared" si="0"/>
        <v>226284.86186285131</v>
      </c>
      <c r="C36" s="106">
        <f t="shared" si="1"/>
        <v>3299233.2859603721</v>
      </c>
      <c r="D36" s="1">
        <f t="shared" si="4"/>
        <v>2.9603717143126277E-4</v>
      </c>
      <c r="E36" s="288">
        <f t="shared" si="2"/>
        <v>298469732.7971009</v>
      </c>
    </row>
    <row r="37" spans="1:5" x14ac:dyDescent="0.3">
      <c r="A37" s="122">
        <f t="shared" si="3"/>
        <v>45000000</v>
      </c>
      <c r="B37" s="106">
        <f t="shared" si="0"/>
        <v>238234.73077614885</v>
      </c>
      <c r="C37" s="106">
        <f t="shared" si="1"/>
        <v>3473462.3747162502</v>
      </c>
      <c r="D37" s="1">
        <f t="shared" si="4"/>
        <v>2.6555264251772312E-4</v>
      </c>
      <c r="E37" s="288">
        <f t="shared" si="2"/>
        <v>314231609.89374036</v>
      </c>
    </row>
    <row r="38" spans="1:5" x14ac:dyDescent="0.3">
      <c r="A38" s="122">
        <f t="shared" si="3"/>
        <v>48000000</v>
      </c>
      <c r="B38" s="106">
        <f t="shared" si="0"/>
        <v>249717.53022422828</v>
      </c>
      <c r="C38" s="106">
        <f t="shared" si="1"/>
        <v>3640881.5906692483</v>
      </c>
      <c r="D38" s="1">
        <f t="shared" si="4"/>
        <v>2.3922498850165478E-4</v>
      </c>
      <c r="E38" s="288">
        <f t="shared" si="2"/>
        <v>329377422.36575711</v>
      </c>
    </row>
    <row r="39" spans="1:5" x14ac:dyDescent="0.3">
      <c r="A39" s="122">
        <f t="shared" si="3"/>
        <v>51000000</v>
      </c>
      <c r="B39" s="106">
        <f t="shared" si="0"/>
        <v>260749.49063010328</v>
      </c>
      <c r="C39" s="106">
        <f t="shared" si="1"/>
        <v>3801727.5733869057</v>
      </c>
      <c r="D39" s="1">
        <f t="shared" si="4"/>
        <v>2.1631294913480387E-4</v>
      </c>
      <c r="E39" s="288">
        <f t="shared" si="2"/>
        <v>343928578.14110625</v>
      </c>
    </row>
    <row r="40" spans="1:5" x14ac:dyDescent="0.3">
      <c r="A40" s="122">
        <f t="shared" si="3"/>
        <v>54000000</v>
      </c>
      <c r="B40" s="106">
        <f t="shared" si="0"/>
        <v>271346.44380283542</v>
      </c>
      <c r="C40" s="106">
        <f t="shared" si="1"/>
        <v>3956231.1506453403</v>
      </c>
      <c r="D40" s="1">
        <f t="shared" si="4"/>
        <v>1.9623987356911379E-4</v>
      </c>
      <c r="E40" s="288">
        <f t="shared" si="2"/>
        <v>357905959.37593991</v>
      </c>
    </row>
    <row r="41" spans="1:5" x14ac:dyDescent="0.3">
      <c r="A41" s="122">
        <f>A40+(($C$18-$B$18)/$D$18)</f>
        <v>57000000</v>
      </c>
      <c r="B41" s="106">
        <f t="shared" si="0"/>
        <v>281523.81845008489</v>
      </c>
      <c r="C41" s="106">
        <f t="shared" si="1"/>
        <v>4104617.2730022375</v>
      </c>
      <c r="D41" s="1">
        <f t="shared" si="4"/>
        <v>1.7855043240788541E-4</v>
      </c>
      <c r="E41" s="288">
        <f t="shared" si="2"/>
        <v>371329916.535662</v>
      </c>
    </row>
    <row r="42" spans="1:5" x14ac:dyDescent="0.3">
      <c r="A42" s="122">
        <f t="shared" si="3"/>
        <v>60000000</v>
      </c>
      <c r="B42" s="106">
        <f t="shared" si="0"/>
        <v>291296.63727436401</v>
      </c>
      <c r="C42" s="106">
        <f t="shared" si="1"/>
        <v>4247104.9714602269</v>
      </c>
      <c r="D42" s="1">
        <f t="shared" si="4"/>
        <v>1.6288031373798537E-4</v>
      </c>
      <c r="E42" s="288">
        <f t="shared" si="2"/>
        <v>384220264.56488615</v>
      </c>
    </row>
  </sheetData>
  <mergeCells count="11">
    <mergeCell ref="A20:C20"/>
    <mergeCell ref="B4:F4"/>
    <mergeCell ref="A7:A9"/>
    <mergeCell ref="B7:C7"/>
    <mergeCell ref="D7:F7"/>
    <mergeCell ref="A11:A12"/>
    <mergeCell ref="G7:I7"/>
    <mergeCell ref="K13:R14"/>
    <mergeCell ref="K11:K12"/>
    <mergeCell ref="A13:F14"/>
    <mergeCell ref="A17:A18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workbookViewId="0">
      <selection activeCell="G13" sqref="G13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3.10937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8" width="11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159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96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467" t="s">
        <v>111</v>
      </c>
      <c r="C4" s="467"/>
      <c r="D4" s="467"/>
      <c r="E4" s="467"/>
      <c r="F4" s="468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2</v>
      </c>
    </row>
    <row r="7" spans="1:18" ht="27.6" customHeight="1" x14ac:dyDescent="0.3">
      <c r="A7" s="431" t="s">
        <v>8</v>
      </c>
      <c r="B7" s="434" t="s">
        <v>9</v>
      </c>
      <c r="C7" s="435"/>
      <c r="D7" s="469" t="s">
        <v>12</v>
      </c>
      <c r="E7" s="470"/>
      <c r="F7" s="471"/>
      <c r="G7" s="434" t="s">
        <v>143</v>
      </c>
      <c r="H7" s="434"/>
      <c r="I7" s="436"/>
      <c r="J7" s="1" t="s">
        <v>144</v>
      </c>
    </row>
    <row r="8" spans="1:18" ht="28.2" customHeight="1" x14ac:dyDescent="0.3">
      <c r="A8" s="432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433"/>
      <c r="B9" s="80">
        <f>JJ_Optim_Scenario!G22</f>
        <v>6255187.2000000002</v>
      </c>
      <c r="C9" s="80">
        <f>JJ_Optim_Scenario!H22</f>
        <v>8600882.4000000004</v>
      </c>
      <c r="D9" s="95">
        <f>JJ_Optim_Scenario!I22</f>
        <v>6255187.2000000002</v>
      </c>
      <c r="E9" s="118">
        <f>((($R$12/(1+EXP($P$12+$Q$12*D9)))-1) - ($F$12-$C$12))*$I$12</f>
        <v>26840.895159405656</v>
      </c>
      <c r="F9" s="145">
        <f>E9*$G$12</f>
        <v>391340.25142413448</v>
      </c>
      <c r="G9" s="80">
        <f>JJ_Optim_Scenario!E22</f>
        <v>7818984</v>
      </c>
      <c r="H9" s="121">
        <f>((($R$12/(1+EXP($P$12+$Q$12*G9)))-1) - ($F$12-$C$12))*$I$12</f>
        <v>32808.607210343704</v>
      </c>
      <c r="I9" s="146">
        <f>H9*$G$12</f>
        <v>478349.49312681123</v>
      </c>
      <c r="J9" s="123">
        <f>G9/I9</f>
        <v>16.345755796436425</v>
      </c>
      <c r="K9" s="1" t="s">
        <v>142</v>
      </c>
    </row>
    <row r="10" spans="1:18" ht="14.4" thickBot="1" x14ac:dyDescent="0.35"/>
    <row r="11" spans="1:18" ht="51.6" customHeight="1" x14ac:dyDescent="0.3">
      <c r="A11" s="431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440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433"/>
      <c r="B12" s="80">
        <v>7032507</v>
      </c>
      <c r="C12" s="86">
        <v>29842</v>
      </c>
      <c r="D12" s="12">
        <v>0</v>
      </c>
      <c r="E12" s="86">
        <v>154950</v>
      </c>
      <c r="F12" s="97">
        <v>5165000</v>
      </c>
      <c r="G12" s="148">
        <f>JJ_Optim_Scenario!$D$31</f>
        <v>14.58</v>
      </c>
      <c r="H12" s="98">
        <f>C12*G12</f>
        <v>435096.36</v>
      </c>
      <c r="I12" s="286">
        <f>JJ_Optim_Scenario!D22</f>
        <v>1</v>
      </c>
      <c r="K12" s="441"/>
      <c r="L12" s="98">
        <f>F12-C12</f>
        <v>5135158</v>
      </c>
      <c r="M12" s="98">
        <f>L12+E12</f>
        <v>5290108</v>
      </c>
      <c r="N12" s="99">
        <f>B12</f>
        <v>7032507</v>
      </c>
      <c r="O12" s="98">
        <f>F12</f>
        <v>5165000</v>
      </c>
      <c r="P12" s="24">
        <f>LN((($M$12+1)/($L$12+1))-1)</f>
        <v>-3.5007636016222654</v>
      </c>
      <c r="Q12" s="100">
        <f>(LN((($M$12+1)/($O$12+1))-1)-$P$12)/$N$12</f>
        <v>-3.124342560528458E-8</v>
      </c>
      <c r="R12" s="101">
        <f>M12+1</f>
        <v>5290109</v>
      </c>
    </row>
    <row r="13" spans="1:18" ht="34.200000000000003" customHeight="1" x14ac:dyDescent="0.3">
      <c r="A13" s="464" t="s">
        <v>119</v>
      </c>
      <c r="B13" s="465"/>
      <c r="C13" s="465"/>
      <c r="D13" s="465"/>
      <c r="E13" s="465"/>
      <c r="F13" s="466"/>
      <c r="G13" s="287" t="s">
        <v>262</v>
      </c>
      <c r="H13" s="287" t="s">
        <v>263</v>
      </c>
      <c r="K13" s="464" t="s">
        <v>120</v>
      </c>
      <c r="L13" s="465"/>
      <c r="M13" s="465"/>
      <c r="N13" s="465"/>
      <c r="O13" s="465"/>
      <c r="P13" s="465"/>
      <c r="Q13" s="465"/>
      <c r="R13" s="466"/>
    </row>
    <row r="14" spans="1:18" ht="33.6" customHeight="1" thickBot="1" x14ac:dyDescent="0.35">
      <c r="A14" s="460"/>
      <c r="B14" s="461"/>
      <c r="C14" s="461"/>
      <c r="D14" s="461"/>
      <c r="E14" s="461"/>
      <c r="F14" s="462"/>
      <c r="G14" s="180">
        <f>JJ_Optim_Scenario!$I$31</f>
        <v>104.31</v>
      </c>
      <c r="H14" s="180">
        <f>JJ_Optim_Scenario!$F$31</f>
        <v>1319</v>
      </c>
      <c r="K14" s="460"/>
      <c r="L14" s="461"/>
      <c r="M14" s="461"/>
      <c r="N14" s="461"/>
      <c r="O14" s="461"/>
      <c r="P14" s="461"/>
      <c r="Q14" s="461"/>
      <c r="R14" s="462"/>
    </row>
    <row r="16" spans="1:18" ht="14.4" thickBot="1" x14ac:dyDescent="0.35"/>
    <row r="17" spans="1:8" ht="42.6" customHeight="1" x14ac:dyDescent="0.3">
      <c r="A17" s="440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441"/>
      <c r="B18" s="102">
        <v>0</v>
      </c>
      <c r="C18" s="103">
        <v>30000000</v>
      </c>
      <c r="D18" s="26">
        <v>20</v>
      </c>
    </row>
    <row r="20" spans="1:8" x14ac:dyDescent="0.3">
      <c r="A20" s="407" t="s">
        <v>37</v>
      </c>
      <c r="B20" s="407"/>
      <c r="C20" s="407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87" t="s">
        <v>264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88">
        <f>B22*$H$14</f>
        <v>0</v>
      </c>
    </row>
    <row r="23" spans="1:8" x14ac:dyDescent="0.3">
      <c r="A23" s="122">
        <f>A22+(($C$18-$B$18)/$D$18)</f>
        <v>1500000</v>
      </c>
      <c r="B23" s="106">
        <f t="shared" si="0"/>
        <v>6895.6730519244447</v>
      </c>
      <c r="C23" s="106">
        <f t="shared" ref="C23:C42" si="1">B23*$G$12</f>
        <v>100538.91309705841</v>
      </c>
      <c r="D23" s="1">
        <f>(B23-B22)/A23</f>
        <v>4.5971153679496297E-3</v>
      </c>
      <c r="E23" s="288">
        <f t="shared" ref="E23:E42" si="2">B23*$H$14</f>
        <v>9095392.7554883435</v>
      </c>
    </row>
    <row r="24" spans="1:8" x14ac:dyDescent="0.3">
      <c r="A24" s="122">
        <f t="shared" ref="A24:A42" si="3">A23+(($C$18-$B$18)/$D$18)</f>
        <v>3000000</v>
      </c>
      <c r="B24" s="106">
        <f t="shared" si="0"/>
        <v>13492.924360195175</v>
      </c>
      <c r="C24" s="106">
        <f t="shared" si="1"/>
        <v>196726.83717164566</v>
      </c>
      <c r="D24" s="1">
        <f t="shared" ref="D24:D42" si="4">(B24-B23)/A24</f>
        <v>2.1990837694235766E-3</v>
      </c>
      <c r="E24" s="288">
        <f t="shared" si="2"/>
        <v>17797167.231097437</v>
      </c>
    </row>
    <row r="25" spans="1:8" x14ac:dyDescent="0.3">
      <c r="A25" s="122">
        <f t="shared" si="3"/>
        <v>4500000</v>
      </c>
      <c r="B25" s="106">
        <f t="shared" si="0"/>
        <v>19803.930657913908</v>
      </c>
      <c r="C25" s="106">
        <f t="shared" si="1"/>
        <v>288741.30899238476</v>
      </c>
      <c r="D25" s="1">
        <f t="shared" si="4"/>
        <v>1.4024458439374963E-3</v>
      </c>
      <c r="E25" s="288">
        <f t="shared" si="2"/>
        <v>26121384.537788443</v>
      </c>
    </row>
    <row r="26" spans="1:8" x14ac:dyDescent="0.3">
      <c r="A26" s="122">
        <f t="shared" si="3"/>
        <v>6000000</v>
      </c>
      <c r="B26" s="106">
        <f t="shared" si="0"/>
        <v>25840.436453695409</v>
      </c>
      <c r="C26" s="106">
        <f t="shared" si="1"/>
        <v>376753.56349487905</v>
      </c>
      <c r="D26" s="1">
        <f t="shared" si="4"/>
        <v>1.0060842992969169E-3</v>
      </c>
      <c r="E26" s="288">
        <f t="shared" si="2"/>
        <v>34083535.682424247</v>
      </c>
    </row>
    <row r="27" spans="1:8" x14ac:dyDescent="0.3">
      <c r="A27" s="122">
        <f t="shared" si="3"/>
        <v>7500000</v>
      </c>
      <c r="B27" s="106">
        <f t="shared" si="0"/>
        <v>31613.763577678241</v>
      </c>
      <c r="C27" s="106">
        <f t="shared" si="1"/>
        <v>460928.67296254874</v>
      </c>
      <c r="D27" s="1">
        <f t="shared" si="4"/>
        <v>7.6977694986437759E-4</v>
      </c>
      <c r="E27" s="288">
        <f t="shared" si="2"/>
        <v>41698554.158957601</v>
      </c>
    </row>
    <row r="28" spans="1:8" x14ac:dyDescent="0.3">
      <c r="A28" s="122">
        <f t="shared" si="3"/>
        <v>9000000</v>
      </c>
      <c r="B28" s="106">
        <f t="shared" si="0"/>
        <v>37134.821087535471</v>
      </c>
      <c r="C28" s="106">
        <f t="shared" si="1"/>
        <v>541425.69145626714</v>
      </c>
      <c r="D28" s="1">
        <f t="shared" si="4"/>
        <v>6.1345083442858111E-4</v>
      </c>
      <c r="E28" s="288">
        <f t="shared" si="2"/>
        <v>48980829.014459282</v>
      </c>
    </row>
    <row r="29" spans="1:8" x14ac:dyDescent="0.3">
      <c r="A29" s="122">
        <f t="shared" si="3"/>
        <v>10500000</v>
      </c>
      <c r="B29" s="106">
        <f t="shared" si="0"/>
        <v>42414.115461166948</v>
      </c>
      <c r="C29" s="106">
        <f t="shared" si="1"/>
        <v>618397.80342381413</v>
      </c>
      <c r="D29" s="1">
        <f t="shared" si="4"/>
        <v>5.0278994034585502E-4</v>
      </c>
      <c r="E29" s="288">
        <f t="shared" si="2"/>
        <v>55944218.293279201</v>
      </c>
    </row>
    <row r="30" spans="1:8" x14ac:dyDescent="0.3">
      <c r="A30" s="122">
        <f t="shared" si="3"/>
        <v>12000000</v>
      </c>
      <c r="B30" s="106">
        <f t="shared" si="0"/>
        <v>47461.761009507813</v>
      </c>
      <c r="C30" s="106">
        <f t="shared" si="1"/>
        <v>691992.47551862395</v>
      </c>
      <c r="D30" s="1">
        <f t="shared" si="4"/>
        <v>4.2063712902840538E-4</v>
      </c>
      <c r="E30" s="288">
        <f t="shared" si="2"/>
        <v>62602062.771540806</v>
      </c>
    </row>
    <row r="31" spans="1:8" x14ac:dyDescent="0.3">
      <c r="A31" s="122">
        <f t="shared" si="3"/>
        <v>13500000</v>
      </c>
      <c r="B31" s="106">
        <f t="shared" si="0"/>
        <v>52287.490449133329</v>
      </c>
      <c r="C31" s="106">
        <f t="shared" si="1"/>
        <v>762351.61074836389</v>
      </c>
      <c r="D31" s="1">
        <f t="shared" si="4"/>
        <v>3.574614399722605E-4</v>
      </c>
      <c r="E31" s="288">
        <f t="shared" si="2"/>
        <v>68967199.902406856</v>
      </c>
    </row>
    <row r="32" spans="1:8" x14ac:dyDescent="0.3">
      <c r="A32" s="122">
        <f t="shared" si="3"/>
        <v>15000000</v>
      </c>
      <c r="B32" s="106">
        <f t="shared" si="0"/>
        <v>56900.665580376983</v>
      </c>
      <c r="C32" s="106">
        <f t="shared" si="1"/>
        <v>829611.70416189637</v>
      </c>
      <c r="D32" s="1">
        <f t="shared" si="4"/>
        <v>3.0754500874957691E-4</v>
      </c>
      <c r="E32" s="288">
        <f t="shared" si="2"/>
        <v>75051977.90051724</v>
      </c>
    </row>
    <row r="33" spans="1:5" x14ac:dyDescent="0.3">
      <c r="A33" s="122">
        <f t="shared" si="3"/>
        <v>16500000</v>
      </c>
      <c r="B33" s="106">
        <f t="shared" si="0"/>
        <v>61310.288022032939</v>
      </c>
      <c r="C33" s="106">
        <f t="shared" si="1"/>
        <v>893903.99936124031</v>
      </c>
      <c r="D33" s="1">
        <f t="shared" si="4"/>
        <v>2.6724984494884581E-4</v>
      </c>
      <c r="E33" s="288">
        <f t="shared" si="2"/>
        <v>80868269.901061445</v>
      </c>
    </row>
    <row r="34" spans="1:5" x14ac:dyDescent="0.3">
      <c r="A34" s="122">
        <f>A33+(($C$18-$B$18)/$D$18)</f>
        <v>18000000</v>
      </c>
      <c r="B34" s="106">
        <f t="shared" si="0"/>
        <v>65525.00995898433</v>
      </c>
      <c r="C34" s="106">
        <f t="shared" si="1"/>
        <v>955354.64520199155</v>
      </c>
      <c r="D34" s="1">
        <f t="shared" si="4"/>
        <v>2.3415121871952176E-4</v>
      </c>
      <c r="E34" s="288">
        <f t="shared" si="2"/>
        <v>86427488.135900334</v>
      </c>
    </row>
    <row r="35" spans="1:5" x14ac:dyDescent="0.3">
      <c r="A35" s="122">
        <f t="shared" si="3"/>
        <v>19500000</v>
      </c>
      <c r="B35" s="106">
        <f t="shared" si="0"/>
        <v>69553.144863749854</v>
      </c>
      <c r="C35" s="106">
        <f t="shared" si="1"/>
        <v>1014084.8521134729</v>
      </c>
      <c r="D35" s="1">
        <f t="shared" si="4"/>
        <v>2.0657102075720635E-4</v>
      </c>
      <c r="E35" s="288">
        <f t="shared" si="2"/>
        <v>91740598.075286061</v>
      </c>
    </row>
    <row r="36" spans="1:5" x14ac:dyDescent="0.3">
      <c r="A36" s="122">
        <f t="shared" si="3"/>
        <v>21000000</v>
      </c>
      <c r="B36" s="106">
        <f t="shared" si="0"/>
        <v>73402.678157398477</v>
      </c>
      <c r="C36" s="106">
        <f t="shared" si="1"/>
        <v>1070211.0475348698</v>
      </c>
      <c r="D36" s="1">
        <f t="shared" si="4"/>
        <v>1.8331110922136299E-4</v>
      </c>
      <c r="E36" s="288">
        <f t="shared" si="2"/>
        <v>96818132.489608586</v>
      </c>
    </row>
    <row r="37" spans="1:5" x14ac:dyDescent="0.3">
      <c r="A37" s="122">
        <f t="shared" si="3"/>
        <v>22500000</v>
      </c>
      <c r="B37" s="106">
        <f t="shared" si="0"/>
        <v>77081.277779318392</v>
      </c>
      <c r="C37" s="106">
        <f t="shared" si="1"/>
        <v>1123845.0300224621</v>
      </c>
      <c r="D37" s="1">
        <f t="shared" si="4"/>
        <v>1.63493316529774E-4</v>
      </c>
      <c r="E37" s="288">
        <f t="shared" si="2"/>
        <v>101670205.39092097</v>
      </c>
    </row>
    <row r="38" spans="1:5" x14ac:dyDescent="0.3">
      <c r="A38" s="122">
        <f t="shared" si="3"/>
        <v>24000000</v>
      </c>
      <c r="B38" s="106">
        <f t="shared" si="0"/>
        <v>80596.304639068432</v>
      </c>
      <c r="C38" s="106">
        <f t="shared" si="1"/>
        <v>1175094.1216376177</v>
      </c>
      <c r="D38" s="1">
        <f t="shared" si="4"/>
        <v>1.4645945248958499E-4</v>
      </c>
      <c r="E38" s="288">
        <f t="shared" si="2"/>
        <v>106306525.81893127</v>
      </c>
    </row>
    <row r="39" spans="1:5" x14ac:dyDescent="0.3">
      <c r="A39" s="122">
        <f t="shared" si="3"/>
        <v>25500000</v>
      </c>
      <c r="B39" s="106">
        <f t="shared" si="0"/>
        <v>83954.822926981375</v>
      </c>
      <c r="C39" s="106">
        <f t="shared" si="1"/>
        <v>1224061.3182753886</v>
      </c>
      <c r="D39" s="1">
        <f t="shared" si="4"/>
        <v>1.3170659952599774E-4</v>
      </c>
      <c r="E39" s="288">
        <f t="shared" si="2"/>
        <v>110736411.44068843</v>
      </c>
    </row>
    <row r="40" spans="1:5" x14ac:dyDescent="0.3">
      <c r="A40" s="122">
        <f t="shared" si="3"/>
        <v>27000000</v>
      </c>
      <c r="B40" s="106">
        <f t="shared" si="0"/>
        <v>87163.610263321549</v>
      </c>
      <c r="C40" s="106">
        <f t="shared" si="1"/>
        <v>1270845.4376392283</v>
      </c>
      <c r="D40" s="1">
        <f t="shared" si="4"/>
        <v>1.1884397542000644E-4</v>
      </c>
      <c r="E40" s="288">
        <f t="shared" si="2"/>
        <v>114968801.93732113</v>
      </c>
    </row>
    <row r="41" spans="1:5" x14ac:dyDescent="0.3">
      <c r="A41" s="122">
        <f>A40+(($C$18-$B$18)/$D$18)</f>
        <v>28500000</v>
      </c>
      <c r="B41" s="106">
        <f t="shared" si="0"/>
        <v>90229.167668692768</v>
      </c>
      <c r="C41" s="106">
        <f t="shared" si="1"/>
        <v>1315541.2646095406</v>
      </c>
      <c r="D41" s="1">
        <f t="shared" si="4"/>
        <v>1.0756341773232348E-4</v>
      </c>
      <c r="E41" s="288">
        <f t="shared" si="2"/>
        <v>119012272.15500575</v>
      </c>
    </row>
    <row r="42" spans="1:5" x14ac:dyDescent="0.3">
      <c r="A42" s="122">
        <f t="shared" si="3"/>
        <v>30000000</v>
      </c>
      <c r="B42" s="106">
        <f t="shared" si="0"/>
        <v>93157.729340983555</v>
      </c>
      <c r="C42" s="106">
        <f t="shared" si="1"/>
        <v>1358239.6937915403</v>
      </c>
      <c r="D42" s="1">
        <f t="shared" si="4"/>
        <v>9.7618722409692897E-5</v>
      </c>
      <c r="E42" s="288">
        <f t="shared" si="2"/>
        <v>122875045.00075731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workbookViewId="0">
      <selection activeCell="I14" sqref="I14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160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28.2" thickBot="1" x14ac:dyDescent="0.35">
      <c r="A3" s="11" t="s">
        <v>3</v>
      </c>
      <c r="B3" s="147" t="s">
        <v>130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467" t="s">
        <v>111</v>
      </c>
      <c r="C4" s="467"/>
      <c r="D4" s="467"/>
      <c r="E4" s="467"/>
      <c r="F4" s="468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431" t="s">
        <v>8</v>
      </c>
      <c r="B7" s="434" t="s">
        <v>9</v>
      </c>
      <c r="C7" s="435"/>
      <c r="D7" s="469" t="s">
        <v>12</v>
      </c>
      <c r="E7" s="470"/>
      <c r="F7" s="471"/>
      <c r="G7" s="434" t="s">
        <v>143</v>
      </c>
      <c r="H7" s="434"/>
      <c r="I7" s="436"/>
      <c r="J7" s="1" t="s">
        <v>144</v>
      </c>
    </row>
    <row r="8" spans="1:18" ht="28.2" customHeight="1" x14ac:dyDescent="0.3">
      <c r="A8" s="432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433"/>
      <c r="B9" s="80">
        <f>JJ_Optim_Scenario!G23</f>
        <v>3535945</v>
      </c>
      <c r="C9" s="80">
        <f>JJ_Optim_Scenario!H23</f>
        <v>5000000</v>
      </c>
      <c r="D9" s="95">
        <f>JJ_Optim_Scenario!I23</f>
        <v>3535945</v>
      </c>
      <c r="E9" s="118">
        <f>((($R$12/(1+EXP($P$12+$Q$12*D9)))-1) - ($F$12-$C$12))*$I$12</f>
        <v>7217</v>
      </c>
      <c r="F9" s="145">
        <f>E9*$G$12</f>
        <v>105223.86</v>
      </c>
      <c r="G9" s="80">
        <f>JJ_Optim_Scenario!E23</f>
        <v>3535945</v>
      </c>
      <c r="H9" s="121">
        <f>((($R$12/(1+EXP($P$12+$Q$12*G9)))-1) - ($F$12-$C$12))*$I$12</f>
        <v>7217</v>
      </c>
      <c r="I9" s="146">
        <f>H9*$G$12</f>
        <v>105223.86</v>
      </c>
      <c r="J9" s="123">
        <f>G9/I9</f>
        <v>33.604022889865476</v>
      </c>
      <c r="K9" s="1" t="s">
        <v>142</v>
      </c>
    </row>
    <row r="10" spans="1:18" ht="14.4" thickBot="1" x14ac:dyDescent="0.35"/>
    <row r="11" spans="1:18" ht="61.8" customHeight="1" x14ac:dyDescent="0.3">
      <c r="A11" s="431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5" t="s">
        <v>134</v>
      </c>
      <c r="K11" s="440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433"/>
      <c r="B12" s="180">
        <v>3535945</v>
      </c>
      <c r="C12" s="86">
        <v>7217</v>
      </c>
      <c r="D12" s="12">
        <v>0</v>
      </c>
      <c r="E12" s="86">
        <v>77475</v>
      </c>
      <c r="F12" s="97">
        <v>5165000</v>
      </c>
      <c r="G12" s="148">
        <f>JJ_Optim_Scenario!$D$31</f>
        <v>14.58</v>
      </c>
      <c r="H12" s="98">
        <f>C12*G12</f>
        <v>105223.86</v>
      </c>
      <c r="I12" s="286">
        <f>JJ_Optim_Scenario!D23</f>
        <v>1</v>
      </c>
      <c r="K12" s="441"/>
      <c r="L12" s="98">
        <f>F12-C12</f>
        <v>5157783</v>
      </c>
      <c r="M12" s="98">
        <f>L12+E12</f>
        <v>5235258</v>
      </c>
      <c r="N12" s="99">
        <f>B12</f>
        <v>3535945</v>
      </c>
      <c r="O12" s="98">
        <f>F12</f>
        <v>5165000</v>
      </c>
      <c r="P12" s="24">
        <f>LN((($M$12+1)/($L$12+1))-1)</f>
        <v>-4.1983070051942253</v>
      </c>
      <c r="Q12" s="100">
        <f>(LN((($M$12+1)/($O$12+1))-1)-$P$12)/$N$12</f>
        <v>-2.804890608780665E-8</v>
      </c>
      <c r="R12" s="101">
        <f>M12+1</f>
        <v>5235259</v>
      </c>
    </row>
    <row r="13" spans="1:18" ht="34.200000000000003" customHeight="1" x14ac:dyDescent="0.3">
      <c r="A13" s="464" t="s">
        <v>119</v>
      </c>
      <c r="B13" s="465"/>
      <c r="C13" s="465"/>
      <c r="D13" s="465"/>
      <c r="E13" s="465"/>
      <c r="F13" s="466"/>
      <c r="G13" s="287" t="s">
        <v>262</v>
      </c>
      <c r="H13" s="287" t="s">
        <v>263</v>
      </c>
      <c r="K13" s="464" t="s">
        <v>120</v>
      </c>
      <c r="L13" s="465"/>
      <c r="M13" s="465"/>
      <c r="N13" s="465"/>
      <c r="O13" s="465"/>
      <c r="P13" s="465"/>
      <c r="Q13" s="465"/>
      <c r="R13" s="466"/>
    </row>
    <row r="14" spans="1:18" ht="33.6" customHeight="1" thickBot="1" x14ac:dyDescent="0.35">
      <c r="A14" s="460"/>
      <c r="B14" s="461"/>
      <c r="C14" s="461"/>
      <c r="D14" s="461"/>
      <c r="E14" s="461"/>
      <c r="F14" s="462"/>
      <c r="G14" s="180">
        <f>JJ_Optim_Scenario!$I$31</f>
        <v>104.31</v>
      </c>
      <c r="H14" s="180">
        <f>JJ_Optim_Scenario!$F$31</f>
        <v>1319</v>
      </c>
      <c r="K14" s="460"/>
      <c r="L14" s="461"/>
      <c r="M14" s="461"/>
      <c r="N14" s="461"/>
      <c r="O14" s="461"/>
      <c r="P14" s="461"/>
      <c r="Q14" s="461"/>
      <c r="R14" s="462"/>
    </row>
    <row r="16" spans="1:18" ht="14.4" thickBot="1" x14ac:dyDescent="0.35"/>
    <row r="17" spans="1:8" ht="42.6" customHeight="1" x14ac:dyDescent="0.3">
      <c r="A17" s="440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441"/>
      <c r="B18" s="102">
        <v>0</v>
      </c>
      <c r="C18" s="103">
        <v>20000000</v>
      </c>
      <c r="D18" s="26">
        <v>20</v>
      </c>
    </row>
    <row r="20" spans="1:8" x14ac:dyDescent="0.3">
      <c r="A20" s="407" t="s">
        <v>37</v>
      </c>
      <c r="B20" s="407"/>
      <c r="C20" s="407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87" t="s">
        <v>264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88">
        <f>B22*$H$14</f>
        <v>0</v>
      </c>
    </row>
    <row r="23" spans="1:8" x14ac:dyDescent="0.3">
      <c r="A23" s="122">
        <f>A22+(($C$18-$B$18)/$D$18)</f>
        <v>1000000</v>
      </c>
      <c r="B23" s="106">
        <f t="shared" si="0"/>
        <v>2112.0480164308101</v>
      </c>
      <c r="C23" s="106">
        <f t="shared" ref="C23:C42" si="1">B23*$G$12</f>
        <v>30793.66007956121</v>
      </c>
      <c r="D23" s="1">
        <f>(B23-B22)/A23</f>
        <v>2.1120480164308099E-3</v>
      </c>
      <c r="E23" s="288">
        <f t="shared" ref="E23:E42" si="2">B23*$H$14</f>
        <v>2785791.3336722385</v>
      </c>
    </row>
    <row r="24" spans="1:8" x14ac:dyDescent="0.3">
      <c r="A24" s="122">
        <f t="shared" ref="A24:A42" si="3">A23+(($C$18-$B$18)/$D$18)</f>
        <v>2000000</v>
      </c>
      <c r="B24" s="106">
        <f t="shared" si="0"/>
        <v>4167.337773276493</v>
      </c>
      <c r="C24" s="106">
        <f t="shared" si="1"/>
        <v>60759.784734371271</v>
      </c>
      <c r="D24" s="1">
        <f t="shared" ref="D24:D42" si="4">(B24-B23)/A24</f>
        <v>1.0276448784228415E-3</v>
      </c>
      <c r="E24" s="288">
        <f t="shared" si="2"/>
        <v>5496718.5229516942</v>
      </c>
    </row>
    <row r="25" spans="1:8" x14ac:dyDescent="0.3">
      <c r="A25" s="122">
        <f t="shared" si="3"/>
        <v>3000000</v>
      </c>
      <c r="B25" s="106">
        <f t="shared" si="0"/>
        <v>6167.3505148170516</v>
      </c>
      <c r="C25" s="106">
        <f t="shared" si="1"/>
        <v>89919.970506032609</v>
      </c>
      <c r="D25" s="1">
        <f t="shared" si="4"/>
        <v>6.6667091384685286E-4</v>
      </c>
      <c r="E25" s="288">
        <f t="shared" si="2"/>
        <v>8134735.329043691</v>
      </c>
    </row>
    <row r="26" spans="1:8" x14ac:dyDescent="0.3">
      <c r="A26" s="122">
        <f t="shared" si="3"/>
        <v>4000000</v>
      </c>
      <c r="B26" s="106">
        <f t="shared" si="0"/>
        <v>8113.5312024233863</v>
      </c>
      <c r="C26" s="106">
        <f t="shared" si="1"/>
        <v>118295.28493133298</v>
      </c>
      <c r="D26" s="1">
        <f t="shared" si="4"/>
        <v>4.8654517190158369E-4</v>
      </c>
      <c r="E26" s="288">
        <f t="shared" si="2"/>
        <v>10701747.655996446</v>
      </c>
    </row>
    <row r="27" spans="1:8" x14ac:dyDescent="0.3">
      <c r="A27" s="122">
        <f t="shared" si="3"/>
        <v>5000000</v>
      </c>
      <c r="B27" s="106">
        <f t="shared" si="0"/>
        <v>10007.289274128154</v>
      </c>
      <c r="C27" s="106">
        <f t="shared" si="1"/>
        <v>145906.27761678849</v>
      </c>
      <c r="D27" s="1">
        <f t="shared" si="4"/>
        <v>3.7875161434095352E-4</v>
      </c>
      <c r="E27" s="288">
        <f t="shared" si="2"/>
        <v>13199614.552575035</v>
      </c>
    </row>
    <row r="28" spans="1:8" x14ac:dyDescent="0.3">
      <c r="A28" s="122">
        <f t="shared" si="3"/>
        <v>6000000</v>
      </c>
      <c r="B28" s="106">
        <f t="shared" si="0"/>
        <v>11849.999395593069</v>
      </c>
      <c r="C28" s="106">
        <f t="shared" si="1"/>
        <v>172772.99118774696</v>
      </c>
      <c r="D28" s="1">
        <f t="shared" si="4"/>
        <v>3.0711835357748592E-4</v>
      </c>
      <c r="E28" s="288">
        <f t="shared" si="2"/>
        <v>15630149.202787258</v>
      </c>
    </row>
    <row r="29" spans="1:8" x14ac:dyDescent="0.3">
      <c r="A29" s="122">
        <f t="shared" si="3"/>
        <v>7000000</v>
      </c>
      <c r="B29" s="106">
        <f t="shared" si="0"/>
        <v>13643.002202072181</v>
      </c>
      <c r="C29" s="106">
        <f t="shared" si="1"/>
        <v>198914.9721062124</v>
      </c>
      <c r="D29" s="1">
        <f t="shared" si="4"/>
        <v>2.5614325806844445E-4</v>
      </c>
      <c r="E29" s="288">
        <f t="shared" si="2"/>
        <v>17995119.904533207</v>
      </c>
    </row>
    <row r="30" spans="1:8" x14ac:dyDescent="0.3">
      <c r="A30" s="122">
        <f t="shared" si="3"/>
        <v>8000000</v>
      </c>
      <c r="B30" s="106">
        <f t="shared" si="0"/>
        <v>15387.605031087063</v>
      </c>
      <c r="C30" s="106">
        <f t="shared" si="1"/>
        <v>224351.28135324939</v>
      </c>
      <c r="D30" s="1">
        <f t="shared" si="4"/>
        <v>2.180753536268603E-4</v>
      </c>
      <c r="E30" s="288">
        <f t="shared" si="2"/>
        <v>20296251.036003835</v>
      </c>
    </row>
    <row r="31" spans="1:8" x14ac:dyDescent="0.3">
      <c r="A31" s="122">
        <f t="shared" si="3"/>
        <v>9000000</v>
      </c>
      <c r="B31" s="106">
        <f t="shared" si="0"/>
        <v>17085.082645485178</v>
      </c>
      <c r="C31" s="106">
        <f t="shared" si="1"/>
        <v>249100.50497117388</v>
      </c>
      <c r="D31" s="1">
        <f t="shared" si="4"/>
        <v>1.886086238220127E-4</v>
      </c>
      <c r="E31" s="288">
        <f t="shared" si="2"/>
        <v>22535224.009394951</v>
      </c>
    </row>
    <row r="32" spans="1:8" x14ac:dyDescent="0.3">
      <c r="A32" s="122">
        <f t="shared" si="3"/>
        <v>10000000</v>
      </c>
      <c r="B32" s="106">
        <f t="shared" si="0"/>
        <v>18736.677946629934</v>
      </c>
      <c r="C32" s="106">
        <f t="shared" si="1"/>
        <v>273180.76446186443</v>
      </c>
      <c r="D32" s="1">
        <f t="shared" si="4"/>
        <v>1.6515953011447563E-4</v>
      </c>
      <c r="E32" s="288">
        <f t="shared" si="2"/>
        <v>24713678.211604882</v>
      </c>
    </row>
    <row r="33" spans="1:5" x14ac:dyDescent="0.3">
      <c r="A33" s="122">
        <f t="shared" si="3"/>
        <v>11000000</v>
      </c>
      <c r="B33" s="106">
        <f t="shared" si="0"/>
        <v>20343.602677509189</v>
      </c>
      <c r="C33" s="106">
        <f t="shared" si="1"/>
        <v>296609.72703808395</v>
      </c>
      <c r="D33" s="1">
        <f t="shared" si="4"/>
        <v>1.460840664435686E-4</v>
      </c>
      <c r="E33" s="288">
        <f t="shared" si="2"/>
        <v>26833211.93163462</v>
      </c>
    </row>
    <row r="34" spans="1:5" x14ac:dyDescent="0.3">
      <c r="A34" s="122">
        <f>A33+(($C$18-$B$18)/$D$18)</f>
        <v>12000000</v>
      </c>
      <c r="B34" s="106">
        <f t="shared" si="0"/>
        <v>21907.038115544245</v>
      </c>
      <c r="C34" s="106">
        <f t="shared" si="1"/>
        <v>319404.61572463508</v>
      </c>
      <c r="D34" s="1">
        <f t="shared" si="4"/>
        <v>1.3028628650292134E-4</v>
      </c>
      <c r="E34" s="288">
        <f t="shared" si="2"/>
        <v>28895383.274402857</v>
      </c>
    </row>
    <row r="35" spans="1:5" x14ac:dyDescent="0.3">
      <c r="A35" s="122">
        <f t="shared" si="3"/>
        <v>13000000</v>
      </c>
      <c r="B35" s="106">
        <f t="shared" si="0"/>
        <v>23428.135754928924</v>
      </c>
      <c r="C35" s="106">
        <f t="shared" si="1"/>
        <v>341582.21930686373</v>
      </c>
      <c r="D35" s="1">
        <f t="shared" si="4"/>
        <v>1.1700751072189842E-4</v>
      </c>
      <c r="E35" s="288">
        <f t="shared" si="2"/>
        <v>30901711.060751252</v>
      </c>
    </row>
    <row r="36" spans="1:5" x14ac:dyDescent="0.3">
      <c r="A36" s="122">
        <f t="shared" si="3"/>
        <v>14000000</v>
      </c>
      <c r="B36" s="106">
        <f t="shared" si="0"/>
        <v>24908.017978378572</v>
      </c>
      <c r="C36" s="106">
        <f t="shared" si="1"/>
        <v>363158.90212475957</v>
      </c>
      <c r="D36" s="1">
        <f t="shared" si="4"/>
        <v>1.0570587310354624E-4</v>
      </c>
      <c r="E36" s="288">
        <f t="shared" si="2"/>
        <v>32853675.713481337</v>
      </c>
    </row>
    <row r="37" spans="1:5" x14ac:dyDescent="0.3">
      <c r="A37" s="122">
        <f t="shared" si="3"/>
        <v>15000000</v>
      </c>
      <c r="B37" s="106">
        <f t="shared" si="0"/>
        <v>26347.778718138114</v>
      </c>
      <c r="C37" s="106">
        <f t="shared" si="1"/>
        <v>384150.61371045368</v>
      </c>
      <c r="D37" s="1">
        <f t="shared" si="4"/>
        <v>9.5984049317302799E-5</v>
      </c>
      <c r="E37" s="288">
        <f t="shared" si="2"/>
        <v>34752720.129224174</v>
      </c>
    </row>
    <row r="38" spans="1:5" x14ac:dyDescent="0.3">
      <c r="A38" s="122">
        <f t="shared" si="3"/>
        <v>16000000</v>
      </c>
      <c r="B38" s="106">
        <f t="shared" si="0"/>
        <v>27748.484106163494</v>
      </c>
      <c r="C38" s="106">
        <f t="shared" si="1"/>
        <v>404572.89826786373</v>
      </c>
      <c r="D38" s="1">
        <f t="shared" si="4"/>
        <v>8.7544086751586289E-5</v>
      </c>
      <c r="E38" s="288">
        <f t="shared" si="2"/>
        <v>36600250.536029652</v>
      </c>
    </row>
    <row r="39" spans="1:5" x14ac:dyDescent="0.3">
      <c r="A39" s="122">
        <f t="shared" si="3"/>
        <v>17000000</v>
      </c>
      <c r="B39" s="106">
        <f t="shared" si="0"/>
        <v>29111.17311341688</v>
      </c>
      <c r="C39" s="106">
        <f t="shared" si="1"/>
        <v>424440.90399361809</v>
      </c>
      <c r="D39" s="1">
        <f t="shared" si="4"/>
        <v>8.0158176897258005E-5</v>
      </c>
      <c r="E39" s="288">
        <f t="shared" si="2"/>
        <v>38397637.336596861</v>
      </c>
    </row>
    <row r="40" spans="1:5" x14ac:dyDescent="0.3">
      <c r="A40" s="122">
        <f t="shared" si="3"/>
        <v>18000000</v>
      </c>
      <c r="B40" s="106">
        <f t="shared" si="0"/>
        <v>30436.858178190887</v>
      </c>
      <c r="C40" s="106">
        <f t="shared" si="1"/>
        <v>443769.39223802311</v>
      </c>
      <c r="D40" s="1">
        <f t="shared" si="4"/>
        <v>7.3649170265222588E-5</v>
      </c>
      <c r="E40" s="288">
        <f t="shared" si="2"/>
        <v>40146215.93703378</v>
      </c>
    </row>
    <row r="41" spans="1:5" x14ac:dyDescent="0.3">
      <c r="A41" s="122">
        <f>A40+(($C$18-$B$18)/$D$18)</f>
        <v>19000000</v>
      </c>
      <c r="B41" s="106">
        <f t="shared" si="0"/>
        <v>31726.525823448785</v>
      </c>
      <c r="C41" s="106">
        <f t="shared" si="1"/>
        <v>462572.74650588329</v>
      </c>
      <c r="D41" s="1">
        <f t="shared" si="4"/>
        <v>6.7877244487257778E-5</v>
      </c>
      <c r="E41" s="288">
        <f t="shared" si="2"/>
        <v>41847287.561128944</v>
      </c>
    </row>
    <row r="42" spans="1:5" x14ac:dyDescent="0.3">
      <c r="A42" s="122">
        <f t="shared" si="3"/>
        <v>20000000</v>
      </c>
      <c r="B42" s="106">
        <f t="shared" si="0"/>
        <v>32981.137263149023</v>
      </c>
      <c r="C42" s="106">
        <f t="shared" si="1"/>
        <v>480864.98129671277</v>
      </c>
      <c r="D42" s="1">
        <f t="shared" si="4"/>
        <v>6.2730571985011917E-5</v>
      </c>
      <c r="E42" s="288">
        <f t="shared" si="2"/>
        <v>43502120.050093561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workbookViewId="0">
      <selection activeCell="B12" sqref="B12:C1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162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47" t="s">
        <v>161</v>
      </c>
      <c r="C3" s="13" t="s">
        <v>5</v>
      </c>
      <c r="D3" s="12" t="s">
        <v>123</v>
      </c>
      <c r="E3" s="13" t="s">
        <v>109</v>
      </c>
      <c r="F3" s="14" t="s">
        <v>164</v>
      </c>
    </row>
    <row r="4" spans="1:18" ht="15" customHeight="1" thickBot="1" x14ac:dyDescent="0.35">
      <c r="A4" s="107" t="s">
        <v>38</v>
      </c>
      <c r="B4" s="467" t="s">
        <v>111</v>
      </c>
      <c r="C4" s="467"/>
      <c r="D4" s="467"/>
      <c r="E4" s="467"/>
      <c r="F4" s="468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1.5</v>
      </c>
    </row>
    <row r="7" spans="1:18" ht="27.6" customHeight="1" x14ac:dyDescent="0.3">
      <c r="A7" s="431" t="s">
        <v>8</v>
      </c>
      <c r="B7" s="434" t="s">
        <v>9</v>
      </c>
      <c r="C7" s="435"/>
      <c r="D7" s="469" t="s">
        <v>12</v>
      </c>
      <c r="E7" s="470"/>
      <c r="F7" s="471"/>
      <c r="G7" s="434" t="s">
        <v>143</v>
      </c>
      <c r="H7" s="434"/>
      <c r="I7" s="436"/>
      <c r="J7" s="1" t="s">
        <v>144</v>
      </c>
    </row>
    <row r="8" spans="1:18" ht="28.2" customHeight="1" x14ac:dyDescent="0.3">
      <c r="A8" s="432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433"/>
      <c r="B9" s="80">
        <f>JJ_Optim_Scenario!G24</f>
        <v>12000000</v>
      </c>
      <c r="C9" s="180">
        <f>JJ_Optim_Scenario!H24</f>
        <v>16500000</v>
      </c>
      <c r="D9" s="180">
        <f>JJ_Optim_Scenario!I24</f>
        <v>12000000</v>
      </c>
      <c r="E9" s="118">
        <f>((($R$12/(1+EXP($P$12+$Q$12*D9)))-1) - ($F$12-$C$12))*$I$12</f>
        <v>298362.66148692742</v>
      </c>
      <c r="F9" s="145">
        <f>E9*$G$12</f>
        <v>298362.66148692742</v>
      </c>
      <c r="G9" s="80">
        <f>JJ_Optim_Scenario!E24</f>
        <v>14895305</v>
      </c>
      <c r="H9" s="121">
        <f>((($R$12/(1+EXP($P$12+$Q$12*G9)))-1) - ($F$12-$C$12))*$I$12</f>
        <v>357940.73004525341</v>
      </c>
      <c r="I9" s="146">
        <f>H9*$G$12</f>
        <v>357940.73004525341</v>
      </c>
      <c r="J9" s="123">
        <f>G9/I9</f>
        <v>41.6138867407373</v>
      </c>
      <c r="K9" s="1" t="s">
        <v>142</v>
      </c>
    </row>
    <row r="10" spans="1:18" ht="14.4" thickBot="1" x14ac:dyDescent="0.35"/>
    <row r="11" spans="1:18" ht="61.8" customHeight="1" x14ac:dyDescent="0.3">
      <c r="A11" s="431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150" t="s">
        <v>163</v>
      </c>
      <c r="H11" s="93" t="s">
        <v>126</v>
      </c>
      <c r="I11" s="15" t="s">
        <v>134</v>
      </c>
      <c r="K11" s="440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433"/>
      <c r="B12" s="80">
        <v>14895305</v>
      </c>
      <c r="C12" s="86">
        <v>357940.73004525516</v>
      </c>
      <c r="D12" s="12">
        <v>0</v>
      </c>
      <c r="E12" s="86">
        <v>1098675</v>
      </c>
      <c r="F12" s="97">
        <v>14649000</v>
      </c>
      <c r="G12" s="151">
        <v>1</v>
      </c>
      <c r="H12" s="98">
        <f>C12*G12</f>
        <v>357940.73004525516</v>
      </c>
      <c r="I12" s="286">
        <f>JJ_Optim_Scenario!D24</f>
        <v>1</v>
      </c>
      <c r="K12" s="441"/>
      <c r="L12" s="98">
        <f>F12-C12</f>
        <v>14291059.269954745</v>
      </c>
      <c r="M12" s="98">
        <f>L12+E12</f>
        <v>15389734.269954745</v>
      </c>
      <c r="N12" s="99">
        <f>B12</f>
        <v>14895305</v>
      </c>
      <c r="O12" s="98">
        <f>F12</f>
        <v>14649000</v>
      </c>
      <c r="P12" s="24">
        <f>LN((($M$12+1)/($L$12+1))-1)</f>
        <v>-2.5655292775253753</v>
      </c>
      <c r="Q12" s="100">
        <f>(LN((($M$12+1)/($O$12+1))-1)-$P$12)/$N$12</f>
        <v>-2.8126728021741543E-8</v>
      </c>
      <c r="R12" s="101">
        <f>M12+1</f>
        <v>15389735.269954745</v>
      </c>
    </row>
    <row r="13" spans="1:18" ht="34.200000000000003" customHeight="1" x14ac:dyDescent="0.3">
      <c r="A13" s="464" t="s">
        <v>119</v>
      </c>
      <c r="B13" s="465"/>
      <c r="C13" s="465"/>
      <c r="D13" s="465"/>
      <c r="E13" s="465"/>
      <c r="F13" s="466"/>
      <c r="G13" s="287" t="s">
        <v>262</v>
      </c>
      <c r="H13" s="287" t="s">
        <v>263</v>
      </c>
      <c r="K13" s="464" t="s">
        <v>120</v>
      </c>
      <c r="L13" s="465"/>
      <c r="M13" s="465"/>
      <c r="N13" s="465"/>
      <c r="O13" s="465"/>
      <c r="P13" s="465"/>
      <c r="Q13" s="465"/>
      <c r="R13" s="466"/>
    </row>
    <row r="14" spans="1:18" ht="33.6" customHeight="1" thickBot="1" x14ac:dyDescent="0.35">
      <c r="A14" s="460"/>
      <c r="B14" s="461"/>
      <c r="C14" s="461"/>
      <c r="D14" s="461"/>
      <c r="E14" s="461"/>
      <c r="F14" s="462"/>
      <c r="G14" s="180">
        <f>JJ_Optim_Scenario!$I$31</f>
        <v>104.31</v>
      </c>
      <c r="H14" s="180">
        <f>JJ_Optim_Scenario!$F$31</f>
        <v>1319</v>
      </c>
      <c r="K14" s="460"/>
      <c r="L14" s="461"/>
      <c r="M14" s="461"/>
      <c r="N14" s="461"/>
      <c r="O14" s="461"/>
      <c r="P14" s="461"/>
      <c r="Q14" s="461"/>
      <c r="R14" s="462"/>
    </row>
    <row r="16" spans="1:18" ht="14.4" thickBot="1" x14ac:dyDescent="0.35"/>
    <row r="17" spans="1:8" ht="42.6" customHeight="1" x14ac:dyDescent="0.3">
      <c r="A17" s="440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441"/>
      <c r="B18" s="102">
        <v>0</v>
      </c>
      <c r="C18" s="103">
        <v>50000000</v>
      </c>
      <c r="D18" s="26">
        <v>20</v>
      </c>
    </row>
    <row r="20" spans="1:8" x14ac:dyDescent="0.3">
      <c r="A20" s="407" t="s">
        <v>37</v>
      </c>
      <c r="B20" s="407"/>
      <c r="C20" s="407"/>
    </row>
    <row r="21" spans="1:8" x14ac:dyDescent="0.3">
      <c r="A21" s="91" t="s">
        <v>35</v>
      </c>
      <c r="B21" s="91" t="s">
        <v>156</v>
      </c>
      <c r="C21" s="91" t="s">
        <v>128</v>
      </c>
      <c r="D21" s="1" t="s">
        <v>129</v>
      </c>
      <c r="E21" s="287" t="s">
        <v>265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-1.862645149230957E-9</v>
      </c>
      <c r="C22" s="106">
        <f>B22*$G$12</f>
        <v>-1.862645149230957E-9</v>
      </c>
      <c r="E22" s="288">
        <f>B22*$G$14</f>
        <v>-1.9429251551628113E-7</v>
      </c>
    </row>
    <row r="23" spans="1:8" x14ac:dyDescent="0.3">
      <c r="A23" s="122">
        <f>A22+(($C$18-$B$18)/$D$18)</f>
        <v>2500000</v>
      </c>
      <c r="B23" s="106">
        <f t="shared" si="0"/>
        <v>69613.343456786126</v>
      </c>
      <c r="C23" s="106">
        <f t="shared" ref="C23:C42" si="1">B23*$G$12</f>
        <v>69613.343456786126</v>
      </c>
      <c r="D23" s="1">
        <f>(B23-B22)/A23</f>
        <v>2.7845337382715194E-2</v>
      </c>
      <c r="E23" s="288">
        <f t="shared" ref="E23:E42" si="2">B23*$G$14</f>
        <v>7261367.8559773611</v>
      </c>
    </row>
    <row r="24" spans="1:8" x14ac:dyDescent="0.3">
      <c r="A24" s="122">
        <f t="shared" ref="A24:A42" si="3">A23+(($C$18-$B$18)/$D$18)</f>
        <v>5000000</v>
      </c>
      <c r="B24" s="106">
        <f t="shared" si="0"/>
        <v>135113.29644636251</v>
      </c>
      <c r="C24" s="106">
        <f t="shared" si="1"/>
        <v>135113.29644636251</v>
      </c>
      <c r="D24" s="1">
        <f t="shared" ref="D24:D42" si="4">(B24-B23)/A24</f>
        <v>1.3099990597915277E-2</v>
      </c>
      <c r="E24" s="288">
        <f t="shared" si="2"/>
        <v>14093667.952320075</v>
      </c>
    </row>
    <row r="25" spans="1:8" x14ac:dyDescent="0.3">
      <c r="A25" s="122">
        <f t="shared" si="3"/>
        <v>7500000</v>
      </c>
      <c r="B25" s="106">
        <f t="shared" si="0"/>
        <v>196706.01895291917</v>
      </c>
      <c r="C25" s="106">
        <f t="shared" si="1"/>
        <v>196706.01895291917</v>
      </c>
      <c r="D25" s="1">
        <f t="shared" si="4"/>
        <v>8.2123630008742211E-3</v>
      </c>
      <c r="E25" s="288">
        <f t="shared" si="2"/>
        <v>20518404.836978998</v>
      </c>
    </row>
    <row r="26" spans="1:8" x14ac:dyDescent="0.3">
      <c r="A26" s="122">
        <f t="shared" si="3"/>
        <v>10000000</v>
      </c>
      <c r="B26" s="106">
        <f t="shared" si="0"/>
        <v>254591.97913881578</v>
      </c>
      <c r="C26" s="106">
        <f t="shared" si="1"/>
        <v>254591.97913881578</v>
      </c>
      <c r="D26" s="1">
        <f t="shared" si="4"/>
        <v>5.7885960185896602E-3</v>
      </c>
      <c r="E26" s="288">
        <f t="shared" si="2"/>
        <v>26556489.343969874</v>
      </c>
    </row>
    <row r="27" spans="1:8" x14ac:dyDescent="0.3">
      <c r="A27" s="122">
        <f t="shared" si="3"/>
        <v>12500000</v>
      </c>
      <c r="B27" s="106">
        <f t="shared" si="0"/>
        <v>308965.47104606405</v>
      </c>
      <c r="C27" s="106">
        <f t="shared" si="1"/>
        <v>308965.47104606405</v>
      </c>
      <c r="D27" s="1">
        <f t="shared" si="4"/>
        <v>4.3498793525798621E-3</v>
      </c>
      <c r="E27" s="288">
        <f t="shared" si="2"/>
        <v>32228188.284814943</v>
      </c>
    </row>
    <row r="28" spans="1:8" x14ac:dyDescent="0.3">
      <c r="A28" s="122">
        <f t="shared" si="3"/>
        <v>15000000</v>
      </c>
      <c r="B28" s="106">
        <f t="shared" si="0"/>
        <v>360014.24244978279</v>
      </c>
      <c r="C28" s="106">
        <f t="shared" si="1"/>
        <v>360014.24244978279</v>
      </c>
      <c r="D28" s="1">
        <f t="shared" si="4"/>
        <v>3.4032514269145826E-3</v>
      </c>
      <c r="E28" s="288">
        <f t="shared" si="2"/>
        <v>37553085.629936844</v>
      </c>
    </row>
    <row r="29" spans="1:8" x14ac:dyDescent="0.3">
      <c r="A29" s="122">
        <f t="shared" si="3"/>
        <v>17500000</v>
      </c>
      <c r="B29" s="106">
        <f t="shared" si="0"/>
        <v>407919.22098019347</v>
      </c>
      <c r="C29" s="106">
        <f t="shared" si="1"/>
        <v>407919.22098019347</v>
      </c>
      <c r="D29" s="1">
        <f t="shared" si="4"/>
        <v>2.7374273445948958E-3</v>
      </c>
      <c r="E29" s="288">
        <f t="shared" si="2"/>
        <v>42550053.940443978</v>
      </c>
    </row>
    <row r="30" spans="1:8" x14ac:dyDescent="0.3">
      <c r="A30" s="122">
        <f t="shared" si="3"/>
        <v>20000000</v>
      </c>
      <c r="B30" s="106">
        <f t="shared" si="0"/>
        <v>452854.32718004286</v>
      </c>
      <c r="C30" s="106">
        <f t="shared" si="1"/>
        <v>452854.32718004286</v>
      </c>
      <c r="D30" s="1">
        <f t="shared" si="4"/>
        <v>2.2467553099924696E-3</v>
      </c>
      <c r="E30" s="288">
        <f t="shared" si="2"/>
        <v>47237234.868150271</v>
      </c>
    </row>
    <row r="31" spans="1:8" x14ac:dyDescent="0.3">
      <c r="A31" s="122">
        <f t="shared" si="3"/>
        <v>22500000</v>
      </c>
      <c r="B31" s="106">
        <f t="shared" si="0"/>
        <v>494986.36381567456</v>
      </c>
      <c r="C31" s="106">
        <f t="shared" si="1"/>
        <v>494986.36381567456</v>
      </c>
      <c r="D31" s="1">
        <f t="shared" si="4"/>
        <v>1.872534961583631E-3</v>
      </c>
      <c r="E31" s="288">
        <f t="shared" si="2"/>
        <v>51632027.609613016</v>
      </c>
    </row>
    <row r="32" spans="1:8" x14ac:dyDescent="0.3">
      <c r="A32" s="122">
        <f t="shared" si="3"/>
        <v>25000000</v>
      </c>
      <c r="B32" s="106">
        <f t="shared" si="0"/>
        <v>534474.97147820704</v>
      </c>
      <c r="C32" s="106">
        <f t="shared" si="1"/>
        <v>534474.97147820704</v>
      </c>
      <c r="D32" s="1">
        <f t="shared" si="4"/>
        <v>1.5795443065012992E-3</v>
      </c>
      <c r="E32" s="288">
        <f t="shared" si="2"/>
        <v>55751084.274891779</v>
      </c>
    </row>
    <row r="33" spans="1:5" x14ac:dyDescent="0.3">
      <c r="A33" s="122">
        <f t="shared" si="3"/>
        <v>27500000</v>
      </c>
      <c r="B33" s="106">
        <f t="shared" si="0"/>
        <v>571472.64126765914</v>
      </c>
      <c r="C33" s="106">
        <f t="shared" si="1"/>
        <v>571472.64126765914</v>
      </c>
      <c r="D33" s="1">
        <f t="shared" si="4"/>
        <v>1.3453698105255311E-3</v>
      </c>
      <c r="E33" s="288">
        <f t="shared" si="2"/>
        <v>59610311.210629523</v>
      </c>
    </row>
    <row r="34" spans="1:5" x14ac:dyDescent="0.3">
      <c r="A34" s="122">
        <f>A33+(($C$18-$B$18)/$D$18)</f>
        <v>30000000</v>
      </c>
      <c r="B34" s="106">
        <f t="shared" si="0"/>
        <v>606124.7761241179</v>
      </c>
      <c r="C34" s="106">
        <f t="shared" si="1"/>
        <v>606124.7761241179</v>
      </c>
      <c r="D34" s="1">
        <f t="shared" si="4"/>
        <v>1.1550711618819585E-3</v>
      </c>
      <c r="E34" s="288">
        <f t="shared" si="2"/>
        <v>63224875.397506736</v>
      </c>
    </row>
    <row r="35" spans="1:5" x14ac:dyDescent="0.3">
      <c r="A35" s="122">
        <f t="shared" si="3"/>
        <v>32500000</v>
      </c>
      <c r="B35" s="106">
        <f t="shared" si="0"/>
        <v>638569.79313788004</v>
      </c>
      <c r="C35" s="106">
        <f t="shared" si="1"/>
        <v>638569.79313788004</v>
      </c>
      <c r="D35" s="1">
        <f t="shared" si="4"/>
        <v>9.9830821580806613E-4</v>
      </c>
      <c r="E35" s="288">
        <f t="shared" si="2"/>
        <v>66609215.122212268</v>
      </c>
    </row>
    <row r="36" spans="1:5" x14ac:dyDescent="0.3">
      <c r="A36" s="122">
        <f t="shared" si="3"/>
        <v>35000000</v>
      </c>
      <c r="B36" s="106">
        <f t="shared" si="0"/>
        <v>668939.25991971605</v>
      </c>
      <c r="C36" s="106">
        <f t="shared" si="1"/>
        <v>668939.25991971605</v>
      </c>
      <c r="D36" s="1">
        <f t="shared" si="4"/>
        <v>8.6769905090960009E-4</v>
      </c>
      <c r="E36" s="288">
        <f t="shared" si="2"/>
        <v>69777054.202225581</v>
      </c>
    </row>
    <row r="37" spans="1:5" x14ac:dyDescent="0.3">
      <c r="A37" s="122">
        <f t="shared" si="3"/>
        <v>37500000</v>
      </c>
      <c r="B37" s="106">
        <f t="shared" si="0"/>
        <v>697358.05883310176</v>
      </c>
      <c r="C37" s="106">
        <f t="shared" si="1"/>
        <v>697358.05883310176</v>
      </c>
      <c r="D37" s="1">
        <f t="shared" si="4"/>
        <v>7.5783463769028587E-4</v>
      </c>
      <c r="E37" s="288">
        <f t="shared" si="2"/>
        <v>72741419.116880849</v>
      </c>
    </row>
    <row r="38" spans="1:5" x14ac:dyDescent="0.3">
      <c r="A38" s="122">
        <f t="shared" si="3"/>
        <v>40000000</v>
      </c>
      <c r="B38" s="106">
        <f t="shared" si="0"/>
        <v>723944.57357360981</v>
      </c>
      <c r="C38" s="106">
        <f t="shared" si="1"/>
        <v>723944.57357360981</v>
      </c>
      <c r="D38" s="1">
        <f t="shared" si="4"/>
        <v>6.6466286851270121E-4</v>
      </c>
      <c r="E38" s="288">
        <f t="shared" si="2"/>
        <v>75514658.469463244</v>
      </c>
    </row>
    <row r="39" spans="1:5" x14ac:dyDescent="0.3">
      <c r="A39" s="122">
        <f t="shared" si="3"/>
        <v>42500000</v>
      </c>
      <c r="B39" s="106">
        <f t="shared" si="0"/>
        <v>748810.89322213084</v>
      </c>
      <c r="C39" s="106">
        <f t="shared" si="1"/>
        <v>748810.89322213084</v>
      </c>
      <c r="D39" s="1">
        <f t="shared" si="4"/>
        <v>5.8508987408284756E-4</v>
      </c>
      <c r="E39" s="288">
        <f t="shared" si="2"/>
        <v>78108464.272000462</v>
      </c>
    </row>
    <row r="40" spans="1:5" x14ac:dyDescent="0.3">
      <c r="A40" s="122">
        <f t="shared" si="3"/>
        <v>45000000</v>
      </c>
      <c r="B40" s="106">
        <f t="shared" si="0"/>
        <v>772063.02949445881</v>
      </c>
      <c r="C40" s="106">
        <f t="shared" si="1"/>
        <v>772063.02949445881</v>
      </c>
      <c r="D40" s="1">
        <f t="shared" si="4"/>
        <v>5.1671413938506614E-4</v>
      </c>
      <c r="E40" s="288">
        <f t="shared" si="2"/>
        <v>80533894.606566995</v>
      </c>
    </row>
    <row r="41" spans="1:5" x14ac:dyDescent="0.3">
      <c r="A41" s="122">
        <f>A40+(($C$18-$B$18)/$D$18)</f>
        <v>47500000</v>
      </c>
      <c r="B41" s="106">
        <f t="shared" si="0"/>
        <v>793801.14345869608</v>
      </c>
      <c r="C41" s="106">
        <f t="shared" si="1"/>
        <v>793801.14345869608</v>
      </c>
      <c r="D41" s="1">
        <f t="shared" si="4"/>
        <v>4.5764450451025838E-4</v>
      </c>
      <c r="E41" s="288">
        <f t="shared" si="2"/>
        <v>82801397.274176598</v>
      </c>
    </row>
    <row r="42" spans="1:5" x14ac:dyDescent="0.3">
      <c r="A42" s="122">
        <f t="shared" si="3"/>
        <v>50000000</v>
      </c>
      <c r="B42" s="106">
        <f t="shared" si="0"/>
        <v>814119.77849387564</v>
      </c>
      <c r="C42" s="106">
        <f t="shared" si="1"/>
        <v>814119.77849387564</v>
      </c>
      <c r="D42" s="1">
        <f t="shared" si="4"/>
        <v>4.0637270070359113E-4</v>
      </c>
      <c r="E42" s="288">
        <f t="shared" si="2"/>
        <v>84920834.094696164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"/>
  <sheetViews>
    <sheetView workbookViewId="0">
      <selection activeCell="D27" sqref="D27"/>
    </sheetView>
  </sheetViews>
  <sheetFormatPr defaultRowHeight="14.4" x14ac:dyDescent="0.3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408" t="s">
        <v>105</v>
      </c>
      <c r="G2" s="409"/>
      <c r="H2" s="409"/>
      <c r="I2" s="409"/>
      <c r="J2" s="409"/>
      <c r="K2" s="409"/>
      <c r="L2" s="410"/>
    </row>
    <row r="3" spans="1:12" ht="14.4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411" t="s">
        <v>72</v>
      </c>
      <c r="G3" s="412"/>
      <c r="H3" s="412"/>
      <c r="I3" s="412"/>
      <c r="J3" s="412"/>
      <c r="K3" s="412"/>
      <c r="L3" s="413"/>
    </row>
    <row r="4" spans="1:12" ht="14.4" thickBot="1" x14ac:dyDescent="0.35">
      <c r="A4" s="29" t="s">
        <v>38</v>
      </c>
      <c r="B4" s="472" t="s">
        <v>39</v>
      </c>
      <c r="C4" s="472"/>
      <c r="D4" s="473"/>
    </row>
    <row r="6" spans="1:12" ht="14.4" thickBot="1" x14ac:dyDescent="0.35"/>
    <row r="7" spans="1:12" ht="27.6" customHeight="1" x14ac:dyDescent="0.3">
      <c r="A7" s="431" t="s">
        <v>8</v>
      </c>
      <c r="B7" s="434" t="s">
        <v>9</v>
      </c>
      <c r="C7" s="435"/>
      <c r="D7" s="469" t="s">
        <v>12</v>
      </c>
      <c r="E7" s="471"/>
      <c r="F7" s="470" t="s">
        <v>24</v>
      </c>
      <c r="G7" s="480"/>
    </row>
    <row r="8" spans="1:12" ht="27.6" x14ac:dyDescent="0.3">
      <c r="A8" s="43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433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" thickBot="1" x14ac:dyDescent="0.35"/>
    <row r="11" spans="1:12" x14ac:dyDescent="0.3">
      <c r="A11" s="431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31" t="s">
        <v>25</v>
      </c>
      <c r="H11" s="21" t="s">
        <v>26</v>
      </c>
      <c r="I11" s="21" t="s">
        <v>27</v>
      </c>
      <c r="J11" s="15" t="s">
        <v>28</v>
      </c>
    </row>
    <row r="12" spans="1:12" ht="14.4" thickBot="1" x14ac:dyDescent="0.35">
      <c r="A12" s="433"/>
      <c r="B12" s="12">
        <v>20</v>
      </c>
      <c r="C12" s="12">
        <v>30</v>
      </c>
      <c r="D12" s="12">
        <v>0</v>
      </c>
      <c r="E12" s="14">
        <v>70</v>
      </c>
      <c r="G12" s="433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200000000000003" customHeight="1" x14ac:dyDescent="0.3">
      <c r="A13" s="464" t="s">
        <v>30</v>
      </c>
      <c r="B13" s="465"/>
      <c r="C13" s="465"/>
      <c r="D13" s="465"/>
      <c r="E13" s="466"/>
      <c r="G13" s="474" t="s">
        <v>29</v>
      </c>
      <c r="H13" s="475"/>
      <c r="I13" s="475"/>
      <c r="J13" s="476"/>
    </row>
    <row r="14" spans="1:12" ht="33.6" customHeight="1" x14ac:dyDescent="0.3">
      <c r="A14" s="460"/>
      <c r="B14" s="461"/>
      <c r="C14" s="461"/>
      <c r="D14" s="461"/>
      <c r="E14" s="462"/>
      <c r="G14" s="477"/>
      <c r="H14" s="478"/>
      <c r="I14" s="478"/>
      <c r="J14" s="479"/>
    </row>
    <row r="16" spans="1:12" ht="14.4" thickBot="1" x14ac:dyDescent="0.35"/>
    <row r="17" spans="1:4" ht="16.8" customHeight="1" x14ac:dyDescent="0.3">
      <c r="A17" s="440" t="s">
        <v>34</v>
      </c>
      <c r="B17" s="21" t="s">
        <v>32</v>
      </c>
      <c r="C17" s="21" t="s">
        <v>31</v>
      </c>
      <c r="D17" s="15" t="s">
        <v>33</v>
      </c>
    </row>
    <row r="18" spans="1:4" ht="23.4" customHeight="1" thickBot="1" x14ac:dyDescent="0.35">
      <c r="A18" s="441"/>
      <c r="B18" s="12">
        <v>0</v>
      </c>
      <c r="C18" s="12">
        <v>100</v>
      </c>
      <c r="D18" s="26">
        <v>20</v>
      </c>
    </row>
    <row r="20" spans="1:4" x14ac:dyDescent="0.3">
      <c r="A20" s="407" t="s">
        <v>37</v>
      </c>
      <c r="B20" s="407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408" t="s">
        <v>105</v>
      </c>
      <c r="G2" s="409"/>
      <c r="H2" s="409"/>
      <c r="I2" s="409"/>
      <c r="J2" s="409"/>
      <c r="K2" s="409"/>
      <c r="L2" s="410"/>
    </row>
    <row r="3" spans="1:12" ht="14.4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411" t="s">
        <v>72</v>
      </c>
      <c r="G3" s="412"/>
      <c r="H3" s="412"/>
      <c r="I3" s="412"/>
      <c r="J3" s="412"/>
      <c r="K3" s="412"/>
      <c r="L3" s="413"/>
    </row>
    <row r="4" spans="1:12" ht="31.8" customHeight="1" thickBot="1" x14ac:dyDescent="0.35">
      <c r="A4" s="29" t="s">
        <v>38</v>
      </c>
      <c r="B4" s="484" t="s">
        <v>41</v>
      </c>
      <c r="C4" s="485"/>
      <c r="D4" s="486"/>
    </row>
    <row r="6" spans="1:12" ht="14.4" thickBot="1" x14ac:dyDescent="0.35"/>
    <row r="7" spans="1:12" ht="27.6" customHeight="1" x14ac:dyDescent="0.3">
      <c r="A7" s="431" t="s">
        <v>8</v>
      </c>
      <c r="B7" s="434" t="s">
        <v>9</v>
      </c>
      <c r="C7" s="435"/>
      <c r="D7" s="469" t="s">
        <v>12</v>
      </c>
      <c r="E7" s="471"/>
      <c r="F7" s="470" t="s">
        <v>24</v>
      </c>
      <c r="G7" s="480"/>
      <c r="H7" s="1" t="s">
        <v>54</v>
      </c>
    </row>
    <row r="8" spans="1:12" ht="27.6" x14ac:dyDescent="0.3">
      <c r="A8" s="43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433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4.4" thickBot="1" x14ac:dyDescent="0.35"/>
    <row r="11" spans="1:12" ht="27.6" customHeight="1" x14ac:dyDescent="0.3">
      <c r="A11" s="431" t="s">
        <v>42</v>
      </c>
      <c r="B11" s="416" t="s">
        <v>47</v>
      </c>
      <c r="C11" s="481" t="s">
        <v>46</v>
      </c>
      <c r="D11" s="470"/>
      <c r="E11" s="470"/>
      <c r="F11" s="3" t="s">
        <v>48</v>
      </c>
      <c r="G11" s="33"/>
      <c r="H11" s="32"/>
      <c r="I11" s="32"/>
      <c r="J11" s="32"/>
    </row>
    <row r="12" spans="1:12" x14ac:dyDescent="0.3">
      <c r="A12" s="482"/>
      <c r="B12" s="405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483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8" customHeight="1" x14ac:dyDescent="0.3">
      <c r="A14" s="439" t="s">
        <v>52</v>
      </c>
      <c r="B14" s="439"/>
      <c r="C14" s="439"/>
      <c r="D14" s="439"/>
      <c r="E14" s="439"/>
      <c r="F14" s="439"/>
      <c r="G14" s="38"/>
      <c r="H14" s="39"/>
      <c r="I14" s="39"/>
      <c r="J14" s="39"/>
    </row>
    <row r="15" spans="1:12" ht="30.6" customHeight="1" x14ac:dyDescent="0.3">
      <c r="A15" s="439"/>
      <c r="B15" s="439"/>
      <c r="C15" s="439"/>
      <c r="D15" s="439"/>
      <c r="E15" s="439"/>
      <c r="F15" s="439"/>
      <c r="G15" s="38"/>
      <c r="H15" s="39"/>
      <c r="I15" s="39"/>
      <c r="J15" s="39"/>
    </row>
    <row r="17" spans="1:4" ht="14.4" thickBot="1" x14ac:dyDescent="0.35"/>
    <row r="18" spans="1:4" ht="16.8" customHeight="1" x14ac:dyDescent="0.3">
      <c r="A18" s="440" t="s">
        <v>34</v>
      </c>
      <c r="B18" s="21" t="s">
        <v>32</v>
      </c>
      <c r="C18" s="21" t="s">
        <v>31</v>
      </c>
      <c r="D18" s="15" t="s">
        <v>33</v>
      </c>
    </row>
    <row r="19" spans="1:4" ht="23.4" customHeight="1" thickBot="1" x14ac:dyDescent="0.35">
      <c r="A19" s="441"/>
      <c r="B19" s="12">
        <v>0</v>
      </c>
      <c r="C19" s="12">
        <v>20000000</v>
      </c>
      <c r="D19" s="26">
        <v>20</v>
      </c>
    </row>
    <row r="21" spans="1:4" x14ac:dyDescent="0.3">
      <c r="A21" s="407" t="s">
        <v>37</v>
      </c>
      <c r="B21" s="407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4" ht="14.4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408" t="s">
        <v>105</v>
      </c>
      <c r="G2" s="409"/>
      <c r="H2" s="409"/>
      <c r="I2" s="409"/>
      <c r="J2" s="409"/>
      <c r="K2" s="409"/>
      <c r="L2" s="410"/>
    </row>
    <row r="3" spans="1:14" ht="14.4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411" t="s">
        <v>72</v>
      </c>
      <c r="G3" s="412"/>
      <c r="H3" s="412"/>
      <c r="I3" s="412"/>
      <c r="J3" s="412"/>
      <c r="K3" s="412"/>
      <c r="L3" s="413"/>
    </row>
    <row r="4" spans="1:14" ht="14.4" thickBot="1" x14ac:dyDescent="0.35">
      <c r="A4" s="29" t="s">
        <v>38</v>
      </c>
      <c r="B4" s="472" t="s">
        <v>57</v>
      </c>
      <c r="C4" s="472"/>
      <c r="D4" s="473"/>
    </row>
    <row r="6" spans="1:14" ht="14.4" thickBot="1" x14ac:dyDescent="0.35"/>
    <row r="7" spans="1:14" ht="27.6" customHeight="1" x14ac:dyDescent="0.3">
      <c r="A7" s="431" t="s">
        <v>8</v>
      </c>
      <c r="B7" s="434" t="s">
        <v>9</v>
      </c>
      <c r="C7" s="435"/>
      <c r="D7" s="469" t="s">
        <v>12</v>
      </c>
      <c r="E7" s="471"/>
      <c r="F7" s="470" t="s">
        <v>24</v>
      </c>
      <c r="G7" s="480"/>
      <c r="I7" s="463" t="s">
        <v>73</v>
      </c>
      <c r="J7" s="463"/>
      <c r="K7" s="463"/>
      <c r="L7" s="463"/>
      <c r="N7" s="47" t="s">
        <v>58</v>
      </c>
    </row>
    <row r="8" spans="1:14" ht="27.6" x14ac:dyDescent="0.3">
      <c r="A8" s="43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63"/>
      <c r="J8" s="463"/>
      <c r="K8" s="463"/>
      <c r="L8" s="463"/>
      <c r="N8" s="47" t="s">
        <v>59</v>
      </c>
    </row>
    <row r="9" spans="1:14" ht="14.4" thickBot="1" x14ac:dyDescent="0.35">
      <c r="A9" s="433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8" customHeight="1" x14ac:dyDescent="0.3">
      <c r="A11" s="407" t="s">
        <v>60</v>
      </c>
      <c r="B11" s="3" t="s">
        <v>61</v>
      </c>
      <c r="C11" s="3" t="s">
        <v>62</v>
      </c>
      <c r="D11" s="32"/>
      <c r="E11" s="454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" customHeight="1" x14ac:dyDescent="0.3">
      <c r="A12" s="407"/>
      <c r="B12" s="41">
        <v>0</v>
      </c>
      <c r="C12" s="41">
        <v>0</v>
      </c>
      <c r="D12" s="32"/>
      <c r="E12" s="455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" customHeight="1" x14ac:dyDescent="0.3">
      <c r="A13" s="407"/>
      <c r="B13" s="41">
        <v>1</v>
      </c>
      <c r="C13" s="41">
        <v>0.75</v>
      </c>
      <c r="D13" s="32"/>
      <c r="E13" s="455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" customHeight="1" x14ac:dyDescent="0.3">
      <c r="A14" s="407"/>
      <c r="B14" s="41">
        <v>2</v>
      </c>
      <c r="C14" s="41">
        <v>0</v>
      </c>
      <c r="D14" s="32"/>
      <c r="E14" s="455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" customHeight="1" x14ac:dyDescent="0.3">
      <c r="A15" s="407"/>
      <c r="B15" s="41">
        <v>3</v>
      </c>
      <c r="C15" s="41">
        <v>-1</v>
      </c>
      <c r="D15" s="32"/>
      <c r="E15" s="455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" customHeight="1" x14ac:dyDescent="0.3">
      <c r="A16" s="407"/>
      <c r="B16" s="41">
        <v>4</v>
      </c>
      <c r="C16" s="41">
        <v>3</v>
      </c>
      <c r="D16" s="32"/>
      <c r="E16" s="455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407"/>
      <c r="B17" s="42">
        <v>5</v>
      </c>
      <c r="C17" s="42">
        <v>3</v>
      </c>
      <c r="D17" s="40"/>
      <c r="E17" s="455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" customHeight="1" x14ac:dyDescent="0.3">
      <c r="A18" s="487" t="s">
        <v>74</v>
      </c>
      <c r="B18" s="488"/>
      <c r="C18" s="489"/>
      <c r="D18" s="33"/>
      <c r="E18" s="439" t="s">
        <v>75</v>
      </c>
      <c r="F18" s="439"/>
      <c r="G18" s="439"/>
      <c r="H18" s="439"/>
      <c r="I18" s="439"/>
      <c r="J18" s="439"/>
      <c r="K18" s="439"/>
      <c r="L18" s="439"/>
      <c r="M18" s="439"/>
    </row>
    <row r="19" spans="1:13" ht="35.4" customHeight="1" x14ac:dyDescent="0.3">
      <c r="A19" s="460"/>
      <c r="B19" s="461"/>
      <c r="C19" s="462"/>
      <c r="D19" s="33"/>
      <c r="E19" s="439"/>
      <c r="F19" s="439"/>
      <c r="G19" s="439"/>
      <c r="H19" s="439"/>
      <c r="I19" s="439"/>
      <c r="J19" s="439"/>
      <c r="K19" s="439"/>
      <c r="L19" s="439"/>
      <c r="M19" s="439"/>
    </row>
    <row r="21" spans="1:13" ht="14.4" thickBot="1" x14ac:dyDescent="0.35"/>
    <row r="22" spans="1:13" ht="16.8" customHeight="1" x14ac:dyDescent="0.3">
      <c r="A22" s="440" t="s">
        <v>34</v>
      </c>
      <c r="B22" s="21" t="s">
        <v>32</v>
      </c>
      <c r="C22" s="21" t="s">
        <v>31</v>
      </c>
      <c r="D22" s="15" t="s">
        <v>33</v>
      </c>
    </row>
    <row r="23" spans="1:13" ht="23.4" customHeight="1" thickBot="1" x14ac:dyDescent="0.35">
      <c r="A23" s="441"/>
      <c r="B23" s="12">
        <v>0</v>
      </c>
      <c r="C23" s="12">
        <v>5</v>
      </c>
      <c r="D23" s="26">
        <v>20</v>
      </c>
    </row>
    <row r="25" spans="1:13" x14ac:dyDescent="0.3">
      <c r="A25" s="407" t="s">
        <v>37</v>
      </c>
      <c r="B25" s="407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O42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384" width="8.88671875" style="1"/>
  </cols>
  <sheetData>
    <row r="1" spans="1:15" ht="14.4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106</v>
      </c>
      <c r="C2" s="9" t="s">
        <v>4</v>
      </c>
      <c r="D2" s="10" t="s">
        <v>6</v>
      </c>
      <c r="H2" s="68" t="s">
        <v>107</v>
      </c>
      <c r="I2" s="69"/>
      <c r="J2" s="69"/>
      <c r="K2" s="69"/>
      <c r="L2" s="70"/>
    </row>
    <row r="3" spans="1:15" ht="14.4" thickBot="1" x14ac:dyDescent="0.35">
      <c r="A3" s="94" t="s">
        <v>3</v>
      </c>
      <c r="B3" s="27" t="s">
        <v>108</v>
      </c>
      <c r="C3" s="6" t="s">
        <v>5</v>
      </c>
      <c r="D3" s="28" t="s">
        <v>7</v>
      </c>
      <c r="E3" s="6" t="s">
        <v>109</v>
      </c>
      <c r="F3" s="28" t="s">
        <v>110</v>
      </c>
    </row>
    <row r="4" spans="1:15" ht="15" customHeight="1" thickBot="1" x14ac:dyDescent="0.35">
      <c r="A4" s="29" t="s">
        <v>38</v>
      </c>
      <c r="B4" s="490" t="s">
        <v>111</v>
      </c>
      <c r="C4" s="490"/>
      <c r="D4" s="490"/>
      <c r="E4" s="490"/>
      <c r="F4" s="491"/>
      <c r="H4" s="1" t="s">
        <v>112</v>
      </c>
    </row>
    <row r="5" spans="1:15" x14ac:dyDescent="0.3">
      <c r="H5" s="1" t="s">
        <v>113</v>
      </c>
    </row>
    <row r="6" spans="1:15" ht="14.4" thickBot="1" x14ac:dyDescent="0.35">
      <c r="B6" s="78">
        <v>0.6</v>
      </c>
      <c r="C6" s="78">
        <v>1.3</v>
      </c>
    </row>
    <row r="7" spans="1:15" ht="27.6" customHeight="1" x14ac:dyDescent="0.3">
      <c r="A7" s="431" t="s">
        <v>8</v>
      </c>
      <c r="B7" s="434" t="s">
        <v>9</v>
      </c>
      <c r="C7" s="435"/>
      <c r="D7" s="469" t="s">
        <v>12</v>
      </c>
      <c r="E7" s="471"/>
      <c r="F7" s="470" t="s">
        <v>24</v>
      </c>
      <c r="G7" s="480"/>
    </row>
    <row r="8" spans="1:15" ht="27.6" x14ac:dyDescent="0.3">
      <c r="A8" s="432"/>
      <c r="B8" s="71" t="s">
        <v>10</v>
      </c>
      <c r="C8" s="17" t="s">
        <v>11</v>
      </c>
      <c r="D8" s="19" t="s">
        <v>20</v>
      </c>
      <c r="E8" s="17" t="s">
        <v>21</v>
      </c>
      <c r="F8" s="67" t="s">
        <v>22</v>
      </c>
      <c r="G8" s="4" t="s">
        <v>23</v>
      </c>
    </row>
    <row r="9" spans="1:15" ht="14.4" thickBot="1" x14ac:dyDescent="0.35">
      <c r="A9" s="433"/>
      <c r="B9" s="80">
        <f>B6*B12</f>
        <v>13460703.6</v>
      </c>
      <c r="C9" s="80">
        <f>C6*B12</f>
        <v>29164857.800000001</v>
      </c>
      <c r="D9" s="95">
        <f>F9</f>
        <v>22434506</v>
      </c>
      <c r="E9" s="96">
        <f>(($O$12/(1+EXP($M$12+$N$12*D9)))-1) - ($F$12-$C$12)</f>
        <v>135699.36912083253</v>
      </c>
      <c r="F9" s="80">
        <f>B12</f>
        <v>22434506</v>
      </c>
      <c r="G9" s="86">
        <f>C12</f>
        <v>135699.3691208323</v>
      </c>
    </row>
    <row r="10" spans="1:15" ht="14.4" thickBot="1" x14ac:dyDescent="0.35"/>
    <row r="11" spans="1:15" ht="51.6" customHeight="1" x14ac:dyDescent="0.3">
      <c r="A11" s="431" t="s">
        <v>15</v>
      </c>
      <c r="B11" s="72" t="s">
        <v>16</v>
      </c>
      <c r="C11" s="72" t="s">
        <v>17</v>
      </c>
      <c r="D11" s="72" t="s">
        <v>18</v>
      </c>
      <c r="E11" s="72" t="s">
        <v>19</v>
      </c>
      <c r="F11" s="15" t="s">
        <v>114</v>
      </c>
      <c r="H11" s="440" t="s">
        <v>25</v>
      </c>
      <c r="I11" s="72" t="s">
        <v>115</v>
      </c>
      <c r="J11" s="72" t="s">
        <v>116</v>
      </c>
      <c r="K11" s="72" t="s">
        <v>117</v>
      </c>
      <c r="L11" s="72" t="s">
        <v>118</v>
      </c>
      <c r="M11" s="72" t="s">
        <v>26</v>
      </c>
      <c r="N11" s="72" t="s">
        <v>27</v>
      </c>
      <c r="O11" s="15" t="s">
        <v>28</v>
      </c>
    </row>
    <row r="12" spans="1:15" ht="15" customHeight="1" thickBot="1" x14ac:dyDescent="0.35">
      <c r="A12" s="433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H12" s="441"/>
      <c r="I12" s="98">
        <f>F12-C12</f>
        <v>5029300.6308791675</v>
      </c>
      <c r="J12" s="98">
        <f>I12+E12</f>
        <v>5545800.6308791675</v>
      </c>
      <c r="K12" s="99">
        <f>B12</f>
        <v>22434506</v>
      </c>
      <c r="L12" s="98">
        <f>F12</f>
        <v>5165000</v>
      </c>
      <c r="M12" s="24">
        <f>LN((($J$12+1)/($I$12+1))-1)</f>
        <v>-2.2759611241153297</v>
      </c>
      <c r="N12" s="100">
        <f>(LN((($J$12+1)/($L$12+1))-1)-$M$12)/$K$12</f>
        <v>-1.4772934666486198E-8</v>
      </c>
      <c r="O12" s="101">
        <f>J12+1</f>
        <v>5545801.6308791675</v>
      </c>
    </row>
    <row r="13" spans="1:15" ht="34.200000000000003" customHeight="1" x14ac:dyDescent="0.3">
      <c r="A13" s="464" t="s">
        <v>119</v>
      </c>
      <c r="B13" s="465"/>
      <c r="C13" s="465"/>
      <c r="D13" s="465"/>
      <c r="E13" s="465"/>
      <c r="F13" s="466"/>
      <c r="H13" s="464" t="s">
        <v>120</v>
      </c>
      <c r="I13" s="465"/>
      <c r="J13" s="465"/>
      <c r="K13" s="465"/>
      <c r="L13" s="465"/>
      <c r="M13" s="465"/>
      <c r="N13" s="465"/>
      <c r="O13" s="466"/>
    </row>
    <row r="14" spans="1:15" ht="33.6" customHeight="1" x14ac:dyDescent="0.3">
      <c r="A14" s="460"/>
      <c r="B14" s="461"/>
      <c r="C14" s="461"/>
      <c r="D14" s="461"/>
      <c r="E14" s="461"/>
      <c r="F14" s="462"/>
      <c r="H14" s="460"/>
      <c r="I14" s="461"/>
      <c r="J14" s="461"/>
      <c r="K14" s="461"/>
      <c r="L14" s="461"/>
      <c r="M14" s="461"/>
      <c r="N14" s="461"/>
      <c r="O14" s="462"/>
    </row>
    <row r="16" spans="1:15" ht="14.4" thickBot="1" x14ac:dyDescent="0.35"/>
    <row r="17" spans="1:4" ht="16.8" customHeight="1" x14ac:dyDescent="0.3">
      <c r="A17" s="440" t="s">
        <v>34</v>
      </c>
      <c r="B17" s="72" t="s">
        <v>32</v>
      </c>
      <c r="C17" s="72" t="s">
        <v>31</v>
      </c>
      <c r="D17" s="15" t="s">
        <v>33</v>
      </c>
    </row>
    <row r="18" spans="1:4" ht="23.4" customHeight="1" thickBot="1" x14ac:dyDescent="0.35">
      <c r="A18" s="441"/>
      <c r="B18" s="102">
        <v>0</v>
      </c>
      <c r="C18" s="103">
        <v>200000000</v>
      </c>
      <c r="D18" s="26">
        <v>20</v>
      </c>
    </row>
    <row r="20" spans="1:4" x14ac:dyDescent="0.3">
      <c r="A20" s="407" t="s">
        <v>37</v>
      </c>
      <c r="B20" s="407"/>
    </row>
    <row r="21" spans="1:4" x14ac:dyDescent="0.3">
      <c r="A21" s="71" t="s">
        <v>35</v>
      </c>
      <c r="B21" s="71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04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104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104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104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104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104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104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104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104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104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104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104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104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104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104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104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104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104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104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104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</vt:i4>
      </vt:variant>
    </vt:vector>
  </HeadingPairs>
  <TitlesOfParts>
    <vt:vector size="22" baseType="lpstr">
      <vt:lpstr>Charts - Idvl</vt:lpstr>
      <vt:lpstr>Charts - Idvl IRev</vt:lpstr>
      <vt:lpstr>Chart - Combined</vt:lpstr>
      <vt:lpstr>JJ_Notes_1</vt:lpstr>
      <vt:lpstr>JJ_Notes_2</vt:lpstr>
      <vt:lpstr>Case Notes</vt:lpstr>
      <vt:lpstr>JJ_Optim_Scenario</vt:lpstr>
      <vt:lpstr>JANSample</vt:lpstr>
      <vt:lpstr>JMTSample</vt:lpstr>
      <vt:lpstr>TOTSample</vt:lpstr>
      <vt:lpstr>JJVCH</vt:lpstr>
      <vt:lpstr>JJMMF</vt:lpstr>
      <vt:lpstr>JJHCC</vt:lpstr>
      <vt:lpstr>JJMCM</vt:lpstr>
      <vt:lpstr>JJHCC_ACQ</vt:lpstr>
      <vt:lpstr>JJHCC_ADH</vt:lpstr>
      <vt:lpstr>Fn.Templates ==&gt;</vt:lpstr>
      <vt:lpstr>FT_SCurveEst</vt:lpstr>
      <vt:lpstr>FT_Equation</vt:lpstr>
      <vt:lpstr>FT_Interpolate</vt:lpstr>
      <vt:lpstr>FT_SCurve3Est</vt:lpstr>
      <vt:lpstr>JJ_Notes_1!Print_Area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Merck &amp; Co., Inc.</cp:lastModifiedBy>
  <cp:lastPrinted>2013-05-08T17:24:00Z</cp:lastPrinted>
  <dcterms:created xsi:type="dcterms:W3CDTF">2013-03-17T16:17:06Z</dcterms:created>
  <dcterms:modified xsi:type="dcterms:W3CDTF">2013-07-22T23:12:28Z</dcterms:modified>
</cp:coreProperties>
</file>