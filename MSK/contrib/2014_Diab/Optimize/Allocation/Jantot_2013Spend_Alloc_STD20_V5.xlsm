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4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6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7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8.xml" ContentType="application/vnd.openxmlformats-officedocument.drawing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9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12.xml" ContentType="application/vnd.openxmlformats-officedocument.drawing+xml"/>
  <Override PartName="/xl/charts/chart37.xml" ContentType="application/vnd.openxmlformats-officedocument.drawingml.chart+xml"/>
  <Override PartName="/xl/drawings/drawing13.xml" ContentType="application/vnd.openxmlformats-officedocument.drawing+xml"/>
  <Override PartName="/xl/charts/chart38.xml" ContentType="application/vnd.openxmlformats-officedocument.drawingml.chart+xml"/>
  <Override PartName="/xl/drawings/drawing14.xml" ContentType="application/vnd.openxmlformats-officedocument.drawing+xml"/>
  <Override PartName="/xl/charts/chart39.xml" ContentType="application/vnd.openxmlformats-officedocument.drawingml.chart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drawings/drawing16.xml" ContentType="application/vnd.openxmlformats-officedocument.drawing+xml"/>
  <Override PartName="/xl/charts/chart4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92" windowWidth="15576" windowHeight="7356" tabRatio="906" firstSheet="8" activeTab="11"/>
  </bookViews>
  <sheets>
    <sheet name="Charts - Idvl" sheetId="35" r:id="rId1"/>
    <sheet name="Charts - Idvl IRev" sheetId="38" r:id="rId2"/>
    <sheet name="Chart - Combined" sheetId="36" r:id="rId3"/>
    <sheet name="Case Notes" sheetId="37" r:id="rId4"/>
    <sheet name="STD20 (-15)" sheetId="47" r:id="rId5"/>
    <sheet name="STD20 (-10)" sheetId="48" r:id="rId6"/>
    <sheet name="STD20 (-5)" sheetId="49" r:id="rId7"/>
    <sheet name="STD20 (+0)" sheetId="46" r:id="rId8"/>
    <sheet name="STD20 (+5)" sheetId="50" r:id="rId9"/>
    <sheet name="STD20 (+10)" sheetId="51" r:id="rId10"/>
    <sheet name="STD20 (+15)" sheetId="52" r:id="rId11"/>
    <sheet name="JJ_Optim_Scenario" sheetId="23" r:id="rId12"/>
    <sheet name="JANSample" sheetId="25" r:id="rId13"/>
    <sheet name="JMTSample" sheetId="26" r:id="rId14"/>
    <sheet name="TOTSample" sheetId="27" r:id="rId15"/>
    <sheet name="JJVCH" sheetId="29" r:id="rId16"/>
    <sheet name="JJMMF" sheetId="30" r:id="rId17"/>
    <sheet name="JJHCC" sheetId="31" r:id="rId18"/>
    <sheet name="JJMCM" sheetId="32" r:id="rId19"/>
    <sheet name="JJHCC_ACQ" sheetId="33" r:id="rId20"/>
    <sheet name="JJHCC_ADH" sheetId="34" r:id="rId21"/>
    <sheet name="Fn.Templates ==&gt;" sheetId="3" r:id="rId22"/>
    <sheet name="FT_SCurveEst" sheetId="2" r:id="rId23"/>
    <sheet name="FT_Equation" sheetId="4" r:id="rId24"/>
    <sheet name="FT_Interpolate" sheetId="5" r:id="rId25"/>
    <sheet name="FT_SCurve3Est" sheetId="13" r:id="rId26"/>
  </sheets>
  <functionGroups builtInGroupCount="17"/>
  <definedNames>
    <definedName name="solver_adj" localSheetId="11" hidden="1">JJ_Optim_Scenario!$I$17:$I$24</definedName>
    <definedName name="solver_adj" localSheetId="7" hidden="1">'STD20 (+0)'!$I$17:$I$24</definedName>
    <definedName name="solver_adj" localSheetId="9" hidden="1">'STD20 (+10)'!$I$17:$I$24</definedName>
    <definedName name="solver_adj" localSheetId="10" hidden="1">'STD20 (+15)'!$I$17:$I$24</definedName>
    <definedName name="solver_adj" localSheetId="8" hidden="1">'STD20 (+5)'!$I$17:$I$24</definedName>
    <definedName name="solver_adj" localSheetId="5" hidden="1">'STD20 (-10)'!$I$17:$I$24</definedName>
    <definedName name="solver_adj" localSheetId="4" hidden="1">'STD20 (-15)'!$I$17:$I$24</definedName>
    <definedName name="solver_adj" localSheetId="6" hidden="1">'STD20 (-5)'!$I$17:$I$24</definedName>
    <definedName name="solver_cvg" localSheetId="11" hidden="1">0.000001</definedName>
    <definedName name="solver_cvg" localSheetId="7" hidden="1">0.000001</definedName>
    <definedName name="solver_cvg" localSheetId="9" hidden="1">0.000001</definedName>
    <definedName name="solver_cvg" localSheetId="10" hidden="1">0.000001</definedName>
    <definedName name="solver_cvg" localSheetId="8" hidden="1">0.000001</definedName>
    <definedName name="solver_cvg" localSheetId="5" hidden="1">0.000001</definedName>
    <definedName name="solver_cvg" localSheetId="4" hidden="1">0.000001</definedName>
    <definedName name="solver_cvg" localSheetId="6" hidden="1">0.000001</definedName>
    <definedName name="solver_drv" localSheetId="11" hidden="1">1</definedName>
    <definedName name="solver_drv" localSheetId="7" hidden="1">1</definedName>
    <definedName name="solver_drv" localSheetId="9" hidden="1">1</definedName>
    <definedName name="solver_drv" localSheetId="10" hidden="1">1</definedName>
    <definedName name="solver_drv" localSheetId="8" hidden="1">1</definedName>
    <definedName name="solver_drv" localSheetId="5" hidden="1">1</definedName>
    <definedName name="solver_drv" localSheetId="4" hidden="1">1</definedName>
    <definedName name="solver_drv" localSheetId="6" hidden="1">1</definedName>
    <definedName name="solver_eng" localSheetId="11" hidden="1">1</definedName>
    <definedName name="solver_eng" localSheetId="7" hidden="1">1</definedName>
    <definedName name="solver_eng" localSheetId="9" hidden="1">1</definedName>
    <definedName name="solver_eng" localSheetId="10" hidden="1">1</definedName>
    <definedName name="solver_eng" localSheetId="8" hidden="1">1</definedName>
    <definedName name="solver_eng" localSheetId="5" hidden="1">1</definedName>
    <definedName name="solver_eng" localSheetId="4" hidden="1">1</definedName>
    <definedName name="solver_eng" localSheetId="6" hidden="1">1</definedName>
    <definedName name="solver_est" localSheetId="11" hidden="1">1</definedName>
    <definedName name="solver_est" localSheetId="7" hidden="1">1</definedName>
    <definedName name="solver_est" localSheetId="9" hidden="1">1</definedName>
    <definedName name="solver_est" localSheetId="10" hidden="1">1</definedName>
    <definedName name="solver_est" localSheetId="8" hidden="1">1</definedName>
    <definedName name="solver_est" localSheetId="5" hidden="1">1</definedName>
    <definedName name="solver_est" localSheetId="4" hidden="1">1</definedName>
    <definedName name="solver_est" localSheetId="6" hidden="1">1</definedName>
    <definedName name="solver_itr" localSheetId="11" hidden="1">2147483647</definedName>
    <definedName name="solver_itr" localSheetId="7" hidden="1">2147483647</definedName>
    <definedName name="solver_itr" localSheetId="9" hidden="1">2147483647</definedName>
    <definedName name="solver_itr" localSheetId="10" hidden="1">2147483647</definedName>
    <definedName name="solver_itr" localSheetId="8" hidden="1">2147483647</definedName>
    <definedName name="solver_itr" localSheetId="5" hidden="1">2147483647</definedName>
    <definedName name="solver_itr" localSheetId="4" hidden="1">2147483647</definedName>
    <definedName name="solver_itr" localSheetId="6" hidden="1">2147483647</definedName>
    <definedName name="solver_lhs1" localSheetId="11" hidden="1">JJ_Optim_Scenario!$I$17:$I$24</definedName>
    <definedName name="solver_lhs1" localSheetId="7" hidden="1">'STD20 (+0)'!$I$17:$I$24</definedName>
    <definedName name="solver_lhs1" localSheetId="9" hidden="1">'STD20 (+10)'!$I$17:$I$24</definedName>
    <definedName name="solver_lhs1" localSheetId="10" hidden="1">'STD20 (+15)'!$I$17:$I$24</definedName>
    <definedName name="solver_lhs1" localSheetId="8" hidden="1">'STD20 (+5)'!$I$17:$I$24</definedName>
    <definedName name="solver_lhs1" localSheetId="5" hidden="1">'STD20 (-10)'!$I$17:$I$24</definedName>
    <definedName name="solver_lhs1" localSheetId="4" hidden="1">'STD20 (-15)'!$I$17:$I$24</definedName>
    <definedName name="solver_lhs1" localSheetId="6" hidden="1">'STD20 (-5)'!$I$17:$I$24</definedName>
    <definedName name="solver_lhs2" localSheetId="11" hidden="1">JJ_Optim_Scenario!$I$17:$I$24</definedName>
    <definedName name="solver_lhs2" localSheetId="7" hidden="1">'STD20 (+0)'!$I$17:$I$24</definedName>
    <definedName name="solver_lhs2" localSheetId="9" hidden="1">'STD20 (+10)'!$I$17:$I$24</definedName>
    <definedName name="solver_lhs2" localSheetId="10" hidden="1">'STD20 (+15)'!$I$17:$I$24</definedName>
    <definedName name="solver_lhs2" localSheetId="8" hidden="1">'STD20 (+5)'!$I$17:$I$24</definedName>
    <definedName name="solver_lhs2" localSheetId="5" hidden="1">'STD20 (-10)'!$I$17:$I$24</definedName>
    <definedName name="solver_lhs2" localSheetId="4" hidden="1">'STD20 (-15)'!$I$17:$I$24</definedName>
    <definedName name="solver_lhs2" localSheetId="6" hidden="1">'STD20 (-5)'!$I$17:$I$24</definedName>
    <definedName name="solver_lhs3" localSheetId="11" hidden="1">JJ_Optim_Scenario!$I$25</definedName>
    <definedName name="solver_lhs3" localSheetId="7" hidden="1">'STD20 (+0)'!$I$25</definedName>
    <definedName name="solver_lhs3" localSheetId="9" hidden="1">'STD20 (+10)'!$I$25</definedName>
    <definedName name="solver_lhs3" localSheetId="10" hidden="1">'STD20 (+15)'!$I$25</definedName>
    <definedName name="solver_lhs3" localSheetId="8" hidden="1">'STD20 (+5)'!$I$25</definedName>
    <definedName name="solver_lhs3" localSheetId="5" hidden="1">'STD20 (-10)'!$I$25</definedName>
    <definedName name="solver_lhs3" localSheetId="4" hidden="1">'STD20 (-15)'!$I$25</definedName>
    <definedName name="solver_lhs3" localSheetId="6" hidden="1">'STD20 (-5)'!$I$25</definedName>
    <definedName name="solver_mip" localSheetId="11" hidden="1">2147483647</definedName>
    <definedName name="solver_mip" localSheetId="7" hidden="1">2147483647</definedName>
    <definedName name="solver_mip" localSheetId="9" hidden="1">2147483647</definedName>
    <definedName name="solver_mip" localSheetId="10" hidden="1">2147483647</definedName>
    <definedName name="solver_mip" localSheetId="8" hidden="1">2147483647</definedName>
    <definedName name="solver_mip" localSheetId="5" hidden="1">2147483647</definedName>
    <definedName name="solver_mip" localSheetId="4" hidden="1">2147483647</definedName>
    <definedName name="solver_mip" localSheetId="6" hidden="1">2147483647</definedName>
    <definedName name="solver_mni" localSheetId="11" hidden="1">30</definedName>
    <definedName name="solver_mni" localSheetId="7" hidden="1">30</definedName>
    <definedName name="solver_mni" localSheetId="9" hidden="1">30</definedName>
    <definedName name="solver_mni" localSheetId="10" hidden="1">30</definedName>
    <definedName name="solver_mni" localSheetId="8" hidden="1">30</definedName>
    <definedName name="solver_mni" localSheetId="5" hidden="1">30</definedName>
    <definedName name="solver_mni" localSheetId="4" hidden="1">30</definedName>
    <definedName name="solver_mni" localSheetId="6" hidden="1">30</definedName>
    <definedName name="solver_mrt" localSheetId="11" hidden="1">0.075</definedName>
    <definedName name="solver_mrt" localSheetId="7" hidden="1">0.075</definedName>
    <definedName name="solver_mrt" localSheetId="9" hidden="1">0.075</definedName>
    <definedName name="solver_mrt" localSheetId="10" hidden="1">0.075</definedName>
    <definedName name="solver_mrt" localSheetId="8" hidden="1">0.075</definedName>
    <definedName name="solver_mrt" localSheetId="5" hidden="1">0.075</definedName>
    <definedName name="solver_mrt" localSheetId="4" hidden="1">0.075</definedName>
    <definedName name="solver_mrt" localSheetId="6" hidden="1">0.075</definedName>
    <definedName name="solver_msl" localSheetId="11" hidden="1">2</definedName>
    <definedName name="solver_msl" localSheetId="7" hidden="1">2</definedName>
    <definedName name="solver_msl" localSheetId="9" hidden="1">2</definedName>
    <definedName name="solver_msl" localSheetId="10" hidden="1">2</definedName>
    <definedName name="solver_msl" localSheetId="8" hidden="1">2</definedName>
    <definedName name="solver_msl" localSheetId="5" hidden="1">2</definedName>
    <definedName name="solver_msl" localSheetId="4" hidden="1">2</definedName>
    <definedName name="solver_msl" localSheetId="6" hidden="1">2</definedName>
    <definedName name="solver_neg" localSheetId="11" hidden="1">1</definedName>
    <definedName name="solver_neg" localSheetId="7" hidden="1">1</definedName>
    <definedName name="solver_neg" localSheetId="9" hidden="1">1</definedName>
    <definedName name="solver_neg" localSheetId="10" hidden="1">1</definedName>
    <definedName name="solver_neg" localSheetId="8" hidden="1">1</definedName>
    <definedName name="solver_neg" localSheetId="5" hidden="1">1</definedName>
    <definedName name="solver_neg" localSheetId="4" hidden="1">1</definedName>
    <definedName name="solver_neg" localSheetId="6" hidden="1">1</definedName>
    <definedName name="solver_nod" localSheetId="11" hidden="1">2147483647</definedName>
    <definedName name="solver_nod" localSheetId="7" hidden="1">2147483647</definedName>
    <definedName name="solver_nod" localSheetId="9" hidden="1">2147483647</definedName>
    <definedName name="solver_nod" localSheetId="10" hidden="1">2147483647</definedName>
    <definedName name="solver_nod" localSheetId="8" hidden="1">2147483647</definedName>
    <definedName name="solver_nod" localSheetId="5" hidden="1">2147483647</definedName>
    <definedName name="solver_nod" localSheetId="4" hidden="1">2147483647</definedName>
    <definedName name="solver_nod" localSheetId="6" hidden="1">2147483647</definedName>
    <definedName name="solver_num" localSheetId="11" hidden="1">3</definedName>
    <definedName name="solver_num" localSheetId="7" hidden="1">3</definedName>
    <definedName name="solver_num" localSheetId="9" hidden="1">3</definedName>
    <definedName name="solver_num" localSheetId="10" hidden="1">3</definedName>
    <definedName name="solver_num" localSheetId="8" hidden="1">3</definedName>
    <definedName name="solver_num" localSheetId="5" hidden="1">3</definedName>
    <definedName name="solver_num" localSheetId="4" hidden="1">3</definedName>
    <definedName name="solver_num" localSheetId="6" hidden="1">3</definedName>
    <definedName name="solver_nwt" localSheetId="11" hidden="1">1</definedName>
    <definedName name="solver_nwt" localSheetId="7" hidden="1">1</definedName>
    <definedName name="solver_nwt" localSheetId="9" hidden="1">1</definedName>
    <definedName name="solver_nwt" localSheetId="10" hidden="1">1</definedName>
    <definedName name="solver_nwt" localSheetId="8" hidden="1">1</definedName>
    <definedName name="solver_nwt" localSheetId="5" hidden="1">1</definedName>
    <definedName name="solver_nwt" localSheetId="4" hidden="1">1</definedName>
    <definedName name="solver_nwt" localSheetId="6" hidden="1">1</definedName>
    <definedName name="solver_opt" localSheetId="11" hidden="1">JJ_Optim_Scenario!$B$9</definedName>
    <definedName name="solver_opt" localSheetId="7" hidden="1">'STD20 (+0)'!$B$9</definedName>
    <definedName name="solver_opt" localSheetId="9" hidden="1">'STD20 (+10)'!$B$9</definedName>
    <definedName name="solver_opt" localSheetId="10" hidden="1">'STD20 (+15)'!$B$9</definedName>
    <definedName name="solver_opt" localSheetId="8" hidden="1">'STD20 (+5)'!$B$9</definedName>
    <definedName name="solver_opt" localSheetId="5" hidden="1">'STD20 (-10)'!$B$9</definedName>
    <definedName name="solver_opt" localSheetId="4" hidden="1">'STD20 (-15)'!$B$9</definedName>
    <definedName name="solver_opt" localSheetId="6" hidden="1">'STD20 (-5)'!$B$9</definedName>
    <definedName name="solver_pre" localSheetId="11" hidden="1">0.000001</definedName>
    <definedName name="solver_pre" localSheetId="7" hidden="1">0.000001</definedName>
    <definedName name="solver_pre" localSheetId="9" hidden="1">0.000001</definedName>
    <definedName name="solver_pre" localSheetId="10" hidden="1">0.000001</definedName>
    <definedName name="solver_pre" localSheetId="8" hidden="1">0.000001</definedName>
    <definedName name="solver_pre" localSheetId="5" hidden="1">0.000001</definedName>
    <definedName name="solver_pre" localSheetId="4" hidden="1">0.000001</definedName>
    <definedName name="solver_pre" localSheetId="6" hidden="1">0.000001</definedName>
    <definedName name="solver_rbv" localSheetId="11" hidden="1">1</definedName>
    <definedName name="solver_rbv" localSheetId="7" hidden="1">1</definedName>
    <definedName name="solver_rbv" localSheetId="9" hidden="1">1</definedName>
    <definedName name="solver_rbv" localSheetId="10" hidden="1">1</definedName>
    <definedName name="solver_rbv" localSheetId="8" hidden="1">1</definedName>
    <definedName name="solver_rbv" localSheetId="5" hidden="1">1</definedName>
    <definedName name="solver_rbv" localSheetId="4" hidden="1">1</definedName>
    <definedName name="solver_rbv" localSheetId="6" hidden="1">1</definedName>
    <definedName name="solver_rel1" localSheetId="11" hidden="1">1</definedName>
    <definedName name="solver_rel1" localSheetId="7" hidden="1">1</definedName>
    <definedName name="solver_rel1" localSheetId="9" hidden="1">1</definedName>
    <definedName name="solver_rel1" localSheetId="10" hidden="1">1</definedName>
    <definedName name="solver_rel1" localSheetId="8" hidden="1">1</definedName>
    <definedName name="solver_rel1" localSheetId="5" hidden="1">1</definedName>
    <definedName name="solver_rel1" localSheetId="4" hidden="1">1</definedName>
    <definedName name="solver_rel1" localSheetId="6" hidden="1">1</definedName>
    <definedName name="solver_rel2" localSheetId="11" hidden="1">3</definedName>
    <definedName name="solver_rel2" localSheetId="7" hidden="1">3</definedName>
    <definedName name="solver_rel2" localSheetId="9" hidden="1">3</definedName>
    <definedName name="solver_rel2" localSheetId="10" hidden="1">3</definedName>
    <definedName name="solver_rel2" localSheetId="8" hidden="1">3</definedName>
    <definedName name="solver_rel2" localSheetId="5" hidden="1">3</definedName>
    <definedName name="solver_rel2" localSheetId="4" hidden="1">3</definedName>
    <definedName name="solver_rel2" localSheetId="6" hidden="1">3</definedName>
    <definedName name="solver_rel3" localSheetId="11" hidden="1">2</definedName>
    <definedName name="solver_rel3" localSheetId="7" hidden="1">2</definedName>
    <definedName name="solver_rel3" localSheetId="9" hidden="1">2</definedName>
    <definedName name="solver_rel3" localSheetId="10" hidden="1">2</definedName>
    <definedName name="solver_rel3" localSheetId="8" hidden="1">2</definedName>
    <definedName name="solver_rel3" localSheetId="5" hidden="1">2</definedName>
    <definedName name="solver_rel3" localSheetId="4" hidden="1">2</definedName>
    <definedName name="solver_rel3" localSheetId="6" hidden="1">2</definedName>
    <definedName name="solver_rhs1" localSheetId="11" hidden="1">JJ_Optim_Scenario!$H$17:$H$24</definedName>
    <definedName name="solver_rhs1" localSheetId="7" hidden="1">'STD20 (+0)'!$H$17:$H$24</definedName>
    <definedName name="solver_rhs1" localSheetId="9" hidden="1">'STD20 (+10)'!$H$17:$H$24</definedName>
    <definedName name="solver_rhs1" localSheetId="10" hidden="1">'STD20 (+15)'!$H$17:$H$24</definedName>
    <definedName name="solver_rhs1" localSheetId="8" hidden="1">'STD20 (+5)'!$H$17:$H$24</definedName>
    <definedName name="solver_rhs1" localSheetId="5" hidden="1">'STD20 (-10)'!$H$17:$H$24</definedName>
    <definedName name="solver_rhs1" localSheetId="4" hidden="1">'STD20 (-15)'!$H$17:$H$24</definedName>
    <definedName name="solver_rhs1" localSheetId="6" hidden="1">'STD20 (-5)'!$H$17:$H$24</definedName>
    <definedName name="solver_rhs2" localSheetId="11" hidden="1">JJ_Optim_Scenario!$G$17:$G$24</definedName>
    <definedName name="solver_rhs2" localSheetId="7" hidden="1">'STD20 (+0)'!$G$17:$G$24</definedName>
    <definedName name="solver_rhs2" localSheetId="9" hidden="1">'STD20 (+10)'!$G$17:$G$24</definedName>
    <definedName name="solver_rhs2" localSheetId="10" hidden="1">'STD20 (+15)'!$G$17:$G$24</definedName>
    <definedName name="solver_rhs2" localSheetId="8" hidden="1">'STD20 (+5)'!$G$17:$G$24</definedName>
    <definedName name="solver_rhs2" localSheetId="5" hidden="1">'STD20 (-10)'!$G$17:$G$24</definedName>
    <definedName name="solver_rhs2" localSheetId="4" hidden="1">'STD20 (-15)'!$G$17:$G$24</definedName>
    <definedName name="solver_rhs2" localSheetId="6" hidden="1">'STD20 (-5)'!$G$17:$G$24</definedName>
    <definedName name="solver_rhs3" localSheetId="11" hidden="1">JJ_Optim_Scenario!$B$12</definedName>
    <definedName name="solver_rhs3" localSheetId="7" hidden="1">'STD20 (+0)'!$B$12</definedName>
    <definedName name="solver_rhs3" localSheetId="9" hidden="1">'STD20 (+10)'!$B$12</definedName>
    <definedName name="solver_rhs3" localSheetId="10" hidden="1">'STD20 (+15)'!$B$12</definedName>
    <definedName name="solver_rhs3" localSheetId="8" hidden="1">'STD20 (+5)'!$B$12</definedName>
    <definedName name="solver_rhs3" localSheetId="5" hidden="1">'STD20 (-10)'!$B$12</definedName>
    <definedName name="solver_rhs3" localSheetId="4" hidden="1">'STD20 (-15)'!$B$12</definedName>
    <definedName name="solver_rhs3" localSheetId="6" hidden="1">'STD20 (-5)'!$B$12</definedName>
    <definedName name="solver_rlx" localSheetId="11" hidden="1">2</definedName>
    <definedName name="solver_rlx" localSheetId="7" hidden="1">2</definedName>
    <definedName name="solver_rlx" localSheetId="9" hidden="1">2</definedName>
    <definedName name="solver_rlx" localSheetId="10" hidden="1">2</definedName>
    <definedName name="solver_rlx" localSheetId="8" hidden="1">2</definedName>
    <definedName name="solver_rlx" localSheetId="5" hidden="1">2</definedName>
    <definedName name="solver_rlx" localSheetId="4" hidden="1">2</definedName>
    <definedName name="solver_rlx" localSheetId="6" hidden="1">2</definedName>
    <definedName name="solver_rsd" localSheetId="11" hidden="1">0</definedName>
    <definedName name="solver_rsd" localSheetId="7" hidden="1">0</definedName>
    <definedName name="solver_rsd" localSheetId="9" hidden="1">0</definedName>
    <definedName name="solver_rsd" localSheetId="10" hidden="1">0</definedName>
    <definedName name="solver_rsd" localSheetId="8" hidden="1">0</definedName>
    <definedName name="solver_rsd" localSheetId="5" hidden="1">0</definedName>
    <definedName name="solver_rsd" localSheetId="4" hidden="1">0</definedName>
    <definedName name="solver_rsd" localSheetId="6" hidden="1">0</definedName>
    <definedName name="solver_scl" localSheetId="11" hidden="1">1</definedName>
    <definedName name="solver_scl" localSheetId="7" hidden="1">1</definedName>
    <definedName name="solver_scl" localSheetId="9" hidden="1">1</definedName>
    <definedName name="solver_scl" localSheetId="10" hidden="1">1</definedName>
    <definedName name="solver_scl" localSheetId="8" hidden="1">1</definedName>
    <definedName name="solver_scl" localSheetId="5" hidden="1">1</definedName>
    <definedName name="solver_scl" localSheetId="4" hidden="1">1</definedName>
    <definedName name="solver_scl" localSheetId="6" hidden="1">1</definedName>
    <definedName name="solver_sho" localSheetId="11" hidden="1">2</definedName>
    <definedName name="solver_sho" localSheetId="7" hidden="1">2</definedName>
    <definedName name="solver_sho" localSheetId="9" hidden="1">2</definedName>
    <definedName name="solver_sho" localSheetId="10" hidden="1">2</definedName>
    <definedName name="solver_sho" localSheetId="8" hidden="1">2</definedName>
    <definedName name="solver_sho" localSheetId="5" hidden="1">2</definedName>
    <definedName name="solver_sho" localSheetId="4" hidden="1">2</definedName>
    <definedName name="solver_sho" localSheetId="6" hidden="1">2</definedName>
    <definedName name="solver_ssz" localSheetId="11" hidden="1">100</definedName>
    <definedName name="solver_ssz" localSheetId="7" hidden="1">100</definedName>
    <definedName name="solver_ssz" localSheetId="9" hidden="1">100</definedName>
    <definedName name="solver_ssz" localSheetId="10" hidden="1">100</definedName>
    <definedName name="solver_ssz" localSheetId="8" hidden="1">100</definedName>
    <definedName name="solver_ssz" localSheetId="5" hidden="1">100</definedName>
    <definedName name="solver_ssz" localSheetId="4" hidden="1">100</definedName>
    <definedName name="solver_ssz" localSheetId="6" hidden="1">100</definedName>
    <definedName name="solver_tim" localSheetId="11" hidden="1">2147483647</definedName>
    <definedName name="solver_tim" localSheetId="7" hidden="1">2147483647</definedName>
    <definedName name="solver_tim" localSheetId="9" hidden="1">2147483647</definedName>
    <definedName name="solver_tim" localSheetId="10" hidden="1">2147483647</definedName>
    <definedName name="solver_tim" localSheetId="8" hidden="1">2147483647</definedName>
    <definedName name="solver_tim" localSheetId="5" hidden="1">2147483647</definedName>
    <definedName name="solver_tim" localSheetId="4" hidden="1">2147483647</definedName>
    <definedName name="solver_tim" localSheetId="6" hidden="1">2147483647</definedName>
    <definedName name="solver_tol" localSheetId="11" hidden="1">0.01</definedName>
    <definedName name="solver_tol" localSheetId="7" hidden="1">0.01</definedName>
    <definedName name="solver_tol" localSheetId="9" hidden="1">0.01</definedName>
    <definedName name="solver_tol" localSheetId="10" hidden="1">0.01</definedName>
    <definedName name="solver_tol" localSheetId="8" hidden="1">0.01</definedName>
    <definedName name="solver_tol" localSheetId="5" hidden="1">0.01</definedName>
    <definedName name="solver_tol" localSheetId="4" hidden="1">0.01</definedName>
    <definedName name="solver_tol" localSheetId="6" hidden="1">0.01</definedName>
    <definedName name="solver_typ" localSheetId="11" hidden="1">1</definedName>
    <definedName name="solver_typ" localSheetId="7" hidden="1">1</definedName>
    <definedName name="solver_typ" localSheetId="9" hidden="1">1</definedName>
    <definedName name="solver_typ" localSheetId="10" hidden="1">1</definedName>
    <definedName name="solver_typ" localSheetId="8" hidden="1">1</definedName>
    <definedName name="solver_typ" localSheetId="5" hidden="1">1</definedName>
    <definedName name="solver_typ" localSheetId="4" hidden="1">1</definedName>
    <definedName name="solver_typ" localSheetId="6" hidden="1">1</definedName>
    <definedName name="solver_val" localSheetId="11" hidden="1">0</definedName>
    <definedName name="solver_val" localSheetId="7" hidden="1">0</definedName>
    <definedName name="solver_val" localSheetId="9" hidden="1">0</definedName>
    <definedName name="solver_val" localSheetId="10" hidden="1">0</definedName>
    <definedName name="solver_val" localSheetId="8" hidden="1">0</definedName>
    <definedName name="solver_val" localSheetId="5" hidden="1">0</definedName>
    <definedName name="solver_val" localSheetId="4" hidden="1">0</definedName>
    <definedName name="solver_val" localSheetId="6" hidden="1">0</definedName>
    <definedName name="solver_ver" localSheetId="11" hidden="1">3</definedName>
    <definedName name="solver_ver" localSheetId="7" hidden="1">3</definedName>
    <definedName name="solver_ver" localSheetId="9" hidden="1">3</definedName>
    <definedName name="solver_ver" localSheetId="10" hidden="1">3</definedName>
    <definedName name="solver_ver" localSheetId="8" hidden="1">3</definedName>
    <definedName name="solver_ver" localSheetId="5" hidden="1">3</definedName>
    <definedName name="solver_ver" localSheetId="4" hidden="1">3</definedName>
    <definedName name="solver_ver" localSheetId="6" hidden="1">3</definedName>
  </definedNames>
  <calcPr calcId="145621"/>
</workbook>
</file>

<file path=xl/calcChain.xml><?xml version="1.0" encoding="utf-8"?>
<calcChain xmlns="http://schemas.openxmlformats.org/spreadsheetml/2006/main">
  <c r="C42" i="52" l="1"/>
  <c r="I41" i="52"/>
  <c r="J41" i="52" s="1"/>
  <c r="H41" i="52"/>
  <c r="D41" i="52"/>
  <c r="K41" i="52" s="1"/>
  <c r="M41" i="52" s="1"/>
  <c r="C41" i="52"/>
  <c r="H40" i="52"/>
  <c r="K40" i="52" s="1"/>
  <c r="M40" i="52" s="1"/>
  <c r="D40" i="52"/>
  <c r="C40" i="52"/>
  <c r="K39" i="52"/>
  <c r="M39" i="52" s="1"/>
  <c r="H39" i="52"/>
  <c r="D39" i="52"/>
  <c r="C39" i="52"/>
  <c r="H38" i="52"/>
  <c r="K38" i="52" s="1"/>
  <c r="M38" i="52" s="1"/>
  <c r="F38" i="52"/>
  <c r="G38" i="52" s="1"/>
  <c r="D38" i="52"/>
  <c r="C38" i="52"/>
  <c r="H37" i="52"/>
  <c r="D37" i="52"/>
  <c r="K37" i="52" s="1"/>
  <c r="M37" i="52" s="1"/>
  <c r="C37" i="52"/>
  <c r="H36" i="52"/>
  <c r="K36" i="52" s="1"/>
  <c r="M36" i="52" s="1"/>
  <c r="D36" i="52"/>
  <c r="C36" i="52"/>
  <c r="K35" i="52"/>
  <c r="M35" i="52" s="1"/>
  <c r="H35" i="52"/>
  <c r="D35" i="52"/>
  <c r="C35" i="52"/>
  <c r="H34" i="52"/>
  <c r="H42" i="52" s="1"/>
  <c r="K42" i="52" s="1"/>
  <c r="M42" i="52" s="1"/>
  <c r="F34" i="52"/>
  <c r="G34" i="52" s="1"/>
  <c r="D34" i="52"/>
  <c r="D42" i="52" s="1"/>
  <c r="C34" i="52"/>
  <c r="C33" i="52"/>
  <c r="C32" i="52"/>
  <c r="U31" i="52"/>
  <c r="O31" i="52"/>
  <c r="I31" i="52"/>
  <c r="I25" i="52"/>
  <c r="E25" i="52"/>
  <c r="L24" i="52"/>
  <c r="N24" i="52" s="1"/>
  <c r="K24" i="52"/>
  <c r="M24" i="52" s="1"/>
  <c r="H24" i="52"/>
  <c r="G24" i="52"/>
  <c r="F41" i="52"/>
  <c r="G41" i="52" s="1"/>
  <c r="L23" i="52"/>
  <c r="N23" i="52" s="1"/>
  <c r="K23" i="52"/>
  <c r="M23" i="52" s="1"/>
  <c r="I40" i="52"/>
  <c r="J40" i="52" s="1"/>
  <c r="L40" i="52" s="1"/>
  <c r="N40" i="52" s="1"/>
  <c r="H23" i="52"/>
  <c r="G23" i="52"/>
  <c r="F40" i="52"/>
  <c r="G40" i="52" s="1"/>
  <c r="L22" i="52"/>
  <c r="N22" i="52" s="1"/>
  <c r="K22" i="52"/>
  <c r="M22" i="52" s="1"/>
  <c r="I39" i="52"/>
  <c r="J39" i="52" s="1"/>
  <c r="H22" i="52"/>
  <c r="G22" i="52"/>
  <c r="F39" i="52"/>
  <c r="G39" i="52" s="1"/>
  <c r="L21" i="52"/>
  <c r="N21" i="52" s="1"/>
  <c r="K21" i="52"/>
  <c r="M21" i="52" s="1"/>
  <c r="I38" i="52"/>
  <c r="J38" i="52" s="1"/>
  <c r="L38" i="52" s="1"/>
  <c r="N38" i="52" s="1"/>
  <c r="H21" i="52"/>
  <c r="G21" i="52"/>
  <c r="K20" i="52"/>
  <c r="M20" i="52" s="1"/>
  <c r="H20" i="52"/>
  <c r="G20" i="52"/>
  <c r="L19" i="52"/>
  <c r="N19" i="52" s="1"/>
  <c r="K19" i="52"/>
  <c r="M19" i="52" s="1"/>
  <c r="I36" i="52"/>
  <c r="J36" i="52" s="1"/>
  <c r="H19" i="52"/>
  <c r="G19" i="52"/>
  <c r="F36" i="52"/>
  <c r="G36" i="52" s="1"/>
  <c r="L18" i="52"/>
  <c r="N18" i="52" s="1"/>
  <c r="K18" i="52"/>
  <c r="M18" i="52" s="1"/>
  <c r="I35" i="52"/>
  <c r="J35" i="52" s="1"/>
  <c r="H18" i="52"/>
  <c r="G18" i="52"/>
  <c r="F35" i="52"/>
  <c r="G35" i="52" s="1"/>
  <c r="L17" i="52"/>
  <c r="K17" i="52"/>
  <c r="K25" i="52" s="1"/>
  <c r="M25" i="52" s="1"/>
  <c r="I34" i="52"/>
  <c r="J34" i="52" s="1"/>
  <c r="H17" i="52"/>
  <c r="H25" i="52" s="1"/>
  <c r="G17" i="52"/>
  <c r="G25" i="52" s="1"/>
  <c r="B12" i="52"/>
  <c r="C12" i="52" s="1"/>
  <c r="B12" i="23"/>
  <c r="C42" i="51"/>
  <c r="K41" i="51"/>
  <c r="M41" i="51" s="1"/>
  <c r="H41" i="51"/>
  <c r="D41" i="51"/>
  <c r="C41" i="51"/>
  <c r="K40" i="51"/>
  <c r="M40" i="51" s="1"/>
  <c r="H40" i="51"/>
  <c r="F40" i="51"/>
  <c r="G40" i="51" s="1"/>
  <c r="D40" i="51"/>
  <c r="C40" i="51"/>
  <c r="M39" i="51"/>
  <c r="I39" i="51"/>
  <c r="J39" i="51" s="1"/>
  <c r="H39" i="51"/>
  <c r="D39" i="51"/>
  <c r="K39" i="51" s="1"/>
  <c r="C39" i="51"/>
  <c r="H38" i="51"/>
  <c r="K38" i="51" s="1"/>
  <c r="M38" i="51" s="1"/>
  <c r="D38" i="51"/>
  <c r="C38" i="51"/>
  <c r="K37" i="51"/>
  <c r="M37" i="51" s="1"/>
  <c r="H37" i="51"/>
  <c r="D37" i="51"/>
  <c r="C37" i="51"/>
  <c r="K36" i="51"/>
  <c r="M36" i="51" s="1"/>
  <c r="H36" i="51"/>
  <c r="D36" i="51"/>
  <c r="C36" i="51"/>
  <c r="M35" i="51"/>
  <c r="H35" i="51"/>
  <c r="D35" i="51"/>
  <c r="K35" i="51" s="1"/>
  <c r="C35" i="51"/>
  <c r="H34" i="51"/>
  <c r="D34" i="51"/>
  <c r="D42" i="51" s="1"/>
  <c r="C34" i="51"/>
  <c r="C33" i="51"/>
  <c r="C32" i="51"/>
  <c r="U31" i="51"/>
  <c r="O31" i="51"/>
  <c r="I31" i="51"/>
  <c r="I25" i="51"/>
  <c r="H25" i="51"/>
  <c r="E25" i="51"/>
  <c r="K24" i="51"/>
  <c r="M24" i="51" s="1"/>
  <c r="H24" i="51"/>
  <c r="G24" i="51"/>
  <c r="F41" i="51"/>
  <c r="G41" i="51" s="1"/>
  <c r="K23" i="51"/>
  <c r="M23" i="51" s="1"/>
  <c r="H23" i="51"/>
  <c r="G23" i="51"/>
  <c r="K22" i="51"/>
  <c r="M22" i="51" s="1"/>
  <c r="L22" i="51"/>
  <c r="N22" i="51" s="1"/>
  <c r="H22" i="51"/>
  <c r="G22" i="51"/>
  <c r="F39" i="51"/>
  <c r="G39" i="51" s="1"/>
  <c r="K21" i="51"/>
  <c r="M21" i="51" s="1"/>
  <c r="H21" i="51"/>
  <c r="G21" i="51"/>
  <c r="F38" i="51"/>
  <c r="G38" i="51" s="1"/>
  <c r="K20" i="51"/>
  <c r="M20" i="51" s="1"/>
  <c r="H20" i="51"/>
  <c r="G20" i="51"/>
  <c r="K19" i="51"/>
  <c r="M19" i="51" s="1"/>
  <c r="H19" i="51"/>
  <c r="G19" i="51"/>
  <c r="F36" i="51"/>
  <c r="G36" i="51" s="1"/>
  <c r="K18" i="51"/>
  <c r="M18" i="51" s="1"/>
  <c r="L18" i="51"/>
  <c r="N18" i="51" s="1"/>
  <c r="H18" i="51"/>
  <c r="G18" i="51"/>
  <c r="F35" i="51"/>
  <c r="G35" i="51" s="1"/>
  <c r="K17" i="51"/>
  <c r="H17" i="51"/>
  <c r="G17" i="51"/>
  <c r="G25" i="51" s="1"/>
  <c r="D12" i="51"/>
  <c r="B12" i="51"/>
  <c r="C12" i="51" s="1"/>
  <c r="C42" i="50"/>
  <c r="I41" i="50"/>
  <c r="J41" i="50" s="1"/>
  <c r="H41" i="50"/>
  <c r="F41" i="50"/>
  <c r="G41" i="50" s="1"/>
  <c r="D41" i="50"/>
  <c r="K41" i="50" s="1"/>
  <c r="M41" i="50" s="1"/>
  <c r="C41" i="50"/>
  <c r="I40" i="50"/>
  <c r="J40" i="50" s="1"/>
  <c r="H40" i="50"/>
  <c r="K40" i="50" s="1"/>
  <c r="M40" i="50" s="1"/>
  <c r="D40" i="50"/>
  <c r="C40" i="50"/>
  <c r="K39" i="50"/>
  <c r="M39" i="50" s="1"/>
  <c r="H39" i="50"/>
  <c r="D39" i="50"/>
  <c r="C39" i="50"/>
  <c r="K38" i="50"/>
  <c r="M38" i="50" s="1"/>
  <c r="H38" i="50"/>
  <c r="F38" i="50"/>
  <c r="G38" i="50" s="1"/>
  <c r="D38" i="50"/>
  <c r="C38" i="50"/>
  <c r="H37" i="50"/>
  <c r="D37" i="50"/>
  <c r="K37" i="50" s="1"/>
  <c r="M37" i="50" s="1"/>
  <c r="C37" i="50"/>
  <c r="I36" i="50"/>
  <c r="J36" i="50" s="1"/>
  <c r="H36" i="50"/>
  <c r="K36" i="50" s="1"/>
  <c r="M36" i="50" s="1"/>
  <c r="D36" i="50"/>
  <c r="C36" i="50"/>
  <c r="K35" i="50"/>
  <c r="M35" i="50" s="1"/>
  <c r="H35" i="50"/>
  <c r="H42" i="50" s="1"/>
  <c r="K42" i="50" s="1"/>
  <c r="M42" i="50" s="1"/>
  <c r="D35" i="50"/>
  <c r="C35" i="50"/>
  <c r="K34" i="50"/>
  <c r="M34" i="50" s="1"/>
  <c r="H34" i="50"/>
  <c r="F34" i="50"/>
  <c r="G34" i="50" s="1"/>
  <c r="D34" i="50"/>
  <c r="D42" i="50" s="1"/>
  <c r="C34" i="50"/>
  <c r="C33" i="50"/>
  <c r="C32" i="50"/>
  <c r="U31" i="50"/>
  <c r="O31" i="50"/>
  <c r="I31" i="50"/>
  <c r="K25" i="50"/>
  <c r="M25" i="50" s="1"/>
  <c r="I25" i="50"/>
  <c r="E25" i="50"/>
  <c r="M24" i="50"/>
  <c r="L24" i="50"/>
  <c r="N24" i="50" s="1"/>
  <c r="K24" i="50"/>
  <c r="H24" i="50"/>
  <c r="G24" i="50"/>
  <c r="M23" i="50"/>
  <c r="L23" i="50"/>
  <c r="N23" i="50" s="1"/>
  <c r="K23" i="50"/>
  <c r="H23" i="50"/>
  <c r="G23" i="50"/>
  <c r="F40" i="50"/>
  <c r="G40" i="50" s="1"/>
  <c r="M22" i="50"/>
  <c r="L22" i="50"/>
  <c r="N22" i="50" s="1"/>
  <c r="K22" i="50"/>
  <c r="I39" i="50"/>
  <c r="J39" i="50" s="1"/>
  <c r="H22" i="50"/>
  <c r="G22" i="50"/>
  <c r="F39" i="50"/>
  <c r="G39" i="50" s="1"/>
  <c r="M21" i="50"/>
  <c r="L21" i="50"/>
  <c r="N21" i="50" s="1"/>
  <c r="K21" i="50"/>
  <c r="I38" i="50"/>
  <c r="J38" i="50" s="1"/>
  <c r="L38" i="50" s="1"/>
  <c r="N38" i="50" s="1"/>
  <c r="H21" i="50"/>
  <c r="G21" i="50"/>
  <c r="M20" i="50"/>
  <c r="K20" i="50"/>
  <c r="H20" i="50"/>
  <c r="G20" i="50"/>
  <c r="M19" i="50"/>
  <c r="L19" i="50"/>
  <c r="N19" i="50" s="1"/>
  <c r="K19" i="50"/>
  <c r="H19" i="50"/>
  <c r="G19" i="50"/>
  <c r="F36" i="50"/>
  <c r="G36" i="50" s="1"/>
  <c r="M18" i="50"/>
  <c r="L18" i="50"/>
  <c r="N18" i="50" s="1"/>
  <c r="K18" i="50"/>
  <c r="I35" i="50"/>
  <c r="J35" i="50" s="1"/>
  <c r="L35" i="50" s="1"/>
  <c r="N35" i="50" s="1"/>
  <c r="H18" i="50"/>
  <c r="G18" i="50"/>
  <c r="F35" i="50"/>
  <c r="G35" i="50" s="1"/>
  <c r="M17" i="50"/>
  <c r="L17" i="50"/>
  <c r="K17" i="50"/>
  <c r="I34" i="50"/>
  <c r="J34" i="50" s="1"/>
  <c r="H17" i="50"/>
  <c r="H25" i="50" s="1"/>
  <c r="G17" i="50"/>
  <c r="G25" i="50" s="1"/>
  <c r="B12" i="50"/>
  <c r="C12" i="50" s="1"/>
  <c r="C42" i="49"/>
  <c r="K41" i="49"/>
  <c r="M41" i="49" s="1"/>
  <c r="H41" i="49"/>
  <c r="D41" i="49"/>
  <c r="C41" i="49"/>
  <c r="K40" i="49"/>
  <c r="M40" i="49" s="1"/>
  <c r="H40" i="49"/>
  <c r="F40" i="49"/>
  <c r="G40" i="49" s="1"/>
  <c r="D40" i="49"/>
  <c r="C40" i="49"/>
  <c r="M39" i="49"/>
  <c r="I39" i="49"/>
  <c r="J39" i="49" s="1"/>
  <c r="H39" i="49"/>
  <c r="D39" i="49"/>
  <c r="K39" i="49" s="1"/>
  <c r="C39" i="49"/>
  <c r="H38" i="49"/>
  <c r="K38" i="49" s="1"/>
  <c r="M38" i="49" s="1"/>
  <c r="D38" i="49"/>
  <c r="C38" i="49"/>
  <c r="K37" i="49"/>
  <c r="M37" i="49" s="1"/>
  <c r="H37" i="49"/>
  <c r="D37" i="49"/>
  <c r="C37" i="49"/>
  <c r="K36" i="49"/>
  <c r="M36" i="49" s="1"/>
  <c r="H36" i="49"/>
  <c r="D36" i="49"/>
  <c r="C36" i="49"/>
  <c r="M35" i="49"/>
  <c r="H35" i="49"/>
  <c r="D35" i="49"/>
  <c r="K35" i="49" s="1"/>
  <c r="C35" i="49"/>
  <c r="H34" i="49"/>
  <c r="D34" i="49"/>
  <c r="D42" i="49" s="1"/>
  <c r="C34" i="49"/>
  <c r="C33" i="49"/>
  <c r="C32" i="49"/>
  <c r="U31" i="49"/>
  <c r="O31" i="49"/>
  <c r="I31" i="49"/>
  <c r="I25" i="49"/>
  <c r="H25" i="49"/>
  <c r="E25" i="49"/>
  <c r="K24" i="49"/>
  <c r="M24" i="49" s="1"/>
  <c r="H24" i="49"/>
  <c r="G24" i="49"/>
  <c r="F41" i="49"/>
  <c r="G41" i="49" s="1"/>
  <c r="K23" i="49"/>
  <c r="M23" i="49" s="1"/>
  <c r="H23" i="49"/>
  <c r="G23" i="49"/>
  <c r="K22" i="49"/>
  <c r="M22" i="49" s="1"/>
  <c r="L22" i="49"/>
  <c r="N22" i="49" s="1"/>
  <c r="H22" i="49"/>
  <c r="G22" i="49"/>
  <c r="F39" i="49"/>
  <c r="G39" i="49" s="1"/>
  <c r="K21" i="49"/>
  <c r="M21" i="49" s="1"/>
  <c r="H21" i="49"/>
  <c r="G21" i="49"/>
  <c r="F38" i="49"/>
  <c r="G38" i="49" s="1"/>
  <c r="K20" i="49"/>
  <c r="M20" i="49" s="1"/>
  <c r="H20" i="49"/>
  <c r="G20" i="49"/>
  <c r="K19" i="49"/>
  <c r="M19" i="49" s="1"/>
  <c r="H19" i="49"/>
  <c r="G19" i="49"/>
  <c r="F36" i="49"/>
  <c r="G36" i="49" s="1"/>
  <c r="K18" i="49"/>
  <c r="M18" i="49" s="1"/>
  <c r="L18" i="49"/>
  <c r="N18" i="49" s="1"/>
  <c r="H18" i="49"/>
  <c r="G18" i="49"/>
  <c r="F35" i="49"/>
  <c r="G35" i="49" s="1"/>
  <c r="K17" i="49"/>
  <c r="H17" i="49"/>
  <c r="G17" i="49"/>
  <c r="G25" i="49" s="1"/>
  <c r="D12" i="49"/>
  <c r="B12" i="49"/>
  <c r="C12" i="49" s="1"/>
  <c r="C42" i="48"/>
  <c r="K41" i="48"/>
  <c r="M41" i="48" s="1"/>
  <c r="H41" i="48"/>
  <c r="D41" i="48"/>
  <c r="C41" i="48"/>
  <c r="K40" i="48"/>
  <c r="M40" i="48" s="1"/>
  <c r="H40" i="48"/>
  <c r="F40" i="48"/>
  <c r="G40" i="48" s="1"/>
  <c r="D40" i="48"/>
  <c r="C40" i="48"/>
  <c r="H39" i="48"/>
  <c r="K39" i="48" s="1"/>
  <c r="M39" i="48" s="1"/>
  <c r="D39" i="48"/>
  <c r="C39" i="48"/>
  <c r="H38" i="48"/>
  <c r="K38" i="48" s="1"/>
  <c r="M38" i="48" s="1"/>
  <c r="D38" i="48"/>
  <c r="C38" i="48"/>
  <c r="K37" i="48"/>
  <c r="M37" i="48" s="1"/>
  <c r="H37" i="48"/>
  <c r="D37" i="48"/>
  <c r="C37" i="48"/>
  <c r="K36" i="48"/>
  <c r="M36" i="48" s="1"/>
  <c r="H36" i="48"/>
  <c r="F36" i="48"/>
  <c r="G36" i="48" s="1"/>
  <c r="D36" i="48"/>
  <c r="C36" i="48"/>
  <c r="H35" i="48"/>
  <c r="K35" i="48" s="1"/>
  <c r="M35" i="48" s="1"/>
  <c r="D35" i="48"/>
  <c r="C35" i="48"/>
  <c r="H34" i="48"/>
  <c r="H42" i="48" s="1"/>
  <c r="K42" i="48" s="1"/>
  <c r="M42" i="48" s="1"/>
  <c r="D34" i="48"/>
  <c r="D42" i="48" s="1"/>
  <c r="C34" i="48"/>
  <c r="C33" i="48"/>
  <c r="C32" i="48"/>
  <c r="U31" i="48"/>
  <c r="O31" i="48"/>
  <c r="I31" i="48"/>
  <c r="I25" i="48"/>
  <c r="H25" i="48"/>
  <c r="E25" i="48"/>
  <c r="K24" i="48"/>
  <c r="M24" i="48" s="1"/>
  <c r="I41" i="48"/>
  <c r="J41" i="48" s="1"/>
  <c r="H24" i="48"/>
  <c r="G24" i="48"/>
  <c r="F41" i="48"/>
  <c r="G41" i="48" s="1"/>
  <c r="K23" i="48"/>
  <c r="M23" i="48" s="1"/>
  <c r="I40" i="48"/>
  <c r="J40" i="48" s="1"/>
  <c r="H23" i="48"/>
  <c r="G23" i="48"/>
  <c r="K22" i="48"/>
  <c r="M22" i="48" s="1"/>
  <c r="I39" i="48"/>
  <c r="J39" i="48" s="1"/>
  <c r="L39" i="48" s="1"/>
  <c r="N39" i="48" s="1"/>
  <c r="H22" i="48"/>
  <c r="G22" i="48"/>
  <c r="F39" i="48"/>
  <c r="G39" i="48" s="1"/>
  <c r="K21" i="48"/>
  <c r="M21" i="48" s="1"/>
  <c r="L21" i="48"/>
  <c r="N21" i="48" s="1"/>
  <c r="H21" i="48"/>
  <c r="G21" i="48"/>
  <c r="F38" i="48"/>
  <c r="G38" i="48" s="1"/>
  <c r="K20" i="48"/>
  <c r="M20" i="48" s="1"/>
  <c r="H20" i="48"/>
  <c r="G20" i="48"/>
  <c r="K19" i="48"/>
  <c r="M19" i="48" s="1"/>
  <c r="I36" i="48"/>
  <c r="J36" i="48" s="1"/>
  <c r="L36" i="48" s="1"/>
  <c r="N36" i="48" s="1"/>
  <c r="H19" i="48"/>
  <c r="G19" i="48"/>
  <c r="K18" i="48"/>
  <c r="M18" i="48" s="1"/>
  <c r="I35" i="48"/>
  <c r="J35" i="48" s="1"/>
  <c r="H18" i="48"/>
  <c r="G18" i="48"/>
  <c r="F35" i="48"/>
  <c r="G35" i="48" s="1"/>
  <c r="K17" i="48"/>
  <c r="K25" i="48" s="1"/>
  <c r="M25" i="48" s="1"/>
  <c r="H17" i="48"/>
  <c r="G17" i="48"/>
  <c r="G25" i="48" s="1"/>
  <c r="F34" i="48"/>
  <c r="G34" i="48" s="1"/>
  <c r="D12" i="48"/>
  <c r="B12" i="48"/>
  <c r="C12" i="48" s="1"/>
  <c r="C42" i="47"/>
  <c r="K41" i="47"/>
  <c r="M41" i="47" s="1"/>
  <c r="H41" i="47"/>
  <c r="F41" i="47"/>
  <c r="G41" i="47" s="1"/>
  <c r="D41" i="47"/>
  <c r="C41" i="47"/>
  <c r="I40" i="47"/>
  <c r="J40" i="47" s="1"/>
  <c r="H40" i="47"/>
  <c r="K40" i="47" s="1"/>
  <c r="M40" i="47" s="1"/>
  <c r="D40" i="47"/>
  <c r="C40" i="47"/>
  <c r="H39" i="47"/>
  <c r="K39" i="47" s="1"/>
  <c r="M39" i="47" s="1"/>
  <c r="D39" i="47"/>
  <c r="C39" i="47"/>
  <c r="K38" i="47"/>
  <c r="M38" i="47" s="1"/>
  <c r="H38" i="47"/>
  <c r="D38" i="47"/>
  <c r="C38" i="47"/>
  <c r="K37" i="47"/>
  <c r="M37" i="47" s="1"/>
  <c r="H37" i="47"/>
  <c r="D37" i="47"/>
  <c r="C37" i="47"/>
  <c r="I36" i="47"/>
  <c r="J36" i="47" s="1"/>
  <c r="H36" i="47"/>
  <c r="K36" i="47" s="1"/>
  <c r="M36" i="47" s="1"/>
  <c r="D36" i="47"/>
  <c r="C36" i="47"/>
  <c r="H35" i="47"/>
  <c r="K35" i="47" s="1"/>
  <c r="M35" i="47" s="1"/>
  <c r="D35" i="47"/>
  <c r="C35" i="47"/>
  <c r="K34" i="47"/>
  <c r="M34" i="47" s="1"/>
  <c r="H34" i="47"/>
  <c r="D34" i="47"/>
  <c r="D42" i="47" s="1"/>
  <c r="C34" i="47"/>
  <c r="C33" i="47"/>
  <c r="C32" i="47"/>
  <c r="U31" i="47"/>
  <c r="O31" i="47"/>
  <c r="I31" i="47"/>
  <c r="K25" i="47"/>
  <c r="M25" i="47" s="1"/>
  <c r="I25" i="47"/>
  <c r="G25" i="47"/>
  <c r="E25" i="47"/>
  <c r="M24" i="47"/>
  <c r="L24" i="47"/>
  <c r="N24" i="47" s="1"/>
  <c r="K24" i="47"/>
  <c r="I41" i="47"/>
  <c r="J41" i="47" s="1"/>
  <c r="H24" i="47"/>
  <c r="G24" i="47"/>
  <c r="M23" i="47"/>
  <c r="K23" i="47"/>
  <c r="L23" i="47"/>
  <c r="N23" i="47" s="1"/>
  <c r="H23" i="47"/>
  <c r="G23" i="47"/>
  <c r="F40" i="47"/>
  <c r="G40" i="47" s="1"/>
  <c r="M22" i="47"/>
  <c r="K22" i="47"/>
  <c r="L22" i="47"/>
  <c r="N22" i="47" s="1"/>
  <c r="H22" i="47"/>
  <c r="G22" i="47"/>
  <c r="F39" i="47"/>
  <c r="G39" i="47" s="1"/>
  <c r="M21" i="47"/>
  <c r="K21" i="47"/>
  <c r="L21" i="47"/>
  <c r="N21" i="47" s="1"/>
  <c r="H21" i="47"/>
  <c r="G21" i="47"/>
  <c r="F38" i="47"/>
  <c r="G38" i="47" s="1"/>
  <c r="M20" i="47"/>
  <c r="K20" i="47"/>
  <c r="H20" i="47"/>
  <c r="G20" i="47"/>
  <c r="M19" i="47"/>
  <c r="K19" i="47"/>
  <c r="L19" i="47"/>
  <c r="N19" i="47" s="1"/>
  <c r="H19" i="47"/>
  <c r="G19" i="47"/>
  <c r="F36" i="47"/>
  <c r="G36" i="47" s="1"/>
  <c r="M18" i="47"/>
  <c r="K18" i="47"/>
  <c r="L18" i="47"/>
  <c r="N18" i="47" s="1"/>
  <c r="H18" i="47"/>
  <c r="G18" i="47"/>
  <c r="F35" i="47"/>
  <c r="G35" i="47" s="1"/>
  <c r="M17" i="47"/>
  <c r="K17" i="47"/>
  <c r="H17" i="47"/>
  <c r="H25" i="47" s="1"/>
  <c r="G17" i="47"/>
  <c r="F34" i="47"/>
  <c r="G34" i="47" s="1"/>
  <c r="D12" i="47"/>
  <c r="C12" i="47"/>
  <c r="B12" i="47"/>
  <c r="C42" i="46"/>
  <c r="K41" i="46"/>
  <c r="M41" i="46" s="1"/>
  <c r="H41" i="46"/>
  <c r="D41" i="46"/>
  <c r="C41" i="46"/>
  <c r="K40" i="46"/>
  <c r="M40" i="46" s="1"/>
  <c r="H40" i="46"/>
  <c r="F40" i="46"/>
  <c r="G40" i="46" s="1"/>
  <c r="D40" i="46"/>
  <c r="C40" i="46"/>
  <c r="H39" i="46"/>
  <c r="D39" i="46"/>
  <c r="K39" i="46" s="1"/>
  <c r="M39" i="46" s="1"/>
  <c r="C39" i="46"/>
  <c r="H38" i="46"/>
  <c r="K38" i="46" s="1"/>
  <c r="M38" i="46" s="1"/>
  <c r="D38" i="46"/>
  <c r="C38" i="46"/>
  <c r="K37" i="46"/>
  <c r="M37" i="46" s="1"/>
  <c r="H37" i="46"/>
  <c r="D37" i="46"/>
  <c r="C37" i="46"/>
  <c r="K36" i="46"/>
  <c r="M36" i="46" s="1"/>
  <c r="H36" i="46"/>
  <c r="F36" i="46"/>
  <c r="G36" i="46" s="1"/>
  <c r="D36" i="46"/>
  <c r="C36" i="46"/>
  <c r="H35" i="46"/>
  <c r="K35" i="46" s="1"/>
  <c r="M35" i="46" s="1"/>
  <c r="D35" i="46"/>
  <c r="C35" i="46"/>
  <c r="H34" i="46"/>
  <c r="H42" i="46" s="1"/>
  <c r="K42" i="46" s="1"/>
  <c r="M42" i="46" s="1"/>
  <c r="D34" i="46"/>
  <c r="D42" i="46" s="1"/>
  <c r="C34" i="46"/>
  <c r="C33" i="46"/>
  <c r="C32" i="46"/>
  <c r="U31" i="46"/>
  <c r="O31" i="46"/>
  <c r="I31" i="46"/>
  <c r="I25" i="46"/>
  <c r="H25" i="46"/>
  <c r="E25" i="46"/>
  <c r="K24" i="46"/>
  <c r="M24" i="46" s="1"/>
  <c r="I41" i="46"/>
  <c r="J41" i="46" s="1"/>
  <c r="H24" i="46"/>
  <c r="G24" i="46"/>
  <c r="F41" i="46"/>
  <c r="G41" i="46" s="1"/>
  <c r="K23" i="46"/>
  <c r="M23" i="46" s="1"/>
  <c r="I40" i="46"/>
  <c r="J40" i="46" s="1"/>
  <c r="H23" i="46"/>
  <c r="G23" i="46"/>
  <c r="K22" i="46"/>
  <c r="M22" i="46" s="1"/>
  <c r="L22" i="46"/>
  <c r="N22" i="46" s="1"/>
  <c r="H22" i="46"/>
  <c r="G22" i="46"/>
  <c r="F39" i="46"/>
  <c r="G39" i="46" s="1"/>
  <c r="K21" i="46"/>
  <c r="M21" i="46" s="1"/>
  <c r="I38" i="46"/>
  <c r="J38" i="46" s="1"/>
  <c r="H21" i="46"/>
  <c r="G21" i="46"/>
  <c r="F38" i="46"/>
  <c r="G38" i="46" s="1"/>
  <c r="K20" i="46"/>
  <c r="M20" i="46" s="1"/>
  <c r="H20" i="46"/>
  <c r="G20" i="46"/>
  <c r="K19" i="46"/>
  <c r="M19" i="46" s="1"/>
  <c r="I36" i="46"/>
  <c r="J36" i="46" s="1"/>
  <c r="L36" i="46" s="1"/>
  <c r="N36" i="46" s="1"/>
  <c r="H19" i="46"/>
  <c r="G19" i="46"/>
  <c r="K18" i="46"/>
  <c r="M18" i="46" s="1"/>
  <c r="I35" i="46"/>
  <c r="J35" i="46" s="1"/>
  <c r="L35" i="46" s="1"/>
  <c r="N35" i="46" s="1"/>
  <c r="H18" i="46"/>
  <c r="G18" i="46"/>
  <c r="F35" i="46"/>
  <c r="G35" i="46" s="1"/>
  <c r="K17" i="46"/>
  <c r="K25" i="46" s="1"/>
  <c r="M25" i="46" s="1"/>
  <c r="L17" i="46"/>
  <c r="H17" i="46"/>
  <c r="G17" i="46"/>
  <c r="G25" i="46" s="1"/>
  <c r="F34" i="46"/>
  <c r="G34" i="46" s="1"/>
  <c r="D12" i="46"/>
  <c r="B12" i="46"/>
  <c r="C12" i="46" s="1"/>
  <c r="L41" i="52" l="1"/>
  <c r="L39" i="52"/>
  <c r="N39" i="52" s="1"/>
  <c r="L34" i="52"/>
  <c r="N34" i="52" s="1"/>
  <c r="L36" i="52"/>
  <c r="N36" i="52" s="1"/>
  <c r="L35" i="52"/>
  <c r="N35" i="52" s="1"/>
  <c r="D12" i="52"/>
  <c r="N17" i="52"/>
  <c r="M17" i="52"/>
  <c r="K34" i="52"/>
  <c r="M34" i="52" s="1"/>
  <c r="L39" i="51"/>
  <c r="N39" i="51" s="1"/>
  <c r="L17" i="51"/>
  <c r="I36" i="51"/>
  <c r="J36" i="51" s="1"/>
  <c r="L36" i="51" s="1"/>
  <c r="N36" i="51" s="1"/>
  <c r="L19" i="51"/>
  <c r="N19" i="51" s="1"/>
  <c r="L21" i="51"/>
  <c r="N21" i="51" s="1"/>
  <c r="I38" i="51"/>
  <c r="J38" i="51" s="1"/>
  <c r="L38" i="51" s="1"/>
  <c r="N38" i="51" s="1"/>
  <c r="I40" i="51"/>
  <c r="J40" i="51" s="1"/>
  <c r="L40" i="51" s="1"/>
  <c r="N40" i="51" s="1"/>
  <c r="L23" i="51"/>
  <c r="N23" i="51" s="1"/>
  <c r="F34" i="51"/>
  <c r="G34" i="51" s="1"/>
  <c r="K25" i="51"/>
  <c r="M25" i="51" s="1"/>
  <c r="M17" i="51"/>
  <c r="H42" i="51"/>
  <c r="K42" i="51" s="1"/>
  <c r="M42" i="51" s="1"/>
  <c r="K34" i="51"/>
  <c r="M34" i="51" s="1"/>
  <c r="I41" i="51"/>
  <c r="J41" i="51" s="1"/>
  <c r="L24" i="51"/>
  <c r="N24" i="51" s="1"/>
  <c r="I34" i="51"/>
  <c r="J34" i="51" s="1"/>
  <c r="I35" i="51"/>
  <c r="J35" i="51" s="1"/>
  <c r="L35" i="51" s="1"/>
  <c r="N35" i="51" s="1"/>
  <c r="L36" i="50"/>
  <c r="N36" i="50" s="1"/>
  <c r="L40" i="50"/>
  <c r="N40" i="50" s="1"/>
  <c r="L41" i="50"/>
  <c r="L34" i="50"/>
  <c r="N34" i="50" s="1"/>
  <c r="L39" i="50"/>
  <c r="N39" i="50" s="1"/>
  <c r="D12" i="50"/>
  <c r="N17" i="50"/>
  <c r="L39" i="49"/>
  <c r="N39" i="49" s="1"/>
  <c r="L17" i="49"/>
  <c r="I36" i="49"/>
  <c r="J36" i="49" s="1"/>
  <c r="L36" i="49" s="1"/>
  <c r="N36" i="49" s="1"/>
  <c r="L19" i="49"/>
  <c r="N19" i="49" s="1"/>
  <c r="L21" i="49"/>
  <c r="N21" i="49" s="1"/>
  <c r="I38" i="49"/>
  <c r="J38" i="49" s="1"/>
  <c r="L38" i="49" s="1"/>
  <c r="N38" i="49" s="1"/>
  <c r="I40" i="49"/>
  <c r="J40" i="49" s="1"/>
  <c r="L40" i="49" s="1"/>
  <c r="N40" i="49" s="1"/>
  <c r="L23" i="49"/>
  <c r="N23" i="49" s="1"/>
  <c r="F34" i="49"/>
  <c r="G34" i="49" s="1"/>
  <c r="K25" i="49"/>
  <c r="M25" i="49" s="1"/>
  <c r="M17" i="49"/>
  <c r="H42" i="49"/>
  <c r="K42" i="49" s="1"/>
  <c r="M42" i="49" s="1"/>
  <c r="K34" i="49"/>
  <c r="M34" i="49" s="1"/>
  <c r="I41" i="49"/>
  <c r="J41" i="49" s="1"/>
  <c r="L24" i="49"/>
  <c r="N24" i="49" s="1"/>
  <c r="I34" i="49"/>
  <c r="J34" i="49" s="1"/>
  <c r="I35" i="49"/>
  <c r="J35" i="49" s="1"/>
  <c r="L35" i="49" s="1"/>
  <c r="N35" i="49" s="1"/>
  <c r="L40" i="48"/>
  <c r="N40" i="48" s="1"/>
  <c r="L35" i="48"/>
  <c r="N35" i="48" s="1"/>
  <c r="L41" i="48"/>
  <c r="I34" i="48"/>
  <c r="J34" i="48" s="1"/>
  <c r="I38" i="48"/>
  <c r="J38" i="48" s="1"/>
  <c r="L38" i="48" s="1"/>
  <c r="N38" i="48" s="1"/>
  <c r="L17" i="48"/>
  <c r="L18" i="48"/>
  <c r="N18" i="48" s="1"/>
  <c r="L19" i="48"/>
  <c r="N19" i="48" s="1"/>
  <c r="L22" i="48"/>
  <c r="N22" i="48" s="1"/>
  <c r="L23" i="48"/>
  <c r="N23" i="48" s="1"/>
  <c r="L24" i="48"/>
  <c r="N24" i="48" s="1"/>
  <c r="M17" i="48"/>
  <c r="K34" i="48"/>
  <c r="M34" i="48" s="1"/>
  <c r="L41" i="47"/>
  <c r="L40" i="47"/>
  <c r="N40" i="47" s="1"/>
  <c r="L36" i="47"/>
  <c r="N36" i="47" s="1"/>
  <c r="I35" i="47"/>
  <c r="J35" i="47" s="1"/>
  <c r="L35" i="47" s="1"/>
  <c r="N35" i="47" s="1"/>
  <c r="I39" i="47"/>
  <c r="J39" i="47" s="1"/>
  <c r="L39" i="47" s="1"/>
  <c r="N39" i="47" s="1"/>
  <c r="I34" i="47"/>
  <c r="J34" i="47" s="1"/>
  <c r="I38" i="47"/>
  <c r="J38" i="47" s="1"/>
  <c r="L38" i="47" s="1"/>
  <c r="N38" i="47" s="1"/>
  <c r="H42" i="47"/>
  <c r="K42" i="47" s="1"/>
  <c r="M42" i="47" s="1"/>
  <c r="L17" i="47"/>
  <c r="L40" i="46"/>
  <c r="N40" i="46" s="1"/>
  <c r="L41" i="46"/>
  <c r="L38" i="46"/>
  <c r="N38" i="46" s="1"/>
  <c r="N17" i="46"/>
  <c r="I39" i="46"/>
  <c r="J39" i="46" s="1"/>
  <c r="L39" i="46" s="1"/>
  <c r="N39" i="46" s="1"/>
  <c r="L18" i="46"/>
  <c r="N18" i="46" s="1"/>
  <c r="L19" i="46"/>
  <c r="N19" i="46" s="1"/>
  <c r="L21" i="46"/>
  <c r="N21" i="46" s="1"/>
  <c r="L23" i="46"/>
  <c r="N23" i="46" s="1"/>
  <c r="L24" i="46"/>
  <c r="N24" i="46" s="1"/>
  <c r="I34" i="46"/>
  <c r="J34" i="46" s="1"/>
  <c r="M17" i="46"/>
  <c r="K34" i="46"/>
  <c r="M34" i="46" s="1"/>
  <c r="N41" i="52" l="1"/>
  <c r="L41" i="51"/>
  <c r="L34" i="51"/>
  <c r="N34" i="51" s="1"/>
  <c r="N17" i="51"/>
  <c r="N41" i="50"/>
  <c r="L41" i="49"/>
  <c r="L34" i="49"/>
  <c r="N34" i="49" s="1"/>
  <c r="N17" i="49"/>
  <c r="N17" i="48"/>
  <c r="L34" i="48"/>
  <c r="N34" i="48" s="1"/>
  <c r="N41" i="48"/>
  <c r="N41" i="47"/>
  <c r="L34" i="47"/>
  <c r="N34" i="47" s="1"/>
  <c r="N17" i="47"/>
  <c r="L34" i="46"/>
  <c r="N34" i="46" s="1"/>
  <c r="N41" i="46"/>
  <c r="F40" i="23"/>
  <c r="G40" i="23" s="1"/>
  <c r="F39" i="23"/>
  <c r="G39" i="23" s="1"/>
  <c r="F38" i="23"/>
  <c r="G38" i="23" s="1"/>
  <c r="F36" i="23"/>
  <c r="G36" i="23" s="1"/>
  <c r="F35" i="23"/>
  <c r="G35" i="23" s="1"/>
  <c r="F34" i="23"/>
  <c r="G34" i="23" s="1"/>
  <c r="G12" i="33"/>
  <c r="G12" i="32"/>
  <c r="G12" i="31"/>
  <c r="C11" i="30"/>
  <c r="I13" i="29"/>
  <c r="H13" i="29"/>
  <c r="G13" i="29"/>
  <c r="C43" i="29" s="1"/>
  <c r="D13" i="29"/>
  <c r="I13" i="27"/>
  <c r="H13" i="27"/>
  <c r="D13" i="27"/>
  <c r="I13" i="26"/>
  <c r="H13" i="26"/>
  <c r="G13" i="26"/>
  <c r="D13" i="26"/>
  <c r="U31" i="23"/>
  <c r="O31" i="23"/>
  <c r="H13" i="25" s="1"/>
  <c r="I31" i="23"/>
  <c r="I13" i="25"/>
  <c r="G13" i="25"/>
  <c r="D13" i="25"/>
  <c r="C43" i="25"/>
  <c r="B43" i="25"/>
  <c r="C42" i="25"/>
  <c r="B42" i="25"/>
  <c r="C41" i="25"/>
  <c r="B41" i="25"/>
  <c r="C40" i="25"/>
  <c r="B40" i="25"/>
  <c r="C39" i="25"/>
  <c r="B39" i="25"/>
  <c r="C38" i="25"/>
  <c r="B38" i="25"/>
  <c r="C37" i="25"/>
  <c r="B37" i="25"/>
  <c r="C36" i="25"/>
  <c r="B36" i="25"/>
  <c r="C35" i="25"/>
  <c r="B35" i="25"/>
  <c r="C34" i="25"/>
  <c r="B34" i="25"/>
  <c r="C33" i="25"/>
  <c r="B33" i="25"/>
  <c r="C32" i="25"/>
  <c r="B32" i="25"/>
  <c r="C31" i="25"/>
  <c r="B31" i="25"/>
  <c r="C30" i="25"/>
  <c r="B30" i="25"/>
  <c r="C29" i="25"/>
  <c r="B29" i="25"/>
  <c r="C28" i="25"/>
  <c r="B28" i="25"/>
  <c r="C27" i="25"/>
  <c r="B27" i="25"/>
  <c r="C26" i="25"/>
  <c r="B26" i="25"/>
  <c r="C25" i="25"/>
  <c r="B25" i="25"/>
  <c r="C24" i="25"/>
  <c r="B24" i="25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C32" i="26"/>
  <c r="B32" i="26"/>
  <c r="C31" i="26"/>
  <c r="B31" i="26"/>
  <c r="C30" i="26"/>
  <c r="B30" i="26"/>
  <c r="C29" i="26"/>
  <c r="B29" i="26"/>
  <c r="C28" i="26"/>
  <c r="B28" i="26"/>
  <c r="C27" i="26"/>
  <c r="B27" i="26"/>
  <c r="C26" i="26"/>
  <c r="B26" i="26"/>
  <c r="C25" i="26"/>
  <c r="B25" i="26"/>
  <c r="C24" i="26"/>
  <c r="B24" i="26"/>
  <c r="C43" i="27"/>
  <c r="B43" i="27"/>
  <c r="C42" i="27"/>
  <c r="B42" i="27"/>
  <c r="C41" i="27"/>
  <c r="B41" i="27"/>
  <c r="C40" i="27"/>
  <c r="B40" i="27"/>
  <c r="C39" i="27"/>
  <c r="B39" i="27"/>
  <c r="C38" i="27"/>
  <c r="B38" i="27"/>
  <c r="C37" i="27"/>
  <c r="B37" i="27"/>
  <c r="C36" i="27"/>
  <c r="B36" i="27"/>
  <c r="C35" i="27"/>
  <c r="B35" i="27"/>
  <c r="C34" i="27"/>
  <c r="B34" i="27"/>
  <c r="C33" i="27"/>
  <c r="B33" i="27"/>
  <c r="C32" i="27"/>
  <c r="B32" i="27"/>
  <c r="C31" i="27"/>
  <c r="B31" i="27"/>
  <c r="C30" i="27"/>
  <c r="B30" i="27"/>
  <c r="C29" i="27"/>
  <c r="B29" i="27"/>
  <c r="C28" i="27"/>
  <c r="B28" i="27"/>
  <c r="C27" i="27"/>
  <c r="B27" i="27"/>
  <c r="C26" i="27"/>
  <c r="B26" i="27"/>
  <c r="C25" i="27"/>
  <c r="B25" i="27"/>
  <c r="C24" i="27"/>
  <c r="B24" i="27"/>
  <c r="B43" i="29"/>
  <c r="C42" i="29"/>
  <c r="C40" i="29"/>
  <c r="B40" i="29"/>
  <c r="B38" i="29"/>
  <c r="B37" i="29"/>
  <c r="B35" i="29"/>
  <c r="C34" i="29"/>
  <c r="C32" i="29"/>
  <c r="B32" i="29"/>
  <c r="B30" i="29"/>
  <c r="B29" i="29"/>
  <c r="B27" i="29"/>
  <c r="C26" i="29"/>
  <c r="C24" i="29"/>
  <c r="B24" i="29"/>
  <c r="H9" i="29"/>
  <c r="I9" i="27"/>
  <c r="H9" i="27"/>
  <c r="F9" i="27"/>
  <c r="E9" i="27"/>
  <c r="C23" i="27"/>
  <c r="B23" i="27"/>
  <c r="C23" i="26"/>
  <c r="B23" i="26"/>
  <c r="I9" i="26"/>
  <c r="H9" i="26"/>
  <c r="C23" i="25"/>
  <c r="B23" i="25"/>
  <c r="I9" i="25"/>
  <c r="H9" i="25"/>
  <c r="N41" i="51" l="1"/>
  <c r="N41" i="49"/>
  <c r="I9" i="29"/>
  <c r="B25" i="29"/>
  <c r="B28" i="29"/>
  <c r="C30" i="29"/>
  <c r="B33" i="29"/>
  <c r="B36" i="29"/>
  <c r="C38" i="29"/>
  <c r="B41" i="29"/>
  <c r="B23" i="29"/>
  <c r="B26" i="29"/>
  <c r="C28" i="29"/>
  <c r="B31" i="29"/>
  <c r="B34" i="29"/>
  <c r="C36" i="29"/>
  <c r="B39" i="29"/>
  <c r="B42" i="29"/>
  <c r="C23" i="29"/>
  <c r="C25" i="29"/>
  <c r="C27" i="29"/>
  <c r="C29" i="29"/>
  <c r="C31" i="29"/>
  <c r="C33" i="29"/>
  <c r="C35" i="29"/>
  <c r="C37" i="29"/>
  <c r="C39" i="29"/>
  <c r="C41" i="29"/>
  <c r="H24" i="23" l="1"/>
  <c r="G24" i="23"/>
  <c r="H23" i="23"/>
  <c r="G23" i="23"/>
  <c r="H22" i="23"/>
  <c r="G22" i="23"/>
  <c r="H21" i="23"/>
  <c r="G21" i="23"/>
  <c r="H20" i="23"/>
  <c r="G20" i="23"/>
  <c r="H19" i="23"/>
  <c r="G19" i="23"/>
  <c r="H18" i="23"/>
  <c r="G18" i="23"/>
  <c r="H17" i="23" l="1"/>
  <c r="G17" i="23"/>
  <c r="E23" i="32" l="1"/>
  <c r="E25" i="32"/>
  <c r="E27" i="32"/>
  <c r="E29" i="32"/>
  <c r="E31" i="32"/>
  <c r="E33" i="32"/>
  <c r="E35" i="32"/>
  <c r="E37" i="32"/>
  <c r="E39" i="32"/>
  <c r="E41" i="32"/>
  <c r="E22" i="32"/>
  <c r="E24" i="31"/>
  <c r="E26" i="31"/>
  <c r="E28" i="31"/>
  <c r="E30" i="31"/>
  <c r="E32" i="31"/>
  <c r="E34" i="31"/>
  <c r="E36" i="31"/>
  <c r="E38" i="31"/>
  <c r="E40" i="31"/>
  <c r="E42" i="31"/>
  <c r="D24" i="29"/>
  <c r="D26" i="29"/>
  <c r="D28" i="29"/>
  <c r="D30" i="29"/>
  <c r="D32" i="29"/>
  <c r="D34" i="29"/>
  <c r="D36" i="29"/>
  <c r="D38" i="29"/>
  <c r="D40" i="29"/>
  <c r="D42" i="29"/>
  <c r="D23" i="29"/>
  <c r="D25" i="27"/>
  <c r="D27" i="27"/>
  <c r="D29" i="27"/>
  <c r="D31" i="27"/>
  <c r="D33" i="27"/>
  <c r="D35" i="27"/>
  <c r="D37" i="27"/>
  <c r="D39" i="27"/>
  <c r="D41" i="27"/>
  <c r="D43" i="27"/>
  <c r="D24" i="26"/>
  <c r="D26" i="26"/>
  <c r="D28" i="26"/>
  <c r="D30" i="26"/>
  <c r="D32" i="26"/>
  <c r="D34" i="26"/>
  <c r="D36" i="26"/>
  <c r="D38" i="26"/>
  <c r="D40" i="26"/>
  <c r="D42" i="26"/>
  <c r="D23" i="26"/>
  <c r="H14" i="34"/>
  <c r="G14" i="34"/>
  <c r="H14" i="33"/>
  <c r="G14" i="33"/>
  <c r="H14" i="32"/>
  <c r="E24" i="32" s="1"/>
  <c r="G14" i="32"/>
  <c r="H14" i="31"/>
  <c r="E23" i="31" s="1"/>
  <c r="G14" i="31"/>
  <c r="E12" i="30"/>
  <c r="D12" i="30"/>
  <c r="D27" i="29"/>
  <c r="D26" i="27"/>
  <c r="D25" i="26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43" i="26" l="1"/>
  <c r="D39" i="26"/>
  <c r="D35" i="26"/>
  <c r="D31" i="26"/>
  <c r="D27" i="26"/>
  <c r="D23" i="27"/>
  <c r="D40" i="27"/>
  <c r="D36" i="27"/>
  <c r="D32" i="27"/>
  <c r="D28" i="27"/>
  <c r="D24" i="27"/>
  <c r="D41" i="29"/>
  <c r="D37" i="29"/>
  <c r="D33" i="29"/>
  <c r="D29" i="29"/>
  <c r="D25" i="29"/>
  <c r="E41" i="31"/>
  <c r="E37" i="31"/>
  <c r="E33" i="31"/>
  <c r="E29" i="31"/>
  <c r="E25" i="31"/>
  <c r="E42" i="32"/>
  <c r="E38" i="32"/>
  <c r="E34" i="32"/>
  <c r="E30" i="32"/>
  <c r="E26" i="32"/>
  <c r="D41" i="26"/>
  <c r="D37" i="26"/>
  <c r="D33" i="26"/>
  <c r="D29" i="26"/>
  <c r="D42" i="27"/>
  <c r="D38" i="27"/>
  <c r="D34" i="27"/>
  <c r="D30" i="27"/>
  <c r="D43" i="29"/>
  <c r="D39" i="29"/>
  <c r="D35" i="29"/>
  <c r="D31" i="29"/>
  <c r="E22" i="31"/>
  <c r="E39" i="31"/>
  <c r="E35" i="31"/>
  <c r="E31" i="31"/>
  <c r="E27" i="31"/>
  <c r="E40" i="32"/>
  <c r="E36" i="32"/>
  <c r="E32" i="32"/>
  <c r="E28" i="32"/>
  <c r="D9" i="34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9" i="34"/>
  <c r="G9" i="33"/>
  <c r="G9" i="32"/>
  <c r="G9" i="31"/>
  <c r="G9" i="30"/>
  <c r="G9" i="29"/>
  <c r="G9" i="26"/>
  <c r="D35" i="23"/>
  <c r="F17" i="23"/>
  <c r="G9" i="25"/>
  <c r="H41" i="23"/>
  <c r="K41" i="23" s="1"/>
  <c r="M41" i="23" s="1"/>
  <c r="H40" i="23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F9" i="25" l="1"/>
  <c r="E9" i="25"/>
  <c r="E9" i="29"/>
  <c r="F9" i="29"/>
  <c r="E9" i="26"/>
  <c r="F9" i="26"/>
  <c r="K40" i="23"/>
  <c r="M40" i="23" s="1"/>
  <c r="H42" i="23"/>
  <c r="K34" i="23"/>
  <c r="M34" i="23" s="1"/>
  <c r="D42" i="23"/>
  <c r="K35" i="23"/>
  <c r="M35" i="23" s="1"/>
  <c r="K42" i="23" l="1"/>
  <c r="M42" i="23" s="1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A23" i="29"/>
  <c r="F19" i="23"/>
  <c r="A24" i="27"/>
  <c r="A25" i="27" s="1"/>
  <c r="A23" i="27"/>
  <c r="A23" i="26"/>
  <c r="F18" i="23"/>
  <c r="J9" i="25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5" i="33"/>
  <c r="E35" i="33" s="1"/>
  <c r="B31" i="33"/>
  <c r="E31" i="33" s="1"/>
  <c r="B23" i="33"/>
  <c r="E23" i="3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B42" i="33"/>
  <c r="E42" i="33" s="1"/>
  <c r="B38" i="33"/>
  <c r="E38" i="33" s="1"/>
  <c r="B34" i="33"/>
  <c r="E34" i="33" s="1"/>
  <c r="B30" i="33"/>
  <c r="E30" i="33" s="1"/>
  <c r="B26" i="33"/>
  <c r="E26" i="33" s="1"/>
  <c r="B22" i="33"/>
  <c r="E22" i="33" s="1"/>
  <c r="B39" i="33"/>
  <c r="E39" i="33" s="1"/>
  <c r="B27" i="33"/>
  <c r="E27" i="33" s="1"/>
  <c r="J18" i="23"/>
  <c r="I35" i="23" s="1"/>
  <c r="J35" i="23" s="1"/>
  <c r="J19" i="23"/>
  <c r="J17" i="23"/>
  <c r="I34" i="23" s="1"/>
  <c r="J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B42" i="32"/>
  <c r="B38" i="32"/>
  <c r="B34" i="32"/>
  <c r="B30" i="32"/>
  <c r="B26" i="32"/>
  <c r="B22" i="32"/>
  <c r="C22" i="32" s="1"/>
  <c r="J9" i="26"/>
  <c r="G25" i="23"/>
  <c r="H25" i="23"/>
  <c r="M18" i="23"/>
  <c r="M20" i="23"/>
  <c r="M21" i="23"/>
  <c r="M22" i="23"/>
  <c r="M19" i="23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H9" i="34"/>
  <c r="I9" i="34" s="1"/>
  <c r="C22" i="31"/>
  <c r="F9" i="3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A26" i="29"/>
  <c r="A26" i="27"/>
  <c r="A24" i="26"/>
  <c r="A26" i="25"/>
  <c r="B30" i="30"/>
  <c r="B32" i="30"/>
  <c r="H9" i="30"/>
  <c r="B31" i="30"/>
  <c r="E9" i="30"/>
  <c r="I36" i="23" l="1"/>
  <c r="J36" i="23" s="1"/>
  <c r="L36" i="23" s="1"/>
  <c r="N36" i="23" s="1"/>
  <c r="C22" i="34"/>
  <c r="E22" i="34"/>
  <c r="C22" i="33"/>
  <c r="F23" i="23"/>
  <c r="J9" i="33"/>
  <c r="L19" i="23"/>
  <c r="N19" i="23" s="1"/>
  <c r="J24" i="23"/>
  <c r="I41" i="23" s="1"/>
  <c r="J41" i="23" s="1"/>
  <c r="J22" i="23"/>
  <c r="I39" i="23" s="1"/>
  <c r="J39" i="23" s="1"/>
  <c r="J23" i="23"/>
  <c r="I40" i="23" s="1"/>
  <c r="J40" i="23" s="1"/>
  <c r="J21" i="23"/>
  <c r="D32" i="30"/>
  <c r="D30" i="30"/>
  <c r="D31" i="30"/>
  <c r="F22" i="23"/>
  <c r="J9" i="32"/>
  <c r="J9" i="34"/>
  <c r="F24" i="23"/>
  <c r="F41" i="23" s="1"/>
  <c r="G41" i="23" s="1"/>
  <c r="L35" i="23"/>
  <c r="N35" i="23" s="1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A27" i="29"/>
  <c r="A27" i="27"/>
  <c r="A25" i="26"/>
  <c r="A27" i="25"/>
  <c r="B33" i="30"/>
  <c r="B9" i="52" l="1"/>
  <c r="I37" i="52"/>
  <c r="J37" i="52" s="1"/>
  <c r="J25" i="52"/>
  <c r="L20" i="52"/>
  <c r="F37" i="52"/>
  <c r="G37" i="52" s="1"/>
  <c r="F25" i="52"/>
  <c r="I37" i="51"/>
  <c r="J37" i="51" s="1"/>
  <c r="L20" i="51"/>
  <c r="B9" i="51"/>
  <c r="J25" i="51"/>
  <c r="F37" i="51"/>
  <c r="G37" i="51" s="1"/>
  <c r="F25" i="51"/>
  <c r="J25" i="50"/>
  <c r="L20" i="50"/>
  <c r="B9" i="50"/>
  <c r="I37" i="50"/>
  <c r="J37" i="50" s="1"/>
  <c r="F37" i="50"/>
  <c r="G37" i="50" s="1"/>
  <c r="F25" i="50"/>
  <c r="I37" i="49"/>
  <c r="J37" i="49" s="1"/>
  <c r="L20" i="49"/>
  <c r="B9" i="49"/>
  <c r="J25" i="49"/>
  <c r="F37" i="49"/>
  <c r="G37" i="49" s="1"/>
  <c r="F25" i="49"/>
  <c r="I37" i="48"/>
  <c r="J37" i="48" s="1"/>
  <c r="L20" i="48"/>
  <c r="J25" i="48"/>
  <c r="B9" i="48"/>
  <c r="F37" i="48"/>
  <c r="G37" i="48" s="1"/>
  <c r="F25" i="48"/>
  <c r="I37" i="47"/>
  <c r="J37" i="47" s="1"/>
  <c r="L20" i="47"/>
  <c r="B9" i="47"/>
  <c r="J25" i="47"/>
  <c r="F37" i="47"/>
  <c r="G37" i="47" s="1"/>
  <c r="F25" i="47"/>
  <c r="F37" i="46"/>
  <c r="G37" i="46" s="1"/>
  <c r="F25" i="46"/>
  <c r="I37" i="46"/>
  <c r="J37" i="46" s="1"/>
  <c r="L20" i="46"/>
  <c r="J25" i="46"/>
  <c r="B9" i="46"/>
  <c r="I38" i="23"/>
  <c r="J38" i="23" s="1"/>
  <c r="L38" i="23" s="1"/>
  <c r="N38" i="23" s="1"/>
  <c r="L23" i="23"/>
  <c r="N23" i="23" s="1"/>
  <c r="L40" i="23"/>
  <c r="N40" i="23" s="1"/>
  <c r="L21" i="23"/>
  <c r="N21" i="23" s="1"/>
  <c r="J20" i="23"/>
  <c r="I37" i="23" s="1"/>
  <c r="J37" i="23" s="1"/>
  <c r="D33" i="30"/>
  <c r="L39" i="23"/>
  <c r="N39" i="23" s="1"/>
  <c r="L22" i="23"/>
  <c r="N22" i="23" s="1"/>
  <c r="L41" i="23"/>
  <c r="N41" i="23" s="1"/>
  <c r="L24" i="23"/>
  <c r="N24" i="23" s="1"/>
  <c r="J9" i="30"/>
  <c r="F20" i="23"/>
  <c r="F37" i="23" s="1"/>
  <c r="G37" i="23" s="1"/>
  <c r="C33" i="30"/>
  <c r="A34" i="30"/>
  <c r="A28" i="29"/>
  <c r="A28" i="27"/>
  <c r="A26" i="26"/>
  <c r="A28" i="25"/>
  <c r="B34" i="30"/>
  <c r="L37" i="52" l="1"/>
  <c r="J44" i="52"/>
  <c r="J42" i="52"/>
  <c r="J45" i="52"/>
  <c r="J43" i="52"/>
  <c r="N20" i="52"/>
  <c r="L25" i="52"/>
  <c r="N25" i="52" s="1"/>
  <c r="G42" i="52"/>
  <c r="G43" i="52"/>
  <c r="G44" i="52"/>
  <c r="G45" i="52"/>
  <c r="N20" i="51"/>
  <c r="L25" i="51"/>
  <c r="N25" i="51" s="1"/>
  <c r="G42" i="51"/>
  <c r="G43" i="51"/>
  <c r="G44" i="51"/>
  <c r="G45" i="51"/>
  <c r="L37" i="51"/>
  <c r="J45" i="51"/>
  <c r="J44" i="51"/>
  <c r="J43" i="51"/>
  <c r="J42" i="51"/>
  <c r="L42" i="51" s="1"/>
  <c r="N42" i="51" s="1"/>
  <c r="L37" i="50"/>
  <c r="J45" i="50"/>
  <c r="J42" i="50"/>
  <c r="J43" i="50"/>
  <c r="J44" i="50"/>
  <c r="N20" i="50"/>
  <c r="L25" i="50"/>
  <c r="N25" i="50" s="1"/>
  <c r="G43" i="50"/>
  <c r="G45" i="50"/>
  <c r="G44" i="50"/>
  <c r="G42" i="50"/>
  <c r="N20" i="49"/>
  <c r="L25" i="49"/>
  <c r="N25" i="49" s="1"/>
  <c r="G42" i="49"/>
  <c r="G43" i="49"/>
  <c r="G44" i="49"/>
  <c r="G45" i="49"/>
  <c r="L37" i="49"/>
  <c r="J45" i="49"/>
  <c r="J44" i="49"/>
  <c r="J43" i="49"/>
  <c r="J42" i="49"/>
  <c r="L42" i="49" s="1"/>
  <c r="N42" i="49" s="1"/>
  <c r="N20" i="48"/>
  <c r="L25" i="48"/>
  <c r="N25" i="48" s="1"/>
  <c r="G45" i="48"/>
  <c r="G44" i="48"/>
  <c r="G42" i="48"/>
  <c r="G43" i="48"/>
  <c r="L37" i="48"/>
  <c r="J44" i="48"/>
  <c r="J45" i="48"/>
  <c r="J43" i="48"/>
  <c r="J42" i="48"/>
  <c r="L37" i="47"/>
  <c r="J42" i="47"/>
  <c r="J45" i="47"/>
  <c r="J44" i="47"/>
  <c r="J43" i="47"/>
  <c r="G44" i="47"/>
  <c r="G42" i="47"/>
  <c r="G45" i="47"/>
  <c r="G43" i="47"/>
  <c r="N20" i="47"/>
  <c r="L25" i="47"/>
  <c r="N25" i="47" s="1"/>
  <c r="G45" i="46"/>
  <c r="G44" i="46"/>
  <c r="G43" i="46"/>
  <c r="G42" i="46"/>
  <c r="N20" i="46"/>
  <c r="L25" i="46"/>
  <c r="N25" i="46" s="1"/>
  <c r="L37" i="46"/>
  <c r="J45" i="46"/>
  <c r="J43" i="46"/>
  <c r="J44" i="46"/>
  <c r="J42" i="46"/>
  <c r="J45" i="23"/>
  <c r="J43" i="23"/>
  <c r="J42" i="23"/>
  <c r="J44" i="23"/>
  <c r="D34" i="30"/>
  <c r="F25" i="23"/>
  <c r="L20" i="23"/>
  <c r="C34" i="30"/>
  <c r="A35" i="30"/>
  <c r="A29" i="29"/>
  <c r="A29" i="27"/>
  <c r="A27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L42" i="52" l="1"/>
  <c r="N42" i="52" s="1"/>
  <c r="N37" i="52"/>
  <c r="L43" i="52"/>
  <c r="M43" i="52" s="1"/>
  <c r="L44" i="52"/>
  <c r="M44" i="52" s="1"/>
  <c r="L45" i="52"/>
  <c r="M45" i="52" s="1"/>
  <c r="N37" i="51"/>
  <c r="L43" i="51"/>
  <c r="M43" i="51" s="1"/>
  <c r="L45" i="51"/>
  <c r="M45" i="51" s="1"/>
  <c r="L44" i="51"/>
  <c r="M44" i="51" s="1"/>
  <c r="L42" i="50"/>
  <c r="N42" i="50" s="1"/>
  <c r="N37" i="50"/>
  <c r="L43" i="50"/>
  <c r="M43" i="50" s="1"/>
  <c r="L45" i="50"/>
  <c r="M45" i="50" s="1"/>
  <c r="L44" i="50"/>
  <c r="M44" i="50" s="1"/>
  <c r="N37" i="49"/>
  <c r="L43" i="49"/>
  <c r="M43" i="49" s="1"/>
  <c r="L45" i="49"/>
  <c r="M45" i="49" s="1"/>
  <c r="L44" i="49"/>
  <c r="M44" i="49" s="1"/>
  <c r="L42" i="48"/>
  <c r="N42" i="48" s="1"/>
  <c r="N37" i="48"/>
  <c r="L43" i="48"/>
  <c r="L44" i="48"/>
  <c r="L45" i="48"/>
  <c r="N37" i="47"/>
  <c r="L45" i="47"/>
  <c r="L43" i="47"/>
  <c r="L44" i="47"/>
  <c r="L42" i="47"/>
  <c r="N42" i="47" s="1"/>
  <c r="L42" i="46"/>
  <c r="N42" i="46" s="1"/>
  <c r="N37" i="46"/>
  <c r="L45" i="46"/>
  <c r="L43" i="46"/>
  <c r="L44" i="46"/>
  <c r="M44" i="46" s="1"/>
  <c r="D35" i="30"/>
  <c r="G44" i="23"/>
  <c r="G45" i="23"/>
  <c r="G43" i="23"/>
  <c r="N20" i="23"/>
  <c r="L37" i="23"/>
  <c r="G42" i="23"/>
  <c r="C35" i="30"/>
  <c r="A36" i="30"/>
  <c r="A30" i="29"/>
  <c r="A30" i="27"/>
  <c r="A28" i="26"/>
  <c r="A30" i="25"/>
  <c r="N12" i="13"/>
  <c r="O12" i="13"/>
  <c r="B36" i="30"/>
  <c r="N43" i="52" l="1"/>
  <c r="N44" i="52"/>
  <c r="N45" i="52"/>
  <c r="N44" i="51"/>
  <c r="N43" i="51"/>
  <c r="N45" i="51"/>
  <c r="N45" i="50"/>
  <c r="N43" i="50"/>
  <c r="N44" i="50"/>
  <c r="N43" i="49"/>
  <c r="N44" i="49"/>
  <c r="N45" i="49"/>
  <c r="M45" i="48"/>
  <c r="N45" i="48"/>
  <c r="N44" i="48"/>
  <c r="N43" i="48"/>
  <c r="M44" i="48"/>
  <c r="M43" i="48"/>
  <c r="M44" i="47"/>
  <c r="M43" i="47"/>
  <c r="N44" i="47"/>
  <c r="N43" i="47"/>
  <c r="N45" i="47"/>
  <c r="M45" i="47"/>
  <c r="M43" i="46"/>
  <c r="M45" i="46"/>
  <c r="N45" i="46"/>
  <c r="N44" i="46"/>
  <c r="N43" i="46"/>
  <c r="D36" i="30"/>
  <c r="N37" i="23"/>
  <c r="L43" i="23"/>
  <c r="L45" i="23"/>
  <c r="L44" i="23"/>
  <c r="L42" i="23"/>
  <c r="C36" i="30"/>
  <c r="A37" i="30"/>
  <c r="A31" i="29"/>
  <c r="A31" i="27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5" i="23"/>
  <c r="M44" i="23"/>
  <c r="M43" i="23"/>
  <c r="N42" i="23"/>
  <c r="N44" i="23" s="1"/>
  <c r="C37" i="30"/>
  <c r="A38" i="30"/>
  <c r="A32" i="29"/>
  <c r="A32" i="27"/>
  <c r="A30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5" i="23" l="1"/>
  <c r="N43" i="23"/>
  <c r="D38" i="30"/>
  <c r="B9" i="23"/>
  <c r="J25" i="23"/>
  <c r="L18" i="23"/>
  <c r="N18" i="23" s="1"/>
  <c r="C38" i="30"/>
  <c r="A39" i="30"/>
  <c r="A33" i="29"/>
  <c r="A33" i="27"/>
  <c r="A31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5" i="5"/>
  <c r="B36" i="5"/>
  <c r="B30" i="5"/>
  <c r="B37" i="5"/>
  <c r="B43" i="5"/>
  <c r="B47" i="5"/>
  <c r="E9" i="5"/>
  <c r="B41" i="5"/>
  <c r="B39" i="5"/>
  <c r="B46" i="5"/>
  <c r="B29" i="5"/>
  <c r="B34" i="5"/>
  <c r="B33" i="5"/>
  <c r="B32" i="5"/>
  <c r="B31" i="5"/>
  <c r="B27" i="5"/>
  <c r="B35" i="5"/>
  <c r="B39" i="30"/>
  <c r="B38" i="5"/>
  <c r="B44" i="5"/>
  <c r="B40" i="5"/>
  <c r="B42" i="5"/>
  <c r="B28" i="5"/>
  <c r="D39" i="30" l="1"/>
  <c r="L25" i="23"/>
  <c r="N25" i="23" s="1"/>
  <c r="C39" i="30"/>
  <c r="A40" i="30"/>
  <c r="A34" i="29"/>
  <c r="A34" i="27"/>
  <c r="A32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A35" i="29"/>
  <c r="A35" i="27"/>
  <c r="A33" i="26"/>
  <c r="A35" i="25"/>
  <c r="B41" i="30"/>
  <c r="D41" i="30" l="1"/>
  <c r="C41" i="30"/>
  <c r="A42" i="30"/>
  <c r="A36" i="29"/>
  <c r="A36" i="27"/>
  <c r="A34" i="26"/>
  <c r="A36" i="25"/>
  <c r="B42" i="30"/>
  <c r="D42" i="30" l="1"/>
  <c r="C42" i="30"/>
  <c r="A43" i="30"/>
  <c r="A37" i="29"/>
  <c r="A37" i="27"/>
  <c r="A35" i="26"/>
  <c r="A37" i="25"/>
  <c r="B43" i="30"/>
  <c r="D43" i="30" l="1"/>
  <c r="C43" i="30"/>
  <c r="A44" i="30"/>
  <c r="A38" i="29"/>
  <c r="A38" i="27"/>
  <c r="A36" i="26"/>
  <c r="A38" i="25"/>
  <c r="B44" i="30"/>
  <c r="D44" i="30" l="1"/>
  <c r="C44" i="30"/>
  <c r="A45" i="30"/>
  <c r="A39" i="29"/>
  <c r="A39" i="27"/>
  <c r="A37" i="26"/>
  <c r="A39" i="25"/>
  <c r="B45" i="30"/>
  <c r="D45" i="30" l="1"/>
  <c r="C45" i="30"/>
  <c r="A46" i="30"/>
  <c r="A40" i="29"/>
  <c r="A40" i="27"/>
  <c r="A38" i="26"/>
  <c r="A40" i="25"/>
  <c r="B46" i="30"/>
  <c r="D46" i="30" l="1"/>
  <c r="C46" i="30"/>
  <c r="A47" i="30"/>
  <c r="A41" i="29"/>
  <c r="A41" i="27"/>
  <c r="A39" i="26"/>
  <c r="A41" i="25"/>
  <c r="B47" i="30"/>
  <c r="D47" i="30" l="1"/>
  <c r="C47" i="30"/>
  <c r="A48" i="30"/>
  <c r="A42" i="29"/>
  <c r="A42" i="27"/>
  <c r="A40" i="26"/>
  <c r="A42" i="25"/>
  <c r="B48" i="30"/>
  <c r="D48" i="30" l="1"/>
  <c r="C48" i="30"/>
  <c r="A49" i="30"/>
  <c r="A43" i="29"/>
  <c r="A43" i="27"/>
  <c r="A41" i="26"/>
  <c r="A43" i="25"/>
  <c r="B49" i="30"/>
  <c r="D49" i="30" l="1"/>
  <c r="C49" i="30"/>
  <c r="A50" i="30"/>
  <c r="A42" i="26"/>
  <c r="B50" i="30"/>
  <c r="D50" i="30" l="1"/>
  <c r="C50" i="30"/>
  <c r="A43" i="26"/>
</calcChain>
</file>

<file path=xl/sharedStrings.xml><?xml version="1.0" encoding="utf-8"?>
<sst xmlns="http://schemas.openxmlformats.org/spreadsheetml/2006/main" count="1853" uniqueCount="225">
  <si>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</si>
  <si>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</si>
  <si>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</si>
  <si>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</si>
  <si>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</si>
  <si>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</si>
  <si>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</si>
  <si>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</si>
  <si>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</si>
  <si>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</si>
  <si>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</si>
  <si>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</si>
  <si>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</si>
  <si>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</si>
  <si>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</si>
  <si>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</si>
  <si>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</si>
  <si>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</si>
  <si>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</si>
  <si>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</si>
  <si>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</si>
  <si>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</si>
  <si>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</si>
  <si>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</si>
  <si>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</si>
  <si>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</si>
  <si>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</si>
  <si>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</si>
  <si>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</si>
  <si>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</si>
  <si>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</si>
  <si>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</si>
  <si>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</si>
  <si>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</si>
  <si>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</si>
  <si>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</si>
  <si>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</si>
  <si>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</si>
  <si>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</si>
  <si>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</si>
  <si>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</si>
  <si>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</si>
  <si>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</si>
  <si>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</si>
  <si>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</si>
  <si>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</si>
  <si>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</si>
  <si>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</si>
  <si>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</si>
  <si>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</si>
  <si>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</si>
  <si>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</si>
  <si>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</si>
  <si>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</si>
  <si>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</si>
  <si>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</si>
  <si>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</si>
  <si>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</si>
  <si>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</si>
  <si>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</si>
  <si>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</si>
  <si>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</si>
  <si>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</si>
  <si>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</si>
  <si>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</si>
  <si>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</si>
  <si>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</si>
  <si>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</si>
  <si>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</si>
  <si>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</si>
  <si>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</si>
  <si>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</si>
  <si>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</si>
  <si>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</si>
  <si>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</si>
  <si>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</si>
  <si>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</si>
  <si>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</si>
  <si>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</si>
  <si>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</si>
  <si>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</si>
  <si>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</si>
  <si>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</si>
  <si>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</si>
  <si>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</si>
  <si>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</si>
  <si>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</si>
  <si>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</si>
  <si>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</si>
  <si>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</si>
  <si>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</si>
  <si>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</si>
  <si>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</si>
  <si>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</si>
  <si>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</si>
  <si>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</si>
  <si>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</si>
  <si>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</si>
  <si>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</si>
  <si>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</si>
  <si>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</si>
  <si>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</si>
  <si>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</si>
  <si>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</si>
  <si>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</si>
  <si>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</si>
  <si>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</si>
  <si>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</si>
  <si>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</si>
  <si>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</si>
  <si>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</si>
  <si>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</si>
  <si>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</si>
  <si>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</si>
  <si>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</si>
  <si>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</si>
  <si>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</si>
  <si>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</si>
  <si>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</si>
  <si>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</si>
  <si>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</si>
  <si>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</si>
  <si>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</si>
  <si>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</si>
  <si>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</si>
  <si>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</si>
  <si>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</si>
  <si>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</si>
  <si>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</si>
  <si>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</si>
  <si>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</si>
  <si>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</si>
  <si>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</si>
  <si>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</si>
  <si>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</si>
  <si>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</si>
  <si>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</si>
  <si>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</si>
  <si>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</si>
  <si>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</si>
  <si>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</si>
  <si>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</si>
  <si>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</si>
  <si>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</si>
  <si>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</si>
  <si>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</si>
  <si>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</si>
  <si>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</si>
  <si>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</si>
  <si>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</si>
  <si>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</si>
  <si>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</si>
  <si>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</si>
  <si>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</si>
  <si>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</si>
  <si>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</si>
  <si>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</si>
  <si>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</si>
  <si>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</si>
  <si>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</si>
  <si>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</si>
  <si>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</si>
  <si>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</si>
  <si>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</si>
  <si>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</si>
  <si>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</si>
  <si>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</si>
  <si>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</si>
  <si>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</si>
  <si>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</si>
  <si>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</si>
  <si>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Adherence</t>
  </si>
  <si>
    <t>Scurve Est. [Base Adjusted]</t>
  </si>
  <si>
    <t>Spline [Assumed Response Decays]</t>
  </si>
  <si>
    <t>Phar. Acquisition</t>
  </si>
  <si>
    <t>TRx</t>
  </si>
  <si>
    <t>NRx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</si>
  <si>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</si>
  <si>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</si>
  <si>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</si>
  <si>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</si>
  <si>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</si>
  <si>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</si>
  <si>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</si>
  <si>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</si>
  <si>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</si>
  <si>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</si>
  <si>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</si>
  <si>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</si>
  <si>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</si>
  <si>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</si>
  <si>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</si>
  <si>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</si>
  <si>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</si>
  <si>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</si>
  <si>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</si>
  <si>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</si>
  <si>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</si>
  <si>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</si>
  <si>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</si>
  <si>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</si>
  <si>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</si>
  <si>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</si>
  <si>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</si>
  <si>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</si>
  <si>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</si>
  <si>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</si>
  <si>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</si>
  <si>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</si>
  <si>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</si>
  <si>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</si>
  <si>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t>STANDARD 20% SCENARIOS</t>
  </si>
  <si>
    <t>Considered budgets are:</t>
  </si>
  <si>
    <t>Current Total - $15MM</t>
  </si>
  <si>
    <t>Current Total - $10MM</t>
  </si>
  <si>
    <t>Current Total - $5MM</t>
  </si>
  <si>
    <t>Current Total</t>
  </si>
  <si>
    <t>Current Total + $5MM</t>
  </si>
  <si>
    <t>Current Total + $10MM</t>
  </si>
  <si>
    <t>Current Total + $15MM</t>
  </si>
  <si>
    <r>
      <t xml:space="preserve">In here, we build set of scenarios with budget increments of + or - $5MM. </t>
    </r>
    <r>
      <rPr>
        <b/>
        <sz val="11"/>
        <color theme="1"/>
        <rFont val="Calibri"/>
        <family val="2"/>
        <scheme val="minor"/>
      </rPr>
      <t>All scenarios have + or - 20% local constraints.</t>
    </r>
  </si>
  <si>
    <r>
      <t xml:space="preserve">CASE 5: </t>
    </r>
    <r>
      <rPr>
        <sz val="10"/>
        <color rgb="FF0000FF"/>
        <rFont val="Calibri"/>
        <family val="2"/>
        <scheme val="minor"/>
      </rPr>
      <t>Standard cases with budget increments of $5MM and local constrints of + or - 20%.</t>
    </r>
  </si>
  <si>
    <t>Januvia Family (Januvia / Janumet)</t>
  </si>
  <si>
    <t xml:space="preserve">Januvia </t>
  </si>
  <si>
    <t xml:space="preserve">Janumet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</si>
</sst>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4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7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8" fillId="0" borderId="0"/>
    <xf numFmtId="0" fontId="38" fillId="0" borderId="0"/>
    <xf numFmtId="43" fontId="38" fillId="0" borderId="0" applyFont="0" applyFill="0" applyBorder="0" applyAlignment="0" applyProtection="0"/>
    <xf numFmtId="0" fontId="38" fillId="0" borderId="0"/>
  </cellStyleXfs>
  <cellXfs count="296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37" fillId="0" borderId="0" xfId="0" applyFont="1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3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41" fillId="0" borderId="0" xfId="0" applyFont="1"/>
    <xf numFmtId="0" fontId="28" fillId="0" borderId="0" xfId="0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40" fillId="0" borderId="40" xfId="0" applyFont="1" applyBorder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0" fontId="5" fillId="9" borderId="2" xfId="0" applyFont="1" applyFill="1" applyBorder="1" applyAlignment="1">
      <alignment horizontal="center" wrapText="1"/>
    </xf>
    <xf numFmtId="0" fontId="5" fillId="42" borderId="2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516288"/>
        <c:axId val="261535232"/>
      </c:scatterChart>
      <c:valAx>
        <c:axId val="261516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1535232"/>
        <c:crosses val="autoZero"/>
        <c:crossBetween val="midCat"/>
        <c:dispUnits>
          <c:builtInUnit val="thousands"/>
        </c:dispUnits>
      </c:valAx>
      <c:valAx>
        <c:axId val="261535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15162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79808"/>
        <c:axId val="263111040"/>
      </c:scatterChart>
      <c:valAx>
        <c:axId val="263079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3111040"/>
        <c:crosses val="autoZero"/>
        <c:crossBetween val="midCat"/>
        <c:dispUnits>
          <c:builtInUnit val="thousands"/>
        </c:dispUnits>
      </c:valAx>
      <c:valAx>
        <c:axId val="263111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0798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1.4367816091954023E-2"/>
                  <c:y val="-6.9300069300069298E-3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839080459770114E-3"/>
                  <c:y val="3.1185031185031187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228467.48134226177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013120"/>
        <c:axId val="263015424"/>
      </c:scatterChart>
      <c:valAx>
        <c:axId val="2630131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3015424"/>
        <c:crosses val="autoZero"/>
        <c:crossBetween val="midCat"/>
        <c:dispUnits>
          <c:builtInUnit val="thousands"/>
        </c:dispUnits>
      </c:valAx>
      <c:valAx>
        <c:axId val="26301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0131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32906.655702383112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142784"/>
        <c:axId val="263153536"/>
      </c:scatterChart>
      <c:valAx>
        <c:axId val="2631427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3153536"/>
        <c:crosses val="autoZero"/>
        <c:crossBetween val="midCat"/>
        <c:dispUnits>
          <c:builtInUnit val="thousands"/>
        </c:dispUnits>
      </c:valAx>
      <c:valAx>
        <c:axId val="263153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31427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2356379.9860122493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890048"/>
        <c:axId val="265900800"/>
      </c:scatterChart>
      <c:valAx>
        <c:axId val="265890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5900800"/>
        <c:crosses val="autoZero"/>
        <c:crossBetween val="midCat"/>
        <c:dispUnits>
          <c:builtInUnit val="thousands"/>
        </c:dispUnits>
      </c:valAx>
      <c:valAx>
        <c:axId val="265900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58900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0"/>
                  <c:y val="2.1097046413502109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1.1887779362814982E-2"/>
                  <c:y val="-2.46132208157524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561397.01137718465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62624"/>
        <c:axId val="265964928"/>
      </c:scatterChart>
      <c:valAx>
        <c:axId val="265962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5964928"/>
        <c:crosses val="autoZero"/>
        <c:crossBetween val="midCat"/>
        <c:dispUnits>
          <c:builtInUnit val="thousands"/>
        </c:dispUnits>
      </c:valAx>
      <c:valAx>
        <c:axId val="265964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59626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946360153256703E-3"/>
                  <c:y val="2.552881108679795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125078.00864480999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31104"/>
        <c:axId val="266033408"/>
      </c:scatterChart>
      <c:valAx>
        <c:axId val="266031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6033408"/>
        <c:crosses val="autoZero"/>
        <c:crossBetween val="midCat"/>
        <c:dispUnits>
          <c:builtInUnit val="thousands"/>
        </c:dispUnits>
      </c:valAx>
      <c:valAx>
        <c:axId val="266033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0311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7.1024591386303982E-3"/>
                  <c:y val="6.1594202898550728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414833.00667234883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97920"/>
        <c:axId val="265704576"/>
      </c:scatterChart>
      <c:valAx>
        <c:axId val="265697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5704576"/>
        <c:crosses val="autoZero"/>
        <c:crossBetween val="midCat"/>
        <c:dispUnits>
          <c:builtInUnit val="thousands"/>
        </c:dispUnits>
      </c:valAx>
      <c:valAx>
        <c:axId val="265704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56979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3-year </a:t>
            </a:r>
            <a:r>
              <a:rPr lang="en-US" sz="1200">
                <a:solidFill>
                  <a:sysClr val="windowText" lastClr="000000"/>
                </a:solidFill>
              </a:rPr>
              <a:t>Incr. Revenue </a:t>
            </a:r>
            <a:r>
              <a:rPr lang="en-US" sz="1200"/>
              <a:t>from Samples</a:t>
            </a:r>
          </a:p>
        </c:rich>
      </c:tx>
      <c:overlay val="0"/>
      <c:spPr>
        <a:solidFill>
          <a:sysClr val="window" lastClr="FFFFFF"/>
        </a:solidFill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18624"/>
        <c:axId val="265425280"/>
      </c:scatterChart>
      <c:valAx>
        <c:axId val="265418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5425280"/>
        <c:crosses val="autoZero"/>
        <c:crossBetween val="midCat"/>
        <c:dispUnits>
          <c:builtInUnit val="millions"/>
        </c:dispUnits>
      </c:valAx>
      <c:valAx>
        <c:axId val="265425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r>
                  <a:rPr lang="en-US">
                    <a:solidFill>
                      <a:sysClr val="windowText" lastClr="000000"/>
                    </a:solidFill>
                  </a:rPr>
                  <a:t>3-year Incr. Revenue (in MM $)</a:t>
                </a: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541862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>
                <a:solidFill>
                  <a:srgbClr val="0000FF"/>
                </a:solidFill>
              </a:rPr>
              <a:t> </a:t>
            </a:r>
            <a:r>
              <a:rPr lang="en-US" sz="1200"/>
              <a:t>from Samples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491200"/>
        <c:axId val="265493504"/>
      </c:scatterChart>
      <c:valAx>
        <c:axId val="2654912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5493504"/>
        <c:crosses val="autoZero"/>
        <c:crossBetween val="midCat"/>
        <c:dispUnits>
          <c:builtInUnit val="millions"/>
        </c:dispUnits>
      </c:valAx>
      <c:valAx>
        <c:axId val="265493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effectLst/>
                  </a:rPr>
                  <a:t>3-year Incr. Revenue (in MM $)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549120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20668628.799070183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538944"/>
        <c:axId val="265541504"/>
      </c:scatterChart>
      <c:valAx>
        <c:axId val="2655389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5541504"/>
        <c:crosses val="autoZero"/>
        <c:crossBetween val="midCat"/>
        <c:dispUnits>
          <c:builtInUnit val="millions"/>
        </c:dispUnits>
      </c:valAx>
      <c:valAx>
        <c:axId val="265541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>
                    <a:solidFill>
                      <a:sysClr val="windowText" lastClr="000000"/>
                    </a:solidFill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553894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 b="1" i="0" baseline="0">
                <a:effectLst/>
              </a:rPr>
              <a:t> from MMF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2976946.4246531771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607424"/>
        <c:axId val="265614080"/>
      </c:scatterChart>
      <c:valAx>
        <c:axId val="2656074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5614080"/>
        <c:crosses val="autoZero"/>
        <c:crossBetween val="midCat"/>
        <c:dispUnits>
          <c:builtInUnit val="millions"/>
        </c:dispUnits>
      </c:valAx>
      <c:valAx>
        <c:axId val="265614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.0_);_(&quot;$&quot;* \(#,##0.0\);_(&quot;$&quot;* &quot;-&quot;?_);_(@_)" sourceLinked="0"/>
        <c:majorTickMark val="out"/>
        <c:minorTickMark val="none"/>
        <c:tickLblPos val="nextTo"/>
        <c:crossAx val="26560742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HCC Programs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213173196.26544285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786496"/>
        <c:axId val="265788800"/>
      </c:scatterChart>
      <c:valAx>
        <c:axId val="2657864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5788800"/>
        <c:crosses val="autoZero"/>
        <c:crossBetween val="midCat"/>
        <c:dispUnits>
          <c:builtInUnit val="millions"/>
        </c:dispUnits>
      </c:valAx>
      <c:valAx>
        <c:axId val="265788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578649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MCM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>
              <c:idx val="0"/>
              <c:layout>
                <c:manualLayout>
                  <c:x val="-1.1887779362815026E-2"/>
                  <c:y val="3.867791842475387E-2"/>
                </c:manualLayout>
              </c:layout>
              <c:dLblPos val="r"/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4.7551117451260106E-3"/>
                  <c:y val="-2.76864126161445E-7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50787562.277538165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49600"/>
        <c:axId val="266651904"/>
      </c:scatterChart>
      <c:valAx>
        <c:axId val="2666496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6651904"/>
        <c:crosses val="autoZero"/>
        <c:crossBetween val="midCat"/>
        <c:dispUnits>
          <c:builtInUnit val="millions"/>
        </c:dispUnits>
      </c:valAx>
      <c:valAx>
        <c:axId val="266651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6649600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</a:t>
            </a:r>
            <a:r>
              <a:rPr lang="en-US" sz="1200"/>
              <a:t> from Pharmacy Acquisition Programs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9.5785440613026813E-3"/>
                  <c:y val="3.6469730123997082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11315356.200446116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693248"/>
        <c:axId val="266712192"/>
      </c:scatterChart>
      <c:valAx>
        <c:axId val="2666932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6712192"/>
        <c:crosses val="autoZero"/>
        <c:crossBetween val="midCat"/>
        <c:dispUnits>
          <c:builtInUnit val="millions"/>
        </c:dispUnits>
      </c:valAx>
      <c:valAx>
        <c:axId val="266712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669324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 b="1" i="0" u="none" strike="noStrike" baseline="0">
                <a:effectLst/>
              </a:rPr>
              <a:t>3-year Incr. Revenue </a:t>
            </a:r>
            <a:r>
              <a:rPr lang="en-US" sz="1200"/>
              <a:t>from Adherence</a:t>
            </a:r>
            <a:r>
              <a:rPr lang="en-US" sz="1200" baseline="0"/>
              <a:t> Programs</a:t>
            </a:r>
            <a:endParaRPr lang="en-US" sz="1200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numFmt formatCode="&quot;$&quot;#,##0.0" sourceLinked="0"/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1"/>
          <c:order val="1"/>
          <c:tx>
            <c:v>Incr. Rev.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dLbl>
              <c:idx val="0"/>
              <c:layout>
                <c:manualLayout>
                  <c:x val="-2.3674242424242859E-3"/>
                  <c:y val="3.6231884057971016E-2"/>
                </c:manualLayout>
              </c:layout>
              <c:showLegendKey val="0"/>
              <c:showVal val="1"/>
              <c:showCatName val="1"/>
              <c:showSerName val="1"/>
              <c:showPercent val="0"/>
              <c:showBubbleSize val="0"/>
              <c:separator>; </c:separator>
            </c:dLbl>
            <c:numFmt formatCode="&quot;$&quot;#,##0.0" sourceLinked="0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43271230.925992705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434048"/>
        <c:axId val="266461184"/>
      </c:scatterChart>
      <c:valAx>
        <c:axId val="2664340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MM $)</a:t>
                </a:r>
              </a:p>
            </c:rich>
          </c:tx>
          <c:overlay val="0"/>
        </c:title>
        <c:numFmt formatCode="&quot;$&quot;#,##0.0" sourceLinked="0"/>
        <c:majorTickMark val="out"/>
        <c:minorTickMark val="none"/>
        <c:tickLblPos val="nextTo"/>
        <c:crossAx val="266461184"/>
        <c:crosses val="autoZero"/>
        <c:crossBetween val="midCat"/>
        <c:dispUnits>
          <c:builtInUnit val="millions"/>
        </c:dispUnits>
      </c:valAx>
      <c:valAx>
        <c:axId val="266461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rgbClr val="0000FF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baseline="0">
                    <a:solidFill>
                      <a:sysClr val="windowText" lastClr="000000"/>
                    </a:solidFill>
                    <a:effectLst/>
                  </a:rPr>
                  <a:t>3-year Incr. Revenue (in MM $)</a:t>
                </a:r>
                <a:endParaRPr lang="en-US" sz="1000">
                  <a:solidFill>
                    <a:sysClr val="windowText" lastClr="000000"/>
                  </a:solidFill>
                  <a:effectLst/>
                </a:endParaRPr>
              </a:p>
            </c:rich>
          </c:tx>
          <c:overlay val="0"/>
        </c:title>
        <c:numFmt formatCode="_(&quot;$&quot;* #,##0_);_(&quot;$&quot;* \(#,##0\);_(&quot;$&quot;* &quot;-&quot;_);_(@_)" sourceLinked="1"/>
        <c:majorTickMark val="out"/>
        <c:minorTickMark val="none"/>
        <c:tickLblPos val="nextTo"/>
        <c:crossAx val="26643404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228467.48134226177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32906.655702383112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2356379.9860122493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561397.01137718465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125078.00864480999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414833.00667234883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228467.48134226177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32906.655702383112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2356379.9860122493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561397.01137718465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125078.00864480999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414833.00667234883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868224"/>
        <c:axId val="266879360"/>
      </c:scatterChart>
      <c:valAx>
        <c:axId val="266868224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6879360"/>
        <c:crosses val="autoZero"/>
        <c:crossBetween val="midCat"/>
        <c:dispUnits>
          <c:builtInUnit val="millions"/>
        </c:dispUnits>
      </c:valAx>
      <c:valAx>
        <c:axId val="266879360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8682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228467.48134226177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32906.655702383112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2356379.9860122493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561397.01137718465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125078.00864480999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414833.00667234883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228467.48134226177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32906.655702383112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2356379.9860122493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561397.01137718465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125078.00864480999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414833.00667234883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215808"/>
        <c:axId val="268235136"/>
      </c:scatterChart>
      <c:valAx>
        <c:axId val="268215808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Channel Spend (in MM $)</a:t>
                </a:r>
              </a:p>
            </c:rich>
          </c:tx>
          <c:layout>
            <c:manualLayout>
              <c:xMode val="edge"/>
              <c:yMode val="edge"/>
              <c:x val="0.38775126817080557"/>
              <c:y val="0.91738754325259508"/>
            </c:manualLayout>
          </c:layout>
          <c:overlay val="0"/>
        </c:title>
        <c:numFmt formatCode="&quot;$&quot;#,##0" sourceLinked="1"/>
        <c:majorTickMark val="out"/>
        <c:minorTickMark val="none"/>
        <c:tickLblPos val="nextTo"/>
        <c:crossAx val="268235136"/>
        <c:crosses val="autoZero"/>
        <c:crossBetween val="midCat"/>
        <c:dispUnits>
          <c:builtInUnit val="thousands"/>
        </c:dispUnits>
      </c:valAx>
      <c:valAx>
        <c:axId val="268235136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 b="0">
                    <a:solidFill>
                      <a:sysClr val="windowText" lastClr="000000"/>
                    </a:solidFill>
                  </a:defRPr>
                </a:pPr>
                <a:r>
                  <a:rPr lang="en-US" sz="1200" b="0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82158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307256459.50202703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20668628.799070183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2976946.4246531771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213173196.26544285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50787562.277538165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11315356.200446116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43271230.925992705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432128"/>
        <c:axId val="268434816"/>
      </c:scatterChart>
      <c:valAx>
        <c:axId val="268432128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8434816"/>
        <c:crosses val="autoZero"/>
        <c:crossBetween val="midCat"/>
        <c:dispUnits>
          <c:builtInUnit val="millions"/>
        </c:dispUnits>
      </c:valAx>
      <c:valAx>
        <c:axId val="26843481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68432128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307256459.50202703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20668628.799070183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2976946.4246531771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213173196.26544285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50787562.277538165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11315356.200446116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43271230.925992705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514816"/>
        <c:axId val="268538240"/>
      </c:scatterChart>
      <c:valAx>
        <c:axId val="268514816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8538240"/>
        <c:crosses val="autoZero"/>
        <c:crossBetween val="midCat"/>
        <c:dispUnits>
          <c:builtInUnit val="millions"/>
        </c:dispUnits>
      </c:valAx>
      <c:valAx>
        <c:axId val="268538240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6851481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132160"/>
        <c:axId val="269134080"/>
      </c:scatterChart>
      <c:valAx>
        <c:axId val="2691321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134080"/>
        <c:crosses val="autoZero"/>
        <c:crossBetween val="midCat"/>
        <c:dispUnits>
          <c:builtInUnit val="thousands"/>
        </c:dispUnits>
      </c:valAx>
      <c:valAx>
        <c:axId val="269134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1321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7189798.7999999989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239856.72092273773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176192"/>
        <c:axId val="269186944"/>
      </c:scatterChart>
      <c:valAx>
        <c:axId val="269176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186944"/>
        <c:crosses val="autoZero"/>
        <c:crossBetween val="midCat"/>
        <c:dispUnits>
          <c:builtInUnit val="thousands"/>
        </c:dispUnits>
      </c:valAx>
      <c:valAx>
        <c:axId val="2691869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17619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898304"/>
        <c:axId val="268900608"/>
      </c:scatterChart>
      <c:valAx>
        <c:axId val="2688983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8900608"/>
        <c:crosses val="autoZero"/>
        <c:crossBetween val="midCat"/>
        <c:dispUnits>
          <c:builtInUnit val="thousands"/>
        </c:dispUnits>
      </c:valAx>
      <c:valAx>
        <c:axId val="2689006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88983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959104"/>
        <c:axId val="269043584"/>
      </c:scatterChart>
      <c:valAx>
        <c:axId val="268959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043584"/>
        <c:crosses val="autoZero"/>
        <c:crossBetween val="midCat"/>
        <c:dispUnits>
          <c:builtInUnit val="thousands"/>
        </c:dispUnits>
      </c:valAx>
      <c:valAx>
        <c:axId val="2690435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89591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5869805.5007563764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814356.65353799029</c:v>
                </c:pt>
                <c:pt idx="2">
                  <c:v>1628978.1575544148</c:v>
                </c:pt>
                <c:pt idx="3">
                  <c:v>2443864.5120492736</c:v>
                </c:pt>
                <c:pt idx="4">
                  <c:v>3259015.7170225671</c:v>
                </c:pt>
                <c:pt idx="5">
                  <c:v>4074431.7724742941</c:v>
                </c:pt>
                <c:pt idx="6">
                  <c:v>4890112.6784044569</c:v>
                </c:pt>
                <c:pt idx="7">
                  <c:v>5706058.4348130533</c:v>
                </c:pt>
                <c:pt idx="8">
                  <c:v>6522269.0417000838</c:v>
                </c:pt>
                <c:pt idx="9">
                  <c:v>7338744.4990655482</c:v>
                </c:pt>
                <c:pt idx="10">
                  <c:v>8155484.8069094475</c:v>
                </c:pt>
                <c:pt idx="11">
                  <c:v>8972489.9652317818</c:v>
                </c:pt>
                <c:pt idx="12">
                  <c:v>9789759.9740325511</c:v>
                </c:pt>
                <c:pt idx="13">
                  <c:v>10607294.833311751</c:v>
                </c:pt>
                <c:pt idx="14">
                  <c:v>11425094.543069389</c:v>
                </c:pt>
                <c:pt idx="15">
                  <c:v>12243159.103305459</c:v>
                </c:pt>
                <c:pt idx="16">
                  <c:v>13061488.514019966</c:v>
                </c:pt>
                <c:pt idx="17">
                  <c:v>13880082.775212904</c:v>
                </c:pt>
                <c:pt idx="18">
                  <c:v>14698941.886884278</c:v>
                </c:pt>
                <c:pt idx="19">
                  <c:v>15518065.849034088</c:v>
                </c:pt>
                <c:pt idx="20">
                  <c:v>16337454.661662331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5869805.5007563764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46464"/>
        <c:axId val="269248768"/>
      </c:scatterChart>
      <c:valAx>
        <c:axId val="2692464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248768"/>
        <c:crosses val="autoZero"/>
        <c:crossBetween val="midCat"/>
        <c:dispUnits>
          <c:builtInUnit val="thousands"/>
        </c:dispUnits>
      </c:valAx>
      <c:valAx>
        <c:axId val="269248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2464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303168"/>
        <c:axId val="269313920"/>
      </c:scatterChart>
      <c:valAx>
        <c:axId val="2693031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313920"/>
        <c:crosses val="autoZero"/>
        <c:crossBetween val="midCat"/>
        <c:dispUnits>
          <c:builtInUnit val="thousands"/>
        </c:dispUnits>
      </c:valAx>
      <c:valAx>
        <c:axId val="269313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30316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228467.48134226177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65952"/>
        <c:axId val="269568256"/>
      </c:scatterChart>
      <c:valAx>
        <c:axId val="269565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568256"/>
        <c:crosses val="autoZero"/>
        <c:crossBetween val="midCat"/>
        <c:dispUnits>
          <c:builtInUnit val="thousands"/>
        </c:dispUnits>
      </c:valAx>
      <c:valAx>
        <c:axId val="269568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5659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15669.92327450355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614464"/>
        <c:axId val="269694848"/>
      </c:scatterChart>
      <c:valAx>
        <c:axId val="2696144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694848"/>
        <c:crosses val="autoZero"/>
        <c:crossBetween val="midCat"/>
        <c:dispUnits>
          <c:builtInUnit val="thousands"/>
        </c:dispUnits>
      </c:valAx>
      <c:valAx>
        <c:axId val="269694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6144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32906.655702383112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62560"/>
        <c:axId val="269764864"/>
      </c:scatterChart>
      <c:valAx>
        <c:axId val="2697625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764864"/>
        <c:crosses val="autoZero"/>
        <c:crossBetween val="midCat"/>
        <c:dispUnits>
          <c:builtInUnit val="thousands"/>
        </c:dispUnits>
      </c:valAx>
      <c:valAx>
        <c:axId val="269764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7625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4517823.1942819115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2256.9722703966468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92992"/>
        <c:axId val="269911936"/>
      </c:scatterChart>
      <c:valAx>
        <c:axId val="2698929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911936"/>
        <c:crosses val="autoZero"/>
        <c:crossBetween val="midCat"/>
        <c:dispUnits>
          <c:builtInUnit val="thousands"/>
        </c:dispUnits>
      </c:valAx>
      <c:valAx>
        <c:axId val="2699119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8929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2356379.9860122493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999104"/>
        <c:axId val="270075392"/>
      </c:scatterChart>
      <c:valAx>
        <c:axId val="2699991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075392"/>
        <c:crosses val="autoZero"/>
        <c:crossBetween val="midCat"/>
        <c:dispUnits>
          <c:builtInUnit val="thousands"/>
        </c:dispUnits>
      </c:valAx>
      <c:valAx>
        <c:axId val="2700753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9991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161617.28299123794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133888"/>
        <c:axId val="270140544"/>
      </c:scatterChart>
      <c:valAx>
        <c:axId val="270133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140544"/>
        <c:crosses val="autoZero"/>
        <c:crossBetween val="midCat"/>
        <c:dispUnits>
          <c:builtInUnit val="thousands"/>
        </c:dispUnits>
      </c:valAx>
      <c:valAx>
        <c:axId val="27014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133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561397.01137718465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03520"/>
        <c:axId val="270222464"/>
      </c:scatterChart>
      <c:valAx>
        <c:axId val="2702035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222464"/>
        <c:crosses val="autoZero"/>
        <c:crossBetween val="midCat"/>
        <c:dispUnits>
          <c:builtInUnit val="thousands"/>
        </c:dispUnits>
      </c:valAx>
      <c:valAx>
        <c:axId val="270222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2035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38504.59611640498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64576"/>
        <c:axId val="270340864"/>
      </c:scatterChart>
      <c:valAx>
        <c:axId val="2702645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340864"/>
        <c:crosses val="autoZero"/>
        <c:crossBetween val="midCat"/>
        <c:dispUnits>
          <c:builtInUnit val="thousands"/>
        </c:dispUnits>
      </c:valAx>
      <c:valAx>
        <c:axId val="270340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2645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125078.00864480999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749056"/>
        <c:axId val="268755712"/>
      </c:scatterChart>
      <c:valAx>
        <c:axId val="2687490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8755712"/>
        <c:crosses val="autoZero"/>
        <c:crossBetween val="midCat"/>
        <c:dispUnits>
          <c:builtInUnit val="thousands"/>
        </c:dispUnits>
      </c:valAx>
      <c:valAx>
        <c:axId val="268755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87490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8578.7385901790112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08960"/>
        <c:axId val="270827904"/>
      </c:scatterChart>
      <c:valAx>
        <c:axId val="270808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827904"/>
        <c:crosses val="autoZero"/>
        <c:crossBetween val="midCat"/>
        <c:dispUnits>
          <c:builtInUnit val="thousands"/>
        </c:dispUnits>
      </c:valAx>
      <c:valAx>
        <c:axId val="270827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8089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414833.00667234883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04160"/>
        <c:axId val="270623104"/>
      </c:scatterChart>
      <c:valAx>
        <c:axId val="2706041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623104"/>
        <c:crosses val="autoZero"/>
        <c:crossBetween val="midCat"/>
        <c:dispUnits>
          <c:builtInUnit val="thousands"/>
        </c:dispUnits>
      </c:valAx>
      <c:valAx>
        <c:axId val="270623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6041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07328"/>
        <c:axId val="271123200"/>
      </c:scatterChart>
      <c:valAx>
        <c:axId val="2707073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123200"/>
        <c:crosses val="autoZero"/>
        <c:crossBetween val="midCat"/>
      </c:valAx>
      <c:valAx>
        <c:axId val="27112320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070732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14848"/>
        <c:axId val="271229312"/>
      </c:scatterChart>
      <c:valAx>
        <c:axId val="271214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229312"/>
        <c:crosses val="autoZero"/>
        <c:crossBetween val="midCat"/>
      </c:valAx>
      <c:valAx>
        <c:axId val="2712293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2148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49632"/>
        <c:axId val="271355904"/>
      </c:scatterChart>
      <c:valAx>
        <c:axId val="2713496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355904"/>
        <c:crosses val="autoZero"/>
        <c:crossBetween val="midCat"/>
      </c:valAx>
      <c:valAx>
        <c:axId val="27135590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34963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906880"/>
        <c:axId val="270913536"/>
      </c:scatterChart>
      <c:valAx>
        <c:axId val="270906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913536"/>
        <c:crosses val="autoZero"/>
        <c:crossBetween val="midCat"/>
        <c:dispUnits>
          <c:builtInUnit val="millions"/>
        </c:dispUnits>
      </c:valAx>
      <c:valAx>
        <c:axId val="2709135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90688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53340</xdr:colOff>
      <xdr:row>61</xdr:row>
      <xdr:rowOff>38100</xdr:rowOff>
    </xdr:from>
    <xdr:to>
      <xdr:col>8</xdr:col>
      <xdr:colOff>480060</xdr:colOff>
      <xdr:row>80</xdr:row>
      <xdr:rowOff>45720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502920</xdr:colOff>
      <xdr:row>61</xdr:row>
      <xdr:rowOff>53340</xdr:rowOff>
    </xdr:from>
    <xdr:to>
      <xdr:col>17</xdr:col>
      <xdr:colOff>381000</xdr:colOff>
      <xdr:row>80</xdr:row>
      <xdr:rowOff>83820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502920</xdr:colOff>
      <xdr:row>41</xdr:row>
      <xdr:rowOff>76200</xdr:rowOff>
    </xdr:from>
    <xdr:to>
      <xdr:col>17</xdr:col>
      <xdr:colOff>358140</xdr:colOff>
      <xdr:row>61</xdr:row>
      <xdr:rowOff>30480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68580</xdr:colOff>
      <xdr:row>61</xdr:row>
      <xdr:rowOff>30480</xdr:rowOff>
    </xdr:from>
    <xdr:to>
      <xdr:col>8</xdr:col>
      <xdr:colOff>495300</xdr:colOff>
      <xdr:row>80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518160</xdr:colOff>
      <xdr:row>61</xdr:row>
      <xdr:rowOff>30480</xdr:rowOff>
    </xdr:from>
    <xdr:to>
      <xdr:col>17</xdr:col>
      <xdr:colOff>396240</xdr:colOff>
      <xdr:row>80</xdr:row>
      <xdr:rowOff>60960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"/>
  <sheetViews>
    <sheetView topLeftCell="G46" workbookViewId="0">
      <selection activeCell="V61" sqref="V6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"/>
  <sheetViews>
    <sheetView topLeftCell="A4" workbookViewId="0">
      <selection activeCell="I30" sqref="I30"/>
    </sheetView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92D050"/>
  </sheetPr>
  <dimension ref="A1"/>
  <sheetViews>
    <sheetView workbookViewId="0"/>
  </sheetViews>
  <sheetFormatPr defaultRowHeight="14.4" x14ac:dyDescent="0.3"/>
  <cols>
    <col min="1" max="16384" width="8.88671875" style="16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CC"/>
  </sheetPr>
  <dimension ref="A1:G11"/>
  <sheetViews>
    <sheetView workbookViewId="0">
      <selection activeCell="A4" sqref="A4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1" spans="1:7" x14ac:dyDescent="0.3">
      <c r="A1" s="155" t="s">
        <v>211</v>
      </c>
    </row>
    <row r="2" spans="1:7" x14ac:dyDescent="0.3">
      <c r="A2" t="s">
        <v>220</v>
      </c>
    </row>
    <row r="3" spans="1:7" x14ac:dyDescent="0.3">
      <c r="A3" s="203" t="s">
        <v>212</v>
      </c>
      <c r="B3" s="161"/>
      <c r="C3" s="161"/>
      <c r="D3" s="161"/>
      <c r="E3" s="161"/>
      <c r="F3" s="161"/>
      <c r="G3" s="161"/>
    </row>
    <row r="4" spans="1:7" x14ac:dyDescent="0.3">
      <c r="A4" t="s">
        <v>213</v>
      </c>
    </row>
    <row r="5" spans="1:7" x14ac:dyDescent="0.3">
      <c r="A5" s="161" t="s">
        <v>214</v>
      </c>
    </row>
    <row r="6" spans="1:7" x14ac:dyDescent="0.3">
      <c r="A6" s="161" t="s">
        <v>215</v>
      </c>
    </row>
    <row r="7" spans="1:7" x14ac:dyDescent="0.3">
      <c r="A7" s="202" t="s">
        <v>216</v>
      </c>
    </row>
    <row r="8" spans="1:7" x14ac:dyDescent="0.3">
      <c r="A8" s="161" t="s">
        <v>217</v>
      </c>
    </row>
    <row r="9" spans="1:7" x14ac:dyDescent="0.3">
      <c r="A9" s="161" t="s">
        <v>218</v>
      </c>
    </row>
    <row r="10" spans="1:7" x14ac:dyDescent="0.3">
      <c r="A10" s="161" t="s">
        <v>219</v>
      </c>
    </row>
    <row r="11" spans="1:7" x14ac:dyDescent="0.3">
      <c r="A11" s="161"/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C000"/>
  </sheetPr>
  <dimension ref="A1:U47"/>
  <sheetViews>
    <sheetView topLeftCell="B1" zoomScale="90" zoomScaleNormal="90" workbookViewId="0">
      <selection activeCell="J20" sqref="J20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221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7827346.9324386874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79050884 - 15000000</f>
        <v>64050884</v>
      </c>
      <c r="C12" s="81">
        <f>1*B12 - 1</f>
        <v>64050883</v>
      </c>
      <c r="D12" s="82">
        <f>1*B12 + 1</f>
        <v>64050885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4793199.2</v>
      </c>
      <c r="H17" s="73">
        <f>E17*$H$14</f>
        <v>7189798.7999999998</v>
      </c>
      <c r="I17" s="173">
        <v>5603375.9999975879</v>
      </c>
      <c r="J17" s="64">
        <v>2590646.78238738</v>
      </c>
      <c r="K17" s="58">
        <f>I17-E17</f>
        <v>-388123.00000241213</v>
      </c>
      <c r="L17" s="58">
        <f>J17-F17</f>
        <v>-177060.80652456917</v>
      </c>
      <c r="M17" s="59">
        <f>K17/E17</f>
        <v>-6.4778947639382425E-2</v>
      </c>
      <c r="N17" s="59">
        <f>L17/F17</f>
        <v>-6.3973812563839494E-2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12488348</v>
      </c>
      <c r="J18" s="65">
        <v>2624732.1781494026</v>
      </c>
      <c r="K18" s="60">
        <f t="shared" ref="K18:L24" si="2">I18-E18</f>
        <v>-3122087</v>
      </c>
      <c r="L18" s="60">
        <f t="shared" si="2"/>
        <v>-656834.82063076133</v>
      </c>
      <c r="M18" s="61">
        <f t="shared" ref="M18:N25" si="3">K18/E18</f>
        <v>-0.2</v>
      </c>
      <c r="N18" s="61">
        <f t="shared" si="3"/>
        <v>-0.200158893868363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152309.33747716085</v>
      </c>
      <c r="K19" s="60">
        <f t="shared" si="2"/>
        <v>-760943.19999999972</v>
      </c>
      <c r="L19" s="60">
        <f t="shared" si="2"/>
        <v>-38078.782338673744</v>
      </c>
      <c r="M19" s="61">
        <f t="shared" si="3"/>
        <v>-0.19999999999999993</v>
      </c>
      <c r="N19" s="61">
        <f t="shared" si="3"/>
        <v>-0.20000608428460739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27450.711351371949</v>
      </c>
      <c r="K20" s="60">
        <f t="shared" si="2"/>
        <v>-888000</v>
      </c>
      <c r="L20" s="60">
        <f t="shared" si="2"/>
        <v>-5033.9335403261939</v>
      </c>
      <c r="M20" s="61">
        <f t="shared" si="3"/>
        <v>-0.2</v>
      </c>
      <c r="N20" s="61">
        <f t="shared" si="3"/>
        <v>-0.15496347757868453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18363200</v>
      </c>
      <c r="H21" s="74">
        <f t="shared" si="1"/>
        <v>27544800</v>
      </c>
      <c r="I21" s="174">
        <v>18363200</v>
      </c>
      <c r="J21" s="65">
        <v>1659311.4798142719</v>
      </c>
      <c r="K21" s="60">
        <f t="shared" si="2"/>
        <v>-4590800</v>
      </c>
      <c r="L21" s="60">
        <f t="shared" si="2"/>
        <v>-358737.57216960448</v>
      </c>
      <c r="M21" s="61">
        <f t="shared" si="3"/>
        <v>-0.2</v>
      </c>
      <c r="N21" s="61">
        <f t="shared" si="3"/>
        <v>-0.17776454532507105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391340.25142413448</v>
      </c>
      <c r="K22" s="60">
        <f t="shared" si="2"/>
        <v>-1563796.7999999998</v>
      </c>
      <c r="L22" s="60">
        <f t="shared" si="2"/>
        <v>-87009.241702676751</v>
      </c>
      <c r="M22" s="61">
        <f t="shared" si="3"/>
        <v>-0.19999999999999998</v>
      </c>
      <c r="N22" s="61">
        <f t="shared" si="3"/>
        <v>-0.18189470868658464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84982.734953958949</v>
      </c>
      <c r="K23" s="60">
        <f t="shared" si="2"/>
        <v>-707189</v>
      </c>
      <c r="L23" s="60">
        <f t="shared" si="2"/>
        <v>-20241.125046041052</v>
      </c>
      <c r="M23" s="61">
        <f t="shared" si="3"/>
        <v>-0.2</v>
      </c>
      <c r="N23" s="61">
        <f t="shared" si="3"/>
        <v>-0.19236250263049703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11916244</v>
      </c>
      <c r="H24" s="74">
        <f t="shared" si="1"/>
        <v>17874366</v>
      </c>
      <c r="I24" s="174">
        <v>11916244</v>
      </c>
      <c r="J24" s="65">
        <v>296573.45688100718</v>
      </c>
      <c r="K24" s="60">
        <f t="shared" si="2"/>
        <v>-2979061</v>
      </c>
      <c r="L24" s="60">
        <f t="shared" si="2"/>
        <v>-61367.273164246231</v>
      </c>
      <c r="M24" s="61">
        <f t="shared" si="3"/>
        <v>-0.2</v>
      </c>
      <c r="N24" s="61">
        <f t="shared" si="3"/>
        <v>-0.17144534838627543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63240707.200000003</v>
      </c>
      <c r="H25" s="76">
        <f t="shared" si="4"/>
        <v>94861060.799999997</v>
      </c>
      <c r="I25" s="83">
        <f t="shared" si="4"/>
        <v>64050883.999997586</v>
      </c>
      <c r="J25" s="175">
        <f t="shared" si="4"/>
        <v>7827346.9324386874</v>
      </c>
      <c r="K25" s="76">
        <f>SUM(K17:K24)</f>
        <v>-15000000.00000241</v>
      </c>
      <c r="L25" s="175">
        <f>SUM(L17:L24)</f>
        <v>-1404363.5551168991</v>
      </c>
      <c r="M25" s="79">
        <f>K25/E25</f>
        <v>-0.18975119873425336</v>
      </c>
      <c r="N25" s="79">
        <f t="shared" si="3"/>
        <v>-0.15212387314463463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5603375.9999975879</v>
      </c>
      <c r="I34" s="168">
        <f>J17/$J$31</f>
        <v>187592.09141110643</v>
      </c>
      <c r="J34" s="179">
        <f>I34*$L$31</f>
        <v>240305469.09762734</v>
      </c>
      <c r="K34" s="166">
        <f>H34-D34</f>
        <v>-388123.00000241213</v>
      </c>
      <c r="L34" s="166">
        <f>J34-G34</f>
        <v>-16423960.402460039</v>
      </c>
      <c r="M34" s="182">
        <f>K34/D34</f>
        <v>-6.4778947639382425E-2</v>
      </c>
      <c r="N34" s="183">
        <f>L34/G34</f>
        <v>-6.3973812563839508E-2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12488348</v>
      </c>
      <c r="I35" s="169">
        <f>J18/$P$31</f>
        <v>184710.21661853642</v>
      </c>
      <c r="J35" s="180">
        <f>I35*$R$31</f>
        <v>222021680.37548077</v>
      </c>
      <c r="K35" s="167">
        <f t="shared" ref="K35:K42" si="7">H35-D35</f>
        <v>-3122087</v>
      </c>
      <c r="L35" s="167">
        <f t="shared" ref="L35:L42" si="8">J35-G35</f>
        <v>-55560552.737380385</v>
      </c>
      <c r="M35" s="184">
        <f t="shared" ref="M35:M42" si="9">K35/D35</f>
        <v>-0.2</v>
      </c>
      <c r="N35" s="185">
        <f t="shared" ref="N35:N42" si="10">L35/G35</f>
        <v>-0.20015889386836305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3043772.8000000003</v>
      </c>
      <c r="I36" s="169">
        <f t="shared" ref="I36:I40" si="12">J19/$D$31</f>
        <v>10446.456617089221</v>
      </c>
      <c r="J36" s="180">
        <f t="shared" ref="J36:J40" si="13">I36*$F$31</f>
        <v>13778876.277940683</v>
      </c>
      <c r="K36" s="167">
        <f t="shared" si="7"/>
        <v>-760943.19999999972</v>
      </c>
      <c r="L36" s="167">
        <f t="shared" si="8"/>
        <v>-3444850.0620514862</v>
      </c>
      <c r="M36" s="184">
        <f t="shared" si="9"/>
        <v>-0.19999999999999993</v>
      </c>
      <c r="N36" s="185">
        <f t="shared" si="10"/>
        <v>-0.20000608428460739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3552000</v>
      </c>
      <c r="I37" s="169">
        <f t="shared" si="12"/>
        <v>1882.7648389143997</v>
      </c>
      <c r="J37" s="180">
        <f t="shared" si="13"/>
        <v>2483366.8225280931</v>
      </c>
      <c r="K37" s="167">
        <f t="shared" si="7"/>
        <v>-888000</v>
      </c>
      <c r="L37" s="167">
        <f t="shared" si="8"/>
        <v>-455401.80656311754</v>
      </c>
      <c r="M37" s="184">
        <f t="shared" si="9"/>
        <v>-0.2</v>
      </c>
      <c r="N37" s="185">
        <f t="shared" si="10"/>
        <v>-0.15496347757868462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18363200</v>
      </c>
      <c r="I38" s="169">
        <f t="shared" si="12"/>
        <v>113807.37172937393</v>
      </c>
      <c r="J38" s="180">
        <f t="shared" si="13"/>
        <v>150111923.31104422</v>
      </c>
      <c r="K38" s="167">
        <f t="shared" si="7"/>
        <v>-4590800</v>
      </c>
      <c r="L38" s="167">
        <f t="shared" si="8"/>
        <v>-32453693.943189859</v>
      </c>
      <c r="M38" s="184">
        <f t="shared" si="9"/>
        <v>-0.2</v>
      </c>
      <c r="N38" s="185">
        <f t="shared" si="10"/>
        <v>-0.17776454532507102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6255187.2000000002</v>
      </c>
      <c r="I39" s="169">
        <f t="shared" si="12"/>
        <v>26840.895159405656</v>
      </c>
      <c r="J39" s="180">
        <f t="shared" si="13"/>
        <v>35403140.715256058</v>
      </c>
      <c r="K39" s="167">
        <f t="shared" si="7"/>
        <v>-1563796.7999999998</v>
      </c>
      <c r="L39" s="167">
        <f t="shared" si="8"/>
        <v>-7871412.1951872855</v>
      </c>
      <c r="M39" s="184">
        <f t="shared" si="9"/>
        <v>-0.19999999999999998</v>
      </c>
      <c r="N39" s="185">
        <f t="shared" si="10"/>
        <v>-0.18189470868658464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2828756</v>
      </c>
      <c r="I40" s="169">
        <f t="shared" si="12"/>
        <v>5828.7198185157031</v>
      </c>
      <c r="J40" s="180">
        <f t="shared" si="13"/>
        <v>7688081.4406222124</v>
      </c>
      <c r="K40" s="167">
        <f t="shared" si="7"/>
        <v>-707189</v>
      </c>
      <c r="L40" s="167">
        <f t="shared" si="8"/>
        <v>-1831141.5593777876</v>
      </c>
      <c r="M40" s="184">
        <f t="shared" si="9"/>
        <v>-0.2</v>
      </c>
      <c r="N40" s="185">
        <f t="shared" si="10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11916244</v>
      </c>
      <c r="I41" s="169">
        <f>J24</f>
        <v>296573.45688100718</v>
      </c>
      <c r="J41" s="180">
        <f>I41*$I$31</f>
        <v>30935577.287257861</v>
      </c>
      <c r="K41" s="167">
        <f t="shared" si="7"/>
        <v>-2979061</v>
      </c>
      <c r="L41" s="167">
        <f t="shared" si="8"/>
        <v>-6401220.2637625225</v>
      </c>
      <c r="M41" s="184">
        <f t="shared" si="9"/>
        <v>-0.2</v>
      </c>
      <c r="N41" s="185">
        <f t="shared" si="10"/>
        <v>-0.17144534838627537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64050883.999997586</v>
      </c>
      <c r="I42" s="77"/>
      <c r="J42" s="181">
        <f>SUM(J34:J41)</f>
        <v>702728115.32775736</v>
      </c>
      <c r="K42" s="76">
        <f t="shared" si="7"/>
        <v>-15000000.000002414</v>
      </c>
      <c r="L42" s="200">
        <f t="shared" si="8"/>
        <v>-124442232.96997237</v>
      </c>
      <c r="M42" s="79">
        <f t="shared" si="9"/>
        <v>-0.18975119873425342</v>
      </c>
      <c r="N42" s="186">
        <f t="shared" si="10"/>
        <v>-0.15044329529711445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245114674.66888908</v>
      </c>
      <c r="L43" s="189">
        <f>SUM(L34:L40)*$E$43 + (L41*$D$43)</f>
        <v>-43590603.262543157</v>
      </c>
      <c r="M43" s="201">
        <f>L43/L42</f>
        <v>0.35028785824713921</v>
      </c>
      <c r="N43" s="190">
        <f>N42*(L43/L42)</f>
        <v>-5.2698459697268128E-2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276229455.38793343</v>
      </c>
      <c r="L44" s="189">
        <f>SUM(L34:L40)*$E$44 + (L41*$D$44)</f>
        <v>-48980556.276752651</v>
      </c>
      <c r="M44" s="201">
        <f>L44/L42</f>
        <v>0.393600750386499</v>
      </c>
      <c r="N44" s="190">
        <f>N42*(L44/L42)</f>
        <v>-5.9214593919561902E-2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181383985.27093485</v>
      </c>
      <c r="L45" s="189">
        <f>SUM(L34:L40)*$E$45 + (L41*$D$45)</f>
        <v>-31871073.430676695</v>
      </c>
      <c r="M45" s="201">
        <f>L45/L42</f>
        <v>0.25611139136636285</v>
      </c>
      <c r="N45" s="190">
        <f>N42*(L45/L42)</f>
        <v>-3.8530241680284572E-2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FFC000"/>
  </sheetPr>
  <dimension ref="A1:U47"/>
  <sheetViews>
    <sheetView topLeftCell="B1" zoomScale="90" zoomScaleNormal="90" workbookViewId="0">
      <selection activeCell="C30" sqref="C30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221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9267293.8673626464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79050884 - 10000000</f>
        <v>69050884</v>
      </c>
      <c r="C12" s="81">
        <f>1*B12 - 1</f>
        <v>69050883</v>
      </c>
      <c r="D12" s="82">
        <f>1*B12 + 1</f>
        <v>69050885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4793199.2</v>
      </c>
      <c r="H17" s="73">
        <f>E17*$H$14</f>
        <v>7189798.7999999998</v>
      </c>
      <c r="I17" s="173">
        <v>7189798.8000000007</v>
      </c>
      <c r="J17" s="64">
        <v>3312421.3159430088</v>
      </c>
      <c r="K17" s="58">
        <f>I17-E17</f>
        <v>1198299.8000000007</v>
      </c>
      <c r="L17" s="58">
        <f>J17-F17</f>
        <v>544713.72703105956</v>
      </c>
      <c r="M17" s="59">
        <f>K17/E17</f>
        <v>0.20000000000000012</v>
      </c>
      <c r="N17" s="59">
        <f>L17/F17</f>
        <v>0.1968104322918012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15901923.329664389</v>
      </c>
      <c r="J18" s="65">
        <v>3342904.5685799406</v>
      </c>
      <c r="K18" s="60">
        <f t="shared" ref="K18:L24" si="2">I18-E18</f>
        <v>291488.32966438867</v>
      </c>
      <c r="L18" s="60">
        <f t="shared" si="2"/>
        <v>61337.569799776655</v>
      </c>
      <c r="M18" s="61">
        <f t="shared" ref="M18:N25" si="3">K18/E18</f>
        <v>1.8672659004338361E-2</v>
      </c>
      <c r="N18" s="61">
        <f t="shared" si="3"/>
        <v>1.8691548830963158E-2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152309.33747716085</v>
      </c>
      <c r="K19" s="60">
        <f t="shared" si="2"/>
        <v>-760943.19999999972</v>
      </c>
      <c r="L19" s="60">
        <f t="shared" si="2"/>
        <v>-38078.782338673744</v>
      </c>
      <c r="M19" s="61">
        <f t="shared" si="3"/>
        <v>-0.19999999999999993</v>
      </c>
      <c r="N19" s="61">
        <f t="shared" si="3"/>
        <v>-0.20000608428460739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3552000</v>
      </c>
      <c r="H20" s="74">
        <f t="shared" si="1"/>
        <v>5328000</v>
      </c>
      <c r="I20" s="174">
        <v>3552001.8711737162</v>
      </c>
      <c r="J20" s="65">
        <v>27450.722289164725</v>
      </c>
      <c r="K20" s="60">
        <f t="shared" si="2"/>
        <v>-887998.12882628385</v>
      </c>
      <c r="L20" s="60">
        <f t="shared" si="2"/>
        <v>-5033.9226025334174</v>
      </c>
      <c r="M20" s="61">
        <f t="shared" si="3"/>
        <v>-0.19999957856447834</v>
      </c>
      <c r="N20" s="61">
        <f t="shared" si="3"/>
        <v>-0.15496314087213245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18363200</v>
      </c>
      <c r="H21" s="74">
        <f t="shared" si="1"/>
        <v>27544800</v>
      </c>
      <c r="I21" s="174">
        <v>18363200</v>
      </c>
      <c r="J21" s="65">
        <v>1659311.4798142719</v>
      </c>
      <c r="K21" s="60">
        <f t="shared" si="2"/>
        <v>-4590800</v>
      </c>
      <c r="L21" s="60">
        <f t="shared" si="2"/>
        <v>-358737.57216960448</v>
      </c>
      <c r="M21" s="61">
        <f t="shared" si="3"/>
        <v>-0.2</v>
      </c>
      <c r="N21" s="61">
        <f t="shared" si="3"/>
        <v>-0.17776454532507105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391340.25142413448</v>
      </c>
      <c r="K22" s="60">
        <f t="shared" si="2"/>
        <v>-1563796.7999999998</v>
      </c>
      <c r="L22" s="60">
        <f t="shared" si="2"/>
        <v>-87009.241702676751</v>
      </c>
      <c r="M22" s="61">
        <f t="shared" si="3"/>
        <v>-0.19999999999999998</v>
      </c>
      <c r="N22" s="61">
        <f t="shared" si="3"/>
        <v>-0.18189470868658464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84982.734953958949</v>
      </c>
      <c r="K23" s="60">
        <f t="shared" si="2"/>
        <v>-707189</v>
      </c>
      <c r="L23" s="60">
        <f t="shared" si="2"/>
        <v>-20241.125046041052</v>
      </c>
      <c r="M23" s="61">
        <f t="shared" si="3"/>
        <v>-0.2</v>
      </c>
      <c r="N23" s="61">
        <f t="shared" si="3"/>
        <v>-0.19236250263049703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11916244</v>
      </c>
      <c r="H24" s="74">
        <f t="shared" si="1"/>
        <v>17874366</v>
      </c>
      <c r="I24" s="174">
        <v>11916244</v>
      </c>
      <c r="J24" s="65">
        <v>296573.45688100718</v>
      </c>
      <c r="K24" s="60">
        <f t="shared" si="2"/>
        <v>-2979061</v>
      </c>
      <c r="L24" s="60">
        <f t="shared" si="2"/>
        <v>-61367.273164246231</v>
      </c>
      <c r="M24" s="61">
        <f t="shared" si="3"/>
        <v>-0.2</v>
      </c>
      <c r="N24" s="61">
        <f t="shared" si="3"/>
        <v>-0.17144534838627543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63240707.200000003</v>
      </c>
      <c r="H25" s="76">
        <f t="shared" si="4"/>
        <v>94861060.799999997</v>
      </c>
      <c r="I25" s="83">
        <f t="shared" si="4"/>
        <v>69050884.000838116</v>
      </c>
      <c r="J25" s="175">
        <f t="shared" si="4"/>
        <v>9267293.8673626464</v>
      </c>
      <c r="K25" s="76">
        <f>SUM(K17:K24)</f>
        <v>-9999999.9991618954</v>
      </c>
      <c r="L25" s="175">
        <f>SUM(L17:L24)</f>
        <v>35583.379807060628</v>
      </c>
      <c r="M25" s="79">
        <f>K25/E25</f>
        <v>-0.12650079914554649</v>
      </c>
      <c r="N25" s="79">
        <f t="shared" si="3"/>
        <v>3.8544731071264949E-3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7189798.8000000007</v>
      </c>
      <c r="I34" s="168">
        <f>J17/$J$31</f>
        <v>239856.72092273776</v>
      </c>
      <c r="J34" s="179">
        <f>I34*$L$31</f>
        <v>307256459.50202709</v>
      </c>
      <c r="K34" s="166">
        <f>H34-D34</f>
        <v>1198299.8000000007</v>
      </c>
      <c r="L34" s="166">
        <f>J34-G34</f>
        <v>50527030.001939714</v>
      </c>
      <c r="M34" s="182">
        <f>K34/D34</f>
        <v>0.20000000000000012</v>
      </c>
      <c r="N34" s="183">
        <f>L34/G34</f>
        <v>0.19681043229180126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15901923.329664389</v>
      </c>
      <c r="I35" s="169">
        <f>J18/$P$31</f>
        <v>235250.14557212809</v>
      </c>
      <c r="J35" s="180">
        <f>I35*$R$31</f>
        <v>282770674.97769797</v>
      </c>
      <c r="K35" s="167">
        <f t="shared" ref="K35:K42" si="7">H35-D35</f>
        <v>291488.32966438867</v>
      </c>
      <c r="L35" s="167">
        <f t="shared" ref="L35:L42" si="8">J35-G35</f>
        <v>5188441.864836812</v>
      </c>
      <c r="M35" s="184">
        <f t="shared" ref="M35:M42" si="9">K35/D35</f>
        <v>1.8672659004338361E-2</v>
      </c>
      <c r="N35" s="185">
        <f t="shared" ref="N35:N42" si="10">L35/G35</f>
        <v>1.8691548830963047E-2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3043772.8000000003</v>
      </c>
      <c r="I36" s="169">
        <f t="shared" ref="I36:I40" si="12">J19/$D$31</f>
        <v>10446.456617089221</v>
      </c>
      <c r="J36" s="180">
        <f t="shared" ref="J36:J40" si="13">I36*$F$31</f>
        <v>13778876.277940683</v>
      </c>
      <c r="K36" s="167">
        <f t="shared" si="7"/>
        <v>-760943.19999999972</v>
      </c>
      <c r="L36" s="167">
        <f t="shared" si="8"/>
        <v>-3444850.0620514862</v>
      </c>
      <c r="M36" s="184">
        <f t="shared" si="9"/>
        <v>-0.19999999999999993</v>
      </c>
      <c r="N36" s="185">
        <f t="shared" si="10"/>
        <v>-0.20000608428460739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3552001.8711737162</v>
      </c>
      <c r="I37" s="169">
        <f t="shared" si="12"/>
        <v>1882.7655891059483</v>
      </c>
      <c r="J37" s="180">
        <f t="shared" si="13"/>
        <v>2483367.8120307457</v>
      </c>
      <c r="K37" s="167">
        <f t="shared" si="7"/>
        <v>-887998.12882628385</v>
      </c>
      <c r="L37" s="167">
        <f t="shared" si="8"/>
        <v>-455400.81706046499</v>
      </c>
      <c r="M37" s="184">
        <f t="shared" si="9"/>
        <v>-0.19999957856447834</v>
      </c>
      <c r="N37" s="185">
        <f t="shared" si="10"/>
        <v>-0.1549631408721325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18363200</v>
      </c>
      <c r="I38" s="169">
        <f t="shared" si="12"/>
        <v>113807.37172937393</v>
      </c>
      <c r="J38" s="180">
        <f t="shared" si="13"/>
        <v>150111923.31104422</v>
      </c>
      <c r="K38" s="167">
        <f t="shared" si="7"/>
        <v>-4590800</v>
      </c>
      <c r="L38" s="167">
        <f t="shared" si="8"/>
        <v>-32453693.943189859</v>
      </c>
      <c r="M38" s="184">
        <f t="shared" si="9"/>
        <v>-0.2</v>
      </c>
      <c r="N38" s="185">
        <f t="shared" si="10"/>
        <v>-0.17776454532507102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6255187.2000000002</v>
      </c>
      <c r="I39" s="169">
        <f t="shared" si="12"/>
        <v>26840.895159405656</v>
      </c>
      <c r="J39" s="180">
        <f t="shared" si="13"/>
        <v>35403140.715256058</v>
      </c>
      <c r="K39" s="167">
        <f t="shared" si="7"/>
        <v>-1563796.7999999998</v>
      </c>
      <c r="L39" s="167">
        <f t="shared" si="8"/>
        <v>-7871412.1951872855</v>
      </c>
      <c r="M39" s="184">
        <f t="shared" si="9"/>
        <v>-0.19999999999999998</v>
      </c>
      <c r="N39" s="185">
        <f t="shared" si="10"/>
        <v>-0.18189470868658464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2828756</v>
      </c>
      <c r="I40" s="169">
        <f t="shared" si="12"/>
        <v>5828.7198185157031</v>
      </c>
      <c r="J40" s="180">
        <f t="shared" si="13"/>
        <v>7688081.4406222124</v>
      </c>
      <c r="K40" s="167">
        <f t="shared" si="7"/>
        <v>-707189</v>
      </c>
      <c r="L40" s="167">
        <f t="shared" si="8"/>
        <v>-1831141.5593777876</v>
      </c>
      <c r="M40" s="184">
        <f t="shared" si="9"/>
        <v>-0.2</v>
      </c>
      <c r="N40" s="185">
        <f t="shared" si="10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11916244</v>
      </c>
      <c r="I41" s="169">
        <f>J24</f>
        <v>296573.45688100718</v>
      </c>
      <c r="J41" s="180">
        <f>I41*$I$31</f>
        <v>30935577.287257861</v>
      </c>
      <c r="K41" s="167">
        <f t="shared" si="7"/>
        <v>-2979061</v>
      </c>
      <c r="L41" s="167">
        <f t="shared" si="8"/>
        <v>-6401220.2637625225</v>
      </c>
      <c r="M41" s="184">
        <f t="shared" si="9"/>
        <v>-0.2</v>
      </c>
      <c r="N41" s="185">
        <f t="shared" si="10"/>
        <v>-0.17144534838627537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69050884.000838116</v>
      </c>
      <c r="I42" s="77"/>
      <c r="J42" s="181">
        <f>SUM(J34:J41)</f>
        <v>830428101.32387698</v>
      </c>
      <c r="K42" s="76">
        <f t="shared" si="7"/>
        <v>-9999999.9991618842</v>
      </c>
      <c r="L42" s="200">
        <f t="shared" si="8"/>
        <v>3257753.0261472464</v>
      </c>
      <c r="M42" s="79">
        <f t="shared" si="9"/>
        <v>-0.12650079914554635</v>
      </c>
      <c r="N42" s="186">
        <f t="shared" si="10"/>
        <v>3.9384306181326732E-3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288532669.90756971</v>
      </c>
      <c r="L43" s="189">
        <f>SUM(L34:L40)*$E$43 + (L41*$D$43)</f>
        <v>-172608.02386248438</v>
      </c>
      <c r="M43" s="201">
        <f>L43/L42</f>
        <v>-5.2983765950673604E-2</v>
      </c>
      <c r="N43" s="190">
        <f>N42*(L43/L42)</f>
        <v>-2.0867288608410832E-4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326032449.92642009</v>
      </c>
      <c r="L44" s="189">
        <f>SUM(L34:L40)*$E$44 + (L41*$D$44)</f>
        <v>822438.26173399948</v>
      </c>
      <c r="M44" s="201">
        <f>L44/L42</f>
        <v>0.25245568191725359</v>
      </c>
      <c r="N44" s="190">
        <f>N42*(L44/L42)</f>
        <v>9.9427918738447451E-4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215862981.48988715</v>
      </c>
      <c r="L45" s="189">
        <f>SUM(L34:L40)*$E$45 + (L41*$D$45)</f>
        <v>2607922.7882756032</v>
      </c>
      <c r="M45" s="201">
        <f>L45/L42</f>
        <v>0.80052808403338072</v>
      </c>
      <c r="N45" s="190">
        <f>N42*(L45/L42)</f>
        <v>3.1528243168321523E-3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C000"/>
  </sheetPr>
  <dimension ref="A1:U47"/>
  <sheetViews>
    <sheetView topLeftCell="A4" zoomScale="80" zoomScaleNormal="80" workbookViewId="0">
      <selection activeCell="J20" sqref="J20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221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10035180.969618663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79050884 - 5000000</f>
        <v>74050884</v>
      </c>
      <c r="C12" s="81">
        <f>1*B12 - 1</f>
        <v>74050883</v>
      </c>
      <c r="D12" s="82">
        <f>1*B12 + 1</f>
        <v>74050885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3312421.3159430088</v>
      </c>
      <c r="K17" s="58">
        <f>I17-E17</f>
        <v>1198299.7999999998</v>
      </c>
      <c r="L17" s="58">
        <f>J17-F17</f>
        <v>544713.72703105956</v>
      </c>
      <c r="M17" s="59">
        <f>K17/E17</f>
        <v>0.19999999999999996</v>
      </c>
      <c r="N17" s="59">
        <f>L17/F17</f>
        <v>0.1968104322918012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3938662.5298482887</v>
      </c>
      <c r="K18" s="60">
        <f t="shared" ref="K18:L24" si="2">I18-E18</f>
        <v>3122087</v>
      </c>
      <c r="L18" s="60">
        <f t="shared" si="2"/>
        <v>657095.53106812481</v>
      </c>
      <c r="M18" s="61">
        <f t="shared" ref="M18:N25" si="3">K18/E18</f>
        <v>0.2</v>
      </c>
      <c r="N18" s="61">
        <f t="shared" si="3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152309.33747716085</v>
      </c>
      <c r="K19" s="60">
        <f t="shared" si="2"/>
        <v>-760943.19999999972</v>
      </c>
      <c r="L19" s="60">
        <f t="shared" si="2"/>
        <v>-38078.782338673744</v>
      </c>
      <c r="M19" s="61">
        <f t="shared" si="3"/>
        <v>-0.19999999999999993</v>
      </c>
      <c r="N19" s="61">
        <f t="shared" si="3"/>
        <v>-0.20000608428460739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3552000</v>
      </c>
      <c r="H20" s="74">
        <f t="shared" si="1"/>
        <v>5328000</v>
      </c>
      <c r="I20" s="174">
        <v>3552001.8711737162</v>
      </c>
      <c r="J20" s="65">
        <v>27450.722289164725</v>
      </c>
      <c r="K20" s="60">
        <f t="shared" si="2"/>
        <v>-887998.12882628385</v>
      </c>
      <c r="L20" s="60">
        <f t="shared" si="2"/>
        <v>-5033.9226025334174</v>
      </c>
      <c r="M20" s="61">
        <f t="shared" si="3"/>
        <v>-0.19999957856447834</v>
      </c>
      <c r="N20" s="61">
        <f t="shared" si="3"/>
        <v>-0.15496314087213245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18363200</v>
      </c>
      <c r="H21" s="74">
        <f t="shared" si="1"/>
        <v>27544800</v>
      </c>
      <c r="I21" s="174">
        <v>20532601.307892084</v>
      </c>
      <c r="J21" s="65">
        <v>1831440.6208019408</v>
      </c>
      <c r="K21" s="60">
        <f t="shared" si="2"/>
        <v>-2421398.6921079159</v>
      </c>
      <c r="L21" s="60">
        <f t="shared" si="2"/>
        <v>-186608.43118193559</v>
      </c>
      <c r="M21" s="61">
        <f t="shared" si="3"/>
        <v>-0.10548918236943086</v>
      </c>
      <c r="N21" s="61">
        <f t="shared" si="3"/>
        <v>-9.2469720197577501E-2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391340.25142413448</v>
      </c>
      <c r="K22" s="60">
        <f t="shared" si="2"/>
        <v>-1563796.7999999998</v>
      </c>
      <c r="L22" s="60">
        <f t="shared" si="2"/>
        <v>-87009.241702676751</v>
      </c>
      <c r="M22" s="61">
        <f t="shared" si="3"/>
        <v>-0.19999999999999998</v>
      </c>
      <c r="N22" s="61">
        <f t="shared" si="3"/>
        <v>-0.18189470868658464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84982.734953958949</v>
      </c>
      <c r="K23" s="60">
        <f t="shared" si="2"/>
        <v>-707189</v>
      </c>
      <c r="L23" s="60">
        <f t="shared" si="2"/>
        <v>-20241.125046041052</v>
      </c>
      <c r="M23" s="61">
        <f t="shared" si="3"/>
        <v>-0.2</v>
      </c>
      <c r="N23" s="61">
        <f t="shared" si="3"/>
        <v>-0.19236250263049703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11916244</v>
      </c>
      <c r="H24" s="74">
        <f t="shared" si="1"/>
        <v>17874366</v>
      </c>
      <c r="I24" s="174">
        <v>11916244</v>
      </c>
      <c r="J24" s="65">
        <v>296573.45688100718</v>
      </c>
      <c r="K24" s="60">
        <f t="shared" si="2"/>
        <v>-2979061</v>
      </c>
      <c r="L24" s="60">
        <f t="shared" si="2"/>
        <v>-61367.273164246231</v>
      </c>
      <c r="M24" s="61">
        <f t="shared" si="3"/>
        <v>-0.2</v>
      </c>
      <c r="N24" s="61">
        <f t="shared" si="3"/>
        <v>-0.17144534838627543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63240707.200000003</v>
      </c>
      <c r="H25" s="76">
        <f t="shared" si="4"/>
        <v>94861060.799999997</v>
      </c>
      <c r="I25" s="83">
        <f t="shared" si="4"/>
        <v>74050883.979065806</v>
      </c>
      <c r="J25" s="175">
        <f t="shared" si="4"/>
        <v>10035180.969618663</v>
      </c>
      <c r="K25" s="76">
        <f>SUM(K17:K24)</f>
        <v>-5000000.0209341999</v>
      </c>
      <c r="L25" s="175">
        <f>SUM(L17:L24)</f>
        <v>803470.48206307762</v>
      </c>
      <c r="M25" s="79">
        <f>K25/E25</f>
        <v>-6.3250399842893601E-2</v>
      </c>
      <c r="N25" s="79">
        <f t="shared" si="3"/>
        <v>8.7033760769053767E-2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7189798.7999999998</v>
      </c>
      <c r="I34" s="168">
        <f>J17/$J$31</f>
        <v>239856.72092273776</v>
      </c>
      <c r="J34" s="179">
        <f>I34*$L$31</f>
        <v>307256459.50202709</v>
      </c>
      <c r="K34" s="166">
        <f>H34-D34</f>
        <v>1198299.7999999998</v>
      </c>
      <c r="L34" s="166">
        <f>J34-G34</f>
        <v>50527030.001939714</v>
      </c>
      <c r="M34" s="182">
        <f>K34/D34</f>
        <v>0.19999999999999996</v>
      </c>
      <c r="N34" s="183">
        <f>L34/G34</f>
        <v>0.19681043229180126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18732522</v>
      </c>
      <c r="I35" s="169">
        <f>J18/$P$31</f>
        <v>277175.40674512938</v>
      </c>
      <c r="J35" s="180">
        <f>I35*$R$31</f>
        <v>333164838.90764552</v>
      </c>
      <c r="K35" s="167">
        <f t="shared" ref="K35:K42" si="7">H35-D35</f>
        <v>3122087</v>
      </c>
      <c r="L35" s="167">
        <f t="shared" ref="L35:L42" si="8">J35-G35</f>
        <v>55582605.794784367</v>
      </c>
      <c r="M35" s="184">
        <f t="shared" ref="M35:M42" si="9">K35/D35</f>
        <v>0.2</v>
      </c>
      <c r="N35" s="185">
        <f t="shared" ref="N35:N42" si="10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3043772.8000000003</v>
      </c>
      <c r="I36" s="169">
        <f t="shared" ref="I36:I40" si="12">J19/$D$31</f>
        <v>10446.456617089221</v>
      </c>
      <c r="J36" s="180">
        <f t="shared" ref="J36:J40" si="13">I36*$F$31</f>
        <v>13778876.277940683</v>
      </c>
      <c r="K36" s="167">
        <f t="shared" si="7"/>
        <v>-760943.19999999972</v>
      </c>
      <c r="L36" s="167">
        <f t="shared" si="8"/>
        <v>-3444850.0620514862</v>
      </c>
      <c r="M36" s="184">
        <f t="shared" si="9"/>
        <v>-0.19999999999999993</v>
      </c>
      <c r="N36" s="185">
        <f t="shared" si="10"/>
        <v>-0.20000608428460739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3552001.8711737162</v>
      </c>
      <c r="I37" s="169">
        <f t="shared" si="12"/>
        <v>1882.7655891059483</v>
      </c>
      <c r="J37" s="180">
        <f t="shared" si="13"/>
        <v>2483367.8120307457</v>
      </c>
      <c r="K37" s="167">
        <f t="shared" si="7"/>
        <v>-887998.12882628385</v>
      </c>
      <c r="L37" s="167">
        <f t="shared" si="8"/>
        <v>-455400.81706046499</v>
      </c>
      <c r="M37" s="184">
        <f t="shared" si="9"/>
        <v>-0.19999957856447834</v>
      </c>
      <c r="N37" s="185">
        <f t="shared" si="10"/>
        <v>-0.1549631408721325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20532601.307892084</v>
      </c>
      <c r="I38" s="169">
        <f t="shared" si="12"/>
        <v>125613.21130328812</v>
      </c>
      <c r="J38" s="180">
        <f t="shared" si="13"/>
        <v>165683825.70903704</v>
      </c>
      <c r="K38" s="167">
        <f t="shared" si="7"/>
        <v>-2421398.6921079159</v>
      </c>
      <c r="L38" s="167">
        <f t="shared" si="8"/>
        <v>-16881791.54519704</v>
      </c>
      <c r="M38" s="184">
        <f t="shared" si="9"/>
        <v>-0.10548918236943086</v>
      </c>
      <c r="N38" s="185">
        <f t="shared" si="10"/>
        <v>-9.2469720197577432E-2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6255187.2000000002</v>
      </c>
      <c r="I39" s="169">
        <f t="shared" si="12"/>
        <v>26840.895159405656</v>
      </c>
      <c r="J39" s="180">
        <f t="shared" si="13"/>
        <v>35403140.715256058</v>
      </c>
      <c r="K39" s="167">
        <f t="shared" si="7"/>
        <v>-1563796.7999999998</v>
      </c>
      <c r="L39" s="167">
        <f t="shared" si="8"/>
        <v>-7871412.1951872855</v>
      </c>
      <c r="M39" s="184">
        <f t="shared" si="9"/>
        <v>-0.19999999999999998</v>
      </c>
      <c r="N39" s="185">
        <f t="shared" si="10"/>
        <v>-0.18189470868658464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2828756</v>
      </c>
      <c r="I40" s="169">
        <f t="shared" si="12"/>
        <v>5828.7198185157031</v>
      </c>
      <c r="J40" s="180">
        <f t="shared" si="13"/>
        <v>7688081.4406222124</v>
      </c>
      <c r="K40" s="167">
        <f t="shared" si="7"/>
        <v>-707189</v>
      </c>
      <c r="L40" s="167">
        <f t="shared" si="8"/>
        <v>-1831141.5593777876</v>
      </c>
      <c r="M40" s="184">
        <f t="shared" si="9"/>
        <v>-0.2</v>
      </c>
      <c r="N40" s="185">
        <f t="shared" si="10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11916244</v>
      </c>
      <c r="I41" s="169">
        <f>J24</f>
        <v>296573.45688100718</v>
      </c>
      <c r="J41" s="180">
        <f>I41*$I$31</f>
        <v>30935577.287257861</v>
      </c>
      <c r="K41" s="167">
        <f t="shared" si="7"/>
        <v>-2979061</v>
      </c>
      <c r="L41" s="167">
        <f t="shared" si="8"/>
        <v>-6401220.2637625225</v>
      </c>
      <c r="M41" s="184">
        <f t="shared" si="9"/>
        <v>-0.2</v>
      </c>
      <c r="N41" s="185">
        <f t="shared" si="10"/>
        <v>-0.17144534838627537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74050883.979065806</v>
      </c>
      <c r="I42" s="77"/>
      <c r="J42" s="181">
        <f>SUM(J34:J41)</f>
        <v>896394167.65181732</v>
      </c>
      <c r="K42" s="76">
        <f t="shared" si="7"/>
        <v>-5000000.0209341943</v>
      </c>
      <c r="L42" s="200">
        <f t="shared" si="8"/>
        <v>69223819.354087591</v>
      </c>
      <c r="M42" s="79">
        <f t="shared" si="9"/>
        <v>-6.3250399842893532E-2</v>
      </c>
      <c r="N42" s="186">
        <f t="shared" si="10"/>
        <v>8.3687501004534717E-2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310961132.45906943</v>
      </c>
      <c r="L43" s="189">
        <f>SUM(L34:L40)*$E$43 + (L41*$D$43)</f>
        <v>22255854.52763724</v>
      </c>
      <c r="M43" s="201">
        <f>L43/L42</f>
        <v>0.32150572931834415</v>
      </c>
      <c r="N43" s="190">
        <f>N42*(L43/L42)</f>
        <v>2.6906011045292593E-2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351759215.79431683</v>
      </c>
      <c r="L44" s="189">
        <f>SUM(L34:L40)*$E$44 + (L41*$D$44)</f>
        <v>26549204.129630744</v>
      </c>
      <c r="M44" s="201">
        <f>L44/L42</f>
        <v>0.38352700526142008</v>
      </c>
      <c r="N44" s="190">
        <f>N42*(L44/L42)</f>
        <v>3.2096416638081285E-2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233673819.39843106</v>
      </c>
      <c r="L45" s="189">
        <f>SUM(L34:L40)*$E$45 + (L41*$D$45)</f>
        <v>20418760.696819503</v>
      </c>
      <c r="M45" s="201">
        <f>L45/L42</f>
        <v>0.29496726542023427</v>
      </c>
      <c r="N45" s="190">
        <f>N42*(L45/L42)</f>
        <v>2.4685073321160714E-2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C000"/>
  </sheetPr>
  <dimension ref="A1:U47"/>
  <sheetViews>
    <sheetView topLeftCell="B1" zoomScale="90" zoomScaleNormal="90" workbookViewId="0">
      <selection activeCell="H16" sqref="H16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221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10414274.929407516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+ 0</f>
        <v>79050884</v>
      </c>
      <c r="C12" s="81">
        <f>1*B12 - 1</f>
        <v>79050883</v>
      </c>
      <c r="D12" s="82">
        <f>1*B12 + 1</f>
        <v>79050885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3312421.3159430088</v>
      </c>
      <c r="K17" s="58">
        <f>I17-E17</f>
        <v>1198299.7999999998</v>
      </c>
      <c r="L17" s="58">
        <f>J17-F17</f>
        <v>544713.72703105956</v>
      </c>
      <c r="M17" s="59">
        <f>K17/E17</f>
        <v>0.19999999999999996</v>
      </c>
      <c r="N17" s="59">
        <f>L17/F17</f>
        <v>0.1968104322918012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3938662.5298482887</v>
      </c>
      <c r="K18" s="60">
        <f t="shared" ref="K18:L24" si="2">I18-E18</f>
        <v>3122087</v>
      </c>
      <c r="L18" s="60">
        <f t="shared" si="2"/>
        <v>657095.53106812481</v>
      </c>
      <c r="M18" s="61">
        <f t="shared" ref="M18:N25" si="3">K18/E18</f>
        <v>0.2</v>
      </c>
      <c r="N18" s="61">
        <f t="shared" si="3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3043772.8000000003</v>
      </c>
      <c r="H19" s="74">
        <f t="shared" si="1"/>
        <v>4565659.2</v>
      </c>
      <c r="I19" s="174">
        <v>3043772.8</v>
      </c>
      <c r="J19" s="65">
        <v>152309.33747716082</v>
      </c>
      <c r="K19" s="60">
        <f t="shared" si="2"/>
        <v>-760943.20000000019</v>
      </c>
      <c r="L19" s="60">
        <f t="shared" si="2"/>
        <v>-38078.782338673773</v>
      </c>
      <c r="M19" s="61">
        <f t="shared" si="3"/>
        <v>-0.20000000000000004</v>
      </c>
      <c r="N19" s="61">
        <f t="shared" si="3"/>
        <v>-0.20000608428460753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27450.711351371949</v>
      </c>
      <c r="K20" s="60">
        <f t="shared" si="2"/>
        <v>-888000</v>
      </c>
      <c r="L20" s="60">
        <f t="shared" si="2"/>
        <v>-5033.9335403261939</v>
      </c>
      <c r="M20" s="61">
        <f t="shared" si="3"/>
        <v>-0.2</v>
      </c>
      <c r="N20" s="61">
        <f t="shared" si="3"/>
        <v>-0.15496347757868453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18363200</v>
      </c>
      <c r="H21" s="74">
        <f t="shared" si="1"/>
        <v>27544800</v>
      </c>
      <c r="I21" s="174">
        <v>25532603.237566095</v>
      </c>
      <c r="J21" s="65">
        <v>2210534.5915285875</v>
      </c>
      <c r="K21" s="60">
        <f t="shared" si="2"/>
        <v>2578603.2375660948</v>
      </c>
      <c r="L21" s="60">
        <f t="shared" si="2"/>
        <v>192485.53954471112</v>
      </c>
      <c r="M21" s="61">
        <f t="shared" si="3"/>
        <v>0.11233785996192798</v>
      </c>
      <c r="N21" s="61">
        <f t="shared" si="3"/>
        <v>9.5381992501859678E-2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6255187.2000000002</v>
      </c>
      <c r="H22" s="74">
        <f t="shared" si="1"/>
        <v>9382780.7999999989</v>
      </c>
      <c r="I22" s="174">
        <v>6255187.2000000002</v>
      </c>
      <c r="J22" s="65">
        <v>391340.25142413448</v>
      </c>
      <c r="K22" s="60">
        <f t="shared" si="2"/>
        <v>-1563796.7999999998</v>
      </c>
      <c r="L22" s="60">
        <f t="shared" si="2"/>
        <v>-87009.241702676751</v>
      </c>
      <c r="M22" s="61">
        <f t="shared" si="3"/>
        <v>-0.19999999999999998</v>
      </c>
      <c r="N22" s="61">
        <f t="shared" si="3"/>
        <v>-0.18189470868658464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84982.734953958949</v>
      </c>
      <c r="K23" s="60">
        <f t="shared" si="2"/>
        <v>-707189</v>
      </c>
      <c r="L23" s="60">
        <f t="shared" si="2"/>
        <v>-20241.125046041052</v>
      </c>
      <c r="M23" s="61">
        <f t="shared" si="3"/>
        <v>-0.2</v>
      </c>
      <c r="N23" s="61">
        <f t="shared" si="3"/>
        <v>-0.19236250263049703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11916244</v>
      </c>
      <c r="H24" s="74">
        <f t="shared" si="1"/>
        <v>17874366</v>
      </c>
      <c r="I24" s="174">
        <v>11916244</v>
      </c>
      <c r="J24" s="65">
        <v>296573.45688100718</v>
      </c>
      <c r="K24" s="60">
        <f t="shared" si="2"/>
        <v>-2979061</v>
      </c>
      <c r="L24" s="60">
        <f t="shared" si="2"/>
        <v>-61367.273164246231</v>
      </c>
      <c r="M24" s="61">
        <f t="shared" si="3"/>
        <v>-0.2</v>
      </c>
      <c r="N24" s="61">
        <f t="shared" si="3"/>
        <v>-0.17144534838627543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63240707.200000003</v>
      </c>
      <c r="H25" s="76">
        <f t="shared" si="4"/>
        <v>94861060.799999997</v>
      </c>
      <c r="I25" s="83">
        <f t="shared" si="4"/>
        <v>79050884.037566096</v>
      </c>
      <c r="J25" s="175">
        <f t="shared" si="4"/>
        <v>10414274.929407516</v>
      </c>
      <c r="K25" s="76">
        <f>SUM(K17:K24)</f>
        <v>3.7566094659268856E-2</v>
      </c>
      <c r="L25" s="175">
        <f>SUM(L17:L24)</f>
        <v>1182564.4418519316</v>
      </c>
      <c r="M25" s="79">
        <f>K25/E25</f>
        <v>4.7521409955730361E-10</v>
      </c>
      <c r="N25" s="79">
        <f t="shared" si="3"/>
        <v>0.12809808577143286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7189798.7999999998</v>
      </c>
      <c r="I34" s="168">
        <f>J17/$J$31</f>
        <v>239856.72092273776</v>
      </c>
      <c r="J34" s="179">
        <f>I34*$L$31</f>
        <v>307256459.50202709</v>
      </c>
      <c r="K34" s="166">
        <f>H34-D34</f>
        <v>1198299.7999999998</v>
      </c>
      <c r="L34" s="166">
        <f>J34-G34</f>
        <v>50527030.001939714</v>
      </c>
      <c r="M34" s="182">
        <f>K34/D34</f>
        <v>0.19999999999999996</v>
      </c>
      <c r="N34" s="183">
        <f>L34/G34</f>
        <v>0.19681043229180126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18732522</v>
      </c>
      <c r="I35" s="169">
        <f>J18/$P$31</f>
        <v>277175.40674512938</v>
      </c>
      <c r="J35" s="180">
        <f>I35*$R$31</f>
        <v>333164838.90764552</v>
      </c>
      <c r="K35" s="167">
        <f t="shared" ref="K35:K42" si="7">H35-D35</f>
        <v>3122087</v>
      </c>
      <c r="L35" s="167">
        <f t="shared" ref="L35:L42" si="8">J35-G35</f>
        <v>55582605.794784367</v>
      </c>
      <c r="M35" s="184">
        <f t="shared" ref="M35:M42" si="9">K35/D35</f>
        <v>0.2</v>
      </c>
      <c r="N35" s="185">
        <f t="shared" ref="N35:N42" si="10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3043772.8</v>
      </c>
      <c r="I36" s="169">
        <f t="shared" ref="I36:I40" si="12">J19/$D$31</f>
        <v>10446.456617089219</v>
      </c>
      <c r="J36" s="180">
        <f t="shared" ref="J36:J40" si="13">I36*$F$31</f>
        <v>13778876.277940681</v>
      </c>
      <c r="K36" s="167">
        <f t="shared" si="7"/>
        <v>-760943.20000000019</v>
      </c>
      <c r="L36" s="167">
        <f t="shared" si="8"/>
        <v>-3444850.0620514881</v>
      </c>
      <c r="M36" s="184">
        <f t="shared" si="9"/>
        <v>-0.20000000000000004</v>
      </c>
      <c r="N36" s="185">
        <f t="shared" si="10"/>
        <v>-0.2000060842846075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3552000</v>
      </c>
      <c r="I37" s="169">
        <f t="shared" si="12"/>
        <v>1882.7648389143997</v>
      </c>
      <c r="J37" s="180">
        <f t="shared" si="13"/>
        <v>2483366.8225280931</v>
      </c>
      <c r="K37" s="167">
        <f t="shared" si="7"/>
        <v>-888000</v>
      </c>
      <c r="L37" s="167">
        <f t="shared" si="8"/>
        <v>-455401.80656311754</v>
      </c>
      <c r="M37" s="184">
        <f t="shared" si="9"/>
        <v>-0.2</v>
      </c>
      <c r="N37" s="185">
        <f t="shared" si="10"/>
        <v>-0.15496347757868462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25532603.237566095</v>
      </c>
      <c r="I38" s="169">
        <f t="shared" si="12"/>
        <v>151614.16951499227</v>
      </c>
      <c r="J38" s="180">
        <f t="shared" si="13"/>
        <v>199979089.59027481</v>
      </c>
      <c r="K38" s="167">
        <f t="shared" si="7"/>
        <v>2578603.2375660948</v>
      </c>
      <c r="L38" s="167">
        <f t="shared" si="8"/>
        <v>17413472.336040735</v>
      </c>
      <c r="M38" s="184">
        <f t="shared" si="9"/>
        <v>0.11233785996192798</v>
      </c>
      <c r="N38" s="185">
        <f t="shared" si="10"/>
        <v>9.5381992501859664E-2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6255187.2000000002</v>
      </c>
      <c r="I39" s="169">
        <f t="shared" si="12"/>
        <v>26840.895159405656</v>
      </c>
      <c r="J39" s="180">
        <f t="shared" si="13"/>
        <v>35403140.715256058</v>
      </c>
      <c r="K39" s="167">
        <f t="shared" si="7"/>
        <v>-1563796.7999999998</v>
      </c>
      <c r="L39" s="167">
        <f t="shared" si="8"/>
        <v>-7871412.1951872855</v>
      </c>
      <c r="M39" s="184">
        <f t="shared" si="9"/>
        <v>-0.19999999999999998</v>
      </c>
      <c r="N39" s="185">
        <f t="shared" si="10"/>
        <v>-0.18189470868658464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2828756</v>
      </c>
      <c r="I40" s="169">
        <f t="shared" si="12"/>
        <v>5828.7198185157031</v>
      </c>
      <c r="J40" s="180">
        <f t="shared" si="13"/>
        <v>7688081.4406222124</v>
      </c>
      <c r="K40" s="167">
        <f t="shared" si="7"/>
        <v>-707189</v>
      </c>
      <c r="L40" s="167">
        <f t="shared" si="8"/>
        <v>-1831141.5593777876</v>
      </c>
      <c r="M40" s="184">
        <f t="shared" si="9"/>
        <v>-0.2</v>
      </c>
      <c r="N40" s="185">
        <f t="shared" si="10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11916244</v>
      </c>
      <c r="I41" s="169">
        <f>J24</f>
        <v>296573.45688100718</v>
      </c>
      <c r="J41" s="180">
        <f>I41*$I$31</f>
        <v>30935577.287257861</v>
      </c>
      <c r="K41" s="167">
        <f t="shared" si="7"/>
        <v>-2979061</v>
      </c>
      <c r="L41" s="167">
        <f t="shared" si="8"/>
        <v>-6401220.2637625225</v>
      </c>
      <c r="M41" s="184">
        <f t="shared" si="9"/>
        <v>-0.2</v>
      </c>
      <c r="N41" s="185">
        <f t="shared" si="10"/>
        <v>-0.17144534838627537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79050884.037566096</v>
      </c>
      <c r="I42" s="77"/>
      <c r="J42" s="181">
        <f>SUM(J34:J41)</f>
        <v>930689430.5435524</v>
      </c>
      <c r="K42" s="76">
        <f t="shared" si="7"/>
        <v>3.7566095590591431E-2</v>
      </c>
      <c r="L42" s="200">
        <f t="shared" si="8"/>
        <v>103519082.24582267</v>
      </c>
      <c r="M42" s="79">
        <f t="shared" si="9"/>
        <v>4.7521411133860856E-10</v>
      </c>
      <c r="N42" s="186">
        <f t="shared" si="10"/>
        <v>0.12514844428219549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322621521.84225935</v>
      </c>
      <c r="L43" s="189">
        <f>SUM(L34:L40)*$E$43 + (L41*$D$43)</f>
        <v>33916243.910827182</v>
      </c>
      <c r="M43" s="201">
        <f>L43/L42</f>
        <v>0.32763277238381633</v>
      </c>
      <c r="N43" s="190">
        <f>N42*(L43/L42)</f>
        <v>4.1002731759697271E-2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365134368.32209349</v>
      </c>
      <c r="L44" s="189">
        <f>SUM(L34:L40)*$E$44 + (L41*$D$44)</f>
        <v>39924356.65740744</v>
      </c>
      <c r="M44" s="201">
        <f>L44/L42</f>
        <v>0.38567147033433558</v>
      </c>
      <c r="N44" s="190">
        <f>N42*(L44/L42)</f>
        <v>4.8266184516369007E-2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242933540.37919953</v>
      </c>
      <c r="L45" s="189">
        <f>SUM(L34:L40)*$E$45 + (L41*$D$45)</f>
        <v>29678481.677587986</v>
      </c>
      <c r="M45" s="201">
        <f>L45/L42</f>
        <v>0.28669575728184754</v>
      </c>
      <c r="N45" s="190">
        <f>N42*(L45/L42)</f>
        <v>3.587952800612914E-2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FFC000"/>
  </sheetPr>
  <dimension ref="A1:U47"/>
  <sheetViews>
    <sheetView zoomScale="90" zoomScaleNormal="90" workbookViewId="0">
      <selection activeCell="J19" sqref="J19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221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10722910.061803276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+ 5000000</f>
        <v>84050884</v>
      </c>
      <c r="C12" s="81">
        <f>1*B12 - 1</f>
        <v>84050883</v>
      </c>
      <c r="D12" s="82">
        <f>1*B12 + 1</f>
        <v>84050885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3312421.3159430088</v>
      </c>
      <c r="K17" s="58">
        <f>I17-E17</f>
        <v>1198299.7999999998</v>
      </c>
      <c r="L17" s="58">
        <f>J17-F17</f>
        <v>544713.72703105956</v>
      </c>
      <c r="M17" s="59">
        <f>K17/E17</f>
        <v>0.19999999999999996</v>
      </c>
      <c r="N17" s="59">
        <f>L17/F17</f>
        <v>0.1968104322918012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3938662.5298482887</v>
      </c>
      <c r="K18" s="60">
        <f t="shared" ref="K18:L24" si="2">I18-E18</f>
        <v>3122087</v>
      </c>
      <c r="L18" s="60">
        <f t="shared" si="2"/>
        <v>657095.53106812481</v>
      </c>
      <c r="M18" s="61">
        <f t="shared" ref="M18:N25" si="3">K18/E18</f>
        <v>0.2</v>
      </c>
      <c r="N18" s="61">
        <f t="shared" si="3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3043772.8000000003</v>
      </c>
      <c r="H19" s="74">
        <f t="shared" si="1"/>
        <v>4565659.2</v>
      </c>
      <c r="I19" s="174">
        <v>3043772.8000000003</v>
      </c>
      <c r="J19" s="65">
        <v>152309.33747716085</v>
      </c>
      <c r="K19" s="60">
        <f t="shared" si="2"/>
        <v>-760943.19999999972</v>
      </c>
      <c r="L19" s="60">
        <f t="shared" si="2"/>
        <v>-38078.782338673744</v>
      </c>
      <c r="M19" s="61">
        <f t="shared" si="3"/>
        <v>-0.19999999999999993</v>
      </c>
      <c r="N19" s="61">
        <f t="shared" si="3"/>
        <v>-0.20000608428460739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27450.711351371949</v>
      </c>
      <c r="K20" s="60">
        <f t="shared" si="2"/>
        <v>-888000</v>
      </c>
      <c r="L20" s="60">
        <f t="shared" si="2"/>
        <v>-5033.9335403261939</v>
      </c>
      <c r="M20" s="61">
        <f t="shared" si="3"/>
        <v>-0.2</v>
      </c>
      <c r="N20" s="61">
        <f t="shared" si="3"/>
        <v>-0.15496347757868453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2356379.9860122493</v>
      </c>
      <c r="K21" s="60">
        <f t="shared" si="2"/>
        <v>4590800</v>
      </c>
      <c r="L21" s="60">
        <f t="shared" si="2"/>
        <v>338330.93402837287</v>
      </c>
      <c r="M21" s="61">
        <f t="shared" si="3"/>
        <v>0.2</v>
      </c>
      <c r="N21" s="61">
        <f t="shared" si="3"/>
        <v>0.16765248282531639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6255187.2000000002</v>
      </c>
      <c r="H22" s="74">
        <f t="shared" si="1"/>
        <v>9382780.7999999989</v>
      </c>
      <c r="I22" s="174">
        <v>9242990.354269661</v>
      </c>
      <c r="J22" s="65">
        <v>554129.98933623079</v>
      </c>
      <c r="K22" s="60">
        <f t="shared" si="2"/>
        <v>1424006.354269661</v>
      </c>
      <c r="L22" s="60">
        <f t="shared" si="2"/>
        <v>75780.496209419565</v>
      </c>
      <c r="M22" s="61">
        <f t="shared" si="3"/>
        <v>0.18212166110963535</v>
      </c>
      <c r="N22" s="61">
        <f t="shared" si="3"/>
        <v>0.15842077246506045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2828756</v>
      </c>
      <c r="H23" s="74">
        <f t="shared" si="1"/>
        <v>4243134</v>
      </c>
      <c r="I23" s="174">
        <v>2828756</v>
      </c>
      <c r="J23" s="65">
        <v>84982.734953958949</v>
      </c>
      <c r="K23" s="60">
        <f t="shared" si="2"/>
        <v>-707189</v>
      </c>
      <c r="L23" s="60">
        <f t="shared" si="2"/>
        <v>-20241.125046041052</v>
      </c>
      <c r="M23" s="61">
        <f t="shared" si="3"/>
        <v>-0.2</v>
      </c>
      <c r="N23" s="61">
        <f t="shared" si="3"/>
        <v>-0.19236250263049703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11916244</v>
      </c>
      <c r="H24" s="74">
        <f t="shared" si="1"/>
        <v>17874366</v>
      </c>
      <c r="I24" s="174">
        <v>11916244</v>
      </c>
      <c r="J24" s="65">
        <v>296573.45688100718</v>
      </c>
      <c r="K24" s="60">
        <f t="shared" si="2"/>
        <v>-2979061</v>
      </c>
      <c r="L24" s="60">
        <f t="shared" si="2"/>
        <v>-61367.273164246231</v>
      </c>
      <c r="M24" s="61">
        <f t="shared" si="3"/>
        <v>-0.2</v>
      </c>
      <c r="N24" s="61">
        <f t="shared" si="3"/>
        <v>-0.17144534838627543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63240707.200000003</v>
      </c>
      <c r="H25" s="76">
        <f t="shared" si="4"/>
        <v>94861060.799999997</v>
      </c>
      <c r="I25" s="83">
        <f t="shared" si="4"/>
        <v>84050883.954269662</v>
      </c>
      <c r="J25" s="175">
        <f t="shared" si="4"/>
        <v>10722910.061803276</v>
      </c>
      <c r="K25" s="76">
        <f>SUM(K17:K24)</f>
        <v>4999999.9542696606</v>
      </c>
      <c r="L25" s="175">
        <f>SUM(L17:L24)</f>
        <v>1491199.5742476897</v>
      </c>
      <c r="M25" s="79">
        <f>K25/E25</f>
        <v>6.3250398999581847E-2</v>
      </c>
      <c r="N25" s="79">
        <f t="shared" si="3"/>
        <v>0.16153014939732324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7189798.7999999998</v>
      </c>
      <c r="I34" s="168">
        <f>J17/$J$31</f>
        <v>239856.72092273776</v>
      </c>
      <c r="J34" s="179">
        <f>I34*$L$31</f>
        <v>307256459.50202709</v>
      </c>
      <c r="K34" s="166">
        <f>H34-D34</f>
        <v>1198299.7999999998</v>
      </c>
      <c r="L34" s="166">
        <f>J34-G34</f>
        <v>50527030.001939714</v>
      </c>
      <c r="M34" s="182">
        <f>K34/D34</f>
        <v>0.19999999999999996</v>
      </c>
      <c r="N34" s="183">
        <f>L34/G34</f>
        <v>0.19681043229180126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18732522</v>
      </c>
      <c r="I35" s="169">
        <f>J18/$P$31</f>
        <v>277175.40674512938</v>
      </c>
      <c r="J35" s="180">
        <f>I35*$R$31</f>
        <v>333164838.90764552</v>
      </c>
      <c r="K35" s="167">
        <f t="shared" ref="K35:K42" si="7">H35-D35</f>
        <v>3122087</v>
      </c>
      <c r="L35" s="167">
        <f t="shared" ref="L35:L42" si="8">J35-G35</f>
        <v>55582605.794784367</v>
      </c>
      <c r="M35" s="184">
        <f t="shared" ref="M35:M42" si="9">K35/D35</f>
        <v>0.2</v>
      </c>
      <c r="N35" s="185">
        <f t="shared" ref="N35:N42" si="10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3043772.8000000003</v>
      </c>
      <c r="I36" s="169">
        <f t="shared" ref="I36:I40" si="12">J19/$D$31</f>
        <v>10446.456617089221</v>
      </c>
      <c r="J36" s="180">
        <f t="shared" ref="J36:J40" si="13">I36*$F$31</f>
        <v>13778876.277940683</v>
      </c>
      <c r="K36" s="167">
        <f t="shared" si="7"/>
        <v>-760943.19999999972</v>
      </c>
      <c r="L36" s="167">
        <f t="shared" si="8"/>
        <v>-3444850.0620514862</v>
      </c>
      <c r="M36" s="184">
        <f t="shared" si="9"/>
        <v>-0.19999999999999993</v>
      </c>
      <c r="N36" s="185">
        <f t="shared" si="10"/>
        <v>-0.20000608428460739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3552000</v>
      </c>
      <c r="I37" s="169">
        <f t="shared" si="12"/>
        <v>1882.7648389143997</v>
      </c>
      <c r="J37" s="180">
        <f t="shared" si="13"/>
        <v>2483366.8225280931</v>
      </c>
      <c r="K37" s="167">
        <f t="shared" si="7"/>
        <v>-888000</v>
      </c>
      <c r="L37" s="167">
        <f t="shared" si="8"/>
        <v>-455401.80656311754</v>
      </c>
      <c r="M37" s="184">
        <f t="shared" si="9"/>
        <v>-0.2</v>
      </c>
      <c r="N37" s="185">
        <f t="shared" si="10"/>
        <v>-0.15496347757868462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27544800</v>
      </c>
      <c r="I38" s="169">
        <f t="shared" si="12"/>
        <v>161617.28299123794</v>
      </c>
      <c r="J38" s="180">
        <f t="shared" si="13"/>
        <v>213173196.26544285</v>
      </c>
      <c r="K38" s="167">
        <f t="shared" si="7"/>
        <v>4590800</v>
      </c>
      <c r="L38" s="167">
        <f t="shared" si="8"/>
        <v>30607579.011208773</v>
      </c>
      <c r="M38" s="184">
        <f t="shared" si="9"/>
        <v>0.2</v>
      </c>
      <c r="N38" s="185">
        <f t="shared" si="10"/>
        <v>0.16765248282531645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9242990.354269661</v>
      </c>
      <c r="I39" s="169">
        <f t="shared" si="12"/>
        <v>38006.172108109109</v>
      </c>
      <c r="J39" s="180">
        <f t="shared" si="13"/>
        <v>50130141.010595918</v>
      </c>
      <c r="K39" s="167">
        <f t="shared" si="7"/>
        <v>1424006.354269661</v>
      </c>
      <c r="L39" s="167">
        <f t="shared" si="8"/>
        <v>6855588.1001525745</v>
      </c>
      <c r="M39" s="184">
        <f t="shared" si="9"/>
        <v>0.18212166110963535</v>
      </c>
      <c r="N39" s="185">
        <f t="shared" si="10"/>
        <v>0.15842077246506067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2828756</v>
      </c>
      <c r="I40" s="169">
        <f t="shared" si="12"/>
        <v>5828.7198185157031</v>
      </c>
      <c r="J40" s="180">
        <f t="shared" si="13"/>
        <v>7688081.4406222124</v>
      </c>
      <c r="K40" s="167">
        <f t="shared" si="7"/>
        <v>-707189</v>
      </c>
      <c r="L40" s="167">
        <f t="shared" si="8"/>
        <v>-1831141.5593777876</v>
      </c>
      <c r="M40" s="184">
        <f t="shared" si="9"/>
        <v>-0.2</v>
      </c>
      <c r="N40" s="185">
        <f t="shared" si="10"/>
        <v>-0.19236250263049701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11916244</v>
      </c>
      <c r="I41" s="169">
        <f>J24</f>
        <v>296573.45688100718</v>
      </c>
      <c r="J41" s="180">
        <f>I41*$I$31</f>
        <v>30935577.287257861</v>
      </c>
      <c r="K41" s="167">
        <f t="shared" si="7"/>
        <v>-2979061</v>
      </c>
      <c r="L41" s="167">
        <f t="shared" si="8"/>
        <v>-6401220.2637625225</v>
      </c>
      <c r="M41" s="184">
        <f t="shared" si="9"/>
        <v>-0.2</v>
      </c>
      <c r="N41" s="185">
        <f t="shared" si="10"/>
        <v>-0.17144534838627537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84050883.954269662</v>
      </c>
      <c r="I42" s="77"/>
      <c r="J42" s="181">
        <f>SUM(J34:J41)</f>
        <v>958610537.51406026</v>
      </c>
      <c r="K42" s="76">
        <f t="shared" si="7"/>
        <v>4999999.9542696625</v>
      </c>
      <c r="L42" s="200">
        <f t="shared" si="8"/>
        <v>131440189.21633053</v>
      </c>
      <c r="M42" s="79">
        <f t="shared" si="9"/>
        <v>6.3250398999581875E-2</v>
      </c>
      <c r="N42" s="186">
        <f t="shared" si="10"/>
        <v>0.15890341026709562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332114698.21223205</v>
      </c>
      <c r="L43" s="189">
        <f>SUM(L34:L40)*$E$43 + (L41*$D$43)</f>
        <v>43409420.280799873</v>
      </c>
      <c r="M43" s="201">
        <f>L43/L42</f>
        <v>0.33025987363236808</v>
      </c>
      <c r="N43" s="190">
        <f>N42*(L43/L42)</f>
        <v>5.2479420194563343E-2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376023600.04059154</v>
      </c>
      <c r="L44" s="189">
        <f>SUM(L34:L40)*$E$44 + (L41*$D$44)</f>
        <v>50813588.375905521</v>
      </c>
      <c r="M44" s="201">
        <f>L44/L42</f>
        <v>0.38659095577132879</v>
      </c>
      <c r="N44" s="190">
        <f>N42*(L44/L42)</f>
        <v>6.1430621250480079E-2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250472239.26123664</v>
      </c>
      <c r="L45" s="189">
        <f>SUM(L34:L40)*$E$45 + (L41*$D$45)</f>
        <v>37217180.559625119</v>
      </c>
      <c r="M45" s="201">
        <f>L45/L42</f>
        <v>0.28314917059630301</v>
      </c>
      <c r="N45" s="190">
        <f>N42*(L45/L42)</f>
        <v>4.4993368822052182E-2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C000"/>
  </sheetPr>
  <dimension ref="A1:U47"/>
  <sheetViews>
    <sheetView zoomScale="90" zoomScaleNormal="90" workbookViewId="0">
      <selection activeCell="J19" sqref="J19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221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10886590.265896851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+ 10000000</f>
        <v>89050884</v>
      </c>
      <c r="C12" s="81">
        <f>1*B12 - 1</f>
        <v>89050883</v>
      </c>
      <c r="D12" s="82">
        <f>1*B12 + 1</f>
        <v>89050885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4793199.2</v>
      </c>
      <c r="H17" s="73">
        <f>E17*$H$14</f>
        <v>7189798.7999999998</v>
      </c>
      <c r="I17" s="173">
        <v>7189798.7999999998</v>
      </c>
      <c r="J17" s="64">
        <v>3312421.3159430088</v>
      </c>
      <c r="K17" s="58">
        <f>I17-E17</f>
        <v>1198299.7999999998</v>
      </c>
      <c r="L17" s="58">
        <f>J17-F17</f>
        <v>544713.72703105956</v>
      </c>
      <c r="M17" s="59">
        <f>K17/E17</f>
        <v>0.19999999999999996</v>
      </c>
      <c r="N17" s="59">
        <f>L17/F17</f>
        <v>0.1968104322918012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3938662.5298482887</v>
      </c>
      <c r="K18" s="60">
        <f t="shared" ref="K18:L24" si="2">I18-E18</f>
        <v>3122087</v>
      </c>
      <c r="L18" s="60">
        <f t="shared" si="2"/>
        <v>657095.53106812481</v>
      </c>
      <c r="M18" s="61">
        <f t="shared" ref="M18:N25" si="3">K18/E18</f>
        <v>0.2</v>
      </c>
      <c r="N18" s="61">
        <f t="shared" si="3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3043772.8000000003</v>
      </c>
      <c r="H19" s="74">
        <f t="shared" si="1"/>
        <v>4565659.2</v>
      </c>
      <c r="I19" s="174">
        <v>4565659.2</v>
      </c>
      <c r="J19" s="65">
        <v>228467.48134226177</v>
      </c>
      <c r="K19" s="60">
        <f t="shared" si="2"/>
        <v>760943.20000000019</v>
      </c>
      <c r="L19" s="60">
        <f t="shared" si="2"/>
        <v>38079.361526427179</v>
      </c>
      <c r="M19" s="61">
        <f t="shared" si="3"/>
        <v>0.20000000000000004</v>
      </c>
      <c r="N19" s="61">
        <f t="shared" si="3"/>
        <v>0.20000912642691121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3552000</v>
      </c>
      <c r="H20" s="74">
        <f t="shared" si="1"/>
        <v>5328000</v>
      </c>
      <c r="I20" s="174">
        <v>3552000</v>
      </c>
      <c r="J20" s="65">
        <v>27450.711351371949</v>
      </c>
      <c r="K20" s="60">
        <f t="shared" si="2"/>
        <v>-888000</v>
      </c>
      <c r="L20" s="60">
        <f t="shared" si="2"/>
        <v>-5033.9335403261939</v>
      </c>
      <c r="M20" s="61">
        <f t="shared" si="3"/>
        <v>-0.2</v>
      </c>
      <c r="N20" s="61">
        <f t="shared" si="3"/>
        <v>-0.15496347757868453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2356379.9860122493</v>
      </c>
      <c r="K21" s="60">
        <f t="shared" si="2"/>
        <v>4590800</v>
      </c>
      <c r="L21" s="60">
        <f t="shared" si="2"/>
        <v>338330.93402837287</v>
      </c>
      <c r="M21" s="61">
        <f t="shared" si="3"/>
        <v>0.2</v>
      </c>
      <c r="N21" s="61">
        <f t="shared" si="3"/>
        <v>0.16765248282531639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v>561397.01137718465</v>
      </c>
      <c r="K22" s="60">
        <f t="shared" si="2"/>
        <v>1563796.7999999989</v>
      </c>
      <c r="L22" s="60">
        <f t="shared" si="2"/>
        <v>83047.518250373425</v>
      </c>
      <c r="M22" s="61">
        <f t="shared" si="3"/>
        <v>0.19999999999999984</v>
      </c>
      <c r="N22" s="61">
        <f t="shared" si="3"/>
        <v>0.17361263980341962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2828756</v>
      </c>
      <c r="H23" s="74">
        <f t="shared" si="1"/>
        <v>4243134</v>
      </c>
      <c r="I23" s="174">
        <v>4243134</v>
      </c>
      <c r="J23" s="65">
        <v>125078.00864480999</v>
      </c>
      <c r="K23" s="60">
        <f t="shared" si="2"/>
        <v>707189</v>
      </c>
      <c r="L23" s="60">
        <f t="shared" si="2"/>
        <v>19854.148644809989</v>
      </c>
      <c r="M23" s="61">
        <f t="shared" si="3"/>
        <v>0.2</v>
      </c>
      <c r="N23" s="61">
        <f t="shared" si="3"/>
        <v>0.18868485384217981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11916244</v>
      </c>
      <c r="H24" s="74">
        <f t="shared" si="1"/>
        <v>17874366</v>
      </c>
      <c r="I24" s="174">
        <v>13840189.204671074</v>
      </c>
      <c r="J24" s="65">
        <v>336733.22137767449</v>
      </c>
      <c r="K24" s="60">
        <f t="shared" si="2"/>
        <v>-1055115.7953289263</v>
      </c>
      <c r="L24" s="60">
        <f t="shared" si="2"/>
        <v>-21207.508667578921</v>
      </c>
      <c r="M24" s="61">
        <f t="shared" si="3"/>
        <v>-7.083546092738123E-2</v>
      </c>
      <c r="N24" s="61">
        <f t="shared" si="3"/>
        <v>-5.9248660148001925E-2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63240707.200000003</v>
      </c>
      <c r="H25" s="76">
        <f t="shared" si="4"/>
        <v>94861060.799999997</v>
      </c>
      <c r="I25" s="83">
        <f t="shared" si="4"/>
        <v>89050884.004671067</v>
      </c>
      <c r="J25" s="175">
        <f t="shared" si="4"/>
        <v>10886590.265896851</v>
      </c>
      <c r="K25" s="76">
        <f>SUM(K17:K24)</f>
        <v>10000000.004671073</v>
      </c>
      <c r="L25" s="175">
        <f>SUM(L17:L24)</f>
        <v>1654879.7783412626</v>
      </c>
      <c r="M25" s="79">
        <f>K25/E25</f>
        <v>0.12650079921523802</v>
      </c>
      <c r="N25" s="79">
        <f t="shared" si="3"/>
        <v>0.17926036356664921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7189798.7999999998</v>
      </c>
      <c r="I34" s="168">
        <f>J17/$J$31</f>
        <v>239856.72092273776</v>
      </c>
      <c r="J34" s="179">
        <f>I34*$L$31</f>
        <v>307256459.50202709</v>
      </c>
      <c r="K34" s="166">
        <f>H34-D34</f>
        <v>1198299.7999999998</v>
      </c>
      <c r="L34" s="166">
        <f>J34-G34</f>
        <v>50527030.001939714</v>
      </c>
      <c r="M34" s="182">
        <f>K34/D34</f>
        <v>0.19999999999999996</v>
      </c>
      <c r="N34" s="183">
        <f>L34/G34</f>
        <v>0.19681043229180126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18732522</v>
      </c>
      <c r="I35" s="169">
        <f>J18/$P$31</f>
        <v>277175.40674512938</v>
      </c>
      <c r="J35" s="180">
        <f>I35*$R$31</f>
        <v>333164838.90764552</v>
      </c>
      <c r="K35" s="167">
        <f t="shared" ref="K35:K42" si="7">H35-D35</f>
        <v>3122087</v>
      </c>
      <c r="L35" s="167">
        <f t="shared" ref="L35:L42" si="8">J35-G35</f>
        <v>55582605.794784367</v>
      </c>
      <c r="M35" s="184">
        <f t="shared" ref="M35:M42" si="9">K35/D35</f>
        <v>0.2</v>
      </c>
      <c r="N35" s="185">
        <f t="shared" ref="N35:N42" si="10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4565659.2</v>
      </c>
      <c r="I36" s="169">
        <f t="shared" ref="I36:I40" si="12">J19/$D$31</f>
        <v>15669.923274503552</v>
      </c>
      <c r="J36" s="180">
        <f t="shared" ref="J36:J40" si="13">I36*$F$31</f>
        <v>20668628.799070183</v>
      </c>
      <c r="K36" s="167">
        <f t="shared" si="7"/>
        <v>760943.20000000019</v>
      </c>
      <c r="L36" s="167">
        <f t="shared" si="8"/>
        <v>3444902.4590780139</v>
      </c>
      <c r="M36" s="184">
        <f t="shared" si="9"/>
        <v>0.20000000000000004</v>
      </c>
      <c r="N36" s="185">
        <f t="shared" si="10"/>
        <v>0.20000912642691118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3552000</v>
      </c>
      <c r="I37" s="169">
        <f t="shared" si="12"/>
        <v>1882.7648389143997</v>
      </c>
      <c r="J37" s="180">
        <f t="shared" si="13"/>
        <v>2483366.8225280931</v>
      </c>
      <c r="K37" s="167">
        <f t="shared" si="7"/>
        <v>-888000</v>
      </c>
      <c r="L37" s="167">
        <f t="shared" si="8"/>
        <v>-455401.80656311754</v>
      </c>
      <c r="M37" s="184">
        <f t="shared" si="9"/>
        <v>-0.2</v>
      </c>
      <c r="N37" s="185">
        <f t="shared" si="10"/>
        <v>-0.15496347757868462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27544800</v>
      </c>
      <c r="I38" s="169">
        <f t="shared" si="12"/>
        <v>161617.28299123794</v>
      </c>
      <c r="J38" s="180">
        <f t="shared" si="13"/>
        <v>213173196.26544285</v>
      </c>
      <c r="K38" s="167">
        <f t="shared" si="7"/>
        <v>4590800</v>
      </c>
      <c r="L38" s="167">
        <f t="shared" si="8"/>
        <v>30607579.011208773</v>
      </c>
      <c r="M38" s="184">
        <f t="shared" si="9"/>
        <v>0.2</v>
      </c>
      <c r="N38" s="185">
        <f t="shared" si="10"/>
        <v>0.16765248282531645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9382780.7999999989</v>
      </c>
      <c r="I39" s="169">
        <f t="shared" si="12"/>
        <v>38504.59611640498</v>
      </c>
      <c r="J39" s="180">
        <f t="shared" si="13"/>
        <v>50787562.277538165</v>
      </c>
      <c r="K39" s="167">
        <f t="shared" si="7"/>
        <v>1563796.7999999989</v>
      </c>
      <c r="L39" s="167">
        <f t="shared" si="8"/>
        <v>7513009.3670948222</v>
      </c>
      <c r="M39" s="184">
        <f t="shared" si="9"/>
        <v>0.19999999999999984</v>
      </c>
      <c r="N39" s="185">
        <f t="shared" si="10"/>
        <v>0.17361263980341957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4243134</v>
      </c>
      <c r="I40" s="169">
        <f t="shared" si="12"/>
        <v>8578.7385901790112</v>
      </c>
      <c r="J40" s="180">
        <f t="shared" si="13"/>
        <v>11315356.200446116</v>
      </c>
      <c r="K40" s="167">
        <f t="shared" si="7"/>
        <v>707189</v>
      </c>
      <c r="L40" s="167">
        <f t="shared" si="8"/>
        <v>1796133.2004461158</v>
      </c>
      <c r="M40" s="184">
        <f t="shared" si="9"/>
        <v>0.2</v>
      </c>
      <c r="N40" s="185">
        <f t="shared" si="10"/>
        <v>0.18868485384217976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13840189.204671074</v>
      </c>
      <c r="I41" s="169">
        <f>J24</f>
        <v>336733.22137767449</v>
      </c>
      <c r="J41" s="180">
        <f>I41*$I$31</f>
        <v>35124642.321905226</v>
      </c>
      <c r="K41" s="167">
        <f t="shared" si="7"/>
        <v>-1055115.7953289263</v>
      </c>
      <c r="L41" s="167">
        <f t="shared" si="8"/>
        <v>-2212155.2291151583</v>
      </c>
      <c r="M41" s="184">
        <f t="shared" si="9"/>
        <v>-7.083546092738123E-2</v>
      </c>
      <c r="N41" s="185">
        <f t="shared" si="10"/>
        <v>-5.9248660148001953E-2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89050884.004671067</v>
      </c>
      <c r="I42" s="77"/>
      <c r="J42" s="181">
        <f>SUM(J34:J41)</f>
        <v>973974051.09660339</v>
      </c>
      <c r="K42" s="76">
        <f t="shared" si="7"/>
        <v>10000000.004671067</v>
      </c>
      <c r="L42" s="200">
        <f t="shared" si="8"/>
        <v>146803702.79887366</v>
      </c>
      <c r="M42" s="79">
        <f t="shared" si="9"/>
        <v>0.12650079921523796</v>
      </c>
      <c r="N42" s="186">
        <f t="shared" si="10"/>
        <v>0.17747698899143019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338176105.83722621</v>
      </c>
      <c r="L43" s="189">
        <f>SUM(L34:L40)*$E$43 + (L41*$D$43)</f>
        <v>49470827.905793965</v>
      </c>
      <c r="M43" s="201">
        <f>L43/L42</f>
        <v>0.33698624055532694</v>
      </c>
      <c r="N43" s="190">
        <f>N42*(L43/L42)</f>
        <v>5.9807303305301207E-2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382308604.89020872</v>
      </c>
      <c r="L44" s="189">
        <f>SUM(L34:L40)*$E$44 + (L41*$D$44)</f>
        <v>57098593.225522608</v>
      </c>
      <c r="M44" s="201">
        <f>L44/L42</f>
        <v>0.38894518419436414</v>
      </c>
      <c r="N44" s="190">
        <f>N42*(L44/L42)</f>
        <v>6.9028820173532957E-2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253489340.36916852</v>
      </c>
      <c r="L45" s="189">
        <f>SUM(L34:L40)*$E$45 + (L41*$D$45)</f>
        <v>40234281.667556942</v>
      </c>
      <c r="M45" s="201">
        <f>L45/L42</f>
        <v>0.27406857525030787</v>
      </c>
      <c r="N45" s="190">
        <f>N42*(L45/L42)</f>
        <v>4.8640865512595846E-2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rgb="FFFFC000"/>
  </sheetPr>
  <dimension ref="A1:U47"/>
  <sheetViews>
    <sheetView zoomScale="90" zoomScaleNormal="90" workbookViewId="0">
      <selection activeCell="J20" sqref="J20"/>
    </sheetView>
  </sheetViews>
  <sheetFormatPr defaultRowHeight="13.8" x14ac:dyDescent="0.3"/>
  <cols>
    <col min="1" max="1" width="14.109375" style="162" customWidth="1"/>
    <col min="2" max="2" width="14.21875" style="162" customWidth="1"/>
    <col min="3" max="3" width="13.88671875" style="162" customWidth="1"/>
    <col min="4" max="4" width="12.44140625" style="162" customWidth="1"/>
    <col min="5" max="5" width="13.88671875" style="162" customWidth="1"/>
    <col min="6" max="6" width="12.44140625" style="162" customWidth="1"/>
    <col min="7" max="7" width="13.77734375" style="162" customWidth="1"/>
    <col min="8" max="8" width="14" style="162" customWidth="1"/>
    <col min="9" max="9" width="14.6640625" style="162" customWidth="1"/>
    <col min="10" max="10" width="14.77734375" style="162" customWidth="1"/>
    <col min="11" max="11" width="13.88671875" style="162" customWidth="1"/>
    <col min="12" max="12" width="13.5546875" style="162" customWidth="1"/>
    <col min="13" max="13" width="11.21875" style="162" customWidth="1"/>
    <col min="14" max="14" width="10.5546875" style="162" customWidth="1"/>
    <col min="15" max="16384" width="8.88671875" style="162"/>
  </cols>
  <sheetData>
    <row r="1" spans="1:14" x14ac:dyDescent="0.3">
      <c r="A1" s="48" t="s">
        <v>0</v>
      </c>
      <c r="B1" s="162" t="s">
        <v>166</v>
      </c>
    </row>
    <row r="2" spans="1:14" x14ac:dyDescent="0.3">
      <c r="A2" s="48" t="s">
        <v>76</v>
      </c>
      <c r="B2" s="162" t="s">
        <v>104</v>
      </c>
    </row>
    <row r="3" spans="1:14" x14ac:dyDescent="0.3">
      <c r="A3" s="48" t="s">
        <v>77</v>
      </c>
      <c r="B3" s="162" t="s">
        <v>165</v>
      </c>
    </row>
    <row r="4" spans="1:14" ht="23.4" customHeight="1" x14ac:dyDescent="0.3">
      <c r="A4" s="49" t="s">
        <v>78</v>
      </c>
      <c r="B4" s="219" t="s">
        <v>221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62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62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10970145.995542536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205" t="s">
        <v>100</v>
      </c>
      <c r="D11" s="206" t="s">
        <v>101</v>
      </c>
      <c r="E11" s="162" t="s">
        <v>97</v>
      </c>
    </row>
    <row r="12" spans="1:14" ht="14.4" thickBot="1" x14ac:dyDescent="0.35">
      <c r="A12" s="228"/>
      <c r="B12" s="158">
        <f>79050884 + 15000000</f>
        <v>94050884</v>
      </c>
      <c r="C12" s="81">
        <f>1*B12 - 1</f>
        <v>94050883</v>
      </c>
      <c r="D12" s="82">
        <f>1*B12 + 1</f>
        <v>94050885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160" t="s">
        <v>98</v>
      </c>
      <c r="J14" s="160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204" t="s">
        <v>203</v>
      </c>
      <c r="F16" s="204" t="s">
        <v>204</v>
      </c>
      <c r="G16" s="204" t="s">
        <v>87</v>
      </c>
      <c r="H16" s="204" t="s">
        <v>88</v>
      </c>
      <c r="I16" s="62" t="s">
        <v>201</v>
      </c>
      <c r="J16" s="62" t="s">
        <v>202</v>
      </c>
      <c r="K16" s="204" t="s">
        <v>177</v>
      </c>
      <c r="L16" s="204" t="s">
        <v>178</v>
      </c>
      <c r="M16" s="204" t="s">
        <v>91</v>
      </c>
      <c r="N16" s="204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v>2767707.5889119492</v>
      </c>
      <c r="G17" s="73">
        <f>E17*$G$14</f>
        <v>4793199.2</v>
      </c>
      <c r="H17" s="73">
        <f>E17*$H$14</f>
        <v>7189798.7999999998</v>
      </c>
      <c r="I17" s="173">
        <v>7189798.7999999989</v>
      </c>
      <c r="J17" s="64">
        <v>3312421.3159430083</v>
      </c>
      <c r="K17" s="58">
        <f>I17-E17</f>
        <v>1198299.7999999989</v>
      </c>
      <c r="L17" s="58">
        <f>J17-F17</f>
        <v>544713.7270310591</v>
      </c>
      <c r="M17" s="59">
        <f>K17/E17</f>
        <v>0.19999999999999982</v>
      </c>
      <c r="N17" s="59">
        <f>L17/F17</f>
        <v>0.19681043229180104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v>3281566.9987801639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v>3938662.5298482887</v>
      </c>
      <c r="K18" s="60">
        <f t="shared" ref="K18:L24" si="2">I18-E18</f>
        <v>3122087</v>
      </c>
      <c r="L18" s="60">
        <f t="shared" si="2"/>
        <v>657095.53106812481</v>
      </c>
      <c r="M18" s="61">
        <f t="shared" ref="M18:N25" si="3">K18/E18</f>
        <v>0.2</v>
      </c>
      <c r="N18" s="61">
        <f t="shared" si="3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v>190388.11981583459</v>
      </c>
      <c r="G19" s="74">
        <f t="shared" si="0"/>
        <v>3043772.8000000003</v>
      </c>
      <c r="H19" s="74">
        <f t="shared" si="1"/>
        <v>4565659.2</v>
      </c>
      <c r="I19" s="174">
        <v>4565659.2</v>
      </c>
      <c r="J19" s="65">
        <v>228467.48134226177</v>
      </c>
      <c r="K19" s="60">
        <f t="shared" si="2"/>
        <v>760943.20000000019</v>
      </c>
      <c r="L19" s="60">
        <f t="shared" si="2"/>
        <v>38079.361526427179</v>
      </c>
      <c r="M19" s="61">
        <f t="shared" si="3"/>
        <v>0.20000000000000004</v>
      </c>
      <c r="N19" s="61">
        <f t="shared" si="3"/>
        <v>0.20000912642691121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v>32484.644891698143</v>
      </c>
      <c r="G20" s="74">
        <f t="shared" si="0"/>
        <v>3552000</v>
      </c>
      <c r="H20" s="74">
        <f t="shared" si="1"/>
        <v>5328000</v>
      </c>
      <c r="I20" s="174">
        <v>4517823.1942819115</v>
      </c>
      <c r="J20" s="65">
        <v>32906.655702383112</v>
      </c>
      <c r="K20" s="60">
        <f t="shared" si="2"/>
        <v>77823.194281911477</v>
      </c>
      <c r="L20" s="60">
        <f t="shared" si="2"/>
        <v>422.01081068496933</v>
      </c>
      <c r="M20" s="61">
        <f t="shared" si="3"/>
        <v>1.7527746459889974E-2</v>
      </c>
      <c r="N20" s="61">
        <f t="shared" si="3"/>
        <v>1.2991085852775305E-2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v>2018049.0519838764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v>2356379.9860122493</v>
      </c>
      <c r="K21" s="60">
        <f t="shared" si="2"/>
        <v>4590800</v>
      </c>
      <c r="L21" s="60">
        <f t="shared" si="2"/>
        <v>338330.93402837287</v>
      </c>
      <c r="M21" s="61">
        <f t="shared" si="3"/>
        <v>0.2</v>
      </c>
      <c r="N21" s="61">
        <f t="shared" si="3"/>
        <v>0.16765248282531639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v>478349.49312681123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v>561397.01137718465</v>
      </c>
      <c r="K22" s="60">
        <f t="shared" si="2"/>
        <v>1563796.7999999989</v>
      </c>
      <c r="L22" s="60">
        <f t="shared" si="2"/>
        <v>83047.518250373425</v>
      </c>
      <c r="M22" s="61">
        <f t="shared" si="3"/>
        <v>0.19999999999999984</v>
      </c>
      <c r="N22" s="61">
        <f t="shared" si="3"/>
        <v>0.17361263980341962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v>105223.86</v>
      </c>
      <c r="G23" s="74">
        <f t="shared" si="0"/>
        <v>2828756</v>
      </c>
      <c r="H23" s="74">
        <f t="shared" si="1"/>
        <v>4243134</v>
      </c>
      <c r="I23" s="174">
        <v>4243134</v>
      </c>
      <c r="J23" s="65">
        <v>125078.00864480999</v>
      </c>
      <c r="K23" s="60">
        <f t="shared" si="2"/>
        <v>707189</v>
      </c>
      <c r="L23" s="60">
        <f t="shared" si="2"/>
        <v>19854.148644809989</v>
      </c>
      <c r="M23" s="61">
        <f t="shared" si="3"/>
        <v>0.2</v>
      </c>
      <c r="N23" s="61">
        <f t="shared" si="3"/>
        <v>0.18868485384217981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v>357940.73004525341</v>
      </c>
      <c r="G24" s="74">
        <f t="shared" si="0"/>
        <v>11916244</v>
      </c>
      <c r="H24" s="74">
        <f t="shared" si="1"/>
        <v>17874366</v>
      </c>
      <c r="I24" s="174">
        <v>17874366</v>
      </c>
      <c r="J24" s="65">
        <v>414833.00667234883</v>
      </c>
      <c r="K24" s="60">
        <f t="shared" si="2"/>
        <v>2979061</v>
      </c>
      <c r="L24" s="60">
        <f t="shared" si="2"/>
        <v>56892.276627095416</v>
      </c>
      <c r="M24" s="61">
        <f t="shared" si="3"/>
        <v>0.2</v>
      </c>
      <c r="N24" s="61">
        <f t="shared" si="3"/>
        <v>0.15894328823630294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4">SUM(E17:E24)</f>
        <v>79050884</v>
      </c>
      <c r="F25" s="77">
        <f t="shared" si="4"/>
        <v>9231710.4875555858</v>
      </c>
      <c r="G25" s="76">
        <f t="shared" si="4"/>
        <v>63240707.200000003</v>
      </c>
      <c r="H25" s="76">
        <f t="shared" si="4"/>
        <v>94861060.799999997</v>
      </c>
      <c r="I25" s="83">
        <f t="shared" si="4"/>
        <v>94050883.994281903</v>
      </c>
      <c r="J25" s="175">
        <f t="shared" si="4"/>
        <v>10970145.995542536</v>
      </c>
      <c r="K25" s="76">
        <f>SUM(K17:K24)</f>
        <v>14999999.994281908</v>
      </c>
      <c r="L25" s="175">
        <f>SUM(L17:L24)</f>
        <v>1738435.5079869477</v>
      </c>
      <c r="M25" s="79">
        <f>K25/E25</f>
        <v>0.18975119866188858</v>
      </c>
      <c r="N25" s="79">
        <f t="shared" si="3"/>
        <v>0.18831131135777834</v>
      </c>
    </row>
    <row r="29" spans="1:2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D42" si="5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5"/>
        <v>0</v>
      </c>
      <c r="D33" s="204" t="s">
        <v>182</v>
      </c>
      <c r="E33" s="204" t="s">
        <v>181</v>
      </c>
      <c r="F33" s="204" t="s">
        <v>183</v>
      </c>
      <c r="G33" s="204" t="s">
        <v>199</v>
      </c>
      <c r="H33" s="62" t="s">
        <v>187</v>
      </c>
      <c r="I33" s="62" t="s">
        <v>188</v>
      </c>
      <c r="J33" s="62" t="s">
        <v>200</v>
      </c>
      <c r="K33" s="204" t="s">
        <v>190</v>
      </c>
      <c r="L33" s="204" t="s">
        <v>191</v>
      </c>
      <c r="M33" s="204" t="s">
        <v>192</v>
      </c>
      <c r="N33" s="204" t="s">
        <v>193</v>
      </c>
    </row>
    <row r="34" spans="1:14" x14ac:dyDescent="0.3">
      <c r="A34" s="54" t="s">
        <v>13</v>
      </c>
      <c r="B34" s="54" t="s">
        <v>93</v>
      </c>
      <c r="C34" s="153">
        <f t="shared" si="5"/>
        <v>1</v>
      </c>
      <c r="D34" s="166">
        <f t="shared" si="5"/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6">I17</f>
        <v>7189798.7999999989</v>
      </c>
      <c r="I34" s="168">
        <f>J17/$J$31</f>
        <v>239856.72092273773</v>
      </c>
      <c r="J34" s="179">
        <f>I34*$L$31</f>
        <v>307256459.50202703</v>
      </c>
      <c r="K34" s="166">
        <f>H34-D34</f>
        <v>1198299.7999999989</v>
      </c>
      <c r="L34" s="166">
        <f>J34-G34</f>
        <v>50527030.001939654</v>
      </c>
      <c r="M34" s="182">
        <f>K34/D34</f>
        <v>0.19999999999999982</v>
      </c>
      <c r="N34" s="183">
        <f>L34/G34</f>
        <v>0.19681043229180104</v>
      </c>
    </row>
    <row r="35" spans="1:14" x14ac:dyDescent="0.3">
      <c r="A35" s="55" t="s">
        <v>170</v>
      </c>
      <c r="B35" s="55" t="s">
        <v>93</v>
      </c>
      <c r="C35" s="154">
        <f t="shared" si="5"/>
        <v>1</v>
      </c>
      <c r="D35" s="167">
        <f t="shared" si="5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6"/>
        <v>18732522</v>
      </c>
      <c r="I35" s="169">
        <f>J18/$P$31</f>
        <v>277175.40674512938</v>
      </c>
      <c r="J35" s="180">
        <f>I35*$R$31</f>
        <v>333164838.90764552</v>
      </c>
      <c r="K35" s="167">
        <f t="shared" ref="K35:K42" si="7">H35-D35</f>
        <v>3122087</v>
      </c>
      <c r="L35" s="167">
        <f t="shared" ref="L35:L42" si="8">J35-G35</f>
        <v>55582605.794784367</v>
      </c>
      <c r="M35" s="184">
        <f t="shared" ref="M35:M42" si="9">K35/D35</f>
        <v>0.2</v>
      </c>
      <c r="N35" s="185">
        <f t="shared" ref="N35:N42" si="10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5"/>
        <v>1</v>
      </c>
      <c r="D36" s="167">
        <f t="shared" si="5"/>
        <v>3804716</v>
      </c>
      <c r="E36" s="165" t="s">
        <v>176</v>
      </c>
      <c r="F36" s="169">
        <f>F19/$D$31</f>
        <v>13058.170083390576</v>
      </c>
      <c r="G36" s="171">
        <f t="shared" ref="G36:G40" si="11">F36*$F$31</f>
        <v>17223726.339992169</v>
      </c>
      <c r="H36" s="177">
        <f t="shared" si="6"/>
        <v>4565659.2</v>
      </c>
      <c r="I36" s="169">
        <f t="shared" ref="I36:I40" si="12">J19/$D$31</f>
        <v>15669.923274503552</v>
      </c>
      <c r="J36" s="180">
        <f t="shared" ref="J36:J40" si="13">I36*$F$31</f>
        <v>20668628.799070183</v>
      </c>
      <c r="K36" s="167">
        <f t="shared" si="7"/>
        <v>760943.20000000019</v>
      </c>
      <c r="L36" s="167">
        <f t="shared" si="8"/>
        <v>3444902.4590780139</v>
      </c>
      <c r="M36" s="184">
        <f t="shared" si="9"/>
        <v>0.20000000000000004</v>
      </c>
      <c r="N36" s="185">
        <f t="shared" si="10"/>
        <v>0.20000912642691118</v>
      </c>
    </row>
    <row r="37" spans="1:14" x14ac:dyDescent="0.3">
      <c r="A37" s="55" t="s">
        <v>104</v>
      </c>
      <c r="B37" s="55" t="s">
        <v>94</v>
      </c>
      <c r="C37" s="154">
        <f t="shared" si="5"/>
        <v>1</v>
      </c>
      <c r="D37" s="167">
        <f t="shared" si="5"/>
        <v>4440000</v>
      </c>
      <c r="E37" s="165" t="s">
        <v>176</v>
      </c>
      <c r="F37" s="169">
        <f t="shared" ref="F37:F40" si="14">F20/$D$31</f>
        <v>2228.0277703496668</v>
      </c>
      <c r="G37" s="171">
        <f>F37*$F$31</f>
        <v>2938768.6290912107</v>
      </c>
      <c r="H37" s="177">
        <f t="shared" si="6"/>
        <v>4517823.1942819115</v>
      </c>
      <c r="I37" s="169">
        <f t="shared" si="12"/>
        <v>2256.9722703966468</v>
      </c>
      <c r="J37" s="180">
        <f t="shared" si="13"/>
        <v>2976946.4246531771</v>
      </c>
      <c r="K37" s="167">
        <f t="shared" si="7"/>
        <v>77823.194281911477</v>
      </c>
      <c r="L37" s="167">
        <f t="shared" si="8"/>
        <v>38177.795561966486</v>
      </c>
      <c r="M37" s="184">
        <f t="shared" si="9"/>
        <v>1.7527746459889974E-2</v>
      </c>
      <c r="N37" s="185">
        <f t="shared" si="10"/>
        <v>1.299108585277523E-2</v>
      </c>
    </row>
    <row r="38" spans="1:14" x14ac:dyDescent="0.3">
      <c r="A38" s="55" t="s">
        <v>104</v>
      </c>
      <c r="B38" s="55" t="s">
        <v>108</v>
      </c>
      <c r="C38" s="154">
        <f t="shared" si="5"/>
        <v>1</v>
      </c>
      <c r="D38" s="167">
        <f t="shared" si="5"/>
        <v>22954000</v>
      </c>
      <c r="E38" s="165" t="s">
        <v>176</v>
      </c>
      <c r="F38" s="169">
        <f t="shared" si="14"/>
        <v>138412.14348311909</v>
      </c>
      <c r="G38" s="171">
        <f t="shared" si="11"/>
        <v>182565617.25423408</v>
      </c>
      <c r="H38" s="177">
        <f t="shared" si="6"/>
        <v>27544800</v>
      </c>
      <c r="I38" s="169">
        <f t="shared" si="12"/>
        <v>161617.28299123794</v>
      </c>
      <c r="J38" s="180">
        <f t="shared" si="13"/>
        <v>213173196.26544285</v>
      </c>
      <c r="K38" s="167">
        <f t="shared" si="7"/>
        <v>4590800</v>
      </c>
      <c r="L38" s="167">
        <f t="shared" si="8"/>
        <v>30607579.011208773</v>
      </c>
      <c r="M38" s="184">
        <f t="shared" si="9"/>
        <v>0.2</v>
      </c>
      <c r="N38" s="185">
        <f t="shared" si="10"/>
        <v>0.16765248282531645</v>
      </c>
    </row>
    <row r="39" spans="1:14" x14ac:dyDescent="0.3">
      <c r="A39" s="55" t="s">
        <v>104</v>
      </c>
      <c r="B39" s="55" t="s">
        <v>96</v>
      </c>
      <c r="C39" s="154">
        <f t="shared" si="5"/>
        <v>1</v>
      </c>
      <c r="D39" s="167">
        <f t="shared" si="5"/>
        <v>7818984</v>
      </c>
      <c r="E39" s="165" t="s">
        <v>176</v>
      </c>
      <c r="F39" s="169">
        <f t="shared" si="14"/>
        <v>32808.607210343704</v>
      </c>
      <c r="G39" s="171">
        <f t="shared" si="11"/>
        <v>43274552.910443343</v>
      </c>
      <c r="H39" s="177">
        <f t="shared" si="6"/>
        <v>9382780.7999999989</v>
      </c>
      <c r="I39" s="169">
        <f t="shared" si="12"/>
        <v>38504.59611640498</v>
      </c>
      <c r="J39" s="180">
        <f t="shared" si="13"/>
        <v>50787562.277538165</v>
      </c>
      <c r="K39" s="167">
        <f t="shared" si="7"/>
        <v>1563796.7999999989</v>
      </c>
      <c r="L39" s="167">
        <f t="shared" si="8"/>
        <v>7513009.3670948222</v>
      </c>
      <c r="M39" s="184">
        <f t="shared" si="9"/>
        <v>0.19999999999999984</v>
      </c>
      <c r="N39" s="185">
        <f t="shared" si="10"/>
        <v>0.17361263980341957</v>
      </c>
    </row>
    <row r="40" spans="1:14" x14ac:dyDescent="0.3">
      <c r="A40" s="55" t="s">
        <v>104</v>
      </c>
      <c r="B40" s="55" t="s">
        <v>174</v>
      </c>
      <c r="C40" s="154">
        <f t="shared" si="5"/>
        <v>1</v>
      </c>
      <c r="D40" s="167">
        <f t="shared" si="5"/>
        <v>3535945</v>
      </c>
      <c r="E40" s="165" t="s">
        <v>176</v>
      </c>
      <c r="F40" s="169">
        <f t="shared" si="14"/>
        <v>7217</v>
      </c>
      <c r="G40" s="171">
        <f t="shared" si="11"/>
        <v>9519223</v>
      </c>
      <c r="H40" s="177">
        <f t="shared" si="6"/>
        <v>4243134</v>
      </c>
      <c r="I40" s="169">
        <f t="shared" si="12"/>
        <v>8578.7385901790112</v>
      </c>
      <c r="J40" s="180">
        <f t="shared" si="13"/>
        <v>11315356.200446116</v>
      </c>
      <c r="K40" s="167">
        <f t="shared" si="7"/>
        <v>707189</v>
      </c>
      <c r="L40" s="167">
        <f t="shared" si="8"/>
        <v>1796133.2004461158</v>
      </c>
      <c r="M40" s="184">
        <f t="shared" si="9"/>
        <v>0.2</v>
      </c>
      <c r="N40" s="185">
        <f t="shared" si="10"/>
        <v>0.18868485384217976</v>
      </c>
    </row>
    <row r="41" spans="1:14" x14ac:dyDescent="0.3">
      <c r="A41" s="55" t="s">
        <v>104</v>
      </c>
      <c r="B41" s="55" t="s">
        <v>171</v>
      </c>
      <c r="C41" s="154">
        <f t="shared" si="5"/>
        <v>1</v>
      </c>
      <c r="D41" s="167">
        <f t="shared" si="5"/>
        <v>14895305</v>
      </c>
      <c r="E41" s="187" t="s">
        <v>175</v>
      </c>
      <c r="F41" s="169">
        <f t="shared" ref="F41" si="15">F24</f>
        <v>357940.73004525341</v>
      </c>
      <c r="G41" s="171">
        <f>F41*$I$31</f>
        <v>37336797.551020384</v>
      </c>
      <c r="H41" s="177">
        <f t="shared" si="6"/>
        <v>17874366</v>
      </c>
      <c r="I41" s="169">
        <f>J24</f>
        <v>414833.00667234883</v>
      </c>
      <c r="J41" s="180">
        <f>I41*$I$31</f>
        <v>43271230.925992705</v>
      </c>
      <c r="K41" s="167">
        <f t="shared" si="7"/>
        <v>2979061</v>
      </c>
      <c r="L41" s="167">
        <f t="shared" si="8"/>
        <v>5934433.3749723211</v>
      </c>
      <c r="M41" s="184">
        <f t="shared" si="9"/>
        <v>0.2</v>
      </c>
      <c r="N41" s="185">
        <f t="shared" si="10"/>
        <v>0.15894328823630291</v>
      </c>
    </row>
    <row r="42" spans="1:14" x14ac:dyDescent="0.3">
      <c r="A42" s="75" t="s">
        <v>104</v>
      </c>
      <c r="B42" s="75" t="s">
        <v>103</v>
      </c>
      <c r="C42" s="75">
        <f t="shared" si="5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94050883.994281903</v>
      </c>
      <c r="I42" s="77"/>
      <c r="J42" s="181">
        <f>SUM(J34:J41)</f>
        <v>982614219.30281579</v>
      </c>
      <c r="K42" s="76">
        <f t="shared" si="7"/>
        <v>14999999.994281903</v>
      </c>
      <c r="L42" s="200">
        <f t="shared" si="8"/>
        <v>155443871.00508606</v>
      </c>
      <c r="M42" s="79">
        <f t="shared" si="9"/>
        <v>0.1897511986618885</v>
      </c>
      <c r="N42" s="186">
        <f t="shared" si="10"/>
        <v>0.18792244103645742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I43" s="157"/>
      <c r="J43" s="189">
        <f>SUM(J34:J40)*$E$43 + (J41*$D$43)</f>
        <v>342743080.74815589</v>
      </c>
      <c r="L43" s="189">
        <f>SUM(L34:L40)*$E$43 + (L41*$D$43)</f>
        <v>54037802.816723727</v>
      </c>
      <c r="M43" s="201">
        <f>L43/L42</f>
        <v>0.34763546782076488</v>
      </c>
      <c r="N43" s="190">
        <f>N42*(L43/L42)</f>
        <v>6.5328505703728973E-2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I44" s="157"/>
      <c r="J44" s="189">
        <f>SUM(J34:J40)*$E$44 + (J41*$D$44)</f>
        <v>386248531.69291764</v>
      </c>
      <c r="L44" s="189">
        <f>SUM(L34:L40)*$E$44 + (L41*$D$44)</f>
        <v>61038520.028231621</v>
      </c>
      <c r="M44" s="201">
        <f>L44/L42</f>
        <v>0.39267241373726769</v>
      </c>
      <c r="N44" s="190">
        <f>N42*(L44/L42)</f>
        <v>7.3791958517185105E-2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I45" s="157"/>
      <c r="J45" s="189">
        <f>SUM(J34:J40)*$E$45 + (J41*$D$45)</f>
        <v>253622606.86174226</v>
      </c>
      <c r="L45" s="189">
        <f>SUM(L34:L40)*$E$45 + (L41*$D$45)</f>
        <v>40367548.160130709</v>
      </c>
      <c r="M45" s="201">
        <f>L45/L42</f>
        <v>0.25969211844196738</v>
      </c>
      <c r="N45" s="190">
        <f>N42*(L45/L42)</f>
        <v>4.8801976815543331E-2</v>
      </c>
    </row>
    <row r="46" spans="1:14" x14ac:dyDescent="0.3">
      <c r="D46" s="162" t="s">
        <v>175</v>
      </c>
      <c r="E46" s="162" t="s">
        <v>209</v>
      </c>
    </row>
    <row r="47" spans="1:14" ht="27.6" x14ac:dyDescent="0.3">
      <c r="D47" s="160" t="s">
        <v>210</v>
      </c>
    </row>
  </sheetData>
  <mergeCells count="22">
    <mergeCell ref="A32:A33"/>
    <mergeCell ref="B32:B33"/>
    <mergeCell ref="C32:C33"/>
    <mergeCell ref="D32:G32"/>
    <mergeCell ref="H32:J32"/>
    <mergeCell ref="K32:N32"/>
    <mergeCell ref="I15:J15"/>
    <mergeCell ref="K15:N15"/>
    <mergeCell ref="D29:I29"/>
    <mergeCell ref="J29:O29"/>
    <mergeCell ref="P29:U29"/>
    <mergeCell ref="A30:A31"/>
    <mergeCell ref="B4:I4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</mergeCells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5" tint="-0.249977111117893"/>
  </sheetPr>
  <dimension ref="A1:U47"/>
  <sheetViews>
    <sheetView tabSelected="1" topLeftCell="B1" zoomScaleNormal="100" workbookViewId="0">
      <selection activeCell="B12" sqref="B12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3.4" customHeight="1" x14ac:dyDescent="0.3">
      <c r="A4" s="49" t="s">
        <v>78</v>
      </c>
      <c r="B4" s="219" t="s">
        <v>221</v>
      </c>
      <c r="C4" s="220"/>
      <c r="D4" s="220"/>
      <c r="E4" s="220"/>
      <c r="F4" s="220"/>
      <c r="G4" s="220"/>
      <c r="H4" s="220"/>
      <c r="I4" s="220"/>
    </row>
    <row r="5" spans="1:14" x14ac:dyDescent="0.3">
      <c r="A5" s="48" t="s">
        <v>79</v>
      </c>
      <c r="B5" s="1" t="s">
        <v>167</v>
      </c>
      <c r="E5" s="221" t="s">
        <v>50</v>
      </c>
      <c r="F5" s="222"/>
      <c r="G5" s="222"/>
      <c r="H5" s="222"/>
      <c r="I5" s="223"/>
    </row>
    <row r="6" spans="1:14" x14ac:dyDescent="0.3">
      <c r="A6" s="48" t="s">
        <v>80</v>
      </c>
      <c r="B6" s="1" t="s">
        <v>168</v>
      </c>
      <c r="E6" s="224" t="s">
        <v>51</v>
      </c>
      <c r="F6" s="225"/>
      <c r="G6" s="225"/>
      <c r="H6" s="225"/>
      <c r="I6" s="226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10970145.995542536</v>
      </c>
    </row>
    <row r="10" spans="1:14" ht="14.4" thickBot="1" x14ac:dyDescent="0.35">
      <c r="A10" s="50"/>
    </row>
    <row r="11" spans="1:14" ht="27.6" x14ac:dyDescent="0.3">
      <c r="A11" s="227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228"/>
      <c r="B12" s="80">
        <f>79050884 + 15000000</f>
        <v>94050884</v>
      </c>
      <c r="C12" s="81">
        <f>1*B12 - 1</f>
        <v>94050883</v>
      </c>
      <c r="D12" s="82">
        <f>1*B12 + 1</f>
        <v>94050885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60" t="s">
        <v>98</v>
      </c>
      <c r="E14" s="160" t="s">
        <v>98</v>
      </c>
      <c r="F14" s="160" t="s">
        <v>99</v>
      </c>
      <c r="G14" s="163">
        <v>0.8</v>
      </c>
      <c r="H14" s="163">
        <v>1.2</v>
      </c>
      <c r="I14" s="63" t="s">
        <v>98</v>
      </c>
      <c r="J14" s="63" t="s">
        <v>99</v>
      </c>
    </row>
    <row r="15" spans="1:14" ht="27.6" customHeight="1" x14ac:dyDescent="0.3">
      <c r="A15" s="229" t="s">
        <v>2</v>
      </c>
      <c r="B15" s="213" t="s">
        <v>3</v>
      </c>
      <c r="C15" s="213" t="s">
        <v>38</v>
      </c>
      <c r="D15" s="213" t="s">
        <v>169</v>
      </c>
      <c r="E15" s="207" t="s">
        <v>86</v>
      </c>
      <c r="F15" s="209"/>
      <c r="G15" s="230" t="s">
        <v>179</v>
      </c>
      <c r="H15" s="231"/>
      <c r="I15" s="230" t="s">
        <v>89</v>
      </c>
      <c r="J15" s="231"/>
      <c r="K15" s="207" t="s">
        <v>90</v>
      </c>
      <c r="L15" s="208"/>
      <c r="M15" s="208"/>
      <c r="N15" s="209"/>
    </row>
    <row r="16" spans="1:14" ht="27.6" x14ac:dyDescent="0.3">
      <c r="A16" s="212"/>
      <c r="B16" s="212"/>
      <c r="C16" s="212"/>
      <c r="D16" s="212"/>
      <c r="E16" s="105" t="s">
        <v>203</v>
      </c>
      <c r="F16" s="105" t="s">
        <v>204</v>
      </c>
      <c r="G16" s="105" t="s">
        <v>87</v>
      </c>
      <c r="H16" s="105" t="s">
        <v>88</v>
      </c>
      <c r="I16" s="62" t="s">
        <v>201</v>
      </c>
      <c r="J16" s="62" t="s">
        <v>202</v>
      </c>
      <c r="K16" s="105" t="s">
        <v>177</v>
      </c>
      <c r="L16" s="105" t="s">
        <v>178</v>
      </c>
      <c r="M16" s="105" t="s">
        <v>91</v>
      </c>
      <c r="N16" s="105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2767707.5889119492</v>
      </c>
      <c r="G17" s="73">
        <f>E17*$G$14</f>
        <v>4793199.2</v>
      </c>
      <c r="H17" s="73">
        <f>E17*$H$14</f>
        <v>7189798.7999999998</v>
      </c>
      <c r="I17" s="173">
        <v>7189798.7999999989</v>
      </c>
      <c r="J17" s="64">
        <f>JANSample!F9</f>
        <v>3312421.3159430083</v>
      </c>
      <c r="K17" s="58">
        <f>I17-E17</f>
        <v>1198299.7999999989</v>
      </c>
      <c r="L17" s="58">
        <f>J17-F17</f>
        <v>544713.7270310591</v>
      </c>
      <c r="M17" s="59">
        <f>K17/E17</f>
        <v>0.19999999999999982</v>
      </c>
      <c r="N17" s="59">
        <f>L17/F17</f>
        <v>0.19681043229180104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3281566.9987801639</v>
      </c>
      <c r="G18" s="74">
        <f t="shared" ref="G18:G24" si="0">E18*$G$14</f>
        <v>12488348</v>
      </c>
      <c r="H18" s="74">
        <f t="shared" ref="H18:H24" si="1">E18*$H$14</f>
        <v>18732522</v>
      </c>
      <c r="I18" s="174">
        <v>18732522</v>
      </c>
      <c r="J18" s="65">
        <f>JMTSample!F9</f>
        <v>3938662.5298482887</v>
      </c>
      <c r="K18" s="60">
        <f t="shared" ref="K18:L22" si="2">I18-E18</f>
        <v>3122087</v>
      </c>
      <c r="L18" s="60">
        <f t="shared" si="2"/>
        <v>657095.53106812481</v>
      </c>
      <c r="M18" s="61">
        <f t="shared" ref="M18:N25" si="3">K18/E18</f>
        <v>0.2</v>
      </c>
      <c r="N18" s="61">
        <f t="shared" si="3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190388.11981583459</v>
      </c>
      <c r="G19" s="74">
        <f t="shared" si="0"/>
        <v>3043772.8000000003</v>
      </c>
      <c r="H19" s="74">
        <f t="shared" si="1"/>
        <v>4565659.2</v>
      </c>
      <c r="I19" s="174">
        <v>4565659.2</v>
      </c>
      <c r="J19" s="65">
        <f>JJVCH!F9</f>
        <v>228467.48134226177</v>
      </c>
      <c r="K19" s="60">
        <f t="shared" si="2"/>
        <v>760943.20000000019</v>
      </c>
      <c r="L19" s="60">
        <f t="shared" si="2"/>
        <v>38079.361526427179</v>
      </c>
      <c r="M19" s="61">
        <f t="shared" si="3"/>
        <v>0.20000000000000004</v>
      </c>
      <c r="N19" s="61">
        <f t="shared" si="3"/>
        <v>0.20000912642691121</v>
      </c>
    </row>
    <row r="20" spans="1:21" x14ac:dyDescent="0.3">
      <c r="A20" s="55" t="s">
        <v>104</v>
      </c>
      <c r="B20" s="55" t="s">
        <v>94</v>
      </c>
      <c r="C20" s="55" t="s">
        <v>173</v>
      </c>
      <c r="D20" s="154">
        <v>1</v>
      </c>
      <c r="E20" s="74">
        <v>4440000</v>
      </c>
      <c r="F20" s="57">
        <f>JJMMF!I9</f>
        <v>32484.644891698143</v>
      </c>
      <c r="G20" s="74">
        <f t="shared" si="0"/>
        <v>3552000</v>
      </c>
      <c r="H20" s="74">
        <f t="shared" si="1"/>
        <v>5328000</v>
      </c>
      <c r="I20" s="174">
        <v>4517823.1942819115</v>
      </c>
      <c r="J20" s="65">
        <f>JJMMF!F9</f>
        <v>32906.655702383112</v>
      </c>
      <c r="K20" s="60">
        <f t="shared" si="2"/>
        <v>77823.194281911477</v>
      </c>
      <c r="L20" s="60">
        <f t="shared" si="2"/>
        <v>422.01081068496933</v>
      </c>
      <c r="M20" s="61">
        <f t="shared" si="3"/>
        <v>1.7527746459889974E-2</v>
      </c>
      <c r="N20" s="61">
        <f t="shared" si="3"/>
        <v>1.2991085852775305E-2</v>
      </c>
    </row>
    <row r="21" spans="1:21" x14ac:dyDescent="0.3">
      <c r="A21" s="55" t="s">
        <v>104</v>
      </c>
      <c r="B21" s="55" t="s">
        <v>108</v>
      </c>
      <c r="C21" s="55" t="s">
        <v>172</v>
      </c>
      <c r="D21" s="154">
        <v>1</v>
      </c>
      <c r="E21" s="74">
        <v>22954000</v>
      </c>
      <c r="F21" s="57">
        <f>JJHCC!I9</f>
        <v>2018049.0519838764</v>
      </c>
      <c r="G21" s="74">
        <f t="shared" si="0"/>
        <v>18363200</v>
      </c>
      <c r="H21" s="74">
        <f t="shared" si="1"/>
        <v>27544800</v>
      </c>
      <c r="I21" s="174">
        <v>27544800</v>
      </c>
      <c r="J21" s="65">
        <f>JJHCC!F9</f>
        <v>2356379.9860122493</v>
      </c>
      <c r="K21" s="60">
        <f t="shared" si="2"/>
        <v>4590800</v>
      </c>
      <c r="L21" s="60">
        <f t="shared" si="2"/>
        <v>338330.93402837287</v>
      </c>
      <c r="M21" s="61">
        <f t="shared" si="3"/>
        <v>0.2</v>
      </c>
      <c r="N21" s="61">
        <f t="shared" si="3"/>
        <v>0.16765248282531639</v>
      </c>
    </row>
    <row r="22" spans="1:21" x14ac:dyDescent="0.3">
      <c r="A22" s="55" t="s">
        <v>104</v>
      </c>
      <c r="B22" s="55" t="s">
        <v>96</v>
      </c>
      <c r="C22" s="55" t="s">
        <v>172</v>
      </c>
      <c r="D22" s="154">
        <v>1</v>
      </c>
      <c r="E22" s="74">
        <v>7818984</v>
      </c>
      <c r="F22" s="57">
        <f>JJMCM!I9</f>
        <v>478349.49312681123</v>
      </c>
      <c r="G22" s="74">
        <f t="shared" si="0"/>
        <v>6255187.2000000002</v>
      </c>
      <c r="H22" s="74">
        <f t="shared" si="1"/>
        <v>9382780.7999999989</v>
      </c>
      <c r="I22" s="174">
        <v>9382780.7999999989</v>
      </c>
      <c r="J22" s="65">
        <f>JJMCM!F9</f>
        <v>561397.01137718465</v>
      </c>
      <c r="K22" s="60">
        <f t="shared" si="2"/>
        <v>1563796.7999999989</v>
      </c>
      <c r="L22" s="60">
        <f t="shared" si="2"/>
        <v>83047.518250373425</v>
      </c>
      <c r="M22" s="61">
        <f t="shared" si="3"/>
        <v>0.19999999999999984</v>
      </c>
      <c r="N22" s="61">
        <f t="shared" si="3"/>
        <v>0.17361263980341962</v>
      </c>
    </row>
    <row r="23" spans="1:21" x14ac:dyDescent="0.3">
      <c r="A23" s="55" t="s">
        <v>104</v>
      </c>
      <c r="B23" s="55" t="s">
        <v>174</v>
      </c>
      <c r="C23" s="55" t="s">
        <v>172</v>
      </c>
      <c r="D23" s="154">
        <v>1</v>
      </c>
      <c r="E23" s="74">
        <v>3535945</v>
      </c>
      <c r="F23" s="57">
        <f>JJHCC_ACQ!I9</f>
        <v>105223.86</v>
      </c>
      <c r="G23" s="74">
        <f t="shared" si="0"/>
        <v>2828756</v>
      </c>
      <c r="H23" s="74">
        <f t="shared" si="1"/>
        <v>4243134</v>
      </c>
      <c r="I23" s="174">
        <v>4243134</v>
      </c>
      <c r="J23" s="65">
        <f>JJHCC_ACQ!F9</f>
        <v>125078.00864480999</v>
      </c>
      <c r="K23" s="60">
        <f t="shared" ref="K23:K24" si="4">I23-E23</f>
        <v>707189</v>
      </c>
      <c r="L23" s="60">
        <f t="shared" ref="L23:L24" si="5">J23-F23</f>
        <v>19854.148644809989</v>
      </c>
      <c r="M23" s="61">
        <f t="shared" ref="M23:M24" si="6">K23/E23</f>
        <v>0.2</v>
      </c>
      <c r="N23" s="61">
        <f t="shared" ref="N23:N24" si="7">L23/F23</f>
        <v>0.18868485384217981</v>
      </c>
    </row>
    <row r="24" spans="1:21" x14ac:dyDescent="0.3">
      <c r="A24" s="55" t="s">
        <v>104</v>
      </c>
      <c r="B24" s="55" t="s">
        <v>171</v>
      </c>
      <c r="C24" s="55" t="s">
        <v>172</v>
      </c>
      <c r="D24" s="154">
        <v>1</v>
      </c>
      <c r="E24" s="74">
        <v>14895305</v>
      </c>
      <c r="F24" s="57">
        <f>JJHCC_ADH!I9</f>
        <v>357940.73004525341</v>
      </c>
      <c r="G24" s="74">
        <f t="shared" si="0"/>
        <v>11916244</v>
      </c>
      <c r="H24" s="74">
        <f t="shared" si="1"/>
        <v>17874366</v>
      </c>
      <c r="I24" s="174">
        <v>17874366</v>
      </c>
      <c r="J24" s="65">
        <f>JJHCC_ADH!F9</f>
        <v>414833.00667234883</v>
      </c>
      <c r="K24" s="60">
        <f t="shared" si="4"/>
        <v>2979061</v>
      </c>
      <c r="L24" s="60">
        <f t="shared" si="5"/>
        <v>56892.276627095416</v>
      </c>
      <c r="M24" s="61">
        <f t="shared" si="6"/>
        <v>0.2</v>
      </c>
      <c r="N24" s="61">
        <f t="shared" si="7"/>
        <v>0.15894328823630294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79050884</v>
      </c>
      <c r="F25" s="77">
        <f t="shared" si="8"/>
        <v>9231710.4875555858</v>
      </c>
      <c r="G25" s="76">
        <f t="shared" si="8"/>
        <v>63240707.200000003</v>
      </c>
      <c r="H25" s="76">
        <f t="shared" si="8"/>
        <v>94861060.799999997</v>
      </c>
      <c r="I25" s="83">
        <f t="shared" si="8"/>
        <v>94050883.994281903</v>
      </c>
      <c r="J25" s="175">
        <f t="shared" si="8"/>
        <v>10970145.995542536</v>
      </c>
      <c r="K25" s="76">
        <f>SUM(K17:K24)</f>
        <v>14999999.994281908</v>
      </c>
      <c r="L25" s="175">
        <f>SUM(L17:L24)</f>
        <v>1738435.5079869477</v>
      </c>
      <c r="M25" s="79">
        <f>K25/E25</f>
        <v>0.18975119866188858</v>
      </c>
      <c r="N25" s="79">
        <f t="shared" si="3"/>
        <v>0.18831131135777834</v>
      </c>
    </row>
    <row r="29" spans="1:21" s="162" customFormat="1" x14ac:dyDescent="0.3">
      <c r="D29" s="233" t="s">
        <v>222</v>
      </c>
      <c r="E29" s="233"/>
      <c r="F29" s="233"/>
      <c r="G29" s="233"/>
      <c r="H29" s="233"/>
      <c r="I29" s="233"/>
      <c r="J29" s="234" t="s">
        <v>223</v>
      </c>
      <c r="K29" s="234"/>
      <c r="L29" s="234"/>
      <c r="M29" s="234"/>
      <c r="N29" s="234"/>
      <c r="O29" s="234"/>
      <c r="P29" s="232" t="s">
        <v>224</v>
      </c>
      <c r="Q29" s="232"/>
      <c r="R29" s="232"/>
      <c r="S29" s="232"/>
      <c r="T29" s="232"/>
      <c r="U29" s="232"/>
    </row>
    <row r="30" spans="1:21" ht="69" x14ac:dyDescent="0.3">
      <c r="A30" s="210" t="s">
        <v>180</v>
      </c>
      <c r="D30" s="191" t="s">
        <v>149</v>
      </c>
      <c r="E30" s="191" t="s">
        <v>194</v>
      </c>
      <c r="F30" s="191" t="s">
        <v>198</v>
      </c>
      <c r="G30" s="191" t="s">
        <v>195</v>
      </c>
      <c r="H30" s="191" t="s">
        <v>196</v>
      </c>
      <c r="I30" s="191" t="s">
        <v>197</v>
      </c>
      <c r="J30" s="191" t="s">
        <v>149</v>
      </c>
      <c r="K30" s="191" t="s">
        <v>194</v>
      </c>
      <c r="L30" s="191" t="s">
        <v>198</v>
      </c>
      <c r="M30" s="191" t="s">
        <v>195</v>
      </c>
      <c r="N30" s="191" t="s">
        <v>196</v>
      </c>
      <c r="O30" s="191" t="s">
        <v>197</v>
      </c>
      <c r="P30" s="191" t="s">
        <v>149</v>
      </c>
      <c r="Q30" s="191" t="s">
        <v>194</v>
      </c>
      <c r="R30" s="191" t="s">
        <v>198</v>
      </c>
      <c r="S30" s="191" t="s">
        <v>195</v>
      </c>
      <c r="T30" s="191" t="s">
        <v>196</v>
      </c>
      <c r="U30" s="191" t="s">
        <v>197</v>
      </c>
    </row>
    <row r="31" spans="1:21" x14ac:dyDescent="0.3">
      <c r="A31" s="210"/>
      <c r="D31" s="192">
        <v>14.58</v>
      </c>
      <c r="E31" s="193">
        <v>2216</v>
      </c>
      <c r="F31" s="193">
        <v>1319</v>
      </c>
      <c r="G31" s="194">
        <v>171</v>
      </c>
      <c r="H31" s="195">
        <v>0.39</v>
      </c>
      <c r="I31" s="194">
        <f>(1-H31)*G31</f>
        <v>104.31</v>
      </c>
      <c r="J31" s="192">
        <v>13.81</v>
      </c>
      <c r="K31" s="193">
        <v>2149</v>
      </c>
      <c r="L31" s="193">
        <v>1281</v>
      </c>
      <c r="M31" s="194">
        <v>178</v>
      </c>
      <c r="N31" s="195">
        <v>0.39</v>
      </c>
      <c r="O31" s="194">
        <f>(1-N31)*M31</f>
        <v>108.58</v>
      </c>
      <c r="P31" s="192">
        <v>14.21</v>
      </c>
      <c r="Q31" s="193">
        <v>2025</v>
      </c>
      <c r="R31" s="193">
        <v>1202</v>
      </c>
      <c r="S31" s="194">
        <v>153</v>
      </c>
      <c r="T31" s="195">
        <v>0.39</v>
      </c>
      <c r="U31" s="194">
        <f>(1-T31)*S31</f>
        <v>93.33</v>
      </c>
    </row>
    <row r="32" spans="1:21" ht="13.8" customHeight="1" x14ac:dyDescent="0.3">
      <c r="A32" s="211" t="s">
        <v>2</v>
      </c>
      <c r="B32" s="213" t="s">
        <v>3</v>
      </c>
      <c r="C32" s="213" t="str">
        <f t="shared" ref="C32:C42" si="9">D15</f>
        <v>Response Scaling Factor for Sensitivity Analysis</v>
      </c>
      <c r="D32" s="214" t="s">
        <v>86</v>
      </c>
      <c r="E32" s="215"/>
      <c r="F32" s="215"/>
      <c r="G32" s="216"/>
      <c r="H32" s="217" t="s">
        <v>89</v>
      </c>
      <c r="I32" s="218"/>
      <c r="J32" s="218"/>
      <c r="K32" s="214" t="s">
        <v>189</v>
      </c>
      <c r="L32" s="215"/>
      <c r="M32" s="215"/>
      <c r="N32" s="216"/>
    </row>
    <row r="33" spans="1:14" ht="74.400000000000006" customHeight="1" x14ac:dyDescent="0.3">
      <c r="A33" s="212"/>
      <c r="B33" s="212"/>
      <c r="C33" s="212">
        <f t="shared" si="9"/>
        <v>0</v>
      </c>
      <c r="D33" s="156" t="s">
        <v>182</v>
      </c>
      <c r="E33" s="156" t="s">
        <v>181</v>
      </c>
      <c r="F33" s="156" t="s">
        <v>183</v>
      </c>
      <c r="G33" s="156" t="s">
        <v>199</v>
      </c>
      <c r="H33" s="62" t="s">
        <v>187</v>
      </c>
      <c r="I33" s="62" t="s">
        <v>188</v>
      </c>
      <c r="J33" s="62" t="s">
        <v>200</v>
      </c>
      <c r="K33" s="156" t="s">
        <v>190</v>
      </c>
      <c r="L33" s="156" t="s">
        <v>191</v>
      </c>
      <c r="M33" s="156" t="s">
        <v>192</v>
      </c>
      <c r="N33" s="156" t="s">
        <v>193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166">
        <f t="shared" ref="D34:D41" si="10">E17</f>
        <v>5991499</v>
      </c>
      <c r="E34" s="164" t="s">
        <v>176</v>
      </c>
      <c r="F34" s="168">
        <f>F17/$J$31</f>
        <v>200413.29391107525</v>
      </c>
      <c r="G34" s="170">
        <f>F34*$L$31</f>
        <v>256729429.50008738</v>
      </c>
      <c r="H34" s="176">
        <f t="shared" ref="H34:H41" si="11">I17</f>
        <v>7189798.7999999989</v>
      </c>
      <c r="I34" s="168">
        <f>J17/$J$31</f>
        <v>239856.72092273773</v>
      </c>
      <c r="J34" s="179">
        <f>I34*$L$31</f>
        <v>307256459.50202703</v>
      </c>
      <c r="K34" s="166">
        <f>H34-D34</f>
        <v>1198299.7999999989</v>
      </c>
      <c r="L34" s="166">
        <f>J34-G34</f>
        <v>50527030.001939654</v>
      </c>
      <c r="M34" s="182">
        <f>K34/D34</f>
        <v>0.19999999999999982</v>
      </c>
      <c r="N34" s="183">
        <f>L34/G34</f>
        <v>0.19681043229180104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167">
        <f t="shared" si="10"/>
        <v>15610435</v>
      </c>
      <c r="E35" s="165" t="s">
        <v>176</v>
      </c>
      <c r="F35" s="169">
        <f>F18/$P$31</f>
        <v>230933.63819705587</v>
      </c>
      <c r="G35" s="171">
        <f>F35*$R$31</f>
        <v>277582233.11286116</v>
      </c>
      <c r="H35" s="177">
        <f t="shared" si="11"/>
        <v>18732522</v>
      </c>
      <c r="I35" s="169">
        <f>J18/$P$31</f>
        <v>277175.40674512938</v>
      </c>
      <c r="J35" s="180">
        <f>I35*$R$31</f>
        <v>333164838.90764552</v>
      </c>
      <c r="K35" s="167">
        <f t="shared" ref="K35:K42" si="12">H35-D35</f>
        <v>3122087</v>
      </c>
      <c r="L35" s="167">
        <f t="shared" ref="L35:L42" si="13">J35-G35</f>
        <v>55582605.794784367</v>
      </c>
      <c r="M35" s="184">
        <f t="shared" ref="M35:M42" si="14">K35/D35</f>
        <v>0.2</v>
      </c>
      <c r="N35" s="185">
        <f t="shared" ref="N35:N42" si="15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167">
        <f t="shared" si="10"/>
        <v>3804716</v>
      </c>
      <c r="E36" s="165" t="s">
        <v>176</v>
      </c>
      <c r="F36" s="169">
        <f>F19/$D$31</f>
        <v>13058.170083390576</v>
      </c>
      <c r="G36" s="171">
        <f t="shared" ref="G36:G40" si="16">F36*$F$31</f>
        <v>17223726.339992169</v>
      </c>
      <c r="H36" s="177">
        <f t="shared" si="11"/>
        <v>4565659.2</v>
      </c>
      <c r="I36" s="169">
        <f t="shared" ref="I36:I40" si="17">J19/$D$31</f>
        <v>15669.923274503552</v>
      </c>
      <c r="J36" s="180">
        <f t="shared" ref="J36:J40" si="18">I36*$F$31</f>
        <v>20668628.799070183</v>
      </c>
      <c r="K36" s="167">
        <f t="shared" si="12"/>
        <v>760943.20000000019</v>
      </c>
      <c r="L36" s="167">
        <f t="shared" si="13"/>
        <v>3444902.4590780139</v>
      </c>
      <c r="M36" s="184">
        <f t="shared" si="14"/>
        <v>0.20000000000000004</v>
      </c>
      <c r="N36" s="185">
        <f t="shared" si="15"/>
        <v>0.20000912642691118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167">
        <f t="shared" si="10"/>
        <v>4440000</v>
      </c>
      <c r="E37" s="165" t="s">
        <v>176</v>
      </c>
      <c r="F37" s="169">
        <f t="shared" ref="F37:F40" si="19">F20/$D$31</f>
        <v>2228.0277703496668</v>
      </c>
      <c r="G37" s="171">
        <f>F37*$F$31</f>
        <v>2938768.6290912107</v>
      </c>
      <c r="H37" s="177">
        <f t="shared" si="11"/>
        <v>4517823.1942819115</v>
      </c>
      <c r="I37" s="169">
        <f t="shared" si="17"/>
        <v>2256.9722703966468</v>
      </c>
      <c r="J37" s="180">
        <f t="shared" si="18"/>
        <v>2976946.4246531771</v>
      </c>
      <c r="K37" s="167">
        <f t="shared" si="12"/>
        <v>77823.194281911477</v>
      </c>
      <c r="L37" s="167">
        <f t="shared" si="13"/>
        <v>38177.795561966486</v>
      </c>
      <c r="M37" s="184">
        <f t="shared" si="14"/>
        <v>1.7527746459889974E-2</v>
      </c>
      <c r="N37" s="185">
        <f t="shared" si="15"/>
        <v>1.299108585277523E-2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167">
        <f t="shared" si="10"/>
        <v>22954000</v>
      </c>
      <c r="E38" s="165" t="s">
        <v>176</v>
      </c>
      <c r="F38" s="169">
        <f t="shared" si="19"/>
        <v>138412.14348311909</v>
      </c>
      <c r="G38" s="171">
        <f t="shared" si="16"/>
        <v>182565617.25423408</v>
      </c>
      <c r="H38" s="177">
        <f t="shared" si="11"/>
        <v>27544800</v>
      </c>
      <c r="I38" s="169">
        <f t="shared" si="17"/>
        <v>161617.28299123794</v>
      </c>
      <c r="J38" s="180">
        <f t="shared" si="18"/>
        <v>213173196.26544285</v>
      </c>
      <c r="K38" s="167">
        <f t="shared" si="12"/>
        <v>4590800</v>
      </c>
      <c r="L38" s="167">
        <f t="shared" si="13"/>
        <v>30607579.011208773</v>
      </c>
      <c r="M38" s="184">
        <f t="shared" si="14"/>
        <v>0.2</v>
      </c>
      <c r="N38" s="185">
        <f t="shared" si="15"/>
        <v>0.16765248282531645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167">
        <f t="shared" si="10"/>
        <v>7818984</v>
      </c>
      <c r="E39" s="165" t="s">
        <v>176</v>
      </c>
      <c r="F39" s="169">
        <f t="shared" si="19"/>
        <v>32808.607210343704</v>
      </c>
      <c r="G39" s="171">
        <f t="shared" si="16"/>
        <v>43274552.910443343</v>
      </c>
      <c r="H39" s="177">
        <f t="shared" si="11"/>
        <v>9382780.7999999989</v>
      </c>
      <c r="I39" s="169">
        <f t="shared" si="17"/>
        <v>38504.59611640498</v>
      </c>
      <c r="J39" s="180">
        <f t="shared" si="18"/>
        <v>50787562.277538165</v>
      </c>
      <c r="K39" s="167">
        <f t="shared" si="12"/>
        <v>1563796.7999999989</v>
      </c>
      <c r="L39" s="167">
        <f t="shared" si="13"/>
        <v>7513009.3670948222</v>
      </c>
      <c r="M39" s="184">
        <f t="shared" si="14"/>
        <v>0.19999999999999984</v>
      </c>
      <c r="N39" s="185">
        <f t="shared" si="15"/>
        <v>0.17361263980341957</v>
      </c>
    </row>
    <row r="40" spans="1:14" x14ac:dyDescent="0.3">
      <c r="A40" s="55" t="s">
        <v>104</v>
      </c>
      <c r="B40" s="55" t="s">
        <v>174</v>
      </c>
      <c r="C40" s="154">
        <f t="shared" si="9"/>
        <v>1</v>
      </c>
      <c r="D40" s="167">
        <f t="shared" si="10"/>
        <v>3535945</v>
      </c>
      <c r="E40" s="165" t="s">
        <v>176</v>
      </c>
      <c r="F40" s="169">
        <f t="shared" si="19"/>
        <v>7217</v>
      </c>
      <c r="G40" s="171">
        <f t="shared" si="16"/>
        <v>9519223</v>
      </c>
      <c r="H40" s="177">
        <f t="shared" si="11"/>
        <v>4243134</v>
      </c>
      <c r="I40" s="169">
        <f t="shared" si="17"/>
        <v>8578.7385901790112</v>
      </c>
      <c r="J40" s="180">
        <f t="shared" si="18"/>
        <v>11315356.200446116</v>
      </c>
      <c r="K40" s="167">
        <f t="shared" si="12"/>
        <v>707189</v>
      </c>
      <c r="L40" s="167">
        <f t="shared" si="13"/>
        <v>1796133.2004461158</v>
      </c>
      <c r="M40" s="184">
        <f t="shared" si="14"/>
        <v>0.2</v>
      </c>
      <c r="N40" s="185">
        <f t="shared" si="15"/>
        <v>0.18868485384217976</v>
      </c>
    </row>
    <row r="41" spans="1:14" x14ac:dyDescent="0.3">
      <c r="A41" s="55" t="s">
        <v>104</v>
      </c>
      <c r="B41" s="55" t="s">
        <v>171</v>
      </c>
      <c r="C41" s="154">
        <f t="shared" si="9"/>
        <v>1</v>
      </c>
      <c r="D41" s="167">
        <f t="shared" si="10"/>
        <v>14895305</v>
      </c>
      <c r="E41" s="187" t="s">
        <v>175</v>
      </c>
      <c r="F41" s="169">
        <f t="shared" ref="F41" si="20">F24</f>
        <v>357940.73004525341</v>
      </c>
      <c r="G41" s="171">
        <f>F41*$I$31</f>
        <v>37336797.551020384</v>
      </c>
      <c r="H41" s="177">
        <f t="shared" si="11"/>
        <v>17874366</v>
      </c>
      <c r="I41" s="169">
        <f>J24</f>
        <v>414833.00667234883</v>
      </c>
      <c r="J41" s="180">
        <f>I41*$I$31</f>
        <v>43271230.925992705</v>
      </c>
      <c r="K41" s="167">
        <f t="shared" si="12"/>
        <v>2979061</v>
      </c>
      <c r="L41" s="167">
        <f t="shared" si="13"/>
        <v>5934433.3749723211</v>
      </c>
      <c r="M41" s="184">
        <f t="shared" si="14"/>
        <v>0.2</v>
      </c>
      <c r="N41" s="185">
        <f t="shared" si="15"/>
        <v>0.15894328823630291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79050884</v>
      </c>
      <c r="E42" s="77"/>
      <c r="F42" s="77"/>
      <c r="G42" s="172">
        <f>SUM(G34:G41)</f>
        <v>827170348.29772973</v>
      </c>
      <c r="H42" s="178">
        <f>SUM(H34:H41)</f>
        <v>94050883.994281903</v>
      </c>
      <c r="I42" s="77"/>
      <c r="J42" s="181">
        <f>SUM(J34:J41)</f>
        <v>982614219.30281579</v>
      </c>
      <c r="K42" s="76">
        <f t="shared" si="12"/>
        <v>14999999.994281903</v>
      </c>
      <c r="L42" s="200">
        <f t="shared" si="13"/>
        <v>155443871.00508606</v>
      </c>
      <c r="M42" s="79">
        <f t="shared" si="14"/>
        <v>0.1897511986618885</v>
      </c>
      <c r="N42" s="186">
        <f t="shared" si="15"/>
        <v>0.18792244103645742</v>
      </c>
    </row>
    <row r="43" spans="1:14" x14ac:dyDescent="0.3">
      <c r="D43" s="188">
        <v>0.54</v>
      </c>
      <c r="E43" s="188">
        <v>0.34</v>
      </c>
      <c r="F43" s="159" t="s">
        <v>184</v>
      </c>
      <c r="G43" s="189">
        <f>SUM(G34:G40)*$E$43 + (G41*$D$43)</f>
        <v>288705277.93143225</v>
      </c>
      <c r="H43" s="162"/>
      <c r="I43" s="157"/>
      <c r="J43" s="189">
        <f>SUM(J34:J40)*$E$43 + (J41*$D$43)</f>
        <v>342743080.74815589</v>
      </c>
      <c r="K43" s="162"/>
      <c r="L43" s="189">
        <f>SUM(L34:L40)*$E$43 + (L41*$D$43)</f>
        <v>54037802.816723727</v>
      </c>
      <c r="M43" s="201">
        <f>L43/L42</f>
        <v>0.34763546782076488</v>
      </c>
      <c r="N43" s="190">
        <f>N42*(L43/L42)</f>
        <v>6.5328505703728973E-2</v>
      </c>
    </row>
    <row r="44" spans="1:14" x14ac:dyDescent="0.3">
      <c r="D44" s="188">
        <v>0.46</v>
      </c>
      <c r="E44" s="188">
        <v>0.39</v>
      </c>
      <c r="F44" s="159" t="s">
        <v>185</v>
      </c>
      <c r="G44" s="189">
        <f>SUM(G34:G40)*$E$44 + (G41*$D$44)</f>
        <v>325210011.66468602</v>
      </c>
      <c r="H44" s="162"/>
      <c r="I44" s="157"/>
      <c r="J44" s="189">
        <f>SUM(J34:J40)*$E$44 + (J41*$D$44)</f>
        <v>386248531.69291764</v>
      </c>
      <c r="K44" s="162"/>
      <c r="L44" s="189">
        <f>SUM(L34:L40)*$E$44 + (L41*$D$44)</f>
        <v>61038520.028231621</v>
      </c>
      <c r="M44" s="201">
        <f>L44/L42</f>
        <v>0.39267241373726769</v>
      </c>
      <c r="N44" s="190">
        <f>N42*(L44/L42)</f>
        <v>7.3791958517185105E-2</v>
      </c>
    </row>
    <row r="45" spans="1:14" x14ac:dyDescent="0.3">
      <c r="D45" s="188">
        <v>0</v>
      </c>
      <c r="E45" s="188">
        <v>0.27</v>
      </c>
      <c r="F45" s="159" t="s">
        <v>186</v>
      </c>
      <c r="G45" s="189">
        <f>SUM(G34:G40)*$E$45 + (G41*$D$45)</f>
        <v>213255058.70161155</v>
      </c>
      <c r="H45" s="162"/>
      <c r="I45" s="157"/>
      <c r="J45" s="189">
        <f>SUM(J34:J40)*$E$45 + (J41*$D$45)</f>
        <v>253622606.86174226</v>
      </c>
      <c r="K45" s="162"/>
      <c r="L45" s="189">
        <f>SUM(L34:L40)*$E$45 + (L41*$D$45)</f>
        <v>40367548.160130709</v>
      </c>
      <c r="M45" s="201">
        <f>L45/L42</f>
        <v>0.25969211844196738</v>
      </c>
      <c r="N45" s="190">
        <f>N42*(L45/L42)</f>
        <v>4.8801976815543331E-2</v>
      </c>
    </row>
    <row r="46" spans="1:14" x14ac:dyDescent="0.3">
      <c r="D46" s="162" t="s">
        <v>175</v>
      </c>
      <c r="E46" s="162" t="s">
        <v>209</v>
      </c>
      <c r="F46" s="162"/>
      <c r="G46" s="162"/>
      <c r="H46" s="162"/>
      <c r="I46" s="162"/>
      <c r="J46" s="162"/>
      <c r="K46" s="162"/>
      <c r="L46" s="162"/>
      <c r="M46" s="162"/>
      <c r="N46" s="162"/>
    </row>
    <row r="47" spans="1:14" ht="27.6" x14ac:dyDescent="0.3">
      <c r="D47" s="160" t="s">
        <v>210</v>
      </c>
      <c r="E47" s="162"/>
      <c r="F47" s="162"/>
      <c r="G47" s="162"/>
      <c r="H47" s="162"/>
      <c r="I47" s="162"/>
      <c r="J47" s="162"/>
      <c r="K47" s="162"/>
      <c r="L47" s="162"/>
      <c r="M47" s="162"/>
      <c r="N47" s="162"/>
    </row>
  </sheetData>
  <mergeCells count="22">
    <mergeCell ref="P29:U29"/>
    <mergeCell ref="B4:I4"/>
    <mergeCell ref="K15:N15"/>
    <mergeCell ref="K32:N32"/>
    <mergeCell ref="D29:I29"/>
    <mergeCell ref="J29:O29"/>
    <mergeCell ref="A32:A33"/>
    <mergeCell ref="B32:B33"/>
    <mergeCell ref="A30:A31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C32:C33"/>
    <mergeCell ref="D32:G32"/>
    <mergeCell ref="H32:J32"/>
  </mergeCells>
  <pageMargins left="0.7" right="0.7" top="0.75" bottom="0.75" header="0.3" footer="0.3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workbookViewId="0">
      <selection activeCell="D13" sqref="D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246" t="s">
        <v>105</v>
      </c>
      <c r="I2" s="247"/>
      <c r="J2" s="247"/>
      <c r="K2" s="247"/>
      <c r="L2" s="247"/>
      <c r="M2" s="247"/>
      <c r="N2" s="24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9" t="s">
        <v>136</v>
      </c>
      <c r="I3" s="250"/>
      <c r="J3" s="250"/>
      <c r="K3" s="250"/>
      <c r="L3" s="250"/>
      <c r="M3" s="250"/>
      <c r="N3" s="251"/>
    </row>
    <row r="4" spans="1:14" ht="18.600000000000001" customHeight="1" thickBot="1" x14ac:dyDescent="0.35">
      <c r="A4" s="29" t="s">
        <v>38</v>
      </c>
      <c r="B4" s="252" t="s">
        <v>131</v>
      </c>
      <c r="C4" s="253"/>
      <c r="D4" s="253"/>
      <c r="E4" s="253"/>
      <c r="F4" s="254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55" t="s">
        <v>12</v>
      </c>
      <c r="E7" s="238"/>
      <c r="F7" s="239"/>
      <c r="G7" s="255" t="s">
        <v>143</v>
      </c>
      <c r="H7" s="238"/>
      <c r="I7" s="240"/>
      <c r="J7" s="1" t="s">
        <v>144</v>
      </c>
    </row>
    <row r="8" spans="1:14" ht="27.6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7"/>
      <c r="B9" s="112">
        <f>JJ_Optim_Scenario!G17</f>
        <v>4793199.2</v>
      </c>
      <c r="C9" s="113">
        <f>JJ_Optim_Scenario!H17</f>
        <v>7189798.7999999998</v>
      </c>
      <c r="D9" s="114">
        <f>JJ_Optim_Scenario!I17</f>
        <v>7189798.7999999989</v>
      </c>
      <c r="E9" s="119">
        <f>($B$13*D9+$C$13*D9*D9)*$G$13</f>
        <v>239856.72092273773</v>
      </c>
      <c r="F9" s="85">
        <f>($E$13*D9+$F$13*D9*D9)*$G$13</f>
        <v>3312421.3159430083</v>
      </c>
      <c r="G9" s="120">
        <f>JJ_Optim_Scenario!E17</f>
        <v>5991499</v>
      </c>
      <c r="H9" s="121">
        <f>($B$13*G9+$C$13*G9*G9)*$G$13</f>
        <v>200413.29391107528</v>
      </c>
      <c r="I9" s="115">
        <f>($E$13*G9+$F$13*G9*G9)*$G$13</f>
        <v>2767707.5889119492</v>
      </c>
      <c r="J9" s="123">
        <f>G9/I9</f>
        <v>2.164787575104854</v>
      </c>
      <c r="K9" s="1" t="s">
        <v>142</v>
      </c>
    </row>
    <row r="10" spans="1:14" ht="14.4" thickBot="1" x14ac:dyDescent="0.35"/>
    <row r="11" spans="1:14" ht="50.4" customHeight="1" x14ac:dyDescent="0.3">
      <c r="A11" s="235" t="s">
        <v>42</v>
      </c>
      <c r="B11" s="238" t="s">
        <v>138</v>
      </c>
      <c r="C11" s="238"/>
      <c r="D11" s="238" t="s">
        <v>125</v>
      </c>
      <c r="E11" s="238" t="s">
        <v>137</v>
      </c>
      <c r="F11" s="238"/>
      <c r="G11" s="240" t="s">
        <v>134</v>
      </c>
      <c r="I11" s="141"/>
      <c r="J11" s="32"/>
    </row>
    <row r="12" spans="1:14" ht="24.6" customHeight="1" x14ac:dyDescent="0.3">
      <c r="A12" s="236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41"/>
      <c r="H12" s="198" t="s">
        <v>205</v>
      </c>
      <c r="I12" s="198" t="s">
        <v>206</v>
      </c>
      <c r="J12" s="32"/>
    </row>
    <row r="13" spans="1:14" ht="14.4" thickBot="1" x14ac:dyDescent="0.35">
      <c r="A13" s="237"/>
      <c r="B13" s="12">
        <v>3.3894148963675173E-2</v>
      </c>
      <c r="C13" s="12">
        <v>-7.4195254306928158E-11</v>
      </c>
      <c r="D13" s="111">
        <f>JJ_Optim_Scenario!$J$31</f>
        <v>13.81</v>
      </c>
      <c r="E13" s="12">
        <v>0.46807819718835414</v>
      </c>
      <c r="F13" s="12">
        <v>-1.0246364619786779E-9</v>
      </c>
      <c r="G13" s="196">
        <f>JJ_Optim_Scenario!D17</f>
        <v>1</v>
      </c>
      <c r="H13" s="158">
        <f>JJ_Optim_Scenario!$O$31</f>
        <v>108.58</v>
      </c>
      <c r="I13" s="158">
        <f>JJ_Optim_Scenario!$L$31</f>
        <v>1281</v>
      </c>
      <c r="J13" s="32"/>
    </row>
    <row r="14" spans="1:14" ht="31.8" customHeight="1" x14ac:dyDescent="0.3">
      <c r="A14" s="242" t="s">
        <v>135</v>
      </c>
      <c r="B14" s="242"/>
      <c r="C14" s="242"/>
      <c r="D14" s="242"/>
      <c r="E14" s="242"/>
      <c r="F14" s="242"/>
      <c r="G14" s="242"/>
      <c r="H14" s="39"/>
      <c r="I14" s="39"/>
      <c r="J14" s="39"/>
    </row>
    <row r="15" spans="1:14" ht="30.6" customHeight="1" x14ac:dyDescent="0.3">
      <c r="A15" s="243"/>
      <c r="B15" s="243"/>
      <c r="C15" s="243"/>
      <c r="D15" s="243"/>
      <c r="E15" s="243"/>
      <c r="F15" s="243"/>
      <c r="G15" s="243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5"/>
      <c r="B19" s="103">
        <v>0</v>
      </c>
      <c r="C19" s="103">
        <v>15000000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1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($B$13*A24+$C$13*A24*A24)*$G$13</f>
        <v>25378.876892208733</v>
      </c>
      <c r="C24" s="116">
        <f t="shared" ref="C24:C43" si="1">($E$13*A24+$F$13*A24*A24)*$G$13</f>
        <v>350482.28988140263</v>
      </c>
      <c r="D24" s="199">
        <f t="shared" ref="D24:D43" si="2">B24*$I$13</f>
        <v>32510341.298919387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699811.86374307924</v>
      </c>
      <c r="D25" s="199">
        <f t="shared" si="2"/>
        <v>64913757.961975709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1047988.7215850296</v>
      </c>
      <c r="D26" s="199">
        <f t="shared" si="2"/>
        <v>97210249.989168957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1395012.8634072545</v>
      </c>
      <c r="D27" s="199">
        <f t="shared" si="2"/>
        <v>129399817.38049912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1740884.289209753</v>
      </c>
      <c r="D28" s="199">
        <f t="shared" si="2"/>
        <v>161482460.13596624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2085602.9989925253</v>
      </c>
      <c r="D29" s="199">
        <f t="shared" si="2"/>
        <v>193458178.25557023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2429168.9927555718</v>
      </c>
      <c r="D30" s="199">
        <f t="shared" si="2"/>
        <v>225326971.73931122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2771582.2704988928</v>
      </c>
      <c r="D31" s="199">
        <f t="shared" si="2"/>
        <v>257088840.58718908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3112842.8322224868</v>
      </c>
      <c r="D32" s="199">
        <f t="shared" si="2"/>
        <v>288743784.79920393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3452950.6779263555</v>
      </c>
      <c r="D33" s="199">
        <f t="shared" si="2"/>
        <v>320291804.37535566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3791905.8076104978</v>
      </c>
      <c r="D34" s="199">
        <f t="shared" si="2"/>
        <v>351732899.31564426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4129708.2212749138</v>
      </c>
      <c r="D35" s="199">
        <f t="shared" si="2"/>
        <v>383067069.62006992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4466357.9189196052</v>
      </c>
      <c r="D36" s="199">
        <f t="shared" si="2"/>
        <v>414294315.28863245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4801854.9005445689</v>
      </c>
      <c r="D37" s="199">
        <f t="shared" si="2"/>
        <v>445414636.32133186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5136199.1661498072</v>
      </c>
      <c r="D38" s="199">
        <f t="shared" si="2"/>
        <v>476428032.71816826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5469390.7157353209</v>
      </c>
      <c r="D39" s="199">
        <f t="shared" si="2"/>
        <v>507334504.47914159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5801429.5493011065</v>
      </c>
      <c r="D40" s="199">
        <f t="shared" si="2"/>
        <v>538134051.60425186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6132315.6668471666</v>
      </c>
      <c r="D41" s="199">
        <f t="shared" si="2"/>
        <v>568826674.09349895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6462049.0683735013</v>
      </c>
      <c r="D42" s="199">
        <f t="shared" si="2"/>
        <v>599412371.94688308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6790629.7538801096</v>
      </c>
      <c r="D43" s="199">
        <f t="shared" si="2"/>
        <v>629891145.16440403</v>
      </c>
    </row>
  </sheetData>
  <mergeCells count="15">
    <mergeCell ref="H2:N2"/>
    <mergeCell ref="H3:N3"/>
    <mergeCell ref="B4:F4"/>
    <mergeCell ref="D7:F7"/>
    <mergeCell ref="G7:I7"/>
    <mergeCell ref="E11:F11"/>
    <mergeCell ref="G11:G12"/>
    <mergeCell ref="A14:G15"/>
    <mergeCell ref="A11:A13"/>
    <mergeCell ref="A18:A19"/>
    <mergeCell ref="A7:A9"/>
    <mergeCell ref="B7:C7"/>
    <mergeCell ref="A21:C21"/>
    <mergeCell ref="B11:C11"/>
    <mergeCell ref="D11:D1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246" t="s">
        <v>105</v>
      </c>
      <c r="I2" s="247"/>
      <c r="J2" s="247"/>
      <c r="K2" s="247"/>
      <c r="L2" s="247"/>
      <c r="M2" s="247"/>
      <c r="N2" s="24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9" t="s">
        <v>136</v>
      </c>
      <c r="I3" s="250"/>
      <c r="J3" s="250"/>
      <c r="K3" s="250"/>
      <c r="L3" s="250"/>
      <c r="M3" s="250"/>
      <c r="N3" s="251"/>
    </row>
    <row r="4" spans="1:14" ht="18.600000000000001" customHeight="1" thickBot="1" x14ac:dyDescent="0.35">
      <c r="A4" s="29" t="s">
        <v>38</v>
      </c>
      <c r="B4" s="252" t="s">
        <v>131</v>
      </c>
      <c r="C4" s="253"/>
      <c r="D4" s="253"/>
      <c r="E4" s="253"/>
      <c r="F4" s="254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55" t="s">
        <v>12</v>
      </c>
      <c r="E7" s="238"/>
      <c r="F7" s="239"/>
      <c r="G7" s="255" t="s">
        <v>143</v>
      </c>
      <c r="H7" s="238"/>
      <c r="I7" s="240"/>
      <c r="J7" s="1" t="s">
        <v>144</v>
      </c>
    </row>
    <row r="8" spans="1:14" ht="27.6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7"/>
      <c r="B9" s="112">
        <f>JJ_Optim_Scenario!G18</f>
        <v>12488348</v>
      </c>
      <c r="C9" s="113">
        <f>JJ_Optim_Scenario!H18</f>
        <v>18732522</v>
      </c>
      <c r="D9" s="114">
        <f>JJ_Optim_Scenario!I18</f>
        <v>18732522</v>
      </c>
      <c r="E9" s="119">
        <f>($B$13*D9+$C$13*D9*D9)*$G$13</f>
        <v>277175.40674512938</v>
      </c>
      <c r="F9" s="85">
        <f>($E$13*D9+$F$13*D9*D9)*$G$13</f>
        <v>3938662.5298482887</v>
      </c>
      <c r="G9" s="120">
        <f>JJ_Optim_Scenario!E18</f>
        <v>15610435</v>
      </c>
      <c r="H9" s="121">
        <f>($B$13*G9+$C$13*G9*G9)*$G$13</f>
        <v>230933.63819705584</v>
      </c>
      <c r="I9" s="115">
        <f>($E$13*G9+$F$13*G9*G9)*$G$13</f>
        <v>3281566.9987801639</v>
      </c>
      <c r="J9" s="123">
        <f>G9/I9</f>
        <v>4.7570063344136404</v>
      </c>
      <c r="K9" s="1" t="s">
        <v>142</v>
      </c>
    </row>
    <row r="10" spans="1:14" ht="14.4" thickBot="1" x14ac:dyDescent="0.35"/>
    <row r="11" spans="1:14" ht="50.4" customHeight="1" x14ac:dyDescent="0.3">
      <c r="A11" s="235" t="s">
        <v>42</v>
      </c>
      <c r="B11" s="238" t="s">
        <v>138</v>
      </c>
      <c r="C11" s="238"/>
      <c r="D11" s="238" t="s">
        <v>125</v>
      </c>
      <c r="E11" s="238" t="s">
        <v>137</v>
      </c>
      <c r="F11" s="238"/>
      <c r="G11" s="240" t="s">
        <v>134</v>
      </c>
      <c r="J11" s="32"/>
    </row>
    <row r="12" spans="1:14" ht="24.6" customHeight="1" x14ac:dyDescent="0.3">
      <c r="A12" s="236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41"/>
      <c r="H12" s="198" t="s">
        <v>205</v>
      </c>
      <c r="I12" s="198" t="s">
        <v>206</v>
      </c>
      <c r="J12" s="32"/>
    </row>
    <row r="13" spans="1:14" ht="14.4" thickBot="1" x14ac:dyDescent="0.35">
      <c r="A13" s="237"/>
      <c r="B13" s="12">
        <v>1.4778851523204141E-2</v>
      </c>
      <c r="C13" s="12">
        <v>9.4111856958413502E-13</v>
      </c>
      <c r="D13" s="111">
        <f>JJ_Optim_Scenario!$P$31</f>
        <v>14.21</v>
      </c>
      <c r="E13" s="12">
        <v>0.21000748014473086</v>
      </c>
      <c r="F13" s="12">
        <v>1.337329487379056E-11</v>
      </c>
      <c r="G13" s="196">
        <f>JJ_Optim_Scenario!D18</f>
        <v>1</v>
      </c>
      <c r="H13" s="158">
        <f>JJ_Optim_Scenario!$U$31</f>
        <v>93.33</v>
      </c>
      <c r="I13" s="158">
        <f>JJ_Optim_Scenario!$R$31</f>
        <v>1202</v>
      </c>
      <c r="J13" s="32"/>
    </row>
    <row r="14" spans="1:14" ht="31.8" customHeight="1" x14ac:dyDescent="0.3">
      <c r="A14" s="242" t="s">
        <v>135</v>
      </c>
      <c r="B14" s="242"/>
      <c r="C14" s="242"/>
      <c r="D14" s="242"/>
      <c r="E14" s="242"/>
      <c r="F14" s="242"/>
      <c r="G14" s="242"/>
      <c r="H14" s="39"/>
      <c r="I14" s="39"/>
      <c r="J14" s="39"/>
    </row>
    <row r="15" spans="1:14" ht="30.6" customHeight="1" x14ac:dyDescent="0.3">
      <c r="A15" s="243"/>
      <c r="B15" s="243"/>
      <c r="C15" s="243"/>
      <c r="D15" s="243"/>
      <c r="E15" s="243"/>
      <c r="F15" s="243"/>
      <c r="G15" s="243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5"/>
      <c r="B19" s="103">
        <v>0</v>
      </c>
      <c r="C19" s="103">
        <v>40000000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1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($B$13*A24+$C$13*A24*A24)*$G$13</f>
        <v>29561.46752068662</v>
      </c>
      <c r="C24" s="116">
        <f t="shared" ref="C24:C43" si="1">($E$13*A24+$F$13*A24*A24)*$G$13</f>
        <v>420068.45346895687</v>
      </c>
      <c r="D24" s="199">
        <f t="shared" ref="D24:D43" si="2">B24*$I$13</f>
        <v>35532883.959865317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840243.89329690405</v>
      </c>
      <c r="D25" s="199">
        <f t="shared" si="2"/>
        <v>71074817.715895742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1260526.3194838415</v>
      </c>
      <c r="D26" s="199">
        <f t="shared" si="2"/>
        <v>106625801.26809132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1680915.7320297693</v>
      </c>
      <c r="D27" s="199">
        <f t="shared" si="2"/>
        <v>142185834.61645198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2101412.1309346878</v>
      </c>
      <c r="D28" s="199">
        <f t="shared" si="2"/>
        <v>177754917.7609778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2522015.516198596</v>
      </c>
      <c r="D29" s="199">
        <f t="shared" si="2"/>
        <v>213333050.70166874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2942725.8878214951</v>
      </c>
      <c r="D30" s="199">
        <f t="shared" si="2"/>
        <v>248920233.43852475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3363543.2458033841</v>
      </c>
      <c r="D31" s="199">
        <f t="shared" si="2"/>
        <v>284516465.97154588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3784467.590144264</v>
      </c>
      <c r="D32" s="199">
        <f t="shared" si="2"/>
        <v>320121748.3007322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4205498.920844133</v>
      </c>
      <c r="D33" s="199">
        <f t="shared" si="2"/>
        <v>355736080.42608356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4626637.2379029933</v>
      </c>
      <c r="D34" s="199">
        <f t="shared" si="2"/>
        <v>391359462.3476001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5047882.5413208436</v>
      </c>
      <c r="D35" s="199">
        <f t="shared" si="2"/>
        <v>426991894.06528181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5469234.8310976848</v>
      </c>
      <c r="D36" s="199">
        <f t="shared" si="2"/>
        <v>462633375.5791285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5890694.1072335159</v>
      </c>
      <c r="D37" s="199">
        <f t="shared" si="2"/>
        <v>498283906.88914043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6312260.369728337</v>
      </c>
      <c r="D38" s="199">
        <f t="shared" si="2"/>
        <v>533943487.9953174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6733933.618582149</v>
      </c>
      <c r="D39" s="199">
        <f t="shared" si="2"/>
        <v>569612118.89765954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7155713.853794951</v>
      </c>
      <c r="D40" s="199">
        <f t="shared" si="2"/>
        <v>605289799.59616673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7577601.0753667438</v>
      </c>
      <c r="D41" s="199">
        <f t="shared" si="2"/>
        <v>640976530.09083915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7999595.2832975267</v>
      </c>
      <c r="D42" s="199">
        <f t="shared" si="2"/>
        <v>676672310.38167667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8421696.4775872994</v>
      </c>
      <c r="D43" s="199">
        <f t="shared" si="2"/>
        <v>712377140.46867931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46" t="s">
        <v>105</v>
      </c>
      <c r="I2" s="247"/>
      <c r="J2" s="247"/>
      <c r="K2" s="247"/>
      <c r="L2" s="247"/>
      <c r="M2" s="247"/>
      <c r="N2" s="248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249" t="s">
        <v>136</v>
      </c>
      <c r="I3" s="250"/>
      <c r="J3" s="250"/>
      <c r="K3" s="250"/>
      <c r="L3" s="250"/>
      <c r="M3" s="250"/>
      <c r="N3" s="251"/>
    </row>
    <row r="4" spans="1:14" ht="18.600000000000001" customHeight="1" thickBot="1" x14ac:dyDescent="0.35">
      <c r="A4" s="29" t="s">
        <v>38</v>
      </c>
      <c r="B4" s="252" t="s">
        <v>131</v>
      </c>
      <c r="C4" s="253"/>
      <c r="D4" s="253"/>
      <c r="E4" s="253"/>
      <c r="F4" s="254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55" t="s">
        <v>12</v>
      </c>
      <c r="E7" s="238"/>
      <c r="F7" s="239"/>
      <c r="G7" s="255" t="s">
        <v>143</v>
      </c>
      <c r="H7" s="238"/>
      <c r="I7" s="240"/>
      <c r="J7" s="1" t="s">
        <v>144</v>
      </c>
    </row>
    <row r="8" spans="1:14" ht="27.6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7"/>
      <c r="B9" s="112">
        <v>0</v>
      </c>
      <c r="C9" s="113">
        <v>50000000</v>
      </c>
      <c r="D9" s="114">
        <v>21601934</v>
      </c>
      <c r="E9" s="119">
        <f>($B$13*D9+$C$13*D9*D9)*$G$13</f>
        <v>402592.96987355122</v>
      </c>
      <c r="F9" s="85">
        <f>($E$13*D9+$F$13*D9*D9)*$G$13</f>
        <v>5869805.5007563764</v>
      </c>
      <c r="G9" s="120">
        <v>21601934</v>
      </c>
      <c r="H9" s="121">
        <f>($B$13*G9+$C$13*G9*G9)*$G$13</f>
        <v>402592.96987355122</v>
      </c>
      <c r="I9" s="115">
        <f>($E$13*G9+$F$13*G9*G9)*$G$13</f>
        <v>5869805.5007563764</v>
      </c>
      <c r="J9" s="123">
        <f>G9/I9</f>
        <v>3.6801788402045688</v>
      </c>
      <c r="K9" s="1" t="s">
        <v>142</v>
      </c>
    </row>
    <row r="10" spans="1:14" ht="14.4" thickBot="1" x14ac:dyDescent="0.35"/>
    <row r="11" spans="1:14" ht="50.4" customHeight="1" x14ac:dyDescent="0.3">
      <c r="A11" s="235" t="s">
        <v>42</v>
      </c>
      <c r="B11" s="238" t="s">
        <v>138</v>
      </c>
      <c r="C11" s="238"/>
      <c r="D11" s="238" t="s">
        <v>125</v>
      </c>
      <c r="E11" s="238" t="s">
        <v>137</v>
      </c>
      <c r="F11" s="238"/>
      <c r="G11" s="240" t="s">
        <v>134</v>
      </c>
      <c r="J11" s="32"/>
    </row>
    <row r="12" spans="1:14" ht="24.6" customHeight="1" x14ac:dyDescent="0.3">
      <c r="A12" s="236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41"/>
      <c r="H12" s="198" t="s">
        <v>205</v>
      </c>
      <c r="I12" s="198" t="s">
        <v>206</v>
      </c>
      <c r="J12" s="32"/>
    </row>
    <row r="13" spans="1:14" ht="14.4" thickBot="1" x14ac:dyDescent="0.35">
      <c r="A13" s="237"/>
      <c r="B13" s="12">
        <v>1.8615094382687998E-2</v>
      </c>
      <c r="C13" s="12">
        <v>1.0091848743878766E-12</v>
      </c>
      <c r="D13" s="111">
        <f>JJ_Optim_Scenario!$D$31</f>
        <v>14.58</v>
      </c>
      <c r="E13" s="12">
        <v>0.271408076099591</v>
      </c>
      <c r="F13" s="12">
        <v>1.4713915468575239E-11</v>
      </c>
      <c r="G13" s="14">
        <v>1</v>
      </c>
      <c r="H13" s="158">
        <f>JJ_Optim_Scenario!$I$31</f>
        <v>104.31</v>
      </c>
      <c r="I13" s="158">
        <f>JJ_Optim_Scenario!$F$31</f>
        <v>1319</v>
      </c>
      <c r="J13" s="32"/>
    </row>
    <row r="14" spans="1:14" ht="31.8" customHeight="1" x14ac:dyDescent="0.3">
      <c r="A14" s="242" t="s">
        <v>135</v>
      </c>
      <c r="B14" s="242"/>
      <c r="C14" s="242"/>
      <c r="D14" s="242"/>
      <c r="E14" s="242"/>
      <c r="F14" s="242"/>
      <c r="G14" s="242"/>
      <c r="H14" s="39"/>
      <c r="I14" s="39"/>
      <c r="J14" s="39"/>
    </row>
    <row r="15" spans="1:14" ht="30.6" customHeight="1" x14ac:dyDescent="0.3">
      <c r="A15" s="243"/>
      <c r="B15" s="243"/>
      <c r="C15" s="243"/>
      <c r="D15" s="243"/>
      <c r="E15" s="243"/>
      <c r="F15" s="243"/>
      <c r="G15" s="243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5"/>
      <c r="B19" s="103">
        <v>0</v>
      </c>
      <c r="C19" s="103">
        <v>60000000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1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($B$13*A24+$C$13*A24*A24)*$G$13</f>
        <v>55854.365811933487</v>
      </c>
      <c r="C24" s="116">
        <f t="shared" ref="C24:C43" si="1">($E$13*A24+$F$13*A24*A24)*$G$13</f>
        <v>814356.65353799029</v>
      </c>
      <c r="D24" s="199">
        <f t="shared" ref="D24:D43" si="2">B24*$I$13</f>
        <v>73671908.505940273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1628978.1575544148</v>
      </c>
      <c r="D25" s="199">
        <f t="shared" si="2"/>
        <v>147367777.07916826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2443864.5120492736</v>
      </c>
      <c r="D26" s="199">
        <f t="shared" si="2"/>
        <v>221087605.71968397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3259015.7170225671</v>
      </c>
      <c r="D27" s="199">
        <f t="shared" si="2"/>
        <v>294831394.42748737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4074431.7724742941</v>
      </c>
      <c r="D28" s="199">
        <f t="shared" si="2"/>
        <v>368599143.20257849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4890112.6784044569</v>
      </c>
      <c r="D29" s="199">
        <f t="shared" si="2"/>
        <v>442390852.04495734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5706058.4348130533</v>
      </c>
      <c r="D30" s="199">
        <f t="shared" si="2"/>
        <v>516206520.95462394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6522269.0417000838</v>
      </c>
      <c r="D31" s="199">
        <f t="shared" si="2"/>
        <v>590046149.93157816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7338744.4990655482</v>
      </c>
      <c r="D32" s="199">
        <f t="shared" si="2"/>
        <v>663909738.97582018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8155484.8069094475</v>
      </c>
      <c r="D33" s="199">
        <f t="shared" si="2"/>
        <v>737797288.08735001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8972489.9652317818</v>
      </c>
      <c r="D34" s="199">
        <f t="shared" si="2"/>
        <v>811708797.2661674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9789759.9740325511</v>
      </c>
      <c r="D35" s="199">
        <f t="shared" si="2"/>
        <v>885644266.5122726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10607294.833311751</v>
      </c>
      <c r="D36" s="199">
        <f t="shared" si="2"/>
        <v>959603695.82566535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11425094.543069389</v>
      </c>
      <c r="D37" s="199">
        <f t="shared" si="2"/>
        <v>1033587085.2063459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12243159.103305459</v>
      </c>
      <c r="D38" s="199">
        <f t="shared" si="2"/>
        <v>1107594434.6543143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13061488.514019966</v>
      </c>
      <c r="D39" s="199">
        <f t="shared" si="2"/>
        <v>1181625744.1695702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13880082.775212904</v>
      </c>
      <c r="D40" s="199">
        <f t="shared" si="2"/>
        <v>1255681013.7521141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14698941.886884278</v>
      </c>
      <c r="D41" s="199">
        <f t="shared" si="2"/>
        <v>1329760243.4019456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15518065.849034088</v>
      </c>
      <c r="D42" s="199">
        <f t="shared" si="2"/>
        <v>1403863433.1190648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16337454.661662331</v>
      </c>
      <c r="D43" s="199">
        <f t="shared" si="2"/>
        <v>1477990582.9034717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E16" sqref="E16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246" t="s">
        <v>105</v>
      </c>
      <c r="I2" s="247"/>
      <c r="J2" s="247"/>
      <c r="K2" s="247"/>
      <c r="L2" s="247"/>
      <c r="M2" s="247"/>
      <c r="N2" s="248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249" t="s">
        <v>136</v>
      </c>
      <c r="I3" s="250"/>
      <c r="J3" s="250"/>
      <c r="K3" s="250"/>
      <c r="L3" s="250"/>
      <c r="M3" s="250"/>
      <c r="N3" s="251"/>
    </row>
    <row r="4" spans="1:14" ht="18.600000000000001" customHeight="1" thickBot="1" x14ac:dyDescent="0.35">
      <c r="A4" s="29" t="s">
        <v>38</v>
      </c>
      <c r="B4" s="252" t="s">
        <v>131</v>
      </c>
      <c r="C4" s="253"/>
      <c r="D4" s="253"/>
      <c r="E4" s="253"/>
      <c r="F4" s="254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55" t="s">
        <v>12</v>
      </c>
      <c r="E7" s="238"/>
      <c r="F7" s="239"/>
      <c r="G7" s="255" t="s">
        <v>143</v>
      </c>
      <c r="H7" s="238"/>
      <c r="I7" s="240"/>
      <c r="J7" s="1" t="s">
        <v>144</v>
      </c>
    </row>
    <row r="8" spans="1:14" ht="27.6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237"/>
      <c r="B9" s="112">
        <f>JJ_Optim_Scenario!E19</f>
        <v>3804716</v>
      </c>
      <c r="C9" s="113">
        <f>JJ_Optim_Scenario!H19</f>
        <v>4565659.2</v>
      </c>
      <c r="D9" s="114">
        <f>JJ_Optim_Scenario!I19</f>
        <v>4565659.2</v>
      </c>
      <c r="E9" s="119">
        <f>($B$13*D9+$C$13*D9*D9)*$G$13</f>
        <v>15669.92327450355</v>
      </c>
      <c r="F9" s="85">
        <f>($E$13*D9+$F$13*D9*D9)*$G$13</f>
        <v>228467.48134226177</v>
      </c>
      <c r="G9" s="120">
        <f>JJ_Optim_Scenario!E19</f>
        <v>3804716</v>
      </c>
      <c r="H9" s="121">
        <f>($B$13*G9+$C$13*G9*G9)*$G$13</f>
        <v>13058.170083390574</v>
      </c>
      <c r="I9" s="115">
        <f>($E$13*G9+$F$13*G9*G9)*$G$13</f>
        <v>190388.11981583459</v>
      </c>
      <c r="J9" s="123">
        <f>G9/I9</f>
        <v>19.983999020949213</v>
      </c>
      <c r="K9" s="1" t="s">
        <v>142</v>
      </c>
    </row>
    <row r="10" spans="1:14" ht="14.4" thickBot="1" x14ac:dyDescent="0.35"/>
    <row r="11" spans="1:14" ht="50.4" customHeight="1" x14ac:dyDescent="0.3">
      <c r="A11" s="235" t="s">
        <v>42</v>
      </c>
      <c r="B11" s="238" t="s">
        <v>138</v>
      </c>
      <c r="C11" s="238"/>
      <c r="D11" s="238" t="s">
        <v>125</v>
      </c>
      <c r="E11" s="238" t="s">
        <v>137</v>
      </c>
      <c r="F11" s="238"/>
      <c r="G11" s="240" t="s">
        <v>134</v>
      </c>
      <c r="J11" s="32"/>
    </row>
    <row r="12" spans="1:14" ht="24.6" customHeight="1" x14ac:dyDescent="0.3">
      <c r="A12" s="236"/>
      <c r="B12" s="91" t="s">
        <v>43</v>
      </c>
      <c r="C12" s="91" t="s">
        <v>44</v>
      </c>
      <c r="D12" s="210"/>
      <c r="E12" s="91" t="s">
        <v>132</v>
      </c>
      <c r="F12" s="91" t="s">
        <v>133</v>
      </c>
      <c r="G12" s="241"/>
      <c r="H12" s="198" t="s">
        <v>205</v>
      </c>
      <c r="I12" s="198" t="s">
        <v>206</v>
      </c>
      <c r="J12" s="32"/>
    </row>
    <row r="13" spans="1:14" ht="14.4" thickBot="1" x14ac:dyDescent="0.35">
      <c r="A13" s="237"/>
      <c r="B13" s="12">
        <v>3.4319706183708132E-3</v>
      </c>
      <c r="C13" s="12">
        <v>3.4302626130901291E-14</v>
      </c>
      <c r="D13" s="111">
        <f>JJ_Optim_Scenario!$D$31</f>
        <v>14.58</v>
      </c>
      <c r="E13" s="12">
        <v>5.0038131615846457E-2</v>
      </c>
      <c r="F13" s="12">
        <v>5.0013228898854081E-13</v>
      </c>
      <c r="G13" s="196">
        <f>JJ_Optim_Scenario!D19</f>
        <v>1</v>
      </c>
      <c r="H13" s="158">
        <f>JJ_Optim_Scenario!$I$31</f>
        <v>104.31</v>
      </c>
      <c r="I13" s="158">
        <f>JJ_Optim_Scenario!$F$31</f>
        <v>1319</v>
      </c>
      <c r="J13" s="32"/>
    </row>
    <row r="14" spans="1:14" ht="31.8" customHeight="1" x14ac:dyDescent="0.3">
      <c r="A14" s="242" t="s">
        <v>135</v>
      </c>
      <c r="B14" s="242"/>
      <c r="C14" s="242"/>
      <c r="D14" s="242"/>
      <c r="E14" s="242"/>
      <c r="F14" s="242"/>
      <c r="G14" s="242"/>
      <c r="H14" s="39"/>
      <c r="I14" s="39"/>
      <c r="J14" s="39"/>
    </row>
    <row r="15" spans="1:14" ht="30.6" customHeight="1" x14ac:dyDescent="0.3">
      <c r="A15" s="243"/>
      <c r="B15" s="243"/>
      <c r="C15" s="243"/>
      <c r="D15" s="243"/>
      <c r="E15" s="243"/>
      <c r="F15" s="243"/>
      <c r="G15" s="243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245"/>
      <c r="B19" s="103">
        <v>0</v>
      </c>
      <c r="C19" s="103">
        <v>10000000</v>
      </c>
      <c r="D19" s="26">
        <v>20</v>
      </c>
    </row>
    <row r="21" spans="1:4" x14ac:dyDescent="0.3">
      <c r="A21" s="210" t="s">
        <v>37</v>
      </c>
      <c r="B21" s="210"/>
      <c r="C21" s="210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198" t="s">
        <v>207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1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($B$13*A24+$C$13*A24*A24)*$G$13</f>
        <v>1715.9938848419392</v>
      </c>
      <c r="C24" s="116">
        <f t="shared" ref="C24:C43" si="1">($E$13*A24+$F$13*A24*A24)*$G$13</f>
        <v>25019.190840995474</v>
      </c>
      <c r="D24" s="199">
        <f t="shared" ref="D24:D43" si="2">B24*$I$13</f>
        <v>2263395.934106518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50038.631748135442</v>
      </c>
      <c r="D25" s="199">
        <f t="shared" si="2"/>
        <v>4526814.4907949688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75058.322721419914</v>
      </c>
      <c r="D26" s="199">
        <f t="shared" si="2"/>
        <v>6790255.6700653536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100078.26376084886</v>
      </c>
      <c r="D27" s="199">
        <f t="shared" si="2"/>
        <v>9053719.4719176721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125098.45486642233</v>
      </c>
      <c r="D28" s="199">
        <f t="shared" si="2"/>
        <v>11317205.896351924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150118.89603814026</v>
      </c>
      <c r="D29" s="199">
        <f t="shared" si="2"/>
        <v>13580714.943368107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175139.58727600271</v>
      </c>
      <c r="D30" s="199">
        <f t="shared" si="2"/>
        <v>15844246.612966226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200160.52858000965</v>
      </c>
      <c r="D31" s="199">
        <f t="shared" si="2"/>
        <v>18107800.905146275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225181.71995016106</v>
      </c>
      <c r="D32" s="199">
        <f t="shared" si="2"/>
        <v>20371377.819908265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250203.16138645701</v>
      </c>
      <c r="D33" s="199">
        <f t="shared" si="2"/>
        <v>22634977.357252184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275224.85288889741</v>
      </c>
      <c r="D34" s="199">
        <f t="shared" si="2"/>
        <v>24898599.517178033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300246.79445748235</v>
      </c>
      <c r="D35" s="199">
        <f t="shared" si="2"/>
        <v>27162244.299685817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325268.98609221174</v>
      </c>
      <c r="D36" s="199">
        <f t="shared" si="2"/>
        <v>29425911.704775531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350291.42779308563</v>
      </c>
      <c r="D37" s="199">
        <f t="shared" si="2"/>
        <v>31689601.732447188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375314.11956010404</v>
      </c>
      <c r="D38" s="199">
        <f t="shared" si="2"/>
        <v>33953314.382700771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400337.06139326689</v>
      </c>
      <c r="D39" s="199">
        <f t="shared" si="2"/>
        <v>36217049.655536287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425360.25329257431</v>
      </c>
      <c r="D40" s="199">
        <f t="shared" si="2"/>
        <v>38480807.550953746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450383.69525802619</v>
      </c>
      <c r="D41" s="199">
        <f t="shared" si="2"/>
        <v>40744588.068953127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475407.38728962251</v>
      </c>
      <c r="D42" s="199">
        <f t="shared" si="2"/>
        <v>43008391.209534436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500431.32938736345</v>
      </c>
      <c r="D43" s="199">
        <f t="shared" si="2"/>
        <v>45272216.97269769</v>
      </c>
    </row>
  </sheetData>
  <mergeCells count="15"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  <mergeCell ref="A18:A19"/>
    <mergeCell ref="A21:C21"/>
    <mergeCell ref="A11:A13"/>
    <mergeCell ref="B11:C11"/>
    <mergeCell ref="D11:D12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workbookViewId="0">
      <selection activeCell="C12" sqref="C12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221" t="s">
        <v>105</v>
      </c>
      <c r="N2" s="222"/>
      <c r="O2" s="222"/>
      <c r="P2" s="222"/>
      <c r="Q2" s="222"/>
      <c r="R2" s="222"/>
      <c r="S2" s="223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224" t="s">
        <v>72</v>
      </c>
      <c r="N3" s="225"/>
      <c r="O3" s="225"/>
      <c r="P3" s="225"/>
      <c r="Q3" s="225"/>
      <c r="R3" s="225"/>
      <c r="S3" s="226"/>
    </row>
    <row r="4" spans="1:25" ht="15" customHeight="1" thickBot="1" x14ac:dyDescent="0.35">
      <c r="A4" s="29" t="s">
        <v>38</v>
      </c>
      <c r="B4" s="252" t="s">
        <v>57</v>
      </c>
      <c r="C4" s="253"/>
      <c r="D4" s="253"/>
      <c r="E4" s="253"/>
      <c r="F4" s="254"/>
    </row>
    <row r="6" spans="1:25" ht="14.4" thickBot="1" x14ac:dyDescent="0.35"/>
    <row r="7" spans="1:25" ht="27.6" customHeight="1" x14ac:dyDescent="0.3">
      <c r="A7" s="235" t="s">
        <v>8</v>
      </c>
      <c r="B7" s="238" t="s">
        <v>9</v>
      </c>
      <c r="C7" s="238"/>
      <c r="D7" s="238" t="s">
        <v>12</v>
      </c>
      <c r="E7" s="238"/>
      <c r="F7" s="238"/>
      <c r="G7" s="238" t="s">
        <v>143</v>
      </c>
      <c r="H7" s="238"/>
      <c r="I7" s="240"/>
      <c r="J7" s="256" t="s">
        <v>144</v>
      </c>
      <c r="K7" s="257"/>
      <c r="M7" s="267" t="s">
        <v>73</v>
      </c>
      <c r="N7" s="267"/>
      <c r="O7" s="267"/>
      <c r="P7" s="267"/>
      <c r="R7" s="47" t="s">
        <v>58</v>
      </c>
    </row>
    <row r="8" spans="1:25" ht="27.6" x14ac:dyDescent="0.3">
      <c r="A8" s="236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267"/>
      <c r="N8" s="267"/>
      <c r="O8" s="267"/>
      <c r="P8" s="267"/>
      <c r="R8" s="47" t="s">
        <v>59</v>
      </c>
    </row>
    <row r="9" spans="1:25" ht="14.4" thickBot="1" x14ac:dyDescent="0.35">
      <c r="A9" s="237"/>
      <c r="B9" s="112">
        <f>JJ_Optim_Scenario!G20</f>
        <v>3552000</v>
      </c>
      <c r="C9" s="112">
        <f>JJ_Optim_Scenario!H20</f>
        <v>5328000</v>
      </c>
      <c r="D9" s="117">
        <f>JJ_Optim_Scenario!I20</f>
        <v>4517823.1942819115</v>
      </c>
      <c r="E9" s="118">
        <f>csplinePred($B$14:$B$20,$C$14:$C$20,$H$14:$O$20,D9)*$C$12</f>
        <v>2256.9722703966468</v>
      </c>
      <c r="F9" s="118">
        <f>E9*$C$11</f>
        <v>32906.655702383112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32484.644891698143</v>
      </c>
      <c r="J9" s="123">
        <f>G9/I9</f>
        <v>136.67996109554818</v>
      </c>
      <c r="K9" s="1" t="s">
        <v>142</v>
      </c>
    </row>
    <row r="10" spans="1:25" ht="14.4" thickBot="1" x14ac:dyDescent="0.35"/>
    <row r="11" spans="1:25" ht="27.6" customHeight="1" x14ac:dyDescent="0.3">
      <c r="A11" s="235" t="s">
        <v>148</v>
      </c>
      <c r="B11" s="93" t="s">
        <v>149</v>
      </c>
      <c r="C11" s="10">
        <f>JJ_Optim_Scenario!$D$31</f>
        <v>14.58</v>
      </c>
      <c r="D11" s="198" t="s">
        <v>205</v>
      </c>
      <c r="E11" s="198" t="s">
        <v>206</v>
      </c>
    </row>
    <row r="12" spans="1:25" ht="38.4" customHeight="1" thickBot="1" x14ac:dyDescent="0.35">
      <c r="A12" s="237"/>
      <c r="B12" s="137" t="s">
        <v>134</v>
      </c>
      <c r="C12" s="196">
        <f>JJ_Optim_Scenario!D20</f>
        <v>1</v>
      </c>
      <c r="D12" s="158">
        <f>JJ_Optim_Scenario!$I$31</f>
        <v>104.31</v>
      </c>
      <c r="E12" s="158">
        <f>JJ_Optim_Scenario!$F$31</f>
        <v>1319</v>
      </c>
    </row>
    <row r="13" spans="1:25" ht="13.8" customHeight="1" x14ac:dyDescent="0.3">
      <c r="A13" s="235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258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236"/>
      <c r="B14" s="125">
        <v>0</v>
      </c>
      <c r="C14" s="127">
        <v>0</v>
      </c>
      <c r="D14" s="133">
        <f>C14*$C$11</f>
        <v>0</v>
      </c>
      <c r="E14" s="130"/>
      <c r="G14" s="259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236"/>
      <c r="B15" s="124">
        <v>1823251.2350824692</v>
      </c>
      <c r="C15" s="127">
        <f>(B15/$B$16)*$C$16*1.15</f>
        <v>1100.9472644677069</v>
      </c>
      <c r="D15" s="133">
        <f>C15*$C$11</f>
        <v>16051.811115939166</v>
      </c>
      <c r="E15" s="131" t="s">
        <v>150</v>
      </c>
      <c r="G15" s="259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236"/>
      <c r="B16" s="138">
        <v>3692448.4012890165</v>
      </c>
      <c r="C16" s="126">
        <v>1938.816</v>
      </c>
      <c r="D16" s="139">
        <f>C16*$C$11</f>
        <v>28267.937280000002</v>
      </c>
      <c r="E16" s="128" t="s">
        <v>155</v>
      </c>
      <c r="G16" s="259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236"/>
      <c r="B17" s="124">
        <v>5469753.7052474078</v>
      </c>
      <c r="C17" s="127">
        <f>(B17/$B$16)*$C$16*0.9</f>
        <v>2584.8327078807038</v>
      </c>
      <c r="D17" s="133">
        <f t="shared" ref="D17:D20" si="0">C17*$C$11</f>
        <v>37686.860880900662</v>
      </c>
      <c r="E17" s="131" t="s">
        <v>154</v>
      </c>
      <c r="G17" s="259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236"/>
      <c r="B18" s="124">
        <v>7293004.9403298767</v>
      </c>
      <c r="C18" s="127">
        <f>(B18/$B$16)*$C$16*0.8</f>
        <v>3063.5054315623152</v>
      </c>
      <c r="D18" s="133">
        <f t="shared" si="0"/>
        <v>44665.909192178558</v>
      </c>
      <c r="E18" s="132" t="s">
        <v>151</v>
      </c>
      <c r="G18" s="259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236"/>
      <c r="B19" s="124">
        <v>10939507.410494816</v>
      </c>
      <c r="C19" s="127">
        <f>(B19/$B$16)*$C$16*0.65</f>
        <v>3733.647244716572</v>
      </c>
      <c r="D19" s="133">
        <f t="shared" si="0"/>
        <v>54436.576827967619</v>
      </c>
      <c r="E19" s="131" t="s">
        <v>152</v>
      </c>
      <c r="G19" s="259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237"/>
      <c r="B20" s="134">
        <v>21879014.820989631</v>
      </c>
      <c r="C20" s="135">
        <f>(B20/$B$16)*$C$16*0.4</f>
        <v>4595.258147343473</v>
      </c>
      <c r="D20" s="136">
        <f t="shared" si="0"/>
        <v>66998.86378826783</v>
      </c>
      <c r="E20" s="131" t="s">
        <v>153</v>
      </c>
      <c r="G20" s="260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261" t="s">
        <v>74</v>
      </c>
      <c r="B21" s="262"/>
      <c r="C21" s="263"/>
      <c r="D21" s="33"/>
      <c r="G21" s="243" t="s">
        <v>75</v>
      </c>
      <c r="H21" s="243"/>
      <c r="I21" s="243"/>
      <c r="J21" s="243"/>
      <c r="K21" s="243"/>
      <c r="L21" s="243"/>
      <c r="M21" s="243"/>
      <c r="N21" s="243"/>
      <c r="O21" s="243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264"/>
      <c r="B22" s="265"/>
      <c r="C22" s="266"/>
      <c r="D22" s="33"/>
      <c r="G22" s="243"/>
      <c r="H22" s="243"/>
      <c r="I22" s="243"/>
      <c r="J22" s="243"/>
      <c r="K22" s="243"/>
      <c r="L22" s="243"/>
      <c r="M22" s="243"/>
      <c r="N22" s="243"/>
      <c r="O22" s="243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244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245"/>
      <c r="B26" s="103">
        <v>0</v>
      </c>
      <c r="C26" s="103">
        <v>20000000</v>
      </c>
      <c r="D26" s="26">
        <v>20</v>
      </c>
    </row>
    <row r="28" spans="1:25" x14ac:dyDescent="0.3">
      <c r="A28" s="210" t="s">
        <v>37</v>
      </c>
      <c r="B28" s="210"/>
      <c r="C28" s="210"/>
    </row>
    <row r="29" spans="1:25" x14ac:dyDescent="0.3">
      <c r="A29" s="91" t="s">
        <v>35</v>
      </c>
      <c r="B29" s="91" t="s">
        <v>127</v>
      </c>
      <c r="C29" s="91" t="s">
        <v>156</v>
      </c>
      <c r="D29" s="198" t="s">
        <v>207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1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9179.0562495034792</v>
      </c>
      <c r="D31" s="199">
        <f t="shared" ref="D31:D50" si="2">B31*$E$12</f>
        <v>830396.10377881257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17391.389236181065</v>
      </c>
      <c r="D32" s="199">
        <f t="shared" si="2"/>
        <v>1573336.241599645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24138.827754638471</v>
      </c>
      <c r="D33" s="199">
        <f t="shared" si="2"/>
        <v>2183752.6617536447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30033.539986075008</v>
      </c>
      <c r="D34" s="199">
        <f t="shared" si="2"/>
        <v>2717026.0110859354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35425.123264128131</v>
      </c>
      <c r="D35" s="199">
        <f t="shared" si="2"/>
        <v>3204783.0991347739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39976.918645787257</v>
      </c>
      <c r="D36" s="199">
        <f t="shared" si="2"/>
        <v>3616567.6058843201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43686.137041238318</v>
      </c>
      <c r="D37" s="199">
        <f t="shared" si="2"/>
        <v>3952127.2124412442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46899.154123351931</v>
      </c>
      <c r="D38" s="199">
        <f t="shared" si="2"/>
        <v>4242797.2763169548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49765.352765581381</v>
      </c>
      <c r="D39" s="199">
        <f t="shared" si="2"/>
        <v>4502091.9271469023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52312.029808294283</v>
      </c>
      <c r="D40" s="199">
        <f t="shared" si="2"/>
        <v>4732480.6116008339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54564.992033654358</v>
      </c>
      <c r="D41" s="199">
        <f t="shared" si="2"/>
        <v>4936297.9761584429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56549.81299528871</v>
      </c>
      <c r="D42" s="199">
        <f t="shared" si="2"/>
        <v>5115857.5679551307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58291.287630721868</v>
      </c>
      <c r="D43" s="199">
        <f t="shared" si="2"/>
        <v>5273402.4955364978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59814.048591145343</v>
      </c>
      <c r="D44" s="199">
        <f t="shared" si="2"/>
        <v>5411161.1859890744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61142.728527750667</v>
      </c>
      <c r="D45" s="199">
        <f t="shared" si="2"/>
        <v>5531362.0663993917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62301.960091729314</v>
      </c>
      <c r="D46" s="199">
        <f t="shared" si="2"/>
        <v>5636233.5638539754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63316.375934272823</v>
      </c>
      <c r="D47" s="199">
        <f t="shared" si="2"/>
        <v>5728004.1054393593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64210.608706572675</v>
      </c>
      <c r="D48" s="199">
        <f t="shared" si="2"/>
        <v>5808902.1182420691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65009.291059820411</v>
      </c>
      <c r="D49" s="199">
        <f t="shared" si="2"/>
        <v>5881156.029348637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65737.055645207511</v>
      </c>
      <c r="D50" s="199">
        <f t="shared" si="2"/>
        <v>5946994.2658455903</v>
      </c>
    </row>
  </sheetData>
  <mergeCells count="16">
    <mergeCell ref="M2:S2"/>
    <mergeCell ref="M3:S3"/>
    <mergeCell ref="A7:A9"/>
    <mergeCell ref="B7:C7"/>
    <mergeCell ref="M7:P8"/>
    <mergeCell ref="B4:F4"/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</mergeCells>
  <pageMargins left="0.7" right="0.7" top="0.75" bottom="0.75" header="0.3" footer="0.3"/>
  <pageSetup orientation="portrait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79998168889431442"/>
  </sheetPr>
  <dimension ref="A1:R42"/>
  <sheetViews>
    <sheetView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71" t="s">
        <v>111</v>
      </c>
      <c r="C4" s="271"/>
      <c r="D4" s="271"/>
      <c r="E4" s="271"/>
      <c r="F4" s="2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35" t="s">
        <v>8</v>
      </c>
      <c r="B7" s="238" t="s">
        <v>9</v>
      </c>
      <c r="C7" s="239"/>
      <c r="D7" s="273" t="s">
        <v>12</v>
      </c>
      <c r="E7" s="274"/>
      <c r="F7" s="275"/>
      <c r="G7" s="238" t="s">
        <v>143</v>
      </c>
      <c r="H7" s="238"/>
      <c r="I7" s="240"/>
      <c r="J7" s="1" t="s">
        <v>144</v>
      </c>
    </row>
    <row r="8" spans="1:18" ht="28.2" customHeight="1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7"/>
      <c r="B9" s="80">
        <f>JJ_Optim_Scenario!G21</f>
        <v>18363200</v>
      </c>
      <c r="C9" s="80">
        <f>JJ_Optim_Scenario!H21</f>
        <v>27544800</v>
      </c>
      <c r="D9" s="95">
        <f>JJ_Optim_Scenario!I21</f>
        <v>27544800</v>
      </c>
      <c r="E9" s="118">
        <f>((($R$12/(1+EXP($P$12+$Q$12*D9)))-1) - ($F$12-$C$12))*$I$12</f>
        <v>161617.28299123794</v>
      </c>
      <c r="F9" s="145">
        <f>E9*$G$12</f>
        <v>2356379.9860122493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2018049.0519838764</v>
      </c>
      <c r="J9" s="123">
        <f>G9/I9</f>
        <v>11.374351865944334</v>
      </c>
      <c r="K9" s="1" t="s">
        <v>142</v>
      </c>
    </row>
    <row r="10" spans="1:18" ht="14.4" thickBot="1" x14ac:dyDescent="0.35"/>
    <row r="11" spans="1:18" ht="51.6" customHeight="1" x14ac:dyDescent="0.3">
      <c r="A11" s="235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4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7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f>JJ_Optim_Scenario!$D$31</f>
        <v>14.58</v>
      </c>
      <c r="H12" s="98">
        <f>C12*G12</f>
        <v>1978496.8017817349</v>
      </c>
      <c r="I12" s="197">
        <f>JJ_Optim_Scenario!D21</f>
        <v>1</v>
      </c>
      <c r="K12" s="245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4"/>
      <c r="B14" s="265"/>
      <c r="C14" s="265"/>
      <c r="D14" s="265"/>
      <c r="E14" s="265"/>
      <c r="F14" s="266"/>
      <c r="G14" s="158">
        <f>JJ_Optim_Scenario!$I$31</f>
        <v>104.31</v>
      </c>
      <c r="H14" s="158">
        <f>JJ_Optim_Scenario!$F$31</f>
        <v>1319</v>
      </c>
      <c r="K14" s="264"/>
      <c r="L14" s="265"/>
      <c r="M14" s="265"/>
      <c r="N14" s="265"/>
      <c r="O14" s="265"/>
      <c r="P14" s="265"/>
      <c r="Q14" s="265"/>
      <c r="R14" s="266"/>
    </row>
    <row r="16" spans="1:18" ht="14.4" thickBot="1" x14ac:dyDescent="0.35"/>
    <row r="17" spans="1:8" ht="42.6" customHeight="1" x14ac:dyDescent="0.3">
      <c r="A17" s="244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5"/>
      <c r="B18" s="102">
        <v>0</v>
      </c>
      <c r="C18" s="103">
        <v>60000000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297254.23855530831</v>
      </c>
      <c r="D23" s="1">
        <f>(B23-B22)/A23</f>
        <v>6.7959359523390109E-3</v>
      </c>
      <c r="E23" s="199">
        <f t="shared" ref="E23:E42" si="2">B23*$H$14</f>
        <v>26891518.563405465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583886.53821244533</v>
      </c>
      <c r="D24" s="1">
        <f t="shared" ref="D24:D42" si="4">(B24-B23)/A24</f>
        <v>3.276546635312494E-3</v>
      </c>
      <c r="E24" s="199">
        <f t="shared" si="2"/>
        <v>52822108.635268539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860189.61231652321</v>
      </c>
      <c r="D25" s="1">
        <f t="shared" si="4"/>
        <v>2.1056475697613011E-3</v>
      </c>
      <c r="E25" s="199">
        <f t="shared" si="2"/>
        <v>77818250.93590495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1126455.0150630728</v>
      </c>
      <c r="D26" s="1">
        <f t="shared" si="4"/>
        <v>1.5218644418527063E-3</v>
      </c>
      <c r="E26" s="199">
        <f t="shared" si="2"/>
        <v>101906321.32154958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1382972.5018485775</v>
      </c>
      <c r="D27" s="1">
        <f t="shared" si="4"/>
        <v>1.1729194640398026E-3</v>
      </c>
      <c r="E27" s="199">
        <f t="shared" si="2"/>
        <v>125112532.91757707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1630029.4468531767</v>
      </c>
      <c r="D28" s="1">
        <f t="shared" si="4"/>
        <v>9.4138448790046902E-4</v>
      </c>
      <c r="E28" s="199">
        <f t="shared" si="2"/>
        <v>147462883.42931002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1867910.3155366876</v>
      </c>
      <c r="D29" s="1">
        <f t="shared" si="4"/>
        <v>7.7693144125517988E-4</v>
      </c>
      <c r="E29" s="199">
        <f t="shared" si="2"/>
        <v>168983107.42063725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2096896.1896097637</v>
      </c>
      <c r="D30" s="1">
        <f t="shared" si="4"/>
        <v>6.5439493047861222E-4</v>
      </c>
      <c r="E30" s="199">
        <f t="shared" si="2"/>
        <v>189698633.33986819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2317264.3419553088</v>
      </c>
      <c r="D31" s="1">
        <f t="shared" si="4"/>
        <v>5.5979310152300251E-4</v>
      </c>
      <c r="E31" s="199">
        <f t="shared" si="2"/>
        <v>209634545.06440687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2529287.8589213705</v>
      </c>
      <c r="D32" s="1">
        <f t="shared" si="4"/>
        <v>4.847359784317824E-4</v>
      </c>
      <c r="E32" s="199">
        <f t="shared" si="2"/>
        <v>228815547.7309525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2733235.3073775992</v>
      </c>
      <c r="D33" s="1">
        <f t="shared" si="4"/>
        <v>4.2388379360732597E-4</v>
      </c>
      <c r="E33" s="199">
        <f t="shared" si="2"/>
        <v>247265937.61529857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2929370.4439246543</v>
      </c>
      <c r="D34" s="1">
        <f t="shared" si="4"/>
        <v>3.7367614797106946E-4</v>
      </c>
      <c r="E34" s="199">
        <f t="shared" si="2"/>
        <v>265009575.82555684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3117951.963662724</v>
      </c>
      <c r="D35" s="1">
        <f t="shared" si="4"/>
        <v>3.3164770802657288E-4</v>
      </c>
      <c r="E35" s="199">
        <f t="shared" si="2"/>
        <v>282069865.57415175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3299233.2859603721</v>
      </c>
      <c r="D36" s="1">
        <f t="shared" si="4"/>
        <v>2.9603717143126277E-4</v>
      </c>
      <c r="E36" s="199">
        <f t="shared" si="2"/>
        <v>298469732.7971009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3473462.3747162502</v>
      </c>
      <c r="D37" s="1">
        <f t="shared" si="4"/>
        <v>2.6555264251772312E-4</v>
      </c>
      <c r="E37" s="199">
        <f t="shared" si="2"/>
        <v>314231609.89374036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3640881.5906692483</v>
      </c>
      <c r="D38" s="1">
        <f t="shared" si="4"/>
        <v>2.3922498850165478E-4</v>
      </c>
      <c r="E38" s="199">
        <f t="shared" si="2"/>
        <v>329377422.36575711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3801727.5733869057</v>
      </c>
      <c r="D39" s="1">
        <f t="shared" si="4"/>
        <v>2.1631294913480387E-4</v>
      </c>
      <c r="E39" s="199">
        <f t="shared" si="2"/>
        <v>343928578.14110625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3956231.1506453403</v>
      </c>
      <c r="D40" s="1">
        <f t="shared" si="4"/>
        <v>1.9623987356911379E-4</v>
      </c>
      <c r="E40" s="199">
        <f t="shared" si="2"/>
        <v>357905959.37593991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4104617.2730022375</v>
      </c>
      <c r="D41" s="1">
        <f t="shared" si="4"/>
        <v>1.7855043240788541E-4</v>
      </c>
      <c r="E41" s="199">
        <f t="shared" si="2"/>
        <v>371329916.535662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4247104.9714602269</v>
      </c>
      <c r="D42" s="1">
        <f t="shared" si="4"/>
        <v>1.6288031373798537E-4</v>
      </c>
      <c r="E42" s="199">
        <f t="shared" si="2"/>
        <v>384220264.56488615</v>
      </c>
    </row>
  </sheetData>
  <mergeCells count="11">
    <mergeCell ref="A20:C20"/>
    <mergeCell ref="B4:F4"/>
    <mergeCell ref="A7:A9"/>
    <mergeCell ref="B7:C7"/>
    <mergeCell ref="D7:F7"/>
    <mergeCell ref="A11:A12"/>
    <mergeCell ref="G7:I7"/>
    <mergeCell ref="K13:R14"/>
    <mergeCell ref="K11:K12"/>
    <mergeCell ref="A13:F14"/>
    <mergeCell ref="A17:A18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3" tint="0.79998168889431442"/>
  </sheetPr>
  <dimension ref="A1:R42"/>
  <sheetViews>
    <sheetView topLeftCell="A2"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71" t="s">
        <v>111</v>
      </c>
      <c r="C4" s="271"/>
      <c r="D4" s="271"/>
      <c r="E4" s="271"/>
      <c r="F4" s="2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235" t="s">
        <v>8</v>
      </c>
      <c r="B7" s="238" t="s">
        <v>9</v>
      </c>
      <c r="C7" s="239"/>
      <c r="D7" s="273" t="s">
        <v>12</v>
      </c>
      <c r="E7" s="274"/>
      <c r="F7" s="275"/>
      <c r="G7" s="238" t="s">
        <v>143</v>
      </c>
      <c r="H7" s="238"/>
      <c r="I7" s="240"/>
      <c r="J7" s="1" t="s">
        <v>144</v>
      </c>
    </row>
    <row r="8" spans="1:18" ht="28.2" customHeight="1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7"/>
      <c r="B9" s="80">
        <f>JJ_Optim_Scenario!G22</f>
        <v>6255187.2000000002</v>
      </c>
      <c r="C9" s="80">
        <f>JJ_Optim_Scenario!H22</f>
        <v>9382780.7999999989</v>
      </c>
      <c r="D9" s="95">
        <f>JJ_Optim_Scenario!I22</f>
        <v>9382780.7999999989</v>
      </c>
      <c r="E9" s="118">
        <f>((($R$12/(1+EXP($P$12+$Q$12*D9)))-1) - ($F$12-$C$12))*$I$12</f>
        <v>38504.59611640498</v>
      </c>
      <c r="F9" s="145">
        <f>E9*$G$12</f>
        <v>561397.01137718465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478349.49312681123</v>
      </c>
      <c r="J9" s="123">
        <f>G9/I9</f>
        <v>16.345755796436425</v>
      </c>
      <c r="K9" s="1" t="s">
        <v>142</v>
      </c>
    </row>
    <row r="10" spans="1:18" ht="14.4" thickBot="1" x14ac:dyDescent="0.35"/>
    <row r="11" spans="1:18" ht="51.6" customHeight="1" x14ac:dyDescent="0.3">
      <c r="A11" s="235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244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7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f>JJ_Optim_Scenario!$D$31</f>
        <v>14.58</v>
      </c>
      <c r="H12" s="98">
        <f>C12*G12</f>
        <v>435096.36</v>
      </c>
      <c r="I12" s="197">
        <f>JJ_Optim_Scenario!D22</f>
        <v>1</v>
      </c>
      <c r="K12" s="245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4"/>
      <c r="B14" s="265"/>
      <c r="C14" s="265"/>
      <c r="D14" s="265"/>
      <c r="E14" s="265"/>
      <c r="F14" s="266"/>
      <c r="G14" s="158">
        <f>JJ_Optim_Scenario!$I$31</f>
        <v>104.31</v>
      </c>
      <c r="H14" s="158">
        <f>JJ_Optim_Scenario!$F$31</f>
        <v>1319</v>
      </c>
      <c r="K14" s="264"/>
      <c r="L14" s="265"/>
      <c r="M14" s="265"/>
      <c r="N14" s="265"/>
      <c r="O14" s="265"/>
      <c r="P14" s="265"/>
      <c r="Q14" s="265"/>
      <c r="R14" s="266"/>
    </row>
    <row r="16" spans="1:18" ht="14.4" thickBot="1" x14ac:dyDescent="0.35"/>
    <row r="17" spans="1:8" ht="42.6" customHeight="1" x14ac:dyDescent="0.3">
      <c r="A17" s="244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5"/>
      <c r="B18" s="102">
        <v>0</v>
      </c>
      <c r="C18" s="103">
        <v>30000000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100538.91309705841</v>
      </c>
      <c r="D23" s="1">
        <f>(B23-B22)/A23</f>
        <v>4.5971153679496297E-3</v>
      </c>
      <c r="E23" s="199">
        <f t="shared" ref="E23:E42" si="2">B23*$H$14</f>
        <v>9095392.7554883435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196726.83717164566</v>
      </c>
      <c r="D24" s="1">
        <f t="shared" ref="D24:D42" si="4">(B24-B23)/A24</f>
        <v>2.1990837694235766E-3</v>
      </c>
      <c r="E24" s="199">
        <f t="shared" si="2"/>
        <v>17797167.231097437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288741.30899238476</v>
      </c>
      <c r="D25" s="1">
        <f t="shared" si="4"/>
        <v>1.4024458439374963E-3</v>
      </c>
      <c r="E25" s="199">
        <f t="shared" si="2"/>
        <v>26121384.537788443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376753.56349487905</v>
      </c>
      <c r="D26" s="1">
        <f t="shared" si="4"/>
        <v>1.0060842992969169E-3</v>
      </c>
      <c r="E26" s="199">
        <f t="shared" si="2"/>
        <v>34083535.682424247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460928.67296254874</v>
      </c>
      <c r="D27" s="1">
        <f t="shared" si="4"/>
        <v>7.6977694986437759E-4</v>
      </c>
      <c r="E27" s="199">
        <f t="shared" si="2"/>
        <v>41698554.158957601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541425.69145626714</v>
      </c>
      <c r="D28" s="1">
        <f t="shared" si="4"/>
        <v>6.1345083442858111E-4</v>
      </c>
      <c r="E28" s="199">
        <f t="shared" si="2"/>
        <v>48980829.014459282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618397.80342381413</v>
      </c>
      <c r="D29" s="1">
        <f t="shared" si="4"/>
        <v>5.0278994034585502E-4</v>
      </c>
      <c r="E29" s="199">
        <f t="shared" si="2"/>
        <v>55944218.293279201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691992.47551862395</v>
      </c>
      <c r="D30" s="1">
        <f t="shared" si="4"/>
        <v>4.2063712902840538E-4</v>
      </c>
      <c r="E30" s="199">
        <f t="shared" si="2"/>
        <v>62602062.771540806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762351.61074836389</v>
      </c>
      <c r="D31" s="1">
        <f t="shared" si="4"/>
        <v>3.574614399722605E-4</v>
      </c>
      <c r="E31" s="199">
        <f t="shared" si="2"/>
        <v>68967199.902406856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829611.70416189637</v>
      </c>
      <c r="D32" s="1">
        <f t="shared" si="4"/>
        <v>3.0754500874957691E-4</v>
      </c>
      <c r="E32" s="199">
        <f t="shared" si="2"/>
        <v>75051977.90051724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893903.99936124031</v>
      </c>
      <c r="D33" s="1">
        <f t="shared" si="4"/>
        <v>2.6724984494884581E-4</v>
      </c>
      <c r="E33" s="199">
        <f t="shared" si="2"/>
        <v>80868269.901061445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955354.64520199155</v>
      </c>
      <c r="D34" s="1">
        <f t="shared" si="4"/>
        <v>2.3415121871952176E-4</v>
      </c>
      <c r="E34" s="199">
        <f t="shared" si="2"/>
        <v>86427488.135900334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1014084.8521134729</v>
      </c>
      <c r="D35" s="1">
        <f t="shared" si="4"/>
        <v>2.0657102075720635E-4</v>
      </c>
      <c r="E35" s="199">
        <f t="shared" si="2"/>
        <v>91740598.075286061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1070211.0475348698</v>
      </c>
      <c r="D36" s="1">
        <f t="shared" si="4"/>
        <v>1.8331110922136299E-4</v>
      </c>
      <c r="E36" s="199">
        <f t="shared" si="2"/>
        <v>96818132.489608586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1123845.0300224621</v>
      </c>
      <c r="D37" s="1">
        <f t="shared" si="4"/>
        <v>1.63493316529774E-4</v>
      </c>
      <c r="E37" s="199">
        <f t="shared" si="2"/>
        <v>101670205.39092097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1175094.1216376177</v>
      </c>
      <c r="D38" s="1">
        <f t="shared" si="4"/>
        <v>1.4645945248958499E-4</v>
      </c>
      <c r="E38" s="199">
        <f t="shared" si="2"/>
        <v>106306525.81893127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1224061.3182753886</v>
      </c>
      <c r="D39" s="1">
        <f t="shared" si="4"/>
        <v>1.3170659952599774E-4</v>
      </c>
      <c r="E39" s="199">
        <f t="shared" si="2"/>
        <v>110736411.44068843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1270845.4376392283</v>
      </c>
      <c r="D40" s="1">
        <f t="shared" si="4"/>
        <v>1.1884397542000644E-4</v>
      </c>
      <c r="E40" s="199">
        <f t="shared" si="2"/>
        <v>114968801.93732113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1315541.2646095406</v>
      </c>
      <c r="D41" s="1">
        <f t="shared" si="4"/>
        <v>1.0756341773232348E-4</v>
      </c>
      <c r="E41" s="199">
        <f t="shared" si="2"/>
        <v>119012272.15500575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1358239.6937915403</v>
      </c>
      <c r="D42" s="1">
        <f t="shared" si="4"/>
        <v>9.7618722409692897E-5</v>
      </c>
      <c r="E42" s="199">
        <f t="shared" si="2"/>
        <v>122875045.00075731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3" tint="0.79998168889431442"/>
  </sheetPr>
  <dimension ref="A1:R42"/>
  <sheetViews>
    <sheetView topLeftCell="A2" workbookViewId="0">
      <selection activeCell="G13" sqref="G13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271" t="s">
        <v>111</v>
      </c>
      <c r="C4" s="271"/>
      <c r="D4" s="271"/>
      <c r="E4" s="271"/>
      <c r="F4" s="2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235" t="s">
        <v>8</v>
      </c>
      <c r="B7" s="238" t="s">
        <v>9</v>
      </c>
      <c r="C7" s="239"/>
      <c r="D7" s="273" t="s">
        <v>12</v>
      </c>
      <c r="E7" s="274"/>
      <c r="F7" s="275"/>
      <c r="G7" s="238" t="s">
        <v>143</v>
      </c>
      <c r="H7" s="238"/>
      <c r="I7" s="240"/>
      <c r="J7" s="1" t="s">
        <v>144</v>
      </c>
    </row>
    <row r="8" spans="1:18" ht="28.2" customHeight="1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7"/>
      <c r="B9" s="80">
        <f>JJ_Optim_Scenario!G23</f>
        <v>2828756</v>
      </c>
      <c r="C9" s="80">
        <f>JJ_Optim_Scenario!H23</f>
        <v>4243134</v>
      </c>
      <c r="D9" s="95">
        <f>JJ_Optim_Scenario!I23</f>
        <v>4243134</v>
      </c>
      <c r="E9" s="118">
        <f>((($R$12/(1+EXP($P$12+$Q$12*D9)))-1) - ($F$12-$C$12))*$I$12</f>
        <v>8578.7385901790112</v>
      </c>
      <c r="F9" s="145">
        <f>E9*$G$12</f>
        <v>125078.00864480999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105223.86</v>
      </c>
      <c r="J9" s="123">
        <f>G9/I9</f>
        <v>33.604022889865476</v>
      </c>
      <c r="K9" s="1" t="s">
        <v>142</v>
      </c>
    </row>
    <row r="10" spans="1:18" ht="14.4" thickBot="1" x14ac:dyDescent="0.35"/>
    <row r="11" spans="1:18" ht="61.8" customHeight="1" x14ac:dyDescent="0.3">
      <c r="A11" s="235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244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7"/>
      <c r="B12" s="158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f>JJ_Optim_Scenario!$D$31</f>
        <v>14.58</v>
      </c>
      <c r="H12" s="98">
        <f>C12*G12</f>
        <v>105223.86</v>
      </c>
      <c r="I12" s="197">
        <f>JJ_Optim_Scenario!D23</f>
        <v>1</v>
      </c>
      <c r="K12" s="245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4"/>
      <c r="B14" s="265"/>
      <c r="C14" s="265"/>
      <c r="D14" s="265"/>
      <c r="E14" s="265"/>
      <c r="F14" s="266"/>
      <c r="G14" s="158">
        <f>JJ_Optim_Scenario!$I$31</f>
        <v>104.31</v>
      </c>
      <c r="H14" s="158">
        <f>JJ_Optim_Scenario!$F$31</f>
        <v>1319</v>
      </c>
      <c r="K14" s="264"/>
      <c r="L14" s="265"/>
      <c r="M14" s="265"/>
      <c r="N14" s="265"/>
      <c r="O14" s="265"/>
      <c r="P14" s="265"/>
      <c r="Q14" s="265"/>
      <c r="R14" s="266"/>
    </row>
    <row r="16" spans="1:18" ht="14.4" thickBot="1" x14ac:dyDescent="0.35"/>
    <row r="17" spans="1:8" ht="42.6" customHeight="1" x14ac:dyDescent="0.3">
      <c r="A17" s="244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5"/>
      <c r="B18" s="102">
        <v>0</v>
      </c>
      <c r="C18" s="103">
        <v>20000000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198" t="s">
        <v>207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1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30793.66007956121</v>
      </c>
      <c r="D23" s="1">
        <f>(B23-B22)/A23</f>
        <v>2.1120480164308099E-3</v>
      </c>
      <c r="E23" s="199">
        <f t="shared" ref="E23:E42" si="2">B23*$H$14</f>
        <v>2785791.3336722385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60759.784734371271</v>
      </c>
      <c r="D24" s="1">
        <f t="shared" ref="D24:D42" si="4">(B24-B23)/A24</f>
        <v>1.0276448784228415E-3</v>
      </c>
      <c r="E24" s="199">
        <f t="shared" si="2"/>
        <v>5496718.5229516942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89919.970506032609</v>
      </c>
      <c r="D25" s="1">
        <f t="shared" si="4"/>
        <v>6.6667091384685286E-4</v>
      </c>
      <c r="E25" s="199">
        <f t="shared" si="2"/>
        <v>8134735.329043691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118295.28493133298</v>
      </c>
      <c r="D26" s="1">
        <f t="shared" si="4"/>
        <v>4.8654517190158369E-4</v>
      </c>
      <c r="E26" s="199">
        <f t="shared" si="2"/>
        <v>10701747.655996446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145906.27761678849</v>
      </c>
      <c r="D27" s="1">
        <f t="shared" si="4"/>
        <v>3.7875161434095352E-4</v>
      </c>
      <c r="E27" s="199">
        <f t="shared" si="2"/>
        <v>13199614.552575035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172772.99118774696</v>
      </c>
      <c r="D28" s="1">
        <f t="shared" si="4"/>
        <v>3.0711835357748592E-4</v>
      </c>
      <c r="E28" s="199">
        <f t="shared" si="2"/>
        <v>15630149.202787258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198914.9721062124</v>
      </c>
      <c r="D29" s="1">
        <f t="shared" si="4"/>
        <v>2.5614325806844445E-4</v>
      </c>
      <c r="E29" s="199">
        <f t="shared" si="2"/>
        <v>17995119.904533207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224351.28135324939</v>
      </c>
      <c r="D30" s="1">
        <f t="shared" si="4"/>
        <v>2.180753536268603E-4</v>
      </c>
      <c r="E30" s="199">
        <f t="shared" si="2"/>
        <v>20296251.036003835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249100.50497117388</v>
      </c>
      <c r="D31" s="1">
        <f t="shared" si="4"/>
        <v>1.886086238220127E-4</v>
      </c>
      <c r="E31" s="199">
        <f t="shared" si="2"/>
        <v>22535224.009394951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273180.76446186443</v>
      </c>
      <c r="D32" s="1">
        <f t="shared" si="4"/>
        <v>1.6515953011447563E-4</v>
      </c>
      <c r="E32" s="199">
        <f t="shared" si="2"/>
        <v>24713678.211604882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296609.72703808395</v>
      </c>
      <c r="D33" s="1">
        <f t="shared" si="4"/>
        <v>1.460840664435686E-4</v>
      </c>
      <c r="E33" s="199">
        <f t="shared" si="2"/>
        <v>26833211.93163462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319404.61572463508</v>
      </c>
      <c r="D34" s="1">
        <f t="shared" si="4"/>
        <v>1.3028628650292134E-4</v>
      </c>
      <c r="E34" s="199">
        <f t="shared" si="2"/>
        <v>28895383.274402857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341582.21930686373</v>
      </c>
      <c r="D35" s="1">
        <f t="shared" si="4"/>
        <v>1.1700751072189842E-4</v>
      </c>
      <c r="E35" s="199">
        <f t="shared" si="2"/>
        <v>30901711.060751252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363158.90212475957</v>
      </c>
      <c r="D36" s="1">
        <f t="shared" si="4"/>
        <v>1.0570587310354624E-4</v>
      </c>
      <c r="E36" s="199">
        <f t="shared" si="2"/>
        <v>32853675.713481337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384150.61371045368</v>
      </c>
      <c r="D37" s="1">
        <f t="shared" si="4"/>
        <v>9.5984049317302799E-5</v>
      </c>
      <c r="E37" s="199">
        <f t="shared" si="2"/>
        <v>34752720.129224174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404572.89826786373</v>
      </c>
      <c r="D38" s="1">
        <f t="shared" si="4"/>
        <v>8.7544086751586289E-5</v>
      </c>
      <c r="E38" s="199">
        <f t="shared" si="2"/>
        <v>36600250.536029652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424440.90399361809</v>
      </c>
      <c r="D39" s="1">
        <f t="shared" si="4"/>
        <v>8.0158176897258005E-5</v>
      </c>
      <c r="E39" s="199">
        <f t="shared" si="2"/>
        <v>38397637.336596861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443769.39223802311</v>
      </c>
      <c r="D40" s="1">
        <f t="shared" si="4"/>
        <v>7.3649170265222588E-5</v>
      </c>
      <c r="E40" s="199">
        <f t="shared" si="2"/>
        <v>40146215.93703378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462572.74650588329</v>
      </c>
      <c r="D41" s="1">
        <f t="shared" si="4"/>
        <v>6.7877244487257778E-5</v>
      </c>
      <c r="E41" s="199">
        <f t="shared" si="2"/>
        <v>41847287.561128944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480864.98129671277</v>
      </c>
      <c r="D42" s="1">
        <f t="shared" si="4"/>
        <v>6.2730571985011917E-5</v>
      </c>
      <c r="E42" s="199">
        <f t="shared" si="2"/>
        <v>43502120.050093561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A17:A18"/>
    <mergeCell ref="A20:C20"/>
    <mergeCell ref="K13:R14"/>
    <mergeCell ref="A11:A12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3" tint="0.79998168889431442"/>
  </sheetPr>
  <dimension ref="A1:R42"/>
  <sheetViews>
    <sheetView workbookViewId="0">
      <selection activeCell="B12" sqref="B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271" t="s">
        <v>111</v>
      </c>
      <c r="C4" s="271"/>
      <c r="D4" s="271"/>
      <c r="E4" s="271"/>
      <c r="F4" s="272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235" t="s">
        <v>8</v>
      </c>
      <c r="B7" s="238" t="s">
        <v>9</v>
      </c>
      <c r="C7" s="239"/>
      <c r="D7" s="273" t="s">
        <v>12</v>
      </c>
      <c r="E7" s="274"/>
      <c r="F7" s="275"/>
      <c r="G7" s="238" t="s">
        <v>143</v>
      </c>
      <c r="H7" s="238"/>
      <c r="I7" s="240"/>
      <c r="J7" s="1" t="s">
        <v>144</v>
      </c>
    </row>
    <row r="8" spans="1:18" ht="28.2" customHeight="1" x14ac:dyDescent="0.3">
      <c r="A8" s="236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237"/>
      <c r="B9" s="80">
        <f>JJ_Optim_Scenario!G24</f>
        <v>11916244</v>
      </c>
      <c r="C9" s="158">
        <f>JJ_Optim_Scenario!H24</f>
        <v>17874366</v>
      </c>
      <c r="D9" s="158">
        <f>JJ_Optim_Scenario!I24</f>
        <v>17874366</v>
      </c>
      <c r="E9" s="118">
        <f>((($R$12/(1+EXP($P$12+$Q$12*D9)))-1) - ($F$12-$C$12))*$I$12</f>
        <v>414833.00667234883</v>
      </c>
      <c r="F9" s="145">
        <f>E9*$G$12</f>
        <v>414833.00667234883</v>
      </c>
      <c r="G9" s="80">
        <f>JJ_Optim_Scenario!E24</f>
        <v>14895305</v>
      </c>
      <c r="H9" s="121">
        <f>((($R$12/(1+EXP($P$12+$Q$12*G9)))-1) - ($F$12-$C$12))*$I$12</f>
        <v>357940.73004525341</v>
      </c>
      <c r="I9" s="146">
        <f>H9*$G$12</f>
        <v>357940.73004525341</v>
      </c>
      <c r="J9" s="123">
        <f>G9/I9</f>
        <v>41.6138867407373</v>
      </c>
      <c r="K9" s="1" t="s">
        <v>142</v>
      </c>
    </row>
    <row r="10" spans="1:18" ht="14.4" thickBot="1" x14ac:dyDescent="0.35"/>
    <row r="11" spans="1:18" ht="61.8" customHeight="1" x14ac:dyDescent="0.3">
      <c r="A11" s="235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244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237"/>
      <c r="B12" s="80">
        <v>14895305</v>
      </c>
      <c r="C12" s="86">
        <v>357940.73004525516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357940.73004525516</v>
      </c>
      <c r="I12" s="197">
        <f>JJ_Optim_Scenario!D24</f>
        <v>1</v>
      </c>
      <c r="K12" s="245"/>
      <c r="L12" s="98">
        <f>F12-C12</f>
        <v>14291059.269954745</v>
      </c>
      <c r="M12" s="98">
        <f>L12+E12</f>
        <v>15389734.269954745</v>
      </c>
      <c r="N12" s="99">
        <f>B12</f>
        <v>14895305</v>
      </c>
      <c r="O12" s="98">
        <f>F12</f>
        <v>14649000</v>
      </c>
      <c r="P12" s="24">
        <f>LN((($M$12+1)/($L$12+1))-1)</f>
        <v>-2.5655292775253753</v>
      </c>
      <c r="Q12" s="100">
        <f>(LN((($M$12+1)/($O$12+1))-1)-$P$12)/$N$12</f>
        <v>-2.8126728021741543E-8</v>
      </c>
      <c r="R12" s="101">
        <f>M12+1</f>
        <v>15389735.269954745</v>
      </c>
    </row>
    <row r="13" spans="1:18" ht="34.200000000000003" customHeight="1" x14ac:dyDescent="0.3">
      <c r="A13" s="268" t="s">
        <v>119</v>
      </c>
      <c r="B13" s="269"/>
      <c r="C13" s="269"/>
      <c r="D13" s="269"/>
      <c r="E13" s="269"/>
      <c r="F13" s="270"/>
      <c r="G13" s="198" t="s">
        <v>205</v>
      </c>
      <c r="H13" s="198" t="s">
        <v>206</v>
      </c>
      <c r="K13" s="268" t="s">
        <v>120</v>
      </c>
      <c r="L13" s="269"/>
      <c r="M13" s="269"/>
      <c r="N13" s="269"/>
      <c r="O13" s="269"/>
      <c r="P13" s="269"/>
      <c r="Q13" s="269"/>
      <c r="R13" s="270"/>
    </row>
    <row r="14" spans="1:18" ht="33.6" customHeight="1" thickBot="1" x14ac:dyDescent="0.35">
      <c r="A14" s="264"/>
      <c r="B14" s="265"/>
      <c r="C14" s="265"/>
      <c r="D14" s="265"/>
      <c r="E14" s="265"/>
      <c r="F14" s="266"/>
      <c r="G14" s="158">
        <f>JJ_Optim_Scenario!$I$31</f>
        <v>104.31</v>
      </c>
      <c r="H14" s="158">
        <f>JJ_Optim_Scenario!$F$31</f>
        <v>1319</v>
      </c>
      <c r="K14" s="264"/>
      <c r="L14" s="265"/>
      <c r="M14" s="265"/>
      <c r="N14" s="265"/>
      <c r="O14" s="265"/>
      <c r="P14" s="265"/>
      <c r="Q14" s="265"/>
      <c r="R14" s="266"/>
    </row>
    <row r="16" spans="1:18" ht="14.4" thickBot="1" x14ac:dyDescent="0.35"/>
    <row r="17" spans="1:8" ht="42.6" customHeight="1" x14ac:dyDescent="0.3">
      <c r="A17" s="244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245"/>
      <c r="B18" s="102">
        <v>0</v>
      </c>
      <c r="C18" s="103">
        <v>50000000</v>
      </c>
      <c r="D18" s="26">
        <v>20</v>
      </c>
    </row>
    <row r="20" spans="1:8" x14ac:dyDescent="0.3">
      <c r="A20" s="210" t="s">
        <v>37</v>
      </c>
      <c r="B20" s="210"/>
      <c r="C20" s="210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198" t="s">
        <v>208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-1.862645149230957E-9</v>
      </c>
      <c r="C22" s="106">
        <f>B22*$G$12</f>
        <v>-1.862645149230957E-9</v>
      </c>
      <c r="E22" s="199">
        <f>B22*$G$14</f>
        <v>-1.9429251551628113E-7</v>
      </c>
    </row>
    <row r="23" spans="1:8" x14ac:dyDescent="0.3">
      <c r="A23" s="122">
        <f>A22+(($C$18-$B$18)/$D$18)</f>
        <v>2500000</v>
      </c>
      <c r="B23" s="106">
        <f t="shared" si="0"/>
        <v>69613.343456786126</v>
      </c>
      <c r="C23" s="106">
        <f t="shared" ref="C23:C42" si="1">B23*$G$12</f>
        <v>69613.343456786126</v>
      </c>
      <c r="D23" s="1">
        <f>(B23-B22)/A23</f>
        <v>2.7845337382715194E-2</v>
      </c>
      <c r="E23" s="199">
        <f t="shared" ref="E23:E42" si="2">B23*$G$14</f>
        <v>7261367.8559773611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135113.29644636251</v>
      </c>
      <c r="C24" s="106">
        <f t="shared" si="1"/>
        <v>135113.29644636251</v>
      </c>
      <c r="D24" s="1">
        <f t="shared" ref="D24:D42" si="4">(B24-B23)/A24</f>
        <v>1.3099990597915277E-2</v>
      </c>
      <c r="E24" s="199">
        <f t="shared" si="2"/>
        <v>14093667.952320075</v>
      </c>
    </row>
    <row r="25" spans="1:8" x14ac:dyDescent="0.3">
      <c r="A25" s="122">
        <f t="shared" si="3"/>
        <v>7500000</v>
      </c>
      <c r="B25" s="106">
        <f t="shared" si="0"/>
        <v>196706.01895291917</v>
      </c>
      <c r="C25" s="106">
        <f t="shared" si="1"/>
        <v>196706.01895291917</v>
      </c>
      <c r="D25" s="1">
        <f t="shared" si="4"/>
        <v>8.2123630008742211E-3</v>
      </c>
      <c r="E25" s="199">
        <f t="shared" si="2"/>
        <v>20518404.836978998</v>
      </c>
    </row>
    <row r="26" spans="1:8" x14ac:dyDescent="0.3">
      <c r="A26" s="122">
        <f t="shared" si="3"/>
        <v>10000000</v>
      </c>
      <c r="B26" s="106">
        <f t="shared" si="0"/>
        <v>254591.97913881578</v>
      </c>
      <c r="C26" s="106">
        <f t="shared" si="1"/>
        <v>254591.97913881578</v>
      </c>
      <c r="D26" s="1">
        <f t="shared" si="4"/>
        <v>5.7885960185896602E-3</v>
      </c>
      <c r="E26" s="199">
        <f t="shared" si="2"/>
        <v>26556489.343969874</v>
      </c>
    </row>
    <row r="27" spans="1:8" x14ac:dyDescent="0.3">
      <c r="A27" s="122">
        <f t="shared" si="3"/>
        <v>12500000</v>
      </c>
      <c r="B27" s="106">
        <f t="shared" si="0"/>
        <v>308965.47104606405</v>
      </c>
      <c r="C27" s="106">
        <f t="shared" si="1"/>
        <v>308965.47104606405</v>
      </c>
      <c r="D27" s="1">
        <f t="shared" si="4"/>
        <v>4.3498793525798621E-3</v>
      </c>
      <c r="E27" s="199">
        <f t="shared" si="2"/>
        <v>32228188.284814943</v>
      </c>
    </row>
    <row r="28" spans="1:8" x14ac:dyDescent="0.3">
      <c r="A28" s="122">
        <f t="shared" si="3"/>
        <v>15000000</v>
      </c>
      <c r="B28" s="106">
        <f t="shared" si="0"/>
        <v>360014.24244978279</v>
      </c>
      <c r="C28" s="106">
        <f t="shared" si="1"/>
        <v>360014.24244978279</v>
      </c>
      <c r="D28" s="1">
        <f t="shared" si="4"/>
        <v>3.4032514269145826E-3</v>
      </c>
      <c r="E28" s="199">
        <f t="shared" si="2"/>
        <v>37553085.629936844</v>
      </c>
    </row>
    <row r="29" spans="1:8" x14ac:dyDescent="0.3">
      <c r="A29" s="122">
        <f t="shared" si="3"/>
        <v>17500000</v>
      </c>
      <c r="B29" s="106">
        <f t="shared" si="0"/>
        <v>407919.22098019347</v>
      </c>
      <c r="C29" s="106">
        <f t="shared" si="1"/>
        <v>407919.22098019347</v>
      </c>
      <c r="D29" s="1">
        <f t="shared" si="4"/>
        <v>2.7374273445948958E-3</v>
      </c>
      <c r="E29" s="199">
        <f t="shared" si="2"/>
        <v>42550053.940443978</v>
      </c>
    </row>
    <row r="30" spans="1:8" x14ac:dyDescent="0.3">
      <c r="A30" s="122">
        <f t="shared" si="3"/>
        <v>20000000</v>
      </c>
      <c r="B30" s="106">
        <f t="shared" si="0"/>
        <v>452854.32718004286</v>
      </c>
      <c r="C30" s="106">
        <f t="shared" si="1"/>
        <v>452854.32718004286</v>
      </c>
      <c r="D30" s="1">
        <f t="shared" si="4"/>
        <v>2.2467553099924696E-3</v>
      </c>
      <c r="E30" s="199">
        <f t="shared" si="2"/>
        <v>47237234.868150271</v>
      </c>
    </row>
    <row r="31" spans="1:8" x14ac:dyDescent="0.3">
      <c r="A31" s="122">
        <f t="shared" si="3"/>
        <v>22500000</v>
      </c>
      <c r="B31" s="106">
        <f t="shared" si="0"/>
        <v>494986.36381567456</v>
      </c>
      <c r="C31" s="106">
        <f t="shared" si="1"/>
        <v>494986.36381567456</v>
      </c>
      <c r="D31" s="1">
        <f t="shared" si="4"/>
        <v>1.872534961583631E-3</v>
      </c>
      <c r="E31" s="199">
        <f t="shared" si="2"/>
        <v>51632027.609613016</v>
      </c>
    </row>
    <row r="32" spans="1:8" x14ac:dyDescent="0.3">
      <c r="A32" s="122">
        <f t="shared" si="3"/>
        <v>25000000</v>
      </c>
      <c r="B32" s="106">
        <f t="shared" si="0"/>
        <v>534474.97147820704</v>
      </c>
      <c r="C32" s="106">
        <f t="shared" si="1"/>
        <v>534474.97147820704</v>
      </c>
      <c r="D32" s="1">
        <f t="shared" si="4"/>
        <v>1.5795443065012992E-3</v>
      </c>
      <c r="E32" s="199">
        <f t="shared" si="2"/>
        <v>55751084.274891779</v>
      </c>
    </row>
    <row r="33" spans="1:5" x14ac:dyDescent="0.3">
      <c r="A33" s="122">
        <f t="shared" si="3"/>
        <v>27500000</v>
      </c>
      <c r="B33" s="106">
        <f t="shared" si="0"/>
        <v>571472.64126765914</v>
      </c>
      <c r="C33" s="106">
        <f t="shared" si="1"/>
        <v>571472.64126765914</v>
      </c>
      <c r="D33" s="1">
        <f t="shared" si="4"/>
        <v>1.3453698105255311E-3</v>
      </c>
      <c r="E33" s="199">
        <f t="shared" si="2"/>
        <v>59610311.210629523</v>
      </c>
    </row>
    <row r="34" spans="1:5" x14ac:dyDescent="0.3">
      <c r="A34" s="122">
        <f>A33+(($C$18-$B$18)/$D$18)</f>
        <v>30000000</v>
      </c>
      <c r="B34" s="106">
        <f t="shared" si="0"/>
        <v>606124.7761241179</v>
      </c>
      <c r="C34" s="106">
        <f t="shared" si="1"/>
        <v>606124.7761241179</v>
      </c>
      <c r="D34" s="1">
        <f t="shared" si="4"/>
        <v>1.1550711618819585E-3</v>
      </c>
      <c r="E34" s="199">
        <f t="shared" si="2"/>
        <v>63224875.397506736</v>
      </c>
    </row>
    <row r="35" spans="1:5" x14ac:dyDescent="0.3">
      <c r="A35" s="122">
        <f t="shared" si="3"/>
        <v>32500000</v>
      </c>
      <c r="B35" s="106">
        <f t="shared" si="0"/>
        <v>638569.79313788004</v>
      </c>
      <c r="C35" s="106">
        <f t="shared" si="1"/>
        <v>638569.79313788004</v>
      </c>
      <c r="D35" s="1">
        <f t="shared" si="4"/>
        <v>9.9830821580806613E-4</v>
      </c>
      <c r="E35" s="199">
        <f t="shared" si="2"/>
        <v>66609215.122212268</v>
      </c>
    </row>
    <row r="36" spans="1:5" x14ac:dyDescent="0.3">
      <c r="A36" s="122">
        <f t="shared" si="3"/>
        <v>35000000</v>
      </c>
      <c r="B36" s="106">
        <f t="shared" si="0"/>
        <v>668939.25991971605</v>
      </c>
      <c r="C36" s="106">
        <f t="shared" si="1"/>
        <v>668939.25991971605</v>
      </c>
      <c r="D36" s="1">
        <f t="shared" si="4"/>
        <v>8.6769905090960009E-4</v>
      </c>
      <c r="E36" s="199">
        <f t="shared" si="2"/>
        <v>69777054.202225581</v>
      </c>
    </row>
    <row r="37" spans="1:5" x14ac:dyDescent="0.3">
      <c r="A37" s="122">
        <f t="shared" si="3"/>
        <v>37500000</v>
      </c>
      <c r="B37" s="106">
        <f t="shared" si="0"/>
        <v>697358.05883310176</v>
      </c>
      <c r="C37" s="106">
        <f t="shared" si="1"/>
        <v>697358.05883310176</v>
      </c>
      <c r="D37" s="1">
        <f t="shared" si="4"/>
        <v>7.5783463769028587E-4</v>
      </c>
      <c r="E37" s="199">
        <f t="shared" si="2"/>
        <v>72741419.116880849</v>
      </c>
    </row>
    <row r="38" spans="1:5" x14ac:dyDescent="0.3">
      <c r="A38" s="122">
        <f t="shared" si="3"/>
        <v>40000000</v>
      </c>
      <c r="B38" s="106">
        <f t="shared" si="0"/>
        <v>723944.57357360981</v>
      </c>
      <c r="C38" s="106">
        <f t="shared" si="1"/>
        <v>723944.57357360981</v>
      </c>
      <c r="D38" s="1">
        <f t="shared" si="4"/>
        <v>6.6466286851270121E-4</v>
      </c>
      <c r="E38" s="199">
        <f t="shared" si="2"/>
        <v>75514658.469463244</v>
      </c>
    </row>
    <row r="39" spans="1:5" x14ac:dyDescent="0.3">
      <c r="A39" s="122">
        <f t="shared" si="3"/>
        <v>42500000</v>
      </c>
      <c r="B39" s="106">
        <f t="shared" si="0"/>
        <v>748810.89322213084</v>
      </c>
      <c r="C39" s="106">
        <f t="shared" si="1"/>
        <v>748810.89322213084</v>
      </c>
      <c r="D39" s="1">
        <f t="shared" si="4"/>
        <v>5.8508987408284756E-4</v>
      </c>
      <c r="E39" s="199">
        <f t="shared" si="2"/>
        <v>78108464.272000462</v>
      </c>
    </row>
    <row r="40" spans="1:5" x14ac:dyDescent="0.3">
      <c r="A40" s="122">
        <f t="shared" si="3"/>
        <v>45000000</v>
      </c>
      <c r="B40" s="106">
        <f t="shared" si="0"/>
        <v>772063.02949445881</v>
      </c>
      <c r="C40" s="106">
        <f t="shared" si="1"/>
        <v>772063.02949445881</v>
      </c>
      <c r="D40" s="1">
        <f t="shared" si="4"/>
        <v>5.1671413938506614E-4</v>
      </c>
      <c r="E40" s="199">
        <f t="shared" si="2"/>
        <v>80533894.606566995</v>
      </c>
    </row>
    <row r="41" spans="1:5" x14ac:dyDescent="0.3">
      <c r="A41" s="122">
        <f>A40+(($C$18-$B$18)/$D$18)</f>
        <v>47500000</v>
      </c>
      <c r="B41" s="106">
        <f t="shared" si="0"/>
        <v>793801.14345869608</v>
      </c>
      <c r="C41" s="106">
        <f t="shared" si="1"/>
        <v>793801.14345869608</v>
      </c>
      <c r="D41" s="1">
        <f t="shared" si="4"/>
        <v>4.5764450451025838E-4</v>
      </c>
      <c r="E41" s="199">
        <f t="shared" si="2"/>
        <v>82801397.274176598</v>
      </c>
    </row>
    <row r="42" spans="1:5" x14ac:dyDescent="0.3">
      <c r="A42" s="122">
        <f t="shared" si="3"/>
        <v>50000000</v>
      </c>
      <c r="B42" s="106">
        <f t="shared" si="0"/>
        <v>814119.77849387564</v>
      </c>
      <c r="C42" s="106">
        <f t="shared" si="1"/>
        <v>814119.77849387564</v>
      </c>
      <c r="D42" s="1">
        <f t="shared" si="4"/>
        <v>4.0637270070359113E-4</v>
      </c>
      <c r="E42" s="199">
        <f t="shared" si="2"/>
        <v>84920834.094696164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2" ht="14.4" thickBot="1" x14ac:dyDescent="0.35">
      <c r="A4" s="29" t="s">
        <v>38</v>
      </c>
      <c r="B4" s="276" t="s">
        <v>39</v>
      </c>
      <c r="C4" s="276"/>
      <c r="D4" s="277"/>
    </row>
    <row r="6" spans="1:12" ht="14.4" thickBot="1" x14ac:dyDescent="0.35"/>
    <row r="7" spans="1:12" ht="27.6" customHeight="1" x14ac:dyDescent="0.3">
      <c r="A7" s="235" t="s">
        <v>8</v>
      </c>
      <c r="B7" s="238" t="s">
        <v>9</v>
      </c>
      <c r="C7" s="239"/>
      <c r="D7" s="273" t="s">
        <v>12</v>
      </c>
      <c r="E7" s="275"/>
      <c r="F7" s="274" t="s">
        <v>24</v>
      </c>
      <c r="G7" s="284"/>
    </row>
    <row r="8" spans="1:12" ht="27.6" x14ac:dyDescent="0.3">
      <c r="A8" s="23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37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235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235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237"/>
      <c r="B12" s="12">
        <v>20</v>
      </c>
      <c r="C12" s="12">
        <v>30</v>
      </c>
      <c r="D12" s="12">
        <v>0</v>
      </c>
      <c r="E12" s="14">
        <v>70</v>
      </c>
      <c r="G12" s="237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268" t="s">
        <v>30</v>
      </c>
      <c r="B13" s="269"/>
      <c r="C13" s="269"/>
      <c r="D13" s="269"/>
      <c r="E13" s="270"/>
      <c r="G13" s="278" t="s">
        <v>29</v>
      </c>
      <c r="H13" s="279"/>
      <c r="I13" s="279"/>
      <c r="J13" s="280"/>
    </row>
    <row r="14" spans="1:12" ht="33.6" customHeight="1" x14ac:dyDescent="0.3">
      <c r="A14" s="264"/>
      <c r="B14" s="265"/>
      <c r="C14" s="265"/>
      <c r="D14" s="265"/>
      <c r="E14" s="266"/>
      <c r="G14" s="281"/>
      <c r="H14" s="282"/>
      <c r="I14" s="282"/>
      <c r="J14" s="283"/>
    </row>
    <row r="16" spans="1:12" ht="14.4" thickBot="1" x14ac:dyDescent="0.35"/>
    <row r="17" spans="1:4" ht="16.8" customHeight="1" x14ac:dyDescent="0.3">
      <c r="A17" s="244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245"/>
      <c r="B18" s="12">
        <v>0</v>
      </c>
      <c r="C18" s="12">
        <v>100</v>
      </c>
      <c r="D18" s="26">
        <v>20</v>
      </c>
    </row>
    <row r="20" spans="1:4" x14ac:dyDescent="0.3">
      <c r="A20" s="210" t="s">
        <v>37</v>
      </c>
      <c r="B20" s="210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2" ht="31.8" customHeight="1" thickBot="1" x14ac:dyDescent="0.35">
      <c r="A4" s="29" t="s">
        <v>38</v>
      </c>
      <c r="B4" s="288" t="s">
        <v>41</v>
      </c>
      <c r="C4" s="289"/>
      <c r="D4" s="290"/>
    </row>
    <row r="6" spans="1:12" ht="14.4" thickBot="1" x14ac:dyDescent="0.35"/>
    <row r="7" spans="1:12" ht="27.6" customHeight="1" x14ac:dyDescent="0.3">
      <c r="A7" s="235" t="s">
        <v>8</v>
      </c>
      <c r="B7" s="238" t="s">
        <v>9</v>
      </c>
      <c r="C7" s="239"/>
      <c r="D7" s="273" t="s">
        <v>12</v>
      </c>
      <c r="E7" s="275"/>
      <c r="F7" s="274" t="s">
        <v>24</v>
      </c>
      <c r="G7" s="284"/>
      <c r="H7" s="1" t="s">
        <v>54</v>
      </c>
    </row>
    <row r="8" spans="1:12" ht="27.6" x14ac:dyDescent="0.3">
      <c r="A8" s="23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237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235" t="s">
        <v>42</v>
      </c>
      <c r="B11" s="229" t="s">
        <v>47</v>
      </c>
      <c r="C11" s="285" t="s">
        <v>46</v>
      </c>
      <c r="D11" s="274"/>
      <c r="E11" s="274"/>
      <c r="F11" s="3" t="s">
        <v>48</v>
      </c>
      <c r="G11" s="33"/>
      <c r="H11" s="32"/>
      <c r="I11" s="32"/>
      <c r="J11" s="32"/>
    </row>
    <row r="12" spans="1:12" x14ac:dyDescent="0.3">
      <c r="A12" s="286"/>
      <c r="B12" s="212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287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243" t="s">
        <v>52</v>
      </c>
      <c r="B14" s="243"/>
      <c r="C14" s="243"/>
      <c r="D14" s="243"/>
      <c r="E14" s="243"/>
      <c r="F14" s="243"/>
      <c r="G14" s="38"/>
      <c r="H14" s="39"/>
      <c r="I14" s="39"/>
      <c r="J14" s="39"/>
    </row>
    <row r="15" spans="1:12" ht="30.6" customHeight="1" x14ac:dyDescent="0.3">
      <c r="A15" s="243"/>
      <c r="B15" s="243"/>
      <c r="C15" s="243"/>
      <c r="D15" s="243"/>
      <c r="E15" s="243"/>
      <c r="F15" s="243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244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245"/>
      <c r="B19" s="12">
        <v>0</v>
      </c>
      <c r="C19" s="12">
        <v>20000000</v>
      </c>
      <c r="D19" s="26">
        <v>20</v>
      </c>
    </row>
    <row r="21" spans="1:4" x14ac:dyDescent="0.3">
      <c r="A21" s="210" t="s">
        <v>37</v>
      </c>
      <c r="B21" s="210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221" t="s">
        <v>105</v>
      </c>
      <c r="G2" s="222"/>
      <c r="H2" s="222"/>
      <c r="I2" s="222"/>
      <c r="J2" s="222"/>
      <c r="K2" s="222"/>
      <c r="L2" s="223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224" t="s">
        <v>72</v>
      </c>
      <c r="G3" s="225"/>
      <c r="H3" s="225"/>
      <c r="I3" s="225"/>
      <c r="J3" s="225"/>
      <c r="K3" s="225"/>
      <c r="L3" s="226"/>
    </row>
    <row r="4" spans="1:14" ht="14.4" thickBot="1" x14ac:dyDescent="0.35">
      <c r="A4" s="29" t="s">
        <v>38</v>
      </c>
      <c r="B4" s="276" t="s">
        <v>57</v>
      </c>
      <c r="C4" s="276"/>
      <c r="D4" s="277"/>
    </row>
    <row r="6" spans="1:14" ht="14.4" thickBot="1" x14ac:dyDescent="0.35"/>
    <row r="7" spans="1:14" ht="27.6" customHeight="1" x14ac:dyDescent="0.3">
      <c r="A7" s="235" t="s">
        <v>8</v>
      </c>
      <c r="B7" s="238" t="s">
        <v>9</v>
      </c>
      <c r="C7" s="239"/>
      <c r="D7" s="273" t="s">
        <v>12</v>
      </c>
      <c r="E7" s="275"/>
      <c r="F7" s="274" t="s">
        <v>24</v>
      </c>
      <c r="G7" s="284"/>
      <c r="I7" s="267" t="s">
        <v>73</v>
      </c>
      <c r="J7" s="267"/>
      <c r="K7" s="267"/>
      <c r="L7" s="267"/>
      <c r="N7" s="47" t="s">
        <v>58</v>
      </c>
    </row>
    <row r="8" spans="1:14" ht="27.6" x14ac:dyDescent="0.3">
      <c r="A8" s="236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267"/>
      <c r="J8" s="267"/>
      <c r="K8" s="267"/>
      <c r="L8" s="267"/>
      <c r="N8" s="47" t="s">
        <v>59</v>
      </c>
    </row>
    <row r="9" spans="1:14" ht="14.4" thickBot="1" x14ac:dyDescent="0.35">
      <c r="A9" s="237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210" t="s">
        <v>60</v>
      </c>
      <c r="B11" s="3" t="s">
        <v>61</v>
      </c>
      <c r="C11" s="3" t="s">
        <v>62</v>
      </c>
      <c r="D11" s="32"/>
      <c r="E11" s="258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210"/>
      <c r="B12" s="41">
        <v>0</v>
      </c>
      <c r="C12" s="41">
        <v>0</v>
      </c>
      <c r="D12" s="32"/>
      <c r="E12" s="259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210"/>
      <c r="B13" s="41">
        <v>1</v>
      </c>
      <c r="C13" s="41">
        <v>0.75</v>
      </c>
      <c r="D13" s="32"/>
      <c r="E13" s="259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210"/>
      <c r="B14" s="41">
        <v>2</v>
      </c>
      <c r="C14" s="41">
        <v>0</v>
      </c>
      <c r="D14" s="32"/>
      <c r="E14" s="259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210"/>
      <c r="B15" s="41">
        <v>3</v>
      </c>
      <c r="C15" s="41">
        <v>-1</v>
      </c>
      <c r="D15" s="32"/>
      <c r="E15" s="259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210"/>
      <c r="B16" s="41">
        <v>4</v>
      </c>
      <c r="C16" s="41">
        <v>3</v>
      </c>
      <c r="D16" s="32"/>
      <c r="E16" s="259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210"/>
      <c r="B17" s="42">
        <v>5</v>
      </c>
      <c r="C17" s="42">
        <v>3</v>
      </c>
      <c r="D17" s="40"/>
      <c r="E17" s="259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291" t="s">
        <v>74</v>
      </c>
      <c r="B18" s="292"/>
      <c r="C18" s="293"/>
      <c r="D18" s="33"/>
      <c r="E18" s="243" t="s">
        <v>75</v>
      </c>
      <c r="F18" s="243"/>
      <c r="G18" s="243"/>
      <c r="H18" s="243"/>
      <c r="I18" s="243"/>
      <c r="J18" s="243"/>
      <c r="K18" s="243"/>
      <c r="L18" s="243"/>
      <c r="M18" s="243"/>
    </row>
    <row r="19" spans="1:13" ht="35.4" customHeight="1" x14ac:dyDescent="0.3">
      <c r="A19" s="264"/>
      <c r="B19" s="265"/>
      <c r="C19" s="266"/>
      <c r="D19" s="33"/>
      <c r="E19" s="243"/>
      <c r="F19" s="243"/>
      <c r="G19" s="243"/>
      <c r="H19" s="243"/>
      <c r="I19" s="243"/>
      <c r="J19" s="243"/>
      <c r="K19" s="243"/>
      <c r="L19" s="243"/>
      <c r="M19" s="243"/>
    </row>
    <row r="21" spans="1:13" ht="14.4" thickBot="1" x14ac:dyDescent="0.35"/>
    <row r="22" spans="1:13" ht="16.8" customHeight="1" x14ac:dyDescent="0.3">
      <c r="A22" s="244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245"/>
      <c r="B23" s="12">
        <v>0</v>
      </c>
      <c r="C23" s="12">
        <v>5</v>
      </c>
      <c r="D23" s="26">
        <v>20</v>
      </c>
    </row>
    <row r="25" spans="1:13" x14ac:dyDescent="0.3">
      <c r="A25" s="210" t="s">
        <v>37</v>
      </c>
      <c r="B25" s="210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294" t="s">
        <v>111</v>
      </c>
      <c r="C4" s="294"/>
      <c r="D4" s="294"/>
      <c r="E4" s="294"/>
      <c r="F4" s="295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235" t="s">
        <v>8</v>
      </c>
      <c r="B7" s="238" t="s">
        <v>9</v>
      </c>
      <c r="C7" s="239"/>
      <c r="D7" s="273" t="s">
        <v>12</v>
      </c>
      <c r="E7" s="275"/>
      <c r="F7" s="274" t="s">
        <v>24</v>
      </c>
      <c r="G7" s="284"/>
    </row>
    <row r="8" spans="1:15" ht="27.6" x14ac:dyDescent="0.3">
      <c r="A8" s="236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237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235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244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237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245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268" t="s">
        <v>119</v>
      </c>
      <c r="B13" s="269"/>
      <c r="C13" s="269"/>
      <c r="D13" s="269"/>
      <c r="E13" s="269"/>
      <c r="F13" s="270"/>
      <c r="H13" s="268" t="s">
        <v>120</v>
      </c>
      <c r="I13" s="269"/>
      <c r="J13" s="269"/>
      <c r="K13" s="269"/>
      <c r="L13" s="269"/>
      <c r="M13" s="269"/>
      <c r="N13" s="269"/>
      <c r="O13" s="270"/>
    </row>
    <row r="14" spans="1:15" ht="33.6" customHeight="1" x14ac:dyDescent="0.3">
      <c r="A14" s="264"/>
      <c r="B14" s="265"/>
      <c r="C14" s="265"/>
      <c r="D14" s="265"/>
      <c r="E14" s="265"/>
      <c r="F14" s="266"/>
      <c r="H14" s="264"/>
      <c r="I14" s="265"/>
      <c r="J14" s="265"/>
      <c r="K14" s="265"/>
      <c r="L14" s="265"/>
      <c r="M14" s="265"/>
      <c r="N14" s="265"/>
      <c r="O14" s="266"/>
    </row>
    <row r="16" spans="1:15" ht="14.4" thickBot="1" x14ac:dyDescent="0.35"/>
    <row r="17" spans="1:4" ht="16.8" customHeight="1" x14ac:dyDescent="0.3">
      <c r="A17" s="244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245"/>
      <c r="B18" s="102">
        <v>0</v>
      </c>
      <c r="C18" s="103">
        <v>200000000</v>
      </c>
      <c r="D18" s="26">
        <v>20</v>
      </c>
    </row>
    <row r="20" spans="1:4" x14ac:dyDescent="0.3">
      <c r="A20" s="210" t="s">
        <v>37</v>
      </c>
      <c r="B20" s="210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Charts - Idvl</vt:lpstr>
      <vt:lpstr>Charts - Idvl IRev</vt:lpstr>
      <vt:lpstr>Chart - Combined</vt:lpstr>
      <vt:lpstr>Case Notes</vt:lpstr>
      <vt:lpstr>STD20 (-15)</vt:lpstr>
      <vt:lpstr>STD20 (-10)</vt:lpstr>
      <vt:lpstr>STD20 (-5)</vt:lpstr>
      <vt:lpstr>STD20 (+0)</vt:lpstr>
      <vt:lpstr>STD20 (+5)</vt:lpstr>
      <vt:lpstr>STD20 (+10)</vt:lpstr>
      <vt:lpstr>STD20 (+15)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2013-07-22T18:33:37Z</dcterms:modified>
</cp:coreProperties>
</file>