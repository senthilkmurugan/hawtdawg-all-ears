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7" activeTab="11"/>
  </bookViews>
  <sheets>
    <sheet name="Charts - Idvl" sheetId="35" r:id="rId1"/>
    <sheet name="Charts - Idvl IRev" sheetId="38" r:id="rId2"/>
    <sheet name="Chart - Combined" sheetId="36" r:id="rId3"/>
    <sheet name="Case Notes" sheetId="37" r:id="rId4"/>
    <sheet name="STD30 (-15)" sheetId="47" r:id="rId5"/>
    <sheet name="STD30 (-10)" sheetId="48" r:id="rId6"/>
    <sheet name="STD30 (-5)" sheetId="49" r:id="rId7"/>
    <sheet name="STD30 (+0)" sheetId="46" r:id="rId8"/>
    <sheet name="STD30 (+5)" sheetId="50" r:id="rId9"/>
    <sheet name="STD30 (+10)" sheetId="51" r:id="rId10"/>
    <sheet name="STD30 (+15)" sheetId="52" r:id="rId11"/>
    <sheet name="JJ_Optim_Scenario" sheetId="23" r:id="rId12"/>
    <sheet name="JANSample" sheetId="25" r:id="rId13"/>
    <sheet name="JMTSample" sheetId="26" r:id="rId14"/>
    <sheet name="TOTSample" sheetId="27" r:id="rId15"/>
    <sheet name="JJVCH" sheetId="29" r:id="rId16"/>
    <sheet name="JJMMF" sheetId="30" r:id="rId17"/>
    <sheet name="JJHCC" sheetId="31" r:id="rId18"/>
    <sheet name="JJMCM" sheetId="32" r:id="rId19"/>
    <sheet name="JJHCC_ACQ" sheetId="33" r:id="rId20"/>
    <sheet name="JJHCC_ADH" sheetId="3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7"/>
  <definedNames>
    <definedName name="solver_adj" localSheetId="11" hidden="1">JJ_Optim_Scenario!$I$17:$I$24</definedName>
    <definedName name="solver_adj" localSheetId="7" hidden="1">'STD30 (+0)'!$I$17:$I$24</definedName>
    <definedName name="solver_adj" localSheetId="9" hidden="1">'STD30 (+10)'!$I$17:$I$24</definedName>
    <definedName name="solver_adj" localSheetId="10" hidden="1">'STD30 (+15)'!$I$17:$I$24</definedName>
    <definedName name="solver_adj" localSheetId="8" hidden="1">'STD30 (+5)'!$I$17:$I$24</definedName>
    <definedName name="solver_adj" localSheetId="5" hidden="1">'STD30 (-10)'!$I$17:$I$24</definedName>
    <definedName name="solver_adj" localSheetId="4" hidden="1">'STD30 (-15)'!$I$17:$I$24</definedName>
    <definedName name="solver_adj" localSheetId="6" hidden="1">'STD30 (-5)'!$I$17:$I$24</definedName>
    <definedName name="solver_cvg" localSheetId="11" hidden="1">0.00001</definedName>
    <definedName name="solver_cvg" localSheetId="7" hidden="1">0.00001</definedName>
    <definedName name="solver_cvg" localSheetId="9" hidden="1">0.00001</definedName>
    <definedName name="solver_cvg" localSheetId="10" hidden="1">0.00001</definedName>
    <definedName name="solver_cvg" localSheetId="8" hidden="1">0.00001</definedName>
    <definedName name="solver_cvg" localSheetId="5" hidden="1">0.00001</definedName>
    <definedName name="solver_cvg" localSheetId="4" hidden="1">0.00001</definedName>
    <definedName name="solver_cvg" localSheetId="6" hidden="1">0.00001</definedName>
    <definedName name="solver_drv" localSheetId="11" hidden="1">1</definedName>
    <definedName name="solver_drv" localSheetId="7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lhs1" localSheetId="11" hidden="1">JJ_Optim_Scenario!$I$17:$I$24</definedName>
    <definedName name="solver_lhs1" localSheetId="7" hidden="1">'STD30 (+0)'!$I$17:$I$24</definedName>
    <definedName name="solver_lhs1" localSheetId="9" hidden="1">'STD30 (+10)'!$I$17:$I$24</definedName>
    <definedName name="solver_lhs1" localSheetId="10" hidden="1">'STD30 (+15)'!$I$17:$I$24</definedName>
    <definedName name="solver_lhs1" localSheetId="8" hidden="1">'STD30 (+5)'!$I$17:$I$24</definedName>
    <definedName name="solver_lhs1" localSheetId="5" hidden="1">'STD30 (-10)'!$I$17:$I$24</definedName>
    <definedName name="solver_lhs1" localSheetId="4" hidden="1">'STD30 (-15)'!$I$17:$I$24</definedName>
    <definedName name="solver_lhs1" localSheetId="6" hidden="1">'STD30 (-5)'!$I$17:$I$24</definedName>
    <definedName name="solver_lhs2" localSheetId="11" hidden="1">JJ_Optim_Scenario!$I$17:$I$24</definedName>
    <definedName name="solver_lhs2" localSheetId="7" hidden="1">'STD30 (+0)'!$I$17:$I$24</definedName>
    <definedName name="solver_lhs2" localSheetId="9" hidden="1">'STD30 (+10)'!$I$17:$I$24</definedName>
    <definedName name="solver_lhs2" localSheetId="10" hidden="1">'STD30 (+15)'!$I$17:$I$24</definedName>
    <definedName name="solver_lhs2" localSheetId="8" hidden="1">'STD30 (+5)'!$I$17:$I$24</definedName>
    <definedName name="solver_lhs2" localSheetId="5" hidden="1">'STD30 (-10)'!$I$17:$I$24</definedName>
    <definedName name="solver_lhs2" localSheetId="4" hidden="1">'STD30 (-15)'!$I$17:$I$24</definedName>
    <definedName name="solver_lhs2" localSheetId="6" hidden="1">'STD30 (-5)'!$I$17:$I$24</definedName>
    <definedName name="solver_lhs3" localSheetId="11" hidden="1">JJ_Optim_Scenario!$I$25</definedName>
    <definedName name="solver_lhs3" localSheetId="7" hidden="1">'STD30 (+0)'!$I$25</definedName>
    <definedName name="solver_lhs3" localSheetId="9" hidden="1">'STD30 (+10)'!$I$25</definedName>
    <definedName name="solver_lhs3" localSheetId="10" hidden="1">'STD30 (+15)'!$I$25</definedName>
    <definedName name="solver_lhs3" localSheetId="8" hidden="1">'STD30 (+5)'!$I$25</definedName>
    <definedName name="solver_lhs3" localSheetId="5" hidden="1">'STD30 (-10)'!$I$25</definedName>
    <definedName name="solver_lhs3" localSheetId="4" hidden="1">'STD30 (-15)'!$I$25</definedName>
    <definedName name="solver_lhs3" localSheetId="6" hidden="1">'STD30 (-5)'!$I$25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um" localSheetId="11" hidden="1">3</definedName>
    <definedName name="solver_num" localSheetId="7" hidden="1">3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5" hidden="1">3</definedName>
    <definedName name="solver_num" localSheetId="4" hidden="1">3</definedName>
    <definedName name="solver_num" localSheetId="6" hidden="1">3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opt" localSheetId="11" hidden="1">JJ_Optim_Scenario!$B$9</definedName>
    <definedName name="solver_opt" localSheetId="7" hidden="1">'STD30 (+0)'!$B$9</definedName>
    <definedName name="solver_opt" localSheetId="9" hidden="1">'STD30 (+10)'!$B$9</definedName>
    <definedName name="solver_opt" localSheetId="10" hidden="1">'STD30 (+15)'!$B$9</definedName>
    <definedName name="solver_opt" localSheetId="8" hidden="1">'STD30 (+5)'!$B$9</definedName>
    <definedName name="solver_opt" localSheetId="5" hidden="1">'STD30 (-10)'!$B$9</definedName>
    <definedName name="solver_opt" localSheetId="4" hidden="1">'STD30 (-15)'!$B$9</definedName>
    <definedName name="solver_opt" localSheetId="6" hidden="1">'STD30 (-5)'!$B$9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rbv" localSheetId="11" hidden="1">1</definedName>
    <definedName name="solver_rbv" localSheetId="7" hidden="1">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3" localSheetId="11" hidden="1">2</definedName>
    <definedName name="solver_rel3" localSheetId="7" hidden="1">2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5" hidden="1">2</definedName>
    <definedName name="solver_rel3" localSheetId="4" hidden="1">2</definedName>
    <definedName name="solver_rel3" localSheetId="6" hidden="1">2</definedName>
    <definedName name="solver_rhs1" localSheetId="11" hidden="1">JJ_Optim_Scenario!$H$17:$H$24</definedName>
    <definedName name="solver_rhs1" localSheetId="7" hidden="1">'STD30 (+0)'!$H$17:$H$24</definedName>
    <definedName name="solver_rhs1" localSheetId="9" hidden="1">'STD30 (+10)'!$H$17:$H$24</definedName>
    <definedName name="solver_rhs1" localSheetId="10" hidden="1">'STD30 (+15)'!$H$17:$H$24</definedName>
    <definedName name="solver_rhs1" localSheetId="8" hidden="1">'STD30 (+5)'!$H$17:$H$24</definedName>
    <definedName name="solver_rhs1" localSheetId="5" hidden="1">'STD30 (-10)'!$H$17:$H$24</definedName>
    <definedName name="solver_rhs1" localSheetId="4" hidden="1">'STD30 (-15)'!$H$17:$H$24</definedName>
    <definedName name="solver_rhs1" localSheetId="6" hidden="1">'STD30 (-5)'!$H$17:$H$24</definedName>
    <definedName name="solver_rhs2" localSheetId="11" hidden="1">JJ_Optim_Scenario!$G$17:$G$24</definedName>
    <definedName name="solver_rhs2" localSheetId="7" hidden="1">'STD30 (+0)'!$G$17:$G$24</definedName>
    <definedName name="solver_rhs2" localSheetId="9" hidden="1">'STD30 (+10)'!$G$17:$G$24</definedName>
    <definedName name="solver_rhs2" localSheetId="10" hidden="1">'STD30 (+15)'!$G$17:$G$24</definedName>
    <definedName name="solver_rhs2" localSheetId="8" hidden="1">'STD30 (+5)'!$G$17:$G$24</definedName>
    <definedName name="solver_rhs2" localSheetId="5" hidden="1">'STD30 (-10)'!$G$17:$G$24</definedName>
    <definedName name="solver_rhs2" localSheetId="4" hidden="1">'STD30 (-15)'!$G$17:$G$24</definedName>
    <definedName name="solver_rhs2" localSheetId="6" hidden="1">'STD30 (-5)'!$G$17:$G$24</definedName>
    <definedName name="solver_rhs3" localSheetId="11" hidden="1">JJ_Optim_Scenario!$B$12</definedName>
    <definedName name="solver_rhs3" localSheetId="7" hidden="1">'STD30 (+0)'!$B$12</definedName>
    <definedName name="solver_rhs3" localSheetId="9" hidden="1">'STD30 (+10)'!$B$12</definedName>
    <definedName name="solver_rhs3" localSheetId="10" hidden="1">'STD30 (+15)'!$B$12</definedName>
    <definedName name="solver_rhs3" localSheetId="8" hidden="1">'STD30 (+5)'!$B$12</definedName>
    <definedName name="solver_rhs3" localSheetId="5" hidden="1">'STD30 (-10)'!$B$12</definedName>
    <definedName name="solver_rhs3" localSheetId="4" hidden="1">'STD30 (-15)'!$B$12</definedName>
    <definedName name="solver_rhs3" localSheetId="6" hidden="1">'STD30 (-5)'!$B$12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scl" localSheetId="11" hidden="1">1</definedName>
    <definedName name="solver_scl" localSheetId="7" hidden="1">1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yp" localSheetId="11" hidden="1">1</definedName>
    <definedName name="solver_typ" localSheetId="7" hidden="1">1</definedName>
    <definedName name="solver_typ" localSheetId="9" hidden="1">1</definedName>
    <definedName name="solver_typ" localSheetId="10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6" hidden="1">1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4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C42" i="52" l="1"/>
  <c r="K41" i="52"/>
  <c r="M41" i="52" s="1"/>
  <c r="H41" i="52"/>
  <c r="F41" i="52"/>
  <c r="D41" i="52"/>
  <c r="C41" i="52"/>
  <c r="I40" i="52"/>
  <c r="J40" i="52" s="1"/>
  <c r="H40" i="52"/>
  <c r="F40" i="52"/>
  <c r="G40" i="52" s="1"/>
  <c r="D40" i="52"/>
  <c r="K40" i="52" s="1"/>
  <c r="M40" i="52" s="1"/>
  <c r="C40" i="52"/>
  <c r="H39" i="52"/>
  <c r="K39" i="52" s="1"/>
  <c r="M39" i="52" s="1"/>
  <c r="D39" i="52"/>
  <c r="C39" i="52"/>
  <c r="K38" i="52"/>
  <c r="M38" i="52" s="1"/>
  <c r="H38" i="52"/>
  <c r="G38" i="52"/>
  <c r="D38" i="52"/>
  <c r="C38" i="52"/>
  <c r="K37" i="52"/>
  <c r="M37" i="52" s="1"/>
  <c r="H37" i="52"/>
  <c r="D37" i="52"/>
  <c r="C37" i="52"/>
  <c r="I36" i="52"/>
  <c r="J36" i="52" s="1"/>
  <c r="L36" i="52" s="1"/>
  <c r="N36" i="52" s="1"/>
  <c r="H36" i="52"/>
  <c r="F36" i="52"/>
  <c r="G36" i="52" s="1"/>
  <c r="D36" i="52"/>
  <c r="K36" i="52" s="1"/>
  <c r="M36" i="52" s="1"/>
  <c r="C36" i="52"/>
  <c r="H35" i="52"/>
  <c r="K35" i="52" s="1"/>
  <c r="M35" i="52" s="1"/>
  <c r="D35" i="52"/>
  <c r="C35" i="52"/>
  <c r="K34" i="52"/>
  <c r="M34" i="52" s="1"/>
  <c r="H34" i="52"/>
  <c r="D34" i="52"/>
  <c r="C34" i="52"/>
  <c r="C33" i="52"/>
  <c r="C32" i="52"/>
  <c r="U31" i="52"/>
  <c r="O31" i="52"/>
  <c r="I31" i="52"/>
  <c r="K25" i="52"/>
  <c r="M25" i="52" s="1"/>
  <c r="I25" i="52"/>
  <c r="G25" i="52"/>
  <c r="E25" i="52"/>
  <c r="M24" i="52"/>
  <c r="K24" i="52"/>
  <c r="I41" i="52"/>
  <c r="J41" i="52" s="1"/>
  <c r="H24" i="52"/>
  <c r="G24" i="52"/>
  <c r="M23" i="52"/>
  <c r="K23" i="52"/>
  <c r="L23" i="52"/>
  <c r="N23" i="52" s="1"/>
  <c r="H23" i="52"/>
  <c r="G23" i="52"/>
  <c r="M22" i="52"/>
  <c r="K22" i="52"/>
  <c r="L22" i="52"/>
  <c r="N22" i="52" s="1"/>
  <c r="H22" i="52"/>
  <c r="G22" i="52"/>
  <c r="F39" i="52"/>
  <c r="G39" i="52" s="1"/>
  <c r="M21" i="52"/>
  <c r="K21" i="52"/>
  <c r="L21" i="52"/>
  <c r="N21" i="52" s="1"/>
  <c r="H21" i="52"/>
  <c r="G21" i="52"/>
  <c r="F38" i="52"/>
  <c r="M20" i="52"/>
  <c r="K20" i="52"/>
  <c r="H20" i="52"/>
  <c r="G20" i="52"/>
  <c r="M19" i="52"/>
  <c r="K19" i="52"/>
  <c r="L19" i="52"/>
  <c r="N19" i="52" s="1"/>
  <c r="H19" i="52"/>
  <c r="G19" i="52"/>
  <c r="M18" i="52"/>
  <c r="K18" i="52"/>
  <c r="H18" i="52"/>
  <c r="G18" i="52"/>
  <c r="F35" i="52"/>
  <c r="G35" i="52" s="1"/>
  <c r="M17" i="52"/>
  <c r="K17" i="52"/>
  <c r="H17" i="52"/>
  <c r="G17" i="52"/>
  <c r="F34" i="52"/>
  <c r="G34" i="52" s="1"/>
  <c r="D12" i="52"/>
  <c r="C12" i="52"/>
  <c r="B12" i="52"/>
  <c r="B12" i="23"/>
  <c r="C42" i="51"/>
  <c r="K41" i="51"/>
  <c r="M41" i="51" s="1"/>
  <c r="H41" i="51"/>
  <c r="D41" i="51"/>
  <c r="C41" i="51"/>
  <c r="K40" i="51"/>
  <c r="M40" i="51" s="1"/>
  <c r="H40" i="51"/>
  <c r="F40" i="51"/>
  <c r="G40" i="51" s="1"/>
  <c r="D40" i="51"/>
  <c r="C40" i="51"/>
  <c r="H39" i="51"/>
  <c r="D39" i="51"/>
  <c r="K39" i="51" s="1"/>
  <c r="M39" i="51" s="1"/>
  <c r="C39" i="51"/>
  <c r="H38" i="51"/>
  <c r="K38" i="51" s="1"/>
  <c r="M38" i="51" s="1"/>
  <c r="D38" i="51"/>
  <c r="C38" i="51"/>
  <c r="K37" i="51"/>
  <c r="M37" i="51" s="1"/>
  <c r="H37" i="51"/>
  <c r="D37" i="51"/>
  <c r="C37" i="51"/>
  <c r="K36" i="51"/>
  <c r="M36" i="51" s="1"/>
  <c r="H36" i="51"/>
  <c r="F36" i="51"/>
  <c r="G36" i="51" s="1"/>
  <c r="D36" i="51"/>
  <c r="C36" i="51"/>
  <c r="H35" i="51"/>
  <c r="K35" i="51" s="1"/>
  <c r="M35" i="51" s="1"/>
  <c r="D35" i="51"/>
  <c r="C35" i="51"/>
  <c r="H34" i="51"/>
  <c r="H42" i="51" s="1"/>
  <c r="K42" i="51" s="1"/>
  <c r="M42" i="51" s="1"/>
  <c r="D34" i="51"/>
  <c r="D42" i="51" s="1"/>
  <c r="C34" i="51"/>
  <c r="C33" i="51"/>
  <c r="C32" i="51"/>
  <c r="U31" i="51"/>
  <c r="O31" i="51"/>
  <c r="I31" i="51"/>
  <c r="I25" i="51"/>
  <c r="H25" i="51"/>
  <c r="E25" i="51"/>
  <c r="K24" i="51"/>
  <c r="M24" i="51" s="1"/>
  <c r="I41" i="51"/>
  <c r="J41" i="51" s="1"/>
  <c r="H24" i="51"/>
  <c r="G24" i="51"/>
  <c r="F41" i="51"/>
  <c r="G41" i="51" s="1"/>
  <c r="K23" i="51"/>
  <c r="M23" i="51" s="1"/>
  <c r="I40" i="51"/>
  <c r="J40" i="51" s="1"/>
  <c r="H23" i="51"/>
  <c r="G23" i="51"/>
  <c r="K22" i="51"/>
  <c r="M22" i="51" s="1"/>
  <c r="I39" i="51"/>
  <c r="J39" i="51" s="1"/>
  <c r="L39" i="51" s="1"/>
  <c r="N39" i="51" s="1"/>
  <c r="H22" i="51"/>
  <c r="G22" i="51"/>
  <c r="F39" i="51"/>
  <c r="G39" i="51" s="1"/>
  <c r="K21" i="51"/>
  <c r="M21" i="51" s="1"/>
  <c r="I38" i="51"/>
  <c r="J38" i="51" s="1"/>
  <c r="L38" i="51" s="1"/>
  <c r="N38" i="51" s="1"/>
  <c r="H21" i="51"/>
  <c r="G21" i="51"/>
  <c r="F38" i="51"/>
  <c r="G38" i="51" s="1"/>
  <c r="K20" i="51"/>
  <c r="M20" i="51" s="1"/>
  <c r="H20" i="51"/>
  <c r="G20" i="51"/>
  <c r="K19" i="51"/>
  <c r="M19" i="51" s="1"/>
  <c r="I36" i="51"/>
  <c r="J36" i="51" s="1"/>
  <c r="L36" i="51" s="1"/>
  <c r="N36" i="51" s="1"/>
  <c r="H19" i="51"/>
  <c r="G19" i="51"/>
  <c r="K18" i="51"/>
  <c r="M18" i="51" s="1"/>
  <c r="L18" i="51"/>
  <c r="N18" i="51" s="1"/>
  <c r="H18" i="51"/>
  <c r="G18" i="51"/>
  <c r="F35" i="51"/>
  <c r="G35" i="51" s="1"/>
  <c r="K17" i="51"/>
  <c r="K25" i="51" s="1"/>
  <c r="M25" i="51" s="1"/>
  <c r="I34" i="51"/>
  <c r="J34" i="51" s="1"/>
  <c r="H17" i="51"/>
  <c r="G17" i="51"/>
  <c r="G25" i="51" s="1"/>
  <c r="F34" i="51"/>
  <c r="G34" i="51" s="1"/>
  <c r="D12" i="51"/>
  <c r="B12" i="51"/>
  <c r="C12" i="51" s="1"/>
  <c r="C42" i="50"/>
  <c r="I41" i="50"/>
  <c r="J41" i="50" s="1"/>
  <c r="H41" i="50"/>
  <c r="K41" i="50" s="1"/>
  <c r="M41" i="50" s="1"/>
  <c r="D41" i="50"/>
  <c r="C41" i="50"/>
  <c r="K40" i="50"/>
  <c r="M40" i="50" s="1"/>
  <c r="H40" i="50"/>
  <c r="D40" i="50"/>
  <c r="C40" i="50"/>
  <c r="K39" i="50"/>
  <c r="M39" i="50" s="1"/>
  <c r="H39" i="50"/>
  <c r="D39" i="50"/>
  <c r="C39" i="50"/>
  <c r="I38" i="50"/>
  <c r="J38" i="50" s="1"/>
  <c r="H38" i="50"/>
  <c r="K38" i="50" s="1"/>
  <c r="M38" i="50" s="1"/>
  <c r="D38" i="50"/>
  <c r="C38" i="50"/>
  <c r="H37" i="50"/>
  <c r="K37" i="50" s="1"/>
  <c r="M37" i="50" s="1"/>
  <c r="D37" i="50"/>
  <c r="C37" i="50"/>
  <c r="K36" i="50"/>
  <c r="M36" i="50" s="1"/>
  <c r="H36" i="50"/>
  <c r="D36" i="50"/>
  <c r="C36" i="50"/>
  <c r="K35" i="50"/>
  <c r="M35" i="50" s="1"/>
  <c r="H35" i="50"/>
  <c r="D35" i="50"/>
  <c r="C35" i="50"/>
  <c r="I34" i="50"/>
  <c r="J34" i="50" s="1"/>
  <c r="H34" i="50"/>
  <c r="H42" i="50" s="1"/>
  <c r="D34" i="50"/>
  <c r="D42" i="50" s="1"/>
  <c r="C34" i="50"/>
  <c r="C33" i="50"/>
  <c r="C32" i="50"/>
  <c r="U31" i="50"/>
  <c r="O31" i="50"/>
  <c r="I31" i="50"/>
  <c r="I25" i="50"/>
  <c r="E25" i="50"/>
  <c r="K24" i="50"/>
  <c r="M24" i="50" s="1"/>
  <c r="H24" i="50"/>
  <c r="G24" i="50"/>
  <c r="F41" i="50"/>
  <c r="G41" i="50" s="1"/>
  <c r="K23" i="50"/>
  <c r="M23" i="50" s="1"/>
  <c r="I40" i="50"/>
  <c r="J40" i="50" s="1"/>
  <c r="H23" i="50"/>
  <c r="G23" i="50"/>
  <c r="F40" i="50"/>
  <c r="G40" i="50" s="1"/>
  <c r="K22" i="50"/>
  <c r="M22" i="50" s="1"/>
  <c r="I39" i="50"/>
  <c r="J39" i="50" s="1"/>
  <c r="H22" i="50"/>
  <c r="G22" i="50"/>
  <c r="L22" i="50"/>
  <c r="N22" i="50" s="1"/>
  <c r="K21" i="50"/>
  <c r="M21" i="50" s="1"/>
  <c r="H21" i="50"/>
  <c r="G21" i="50"/>
  <c r="F38" i="50"/>
  <c r="G38" i="50" s="1"/>
  <c r="K20" i="50"/>
  <c r="M20" i="50" s="1"/>
  <c r="H20" i="50"/>
  <c r="G20" i="50"/>
  <c r="K19" i="50"/>
  <c r="M19" i="50" s="1"/>
  <c r="I36" i="50"/>
  <c r="J36" i="50" s="1"/>
  <c r="H19" i="50"/>
  <c r="G19" i="50"/>
  <c r="F36" i="50"/>
  <c r="G36" i="50" s="1"/>
  <c r="K18" i="50"/>
  <c r="M18" i="50" s="1"/>
  <c r="I35" i="50"/>
  <c r="J35" i="50" s="1"/>
  <c r="H18" i="50"/>
  <c r="G18" i="50"/>
  <c r="L18" i="50"/>
  <c r="N18" i="50" s="1"/>
  <c r="K17" i="50"/>
  <c r="K25" i="50" s="1"/>
  <c r="M25" i="50" s="1"/>
  <c r="H17" i="50"/>
  <c r="H25" i="50" s="1"/>
  <c r="G17" i="50"/>
  <c r="G25" i="50" s="1"/>
  <c r="L17" i="50"/>
  <c r="B12" i="50"/>
  <c r="C12" i="50" s="1"/>
  <c r="C42" i="49"/>
  <c r="I41" i="49"/>
  <c r="J41" i="49" s="1"/>
  <c r="H41" i="49"/>
  <c r="K41" i="49" s="1"/>
  <c r="M41" i="49" s="1"/>
  <c r="D41" i="49"/>
  <c r="C41" i="49"/>
  <c r="K40" i="49"/>
  <c r="M40" i="49" s="1"/>
  <c r="H40" i="49"/>
  <c r="D40" i="49"/>
  <c r="C40" i="49"/>
  <c r="K39" i="49"/>
  <c r="M39" i="49" s="1"/>
  <c r="H39" i="49"/>
  <c r="D39" i="49"/>
  <c r="C39" i="49"/>
  <c r="I38" i="49"/>
  <c r="J38" i="49" s="1"/>
  <c r="H38" i="49"/>
  <c r="D38" i="49"/>
  <c r="K38" i="49" s="1"/>
  <c r="M38" i="49" s="1"/>
  <c r="C38" i="49"/>
  <c r="H37" i="49"/>
  <c r="K37" i="49" s="1"/>
  <c r="M37" i="49" s="1"/>
  <c r="D37" i="49"/>
  <c r="C37" i="49"/>
  <c r="K36" i="49"/>
  <c r="M36" i="49" s="1"/>
  <c r="H36" i="49"/>
  <c r="D36" i="49"/>
  <c r="C36" i="49"/>
  <c r="K35" i="49"/>
  <c r="M35" i="49" s="1"/>
  <c r="H35" i="49"/>
  <c r="D35" i="49"/>
  <c r="C35" i="49"/>
  <c r="I34" i="49"/>
  <c r="J34" i="49" s="1"/>
  <c r="H34" i="49"/>
  <c r="H42" i="49" s="1"/>
  <c r="D34" i="49"/>
  <c r="K34" i="49" s="1"/>
  <c r="M34" i="49" s="1"/>
  <c r="C34" i="49"/>
  <c r="C33" i="49"/>
  <c r="C32" i="49"/>
  <c r="U31" i="49"/>
  <c r="O31" i="49"/>
  <c r="I31" i="49"/>
  <c r="I25" i="49"/>
  <c r="E25" i="49"/>
  <c r="K24" i="49"/>
  <c r="M24" i="49" s="1"/>
  <c r="H24" i="49"/>
  <c r="G24" i="49"/>
  <c r="F41" i="49"/>
  <c r="G41" i="49" s="1"/>
  <c r="K23" i="49"/>
  <c r="M23" i="49" s="1"/>
  <c r="I40" i="49"/>
  <c r="J40" i="49" s="1"/>
  <c r="H23" i="49"/>
  <c r="G23" i="49"/>
  <c r="L23" i="49"/>
  <c r="N23" i="49" s="1"/>
  <c r="K22" i="49"/>
  <c r="M22" i="49" s="1"/>
  <c r="I39" i="49"/>
  <c r="J39" i="49" s="1"/>
  <c r="H22" i="49"/>
  <c r="G22" i="49"/>
  <c r="L22" i="49"/>
  <c r="N22" i="49" s="1"/>
  <c r="K21" i="49"/>
  <c r="M21" i="49" s="1"/>
  <c r="H21" i="49"/>
  <c r="G21" i="49"/>
  <c r="F38" i="49"/>
  <c r="G38" i="49" s="1"/>
  <c r="K20" i="49"/>
  <c r="M20" i="49" s="1"/>
  <c r="H20" i="49"/>
  <c r="G20" i="49"/>
  <c r="K19" i="49"/>
  <c r="M19" i="49" s="1"/>
  <c r="I36" i="49"/>
  <c r="J36" i="49" s="1"/>
  <c r="H19" i="49"/>
  <c r="G19" i="49"/>
  <c r="F36" i="49"/>
  <c r="G36" i="49" s="1"/>
  <c r="K18" i="49"/>
  <c r="M18" i="49" s="1"/>
  <c r="I35" i="49"/>
  <c r="J35" i="49" s="1"/>
  <c r="H18" i="49"/>
  <c r="G18" i="49"/>
  <c r="L18" i="49"/>
  <c r="N18" i="49" s="1"/>
  <c r="K17" i="49"/>
  <c r="K25" i="49" s="1"/>
  <c r="M25" i="49" s="1"/>
  <c r="H17" i="49"/>
  <c r="H25" i="49" s="1"/>
  <c r="G17" i="49"/>
  <c r="G25" i="49" s="1"/>
  <c r="F34" i="49"/>
  <c r="G34" i="49" s="1"/>
  <c r="B12" i="49"/>
  <c r="C12" i="49" s="1"/>
  <c r="C42" i="48"/>
  <c r="K41" i="48"/>
  <c r="M41" i="48" s="1"/>
  <c r="H41" i="48"/>
  <c r="D41" i="48"/>
  <c r="C41" i="48"/>
  <c r="K40" i="48"/>
  <c r="M40" i="48" s="1"/>
  <c r="H40" i="48"/>
  <c r="F40" i="48"/>
  <c r="G40" i="48" s="1"/>
  <c r="D40" i="48"/>
  <c r="C40" i="48"/>
  <c r="H39" i="48"/>
  <c r="K39" i="48" s="1"/>
  <c r="M39" i="48" s="1"/>
  <c r="D39" i="48"/>
  <c r="C39" i="48"/>
  <c r="H38" i="48"/>
  <c r="K38" i="48" s="1"/>
  <c r="M38" i="48" s="1"/>
  <c r="D38" i="48"/>
  <c r="C38" i="48"/>
  <c r="K37" i="48"/>
  <c r="M37" i="48" s="1"/>
  <c r="H37" i="48"/>
  <c r="D37" i="48"/>
  <c r="C37" i="48"/>
  <c r="K36" i="48"/>
  <c r="M36" i="48" s="1"/>
  <c r="H36" i="48"/>
  <c r="F36" i="48"/>
  <c r="G36" i="48" s="1"/>
  <c r="D36" i="48"/>
  <c r="C36" i="48"/>
  <c r="H35" i="48"/>
  <c r="K35" i="48" s="1"/>
  <c r="M35" i="48" s="1"/>
  <c r="D35" i="48"/>
  <c r="C35" i="48"/>
  <c r="H34" i="48"/>
  <c r="H42" i="48" s="1"/>
  <c r="K42" i="48" s="1"/>
  <c r="M42" i="48" s="1"/>
  <c r="D34" i="48"/>
  <c r="D42" i="48" s="1"/>
  <c r="C34" i="48"/>
  <c r="C33" i="48"/>
  <c r="C32" i="48"/>
  <c r="U31" i="48"/>
  <c r="O31" i="48"/>
  <c r="I31" i="48"/>
  <c r="I25" i="48"/>
  <c r="H25" i="48"/>
  <c r="E25" i="48"/>
  <c r="K24" i="48"/>
  <c r="M24" i="48" s="1"/>
  <c r="I41" i="48"/>
  <c r="J41" i="48" s="1"/>
  <c r="H24" i="48"/>
  <c r="G24" i="48"/>
  <c r="F41" i="48"/>
  <c r="G41" i="48" s="1"/>
  <c r="K23" i="48"/>
  <c r="M23" i="48" s="1"/>
  <c r="I40" i="48"/>
  <c r="J40" i="48" s="1"/>
  <c r="H23" i="48"/>
  <c r="G23" i="48"/>
  <c r="K22" i="48"/>
  <c r="M22" i="48" s="1"/>
  <c r="I39" i="48"/>
  <c r="J39" i="48" s="1"/>
  <c r="H22" i="48"/>
  <c r="G22" i="48"/>
  <c r="F39" i="48"/>
  <c r="G39" i="48" s="1"/>
  <c r="K21" i="48"/>
  <c r="M21" i="48" s="1"/>
  <c r="L21" i="48"/>
  <c r="N21" i="48" s="1"/>
  <c r="H21" i="48"/>
  <c r="G21" i="48"/>
  <c r="F38" i="48"/>
  <c r="G38" i="48" s="1"/>
  <c r="K20" i="48"/>
  <c r="M20" i="48" s="1"/>
  <c r="H20" i="48"/>
  <c r="G20" i="48"/>
  <c r="K19" i="48"/>
  <c r="M19" i="48" s="1"/>
  <c r="I36" i="48"/>
  <c r="J36" i="48" s="1"/>
  <c r="L36" i="48" s="1"/>
  <c r="N36" i="48" s="1"/>
  <c r="H19" i="48"/>
  <c r="G19" i="48"/>
  <c r="K18" i="48"/>
  <c r="M18" i="48" s="1"/>
  <c r="I35" i="48"/>
  <c r="J35" i="48" s="1"/>
  <c r="H18" i="48"/>
  <c r="G18" i="48"/>
  <c r="F35" i="48"/>
  <c r="G35" i="48" s="1"/>
  <c r="K17" i="48"/>
  <c r="K25" i="48" s="1"/>
  <c r="M25" i="48" s="1"/>
  <c r="H17" i="48"/>
  <c r="G17" i="48"/>
  <c r="G25" i="48" s="1"/>
  <c r="F34" i="48"/>
  <c r="G34" i="48" s="1"/>
  <c r="D12" i="48"/>
  <c r="B12" i="48"/>
  <c r="C12" i="48" s="1"/>
  <c r="C42" i="47"/>
  <c r="K41" i="47"/>
  <c r="M41" i="47" s="1"/>
  <c r="H41" i="47"/>
  <c r="D41" i="47"/>
  <c r="C41" i="47"/>
  <c r="K40" i="47"/>
  <c r="M40" i="47" s="1"/>
  <c r="H40" i="47"/>
  <c r="F40" i="47"/>
  <c r="G40" i="47" s="1"/>
  <c r="D40" i="47"/>
  <c r="C40" i="47"/>
  <c r="H39" i="47"/>
  <c r="K39" i="47" s="1"/>
  <c r="M39" i="47" s="1"/>
  <c r="D39" i="47"/>
  <c r="C39" i="47"/>
  <c r="H38" i="47"/>
  <c r="K38" i="47" s="1"/>
  <c r="M38" i="47" s="1"/>
  <c r="D38" i="47"/>
  <c r="C38" i="47"/>
  <c r="K37" i="47"/>
  <c r="M37" i="47" s="1"/>
  <c r="H37" i="47"/>
  <c r="D37" i="47"/>
  <c r="C37" i="47"/>
  <c r="K36" i="47"/>
  <c r="M36" i="47" s="1"/>
  <c r="H36" i="47"/>
  <c r="F36" i="47"/>
  <c r="G36" i="47" s="1"/>
  <c r="D36" i="47"/>
  <c r="C36" i="47"/>
  <c r="H35" i="47"/>
  <c r="K35" i="47" s="1"/>
  <c r="M35" i="47" s="1"/>
  <c r="D35" i="47"/>
  <c r="C35" i="47"/>
  <c r="H34" i="47"/>
  <c r="H42" i="47" s="1"/>
  <c r="D34" i="47"/>
  <c r="D42" i="47" s="1"/>
  <c r="C34" i="47"/>
  <c r="C33" i="47"/>
  <c r="C32" i="47"/>
  <c r="U31" i="47"/>
  <c r="O31" i="47"/>
  <c r="I31" i="47"/>
  <c r="I25" i="47"/>
  <c r="H25" i="47"/>
  <c r="E25" i="47"/>
  <c r="K24" i="47"/>
  <c r="M24" i="47" s="1"/>
  <c r="I41" i="47"/>
  <c r="J41" i="47" s="1"/>
  <c r="H24" i="47"/>
  <c r="G24" i="47"/>
  <c r="F41" i="47"/>
  <c r="G41" i="47" s="1"/>
  <c r="K23" i="47"/>
  <c r="M23" i="47" s="1"/>
  <c r="I40" i="47"/>
  <c r="J40" i="47" s="1"/>
  <c r="H23" i="47"/>
  <c r="G23" i="47"/>
  <c r="K22" i="47"/>
  <c r="M22" i="47" s="1"/>
  <c r="L22" i="47"/>
  <c r="N22" i="47" s="1"/>
  <c r="H22" i="47"/>
  <c r="G22" i="47"/>
  <c r="F39" i="47"/>
  <c r="G39" i="47" s="1"/>
  <c r="K21" i="47"/>
  <c r="M21" i="47" s="1"/>
  <c r="I38" i="47"/>
  <c r="J38" i="47" s="1"/>
  <c r="L38" i="47" s="1"/>
  <c r="N38" i="47" s="1"/>
  <c r="H21" i="47"/>
  <c r="G21" i="47"/>
  <c r="F38" i="47"/>
  <c r="G38" i="47" s="1"/>
  <c r="K20" i="47"/>
  <c r="M20" i="47" s="1"/>
  <c r="H20" i="47"/>
  <c r="G20" i="47"/>
  <c r="K19" i="47"/>
  <c r="M19" i="47" s="1"/>
  <c r="I36" i="47"/>
  <c r="J36" i="47" s="1"/>
  <c r="L36" i="47" s="1"/>
  <c r="N36" i="47" s="1"/>
  <c r="H19" i="47"/>
  <c r="G19" i="47"/>
  <c r="K18" i="47"/>
  <c r="M18" i="47" s="1"/>
  <c r="L18" i="47"/>
  <c r="N18" i="47" s="1"/>
  <c r="H18" i="47"/>
  <c r="G18" i="47"/>
  <c r="F35" i="47"/>
  <c r="G35" i="47" s="1"/>
  <c r="K17" i="47"/>
  <c r="K25" i="47" s="1"/>
  <c r="M25" i="47" s="1"/>
  <c r="H17" i="47"/>
  <c r="G17" i="47"/>
  <c r="G25" i="47" s="1"/>
  <c r="F34" i="47"/>
  <c r="G34" i="47" s="1"/>
  <c r="D12" i="47"/>
  <c r="B12" i="47"/>
  <c r="C12" i="47" s="1"/>
  <c r="C42" i="46"/>
  <c r="K41" i="46"/>
  <c r="M41" i="46" s="1"/>
  <c r="H41" i="46"/>
  <c r="D41" i="46"/>
  <c r="C41" i="46"/>
  <c r="K40" i="46"/>
  <c r="M40" i="46" s="1"/>
  <c r="H40" i="46"/>
  <c r="F40" i="46"/>
  <c r="G40" i="46" s="1"/>
  <c r="D40" i="46"/>
  <c r="C40" i="46"/>
  <c r="H39" i="46"/>
  <c r="K39" i="46" s="1"/>
  <c r="M39" i="46" s="1"/>
  <c r="D39" i="46"/>
  <c r="C39" i="46"/>
  <c r="H38" i="46"/>
  <c r="K38" i="46" s="1"/>
  <c r="M38" i="46" s="1"/>
  <c r="D38" i="46"/>
  <c r="C38" i="46"/>
  <c r="K37" i="46"/>
  <c r="M37" i="46" s="1"/>
  <c r="H37" i="46"/>
  <c r="D37" i="46"/>
  <c r="C37" i="46"/>
  <c r="K36" i="46"/>
  <c r="M36" i="46" s="1"/>
  <c r="H36" i="46"/>
  <c r="F36" i="46"/>
  <c r="G36" i="46" s="1"/>
  <c r="D36" i="46"/>
  <c r="C36" i="46"/>
  <c r="H35" i="46"/>
  <c r="K35" i="46" s="1"/>
  <c r="M35" i="46" s="1"/>
  <c r="D35" i="46"/>
  <c r="C35" i="46"/>
  <c r="H34" i="46"/>
  <c r="H42" i="46" s="1"/>
  <c r="D34" i="46"/>
  <c r="D42" i="46" s="1"/>
  <c r="C34" i="46"/>
  <c r="C33" i="46"/>
  <c r="C32" i="46"/>
  <c r="U31" i="46"/>
  <c r="O31" i="46"/>
  <c r="I31" i="46"/>
  <c r="I25" i="46"/>
  <c r="H25" i="46"/>
  <c r="E25" i="46"/>
  <c r="K24" i="46"/>
  <c r="M24" i="46" s="1"/>
  <c r="I41" i="46"/>
  <c r="J41" i="46" s="1"/>
  <c r="H24" i="46"/>
  <c r="G24" i="46"/>
  <c r="F41" i="46"/>
  <c r="G41" i="46" s="1"/>
  <c r="K23" i="46"/>
  <c r="M23" i="46" s="1"/>
  <c r="I40" i="46"/>
  <c r="J40" i="46" s="1"/>
  <c r="H23" i="46"/>
  <c r="G23" i="46"/>
  <c r="K22" i="46"/>
  <c r="M22" i="46" s="1"/>
  <c r="I39" i="46"/>
  <c r="J39" i="46" s="1"/>
  <c r="H22" i="46"/>
  <c r="G22" i="46"/>
  <c r="F39" i="46"/>
  <c r="G39" i="46" s="1"/>
  <c r="K21" i="46"/>
  <c r="M21" i="46" s="1"/>
  <c r="I38" i="46"/>
  <c r="J38" i="46" s="1"/>
  <c r="H21" i="46"/>
  <c r="G21" i="46"/>
  <c r="F38" i="46"/>
  <c r="G38" i="46" s="1"/>
  <c r="K20" i="46"/>
  <c r="M20" i="46" s="1"/>
  <c r="H20" i="46"/>
  <c r="G20" i="46"/>
  <c r="K19" i="46"/>
  <c r="M19" i="46" s="1"/>
  <c r="I36" i="46"/>
  <c r="J36" i="46" s="1"/>
  <c r="L36" i="46" s="1"/>
  <c r="N36" i="46" s="1"/>
  <c r="H19" i="46"/>
  <c r="G19" i="46"/>
  <c r="K18" i="46"/>
  <c r="M18" i="46" s="1"/>
  <c r="L18" i="46"/>
  <c r="N18" i="46" s="1"/>
  <c r="H18" i="46"/>
  <c r="G18" i="46"/>
  <c r="F35" i="46"/>
  <c r="G35" i="46" s="1"/>
  <c r="K17" i="46"/>
  <c r="K25" i="46" s="1"/>
  <c r="M25" i="46" s="1"/>
  <c r="H17" i="46"/>
  <c r="G17" i="46"/>
  <c r="G25" i="46" s="1"/>
  <c r="F34" i="46"/>
  <c r="G34" i="46" s="1"/>
  <c r="D12" i="46"/>
  <c r="B12" i="46"/>
  <c r="C12" i="46" s="1"/>
  <c r="L41" i="52" l="1"/>
  <c r="D42" i="52"/>
  <c r="H42" i="52"/>
  <c r="K42" i="52" s="1"/>
  <c r="M42" i="52" s="1"/>
  <c r="H25" i="52"/>
  <c r="L18" i="52"/>
  <c r="N18" i="52" s="1"/>
  <c r="I35" i="52"/>
  <c r="J35" i="52" s="1"/>
  <c r="L35" i="52" s="1"/>
  <c r="N35" i="52" s="1"/>
  <c r="L17" i="52"/>
  <c r="I34" i="52"/>
  <c r="J34" i="52" s="1"/>
  <c r="L40" i="52"/>
  <c r="N40" i="52" s="1"/>
  <c r="G41" i="52"/>
  <c r="I39" i="52"/>
  <c r="J39" i="52" s="1"/>
  <c r="L39" i="52" s="1"/>
  <c r="N39" i="52" s="1"/>
  <c r="I38" i="52"/>
  <c r="J38" i="52" s="1"/>
  <c r="L38" i="52" s="1"/>
  <c r="N38" i="52" s="1"/>
  <c r="L24" i="52"/>
  <c r="N24" i="52" s="1"/>
  <c r="L34" i="51"/>
  <c r="N34" i="51" s="1"/>
  <c r="L40" i="51"/>
  <c r="N40" i="51" s="1"/>
  <c r="L41" i="51"/>
  <c r="I35" i="51"/>
  <c r="J35" i="51" s="1"/>
  <c r="L35" i="51" s="1"/>
  <c r="N35" i="51" s="1"/>
  <c r="L17" i="51"/>
  <c r="L19" i="51"/>
  <c r="N19" i="51" s="1"/>
  <c r="L21" i="51"/>
  <c r="N21" i="51" s="1"/>
  <c r="L22" i="51"/>
  <c r="N22" i="51" s="1"/>
  <c r="L23" i="51"/>
  <c r="N23" i="51" s="1"/>
  <c r="L24" i="51"/>
  <c r="N24" i="51" s="1"/>
  <c r="M17" i="51"/>
  <c r="K34" i="51"/>
  <c r="M34" i="51" s="1"/>
  <c r="L40" i="50"/>
  <c r="N40" i="50" s="1"/>
  <c r="K42" i="50"/>
  <c r="M42" i="50" s="1"/>
  <c r="L38" i="50"/>
  <c r="N38" i="50" s="1"/>
  <c r="L41" i="50"/>
  <c r="N17" i="50"/>
  <c r="L36" i="50"/>
  <c r="N36" i="50" s="1"/>
  <c r="F35" i="50"/>
  <c r="G35" i="50" s="1"/>
  <c r="L35" i="50" s="1"/>
  <c r="N35" i="50" s="1"/>
  <c r="F39" i="50"/>
  <c r="G39" i="50" s="1"/>
  <c r="L39" i="50" s="1"/>
  <c r="N39" i="50" s="1"/>
  <c r="L19" i="50"/>
  <c r="N19" i="50" s="1"/>
  <c r="L21" i="50"/>
  <c r="N21" i="50" s="1"/>
  <c r="L23" i="50"/>
  <c r="N23" i="50" s="1"/>
  <c r="L24" i="50"/>
  <c r="N24" i="50" s="1"/>
  <c r="F34" i="50"/>
  <c r="G34" i="50" s="1"/>
  <c r="D12" i="50"/>
  <c r="M17" i="50"/>
  <c r="K34" i="50"/>
  <c r="M34" i="50" s="1"/>
  <c r="K42" i="49"/>
  <c r="M42" i="49" s="1"/>
  <c r="L38" i="49"/>
  <c r="N38" i="49" s="1"/>
  <c r="L41" i="49"/>
  <c r="L36" i="49"/>
  <c r="N36" i="49" s="1"/>
  <c r="L35" i="49"/>
  <c r="N35" i="49" s="1"/>
  <c r="L34" i="49"/>
  <c r="N34" i="49" s="1"/>
  <c r="F35" i="49"/>
  <c r="G35" i="49" s="1"/>
  <c r="D42" i="49"/>
  <c r="L17" i="49"/>
  <c r="L19" i="49"/>
  <c r="N19" i="49" s="1"/>
  <c r="D12" i="49"/>
  <c r="F40" i="49"/>
  <c r="G40" i="49" s="1"/>
  <c r="L40" i="49" s="1"/>
  <c r="N40" i="49" s="1"/>
  <c r="F39" i="49"/>
  <c r="G39" i="49" s="1"/>
  <c r="L39" i="49" s="1"/>
  <c r="N39" i="49" s="1"/>
  <c r="L21" i="49"/>
  <c r="N21" i="49" s="1"/>
  <c r="L24" i="49"/>
  <c r="N24" i="49" s="1"/>
  <c r="M17" i="49"/>
  <c r="L39" i="48"/>
  <c r="N39" i="48" s="1"/>
  <c r="L40" i="48"/>
  <c r="N40" i="48" s="1"/>
  <c r="L35" i="48"/>
  <c r="N35" i="48" s="1"/>
  <c r="L41" i="48"/>
  <c r="I34" i="48"/>
  <c r="J34" i="48" s="1"/>
  <c r="I38" i="48"/>
  <c r="J38" i="48" s="1"/>
  <c r="L38" i="48" s="1"/>
  <c r="N38" i="48" s="1"/>
  <c r="L17" i="48"/>
  <c r="L18" i="48"/>
  <c r="N18" i="48" s="1"/>
  <c r="L19" i="48"/>
  <c r="N19" i="48" s="1"/>
  <c r="L22" i="48"/>
  <c r="N22" i="48" s="1"/>
  <c r="L23" i="48"/>
  <c r="N23" i="48" s="1"/>
  <c r="L24" i="48"/>
  <c r="N24" i="48" s="1"/>
  <c r="M17" i="48"/>
  <c r="K34" i="48"/>
  <c r="M34" i="48" s="1"/>
  <c r="L40" i="47"/>
  <c r="N40" i="47" s="1"/>
  <c r="L41" i="47"/>
  <c r="K42" i="47"/>
  <c r="M42" i="47" s="1"/>
  <c r="I35" i="47"/>
  <c r="J35" i="47" s="1"/>
  <c r="L35" i="47" s="1"/>
  <c r="N35" i="47" s="1"/>
  <c r="I39" i="47"/>
  <c r="J39" i="47" s="1"/>
  <c r="L39" i="47" s="1"/>
  <c r="N39" i="47" s="1"/>
  <c r="I34" i="47"/>
  <c r="J34" i="47" s="1"/>
  <c r="L17" i="47"/>
  <c r="L19" i="47"/>
  <c r="N19" i="47" s="1"/>
  <c r="L21" i="47"/>
  <c r="N21" i="47" s="1"/>
  <c r="L23" i="47"/>
  <c r="N23" i="47" s="1"/>
  <c r="L24" i="47"/>
  <c r="N24" i="47" s="1"/>
  <c r="M17" i="47"/>
  <c r="K34" i="47"/>
  <c r="M34" i="47" s="1"/>
  <c r="L38" i="46"/>
  <c r="N38" i="46" s="1"/>
  <c r="L40" i="46"/>
  <c r="N40" i="46" s="1"/>
  <c r="L41" i="46"/>
  <c r="K42" i="46"/>
  <c r="M42" i="46" s="1"/>
  <c r="L39" i="46"/>
  <c r="N39" i="46" s="1"/>
  <c r="I35" i="46"/>
  <c r="J35" i="46" s="1"/>
  <c r="L35" i="46" s="1"/>
  <c r="N35" i="46" s="1"/>
  <c r="I34" i="46"/>
  <c r="J34" i="46" s="1"/>
  <c r="L17" i="46"/>
  <c r="L19" i="46"/>
  <c r="N19" i="46" s="1"/>
  <c r="L21" i="46"/>
  <c r="N21" i="46" s="1"/>
  <c r="L22" i="46"/>
  <c r="N22" i="46" s="1"/>
  <c r="L23" i="46"/>
  <c r="N23" i="46" s="1"/>
  <c r="L24" i="46"/>
  <c r="N24" i="46" s="1"/>
  <c r="M17" i="46"/>
  <c r="K34" i="46"/>
  <c r="M34" i="46" s="1"/>
  <c r="G12" i="33"/>
  <c r="G12" i="32"/>
  <c r="G12" i="31"/>
  <c r="C11" i="30"/>
  <c r="I13" i="29"/>
  <c r="H13" i="29"/>
  <c r="G13" i="29"/>
  <c r="D13" i="29"/>
  <c r="I13" i="27"/>
  <c r="H13" i="27"/>
  <c r="D13" i="27"/>
  <c r="I13" i="26"/>
  <c r="H13" i="26"/>
  <c r="G13" i="26"/>
  <c r="D13" i="26"/>
  <c r="B42" i="26"/>
  <c r="I13" i="25"/>
  <c r="H13" i="25"/>
  <c r="G13" i="25"/>
  <c r="D13" i="25"/>
  <c r="C26" i="25"/>
  <c r="B26" i="25"/>
  <c r="C43" i="25"/>
  <c r="B43" i="25"/>
  <c r="C42" i="25"/>
  <c r="B42" i="25"/>
  <c r="C41" i="25"/>
  <c r="B41" i="25"/>
  <c r="C40" i="25"/>
  <c r="B40" i="25"/>
  <c r="C39" i="25"/>
  <c r="B39" i="25"/>
  <c r="C38" i="25"/>
  <c r="B38" i="25"/>
  <c r="C37" i="25"/>
  <c r="B37" i="25"/>
  <c r="C36" i="25"/>
  <c r="B36" i="25"/>
  <c r="C35" i="25"/>
  <c r="B35" i="25"/>
  <c r="C34" i="25"/>
  <c r="B34" i="25"/>
  <c r="C33" i="25"/>
  <c r="B33" i="25"/>
  <c r="C32" i="25"/>
  <c r="B32" i="25"/>
  <c r="C31" i="25"/>
  <c r="B31" i="25"/>
  <c r="C30" i="25"/>
  <c r="B30" i="25"/>
  <c r="C29" i="25"/>
  <c r="B29" i="25"/>
  <c r="C28" i="25"/>
  <c r="B28" i="25"/>
  <c r="C27" i="25"/>
  <c r="B27" i="25"/>
  <c r="C25" i="25"/>
  <c r="B25" i="25"/>
  <c r="C24" i="25"/>
  <c r="B24" i="25"/>
  <c r="B23" i="25"/>
  <c r="B43" i="26"/>
  <c r="C42" i="26"/>
  <c r="B41" i="26"/>
  <c r="C40" i="26"/>
  <c r="B39" i="26"/>
  <c r="C38" i="26"/>
  <c r="B37" i="26"/>
  <c r="C36" i="26"/>
  <c r="B35" i="26"/>
  <c r="C34" i="26"/>
  <c r="B33" i="26"/>
  <c r="C32" i="26"/>
  <c r="B31" i="26"/>
  <c r="C30" i="26"/>
  <c r="B29" i="26"/>
  <c r="C28" i="26"/>
  <c r="B27" i="26"/>
  <c r="C26" i="26"/>
  <c r="B25" i="26"/>
  <c r="C24" i="26"/>
  <c r="C43" i="27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C43" i="29"/>
  <c r="B43" i="29"/>
  <c r="C42" i="29"/>
  <c r="B42" i="29"/>
  <c r="C41" i="29"/>
  <c r="B41" i="29"/>
  <c r="C40" i="29"/>
  <c r="B40" i="29"/>
  <c r="C39" i="29"/>
  <c r="B39" i="29"/>
  <c r="C38" i="29"/>
  <c r="B38" i="29"/>
  <c r="C37" i="29"/>
  <c r="B37" i="29"/>
  <c r="C36" i="29"/>
  <c r="B36" i="29"/>
  <c r="C35" i="29"/>
  <c r="B35" i="29"/>
  <c r="C34" i="29"/>
  <c r="B34" i="29"/>
  <c r="C33" i="29"/>
  <c r="B33" i="29"/>
  <c r="C32" i="29"/>
  <c r="B32" i="29"/>
  <c r="C31" i="29"/>
  <c r="B31" i="29"/>
  <c r="C30" i="29"/>
  <c r="B30" i="29"/>
  <c r="C29" i="29"/>
  <c r="B29" i="29"/>
  <c r="C28" i="29"/>
  <c r="B28" i="29"/>
  <c r="C27" i="29"/>
  <c r="B27" i="29"/>
  <c r="C26" i="29"/>
  <c r="B26" i="29"/>
  <c r="C25" i="29"/>
  <c r="B25" i="29"/>
  <c r="C24" i="29"/>
  <c r="B24" i="29"/>
  <c r="C23" i="29"/>
  <c r="B23" i="29"/>
  <c r="I9" i="29"/>
  <c r="H9" i="29"/>
  <c r="I9" i="27"/>
  <c r="H9" i="27"/>
  <c r="F9" i="27"/>
  <c r="E9" i="27"/>
  <c r="C23" i="27"/>
  <c r="B23" i="27"/>
  <c r="B23" i="26"/>
  <c r="I9" i="26"/>
  <c r="C23" i="25"/>
  <c r="I9" i="25"/>
  <c r="H9" i="25"/>
  <c r="U31" i="23"/>
  <c r="O31" i="23"/>
  <c r="I31" i="23"/>
  <c r="N41" i="52" l="1"/>
  <c r="N17" i="52"/>
  <c r="L34" i="52"/>
  <c r="N34" i="52" s="1"/>
  <c r="N17" i="51"/>
  <c r="N41" i="51"/>
  <c r="L34" i="50"/>
  <c r="N34" i="50" s="1"/>
  <c r="N41" i="50"/>
  <c r="N17" i="49"/>
  <c r="N41" i="49"/>
  <c r="N17" i="48"/>
  <c r="N41" i="48"/>
  <c r="L34" i="48"/>
  <c r="N34" i="48" s="1"/>
  <c r="N17" i="47"/>
  <c r="L34" i="47"/>
  <c r="N34" i="47" s="1"/>
  <c r="N41" i="47"/>
  <c r="L34" i="46"/>
  <c r="N34" i="46" s="1"/>
  <c r="N41" i="46"/>
  <c r="N17" i="46"/>
  <c r="C23" i="26"/>
  <c r="C25" i="26"/>
  <c r="C27" i="26"/>
  <c r="C29" i="26"/>
  <c r="C31" i="26"/>
  <c r="C33" i="26"/>
  <c r="C35" i="26"/>
  <c r="C37" i="26"/>
  <c r="C39" i="26"/>
  <c r="C41" i="26"/>
  <c r="C43" i="26"/>
  <c r="H9" i="26"/>
  <c r="B24" i="26"/>
  <c r="B26" i="26"/>
  <c r="B28" i="26"/>
  <c r="B30" i="26"/>
  <c r="B32" i="26"/>
  <c r="B34" i="26"/>
  <c r="B36" i="26"/>
  <c r="B38" i="26"/>
  <c r="B40" i="26"/>
  <c r="H24" i="23" l="1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H17" i="23" l="1"/>
  <c r="G17" i="23"/>
  <c r="E23" i="32" l="1"/>
  <c r="E26" i="32"/>
  <c r="E27" i="32"/>
  <c r="E30" i="32"/>
  <c r="E31" i="32"/>
  <c r="E34" i="32"/>
  <c r="E35" i="32"/>
  <c r="E38" i="32"/>
  <c r="E39" i="32"/>
  <c r="E42" i="32"/>
  <c r="E22" i="32"/>
  <c r="E26" i="31"/>
  <c r="E30" i="31"/>
  <c r="E34" i="31"/>
  <c r="E38" i="31"/>
  <c r="E42" i="31"/>
  <c r="D26" i="29"/>
  <c r="D30" i="29"/>
  <c r="D34" i="29"/>
  <c r="D38" i="29"/>
  <c r="D42" i="29"/>
  <c r="D24" i="27"/>
  <c r="D25" i="27"/>
  <c r="D28" i="27"/>
  <c r="D29" i="27"/>
  <c r="D32" i="27"/>
  <c r="D33" i="27"/>
  <c r="D36" i="27"/>
  <c r="D37" i="27"/>
  <c r="D40" i="27"/>
  <c r="D41" i="27"/>
  <c r="D23" i="27"/>
  <c r="D24" i="26"/>
  <c r="D28" i="26"/>
  <c r="D32" i="26"/>
  <c r="D36" i="26"/>
  <c r="D40" i="26"/>
  <c r="D23" i="26"/>
  <c r="H14" i="34"/>
  <c r="G14" i="34"/>
  <c r="H14" i="33"/>
  <c r="G14" i="33"/>
  <c r="H14" i="32"/>
  <c r="E24" i="32" s="1"/>
  <c r="G14" i="32"/>
  <c r="H14" i="31"/>
  <c r="E23" i="31" s="1"/>
  <c r="G14" i="31"/>
  <c r="E12" i="30"/>
  <c r="D12" i="30"/>
  <c r="D27" i="29"/>
  <c r="D26" i="27"/>
  <c r="D25" i="26"/>
  <c r="D41" i="25"/>
  <c r="D40" i="25"/>
  <c r="D37" i="25"/>
  <c r="D36" i="25"/>
  <c r="D33" i="25"/>
  <c r="D32" i="25"/>
  <c r="D29" i="25"/>
  <c r="D28" i="25"/>
  <c r="D25" i="25"/>
  <c r="D24" i="25"/>
  <c r="D43" i="25"/>
  <c r="D39" i="26" l="1"/>
  <c r="D41" i="29"/>
  <c r="D33" i="29"/>
  <c r="D25" i="29"/>
  <c r="E37" i="31"/>
  <c r="E29" i="31"/>
  <c r="D26" i="25"/>
  <c r="D30" i="25"/>
  <c r="D34" i="25"/>
  <c r="D38" i="25"/>
  <c r="D42" i="25"/>
  <c r="D42" i="26"/>
  <c r="D38" i="26"/>
  <c r="D34" i="26"/>
  <c r="D30" i="26"/>
  <c r="D26" i="26"/>
  <c r="D43" i="27"/>
  <c r="D39" i="27"/>
  <c r="D35" i="27"/>
  <c r="D31" i="27"/>
  <c r="D27" i="27"/>
  <c r="D23" i="29"/>
  <c r="D40" i="29"/>
  <c r="D36" i="29"/>
  <c r="D32" i="29"/>
  <c r="D28" i="29"/>
  <c r="D24" i="29"/>
  <c r="E40" i="31"/>
  <c r="E36" i="31"/>
  <c r="E32" i="31"/>
  <c r="E28" i="31"/>
  <c r="E24" i="31"/>
  <c r="E41" i="32"/>
  <c r="E37" i="32"/>
  <c r="E33" i="32"/>
  <c r="E29" i="32"/>
  <c r="E25" i="32"/>
  <c r="D43" i="26"/>
  <c r="D35" i="26"/>
  <c r="D31" i="26"/>
  <c r="D27" i="26"/>
  <c r="D37" i="29"/>
  <c r="D29" i="29"/>
  <c r="E41" i="31"/>
  <c r="E33" i="31"/>
  <c r="E25" i="31"/>
  <c r="D23" i="25"/>
  <c r="D27" i="25"/>
  <c r="D31" i="25"/>
  <c r="D35" i="25"/>
  <c r="D39" i="25"/>
  <c r="D41" i="26"/>
  <c r="D37" i="26"/>
  <c r="D33" i="26"/>
  <c r="D29" i="26"/>
  <c r="D42" i="27"/>
  <c r="D38" i="27"/>
  <c r="D34" i="27"/>
  <c r="D30" i="27"/>
  <c r="D43" i="29"/>
  <c r="D39" i="29"/>
  <c r="D35" i="29"/>
  <c r="D31" i="29"/>
  <c r="E22" i="31"/>
  <c r="E39" i="31"/>
  <c r="E35" i="31"/>
  <c r="E31" i="31"/>
  <c r="E27" i="31"/>
  <c r="E40" i="32"/>
  <c r="E36" i="32"/>
  <c r="E32" i="32"/>
  <c r="E28" i="32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9" i="34"/>
  <c r="G9" i="33"/>
  <c r="G9" i="32"/>
  <c r="G9" i="31"/>
  <c r="G9" i="30"/>
  <c r="G9" i="29"/>
  <c r="G9" i="26"/>
  <c r="D35" i="23"/>
  <c r="F17" i="23"/>
  <c r="F34" i="23" s="1"/>
  <c r="G34" i="23" s="1"/>
  <c r="G9" i="25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E9" i="29" l="1"/>
  <c r="F9" i="29"/>
  <c r="F9" i="25"/>
  <c r="E9" i="25"/>
  <c r="E9" i="26"/>
  <c r="F9" i="26"/>
  <c r="H42" i="23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A23" i="29"/>
  <c r="F19" i="23"/>
  <c r="F36" i="23" s="1"/>
  <c r="G36" i="23" s="1"/>
  <c r="A24" i="27"/>
  <c r="A25" i="27" s="1"/>
  <c r="A23" i="27"/>
  <c r="A23" i="26"/>
  <c r="F18" i="23"/>
  <c r="F35" i="23" s="1"/>
  <c r="G35" i="23" s="1"/>
  <c r="J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6" i="33"/>
  <c r="E36" i="33" s="1"/>
  <c r="B24" i="33"/>
  <c r="E24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B40" i="33"/>
  <c r="E40" i="33" s="1"/>
  <c r="B32" i="33"/>
  <c r="E32" i="33" s="1"/>
  <c r="B28" i="33"/>
  <c r="E28" i="33" s="1"/>
  <c r="E9" i="33"/>
  <c r="F9" i="33" s="1"/>
  <c r="B39" i="33"/>
  <c r="E39" i="33" s="1"/>
  <c r="B35" i="33"/>
  <c r="E35" i="33" s="1"/>
  <c r="B31" i="33"/>
  <c r="E31" i="33" s="1"/>
  <c r="B27" i="33"/>
  <c r="E27" i="33" s="1"/>
  <c r="B23" i="33"/>
  <c r="E23" i="33" s="1"/>
  <c r="J18" i="23"/>
  <c r="I35" i="23" s="1"/>
  <c r="J35" i="23" s="1"/>
  <c r="J19" i="23"/>
  <c r="J17" i="23"/>
  <c r="I34" i="23" s="1"/>
  <c r="J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B42" i="32"/>
  <c r="B38" i="32"/>
  <c r="B34" i="32"/>
  <c r="B30" i="32"/>
  <c r="B26" i="32"/>
  <c r="B22" i="32"/>
  <c r="C22" i="32" s="1"/>
  <c r="J9" i="26"/>
  <c r="G25" i="23"/>
  <c r="H25" i="23"/>
  <c r="M18" i="23"/>
  <c r="M20" i="23"/>
  <c r="M21" i="23"/>
  <c r="M22" i="23"/>
  <c r="M19" i="23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H9" i="34"/>
  <c r="I9" i="34" s="1"/>
  <c r="C22" i="33"/>
  <c r="C22" i="31"/>
  <c r="F9" i="3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H9" i="30"/>
  <c r="B30" i="30"/>
  <c r="B32" i="30"/>
  <c r="B31" i="30"/>
  <c r="E9" i="30"/>
  <c r="I36" i="23" l="1"/>
  <c r="J36" i="23" s="1"/>
  <c r="L36" i="23" s="1"/>
  <c r="N36" i="23" s="1"/>
  <c r="C22" i="34"/>
  <c r="E22" i="34"/>
  <c r="F23" i="23"/>
  <c r="F40" i="23" s="1"/>
  <c r="G40" i="23" s="1"/>
  <c r="J9" i="33"/>
  <c r="L19" i="23"/>
  <c r="N19" i="23" s="1"/>
  <c r="J24" i="23"/>
  <c r="I41" i="23" s="1"/>
  <c r="J41" i="23" s="1"/>
  <c r="J22" i="23"/>
  <c r="I39" i="23" s="1"/>
  <c r="J39" i="23" s="1"/>
  <c r="J23" i="23"/>
  <c r="I40" i="23" s="1"/>
  <c r="J40" i="23" s="1"/>
  <c r="J21" i="23"/>
  <c r="D32" i="30"/>
  <c r="D30" i="30"/>
  <c r="D31" i="30"/>
  <c r="F22" i="23"/>
  <c r="F39" i="23" s="1"/>
  <c r="G39" i="23" s="1"/>
  <c r="J9" i="32"/>
  <c r="J9" i="34"/>
  <c r="F24" i="23"/>
  <c r="F41" i="23" s="1"/>
  <c r="G41" i="23" s="1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I37" i="52" l="1"/>
  <c r="J37" i="52" s="1"/>
  <c r="L20" i="52"/>
  <c r="B9" i="52"/>
  <c r="J25" i="52"/>
  <c r="F37" i="52"/>
  <c r="G37" i="52" s="1"/>
  <c r="F25" i="52"/>
  <c r="I37" i="51"/>
  <c r="J37" i="51" s="1"/>
  <c r="L20" i="51"/>
  <c r="B9" i="51"/>
  <c r="J25" i="51"/>
  <c r="F37" i="51"/>
  <c r="G37" i="51" s="1"/>
  <c r="F25" i="51"/>
  <c r="I37" i="50"/>
  <c r="J37" i="50" s="1"/>
  <c r="J25" i="50"/>
  <c r="L20" i="50"/>
  <c r="B9" i="50"/>
  <c r="F37" i="50"/>
  <c r="G37" i="50" s="1"/>
  <c r="F25" i="50"/>
  <c r="I37" i="49"/>
  <c r="J37" i="49" s="1"/>
  <c r="J25" i="49"/>
  <c r="L20" i="49"/>
  <c r="B9" i="49"/>
  <c r="F37" i="49"/>
  <c r="G37" i="49" s="1"/>
  <c r="F25" i="49"/>
  <c r="I37" i="48"/>
  <c r="J37" i="48" s="1"/>
  <c r="L20" i="48"/>
  <c r="J25" i="48"/>
  <c r="B9" i="48"/>
  <c r="F37" i="48"/>
  <c r="G37" i="48" s="1"/>
  <c r="F25" i="48"/>
  <c r="I37" i="47"/>
  <c r="J37" i="47" s="1"/>
  <c r="L20" i="47"/>
  <c r="J25" i="47"/>
  <c r="B9" i="47"/>
  <c r="F37" i="47"/>
  <c r="G37" i="47" s="1"/>
  <c r="F25" i="47"/>
  <c r="F37" i="46"/>
  <c r="G37" i="46" s="1"/>
  <c r="F25" i="46"/>
  <c r="I37" i="46"/>
  <c r="J37" i="46" s="1"/>
  <c r="L20" i="46"/>
  <c r="J25" i="46"/>
  <c r="B9" i="46"/>
  <c r="I38" i="23"/>
  <c r="J38" i="23" s="1"/>
  <c r="L38" i="23" s="1"/>
  <c r="N38" i="23" s="1"/>
  <c r="L23" i="23"/>
  <c r="N23" i="23" s="1"/>
  <c r="L40" i="23"/>
  <c r="N40" i="23" s="1"/>
  <c r="L21" i="23"/>
  <c r="N21" i="23" s="1"/>
  <c r="J20" i="23"/>
  <c r="I37" i="23" s="1"/>
  <c r="J37" i="23" s="1"/>
  <c r="D33" i="30"/>
  <c r="L39" i="23"/>
  <c r="N39" i="23" s="1"/>
  <c r="L22" i="23"/>
  <c r="N22" i="23" s="1"/>
  <c r="L41" i="23"/>
  <c r="N41" i="23" s="1"/>
  <c r="L24" i="23"/>
  <c r="N24" i="23" s="1"/>
  <c r="J9" i="30"/>
  <c r="F20" i="23"/>
  <c r="F37" i="23" s="1"/>
  <c r="G37" i="23" s="1"/>
  <c r="C33" i="30"/>
  <c r="A34" i="30"/>
  <c r="A28" i="29"/>
  <c r="A28" i="27"/>
  <c r="A26" i="26"/>
  <c r="A28" i="25"/>
  <c r="B34" i="30"/>
  <c r="N20" i="52" l="1"/>
  <c r="L25" i="52"/>
  <c r="N25" i="52" s="1"/>
  <c r="G42" i="52"/>
  <c r="G43" i="52"/>
  <c r="G45" i="52"/>
  <c r="G44" i="52"/>
  <c r="L37" i="52"/>
  <c r="J45" i="52"/>
  <c r="J44" i="52"/>
  <c r="J43" i="52"/>
  <c r="J42" i="52"/>
  <c r="L42" i="52" s="1"/>
  <c r="N42" i="52" s="1"/>
  <c r="G45" i="51"/>
  <c r="G42" i="51"/>
  <c r="G44" i="51"/>
  <c r="G43" i="51"/>
  <c r="L37" i="51"/>
  <c r="J44" i="51"/>
  <c r="J45" i="51"/>
  <c r="J43" i="51"/>
  <c r="J42" i="51"/>
  <c r="L42" i="51" s="1"/>
  <c r="N42" i="51" s="1"/>
  <c r="N20" i="51"/>
  <c r="L25" i="51"/>
  <c r="N25" i="51" s="1"/>
  <c r="N20" i="50"/>
  <c r="L25" i="50"/>
  <c r="N25" i="50" s="1"/>
  <c r="G45" i="50"/>
  <c r="G44" i="50"/>
  <c r="G43" i="50"/>
  <c r="G42" i="50"/>
  <c r="L37" i="50"/>
  <c r="J45" i="50"/>
  <c r="J44" i="50"/>
  <c r="J42" i="50"/>
  <c r="L42" i="50" s="1"/>
  <c r="N42" i="50" s="1"/>
  <c r="J43" i="50"/>
  <c r="N20" i="49"/>
  <c r="L25" i="49"/>
  <c r="N25" i="49" s="1"/>
  <c r="G45" i="49"/>
  <c r="G43" i="49"/>
  <c r="G42" i="49"/>
  <c r="G44" i="49"/>
  <c r="L37" i="49"/>
  <c r="J44" i="49"/>
  <c r="J42" i="49"/>
  <c r="L42" i="49" s="1"/>
  <c r="N42" i="49" s="1"/>
  <c r="J43" i="49"/>
  <c r="J45" i="49"/>
  <c r="G45" i="48"/>
  <c r="G44" i="48"/>
  <c r="G42" i="48"/>
  <c r="G43" i="48"/>
  <c r="L37" i="48"/>
  <c r="J45" i="48"/>
  <c r="J44" i="48"/>
  <c r="J42" i="48"/>
  <c r="L42" i="48" s="1"/>
  <c r="N42" i="48" s="1"/>
  <c r="J43" i="48"/>
  <c r="N20" i="48"/>
  <c r="L25" i="48"/>
  <c r="N25" i="48" s="1"/>
  <c r="G45" i="47"/>
  <c r="G44" i="47"/>
  <c r="G42" i="47"/>
  <c r="G43" i="47"/>
  <c r="L37" i="47"/>
  <c r="J44" i="47"/>
  <c r="J43" i="47"/>
  <c r="J42" i="47"/>
  <c r="L42" i="47" s="1"/>
  <c r="N42" i="47" s="1"/>
  <c r="J45" i="47"/>
  <c r="N20" i="47"/>
  <c r="L25" i="47"/>
  <c r="N25" i="47" s="1"/>
  <c r="G43" i="46"/>
  <c r="G45" i="46"/>
  <c r="G44" i="46"/>
  <c r="G42" i="46"/>
  <c r="N20" i="46"/>
  <c r="L25" i="46"/>
  <c r="N25" i="46" s="1"/>
  <c r="L37" i="46"/>
  <c r="J44" i="46"/>
  <c r="J43" i="46"/>
  <c r="J45" i="46"/>
  <c r="J42" i="46"/>
  <c r="J45" i="23"/>
  <c r="J43" i="23"/>
  <c r="J42" i="23"/>
  <c r="J44" i="23"/>
  <c r="D34" i="30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37" i="52" l="1"/>
  <c r="L45" i="52"/>
  <c r="M45" i="52" s="1"/>
  <c r="L44" i="52"/>
  <c r="M44" i="52" s="1"/>
  <c r="L43" i="52"/>
  <c r="M43" i="52" s="1"/>
  <c r="N45" i="51"/>
  <c r="N37" i="51"/>
  <c r="L44" i="51"/>
  <c r="M44" i="51" s="1"/>
  <c r="L45" i="51"/>
  <c r="M45" i="51" s="1"/>
  <c r="L43" i="51"/>
  <c r="M43" i="51" s="1"/>
  <c r="N37" i="50"/>
  <c r="L44" i="50"/>
  <c r="M44" i="50" s="1"/>
  <c r="L43" i="50"/>
  <c r="M43" i="50" s="1"/>
  <c r="L45" i="50"/>
  <c r="M45" i="50" s="1"/>
  <c r="N37" i="49"/>
  <c r="L43" i="49"/>
  <c r="M43" i="49" s="1"/>
  <c r="L45" i="49"/>
  <c r="M45" i="49" s="1"/>
  <c r="L44" i="49"/>
  <c r="M44" i="49" s="1"/>
  <c r="N44" i="49"/>
  <c r="N37" i="48"/>
  <c r="L44" i="48"/>
  <c r="M44" i="48" s="1"/>
  <c r="L45" i="48"/>
  <c r="M45" i="48" s="1"/>
  <c r="L43" i="48"/>
  <c r="M43" i="48" s="1"/>
  <c r="N37" i="47"/>
  <c r="L44" i="47"/>
  <c r="M44" i="47" s="1"/>
  <c r="L45" i="47"/>
  <c r="M45" i="47" s="1"/>
  <c r="L43" i="47"/>
  <c r="M43" i="47" s="1"/>
  <c r="L42" i="46"/>
  <c r="N42" i="46" s="1"/>
  <c r="N43" i="46"/>
  <c r="N37" i="46"/>
  <c r="L43" i="46"/>
  <c r="L44" i="46"/>
  <c r="M44" i="46" s="1"/>
  <c r="L45" i="46"/>
  <c r="M45" i="46" s="1"/>
  <c r="D35" i="30"/>
  <c r="G44" i="23"/>
  <c r="G45" i="23"/>
  <c r="G43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N45" i="52" l="1"/>
  <c r="N43" i="52"/>
  <c r="N44" i="52"/>
  <c r="N43" i="51"/>
  <c r="N44" i="51"/>
  <c r="N44" i="50"/>
  <c r="N43" i="50"/>
  <c r="N45" i="50"/>
  <c r="N43" i="49"/>
  <c r="N45" i="49"/>
  <c r="N44" i="48"/>
  <c r="N43" i="48"/>
  <c r="N45" i="48"/>
  <c r="N44" i="47"/>
  <c r="N43" i="47"/>
  <c r="N45" i="47"/>
  <c r="M43" i="46"/>
  <c r="N45" i="46"/>
  <c r="N44" i="46"/>
  <c r="D36" i="30"/>
  <c r="N37" i="23"/>
  <c r="L43" i="23"/>
  <c r="L45" i="23"/>
  <c r="L44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5" i="23" l="1"/>
  <c r="N43" i="23"/>
  <c r="D38" i="30"/>
  <c r="B9" i="23"/>
  <c r="J25" i="23"/>
  <c r="L18" i="23"/>
  <c r="N18" i="23" s="1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9" i="5"/>
  <c r="B46" i="5"/>
  <c r="B29" i="5"/>
  <c r="B34" i="5"/>
  <c r="B33" i="5"/>
  <c r="B31" i="5"/>
  <c r="B28" i="5"/>
  <c r="B45" i="5"/>
  <c r="B36" i="5"/>
  <c r="B37" i="5"/>
  <c r="B47" i="5"/>
  <c r="B35" i="5"/>
  <c r="B39" i="30"/>
  <c r="B38" i="5"/>
  <c r="B44" i="5"/>
  <c r="B32" i="5"/>
  <c r="B40" i="5"/>
  <c r="E9" i="5"/>
  <c r="B42" i="5"/>
  <c r="B41" i="5"/>
  <c r="B27" i="5"/>
  <c r="B30" i="5"/>
  <c r="B43" i="5"/>
  <c r="D39" i="30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A35" i="27"/>
  <c r="A33" i="26"/>
  <c r="A35" i="25"/>
  <c r="B41" i="30"/>
  <c r="D41" i="30" l="1"/>
  <c r="C41" i="30"/>
  <c r="A42" i="30"/>
  <c r="A36" i="29"/>
  <c r="A36" i="27"/>
  <c r="A34" i="26"/>
  <c r="A36" i="25"/>
  <c r="B42" i="30"/>
  <c r="D42" i="30" l="1"/>
  <c r="C42" i="30"/>
  <c r="A43" i="30"/>
  <c r="A37" i="29"/>
  <c r="A37" i="27"/>
  <c r="A35" i="26"/>
  <c r="A37" i="25"/>
  <c r="B43" i="30"/>
  <c r="D43" i="30" l="1"/>
  <c r="C43" i="30"/>
  <c r="A44" i="30"/>
  <c r="A38" i="29"/>
  <c r="A38" i="27"/>
  <c r="A36" i="26"/>
  <c r="A38" i="25"/>
  <c r="B44" i="30"/>
  <c r="D44" i="30" l="1"/>
  <c r="C44" i="30"/>
  <c r="A45" i="30"/>
  <c r="A39" i="29"/>
  <c r="A39" i="27"/>
  <c r="A37" i="26"/>
  <c r="A39" i="25"/>
  <c r="B45" i="30"/>
  <c r="D45" i="30" l="1"/>
  <c r="C45" i="30"/>
  <c r="A46" i="30"/>
  <c r="A40" i="29"/>
  <c r="A40" i="27"/>
  <c r="A38" i="26"/>
  <c r="A40" i="25"/>
  <c r="B46" i="30"/>
  <c r="D46" i="30" l="1"/>
  <c r="C46" i="30"/>
  <c r="A47" i="30"/>
  <c r="A41" i="29"/>
  <c r="A41" i="27"/>
  <c r="A39" i="26"/>
  <c r="A41" i="25"/>
  <c r="B47" i="30"/>
  <c r="D47" i="30" l="1"/>
  <c r="C47" i="30"/>
  <c r="A48" i="30"/>
  <c r="A42" i="29"/>
  <c r="A42" i="27"/>
  <c r="A40" i="26"/>
  <c r="A42" i="25"/>
  <c r="B48" i="30"/>
  <c r="D48" i="30" l="1"/>
  <c r="C48" i="30"/>
  <c r="A49" i="30"/>
  <c r="A43" i="29"/>
  <c r="A43" i="27"/>
  <c r="A41" i="26"/>
  <c r="A43" i="25"/>
  <c r="B49" i="30"/>
  <c r="D49" i="30" l="1"/>
  <c r="C49" i="30"/>
  <c r="A50" i="30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<sst xmlns="http://schemas.openxmlformats.org/spreadsheetml/2006/main" count="1853" uniqueCount="225">
  <si>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</si>
  <si>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</si>
  <si>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</si>
  <si>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</si>
  <si>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</si>
  <si>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</si>
  <si>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</si>
  <si>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</si>
  <si>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</si>
  <si>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</si>
  <si>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</si>
  <si>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</si>
  <si>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</si>
  <si>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</si>
  <si>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</si>
  <si>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</si>
  <si>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</si>
  <si>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</si>
  <si>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</si>
  <si>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</si>
  <si>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</si>
  <si>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</si>
  <si>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</si>
  <si>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</si>
  <si>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</si>
  <si>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</si>
  <si>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</si>
  <si>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</si>
  <si>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</si>
  <si>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</si>
  <si>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</si>
  <si>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</si>
  <si>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</si>
  <si>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</si>
  <si>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</si>
  <si>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</si>
  <si>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</si>
  <si>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</si>
  <si>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</si>
  <si>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</si>
  <si>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</si>
  <si>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</si>
  <si>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</si>
  <si>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</si>
  <si>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</si>
  <si>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</si>
  <si>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</si>
  <si>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</si>
  <si>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</si>
  <si>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</si>
  <si>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</si>
  <si>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</si>
  <si>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</si>
  <si>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</si>
  <si>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</si>
  <si>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</si>
  <si>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</si>
  <si>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</si>
  <si>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</si>
  <si>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</si>
  <si>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</si>
  <si>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</si>
  <si>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</si>
  <si>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</si>
  <si>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</si>
  <si>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</si>
  <si>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</si>
  <si>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</si>
  <si>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</si>
  <si>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</si>
  <si>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</si>
  <si>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</si>
  <si>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</si>
  <si>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</si>
  <si>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</si>
  <si>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</si>
  <si>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</si>
  <si>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</si>
  <si>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</si>
  <si>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</si>
  <si>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</si>
  <si>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</si>
  <si>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</si>
  <si>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</si>
  <si>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</si>
  <si>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</si>
  <si>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</si>
  <si>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</si>
  <si>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</si>
  <si>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</si>
  <si>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</si>
  <si>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</si>
  <si>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</si>
  <si>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</si>
  <si>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</si>
  <si>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</si>
  <si>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</si>
  <si>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</si>
  <si>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</si>
  <si>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</si>
  <si>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</si>
  <si>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</si>
  <si>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</si>
  <si>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</si>
  <si>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</si>
  <si>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</si>
  <si>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</si>
  <si>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</si>
  <si>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</si>
  <si>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</si>
  <si>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</si>
  <si>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</si>
  <si>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</si>
  <si>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</si>
  <si>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</si>
  <si>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</si>
  <si>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</si>
  <si>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</si>
  <si>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</si>
  <si>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</si>
  <si>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</si>
  <si>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</si>
  <si>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</si>
  <si>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</si>
  <si>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</si>
  <si>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</si>
  <si>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</si>
  <si>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</si>
  <si>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</si>
  <si>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</si>
  <si>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</si>
  <si>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</si>
  <si>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</si>
  <si>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</si>
  <si>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</si>
  <si>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</si>
  <si>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</si>
  <si>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</si>
  <si>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</si>
  <si>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</si>
  <si>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</si>
  <si>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</si>
  <si>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</si>
  <si>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</si>
  <si>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</si>
  <si>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</si>
  <si>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</si>
  <si>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</si>
  <si>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</si>
  <si>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</si>
  <si>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</si>
  <si>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</si>
  <si>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</si>
  <si>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</si>
  <si>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</si>
  <si>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</si>
  <si>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</si>
  <si>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</si>
  <si>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</si>
  <si>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</si>
  <si>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</si>
  <si>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</si>
  <si>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</si>
  <si>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</si>
  <si>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</si>
  <si>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</si>
  <si>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</si>
  <si>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</si>
  <si>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</si>
  <si>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</si>
  <si>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</si>
  <si>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Adherence</t>
  </si>
  <si>
    <t>Scurve Est. [Base Adjusted]</t>
  </si>
  <si>
    <t>Spline [Assumed Response Decays]</t>
  </si>
  <si>
    <t>Phar. Acquisition</t>
  </si>
  <si>
    <t>TRx</t>
  </si>
  <si>
    <t>NRx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</si>
  <si>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</si>
  <si>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</si>
  <si>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</si>
  <si>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</si>
  <si>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</si>
  <si>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</si>
  <si>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</si>
  <si>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</si>
  <si>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</si>
  <si>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</si>
  <si>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</si>
  <si>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</si>
  <si>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</si>
  <si>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</si>
  <si>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</si>
  <si>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</si>
  <si>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</si>
  <si>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</si>
  <si>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</si>
  <si>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</si>
  <si>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</si>
  <si>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</si>
  <si>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</si>
  <si>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</si>
  <si>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</si>
  <si>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</si>
  <si>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</si>
  <si>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</si>
  <si>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</si>
  <si>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</si>
  <si>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</si>
  <si>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</si>
  <si>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</si>
  <si>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</si>
  <si>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t>Considered budgets are:</t>
  </si>
  <si>
    <t>Current Total - $15MM</t>
  </si>
  <si>
    <t>Current Total - $10MM</t>
  </si>
  <si>
    <t>Current Total - $5MM</t>
  </si>
  <si>
    <t>Current Total</t>
  </si>
  <si>
    <t>Current Total + $5MM</t>
  </si>
  <si>
    <t>Current Total + $10MM</t>
  </si>
  <si>
    <t>Current Total + $15MM</t>
  </si>
  <si>
    <r>
      <t xml:space="preserve">CASE 6: </t>
    </r>
    <r>
      <rPr>
        <sz val="10"/>
        <color rgb="FF0000FF"/>
        <rFont val="Calibri"/>
        <family val="2"/>
        <scheme val="minor"/>
      </rPr>
      <t>Standard cases with budget increments of $5MM and local constrints of + or - 30%.</t>
    </r>
  </si>
  <si>
    <t>STANDARD 30% SCENARIOS</t>
  </si>
  <si>
    <r>
      <t xml:space="preserve">In here, we build set of scenarios with budget increments of + or - $5MM. </t>
    </r>
    <r>
      <rPr>
        <b/>
        <sz val="11"/>
        <color theme="1"/>
        <rFont val="Calibri"/>
        <family val="2"/>
        <scheme val="minor"/>
      </rPr>
      <t xml:space="preserve">All scenarios have </t>
    </r>
    <r>
      <rPr>
        <b/>
        <sz val="11"/>
        <color rgb="FFC00000"/>
        <rFont val="Calibri"/>
        <family val="2"/>
        <scheme val="minor"/>
      </rPr>
      <t>+ or - 30%</t>
    </r>
    <r>
      <rPr>
        <b/>
        <sz val="11"/>
        <color theme="1"/>
        <rFont val="Calibri"/>
        <family val="2"/>
        <scheme val="minor"/>
      </rPr>
      <t xml:space="preserve"> local constraints.</t>
    </r>
  </si>
  <si>
    <t>Januvia Family (Januvia / Janumet)</t>
  </si>
  <si>
    <t xml:space="preserve">Januvia </t>
  </si>
  <si>
    <t xml:space="preserve">Janumet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</si>
</sst>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8" fillId="0" borderId="0"/>
    <xf numFmtId="0" fontId="38" fillId="0" borderId="0"/>
    <xf numFmtId="43" fontId="38" fillId="0" borderId="0" applyFont="0" applyFill="0" applyBorder="0" applyAlignment="0" applyProtection="0"/>
    <xf numFmtId="0" fontId="38" fillId="0" borderId="0"/>
  </cellStyleXfs>
  <cellXfs count="296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37" fillId="0" borderId="0" xfId="0" applyFont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3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41" fillId="0" borderId="0" xfId="0" applyFont="1"/>
    <xf numFmtId="0" fontId="28" fillId="0" borderId="0" xfId="0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40" fillId="0" borderId="4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5" fillId="9" borderId="2" xfId="0" applyFont="1" applyFill="1" applyBorder="1" applyAlignment="1">
      <alignment horizontal="center" wrapText="1"/>
    </xf>
    <xf numFmtId="0" fontId="5" fillId="42" borderId="2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3583674.7056146222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42048"/>
        <c:axId val="265860992"/>
      </c:scatterChart>
      <c:valAx>
        <c:axId val="265842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860992"/>
        <c:crosses val="autoZero"/>
        <c:crossBetween val="midCat"/>
        <c:dispUnits>
          <c:builtInUnit val="thousands"/>
        </c:dispUnits>
      </c:valAx>
      <c:valAx>
        <c:axId val="265860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8420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4267308.0617963634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36096"/>
        <c:axId val="265663232"/>
      </c:scatterChart>
      <c:valAx>
        <c:axId val="265636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663232"/>
        <c:crosses val="autoZero"/>
        <c:crossBetween val="midCat"/>
        <c:dispUnits>
          <c:builtInUnit val="thousands"/>
        </c:dispUnits>
      </c:valAx>
      <c:valAx>
        <c:axId val="26566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6360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247507.37930088287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61920"/>
        <c:axId val="265764224"/>
      </c:scatterChart>
      <c:valAx>
        <c:axId val="265761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764224"/>
        <c:crosses val="autoZero"/>
        <c:crossBetween val="midCat"/>
        <c:dispUnits>
          <c:builtInUnit val="thousands"/>
        </c:dispUnits>
      </c:valAx>
      <c:valAx>
        <c:axId val="2657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761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24802.992303032715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07520"/>
        <c:axId val="265709824"/>
      </c:scatterChart>
      <c:valAx>
        <c:axId val="265707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5709824"/>
        <c:crosses val="autoZero"/>
        <c:crossBetween val="midCat"/>
        <c:dispUnits>
          <c:builtInUnit val="thousands"/>
        </c:dispUnits>
      </c:valAx>
      <c:valAx>
        <c:axId val="265709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707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2518200.0655416748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63840"/>
        <c:axId val="269374592"/>
      </c:scatterChart>
      <c:valAx>
        <c:axId val="269363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374592"/>
        <c:crosses val="autoZero"/>
        <c:crossBetween val="midCat"/>
        <c:dispUnits>
          <c:builtInUnit val="thousands"/>
        </c:dispUnits>
      </c:valAx>
      <c:valAx>
        <c:axId val="269374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3638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601489.1521167414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36416"/>
        <c:axId val="269438976"/>
      </c:scatterChart>
      <c:valAx>
        <c:axId val="269436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438976"/>
        <c:crosses val="autoZero"/>
        <c:crossBetween val="midCat"/>
        <c:dispUnits>
          <c:builtInUnit val="thousands"/>
        </c:dispUnits>
      </c:valAx>
      <c:valAx>
        <c:axId val="269438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4364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134862.22094521255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04896"/>
        <c:axId val="269507200"/>
      </c:scatterChart>
      <c:valAx>
        <c:axId val="269504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507200"/>
        <c:crosses val="autoZero"/>
        <c:crossBetween val="midCat"/>
        <c:dispUnits>
          <c:builtInUnit val="thousands"/>
        </c:dispUnits>
      </c:valAx>
      <c:valAx>
        <c:axId val="269507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5048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10426713.5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19363896.5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325914.80613466725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71712"/>
        <c:axId val="269178368"/>
      </c:scatterChart>
      <c:valAx>
        <c:axId val="269171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9178368"/>
        <c:crosses val="autoZero"/>
        <c:crossBetween val="midCat"/>
        <c:dispUnits>
          <c:builtInUnit val="thousands"/>
        </c:dispUnits>
      </c:valAx>
      <c:valAx>
        <c:axId val="269178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171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332417617.51573718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11680"/>
        <c:axId val="263914240"/>
      </c:scatterChart>
      <c:valAx>
        <c:axId val="263911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3914240"/>
        <c:crosses val="autoZero"/>
        <c:crossBetween val="midCat"/>
        <c:dispUnits>
          <c:builtInUnit val="millions"/>
        </c:dispUnits>
      </c:valAx>
      <c:valAx>
        <c:axId val="263914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39116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360964411.70156431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84256"/>
        <c:axId val="263986560"/>
      </c:scatterChart>
      <c:valAx>
        <c:axId val="263984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3986560"/>
        <c:crosses val="autoZero"/>
        <c:crossBetween val="midCat"/>
        <c:dispUnits>
          <c:builtInUnit val="millions"/>
        </c:dispUnits>
      </c:valAx>
      <c:valAx>
        <c:axId val="263986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39842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22391099.677494135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32256"/>
        <c:axId val="264034560"/>
      </c:scatterChart>
      <c:valAx>
        <c:axId val="264032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4034560"/>
        <c:crosses val="autoZero"/>
        <c:crossBetween val="midCat"/>
        <c:dispUnits>
          <c:builtInUnit val="millions"/>
        </c:dispUnits>
      </c:valAx>
      <c:valAx>
        <c:axId val="264034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40322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2243837.2323525478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00480"/>
        <c:axId val="264107136"/>
      </c:scatterChart>
      <c:valAx>
        <c:axId val="264100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4107136"/>
        <c:crosses val="autoZero"/>
        <c:crossBetween val="midCat"/>
        <c:dispUnits>
          <c:builtInUnit val="millions"/>
        </c:dispUnits>
      </c:valAx>
      <c:valAx>
        <c:axId val="264107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2641004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227812475.06512135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60288"/>
        <c:axId val="269275136"/>
      </c:scatterChart>
      <c:valAx>
        <c:axId val="269260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9275136"/>
        <c:crosses val="autoZero"/>
        <c:crossBetween val="midCat"/>
        <c:dispUnits>
          <c:builtInUnit val="millions"/>
        </c:dispUnits>
      </c:valAx>
      <c:valAx>
        <c:axId val="269275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92602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54414553.61056117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123392"/>
        <c:axId val="270125696"/>
      </c:scatterChart>
      <c:valAx>
        <c:axId val="270123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70125696"/>
        <c:crosses val="autoZero"/>
        <c:crossBetween val="midCat"/>
        <c:dispUnits>
          <c:builtInUnit val="millions"/>
        </c:dispUnits>
      </c:valAx>
      <c:valAx>
        <c:axId val="270125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7012339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12200498.588939324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32576"/>
        <c:axId val="270255616"/>
      </c:scatterChart>
      <c:valAx>
        <c:axId val="270232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70255616"/>
        <c:crosses val="autoZero"/>
        <c:crossBetween val="midCat"/>
        <c:dispUnits>
          <c:builtInUnit val="millions"/>
        </c:dispUnits>
      </c:valAx>
      <c:valAx>
        <c:axId val="270255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7023257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10426713.5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19363896.5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33996173.427907139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169984"/>
        <c:axId val="270197120"/>
      </c:scatterChart>
      <c:valAx>
        <c:axId val="270169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70197120"/>
        <c:crosses val="autoZero"/>
        <c:crossBetween val="midCat"/>
        <c:dispUnits>
          <c:builtInUnit val="millions"/>
        </c:dispUnits>
      </c:valAx>
      <c:valAx>
        <c:axId val="270197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7016998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3583674.7056146222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4267308.0617963634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247507.37930088287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24802.992303032715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2518200.0655416748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601489.1521167414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134862.22094521255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325914.80613466725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3583674.7056146222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4267308.0617963634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247507.37930088287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24802.992303032715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2518200.0655416748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601489.1521167414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134862.22094521255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325914.80613466725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3824"/>
        <c:axId val="270418688"/>
      </c:scatterChart>
      <c:valAx>
        <c:axId val="27033382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0418688"/>
        <c:crosses val="autoZero"/>
        <c:crossBetween val="midCat"/>
        <c:dispUnits>
          <c:builtInUnit val="millions"/>
        </c:dispUnits>
      </c:valAx>
      <c:valAx>
        <c:axId val="270418688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333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3583674.7056146222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4267308.0617963634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247507.37930088287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24802.992303032715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2518200.0655416748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601489.1521167414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134862.22094521255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325914.80613466725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3583674.7056146222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4267308.0617963634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247507.37930088287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24802.992303032715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2518200.0655416748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601489.1521167414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134862.22094521255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325914.80613466725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41024"/>
        <c:axId val="270660352"/>
      </c:scatterChart>
      <c:valAx>
        <c:axId val="270641024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270660352"/>
        <c:crosses val="autoZero"/>
        <c:crossBetween val="midCat"/>
        <c:dispUnits>
          <c:builtInUnit val="thousands"/>
        </c:dispUnits>
      </c:valAx>
      <c:valAx>
        <c:axId val="27066035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6410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332417617.51573718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360964411.70156431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22391099.677494135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2243837.2323525478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227812475.06512135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54414553.61056117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12200498.588939324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33996173.427907139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56576"/>
        <c:axId val="270859264"/>
      </c:scatterChart>
      <c:valAx>
        <c:axId val="270856576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0859264"/>
        <c:crosses val="autoZero"/>
        <c:crossBetween val="midCat"/>
        <c:dispUnits>
          <c:builtInUnit val="millions"/>
        </c:dispUnits>
      </c:valAx>
      <c:valAx>
        <c:axId val="270859264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085657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332417617.51573718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360964411.70156431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22391099.677494135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2243837.2323525478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227812475.06512135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54414553.61056117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12200498.588939324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33996173.427907139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78528"/>
        <c:axId val="271097856"/>
      </c:scatterChart>
      <c:valAx>
        <c:axId val="271078528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097856"/>
        <c:crosses val="autoZero"/>
        <c:crossBetween val="midCat"/>
        <c:dispUnits>
          <c:builtInUnit val="millions"/>
        </c:dispUnits>
      </c:valAx>
      <c:valAx>
        <c:axId val="271097856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10785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3583674.7056146222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14336"/>
        <c:axId val="271616640"/>
      </c:scatterChart>
      <c:valAx>
        <c:axId val="271614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616640"/>
        <c:crosses val="autoZero"/>
        <c:crossBetween val="midCat"/>
        <c:dispUnits>
          <c:builtInUnit val="thousands"/>
        </c:dispUnits>
      </c:valAx>
      <c:valAx>
        <c:axId val="271616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6143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71296"/>
        <c:axId val="271673600"/>
      </c:scatterChart>
      <c:valAx>
        <c:axId val="271671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673600"/>
        <c:crosses val="autoZero"/>
        <c:crossBetween val="midCat"/>
        <c:dispUnits>
          <c:builtInUnit val="thousands"/>
        </c:dispUnits>
      </c:valAx>
      <c:valAx>
        <c:axId val="27167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671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4267308.0617963634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93152"/>
        <c:axId val="271395456"/>
      </c:scatterChart>
      <c:valAx>
        <c:axId val="271393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395456"/>
        <c:crosses val="autoZero"/>
        <c:crossBetween val="midCat"/>
        <c:dispUnits>
          <c:builtInUnit val="thousands"/>
        </c:dispUnits>
      </c:valAx>
      <c:valAx>
        <c:axId val="271395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393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32032"/>
        <c:axId val="271534336"/>
      </c:scatterChart>
      <c:valAx>
        <c:axId val="271532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534336"/>
        <c:crosses val="autoZero"/>
        <c:crossBetween val="midCat"/>
        <c:dispUnits>
          <c:builtInUnit val="thousands"/>
        </c:dispUnits>
      </c:valAx>
      <c:valAx>
        <c:axId val="271534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5320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814356.65353799029</c:v>
                </c:pt>
                <c:pt idx="2">
                  <c:v>1628978.1575544148</c:v>
                </c:pt>
                <c:pt idx="3">
                  <c:v>2443864.5120492736</c:v>
                </c:pt>
                <c:pt idx="4">
                  <c:v>3259015.7170225671</c:v>
                </c:pt>
                <c:pt idx="5">
                  <c:v>4074431.7724742941</c:v>
                </c:pt>
                <c:pt idx="6">
                  <c:v>4890112.6784044569</c:v>
                </c:pt>
                <c:pt idx="7">
                  <c:v>5706058.4348130533</c:v>
                </c:pt>
                <c:pt idx="8">
                  <c:v>6522269.0417000838</c:v>
                </c:pt>
                <c:pt idx="9">
                  <c:v>7338744.4990655482</c:v>
                </c:pt>
                <c:pt idx="10">
                  <c:v>8155484.8069094475</c:v>
                </c:pt>
                <c:pt idx="11">
                  <c:v>8972489.9652317818</c:v>
                </c:pt>
                <c:pt idx="12">
                  <c:v>9789759.9740325511</c:v>
                </c:pt>
                <c:pt idx="13">
                  <c:v>10607294.833311751</c:v>
                </c:pt>
                <c:pt idx="14">
                  <c:v>11425094.543069389</c:v>
                </c:pt>
                <c:pt idx="15">
                  <c:v>12243159.103305459</c:v>
                </c:pt>
                <c:pt idx="16">
                  <c:v>13061488.514019966</c:v>
                </c:pt>
                <c:pt idx="17">
                  <c:v>13880082.775212904</c:v>
                </c:pt>
                <c:pt idx="18">
                  <c:v>14698941.886884278</c:v>
                </c:pt>
                <c:pt idx="19">
                  <c:v>15518065.849034088</c:v>
                </c:pt>
                <c:pt idx="20">
                  <c:v>16337454.661662331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37216"/>
        <c:axId val="271739520"/>
      </c:scatterChart>
      <c:valAx>
        <c:axId val="271737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739520"/>
        <c:crosses val="autoZero"/>
        <c:crossBetween val="midCat"/>
        <c:dispUnits>
          <c:builtInUnit val="thousands"/>
        </c:dispUnits>
      </c:valAx>
      <c:valAx>
        <c:axId val="271739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7372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02368"/>
        <c:axId val="271804672"/>
      </c:scatterChart>
      <c:valAx>
        <c:axId val="271802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1804672"/>
        <c:crosses val="autoZero"/>
        <c:crossBetween val="midCat"/>
        <c:dispUnits>
          <c:builtInUnit val="thousands"/>
        </c:dispUnits>
      </c:valAx>
      <c:valAx>
        <c:axId val="271804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8023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247507.37930088287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056704"/>
        <c:axId val="272059008"/>
      </c:scatterChart>
      <c:valAx>
        <c:axId val="2720567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059008"/>
        <c:crosses val="autoZero"/>
        <c:crossBetween val="midCat"/>
        <c:dispUnits>
          <c:builtInUnit val="thousands"/>
        </c:dispUnits>
      </c:valAx>
      <c:valAx>
        <c:axId val="272059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0567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16975.814766864394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21856"/>
        <c:axId val="272124160"/>
      </c:scatterChart>
      <c:valAx>
        <c:axId val="272121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124160"/>
        <c:crosses val="autoZero"/>
        <c:crossBetween val="midCat"/>
        <c:dispUnits>
          <c:builtInUnit val="thousands"/>
        </c:dispUnits>
      </c:valAx>
      <c:valAx>
        <c:axId val="27212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1218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24802.992303032715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87776"/>
        <c:axId val="272190080"/>
      </c:scatterChart>
      <c:valAx>
        <c:axId val="272187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190080"/>
        <c:crosses val="autoZero"/>
        <c:crossBetween val="midCat"/>
        <c:dispUnits>
          <c:builtInUnit val="thousands"/>
        </c:dispUnits>
      </c:valAx>
      <c:valAx>
        <c:axId val="272190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1877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01088"/>
        <c:axId val="272603392"/>
      </c:scatterChart>
      <c:valAx>
        <c:axId val="2726010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603392"/>
        <c:crosses val="autoZero"/>
        <c:crossBetween val="midCat"/>
        <c:dispUnits>
          <c:builtInUnit val="thousands"/>
        </c:dispUnits>
      </c:valAx>
      <c:valAx>
        <c:axId val="272603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6010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2518200.0655416748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358784"/>
        <c:axId val="272500608"/>
      </c:scatterChart>
      <c:valAx>
        <c:axId val="272358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500608"/>
        <c:crosses val="autoZero"/>
        <c:crossBetween val="midCat"/>
        <c:dispUnits>
          <c:builtInUnit val="thousands"/>
        </c:dispUnits>
      </c:valAx>
      <c:valAx>
        <c:axId val="272500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358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172716.05387802981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59104"/>
        <c:axId val="272631296"/>
      </c:scatterChart>
      <c:valAx>
        <c:axId val="272559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631296"/>
        <c:crosses val="autoZero"/>
        <c:crossBetween val="midCat"/>
        <c:dispUnits>
          <c:builtInUnit val="thousands"/>
        </c:dispUnits>
      </c:valAx>
      <c:valAx>
        <c:axId val="272631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559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601489.1521167414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94272"/>
        <c:axId val="272713216"/>
      </c:scatterChart>
      <c:valAx>
        <c:axId val="2726942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713216"/>
        <c:crosses val="autoZero"/>
        <c:crossBetween val="midCat"/>
        <c:dispUnits>
          <c:builtInUnit val="thousands"/>
        </c:dispUnits>
      </c:valAx>
      <c:valAx>
        <c:axId val="27271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6942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41254.400008006953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59424"/>
        <c:axId val="272770176"/>
      </c:scatterChart>
      <c:valAx>
        <c:axId val="272759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770176"/>
        <c:crosses val="autoZero"/>
        <c:crossBetween val="midCat"/>
        <c:dispUnits>
          <c:builtInUnit val="thousands"/>
        </c:dispUnits>
      </c:valAx>
      <c:valAx>
        <c:axId val="272770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7594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134862.22094521255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43904"/>
        <c:axId val="271819904"/>
      </c:scatterChart>
      <c:valAx>
        <c:axId val="271243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819904"/>
        <c:crosses val="autoZero"/>
        <c:crossBetween val="midCat"/>
        <c:dispUnits>
          <c:builtInUnit val="thousands"/>
        </c:dispUnits>
      </c:valAx>
      <c:valAx>
        <c:axId val="27181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243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2475161.5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4596728.5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9249.8093926757574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34176"/>
        <c:axId val="273249024"/>
      </c:scatterChart>
      <c:valAx>
        <c:axId val="273234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3249024"/>
        <c:crosses val="autoZero"/>
        <c:crossBetween val="midCat"/>
        <c:dispUnits>
          <c:builtInUnit val="thousands"/>
        </c:dispUnits>
      </c:valAx>
      <c:valAx>
        <c:axId val="273249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2341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10426713.5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19363896.5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13312631.257466014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325914.80613466725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29376"/>
        <c:axId val="273048320"/>
      </c:scatterChart>
      <c:valAx>
        <c:axId val="273029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3048320"/>
        <c:crosses val="autoZero"/>
        <c:crossBetween val="midCat"/>
        <c:dispUnits>
          <c:builtInUnit val="thousands"/>
        </c:dispUnits>
      </c:valAx>
      <c:valAx>
        <c:axId val="273048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0293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32544"/>
        <c:axId val="273151104"/>
      </c:scatterChart>
      <c:valAx>
        <c:axId val="273132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151104"/>
        <c:crosses val="autoZero"/>
        <c:crossBetween val="midCat"/>
      </c:valAx>
      <c:valAx>
        <c:axId val="2731511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1325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40064"/>
        <c:axId val="273654528"/>
      </c:scatterChart>
      <c:valAx>
        <c:axId val="273640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654528"/>
        <c:crosses val="autoZero"/>
        <c:crossBetween val="midCat"/>
      </c:valAx>
      <c:valAx>
        <c:axId val="2736545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6400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74848"/>
        <c:axId val="273781120"/>
      </c:scatterChart>
      <c:valAx>
        <c:axId val="273774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781120"/>
        <c:crosses val="autoZero"/>
        <c:crossBetween val="midCat"/>
      </c:valAx>
      <c:valAx>
        <c:axId val="27378112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7748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32096"/>
        <c:axId val="273338752"/>
      </c:scatterChart>
      <c:valAx>
        <c:axId val="273332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3338752"/>
        <c:crosses val="autoZero"/>
        <c:crossBetween val="midCat"/>
        <c:dispUnits>
          <c:builtInUnit val="millions"/>
        </c:dispUnits>
      </c:valAx>
      <c:valAx>
        <c:axId val="27333875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3320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/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1:G11"/>
  <sheetViews>
    <sheetView workbookViewId="0">
      <selection activeCell="C9" sqref="C9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5" t="s">
        <v>220</v>
      </c>
    </row>
    <row r="2" spans="1:7" x14ac:dyDescent="0.3">
      <c r="A2" t="s">
        <v>221</v>
      </c>
    </row>
    <row r="3" spans="1:7" x14ac:dyDescent="0.3">
      <c r="A3" s="203" t="s">
        <v>211</v>
      </c>
      <c r="B3" s="161"/>
      <c r="C3" s="161"/>
      <c r="D3" s="161"/>
      <c r="E3" s="161"/>
      <c r="F3" s="161"/>
      <c r="G3" s="161"/>
    </row>
    <row r="4" spans="1:7" x14ac:dyDescent="0.3">
      <c r="A4" t="s">
        <v>212</v>
      </c>
    </row>
    <row r="5" spans="1:7" x14ac:dyDescent="0.3">
      <c r="A5" s="161" t="s">
        <v>213</v>
      </c>
    </row>
    <row r="6" spans="1:7" x14ac:dyDescent="0.3">
      <c r="A6" s="161" t="s">
        <v>214</v>
      </c>
    </row>
    <row r="7" spans="1:7" x14ac:dyDescent="0.3">
      <c r="A7" s="202" t="s">
        <v>215</v>
      </c>
    </row>
    <row r="8" spans="1:7" x14ac:dyDescent="0.3">
      <c r="A8" s="161" t="s">
        <v>216</v>
      </c>
    </row>
    <row r="9" spans="1:7" x14ac:dyDescent="0.3">
      <c r="A9" s="161" t="s">
        <v>217</v>
      </c>
    </row>
    <row r="10" spans="1:7" x14ac:dyDescent="0.3">
      <c r="A10" s="161" t="s">
        <v>218</v>
      </c>
    </row>
    <row r="11" spans="1:7" x14ac:dyDescent="0.3">
      <c r="A11" s="161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F25" zoomScale="90" zoomScaleNormal="90" workbookViewId="0">
      <selection activeCell="F18" sqref="F18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9272425.7276350316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79050884 - 15000000</f>
        <v>64050884</v>
      </c>
      <c r="C12" s="81">
        <f>1*B12 - 1</f>
        <v>64050883</v>
      </c>
      <c r="D12" s="82">
        <f>1*B12 + 1</f>
        <v>64050885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16047670.297391115</v>
      </c>
      <c r="J18" s="65">
        <v>3373574.7955126823</v>
      </c>
      <c r="K18" s="60">
        <f t="shared" ref="K18:L24" si="2">I18-E18</f>
        <v>437235.29739111476</v>
      </c>
      <c r="L18" s="60">
        <f t="shared" si="2"/>
        <v>92007.796732518356</v>
      </c>
      <c r="M18" s="61">
        <f t="shared" ref="M18:N25" si="3">K18/E18</f>
        <v>2.8009168059129341E-2</v>
      </c>
      <c r="N18" s="61">
        <f t="shared" si="3"/>
        <v>2.8037762680670493E-2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133270.16350323145</v>
      </c>
      <c r="K19" s="60">
        <f t="shared" si="2"/>
        <v>-1141414.8000000003</v>
      </c>
      <c r="L19" s="60">
        <f t="shared" si="2"/>
        <v>-57117.956312603143</v>
      </c>
      <c r="M19" s="61">
        <f t="shared" si="3"/>
        <v>-0.3000000000000001</v>
      </c>
      <c r="N19" s="61">
        <f t="shared" si="3"/>
        <v>-0.30000798562354747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16067799.999999998</v>
      </c>
      <c r="J21" s="65">
        <v>1471977.8896224049</v>
      </c>
      <c r="K21" s="60">
        <f t="shared" si="2"/>
        <v>-6886200.0000000019</v>
      </c>
      <c r="L21" s="60">
        <f t="shared" si="2"/>
        <v>-546071.16236147145</v>
      </c>
      <c r="M21" s="61">
        <f t="shared" si="3"/>
        <v>-0.3000000000000001</v>
      </c>
      <c r="N21" s="61">
        <f t="shared" si="3"/>
        <v>-0.2705936021845689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346294.34011289396</v>
      </c>
      <c r="K22" s="60">
        <f t="shared" si="2"/>
        <v>-2345695.2000000002</v>
      </c>
      <c r="L22" s="60">
        <f t="shared" si="2"/>
        <v>-132055.15301391727</v>
      </c>
      <c r="M22" s="61">
        <f t="shared" si="3"/>
        <v>-0.30000000000000004</v>
      </c>
      <c r="N22" s="61">
        <f t="shared" si="3"/>
        <v>-0.27606416419659346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74714.772136189116</v>
      </c>
      <c r="K23" s="60">
        <f t="shared" si="2"/>
        <v>-1060783.5</v>
      </c>
      <c r="L23" s="60">
        <f t="shared" si="2"/>
        <v>-30509.087863810884</v>
      </c>
      <c r="M23" s="61">
        <f t="shared" si="3"/>
        <v>-0.3</v>
      </c>
      <c r="N23" s="61">
        <f t="shared" si="3"/>
        <v>-0.28994457971614884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10426713.5</v>
      </c>
      <c r="J24" s="65">
        <v>264116.06882997416</v>
      </c>
      <c r="K24" s="60">
        <f t="shared" si="2"/>
        <v>-4468591.5</v>
      </c>
      <c r="L24" s="60">
        <f t="shared" si="2"/>
        <v>-93824.661215279251</v>
      </c>
      <c r="M24" s="61">
        <f t="shared" si="3"/>
        <v>-0.3</v>
      </c>
      <c r="N24" s="61">
        <f t="shared" si="3"/>
        <v>-0.26212345603535331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64050883.997391112</v>
      </c>
      <c r="J25" s="175">
        <f t="shared" si="4"/>
        <v>9272425.7276350316</v>
      </c>
      <c r="K25" s="76">
        <f>SUM(K17:K24)</f>
        <v>-15000000.002608888</v>
      </c>
      <c r="L25" s="175">
        <f>SUM(L17:L24)</f>
        <v>40715.24007944396</v>
      </c>
      <c r="M25" s="79">
        <f>K25/E25</f>
        <v>-0.18975119876722552</v>
      </c>
      <c r="N25" s="79">
        <f t="shared" si="3"/>
        <v>4.4103679523235058E-3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16047670.297391115</v>
      </c>
      <c r="I35" s="169">
        <f>J18/$P$31</f>
        <v>237408.50073980872</v>
      </c>
      <c r="J35" s="180">
        <f>I35*$R$31</f>
        <v>285365017.8892501</v>
      </c>
      <c r="K35" s="167">
        <f t="shared" ref="K35:K42" si="7">H35-D35</f>
        <v>437235.29739111476</v>
      </c>
      <c r="L35" s="167">
        <f t="shared" ref="L35:L42" si="8">J35-G35</f>
        <v>7782784.7763889432</v>
      </c>
      <c r="M35" s="184">
        <f t="shared" ref="M35:M42" si="9">K35/D35</f>
        <v>2.8009168059129341E-2</v>
      </c>
      <c r="N35" s="185">
        <f t="shared" ref="N35:N42" si="10">L35/G35</f>
        <v>2.8037762680670448E-2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2663301.1999999997</v>
      </c>
      <c r="I36" s="169">
        <f t="shared" ref="I36:I40" si="12">J19/$D$31</f>
        <v>9140.614780742897</v>
      </c>
      <c r="J36" s="180">
        <f t="shared" ref="J36:J40" si="13">I36*$F$31</f>
        <v>12056470.895799881</v>
      </c>
      <c r="K36" s="167">
        <f t="shared" si="7"/>
        <v>-1141414.8000000003</v>
      </c>
      <c r="L36" s="167">
        <f t="shared" si="8"/>
        <v>-5167255.4441922884</v>
      </c>
      <c r="M36" s="184">
        <f t="shared" si="9"/>
        <v>-0.3000000000000001</v>
      </c>
      <c r="N36" s="185">
        <f t="shared" si="10"/>
        <v>-0.30000798562354758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16067799.999999998</v>
      </c>
      <c r="I38" s="169">
        <f t="shared" si="12"/>
        <v>100958.70299193449</v>
      </c>
      <c r="J38" s="180">
        <f t="shared" si="13"/>
        <v>133164529.2463616</v>
      </c>
      <c r="K38" s="167">
        <f t="shared" si="7"/>
        <v>-6886200.0000000019</v>
      </c>
      <c r="L38" s="167">
        <f t="shared" si="8"/>
        <v>-49401088.007872477</v>
      </c>
      <c r="M38" s="184">
        <f t="shared" si="9"/>
        <v>-0.3000000000000001</v>
      </c>
      <c r="N38" s="185">
        <f t="shared" si="10"/>
        <v>-0.27059360218456885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5473288.7999999998</v>
      </c>
      <c r="I39" s="169">
        <f t="shared" si="12"/>
        <v>23751.326482365839</v>
      </c>
      <c r="J39" s="180">
        <f t="shared" si="13"/>
        <v>31327999.630240541</v>
      </c>
      <c r="K39" s="167">
        <f t="shared" si="7"/>
        <v>-2345695.2000000002</v>
      </c>
      <c r="L39" s="167">
        <f t="shared" si="8"/>
        <v>-11946553.280202802</v>
      </c>
      <c r="M39" s="184">
        <f t="shared" si="9"/>
        <v>-0.30000000000000004</v>
      </c>
      <c r="N39" s="185">
        <f t="shared" si="10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2475161.5</v>
      </c>
      <c r="I40" s="169">
        <f t="shared" si="12"/>
        <v>5124.469968188554</v>
      </c>
      <c r="J40" s="180">
        <f t="shared" si="13"/>
        <v>6759175.8880407028</v>
      </c>
      <c r="K40" s="167">
        <f t="shared" si="7"/>
        <v>-1060783.5</v>
      </c>
      <c r="L40" s="167">
        <f t="shared" si="8"/>
        <v>-2760047.1119592972</v>
      </c>
      <c r="M40" s="184">
        <f t="shared" si="9"/>
        <v>-0.3</v>
      </c>
      <c r="N40" s="185">
        <f t="shared" si="10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10426713.5</v>
      </c>
      <c r="I41" s="169">
        <f>J24</f>
        <v>264116.06882997416</v>
      </c>
      <c r="J41" s="180">
        <f>I41*$I$31</f>
        <v>27549947.139654607</v>
      </c>
      <c r="K41" s="167">
        <f t="shared" si="7"/>
        <v>-4468591.5</v>
      </c>
      <c r="L41" s="167">
        <f t="shared" si="8"/>
        <v>-9786850.4113657773</v>
      </c>
      <c r="M41" s="184">
        <f t="shared" si="9"/>
        <v>-0.3</v>
      </c>
      <c r="N41" s="185">
        <f t="shared" si="10"/>
        <v>-0.26212345603535325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64050883.997391112</v>
      </c>
      <c r="I42" s="77"/>
      <c r="J42" s="181">
        <f>SUM(J34:J41)</f>
        <v>830884595.43743718</v>
      </c>
      <c r="K42" s="76">
        <f t="shared" si="7"/>
        <v>-15000000.002608888</v>
      </c>
      <c r="L42" s="200">
        <f t="shared" si="8"/>
        <v>3714247.1397074461</v>
      </c>
      <c r="M42" s="79">
        <f t="shared" si="9"/>
        <v>-0.18975119876722552</v>
      </c>
      <c r="N42" s="186">
        <f t="shared" si="10"/>
        <v>4.4903049865739975E-3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288010751.87665957</v>
      </c>
      <c r="L43" s="189">
        <f>SUM(L34:L40)*$E$43 + (L41*$D$43)</f>
        <v>-694526.05477262847</v>
      </c>
      <c r="M43" s="201">
        <f>L43/L42</f>
        <v>-0.18698972595219743</v>
      </c>
      <c r="N43" s="190">
        <f>N42*(L43/L42)</f>
        <v>-8.396408988812573E-4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325973488.52037632</v>
      </c>
      <c r="L44" s="189">
        <f>SUM(L34:L40)*$E$44 + (L41*$D$44)</f>
        <v>763476.85569029301</v>
      </c>
      <c r="M44" s="201">
        <f>L44/L42</f>
        <v>0.20555359591672959</v>
      </c>
      <c r="N44" s="190">
        <f>N42*(L44/L42)</f>
        <v>9.2299833675310735E-4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216900355.04040131</v>
      </c>
      <c r="L45" s="189">
        <f>SUM(L34:L40)*$E$45 + (L41*$D$45)</f>
        <v>3645296.3387897667</v>
      </c>
      <c r="M45" s="201">
        <f>L45/L42</f>
        <v>0.98143613003546382</v>
      </c>
      <c r="N45" s="190">
        <f>N42*(L45/L42)</f>
        <v>4.4069475487021293E-3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F34" zoomScale="90" zoomScaleNormal="90" workbookViewId="0">
      <selection activeCell="J18" sqref="J18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10228301.538849605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79050884 - 10000000</f>
        <v>69050884</v>
      </c>
      <c r="C12" s="81">
        <f>1*B12 - 1</f>
        <v>69050883</v>
      </c>
      <c r="D12" s="82">
        <f>1*B12 + 1</f>
        <v>69050885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4267308.0617963634</v>
      </c>
      <c r="K18" s="60">
        <f t="shared" ref="K18:L24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133270.16350323145</v>
      </c>
      <c r="K19" s="60">
        <f t="shared" si="2"/>
        <v>-1141414.8000000003</v>
      </c>
      <c r="L19" s="60">
        <f t="shared" si="2"/>
        <v>-57117.956312603143</v>
      </c>
      <c r="M19" s="61">
        <f t="shared" si="3"/>
        <v>-0.3000000000000001</v>
      </c>
      <c r="N19" s="61">
        <f t="shared" si="3"/>
        <v>-0.30000798562354747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16821904.721588541</v>
      </c>
      <c r="J21" s="65">
        <v>1534120.4345532965</v>
      </c>
      <c r="K21" s="60">
        <f t="shared" si="2"/>
        <v>-6132095.2784114592</v>
      </c>
      <c r="L21" s="60">
        <f t="shared" si="2"/>
        <v>-483928.61743057985</v>
      </c>
      <c r="M21" s="61">
        <f t="shared" si="3"/>
        <v>-0.26714713245671601</v>
      </c>
      <c r="N21" s="61">
        <f t="shared" si="3"/>
        <v>-0.23980022534875742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346294.34011289396</v>
      </c>
      <c r="K22" s="60">
        <f t="shared" si="2"/>
        <v>-2345695.2000000002</v>
      </c>
      <c r="L22" s="60">
        <f t="shared" si="2"/>
        <v>-132055.15301391727</v>
      </c>
      <c r="M22" s="61">
        <f t="shared" si="3"/>
        <v>-0.30000000000000004</v>
      </c>
      <c r="N22" s="61">
        <f t="shared" si="3"/>
        <v>-0.27606416419659346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74714.772136189116</v>
      </c>
      <c r="K23" s="60">
        <f t="shared" si="2"/>
        <v>-1060783.5</v>
      </c>
      <c r="L23" s="60">
        <f t="shared" si="2"/>
        <v>-30509.087863810884</v>
      </c>
      <c r="M23" s="61">
        <f t="shared" si="3"/>
        <v>-0.3</v>
      </c>
      <c r="N23" s="61">
        <f t="shared" si="3"/>
        <v>-0.28994457971614884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10426713.5</v>
      </c>
      <c r="J24" s="65">
        <v>264116.06882997416</v>
      </c>
      <c r="K24" s="60">
        <f t="shared" si="2"/>
        <v>-4468591.5</v>
      </c>
      <c r="L24" s="60">
        <f t="shared" si="2"/>
        <v>-93824.661215279251</v>
      </c>
      <c r="M24" s="61">
        <f t="shared" si="3"/>
        <v>-0.3</v>
      </c>
      <c r="N24" s="61">
        <f t="shared" si="3"/>
        <v>-0.26212345603535331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69050883.92158854</v>
      </c>
      <c r="J25" s="175">
        <f t="shared" si="4"/>
        <v>10228301.538849605</v>
      </c>
      <c r="K25" s="76">
        <f>SUM(K17:K24)</f>
        <v>-10000000.07841146</v>
      </c>
      <c r="L25" s="175">
        <f>SUM(L17:L24)</f>
        <v>996591.05129401665</v>
      </c>
      <c r="M25" s="79">
        <f>K25/E25</f>
        <v>-0.12650080014805981</v>
      </c>
      <c r="N25" s="79">
        <f t="shared" si="3"/>
        <v>0.10795302264270838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7">H35-D35</f>
        <v>4683130.5</v>
      </c>
      <c r="L35" s="167">
        <f t="shared" ref="L35:L42" si="8">J35-G35</f>
        <v>83382178.588703156</v>
      </c>
      <c r="M35" s="184">
        <f t="shared" ref="M35:M42" si="9">K35/D35</f>
        <v>0.3</v>
      </c>
      <c r="N35" s="185">
        <f t="shared" ref="N35:N42" si="10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2663301.1999999997</v>
      </c>
      <c r="I36" s="169">
        <f t="shared" ref="I36:I40" si="12">J19/$D$31</f>
        <v>9140.614780742897</v>
      </c>
      <c r="J36" s="180">
        <f t="shared" ref="J36:J40" si="13">I36*$F$31</f>
        <v>12056470.895799881</v>
      </c>
      <c r="K36" s="167">
        <f t="shared" si="7"/>
        <v>-1141414.8000000003</v>
      </c>
      <c r="L36" s="167">
        <f t="shared" si="8"/>
        <v>-5167255.4441922884</v>
      </c>
      <c r="M36" s="184">
        <f t="shared" si="9"/>
        <v>-0.3000000000000001</v>
      </c>
      <c r="N36" s="185">
        <f t="shared" si="10"/>
        <v>-0.30000798562354758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16821904.721588541</v>
      </c>
      <c r="I38" s="169">
        <f t="shared" si="12"/>
        <v>105220.88028486259</v>
      </c>
      <c r="J38" s="180">
        <f t="shared" si="13"/>
        <v>138786341.09573376</v>
      </c>
      <c r="K38" s="167">
        <f t="shared" si="7"/>
        <v>-6132095.2784114592</v>
      </c>
      <c r="L38" s="167">
        <f t="shared" si="8"/>
        <v>-43779276.158500314</v>
      </c>
      <c r="M38" s="184">
        <f t="shared" si="9"/>
        <v>-0.26714713245671601</v>
      </c>
      <c r="N38" s="185">
        <f t="shared" si="10"/>
        <v>-0.23980022534875733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5473288.7999999998</v>
      </c>
      <c r="I39" s="169">
        <f t="shared" si="12"/>
        <v>23751.326482365839</v>
      </c>
      <c r="J39" s="180">
        <f t="shared" si="13"/>
        <v>31327999.630240541</v>
      </c>
      <c r="K39" s="167">
        <f t="shared" si="7"/>
        <v>-2345695.2000000002</v>
      </c>
      <c r="L39" s="167">
        <f t="shared" si="8"/>
        <v>-11946553.280202802</v>
      </c>
      <c r="M39" s="184">
        <f t="shared" si="9"/>
        <v>-0.30000000000000004</v>
      </c>
      <c r="N39" s="185">
        <f t="shared" si="10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2475161.5</v>
      </c>
      <c r="I40" s="169">
        <f t="shared" si="12"/>
        <v>5124.469968188554</v>
      </c>
      <c r="J40" s="180">
        <f t="shared" si="13"/>
        <v>6759175.8880407028</v>
      </c>
      <c r="K40" s="167">
        <f t="shared" si="7"/>
        <v>-1060783.5</v>
      </c>
      <c r="L40" s="167">
        <f t="shared" si="8"/>
        <v>-2760047.1119592972</v>
      </c>
      <c r="M40" s="184">
        <f t="shared" si="9"/>
        <v>-0.3</v>
      </c>
      <c r="N40" s="185">
        <f t="shared" si="10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10426713.5</v>
      </c>
      <c r="I41" s="169">
        <f>J24</f>
        <v>264116.06882997416</v>
      </c>
      <c r="J41" s="180">
        <f>I41*$I$31</f>
        <v>27549947.139654607</v>
      </c>
      <c r="K41" s="167">
        <f t="shared" si="7"/>
        <v>-4468591.5</v>
      </c>
      <c r="L41" s="167">
        <f t="shared" si="8"/>
        <v>-9786850.4113657773</v>
      </c>
      <c r="M41" s="184">
        <f t="shared" si="9"/>
        <v>-0.3</v>
      </c>
      <c r="N41" s="185">
        <f t="shared" si="10"/>
        <v>-0.26212345603535325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69050883.92158854</v>
      </c>
      <c r="I42" s="77"/>
      <c r="J42" s="181">
        <f>SUM(J34:J41)</f>
        <v>912105801.09912348</v>
      </c>
      <c r="K42" s="76">
        <f t="shared" si="7"/>
        <v>-10000000.07841146</v>
      </c>
      <c r="L42" s="200">
        <f t="shared" si="8"/>
        <v>84935452.801393747</v>
      </c>
      <c r="M42" s="79">
        <f t="shared" si="9"/>
        <v>-0.12650080014805981</v>
      </c>
      <c r="N42" s="186">
        <f t="shared" si="10"/>
        <v>0.1026819360439916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315625961.80163288</v>
      </c>
      <c r="L43" s="189">
        <f>SUM(L34:L40)*$E$43 + (L41*$D$43)</f>
        <v>26920683.870200746</v>
      </c>
      <c r="M43" s="201">
        <f>L43/L42</f>
        <v>0.31695461650331003</v>
      </c>
      <c r="N43" s="190">
        <f>N42*(L43/L42)</f>
        <v>3.2545513660640762E-2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357649758.72843397</v>
      </c>
      <c r="L44" s="189">
        <f>SUM(L34:L40)*$E$44 + (L41*$D$44)</f>
        <v>32439747.063747987</v>
      </c>
      <c r="M44" s="201">
        <f>L44/L42</f>
        <v>0.38193411577615877</v>
      </c>
      <c r="N44" s="190">
        <f>N42*(L44/L42)</f>
        <v>3.9217734449146016E-2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238830080.5690566</v>
      </c>
      <c r="L45" s="189">
        <f>SUM(L34:L40)*$E$45 + (L41*$D$45)</f>
        <v>25575021.867445093</v>
      </c>
      <c r="M45" s="201">
        <f>L45/L42</f>
        <v>0.30111126772053209</v>
      </c>
      <c r="N45" s="190">
        <f>N42*(L45/L42)</f>
        <v>3.0918687934204912E-2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F25" zoomScale="90" zoomScaleNormal="90" workbookViewId="0">
      <selection activeCell="B12" sqref="B12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10625699.149899682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79050884 - 5000000</f>
        <v>74050884</v>
      </c>
      <c r="C12" s="81">
        <f>1*B12 - 1</f>
        <v>74050883</v>
      </c>
      <c r="D12" s="82">
        <f>1*B12 + 1</f>
        <v>74050885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4267308.0617963634</v>
      </c>
      <c r="K18" s="60">
        <f t="shared" ref="K18:L24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133270.16350323145</v>
      </c>
      <c r="K19" s="60">
        <f t="shared" si="2"/>
        <v>-1141414.8000000003</v>
      </c>
      <c r="L19" s="60">
        <f t="shared" si="2"/>
        <v>-57117.956312603143</v>
      </c>
      <c r="M19" s="61">
        <f t="shared" si="3"/>
        <v>-0.3000000000000001</v>
      </c>
      <c r="N19" s="61">
        <f t="shared" si="3"/>
        <v>-0.30000798562354747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21821904.799827561</v>
      </c>
      <c r="J21" s="65">
        <v>1931518.0456033745</v>
      </c>
      <c r="K21" s="60">
        <f t="shared" si="2"/>
        <v>-1132095.2001724392</v>
      </c>
      <c r="L21" s="60">
        <f t="shared" si="2"/>
        <v>-86531.006380501902</v>
      </c>
      <c r="M21" s="61">
        <f t="shared" si="3"/>
        <v>-4.9320170783847664E-2</v>
      </c>
      <c r="N21" s="61">
        <f t="shared" si="3"/>
        <v>-4.2878544649564476E-2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346294.34011289396</v>
      </c>
      <c r="K22" s="60">
        <f t="shared" si="2"/>
        <v>-2345695.2000000002</v>
      </c>
      <c r="L22" s="60">
        <f t="shared" si="2"/>
        <v>-132055.15301391727</v>
      </c>
      <c r="M22" s="61">
        <f t="shared" si="3"/>
        <v>-0.30000000000000004</v>
      </c>
      <c r="N22" s="61">
        <f t="shared" si="3"/>
        <v>-0.27606416419659346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74714.772136189116</v>
      </c>
      <c r="K23" s="60">
        <f t="shared" si="2"/>
        <v>-1060783.5</v>
      </c>
      <c r="L23" s="60">
        <f t="shared" si="2"/>
        <v>-30509.087863810884</v>
      </c>
      <c r="M23" s="61">
        <f t="shared" si="3"/>
        <v>-0.3</v>
      </c>
      <c r="N23" s="61">
        <f t="shared" si="3"/>
        <v>-0.28994457971614884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10426713.5</v>
      </c>
      <c r="J24" s="65">
        <v>264116.06882997416</v>
      </c>
      <c r="K24" s="60">
        <f t="shared" si="2"/>
        <v>-4468591.5</v>
      </c>
      <c r="L24" s="60">
        <f t="shared" si="2"/>
        <v>-93824.661215279251</v>
      </c>
      <c r="M24" s="61">
        <f t="shared" si="3"/>
        <v>-0.3</v>
      </c>
      <c r="N24" s="61">
        <f t="shared" si="3"/>
        <v>-0.26212345603535331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74050883.999827564</v>
      </c>
      <c r="J25" s="175">
        <f t="shared" si="4"/>
        <v>10625699.149899682</v>
      </c>
      <c r="K25" s="76">
        <f>SUM(K17:K24)</f>
        <v>-5000000.000172439</v>
      </c>
      <c r="L25" s="175">
        <f>SUM(L17:L24)</f>
        <v>1393988.6623440948</v>
      </c>
      <c r="M25" s="79">
        <f>K25/E25</f>
        <v>-6.3250399580255662E-2</v>
      </c>
      <c r="N25" s="79">
        <f t="shared" si="3"/>
        <v>0.15100004102416359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7">H35-D35</f>
        <v>4683130.5</v>
      </c>
      <c r="L35" s="167">
        <f t="shared" ref="L35:L42" si="8">J35-G35</f>
        <v>83382178.588703156</v>
      </c>
      <c r="M35" s="184">
        <f t="shared" ref="M35:M42" si="9">K35/D35</f>
        <v>0.3</v>
      </c>
      <c r="N35" s="185">
        <f t="shared" ref="N35:N42" si="10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2663301.1999999997</v>
      </c>
      <c r="I36" s="169">
        <f t="shared" ref="I36:I40" si="12">J19/$D$31</f>
        <v>9140.614780742897</v>
      </c>
      <c r="J36" s="180">
        <f t="shared" ref="J36:J40" si="13">I36*$F$31</f>
        <v>12056470.895799881</v>
      </c>
      <c r="K36" s="167">
        <f t="shared" si="7"/>
        <v>-1141414.8000000003</v>
      </c>
      <c r="L36" s="167">
        <f t="shared" si="8"/>
        <v>-5167255.4441922884</v>
      </c>
      <c r="M36" s="184">
        <f t="shared" si="9"/>
        <v>-0.3000000000000001</v>
      </c>
      <c r="N36" s="185">
        <f t="shared" si="10"/>
        <v>-0.30000798562354758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21821904.799827561</v>
      </c>
      <c r="I38" s="169">
        <f t="shared" si="12"/>
        <v>132477.23220873624</v>
      </c>
      <c r="J38" s="180">
        <f t="shared" si="13"/>
        <v>174737469.28332311</v>
      </c>
      <c r="K38" s="167">
        <f t="shared" si="7"/>
        <v>-1132095.2001724392</v>
      </c>
      <c r="L38" s="167">
        <f t="shared" si="8"/>
        <v>-7828147.9709109664</v>
      </c>
      <c r="M38" s="184">
        <f t="shared" si="9"/>
        <v>-4.9320170783847664E-2</v>
      </c>
      <c r="N38" s="185">
        <f t="shared" si="10"/>
        <v>-4.2878544649564435E-2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5473288.7999999998</v>
      </c>
      <c r="I39" s="169">
        <f t="shared" si="12"/>
        <v>23751.326482365839</v>
      </c>
      <c r="J39" s="180">
        <f t="shared" si="13"/>
        <v>31327999.630240541</v>
      </c>
      <c r="K39" s="167">
        <f t="shared" si="7"/>
        <v>-2345695.2000000002</v>
      </c>
      <c r="L39" s="167">
        <f t="shared" si="8"/>
        <v>-11946553.280202802</v>
      </c>
      <c r="M39" s="184">
        <f t="shared" si="9"/>
        <v>-0.30000000000000004</v>
      </c>
      <c r="N39" s="185">
        <f t="shared" si="10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2475161.5</v>
      </c>
      <c r="I40" s="169">
        <f t="shared" si="12"/>
        <v>5124.469968188554</v>
      </c>
      <c r="J40" s="180">
        <f t="shared" si="13"/>
        <v>6759175.8880407028</v>
      </c>
      <c r="K40" s="167">
        <f t="shared" si="7"/>
        <v>-1060783.5</v>
      </c>
      <c r="L40" s="167">
        <f t="shared" si="8"/>
        <v>-2760047.1119592972</v>
      </c>
      <c r="M40" s="184">
        <f t="shared" si="9"/>
        <v>-0.3</v>
      </c>
      <c r="N40" s="185">
        <f t="shared" si="10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10426713.5</v>
      </c>
      <c r="I41" s="169">
        <f>J24</f>
        <v>264116.06882997416</v>
      </c>
      <c r="J41" s="180">
        <f>I41*$I$31</f>
        <v>27549947.139654607</v>
      </c>
      <c r="K41" s="167">
        <f t="shared" si="7"/>
        <v>-4468591.5</v>
      </c>
      <c r="L41" s="167">
        <f t="shared" si="8"/>
        <v>-9786850.4113657773</v>
      </c>
      <c r="M41" s="184">
        <f t="shared" si="9"/>
        <v>-0.3</v>
      </c>
      <c r="N41" s="185">
        <f t="shared" si="10"/>
        <v>-0.26212345603535325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74050883.999827564</v>
      </c>
      <c r="I42" s="77"/>
      <c r="J42" s="181">
        <f>SUM(J34:J41)</f>
        <v>948056929.28671288</v>
      </c>
      <c r="K42" s="76">
        <f t="shared" si="7"/>
        <v>-5000000.0001724362</v>
      </c>
      <c r="L42" s="200">
        <f t="shared" si="8"/>
        <v>120886580.98898315</v>
      </c>
      <c r="M42" s="79">
        <f t="shared" si="9"/>
        <v>-6.325039958025562E-2</v>
      </c>
      <c r="N42" s="186">
        <f t="shared" si="10"/>
        <v>0.14614472247193214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327849345.38541329</v>
      </c>
      <c r="L43" s="189">
        <f>SUM(L34:L40)*$E$43 + (L41*$D$43)</f>
        <v>39144067.453981124</v>
      </c>
      <c r="M43" s="201">
        <f>L43/L42</f>
        <v>0.32380821042120855</v>
      </c>
      <c r="N43" s="190">
        <f>N42*(L43/L42)</f>
        <v>4.732286104614053E-2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371670698.72159386</v>
      </c>
      <c r="L44" s="189">
        <f>SUM(L34:L40)*$E$44 + (L41*$D$44)</f>
        <v>46460687.056907833</v>
      </c>
      <c r="M44" s="201">
        <f>L44/L42</f>
        <v>0.38433287364742302</v>
      </c>
      <c r="N44" s="190">
        <f>N42*(L44/L42)</f>
        <v>5.6168221156042801E-2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248536885.17970574</v>
      </c>
      <c r="L45" s="189">
        <f>SUM(L34:L40)*$E$45 + (L41*$D$45)</f>
        <v>35281826.47809422</v>
      </c>
      <c r="M45" s="201">
        <f>L45/L42</f>
        <v>0.29185891593136865</v>
      </c>
      <c r="N45" s="190">
        <f>N42*(L45/L42)</f>
        <v>4.2653640269748841E-2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G25" zoomScale="90" zoomScaleNormal="90" workbookViewId="0">
      <selection activeCell="J19" sqref="J19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10998598.95293458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+ 0</f>
        <v>79050884</v>
      </c>
      <c r="C12" s="81">
        <f>1*B12 - 1</f>
        <v>79050883</v>
      </c>
      <c r="D12" s="82">
        <f>1*B12 + 1</f>
        <v>79050885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4267308.0617963634</v>
      </c>
      <c r="K18" s="60">
        <f t="shared" ref="K18:L24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133270.16350323145</v>
      </c>
      <c r="K19" s="60">
        <f t="shared" si="2"/>
        <v>-1141414.8000000003</v>
      </c>
      <c r="L19" s="60">
        <f t="shared" si="2"/>
        <v>-57117.956312603143</v>
      </c>
      <c r="M19" s="61">
        <f t="shared" si="3"/>
        <v>-0.3000000000000001</v>
      </c>
      <c r="N19" s="61">
        <f t="shared" si="3"/>
        <v>-0.30000798562354747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26821905.070167605</v>
      </c>
      <c r="J21" s="65">
        <v>2304417.848638271</v>
      </c>
      <c r="K21" s="60">
        <f t="shared" si="2"/>
        <v>3867905.0701676048</v>
      </c>
      <c r="L21" s="60">
        <f t="shared" si="2"/>
        <v>286368.79665439459</v>
      </c>
      <c r="M21" s="61">
        <f t="shared" si="3"/>
        <v>0.16850679925797704</v>
      </c>
      <c r="N21" s="61">
        <f t="shared" si="3"/>
        <v>0.14190378394067032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5473288.8000000007</v>
      </c>
      <c r="J22" s="65">
        <v>346294.34011289396</v>
      </c>
      <c r="K22" s="60">
        <f t="shared" si="2"/>
        <v>-2345695.1999999993</v>
      </c>
      <c r="L22" s="60">
        <f t="shared" si="2"/>
        <v>-132055.15301391727</v>
      </c>
      <c r="M22" s="61">
        <f t="shared" si="3"/>
        <v>-0.29999999999999988</v>
      </c>
      <c r="N22" s="61">
        <f t="shared" si="3"/>
        <v>-0.27606416419659346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74714.772136189116</v>
      </c>
      <c r="K23" s="60">
        <f t="shared" si="2"/>
        <v>-1060783.5</v>
      </c>
      <c r="L23" s="60">
        <f t="shared" si="2"/>
        <v>-30509.087863810884</v>
      </c>
      <c r="M23" s="61">
        <f t="shared" si="3"/>
        <v>-0.3</v>
      </c>
      <c r="N23" s="61">
        <f t="shared" si="3"/>
        <v>-0.28994457971614884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10426713.5</v>
      </c>
      <c r="J24" s="65">
        <v>264116.06882997416</v>
      </c>
      <c r="K24" s="60">
        <f t="shared" si="2"/>
        <v>-4468591.5</v>
      </c>
      <c r="L24" s="60">
        <f t="shared" si="2"/>
        <v>-93824.661215279251</v>
      </c>
      <c r="M24" s="61">
        <f t="shared" si="3"/>
        <v>-0.3</v>
      </c>
      <c r="N24" s="61">
        <f t="shared" si="3"/>
        <v>-0.26212345603535331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79050884.270167604</v>
      </c>
      <c r="J25" s="175">
        <f t="shared" si="4"/>
        <v>10998598.95293458</v>
      </c>
      <c r="K25" s="76">
        <f>SUM(K17:K24)</f>
        <v>0.27016760595142841</v>
      </c>
      <c r="L25" s="175">
        <f>SUM(L17:L24)</f>
        <v>1766888.4653789913</v>
      </c>
      <c r="M25" s="79">
        <f>K25/E25</f>
        <v>3.4176418058959138E-9</v>
      </c>
      <c r="N25" s="79">
        <f t="shared" si="3"/>
        <v>0.19139340079617639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7">H35-D35</f>
        <v>4683130.5</v>
      </c>
      <c r="L35" s="167">
        <f t="shared" ref="L35:L42" si="8">J35-G35</f>
        <v>83382178.588703156</v>
      </c>
      <c r="M35" s="184">
        <f t="shared" ref="M35:M42" si="9">K35/D35</f>
        <v>0.3</v>
      </c>
      <c r="N35" s="185">
        <f t="shared" ref="N35:N42" si="10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2663301.1999999997</v>
      </c>
      <c r="I36" s="169">
        <f t="shared" ref="I36:I40" si="12">J19/$D$31</f>
        <v>9140.614780742897</v>
      </c>
      <c r="J36" s="180">
        <f t="shared" ref="J36:J40" si="13">I36*$F$31</f>
        <v>12056470.895799881</v>
      </c>
      <c r="K36" s="167">
        <f t="shared" si="7"/>
        <v>-1141414.8000000003</v>
      </c>
      <c r="L36" s="167">
        <f t="shared" si="8"/>
        <v>-5167255.4441922884</v>
      </c>
      <c r="M36" s="184">
        <f t="shared" si="9"/>
        <v>-0.3000000000000001</v>
      </c>
      <c r="N36" s="185">
        <f t="shared" si="10"/>
        <v>-0.30000798562354758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26821905.070167605</v>
      </c>
      <c r="I38" s="169">
        <f t="shared" si="12"/>
        <v>158053.3503867127</v>
      </c>
      <c r="J38" s="180">
        <f t="shared" si="13"/>
        <v>208472369.16007406</v>
      </c>
      <c r="K38" s="167">
        <f t="shared" si="7"/>
        <v>3867905.0701676048</v>
      </c>
      <c r="L38" s="167">
        <f t="shared" si="8"/>
        <v>25906751.90583998</v>
      </c>
      <c r="M38" s="184">
        <f t="shared" si="9"/>
        <v>0.16850679925797704</v>
      </c>
      <c r="N38" s="185">
        <f t="shared" si="10"/>
        <v>0.14190378394067052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5473288.8000000007</v>
      </c>
      <c r="I39" s="169">
        <f t="shared" si="12"/>
        <v>23751.326482365839</v>
      </c>
      <c r="J39" s="180">
        <f t="shared" si="13"/>
        <v>31327999.630240541</v>
      </c>
      <c r="K39" s="167">
        <f t="shared" si="7"/>
        <v>-2345695.1999999993</v>
      </c>
      <c r="L39" s="167">
        <f t="shared" si="8"/>
        <v>-11946553.280202802</v>
      </c>
      <c r="M39" s="184">
        <f t="shared" si="9"/>
        <v>-0.29999999999999988</v>
      </c>
      <c r="N39" s="185">
        <f t="shared" si="10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2475161.5</v>
      </c>
      <c r="I40" s="169">
        <f t="shared" si="12"/>
        <v>5124.469968188554</v>
      </c>
      <c r="J40" s="180">
        <f t="shared" si="13"/>
        <v>6759175.8880407028</v>
      </c>
      <c r="K40" s="167">
        <f t="shared" si="7"/>
        <v>-1060783.5</v>
      </c>
      <c r="L40" s="167">
        <f t="shared" si="8"/>
        <v>-2760047.1119592972</v>
      </c>
      <c r="M40" s="184">
        <f t="shared" si="9"/>
        <v>-0.3</v>
      </c>
      <c r="N40" s="185">
        <f t="shared" si="10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10426713.5</v>
      </c>
      <c r="I41" s="169">
        <f>J24</f>
        <v>264116.06882997416</v>
      </c>
      <c r="J41" s="180">
        <f>I41*$I$31</f>
        <v>27549947.139654607</v>
      </c>
      <c r="K41" s="167">
        <f t="shared" si="7"/>
        <v>-4468591.5</v>
      </c>
      <c r="L41" s="167">
        <f t="shared" si="8"/>
        <v>-9786850.4113657773</v>
      </c>
      <c r="M41" s="184">
        <f t="shared" si="9"/>
        <v>-0.3</v>
      </c>
      <c r="N41" s="185">
        <f t="shared" si="10"/>
        <v>-0.26212345603535325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79050884.270167604</v>
      </c>
      <c r="I42" s="77"/>
      <c r="J42" s="181">
        <f>SUM(J34:J41)</f>
        <v>981791829.16346383</v>
      </c>
      <c r="K42" s="76">
        <f t="shared" si="7"/>
        <v>0.27016760408878326</v>
      </c>
      <c r="L42" s="200">
        <f t="shared" si="8"/>
        <v>154621480.8657341</v>
      </c>
      <c r="M42" s="79">
        <f t="shared" si="9"/>
        <v>3.4176417823333039E-9</v>
      </c>
      <c r="N42" s="186">
        <f t="shared" si="10"/>
        <v>0.186928220026185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339319211.3435086</v>
      </c>
      <c r="L43" s="189">
        <f>SUM(L34:L40)*$E$43 + (L41*$D$43)</f>
        <v>50613933.412076443</v>
      </c>
      <c r="M43" s="201">
        <f>L43/L42</f>
        <v>0.32734089163217345</v>
      </c>
      <c r="N43" s="190">
        <f>N42*(L43/L42)</f>
        <v>6.1189250214586502E-2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384827309.6735267</v>
      </c>
      <c r="L44" s="189">
        <f>SUM(L34:L40)*$E$44 + (L41*$D$44)</f>
        <v>59617298.008840695</v>
      </c>
      <c r="M44" s="201">
        <f>L44/L42</f>
        <v>0.38556931207126072</v>
      </c>
      <c r="N44" s="190">
        <f>N42*(L44/L42)</f>
        <v>7.207378520220141E-2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257645308.1464285</v>
      </c>
      <c r="L45" s="189">
        <f>SUM(L34:L40)*$E$45 + (L41*$D$45)</f>
        <v>44390249.444816969</v>
      </c>
      <c r="M45" s="201">
        <f>L45/L42</f>
        <v>0.28708979629656595</v>
      </c>
      <c r="N45" s="190">
        <f>N42*(L45/L42)</f>
        <v>5.3665184609397114E-2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E25" zoomScale="90" zoomScaleNormal="90" workbookViewId="0">
      <selection activeCell="J19" sqref="J19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11324544.19388468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+ 5000000</f>
        <v>84050884</v>
      </c>
      <c r="C12" s="81">
        <f>1*B12 - 1</f>
        <v>84050883</v>
      </c>
      <c r="D12" s="82">
        <f>1*B12 + 1</f>
        <v>84050885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4267308.0617963634</v>
      </c>
      <c r="K18" s="60">
        <f t="shared" ref="K18:L24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133270.16350323145</v>
      </c>
      <c r="K19" s="60">
        <f t="shared" si="2"/>
        <v>-1141414.8000000003</v>
      </c>
      <c r="L19" s="60">
        <f t="shared" si="2"/>
        <v>-57117.956312603143</v>
      </c>
      <c r="M19" s="61">
        <f t="shared" si="3"/>
        <v>-0.3000000000000001</v>
      </c>
      <c r="N19" s="61">
        <f t="shared" si="3"/>
        <v>-0.30000798562354747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2518200.0655416748</v>
      </c>
      <c r="K21" s="60">
        <f t="shared" si="2"/>
        <v>6886200</v>
      </c>
      <c r="L21" s="60">
        <f t="shared" si="2"/>
        <v>500151.01355779846</v>
      </c>
      <c r="M21" s="61">
        <f t="shared" si="3"/>
        <v>0.3</v>
      </c>
      <c r="N21" s="61">
        <f t="shared" si="3"/>
        <v>0.24783887837915375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7454993.5991732869</v>
      </c>
      <c r="J22" s="65">
        <v>458457.36415959115</v>
      </c>
      <c r="K22" s="60">
        <f t="shared" si="2"/>
        <v>-363990.40082671307</v>
      </c>
      <c r="L22" s="60">
        <f t="shared" si="2"/>
        <v>-19892.12896722008</v>
      </c>
      <c r="M22" s="61">
        <f t="shared" si="3"/>
        <v>-4.6552135268049286E-2</v>
      </c>
      <c r="N22" s="61">
        <f t="shared" si="3"/>
        <v>-4.1584927449576377E-2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2475161.5</v>
      </c>
      <c r="J23" s="65">
        <v>74714.772136189116</v>
      </c>
      <c r="K23" s="60">
        <f t="shared" si="2"/>
        <v>-1060783.5</v>
      </c>
      <c r="L23" s="60">
        <f t="shared" si="2"/>
        <v>-30509.087863810884</v>
      </c>
      <c r="M23" s="61">
        <f t="shared" si="3"/>
        <v>-0.3</v>
      </c>
      <c r="N23" s="61">
        <f t="shared" si="3"/>
        <v>-0.28994457971614884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10426713.5</v>
      </c>
      <c r="J24" s="65">
        <v>264116.06882997416</v>
      </c>
      <c r="K24" s="60">
        <f t="shared" si="2"/>
        <v>-4468591.5</v>
      </c>
      <c r="L24" s="60">
        <f t="shared" si="2"/>
        <v>-93824.661215279251</v>
      </c>
      <c r="M24" s="61">
        <f t="shared" si="3"/>
        <v>-0.3</v>
      </c>
      <c r="N24" s="61">
        <f t="shared" si="3"/>
        <v>-0.26212345603535331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84050883.999173284</v>
      </c>
      <c r="J25" s="175">
        <f t="shared" si="4"/>
        <v>11324544.19388468</v>
      </c>
      <c r="K25" s="76">
        <f>SUM(K17:K24)</f>
        <v>4999999.9991732873</v>
      </c>
      <c r="L25" s="175">
        <f>SUM(L17:L24)</f>
        <v>2092833.7063290924</v>
      </c>
      <c r="M25" s="79">
        <f>K25/E25</f>
        <v>6.3250399567616314E-2</v>
      </c>
      <c r="N25" s="79">
        <f t="shared" si="3"/>
        <v>0.22670053498214093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7">H35-D35</f>
        <v>4683130.5</v>
      </c>
      <c r="L35" s="167">
        <f t="shared" ref="L35:L42" si="8">J35-G35</f>
        <v>83382178.588703156</v>
      </c>
      <c r="M35" s="184">
        <f t="shared" ref="M35:M42" si="9">K35/D35</f>
        <v>0.3</v>
      </c>
      <c r="N35" s="185">
        <f t="shared" ref="N35:N42" si="10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2663301.1999999997</v>
      </c>
      <c r="I36" s="169">
        <f t="shared" ref="I36:I40" si="12">J19/$D$31</f>
        <v>9140.614780742897</v>
      </c>
      <c r="J36" s="180">
        <f t="shared" ref="J36:J40" si="13">I36*$F$31</f>
        <v>12056470.895799881</v>
      </c>
      <c r="K36" s="167">
        <f t="shared" si="7"/>
        <v>-1141414.8000000003</v>
      </c>
      <c r="L36" s="167">
        <f t="shared" si="8"/>
        <v>-5167255.4441922884</v>
      </c>
      <c r="M36" s="184">
        <f t="shared" si="9"/>
        <v>-0.3000000000000001</v>
      </c>
      <c r="N36" s="185">
        <f t="shared" si="10"/>
        <v>-0.30000798562354758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29840200</v>
      </c>
      <c r="I38" s="169">
        <f t="shared" si="12"/>
        <v>172716.05387802984</v>
      </c>
      <c r="J38" s="180">
        <f t="shared" si="13"/>
        <v>227812475.06512135</v>
      </c>
      <c r="K38" s="167">
        <f t="shared" si="7"/>
        <v>6886200</v>
      </c>
      <c r="L38" s="167">
        <f t="shared" si="8"/>
        <v>45246857.810887277</v>
      </c>
      <c r="M38" s="184">
        <f t="shared" si="9"/>
        <v>0.3</v>
      </c>
      <c r="N38" s="185">
        <f t="shared" si="10"/>
        <v>0.24783887837915389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7454993.5991732869</v>
      </c>
      <c r="I39" s="169">
        <f t="shared" si="12"/>
        <v>31444.263659779914</v>
      </c>
      <c r="J39" s="180">
        <f t="shared" si="13"/>
        <v>41474983.767249703</v>
      </c>
      <c r="K39" s="167">
        <f t="shared" si="7"/>
        <v>-363990.40082671307</v>
      </c>
      <c r="L39" s="167">
        <f t="shared" si="8"/>
        <v>-1799569.1431936398</v>
      </c>
      <c r="M39" s="184">
        <f t="shared" si="9"/>
        <v>-4.6552135268049286E-2</v>
      </c>
      <c r="N39" s="185">
        <f t="shared" si="10"/>
        <v>-4.1584927449576356E-2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2475161.5</v>
      </c>
      <c r="I40" s="169">
        <f t="shared" si="12"/>
        <v>5124.469968188554</v>
      </c>
      <c r="J40" s="180">
        <f t="shared" si="13"/>
        <v>6759175.8880407028</v>
      </c>
      <c r="K40" s="167">
        <f t="shared" si="7"/>
        <v>-1060783.5</v>
      </c>
      <c r="L40" s="167">
        <f t="shared" si="8"/>
        <v>-2760047.1119592972</v>
      </c>
      <c r="M40" s="184">
        <f t="shared" si="9"/>
        <v>-0.3</v>
      </c>
      <c r="N40" s="185">
        <f t="shared" si="10"/>
        <v>-0.28994457971614879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10426713.5</v>
      </c>
      <c r="I41" s="169">
        <f>J24</f>
        <v>264116.06882997416</v>
      </c>
      <c r="J41" s="180">
        <f>I41*$I$31</f>
        <v>27549947.139654607</v>
      </c>
      <c r="K41" s="167">
        <f t="shared" si="7"/>
        <v>-4468591.5</v>
      </c>
      <c r="L41" s="167">
        <f t="shared" si="8"/>
        <v>-9786850.4113657773</v>
      </c>
      <c r="M41" s="184">
        <f t="shared" si="9"/>
        <v>-0.3</v>
      </c>
      <c r="N41" s="185">
        <f t="shared" si="10"/>
        <v>-0.26212345603535325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84050883.999173284</v>
      </c>
      <c r="I42" s="77"/>
      <c r="J42" s="181">
        <f>SUM(J34:J41)</f>
        <v>1011278919.2055202</v>
      </c>
      <c r="K42" s="76">
        <f t="shared" si="7"/>
        <v>4999999.9991732836</v>
      </c>
      <c r="L42" s="200">
        <f t="shared" si="8"/>
        <v>184108570.90779042</v>
      </c>
      <c r="M42" s="79">
        <f t="shared" si="9"/>
        <v>6.3250399567616272E-2</v>
      </c>
      <c r="N42" s="186">
        <f t="shared" si="10"/>
        <v>0.22257636687131685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349344821.95780778</v>
      </c>
      <c r="L43" s="189">
        <f>SUM(L34:L40)*$E$43 + (L41*$D$43)</f>
        <v>60639544.026375644</v>
      </c>
      <c r="M43" s="201">
        <f>L43/L42</f>
        <v>0.32936839239682419</v>
      </c>
      <c r="N43" s="190">
        <f>N42*(L43/L42)</f>
        <v>7.3309620141931389E-2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396327274.78992867</v>
      </c>
      <c r="L44" s="189">
        <f>SUM(L34:L40)*$E$44 + (L41*$D$44)</f>
        <v>71117263.125242725</v>
      </c>
      <c r="M44" s="201">
        <f>L44/L42</f>
        <v>0.38627893733888868</v>
      </c>
      <c r="N44" s="190">
        <f>N42*(L44/L42)</f>
        <v>8.5976562471802895E-2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265606822.4577837</v>
      </c>
      <c r="L45" s="189">
        <f>SUM(L34:L40)*$E$45 + (L41*$D$45)</f>
        <v>52351763.756172217</v>
      </c>
      <c r="M45" s="201">
        <f>L45/L42</f>
        <v>0.28435267026428801</v>
      </c>
      <c r="N45" s="190">
        <f>N42*(L45/L42)</f>
        <v>6.329018425758276E-2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E25" zoomScale="90" zoomScaleNormal="90" workbookViewId="0">
      <selection activeCell="J20" sqref="J20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11582031.576953216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+ 10000000</f>
        <v>89050884</v>
      </c>
      <c r="C12" s="81">
        <f>1*B12 - 1</f>
        <v>89050883</v>
      </c>
      <c r="D12" s="82">
        <f>1*B12 + 1</f>
        <v>89050885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4267308.0617963634</v>
      </c>
      <c r="K18" s="60">
        <f t="shared" ref="K18:L24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v>247507.37930088287</v>
      </c>
      <c r="K19" s="60">
        <f t="shared" si="2"/>
        <v>1141414.7999999998</v>
      </c>
      <c r="L19" s="60">
        <f t="shared" si="2"/>
        <v>57119.259485048271</v>
      </c>
      <c r="M19" s="61">
        <f t="shared" si="3"/>
        <v>0.29999999999999993</v>
      </c>
      <c r="N19" s="61">
        <f t="shared" si="3"/>
        <v>0.30001483044373056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2518200.0655416748</v>
      </c>
      <c r="K21" s="60">
        <f t="shared" si="2"/>
        <v>6886200</v>
      </c>
      <c r="L21" s="60">
        <f t="shared" si="2"/>
        <v>500151.01355779846</v>
      </c>
      <c r="M21" s="61">
        <f t="shared" si="3"/>
        <v>0.3</v>
      </c>
      <c r="N21" s="61">
        <f t="shared" si="3"/>
        <v>0.24783887837915375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10164679.200000001</v>
      </c>
      <c r="J22" s="65">
        <v>601489.1521167414</v>
      </c>
      <c r="K22" s="60">
        <f t="shared" si="2"/>
        <v>2345695.2000000011</v>
      </c>
      <c r="L22" s="60">
        <f t="shared" si="2"/>
        <v>123139.65898993018</v>
      </c>
      <c r="M22" s="61">
        <f t="shared" si="3"/>
        <v>0.30000000000000016</v>
      </c>
      <c r="N22" s="61">
        <f t="shared" si="3"/>
        <v>0.2574261303905796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2482646.3724081186</v>
      </c>
      <c r="J23" s="65">
        <v>74933.151449923113</v>
      </c>
      <c r="K23" s="60">
        <f t="shared" si="2"/>
        <v>-1053298.6275918814</v>
      </c>
      <c r="L23" s="60">
        <f t="shared" si="2"/>
        <v>-30290.708550076888</v>
      </c>
      <c r="M23" s="61">
        <f t="shared" si="3"/>
        <v>-0.2978832045158738</v>
      </c>
      <c r="N23" s="61">
        <f t="shared" si="3"/>
        <v>-0.28786920143470207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10426713.5</v>
      </c>
      <c r="J24" s="65">
        <v>264116.06882997416</v>
      </c>
      <c r="K24" s="60">
        <f t="shared" si="2"/>
        <v>-4468591.5</v>
      </c>
      <c r="L24" s="60">
        <f t="shared" si="2"/>
        <v>-93824.661215279251</v>
      </c>
      <c r="M24" s="61">
        <f t="shared" si="3"/>
        <v>-0.3</v>
      </c>
      <c r="N24" s="61">
        <f t="shared" si="3"/>
        <v>-0.26212345603535331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89050884.072408125</v>
      </c>
      <c r="J25" s="175">
        <f t="shared" si="4"/>
        <v>11582031.576953216</v>
      </c>
      <c r="K25" s="76">
        <f>SUM(K17:K24)</f>
        <v>10000000.072408119</v>
      </c>
      <c r="L25" s="175">
        <f>SUM(L17:L24)</f>
        <v>2350321.0893976274</v>
      </c>
      <c r="M25" s="79">
        <f>K25/E25</f>
        <v>0.12650080007211709</v>
      </c>
      <c r="N25" s="79">
        <f t="shared" si="3"/>
        <v>0.25459215738685453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7">H35-D35</f>
        <v>4683130.5</v>
      </c>
      <c r="L35" s="167">
        <f t="shared" ref="L35:L42" si="8">J35-G35</f>
        <v>83382178.588703156</v>
      </c>
      <c r="M35" s="184">
        <f t="shared" ref="M35:M42" si="9">K35/D35</f>
        <v>0.3</v>
      </c>
      <c r="N35" s="185">
        <f t="shared" ref="N35:N42" si="10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4946130.8</v>
      </c>
      <c r="I36" s="169">
        <f t="shared" ref="I36:I40" si="12">J19/$D$31</f>
        <v>16975.814766864394</v>
      </c>
      <c r="J36" s="180">
        <f t="shared" ref="J36:J40" si="13">I36*$F$31</f>
        <v>22391099.677494135</v>
      </c>
      <c r="K36" s="167">
        <f t="shared" si="7"/>
        <v>1141414.7999999998</v>
      </c>
      <c r="L36" s="167">
        <f t="shared" si="8"/>
        <v>5167373.3375019655</v>
      </c>
      <c r="M36" s="184">
        <f t="shared" si="9"/>
        <v>0.29999999999999993</v>
      </c>
      <c r="N36" s="185">
        <f t="shared" si="10"/>
        <v>0.30001483044373051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29840200</v>
      </c>
      <c r="I38" s="169">
        <f t="shared" si="12"/>
        <v>172716.05387802984</v>
      </c>
      <c r="J38" s="180">
        <f t="shared" si="13"/>
        <v>227812475.06512135</v>
      </c>
      <c r="K38" s="167">
        <f t="shared" si="7"/>
        <v>6886200</v>
      </c>
      <c r="L38" s="167">
        <f t="shared" si="8"/>
        <v>45246857.810887277</v>
      </c>
      <c r="M38" s="184">
        <f t="shared" si="9"/>
        <v>0.3</v>
      </c>
      <c r="N38" s="185">
        <f t="shared" si="10"/>
        <v>0.24783887837915389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10164679.200000001</v>
      </c>
      <c r="I39" s="169">
        <f t="shared" si="12"/>
        <v>41254.400008006953</v>
      </c>
      <c r="J39" s="180">
        <f t="shared" si="13"/>
        <v>54414553.61056117</v>
      </c>
      <c r="K39" s="167">
        <f t="shared" si="7"/>
        <v>2345695.2000000011</v>
      </c>
      <c r="L39" s="167">
        <f t="shared" si="8"/>
        <v>11140000.700117826</v>
      </c>
      <c r="M39" s="184">
        <f t="shared" si="9"/>
        <v>0.30000000000000016</v>
      </c>
      <c r="N39" s="185">
        <f t="shared" si="10"/>
        <v>0.25742613039057965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2482646.3724081186</v>
      </c>
      <c r="I40" s="169">
        <f t="shared" si="12"/>
        <v>5139.4479732457548</v>
      </c>
      <c r="J40" s="180">
        <f t="shared" si="13"/>
        <v>6778931.8767111506</v>
      </c>
      <c r="K40" s="167">
        <f t="shared" si="7"/>
        <v>-1053298.6275918814</v>
      </c>
      <c r="L40" s="167">
        <f t="shared" si="8"/>
        <v>-2740291.1232888494</v>
      </c>
      <c r="M40" s="184">
        <f t="shared" si="9"/>
        <v>-0.2978832045158738</v>
      </c>
      <c r="N40" s="185">
        <f t="shared" si="10"/>
        <v>-0.28786920143470213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10426713.5</v>
      </c>
      <c r="I41" s="169">
        <f>J24</f>
        <v>264116.06882997416</v>
      </c>
      <c r="J41" s="180">
        <f>I41*$I$31</f>
        <v>27549947.139654607</v>
      </c>
      <c r="K41" s="167">
        <f t="shared" si="7"/>
        <v>-4468591.5</v>
      </c>
      <c r="L41" s="167">
        <f t="shared" si="8"/>
        <v>-9786850.4113657773</v>
      </c>
      <c r="M41" s="184">
        <f t="shared" si="9"/>
        <v>-0.3</v>
      </c>
      <c r="N41" s="185">
        <f t="shared" si="10"/>
        <v>-0.26212345603535325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89050884.072408125</v>
      </c>
      <c r="I42" s="77"/>
      <c r="J42" s="181">
        <f>SUM(J34:J41)</f>
        <v>1034572873.8191965</v>
      </c>
      <c r="K42" s="76">
        <f t="shared" si="7"/>
        <v>10000000.072408125</v>
      </c>
      <c r="L42" s="200">
        <f t="shared" si="8"/>
        <v>207402525.52146673</v>
      </c>
      <c r="M42" s="79">
        <f t="shared" si="9"/>
        <v>0.12650080007211714</v>
      </c>
      <c r="N42" s="186">
        <f t="shared" si="10"/>
        <v>0.25073737948693342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357264766.52645773</v>
      </c>
      <c r="L43" s="189">
        <f>SUM(L34:L40)*$E$43 + (L41*$D$43)</f>
        <v>68559488.595025539</v>
      </c>
      <c r="M43" s="201">
        <f>L43/L42</f>
        <v>0.33056245782276861</v>
      </c>
      <c r="N43" s="190">
        <f>N42*(L43/L42)</f>
        <v>8.2884364431240962E-2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405411917.08926243</v>
      </c>
      <c r="L44" s="189">
        <f>SUM(L34:L40)*$E$44 + (L41*$D$44)</f>
        <v>80201905.424576446</v>
      </c>
      <c r="M44" s="201">
        <f>L44/L42</f>
        <v>0.38669686023796912</v>
      </c>
      <c r="N44" s="190">
        <f>N42*(L44/L42)</f>
        <v>9.6959357391893319E-2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271896190.20347631</v>
      </c>
      <c r="L45" s="189">
        <f>SUM(L34:L40)*$E$45 + (L41*$D$45)</f>
        <v>58641131.501864791</v>
      </c>
      <c r="M45" s="201">
        <f>L45/L42</f>
        <v>0.28274068193926244</v>
      </c>
      <c r="N45" s="190">
        <f>N42*(L45/L42)</f>
        <v>7.0893657663799195E-2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U47"/>
  <sheetViews>
    <sheetView topLeftCell="I25" zoomScale="90" zoomScaleNormal="90" workbookViewId="0">
      <selection activeCell="J17" sqref="J17:J2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11703759.383753199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+ 15000000</f>
        <v>94050884</v>
      </c>
      <c r="C12" s="81">
        <f>1*B12 - 1</f>
        <v>94050883</v>
      </c>
      <c r="D12" s="82">
        <f>1*B12 + 1</f>
        <v>94050885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4267308.0617963634</v>
      </c>
      <c r="K18" s="60">
        <f t="shared" ref="K18:L24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v>247507.37930088287</v>
      </c>
      <c r="K19" s="60">
        <f t="shared" si="2"/>
        <v>1141414.7999999998</v>
      </c>
      <c r="L19" s="60">
        <f t="shared" si="2"/>
        <v>57119.259485048271</v>
      </c>
      <c r="M19" s="61">
        <f t="shared" si="3"/>
        <v>0.29999999999999993</v>
      </c>
      <c r="N19" s="61">
        <f t="shared" si="3"/>
        <v>0.30001483044373056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2518200.0655416748</v>
      </c>
      <c r="K21" s="60">
        <f t="shared" si="2"/>
        <v>6886200</v>
      </c>
      <c r="L21" s="60">
        <f t="shared" si="2"/>
        <v>500151.01355779846</v>
      </c>
      <c r="M21" s="61">
        <f t="shared" si="3"/>
        <v>0.3</v>
      </c>
      <c r="N21" s="61">
        <f t="shared" si="3"/>
        <v>0.24783887837915375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10164679.200000001</v>
      </c>
      <c r="J22" s="65">
        <v>601489.1521167414</v>
      </c>
      <c r="K22" s="60">
        <f t="shared" si="2"/>
        <v>2345695.2000000011</v>
      </c>
      <c r="L22" s="60">
        <f t="shared" si="2"/>
        <v>123139.65898993018</v>
      </c>
      <c r="M22" s="61">
        <f t="shared" si="3"/>
        <v>0.30000000000000016</v>
      </c>
      <c r="N22" s="61">
        <f t="shared" si="3"/>
        <v>0.2574261303905796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2475161.5</v>
      </c>
      <c r="H23" s="74">
        <f t="shared" si="1"/>
        <v>4596728.5</v>
      </c>
      <c r="I23" s="174">
        <v>4596728.5</v>
      </c>
      <c r="J23" s="65">
        <v>134862.22094521255</v>
      </c>
      <c r="K23" s="60">
        <f t="shared" si="2"/>
        <v>1060783.5</v>
      </c>
      <c r="L23" s="60">
        <f t="shared" si="2"/>
        <v>29638.360945212553</v>
      </c>
      <c r="M23" s="61">
        <f t="shared" si="3"/>
        <v>0.3</v>
      </c>
      <c r="N23" s="61">
        <f t="shared" si="3"/>
        <v>0.28166958468556991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10426713.5</v>
      </c>
      <c r="H24" s="74">
        <f t="shared" si="1"/>
        <v>19363896.5</v>
      </c>
      <c r="I24" s="174">
        <v>13312631.257466014</v>
      </c>
      <c r="J24" s="65">
        <v>325914.80613466725</v>
      </c>
      <c r="K24" s="60">
        <f t="shared" si="2"/>
        <v>-1582673.7425339855</v>
      </c>
      <c r="L24" s="60">
        <f t="shared" si="2"/>
        <v>-32025.923910586163</v>
      </c>
      <c r="M24" s="61">
        <f t="shared" si="3"/>
        <v>-0.10625319471699207</v>
      </c>
      <c r="N24" s="61">
        <f t="shared" si="3"/>
        <v>-8.9472700987499293E-2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55335618.799999997</v>
      </c>
      <c r="H25" s="76">
        <f t="shared" si="4"/>
        <v>102766149.2</v>
      </c>
      <c r="I25" s="83">
        <f t="shared" si="4"/>
        <v>94050883.957466021</v>
      </c>
      <c r="J25" s="175">
        <f t="shared" si="4"/>
        <v>11703759.383753199</v>
      </c>
      <c r="K25" s="76">
        <f>SUM(K17:K24)</f>
        <v>14999999.957466016</v>
      </c>
      <c r="L25" s="175">
        <f>SUM(L17:L24)</f>
        <v>2472048.8961976101</v>
      </c>
      <c r="M25" s="79">
        <f>K25/E25</f>
        <v>0.18975119819616459</v>
      </c>
      <c r="N25" s="79">
        <f t="shared" si="3"/>
        <v>0.26777799190409518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7">H35-D35</f>
        <v>4683130.5</v>
      </c>
      <c r="L35" s="167">
        <f t="shared" ref="L35:L42" si="8">J35-G35</f>
        <v>83382178.588703156</v>
      </c>
      <c r="M35" s="184">
        <f t="shared" ref="M35:M42" si="9">K35/D35</f>
        <v>0.3</v>
      </c>
      <c r="N35" s="185">
        <f t="shared" ref="N35:N42" si="10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4946130.8</v>
      </c>
      <c r="I36" s="169">
        <f t="shared" ref="I36:I40" si="12">J19/$D$31</f>
        <v>16975.814766864394</v>
      </c>
      <c r="J36" s="180">
        <f t="shared" ref="J36:J40" si="13">I36*$F$31</f>
        <v>22391099.677494135</v>
      </c>
      <c r="K36" s="167">
        <f t="shared" si="7"/>
        <v>1141414.7999999998</v>
      </c>
      <c r="L36" s="167">
        <f t="shared" si="8"/>
        <v>5167373.3375019655</v>
      </c>
      <c r="M36" s="184">
        <f t="shared" si="9"/>
        <v>0.29999999999999993</v>
      </c>
      <c r="N36" s="185">
        <f t="shared" si="10"/>
        <v>0.30001483044373051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3108000</v>
      </c>
      <c r="I37" s="169">
        <f t="shared" si="12"/>
        <v>1701.1654528829022</v>
      </c>
      <c r="J37" s="180">
        <f t="shared" si="13"/>
        <v>2243837.2323525478</v>
      </c>
      <c r="K37" s="167">
        <f t="shared" si="7"/>
        <v>-1332000</v>
      </c>
      <c r="L37" s="167">
        <f t="shared" si="8"/>
        <v>-694931.39673866285</v>
      </c>
      <c r="M37" s="184">
        <f t="shared" si="9"/>
        <v>-0.3</v>
      </c>
      <c r="N37" s="185">
        <f t="shared" si="10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29840200</v>
      </c>
      <c r="I38" s="169">
        <f t="shared" si="12"/>
        <v>172716.05387802984</v>
      </c>
      <c r="J38" s="180">
        <f t="shared" si="13"/>
        <v>227812475.06512135</v>
      </c>
      <c r="K38" s="167">
        <f t="shared" si="7"/>
        <v>6886200</v>
      </c>
      <c r="L38" s="167">
        <f t="shared" si="8"/>
        <v>45246857.810887277</v>
      </c>
      <c r="M38" s="184">
        <f t="shared" si="9"/>
        <v>0.3</v>
      </c>
      <c r="N38" s="185">
        <f t="shared" si="10"/>
        <v>0.24783887837915389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10164679.200000001</v>
      </c>
      <c r="I39" s="169">
        <f t="shared" si="12"/>
        <v>41254.400008006953</v>
      </c>
      <c r="J39" s="180">
        <f t="shared" si="13"/>
        <v>54414553.61056117</v>
      </c>
      <c r="K39" s="167">
        <f t="shared" si="7"/>
        <v>2345695.2000000011</v>
      </c>
      <c r="L39" s="167">
        <f t="shared" si="8"/>
        <v>11140000.700117826</v>
      </c>
      <c r="M39" s="184">
        <f t="shared" si="9"/>
        <v>0.30000000000000016</v>
      </c>
      <c r="N39" s="185">
        <f t="shared" si="10"/>
        <v>0.25742613039057965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4596728.5</v>
      </c>
      <c r="I40" s="169">
        <f t="shared" si="12"/>
        <v>9249.8093926757574</v>
      </c>
      <c r="J40" s="180">
        <f t="shared" si="13"/>
        <v>12200498.588939324</v>
      </c>
      <c r="K40" s="167">
        <f t="shared" si="7"/>
        <v>1060783.5</v>
      </c>
      <c r="L40" s="167">
        <f t="shared" si="8"/>
        <v>2681275.588939324</v>
      </c>
      <c r="M40" s="184">
        <f t="shared" si="9"/>
        <v>0.3</v>
      </c>
      <c r="N40" s="185">
        <f t="shared" si="10"/>
        <v>0.2816695846855698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13312631.257466014</v>
      </c>
      <c r="I41" s="169">
        <f>J24</f>
        <v>325914.80613466725</v>
      </c>
      <c r="J41" s="180">
        <f>I41*$I$31</f>
        <v>33996173.427907139</v>
      </c>
      <c r="K41" s="167">
        <f t="shared" si="7"/>
        <v>-1582673.7425339855</v>
      </c>
      <c r="L41" s="167">
        <f t="shared" si="8"/>
        <v>-3340624.1231132448</v>
      </c>
      <c r="M41" s="184">
        <f t="shared" si="9"/>
        <v>-0.10625319471699207</v>
      </c>
      <c r="N41" s="185">
        <f t="shared" si="10"/>
        <v>-8.9472700987499348E-2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94050883.957466021</v>
      </c>
      <c r="I42" s="77"/>
      <c r="J42" s="181">
        <f>SUM(J34:J41)</f>
        <v>1046440666.8196771</v>
      </c>
      <c r="K42" s="76">
        <f t="shared" si="7"/>
        <v>14999999.957466021</v>
      </c>
      <c r="L42" s="200">
        <f t="shared" si="8"/>
        <v>219270318.52194738</v>
      </c>
      <c r="M42" s="79">
        <f t="shared" si="9"/>
        <v>0.18975119819616465</v>
      </c>
      <c r="N42" s="186">
        <f t="shared" si="10"/>
        <v>0.26508483890070944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362589061.40427172</v>
      </c>
      <c r="L43" s="189">
        <f>SUM(L34:L40)*$E$43 + (L41*$D$43)</f>
        <v>73883783.472839504</v>
      </c>
      <c r="M43" s="201">
        <f>L43/L42</f>
        <v>0.33695296276702524</v>
      </c>
      <c r="N43" s="190">
        <f>N42*(L43/L42)</f>
        <v>8.9321121852213636E-2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410491592.19962758</v>
      </c>
      <c r="L44" s="189">
        <f>SUM(L34:L40)*$E$44 + (L41*$D$44)</f>
        <v>85281580.534941584</v>
      </c>
      <c r="M44" s="201">
        <f>L44/L42</f>
        <v>0.38893353696845889</v>
      </c>
      <c r="N44" s="190">
        <f>N42*(L44/L42)</f>
        <v>0.10310038399036704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273360013.21577793</v>
      </c>
      <c r="L45" s="189">
        <f>SUM(L34:L40)*$E$45 + (L41*$D$45)</f>
        <v>60104954.5141664</v>
      </c>
      <c r="M45" s="201">
        <f>L45/L42</f>
        <v>0.27411350026451631</v>
      </c>
      <c r="N45" s="190">
        <f>N42*(L45/L42)</f>
        <v>7.2663333058128873E-2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U47"/>
  <sheetViews>
    <sheetView tabSelected="1" topLeftCell="B1" zoomScaleNormal="100" workbookViewId="0">
      <selection activeCell="B12" sqref="B12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3.4" customHeight="1" x14ac:dyDescent="0.3">
      <c r="A4" s="49" t="s">
        <v>78</v>
      </c>
      <c r="B4" s="219" t="s">
        <v>219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11703759.383753199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228"/>
      <c r="B12" s="80">
        <f>79050884 + 15000000</f>
        <v>94050884</v>
      </c>
      <c r="C12" s="81">
        <f>1*B12 - 1</f>
        <v>94050883</v>
      </c>
      <c r="D12" s="82">
        <f>1*B12 + 1</f>
        <v>94050885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63" t="s">
        <v>98</v>
      </c>
      <c r="J14" s="63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105" t="s">
        <v>203</v>
      </c>
      <c r="F16" s="105" t="s">
        <v>204</v>
      </c>
      <c r="G16" s="105" t="s">
        <v>87</v>
      </c>
      <c r="H16" s="105" t="s">
        <v>88</v>
      </c>
      <c r="I16" s="62" t="s">
        <v>201</v>
      </c>
      <c r="J16" s="62" t="s">
        <v>202</v>
      </c>
      <c r="K16" s="105" t="s">
        <v>177</v>
      </c>
      <c r="L16" s="105" t="s">
        <v>178</v>
      </c>
      <c r="M16" s="105" t="s">
        <v>91</v>
      </c>
      <c r="N16" s="105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2767707.5889119492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f>JANSample!F9</f>
        <v>3583674.7056146222</v>
      </c>
      <c r="K17" s="58">
        <f>I17-E17</f>
        <v>1797449.7000000002</v>
      </c>
      <c r="L17" s="58">
        <f>J17-F17</f>
        <v>815967.11670267303</v>
      </c>
      <c r="M17" s="59">
        <f>K17/E17</f>
        <v>0.30000000000000004</v>
      </c>
      <c r="N17" s="59">
        <f>L17/F17</f>
        <v>0.29481695247417694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3281566.9987801639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f>JMTSample!F9</f>
        <v>4267308.0617963634</v>
      </c>
      <c r="K18" s="60">
        <f t="shared" ref="K18:L22" si="2">I18-E18</f>
        <v>4683130.5</v>
      </c>
      <c r="L18" s="60">
        <f t="shared" si="2"/>
        <v>985741.06301619951</v>
      </c>
      <c r="M18" s="61">
        <f t="shared" ref="M18:N25" si="3">K18/E18</f>
        <v>0.3</v>
      </c>
      <c r="N18" s="61">
        <f t="shared" si="3"/>
        <v>0.30038730380413464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190388.11981583459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f>JJVCH!F9</f>
        <v>247507.37930088287</v>
      </c>
      <c r="K19" s="60">
        <f t="shared" si="2"/>
        <v>1141414.7999999998</v>
      </c>
      <c r="L19" s="60">
        <f t="shared" si="2"/>
        <v>57119.259485048271</v>
      </c>
      <c r="M19" s="61">
        <f t="shared" si="3"/>
        <v>0.29999999999999993</v>
      </c>
      <c r="N19" s="61">
        <f t="shared" si="3"/>
        <v>0.30001483044373056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f>JJMMF!I9</f>
        <v>32484.644891698143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f>JJMMF!F9</f>
        <v>24802.992303032715</v>
      </c>
      <c r="K20" s="60">
        <f t="shared" si="2"/>
        <v>-1332000</v>
      </c>
      <c r="L20" s="60">
        <f t="shared" si="2"/>
        <v>-7681.6525886654272</v>
      </c>
      <c r="M20" s="61">
        <f t="shared" si="3"/>
        <v>-0.3</v>
      </c>
      <c r="N20" s="61">
        <f t="shared" si="3"/>
        <v>-0.23647026508295216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f>JJHCC!I9</f>
        <v>2018049.0519838764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f>JJHCC!F9</f>
        <v>2518200.0655416748</v>
      </c>
      <c r="K21" s="60">
        <f t="shared" si="2"/>
        <v>6886200</v>
      </c>
      <c r="L21" s="60">
        <f t="shared" si="2"/>
        <v>500151.01355779846</v>
      </c>
      <c r="M21" s="61">
        <f t="shared" si="3"/>
        <v>0.3</v>
      </c>
      <c r="N21" s="61">
        <f t="shared" si="3"/>
        <v>0.24783887837915375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f>JJMCM!I9</f>
        <v>478349.49312681123</v>
      </c>
      <c r="G22" s="74">
        <f t="shared" si="0"/>
        <v>5473288.7999999998</v>
      </c>
      <c r="H22" s="74">
        <f t="shared" si="1"/>
        <v>10164679.200000001</v>
      </c>
      <c r="I22" s="174">
        <v>10164679.200000001</v>
      </c>
      <c r="J22" s="65">
        <f>JJMCM!F9</f>
        <v>601489.1521167414</v>
      </c>
      <c r="K22" s="60">
        <f t="shared" si="2"/>
        <v>2345695.2000000011</v>
      </c>
      <c r="L22" s="60">
        <f t="shared" si="2"/>
        <v>123139.65898993018</v>
      </c>
      <c r="M22" s="61">
        <f t="shared" si="3"/>
        <v>0.30000000000000016</v>
      </c>
      <c r="N22" s="61">
        <f t="shared" si="3"/>
        <v>0.2574261303905796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f>JJHCC_ACQ!I9</f>
        <v>105223.86</v>
      </c>
      <c r="G23" s="74">
        <f t="shared" si="0"/>
        <v>2475161.5</v>
      </c>
      <c r="H23" s="74">
        <f t="shared" si="1"/>
        <v>4596728.5</v>
      </c>
      <c r="I23" s="174">
        <v>4596728.5</v>
      </c>
      <c r="J23" s="65">
        <f>JJHCC_ACQ!F9</f>
        <v>134862.22094521255</v>
      </c>
      <c r="K23" s="60">
        <f t="shared" ref="K23:K24" si="4">I23-E23</f>
        <v>1060783.5</v>
      </c>
      <c r="L23" s="60">
        <f t="shared" ref="L23:L24" si="5">J23-F23</f>
        <v>29638.360945212553</v>
      </c>
      <c r="M23" s="61">
        <f t="shared" ref="M23:M24" si="6">K23/E23</f>
        <v>0.3</v>
      </c>
      <c r="N23" s="61">
        <f t="shared" ref="N23:N24" si="7">L23/F23</f>
        <v>0.28166958468556991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f>JJHCC_ADH!I9</f>
        <v>357940.73004525341</v>
      </c>
      <c r="G24" s="74">
        <f t="shared" si="0"/>
        <v>10426713.5</v>
      </c>
      <c r="H24" s="74">
        <f t="shared" si="1"/>
        <v>19363896.5</v>
      </c>
      <c r="I24" s="174">
        <v>13312631.257466014</v>
      </c>
      <c r="J24" s="65">
        <f>JJHCC_ADH!F9</f>
        <v>325914.80613466725</v>
      </c>
      <c r="K24" s="60">
        <f t="shared" si="4"/>
        <v>-1582673.7425339855</v>
      </c>
      <c r="L24" s="60">
        <f t="shared" si="5"/>
        <v>-32025.923910586163</v>
      </c>
      <c r="M24" s="61">
        <f t="shared" si="6"/>
        <v>-0.10625319471699207</v>
      </c>
      <c r="N24" s="61">
        <f t="shared" si="7"/>
        <v>-8.9472700987499293E-2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79050884</v>
      </c>
      <c r="F25" s="77">
        <f t="shared" si="8"/>
        <v>9231710.4875555858</v>
      </c>
      <c r="G25" s="76">
        <f t="shared" si="8"/>
        <v>55335618.799999997</v>
      </c>
      <c r="H25" s="76">
        <f t="shared" si="8"/>
        <v>102766149.2</v>
      </c>
      <c r="I25" s="83">
        <f t="shared" si="8"/>
        <v>94050883.957466021</v>
      </c>
      <c r="J25" s="175">
        <f t="shared" si="8"/>
        <v>11703759.383753199</v>
      </c>
      <c r="K25" s="76">
        <f>SUM(K17:K24)</f>
        <v>14999999.957466016</v>
      </c>
      <c r="L25" s="175">
        <f>SUM(L17:L24)</f>
        <v>2472048.8961976101</v>
      </c>
      <c r="M25" s="79">
        <f>K25/E25</f>
        <v>0.18975119819616459</v>
      </c>
      <c r="N25" s="79">
        <f t="shared" si="3"/>
        <v>0.26777799190409518</v>
      </c>
    </row>
    <row r="29" spans="1:21" s="162" customFormat="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C42" si="9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9"/>
        <v>0</v>
      </c>
      <c r="D33" s="156" t="s">
        <v>182</v>
      </c>
      <c r="E33" s="156" t="s">
        <v>181</v>
      </c>
      <c r="F33" s="156" t="s">
        <v>183</v>
      </c>
      <c r="G33" s="156" t="s">
        <v>199</v>
      </c>
      <c r="H33" s="62" t="s">
        <v>187</v>
      </c>
      <c r="I33" s="62" t="s">
        <v>188</v>
      </c>
      <c r="J33" s="62" t="s">
        <v>200</v>
      </c>
      <c r="K33" s="156" t="s">
        <v>190</v>
      </c>
      <c r="L33" s="156" t="s">
        <v>191</v>
      </c>
      <c r="M33" s="156" t="s">
        <v>192</v>
      </c>
      <c r="N33" s="156" t="s">
        <v>193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166">
        <f t="shared" ref="D34:D41" si="10">E17</f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11">I17</f>
        <v>7788948.7000000002</v>
      </c>
      <c r="I34" s="168">
        <f>J17/$J$31</f>
        <v>259498.53045724996</v>
      </c>
      <c r="J34" s="179">
        <f>I34*$L$31</f>
        <v>332417617.51573718</v>
      </c>
      <c r="K34" s="166">
        <f>H34-D34</f>
        <v>1797449.7000000002</v>
      </c>
      <c r="L34" s="166">
        <f>J34-G34</f>
        <v>75688188.015649796</v>
      </c>
      <c r="M34" s="182">
        <f>K34/D34</f>
        <v>0.30000000000000004</v>
      </c>
      <c r="N34" s="183">
        <f>L34/G34</f>
        <v>0.29481695247417683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167">
        <f t="shared" si="10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11"/>
        <v>20293565.5</v>
      </c>
      <c r="I35" s="169">
        <f>J18/$P$31</f>
        <v>300303.171132749</v>
      </c>
      <c r="J35" s="180">
        <f>I35*$R$31</f>
        <v>360964411.70156431</v>
      </c>
      <c r="K35" s="167">
        <f t="shared" ref="K35:K42" si="12">H35-D35</f>
        <v>4683130.5</v>
      </c>
      <c r="L35" s="167">
        <f t="shared" ref="L35:L42" si="13">J35-G35</f>
        <v>83382178.588703156</v>
      </c>
      <c r="M35" s="184">
        <f t="shared" ref="M35:M42" si="14">K35/D35</f>
        <v>0.3</v>
      </c>
      <c r="N35" s="185">
        <f t="shared" ref="N35:N42" si="15">L35/G35</f>
        <v>0.3003873038041347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167">
        <f t="shared" si="10"/>
        <v>3804716</v>
      </c>
      <c r="E36" s="165" t="s">
        <v>176</v>
      </c>
      <c r="F36" s="169">
        <f>F19/$D$31</f>
        <v>13058.170083390576</v>
      </c>
      <c r="G36" s="171">
        <f t="shared" ref="G36:G40" si="16">F36*$F$31</f>
        <v>17223726.339992169</v>
      </c>
      <c r="H36" s="177">
        <f t="shared" si="11"/>
        <v>4946130.8</v>
      </c>
      <c r="I36" s="169">
        <f t="shared" ref="I36:I40" si="17">J19/$D$31</f>
        <v>16975.814766864394</v>
      </c>
      <c r="J36" s="180">
        <f t="shared" ref="J36:J40" si="18">I36*$F$31</f>
        <v>22391099.677494135</v>
      </c>
      <c r="K36" s="167">
        <f t="shared" si="12"/>
        <v>1141414.7999999998</v>
      </c>
      <c r="L36" s="167">
        <f t="shared" si="13"/>
        <v>5167373.3375019655</v>
      </c>
      <c r="M36" s="184">
        <f t="shared" si="14"/>
        <v>0.29999999999999993</v>
      </c>
      <c r="N36" s="185">
        <f t="shared" si="15"/>
        <v>0.30001483044373051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167">
        <f t="shared" si="10"/>
        <v>4440000</v>
      </c>
      <c r="E37" s="165" t="s">
        <v>176</v>
      </c>
      <c r="F37" s="169">
        <f t="shared" ref="F37:F40" si="19">F20/$D$31</f>
        <v>2228.0277703496668</v>
      </c>
      <c r="G37" s="171">
        <f>F37*$F$31</f>
        <v>2938768.6290912107</v>
      </c>
      <c r="H37" s="177">
        <f t="shared" si="11"/>
        <v>3108000</v>
      </c>
      <c r="I37" s="169">
        <f t="shared" si="17"/>
        <v>1701.1654528829022</v>
      </c>
      <c r="J37" s="180">
        <f t="shared" si="18"/>
        <v>2243837.2323525478</v>
      </c>
      <c r="K37" s="167">
        <f t="shared" si="12"/>
        <v>-1332000</v>
      </c>
      <c r="L37" s="167">
        <f t="shared" si="13"/>
        <v>-694931.39673866285</v>
      </c>
      <c r="M37" s="184">
        <f t="shared" si="14"/>
        <v>-0.3</v>
      </c>
      <c r="N37" s="185">
        <f t="shared" si="15"/>
        <v>-0.23647026508295227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167">
        <f t="shared" si="10"/>
        <v>22954000</v>
      </c>
      <c r="E38" s="165" t="s">
        <v>176</v>
      </c>
      <c r="F38" s="169">
        <f t="shared" si="19"/>
        <v>138412.14348311909</v>
      </c>
      <c r="G38" s="171">
        <f t="shared" si="16"/>
        <v>182565617.25423408</v>
      </c>
      <c r="H38" s="177">
        <f t="shared" si="11"/>
        <v>29840200</v>
      </c>
      <c r="I38" s="169">
        <f t="shared" si="17"/>
        <v>172716.05387802984</v>
      </c>
      <c r="J38" s="180">
        <f t="shared" si="18"/>
        <v>227812475.06512135</v>
      </c>
      <c r="K38" s="167">
        <f t="shared" si="12"/>
        <v>6886200</v>
      </c>
      <c r="L38" s="167">
        <f t="shared" si="13"/>
        <v>45246857.810887277</v>
      </c>
      <c r="M38" s="184">
        <f t="shared" si="14"/>
        <v>0.3</v>
      </c>
      <c r="N38" s="185">
        <f t="shared" si="15"/>
        <v>0.24783887837915389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167">
        <f t="shared" si="10"/>
        <v>7818984</v>
      </c>
      <c r="E39" s="165" t="s">
        <v>176</v>
      </c>
      <c r="F39" s="169">
        <f t="shared" si="19"/>
        <v>32808.607210343704</v>
      </c>
      <c r="G39" s="171">
        <f t="shared" si="16"/>
        <v>43274552.910443343</v>
      </c>
      <c r="H39" s="177">
        <f t="shared" si="11"/>
        <v>10164679.200000001</v>
      </c>
      <c r="I39" s="169">
        <f t="shared" si="17"/>
        <v>41254.400008006953</v>
      </c>
      <c r="J39" s="180">
        <f t="shared" si="18"/>
        <v>54414553.61056117</v>
      </c>
      <c r="K39" s="167">
        <f t="shared" si="12"/>
        <v>2345695.2000000011</v>
      </c>
      <c r="L39" s="167">
        <f t="shared" si="13"/>
        <v>11140000.700117826</v>
      </c>
      <c r="M39" s="184">
        <f t="shared" si="14"/>
        <v>0.30000000000000016</v>
      </c>
      <c r="N39" s="185">
        <f t="shared" si="15"/>
        <v>0.25742613039057965</v>
      </c>
    </row>
    <row r="40" spans="1:14" x14ac:dyDescent="0.3">
      <c r="A40" s="55" t="s">
        <v>104</v>
      </c>
      <c r="B40" s="55" t="s">
        <v>174</v>
      </c>
      <c r="C40" s="154">
        <f t="shared" si="9"/>
        <v>1</v>
      </c>
      <c r="D40" s="167">
        <f t="shared" si="10"/>
        <v>3535945</v>
      </c>
      <c r="E40" s="165" t="s">
        <v>176</v>
      </c>
      <c r="F40" s="169">
        <f t="shared" si="19"/>
        <v>7217</v>
      </c>
      <c r="G40" s="171">
        <f t="shared" si="16"/>
        <v>9519223</v>
      </c>
      <c r="H40" s="177">
        <f t="shared" si="11"/>
        <v>4596728.5</v>
      </c>
      <c r="I40" s="169">
        <f t="shared" si="17"/>
        <v>9249.8093926757574</v>
      </c>
      <c r="J40" s="180">
        <f t="shared" si="18"/>
        <v>12200498.588939324</v>
      </c>
      <c r="K40" s="167">
        <f t="shared" si="12"/>
        <v>1060783.5</v>
      </c>
      <c r="L40" s="167">
        <f t="shared" si="13"/>
        <v>2681275.588939324</v>
      </c>
      <c r="M40" s="184">
        <f t="shared" si="14"/>
        <v>0.3</v>
      </c>
      <c r="N40" s="185">
        <f t="shared" si="15"/>
        <v>0.2816695846855698</v>
      </c>
    </row>
    <row r="41" spans="1:14" x14ac:dyDescent="0.3">
      <c r="A41" s="55" t="s">
        <v>104</v>
      </c>
      <c r="B41" s="55" t="s">
        <v>171</v>
      </c>
      <c r="C41" s="154">
        <f t="shared" si="9"/>
        <v>1</v>
      </c>
      <c r="D41" s="167">
        <f t="shared" si="10"/>
        <v>14895305</v>
      </c>
      <c r="E41" s="187" t="s">
        <v>175</v>
      </c>
      <c r="F41" s="169">
        <f t="shared" ref="F41" si="20">F24</f>
        <v>357940.73004525341</v>
      </c>
      <c r="G41" s="171">
        <f>F41*$I$31</f>
        <v>37336797.551020384</v>
      </c>
      <c r="H41" s="177">
        <f t="shared" si="11"/>
        <v>13312631.257466014</v>
      </c>
      <c r="I41" s="169">
        <f>J24</f>
        <v>325914.80613466725</v>
      </c>
      <c r="J41" s="180">
        <f>I41*$I$31</f>
        <v>33996173.427907139</v>
      </c>
      <c r="K41" s="167">
        <f t="shared" si="12"/>
        <v>-1582673.7425339855</v>
      </c>
      <c r="L41" s="167">
        <f t="shared" si="13"/>
        <v>-3340624.1231132448</v>
      </c>
      <c r="M41" s="184">
        <f t="shared" si="14"/>
        <v>-0.10625319471699207</v>
      </c>
      <c r="N41" s="185">
        <f t="shared" si="15"/>
        <v>-8.9472700987499348E-2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94050883.957466021</v>
      </c>
      <c r="I42" s="77"/>
      <c r="J42" s="181">
        <f>SUM(J34:J41)</f>
        <v>1046440666.8196771</v>
      </c>
      <c r="K42" s="76">
        <f t="shared" si="12"/>
        <v>14999999.957466021</v>
      </c>
      <c r="L42" s="200">
        <f t="shared" si="13"/>
        <v>219270318.52194738</v>
      </c>
      <c r="M42" s="79">
        <f t="shared" si="14"/>
        <v>0.18975119819616465</v>
      </c>
      <c r="N42" s="186">
        <f t="shared" si="15"/>
        <v>0.26508483890070944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H43" s="162"/>
      <c r="I43" s="157"/>
      <c r="J43" s="189">
        <f>SUM(J34:J40)*$E$43 + (J41*$D$43)</f>
        <v>362589061.40427172</v>
      </c>
      <c r="K43" s="162"/>
      <c r="L43" s="189">
        <f>SUM(L34:L40)*$E$43 + (L41*$D$43)</f>
        <v>73883783.472839504</v>
      </c>
      <c r="M43" s="201">
        <f>L43/L42</f>
        <v>0.33695296276702524</v>
      </c>
      <c r="N43" s="190">
        <f>N42*(L43/L42)</f>
        <v>8.9321121852213636E-2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H44" s="162"/>
      <c r="I44" s="157"/>
      <c r="J44" s="189">
        <f>SUM(J34:J40)*$E$44 + (J41*$D$44)</f>
        <v>410491592.19962758</v>
      </c>
      <c r="K44" s="162"/>
      <c r="L44" s="189">
        <f>SUM(L34:L40)*$E$44 + (L41*$D$44)</f>
        <v>85281580.534941584</v>
      </c>
      <c r="M44" s="201">
        <f>L44/L42</f>
        <v>0.38893353696845889</v>
      </c>
      <c r="N44" s="190">
        <f>N42*(L44/L42)</f>
        <v>0.10310038399036704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H45" s="162"/>
      <c r="I45" s="157"/>
      <c r="J45" s="189">
        <f>SUM(J34:J40)*$E$45 + (J41*$D$45)</f>
        <v>273360013.21577793</v>
      </c>
      <c r="K45" s="162"/>
      <c r="L45" s="189">
        <f>SUM(L34:L40)*$E$45 + (L41*$D$45)</f>
        <v>60104954.5141664</v>
      </c>
      <c r="M45" s="201">
        <f>L45/L42</f>
        <v>0.27411350026451631</v>
      </c>
      <c r="N45" s="190">
        <f>N42*(L45/L42)</f>
        <v>7.2663333058128873E-2</v>
      </c>
    </row>
    <row r="46" spans="1:14" x14ac:dyDescent="0.3">
      <c r="D46" s="162" t="s">
        <v>175</v>
      </c>
      <c r="E46" s="162" t="s">
        <v>209</v>
      </c>
      <c r="F46" s="162"/>
      <c r="G46" s="162"/>
      <c r="H46" s="162"/>
      <c r="I46" s="162"/>
      <c r="J46" s="162"/>
      <c r="K46" s="162"/>
      <c r="L46" s="162"/>
      <c r="M46" s="162"/>
      <c r="N46" s="162"/>
    </row>
    <row r="47" spans="1:14" ht="27.6" x14ac:dyDescent="0.3">
      <c r="D47" s="160" t="s">
        <v>210</v>
      </c>
      <c r="E47" s="162"/>
      <c r="F47" s="162"/>
      <c r="G47" s="162"/>
      <c r="H47" s="162"/>
      <c r="I47" s="162"/>
      <c r="J47" s="162"/>
      <c r="K47" s="162"/>
      <c r="L47" s="162"/>
      <c r="M47" s="162"/>
      <c r="N47" s="162"/>
    </row>
  </sheetData>
  <mergeCells count="22">
    <mergeCell ref="P29:U29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D29:I29"/>
    <mergeCell ref="J29:O29"/>
    <mergeCell ref="C32:C33"/>
    <mergeCell ref="D32:G32"/>
    <mergeCell ref="H32:J32"/>
    <mergeCell ref="B4:I4"/>
    <mergeCell ref="K15:N15"/>
    <mergeCell ref="K32:N32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($B$13*D9+$C$13*D9*D9)*$G$13</f>
        <v>259498.53045724996</v>
      </c>
      <c r="F9" s="85">
        <f>($E$13*D9+$F$13*D9*D9)*$G$13</f>
        <v>3583674.7056146222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2767707.5889119492</v>
      </c>
      <c r="J9" s="123">
        <f>G9/I9</f>
        <v>2.164787575104854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I11" s="141"/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3.3894148963675173E-2</v>
      </c>
      <c r="C13" s="12">
        <v>-7.4195254306928158E-11</v>
      </c>
      <c r="D13" s="111">
        <f>JJ_Optim_Scenario!$J$31</f>
        <v>13.81</v>
      </c>
      <c r="E13" s="12">
        <v>0.46807819718835414</v>
      </c>
      <c r="F13" s="12">
        <v>-1.0246364619786779E-9</v>
      </c>
      <c r="G13" s="196">
        <f>JJ_Optim_Scenario!D17</f>
        <v>1</v>
      </c>
      <c r="H13" s="158">
        <f>JJ_Optim_Scenario!$O$31</f>
        <v>108.58</v>
      </c>
      <c r="I13" s="158">
        <f>JJ_Optim_Scenario!$L$31</f>
        <v>1281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15000000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350482.28988140263</v>
      </c>
      <c r="D24" s="199">
        <f t="shared" ref="D24:D43" si="2">B24*$I$13</f>
        <v>32510341.298919387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699811.86374307924</v>
      </c>
      <c r="D25" s="199">
        <f t="shared" si="2"/>
        <v>64913757.961975709</v>
      </c>
    </row>
    <row r="26" spans="1:4" x14ac:dyDescent="0.3">
      <c r="A26" s="122">
        <f t="shared" si="3"/>
        <v>2250000</v>
      </c>
      <c r="B26" s="116">
        <f>($B$13*A26+$C$13*A26*A26)*$G$13</f>
        <v>75886.221693340325</v>
      </c>
      <c r="C26" s="116">
        <f>($E$13*A26+$F$13*A26*A26)*$G$13</f>
        <v>1047988.7215850296</v>
      </c>
      <c r="D26" s="199">
        <f t="shared" si="2"/>
        <v>97210249.989168957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1395012.8634072545</v>
      </c>
      <c r="D27" s="199">
        <f t="shared" si="2"/>
        <v>129399817.38049912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1740884.289209753</v>
      </c>
      <c r="D28" s="199">
        <f t="shared" si="2"/>
        <v>161482460.13596624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2085602.9989925253</v>
      </c>
      <c r="D29" s="199">
        <f t="shared" si="2"/>
        <v>193458178.25557023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2429168.9927555718</v>
      </c>
      <c r="D30" s="199">
        <f t="shared" si="2"/>
        <v>225326971.73931122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2771582.2704988928</v>
      </c>
      <c r="D31" s="199">
        <f t="shared" si="2"/>
        <v>257088840.58718908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3112842.8322224868</v>
      </c>
      <c r="D32" s="199">
        <f t="shared" si="2"/>
        <v>288743784.79920393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3452950.6779263555</v>
      </c>
      <c r="D33" s="199">
        <f t="shared" si="2"/>
        <v>320291804.37535566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3791905.8076104978</v>
      </c>
      <c r="D34" s="199">
        <f t="shared" si="2"/>
        <v>351732899.31564426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4129708.2212749138</v>
      </c>
      <c r="D35" s="199">
        <f t="shared" si="2"/>
        <v>383067069.62006992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4466357.9189196052</v>
      </c>
      <c r="D36" s="199">
        <f t="shared" si="2"/>
        <v>414294315.28863245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4801854.9005445689</v>
      </c>
      <c r="D37" s="199">
        <f t="shared" si="2"/>
        <v>445414636.32133186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5136199.1661498072</v>
      </c>
      <c r="D38" s="199">
        <f t="shared" si="2"/>
        <v>476428032.71816826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5469390.7157353209</v>
      </c>
      <c r="D39" s="199">
        <f t="shared" si="2"/>
        <v>507334504.47914159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5801429.5493011065</v>
      </c>
      <c r="D40" s="199">
        <f t="shared" si="2"/>
        <v>538134051.60425186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6132315.6668471666</v>
      </c>
      <c r="D41" s="199">
        <f t="shared" si="2"/>
        <v>568826674.09349895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6462049.0683735013</v>
      </c>
      <c r="D42" s="199">
        <f t="shared" si="2"/>
        <v>599412371.94688308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6790629.7538801096</v>
      </c>
      <c r="D43" s="199">
        <f t="shared" si="2"/>
        <v>629891145.16440403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13" sqref="D1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($B$13*D9+$C$13*D9*D9)*$G$13</f>
        <v>300303.17113274895</v>
      </c>
      <c r="F9" s="85">
        <f>($E$13*D9+$F$13*D9*D9)*$G$13</f>
        <v>4267308.0617963634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3281566.9987801639</v>
      </c>
      <c r="J9" s="123">
        <f>G9/I9</f>
        <v>4.7570063344136404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1.4778851523204141E-2</v>
      </c>
      <c r="C13" s="12">
        <v>9.4111856958413502E-13</v>
      </c>
      <c r="D13" s="111">
        <f>JJ_Optim_Scenario!$P$31</f>
        <v>14.21</v>
      </c>
      <c r="E13" s="12">
        <v>0.21000748014473086</v>
      </c>
      <c r="F13" s="12">
        <v>1.337329487379056E-11</v>
      </c>
      <c r="G13" s="196">
        <f>JJ_Optim_Scenario!D18</f>
        <v>1</v>
      </c>
      <c r="H13" s="158">
        <f>JJ_Optim_Scenario!$U$31</f>
        <v>93.33</v>
      </c>
      <c r="I13" s="158">
        <f>JJ_Optim_Scenario!$R$31</f>
        <v>1202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40000000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420068.45346895687</v>
      </c>
      <c r="D24" s="199">
        <f t="shared" ref="D24:D43" si="2">B24*$I$13</f>
        <v>35532883.959865317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840243.89329690405</v>
      </c>
      <c r="D25" s="199">
        <f t="shared" si="2"/>
        <v>71074817.715895742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1260526.3194838415</v>
      </c>
      <c r="D26" s="199">
        <f t="shared" si="2"/>
        <v>106625801.26809132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1680915.7320297693</v>
      </c>
      <c r="D27" s="199">
        <f t="shared" si="2"/>
        <v>142185834.61645198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2101412.1309346878</v>
      </c>
      <c r="D28" s="199">
        <f t="shared" si="2"/>
        <v>177754917.7609778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2522015.516198596</v>
      </c>
      <c r="D29" s="199">
        <f t="shared" si="2"/>
        <v>213333050.70166874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2942725.8878214951</v>
      </c>
      <c r="D30" s="199">
        <f t="shared" si="2"/>
        <v>248920233.43852475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3363543.2458033841</v>
      </c>
      <c r="D31" s="199">
        <f t="shared" si="2"/>
        <v>284516465.97154588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3784467.590144264</v>
      </c>
      <c r="D32" s="199">
        <f t="shared" si="2"/>
        <v>320121748.3007322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4205498.920844133</v>
      </c>
      <c r="D33" s="199">
        <f t="shared" si="2"/>
        <v>355736080.42608356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4626637.2379029933</v>
      </c>
      <c r="D34" s="199">
        <f t="shared" si="2"/>
        <v>391359462.3476001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5047882.5413208436</v>
      </c>
      <c r="D35" s="199">
        <f t="shared" si="2"/>
        <v>426991894.06528181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5469234.8310976848</v>
      </c>
      <c r="D36" s="199">
        <f t="shared" si="2"/>
        <v>462633375.5791285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5890694.1072335159</v>
      </c>
      <c r="D37" s="199">
        <f t="shared" si="2"/>
        <v>498283906.88914043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6312260.369728337</v>
      </c>
      <c r="D38" s="199">
        <f t="shared" si="2"/>
        <v>533943487.9953174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6733933.618582149</v>
      </c>
      <c r="D39" s="199">
        <f t="shared" si="2"/>
        <v>569612118.89765954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7155713.853794951</v>
      </c>
      <c r="D40" s="199">
        <f t="shared" si="2"/>
        <v>605289799.59616673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7577601.0753667438</v>
      </c>
      <c r="D41" s="199">
        <f t="shared" si="2"/>
        <v>640976530.09083915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7999595.2832975267</v>
      </c>
      <c r="D42" s="199">
        <f t="shared" si="2"/>
        <v>676672310.38167667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8421696.4775872994</v>
      </c>
      <c r="D43" s="199">
        <f t="shared" si="2"/>
        <v>712377140.46867931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5869805.5007563764</v>
      </c>
      <c r="G9" s="120">
        <v>21601934</v>
      </c>
      <c r="H9" s="121">
        <f>($B$13*G9+$C$13*G9*G9)*$G$13</f>
        <v>402592.96987355122</v>
      </c>
      <c r="I9" s="115">
        <f>($E$13*G9+$F$13*G9*G9)*$G$13</f>
        <v>5869805.5007563764</v>
      </c>
      <c r="J9" s="123">
        <f>G9/I9</f>
        <v>3.6801788402045688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1.8615094382687998E-2</v>
      </c>
      <c r="C13" s="12">
        <v>1.0091848743878766E-12</v>
      </c>
      <c r="D13" s="111">
        <f>JJ_Optim_Scenario!$D$31</f>
        <v>14.58</v>
      </c>
      <c r="E13" s="12">
        <v>0.271408076099591</v>
      </c>
      <c r="F13" s="12">
        <v>1.4713915468575239E-11</v>
      </c>
      <c r="G13" s="14">
        <v>1</v>
      </c>
      <c r="H13" s="158">
        <f>JJ_Optim_Scenario!$I$31</f>
        <v>104.31</v>
      </c>
      <c r="I13" s="158">
        <f>JJ_Optim_Scenario!$F$31</f>
        <v>1319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60000000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($B$13*A24+$C$13*A24*A24)*$G$13</f>
        <v>55854.365811933487</v>
      </c>
      <c r="C24" s="116">
        <f t="shared" ref="C24:C43" si="1">($E$13*A24+$F$13*A24*A24)*$G$13</f>
        <v>814356.65353799029</v>
      </c>
      <c r="D24" s="199">
        <f t="shared" ref="D24:D43" si="2">B24*$I$13</f>
        <v>73671908.505940273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1628978.1575544148</v>
      </c>
      <c r="D25" s="199">
        <f t="shared" si="2"/>
        <v>147367777.07916826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2443864.5120492736</v>
      </c>
      <c r="D26" s="199">
        <f t="shared" si="2"/>
        <v>221087605.71968397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3259015.7170225671</v>
      </c>
      <c r="D27" s="199">
        <f t="shared" si="2"/>
        <v>294831394.42748737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4074431.7724742941</v>
      </c>
      <c r="D28" s="199">
        <f t="shared" si="2"/>
        <v>368599143.20257849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4890112.6784044569</v>
      </c>
      <c r="D29" s="199">
        <f t="shared" si="2"/>
        <v>442390852.04495734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5706058.4348130533</v>
      </c>
      <c r="D30" s="199">
        <f t="shared" si="2"/>
        <v>516206520.95462394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6522269.0417000838</v>
      </c>
      <c r="D31" s="199">
        <f t="shared" si="2"/>
        <v>590046149.93157816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7338744.4990655482</v>
      </c>
      <c r="D32" s="199">
        <f t="shared" si="2"/>
        <v>663909738.97582018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8155484.8069094475</v>
      </c>
      <c r="D33" s="199">
        <f t="shared" si="2"/>
        <v>737797288.08735001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8972489.9652317818</v>
      </c>
      <c r="D34" s="199">
        <f t="shared" si="2"/>
        <v>811708797.2661674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9789759.9740325511</v>
      </c>
      <c r="D35" s="199">
        <f t="shared" si="2"/>
        <v>885644266.5122726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10607294.833311751</v>
      </c>
      <c r="D36" s="199">
        <f t="shared" si="2"/>
        <v>959603695.82566535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11425094.543069389</v>
      </c>
      <c r="D37" s="199">
        <f t="shared" si="2"/>
        <v>1033587085.2063459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12243159.103305459</v>
      </c>
      <c r="D38" s="199">
        <f t="shared" si="2"/>
        <v>1107594434.6543143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13061488.514019966</v>
      </c>
      <c r="D39" s="199">
        <f t="shared" si="2"/>
        <v>1181625744.1695702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13880082.775212904</v>
      </c>
      <c r="D40" s="199">
        <f t="shared" si="2"/>
        <v>1255681013.7521141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14698941.886884278</v>
      </c>
      <c r="D41" s="199">
        <f t="shared" si="2"/>
        <v>1329760243.4019456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15518065.849034088</v>
      </c>
      <c r="D42" s="199">
        <f t="shared" si="2"/>
        <v>1403863433.1190648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16337454.661662331</v>
      </c>
      <c r="D43" s="199">
        <f t="shared" si="2"/>
        <v>1477990582.9034717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D13" sqref="D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f>JJ_Optim_Scenario!E19</f>
        <v>3804716</v>
      </c>
      <c r="C9" s="113">
        <f>JJ_Optim_Scenario!H19</f>
        <v>4946130.8</v>
      </c>
      <c r="D9" s="114">
        <f>JJ_Optim_Scenario!I19</f>
        <v>4946130.8</v>
      </c>
      <c r="E9" s="119">
        <f>($B$13*D9+$C$13*D9*D9)*$G$13</f>
        <v>16975.814766864394</v>
      </c>
      <c r="F9" s="85">
        <f>($E$13*D9+$F$13*D9*D9)*$G$13</f>
        <v>247507.37930088287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190388.11981583459</v>
      </c>
      <c r="J9" s="123">
        <f>G9/I9</f>
        <v>19.983999020949213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3.4319706183708132E-3</v>
      </c>
      <c r="C13" s="12">
        <v>3.4302626130901291E-14</v>
      </c>
      <c r="D13" s="111">
        <f>JJ_Optim_Scenario!$D$31</f>
        <v>14.58</v>
      </c>
      <c r="E13" s="12">
        <v>5.0038131615846457E-2</v>
      </c>
      <c r="F13" s="12">
        <v>5.0013228898854081E-13</v>
      </c>
      <c r="G13" s="196">
        <f>JJ_Optim_Scenario!D19</f>
        <v>1</v>
      </c>
      <c r="H13" s="158">
        <f>JJ_Optim_Scenario!$I$31</f>
        <v>104.31</v>
      </c>
      <c r="I13" s="158">
        <f>JJ_Optim_Scenario!$F$31</f>
        <v>1319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10000000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($B$13*A24+$C$13*A24*A24)*$G$13</f>
        <v>1715.9938848419392</v>
      </c>
      <c r="C24" s="116">
        <f t="shared" ref="C24:C43" si="1">($E$13*A24+$F$13*A24*A24)*$G$13</f>
        <v>25019.190840995474</v>
      </c>
      <c r="D24" s="199">
        <f t="shared" ref="D24:D43" si="2">B24*$I$13</f>
        <v>2263395.934106518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50038.631748135442</v>
      </c>
      <c r="D25" s="199">
        <f t="shared" si="2"/>
        <v>4526814.4907949688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75058.322721419914</v>
      </c>
      <c r="D26" s="199">
        <f t="shared" si="2"/>
        <v>6790255.6700653536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100078.26376084886</v>
      </c>
      <c r="D27" s="199">
        <f t="shared" si="2"/>
        <v>9053719.4719176721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125098.45486642233</v>
      </c>
      <c r="D28" s="199">
        <f t="shared" si="2"/>
        <v>11317205.896351924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150118.89603814026</v>
      </c>
      <c r="D29" s="199">
        <f t="shared" si="2"/>
        <v>13580714.943368107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175139.58727600271</v>
      </c>
      <c r="D30" s="199">
        <f t="shared" si="2"/>
        <v>15844246.612966226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200160.52858000965</v>
      </c>
      <c r="D31" s="199">
        <f t="shared" si="2"/>
        <v>18107800.905146275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225181.71995016106</v>
      </c>
      <c r="D32" s="199">
        <f t="shared" si="2"/>
        <v>20371377.819908265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250203.16138645701</v>
      </c>
      <c r="D33" s="199">
        <f t="shared" si="2"/>
        <v>22634977.357252184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275224.85288889741</v>
      </c>
      <c r="D34" s="199">
        <f t="shared" si="2"/>
        <v>24898599.517178033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300246.79445748235</v>
      </c>
      <c r="D35" s="199">
        <f t="shared" si="2"/>
        <v>27162244.299685817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325268.98609221174</v>
      </c>
      <c r="D36" s="199">
        <f t="shared" si="2"/>
        <v>29425911.704775531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350291.42779308563</v>
      </c>
      <c r="D37" s="199">
        <f t="shared" si="2"/>
        <v>31689601.732447188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375314.11956010404</v>
      </c>
      <c r="D38" s="199">
        <f t="shared" si="2"/>
        <v>33953314.382700771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400337.06139326689</v>
      </c>
      <c r="D39" s="199">
        <f t="shared" si="2"/>
        <v>36217049.655536287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425360.25329257431</v>
      </c>
      <c r="D40" s="199">
        <f t="shared" si="2"/>
        <v>38480807.550953746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450383.69525802619</v>
      </c>
      <c r="D41" s="199">
        <f t="shared" si="2"/>
        <v>40744588.068953127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475407.38728962251</v>
      </c>
      <c r="D42" s="199">
        <f t="shared" si="2"/>
        <v>43008391.209534436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500431.32938736345</v>
      </c>
      <c r="D43" s="199">
        <f t="shared" si="2"/>
        <v>45272216.97269769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C12" sqref="C12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221" t="s">
        <v>105</v>
      </c>
      <c r="N2" s="222"/>
      <c r="O2" s="222"/>
      <c r="P2" s="222"/>
      <c r="Q2" s="222"/>
      <c r="R2" s="222"/>
      <c r="S2" s="223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224" t="s">
        <v>72</v>
      </c>
      <c r="N3" s="225"/>
      <c r="O3" s="225"/>
      <c r="P3" s="225"/>
      <c r="Q3" s="225"/>
      <c r="R3" s="225"/>
      <c r="S3" s="226"/>
    </row>
    <row r="4" spans="1:25" ht="15" customHeight="1" thickBot="1" x14ac:dyDescent="0.35">
      <c r="A4" s="29" t="s">
        <v>38</v>
      </c>
      <c r="B4" s="252" t="s">
        <v>57</v>
      </c>
      <c r="C4" s="253"/>
      <c r="D4" s="253"/>
      <c r="E4" s="253"/>
      <c r="F4" s="254"/>
    </row>
    <row r="6" spans="1:25" ht="14.4" thickBot="1" x14ac:dyDescent="0.35"/>
    <row r="7" spans="1:25" ht="27.6" customHeight="1" x14ac:dyDescent="0.3">
      <c r="A7" s="235" t="s">
        <v>8</v>
      </c>
      <c r="B7" s="238" t="s">
        <v>9</v>
      </c>
      <c r="C7" s="238"/>
      <c r="D7" s="238" t="s">
        <v>12</v>
      </c>
      <c r="E7" s="238"/>
      <c r="F7" s="238"/>
      <c r="G7" s="238" t="s">
        <v>143</v>
      </c>
      <c r="H7" s="238"/>
      <c r="I7" s="240"/>
      <c r="J7" s="256" t="s">
        <v>144</v>
      </c>
      <c r="K7" s="257"/>
      <c r="M7" s="267" t="s">
        <v>73</v>
      </c>
      <c r="N7" s="267"/>
      <c r="O7" s="267"/>
      <c r="P7" s="267"/>
      <c r="R7" s="47" t="s">
        <v>58</v>
      </c>
    </row>
    <row r="8" spans="1:25" ht="27.6" x14ac:dyDescent="0.3">
      <c r="A8" s="236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267"/>
      <c r="N8" s="267"/>
      <c r="O8" s="267"/>
      <c r="P8" s="267"/>
      <c r="R8" s="47" t="s">
        <v>59</v>
      </c>
    </row>
    <row r="9" spans="1:25" ht="14.4" thickBot="1" x14ac:dyDescent="0.35">
      <c r="A9" s="237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24802.992303032715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32484.644891698143</v>
      </c>
      <c r="J9" s="123">
        <f>G9/I9</f>
        <v>136.67996109554818</v>
      </c>
      <c r="K9" s="1" t="s">
        <v>142</v>
      </c>
    </row>
    <row r="10" spans="1:25" ht="14.4" thickBot="1" x14ac:dyDescent="0.35"/>
    <row r="11" spans="1:25" ht="27.6" customHeight="1" x14ac:dyDescent="0.3">
      <c r="A11" s="235" t="s">
        <v>148</v>
      </c>
      <c r="B11" s="93" t="s">
        <v>149</v>
      </c>
      <c r="C11" s="10">
        <f>JJ_Optim_Scenario!$D$31</f>
        <v>14.58</v>
      </c>
      <c r="D11" s="198" t="s">
        <v>205</v>
      </c>
      <c r="E11" s="198" t="s">
        <v>206</v>
      </c>
    </row>
    <row r="12" spans="1:25" ht="38.4" customHeight="1" thickBot="1" x14ac:dyDescent="0.35">
      <c r="A12" s="237"/>
      <c r="B12" s="137" t="s">
        <v>134</v>
      </c>
      <c r="C12" s="196">
        <f>JJ_Optim_Scenario!D20</f>
        <v>1</v>
      </c>
      <c r="D12" s="158">
        <f>JJ_Optim_Scenario!$I$31</f>
        <v>104.31</v>
      </c>
      <c r="E12" s="158">
        <f>JJ_Optim_Scenario!$F$31</f>
        <v>1319</v>
      </c>
    </row>
    <row r="13" spans="1:25" ht="13.8" customHeight="1" x14ac:dyDescent="0.3">
      <c r="A13" s="235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258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236"/>
      <c r="B14" s="125">
        <v>0</v>
      </c>
      <c r="C14" s="127">
        <v>0</v>
      </c>
      <c r="D14" s="133">
        <f>C14*$C$11</f>
        <v>0</v>
      </c>
      <c r="E14" s="130"/>
      <c r="G14" s="259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236"/>
      <c r="B15" s="124">
        <v>1823251.2350824692</v>
      </c>
      <c r="C15" s="127">
        <f>(B15/$B$16)*$C$16*1.15</f>
        <v>1100.9472644677069</v>
      </c>
      <c r="D15" s="133">
        <f>C15*$C$11</f>
        <v>16051.811115939166</v>
      </c>
      <c r="E15" s="131" t="s">
        <v>150</v>
      </c>
      <c r="G15" s="259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236"/>
      <c r="B16" s="138">
        <v>3692448.4012890165</v>
      </c>
      <c r="C16" s="126">
        <v>1938.816</v>
      </c>
      <c r="D16" s="139">
        <f>C16*$C$11</f>
        <v>28267.937280000002</v>
      </c>
      <c r="E16" s="128" t="s">
        <v>155</v>
      </c>
      <c r="G16" s="259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236"/>
      <c r="B17" s="124">
        <v>5469753.7052474078</v>
      </c>
      <c r="C17" s="127">
        <f>(B17/$B$16)*$C$16*0.9</f>
        <v>2584.8327078807038</v>
      </c>
      <c r="D17" s="133">
        <f t="shared" ref="D17:D20" si="0">C17*$C$11</f>
        <v>37686.860880900662</v>
      </c>
      <c r="E17" s="131" t="s">
        <v>154</v>
      </c>
      <c r="G17" s="259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236"/>
      <c r="B18" s="124">
        <v>7293004.9403298767</v>
      </c>
      <c r="C18" s="127">
        <f>(B18/$B$16)*$C$16*0.8</f>
        <v>3063.5054315623152</v>
      </c>
      <c r="D18" s="133">
        <f t="shared" si="0"/>
        <v>44665.909192178558</v>
      </c>
      <c r="E18" s="132" t="s">
        <v>151</v>
      </c>
      <c r="G18" s="259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236"/>
      <c r="B19" s="124">
        <v>10939507.410494816</v>
      </c>
      <c r="C19" s="127">
        <f>(B19/$B$16)*$C$16*0.65</f>
        <v>3733.647244716572</v>
      </c>
      <c r="D19" s="133">
        <f t="shared" si="0"/>
        <v>54436.576827967619</v>
      </c>
      <c r="E19" s="131" t="s">
        <v>152</v>
      </c>
      <c r="G19" s="259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237"/>
      <c r="B20" s="134">
        <v>21879014.820989631</v>
      </c>
      <c r="C20" s="135">
        <f>(B20/$B$16)*$C$16*0.4</f>
        <v>4595.258147343473</v>
      </c>
      <c r="D20" s="136">
        <f t="shared" si="0"/>
        <v>66998.86378826783</v>
      </c>
      <c r="E20" s="131" t="s">
        <v>153</v>
      </c>
      <c r="G20" s="260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261" t="s">
        <v>74</v>
      </c>
      <c r="B21" s="262"/>
      <c r="C21" s="263"/>
      <c r="D21" s="33"/>
      <c r="G21" s="243" t="s">
        <v>75</v>
      </c>
      <c r="H21" s="243"/>
      <c r="I21" s="243"/>
      <c r="J21" s="243"/>
      <c r="K21" s="243"/>
      <c r="L21" s="243"/>
      <c r="M21" s="243"/>
      <c r="N21" s="243"/>
      <c r="O21" s="243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264"/>
      <c r="B22" s="265"/>
      <c r="C22" s="266"/>
      <c r="D22" s="33"/>
      <c r="G22" s="243"/>
      <c r="H22" s="243"/>
      <c r="I22" s="243"/>
      <c r="J22" s="243"/>
      <c r="K22" s="243"/>
      <c r="L22" s="243"/>
      <c r="M22" s="243"/>
      <c r="N22" s="243"/>
      <c r="O22" s="243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244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245"/>
      <c r="B26" s="103">
        <v>0</v>
      </c>
      <c r="C26" s="103">
        <v>20000000</v>
      </c>
      <c r="D26" s="26">
        <v>20</v>
      </c>
    </row>
    <row r="28" spans="1:25" x14ac:dyDescent="0.3">
      <c r="A28" s="210" t="s">
        <v>37</v>
      </c>
      <c r="B28" s="210"/>
      <c r="C28" s="210"/>
    </row>
    <row r="29" spans="1:25" x14ac:dyDescent="0.3">
      <c r="A29" s="91" t="s">
        <v>35</v>
      </c>
      <c r="B29" s="91" t="s">
        <v>127</v>
      </c>
      <c r="C29" s="91" t="s">
        <v>156</v>
      </c>
      <c r="D29" s="198" t="s">
        <v>207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1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9179.0562495034792</v>
      </c>
      <c r="D31" s="199">
        <f t="shared" ref="D31:D50" si="2">B31*$E$12</f>
        <v>830396.10377881257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17391.389236181065</v>
      </c>
      <c r="D32" s="199">
        <f t="shared" si="2"/>
        <v>1573336.241599645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24138.827754638471</v>
      </c>
      <c r="D33" s="199">
        <f t="shared" si="2"/>
        <v>2183752.6617536447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30033.539986075008</v>
      </c>
      <c r="D34" s="199">
        <f t="shared" si="2"/>
        <v>2717026.0110859354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35425.123264128131</v>
      </c>
      <c r="D35" s="199">
        <f t="shared" si="2"/>
        <v>3204783.0991347739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39976.918645787257</v>
      </c>
      <c r="D36" s="199">
        <f t="shared" si="2"/>
        <v>3616567.6058843201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43686.137041238318</v>
      </c>
      <c r="D37" s="199">
        <f t="shared" si="2"/>
        <v>3952127.2124412442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46899.154123351931</v>
      </c>
      <c r="D38" s="199">
        <f t="shared" si="2"/>
        <v>4242797.2763169548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49765.352765581381</v>
      </c>
      <c r="D39" s="199">
        <f t="shared" si="2"/>
        <v>4502091.9271469023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52312.029808294283</v>
      </c>
      <c r="D40" s="199">
        <f t="shared" si="2"/>
        <v>4732480.6116008339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54564.992033654358</v>
      </c>
      <c r="D41" s="199">
        <f t="shared" si="2"/>
        <v>4936297.9761584429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56549.81299528871</v>
      </c>
      <c r="D42" s="199">
        <f t="shared" si="2"/>
        <v>5115857.5679551307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58291.287630721868</v>
      </c>
      <c r="D43" s="199">
        <f t="shared" si="2"/>
        <v>5273402.4955364978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59814.048591145343</v>
      </c>
      <c r="D44" s="199">
        <f t="shared" si="2"/>
        <v>5411161.1859890744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61142.728527750667</v>
      </c>
      <c r="D45" s="199">
        <f t="shared" si="2"/>
        <v>5531362.0663993917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62301.960091729314</v>
      </c>
      <c r="D46" s="199">
        <f t="shared" si="2"/>
        <v>5636233.5638539754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63316.375934272823</v>
      </c>
      <c r="D47" s="199">
        <f t="shared" si="2"/>
        <v>5728004.1054393593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64210.608706572675</v>
      </c>
      <c r="D48" s="199">
        <f t="shared" si="2"/>
        <v>5808902.1182420691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65009.291059820411</v>
      </c>
      <c r="D49" s="199">
        <f t="shared" si="2"/>
        <v>5881156.029348637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65737.055645207511</v>
      </c>
      <c r="D50" s="199">
        <f t="shared" si="2"/>
        <v>5946994.2658455903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JJ_Optim_Scenario!G21</f>
        <v>16067799.999999998</v>
      </c>
      <c r="C9" s="80">
        <f>JJ_Optim_Scenario!H21</f>
        <v>29840200</v>
      </c>
      <c r="D9" s="95">
        <f>JJ_Optim_Scenario!I21</f>
        <v>29840200</v>
      </c>
      <c r="E9" s="118">
        <f>((($R$12/(1+EXP($P$12+$Q$12*D9)))-1) - ($F$12-$C$12))*$I$12</f>
        <v>172716.05387802981</v>
      </c>
      <c r="F9" s="145">
        <f>E9*$G$12</f>
        <v>2518200.0655416748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2018049.0519838764</v>
      </c>
      <c r="J9" s="123">
        <f>G9/I9</f>
        <v>11.374351865944334</v>
      </c>
      <c r="K9" s="1" t="s">
        <v>142</v>
      </c>
    </row>
    <row r="10" spans="1:18" ht="14.4" thickBot="1" x14ac:dyDescent="0.35"/>
    <row r="11" spans="1:18" ht="51.6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f>JJ_Optim_Scenario!$D$31</f>
        <v>14.58</v>
      </c>
      <c r="H12" s="98">
        <f>C12*G12</f>
        <v>1978496.8017817349</v>
      </c>
      <c r="I12" s="197">
        <f>JJ_Optim_Scenario!D21</f>
        <v>1</v>
      </c>
      <c r="K12" s="245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60000000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297254.23855530831</v>
      </c>
      <c r="D23" s="1">
        <f>(B23-B22)/A23</f>
        <v>6.7959359523390109E-3</v>
      </c>
      <c r="E23" s="199">
        <f t="shared" ref="E23:E42" si="2">B23*$H$14</f>
        <v>26891518.563405465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583886.53821244533</v>
      </c>
      <c r="D24" s="1">
        <f t="shared" ref="D24:D42" si="4">(B24-B23)/A24</f>
        <v>3.276546635312494E-3</v>
      </c>
      <c r="E24" s="199">
        <f t="shared" si="2"/>
        <v>52822108.635268539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860189.61231652321</v>
      </c>
      <c r="D25" s="1">
        <f t="shared" si="4"/>
        <v>2.1056475697613011E-3</v>
      </c>
      <c r="E25" s="199">
        <f t="shared" si="2"/>
        <v>77818250.93590495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1126455.0150630728</v>
      </c>
      <c r="D26" s="1">
        <f t="shared" si="4"/>
        <v>1.5218644418527063E-3</v>
      </c>
      <c r="E26" s="199">
        <f t="shared" si="2"/>
        <v>101906321.32154958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1382972.5018485775</v>
      </c>
      <c r="D27" s="1">
        <f t="shared" si="4"/>
        <v>1.1729194640398026E-3</v>
      </c>
      <c r="E27" s="199">
        <f t="shared" si="2"/>
        <v>125112532.91757707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1630029.4468531767</v>
      </c>
      <c r="D28" s="1">
        <f t="shared" si="4"/>
        <v>9.4138448790046902E-4</v>
      </c>
      <c r="E28" s="199">
        <f t="shared" si="2"/>
        <v>147462883.42931002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1867910.3155366876</v>
      </c>
      <c r="D29" s="1">
        <f t="shared" si="4"/>
        <v>7.7693144125517988E-4</v>
      </c>
      <c r="E29" s="199">
        <f t="shared" si="2"/>
        <v>168983107.42063725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2096896.1896097637</v>
      </c>
      <c r="D30" s="1">
        <f t="shared" si="4"/>
        <v>6.5439493047861222E-4</v>
      </c>
      <c r="E30" s="199">
        <f t="shared" si="2"/>
        <v>189698633.33986819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2317264.3419553088</v>
      </c>
      <c r="D31" s="1">
        <f t="shared" si="4"/>
        <v>5.5979310152300251E-4</v>
      </c>
      <c r="E31" s="199">
        <f t="shared" si="2"/>
        <v>209634545.06440687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2529287.8589213705</v>
      </c>
      <c r="D32" s="1">
        <f t="shared" si="4"/>
        <v>4.847359784317824E-4</v>
      </c>
      <c r="E32" s="199">
        <f t="shared" si="2"/>
        <v>228815547.7309525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2733235.3073775992</v>
      </c>
      <c r="D33" s="1">
        <f t="shared" si="4"/>
        <v>4.2388379360732597E-4</v>
      </c>
      <c r="E33" s="199">
        <f t="shared" si="2"/>
        <v>247265937.61529857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2929370.4439246543</v>
      </c>
      <c r="D34" s="1">
        <f t="shared" si="4"/>
        <v>3.7367614797106946E-4</v>
      </c>
      <c r="E34" s="199">
        <f t="shared" si="2"/>
        <v>265009575.82555684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3117951.963662724</v>
      </c>
      <c r="D35" s="1">
        <f t="shared" si="4"/>
        <v>3.3164770802657288E-4</v>
      </c>
      <c r="E35" s="199">
        <f t="shared" si="2"/>
        <v>282069865.57415175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3299233.2859603721</v>
      </c>
      <c r="D36" s="1">
        <f t="shared" si="4"/>
        <v>2.9603717143126277E-4</v>
      </c>
      <c r="E36" s="199">
        <f t="shared" si="2"/>
        <v>298469732.7971009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3473462.3747162502</v>
      </c>
      <c r="D37" s="1">
        <f t="shared" si="4"/>
        <v>2.6555264251772312E-4</v>
      </c>
      <c r="E37" s="199">
        <f t="shared" si="2"/>
        <v>314231609.89374036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3640881.5906692483</v>
      </c>
      <c r="D38" s="1">
        <f t="shared" si="4"/>
        <v>2.3922498850165478E-4</v>
      </c>
      <c r="E38" s="199">
        <f t="shared" si="2"/>
        <v>329377422.36575711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3801727.5733869057</v>
      </c>
      <c r="D39" s="1">
        <f t="shared" si="4"/>
        <v>2.1631294913480387E-4</v>
      </c>
      <c r="E39" s="199">
        <f t="shared" si="2"/>
        <v>343928578.14110625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3956231.1506453403</v>
      </c>
      <c r="D40" s="1">
        <f t="shared" si="4"/>
        <v>1.9623987356911379E-4</v>
      </c>
      <c r="E40" s="199">
        <f t="shared" si="2"/>
        <v>357905959.37593991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4104617.2730022375</v>
      </c>
      <c r="D41" s="1">
        <f t="shared" si="4"/>
        <v>1.7855043240788541E-4</v>
      </c>
      <c r="E41" s="199">
        <f t="shared" si="2"/>
        <v>371329916.535662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4247104.9714602269</v>
      </c>
      <c r="D42" s="1">
        <f t="shared" si="4"/>
        <v>1.6288031373798537E-4</v>
      </c>
      <c r="E42" s="199">
        <f t="shared" si="2"/>
        <v>384220264.56488615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10164679.200000001</v>
      </c>
      <c r="E9" s="118">
        <f>((($R$12/(1+EXP($P$12+$Q$12*D9)))-1) - ($F$12-$C$12))*$I$12</f>
        <v>41254.400008006953</v>
      </c>
      <c r="F9" s="145">
        <f>E9*$G$12</f>
        <v>601489.1521167414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478349.49312681123</v>
      </c>
      <c r="J9" s="123">
        <f>G9/I9</f>
        <v>16.345755796436425</v>
      </c>
      <c r="K9" s="1" t="s">
        <v>142</v>
      </c>
    </row>
    <row r="10" spans="1:18" ht="14.4" thickBot="1" x14ac:dyDescent="0.35"/>
    <row r="11" spans="1:18" ht="51.6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f>JJ_Optim_Scenario!$D$31</f>
        <v>14.58</v>
      </c>
      <c r="H12" s="98">
        <f>C12*G12</f>
        <v>435096.36</v>
      </c>
      <c r="I12" s="197">
        <f>JJ_Optim_Scenario!D22</f>
        <v>1</v>
      </c>
      <c r="K12" s="245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30000000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100538.91309705841</v>
      </c>
      <c r="D23" s="1">
        <f>(B23-B22)/A23</f>
        <v>4.5971153679496297E-3</v>
      </c>
      <c r="E23" s="199">
        <f t="shared" ref="E23:E42" si="2">B23*$H$14</f>
        <v>9095392.7554883435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196726.83717164566</v>
      </c>
      <c r="D24" s="1">
        <f t="shared" ref="D24:D42" si="4">(B24-B23)/A24</f>
        <v>2.1990837694235766E-3</v>
      </c>
      <c r="E24" s="199">
        <f t="shared" si="2"/>
        <v>17797167.231097437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288741.30899238476</v>
      </c>
      <c r="D25" s="1">
        <f t="shared" si="4"/>
        <v>1.4024458439374963E-3</v>
      </c>
      <c r="E25" s="199">
        <f t="shared" si="2"/>
        <v>26121384.537788443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376753.56349487905</v>
      </c>
      <c r="D26" s="1">
        <f t="shared" si="4"/>
        <v>1.0060842992969169E-3</v>
      </c>
      <c r="E26" s="199">
        <f t="shared" si="2"/>
        <v>34083535.682424247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460928.67296254874</v>
      </c>
      <c r="D27" s="1">
        <f t="shared" si="4"/>
        <v>7.6977694986437759E-4</v>
      </c>
      <c r="E27" s="199">
        <f t="shared" si="2"/>
        <v>41698554.158957601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541425.69145626714</v>
      </c>
      <c r="D28" s="1">
        <f t="shared" si="4"/>
        <v>6.1345083442858111E-4</v>
      </c>
      <c r="E28" s="199">
        <f t="shared" si="2"/>
        <v>48980829.014459282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618397.80342381413</v>
      </c>
      <c r="D29" s="1">
        <f t="shared" si="4"/>
        <v>5.0278994034585502E-4</v>
      </c>
      <c r="E29" s="199">
        <f t="shared" si="2"/>
        <v>55944218.293279201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691992.47551862395</v>
      </c>
      <c r="D30" s="1">
        <f t="shared" si="4"/>
        <v>4.2063712902840538E-4</v>
      </c>
      <c r="E30" s="199">
        <f t="shared" si="2"/>
        <v>62602062.771540806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762351.61074836389</v>
      </c>
      <c r="D31" s="1">
        <f t="shared" si="4"/>
        <v>3.574614399722605E-4</v>
      </c>
      <c r="E31" s="199">
        <f t="shared" si="2"/>
        <v>68967199.902406856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829611.70416189637</v>
      </c>
      <c r="D32" s="1">
        <f t="shared" si="4"/>
        <v>3.0754500874957691E-4</v>
      </c>
      <c r="E32" s="199">
        <f t="shared" si="2"/>
        <v>75051977.90051724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893903.99936124031</v>
      </c>
      <c r="D33" s="1">
        <f t="shared" si="4"/>
        <v>2.6724984494884581E-4</v>
      </c>
      <c r="E33" s="199">
        <f t="shared" si="2"/>
        <v>80868269.901061445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955354.64520199155</v>
      </c>
      <c r="D34" s="1">
        <f t="shared" si="4"/>
        <v>2.3415121871952176E-4</v>
      </c>
      <c r="E34" s="199">
        <f t="shared" si="2"/>
        <v>86427488.135900334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1014084.8521134729</v>
      </c>
      <c r="D35" s="1">
        <f t="shared" si="4"/>
        <v>2.0657102075720635E-4</v>
      </c>
      <c r="E35" s="199">
        <f t="shared" si="2"/>
        <v>91740598.075286061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1070211.0475348698</v>
      </c>
      <c r="D36" s="1">
        <f t="shared" si="4"/>
        <v>1.8331110922136299E-4</v>
      </c>
      <c r="E36" s="199">
        <f t="shared" si="2"/>
        <v>96818132.489608586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1123845.0300224621</v>
      </c>
      <c r="D37" s="1">
        <f t="shared" si="4"/>
        <v>1.63493316529774E-4</v>
      </c>
      <c r="E37" s="199">
        <f t="shared" si="2"/>
        <v>101670205.39092097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1175094.1216376177</v>
      </c>
      <c r="D38" s="1">
        <f t="shared" si="4"/>
        <v>1.4645945248958499E-4</v>
      </c>
      <c r="E38" s="199">
        <f t="shared" si="2"/>
        <v>106306525.81893127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1224061.3182753886</v>
      </c>
      <c r="D39" s="1">
        <f t="shared" si="4"/>
        <v>1.3170659952599774E-4</v>
      </c>
      <c r="E39" s="199">
        <f t="shared" si="2"/>
        <v>110736411.44068843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1270845.4376392283</v>
      </c>
      <c r="D40" s="1">
        <f t="shared" si="4"/>
        <v>1.1884397542000644E-4</v>
      </c>
      <c r="E40" s="199">
        <f t="shared" si="2"/>
        <v>114968801.93732113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1315541.2646095406</v>
      </c>
      <c r="D41" s="1">
        <f t="shared" si="4"/>
        <v>1.0756341773232348E-4</v>
      </c>
      <c r="E41" s="199">
        <f t="shared" si="2"/>
        <v>119012272.15500575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1358239.6937915403</v>
      </c>
      <c r="D42" s="1">
        <f t="shared" si="4"/>
        <v>9.7618722409692897E-5</v>
      </c>
      <c r="E42" s="199">
        <f t="shared" si="2"/>
        <v>122875045.00075731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JJ_Optim_Scenario!G23</f>
        <v>2475161.5</v>
      </c>
      <c r="C9" s="80">
        <f>JJ_Optim_Scenario!H23</f>
        <v>4596728.5</v>
      </c>
      <c r="D9" s="95">
        <f>JJ_Optim_Scenario!I23</f>
        <v>4596728.5</v>
      </c>
      <c r="E9" s="118">
        <f>((($R$12/(1+EXP($P$12+$Q$12*D9)))-1) - ($F$12-$C$12))*$I$12</f>
        <v>9249.8093926757574</v>
      </c>
      <c r="F9" s="145">
        <f>E9*$G$12</f>
        <v>134862.22094521255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105223.86</v>
      </c>
      <c r="J9" s="123">
        <f>G9/I9</f>
        <v>33.604022889865476</v>
      </c>
      <c r="K9" s="1" t="s">
        <v>142</v>
      </c>
    </row>
    <row r="10" spans="1:18" ht="14.4" thickBot="1" x14ac:dyDescent="0.35"/>
    <row r="11" spans="1:18" ht="61.8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158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f>JJ_Optim_Scenario!$D$31</f>
        <v>14.58</v>
      </c>
      <c r="H12" s="98">
        <f>C12*G12</f>
        <v>105223.86</v>
      </c>
      <c r="I12" s="197">
        <f>JJ_Optim_Scenario!D23</f>
        <v>1</v>
      </c>
      <c r="K12" s="245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20000000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30793.66007956121</v>
      </c>
      <c r="D23" s="1">
        <f>(B23-B22)/A23</f>
        <v>2.1120480164308099E-3</v>
      </c>
      <c r="E23" s="199">
        <f t="shared" ref="E23:E42" si="2">B23*$H$14</f>
        <v>2785791.3336722385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60759.784734371271</v>
      </c>
      <c r="D24" s="1">
        <f t="shared" ref="D24:D42" si="4">(B24-B23)/A24</f>
        <v>1.0276448784228415E-3</v>
      </c>
      <c r="E24" s="199">
        <f t="shared" si="2"/>
        <v>5496718.5229516942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89919.970506032609</v>
      </c>
      <c r="D25" s="1">
        <f t="shared" si="4"/>
        <v>6.6667091384685286E-4</v>
      </c>
      <c r="E25" s="199">
        <f t="shared" si="2"/>
        <v>8134735.329043691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118295.28493133298</v>
      </c>
      <c r="D26" s="1">
        <f t="shared" si="4"/>
        <v>4.8654517190158369E-4</v>
      </c>
      <c r="E26" s="199">
        <f t="shared" si="2"/>
        <v>10701747.655996446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145906.27761678849</v>
      </c>
      <c r="D27" s="1">
        <f t="shared" si="4"/>
        <v>3.7875161434095352E-4</v>
      </c>
      <c r="E27" s="199">
        <f t="shared" si="2"/>
        <v>13199614.552575035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172772.99118774696</v>
      </c>
      <c r="D28" s="1">
        <f t="shared" si="4"/>
        <v>3.0711835357748592E-4</v>
      </c>
      <c r="E28" s="199">
        <f t="shared" si="2"/>
        <v>15630149.202787258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198914.9721062124</v>
      </c>
      <c r="D29" s="1">
        <f t="shared" si="4"/>
        <v>2.5614325806844445E-4</v>
      </c>
      <c r="E29" s="199">
        <f t="shared" si="2"/>
        <v>17995119.904533207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224351.28135324939</v>
      </c>
      <c r="D30" s="1">
        <f t="shared" si="4"/>
        <v>2.180753536268603E-4</v>
      </c>
      <c r="E30" s="199">
        <f t="shared" si="2"/>
        <v>20296251.036003835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249100.50497117388</v>
      </c>
      <c r="D31" s="1">
        <f t="shared" si="4"/>
        <v>1.886086238220127E-4</v>
      </c>
      <c r="E31" s="199">
        <f t="shared" si="2"/>
        <v>22535224.009394951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273180.76446186443</v>
      </c>
      <c r="D32" s="1">
        <f t="shared" si="4"/>
        <v>1.6515953011447563E-4</v>
      </c>
      <c r="E32" s="199">
        <f t="shared" si="2"/>
        <v>24713678.211604882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296609.72703808395</v>
      </c>
      <c r="D33" s="1">
        <f t="shared" si="4"/>
        <v>1.460840664435686E-4</v>
      </c>
      <c r="E33" s="199">
        <f t="shared" si="2"/>
        <v>26833211.93163462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319404.61572463508</v>
      </c>
      <c r="D34" s="1">
        <f t="shared" si="4"/>
        <v>1.3028628650292134E-4</v>
      </c>
      <c r="E34" s="199">
        <f t="shared" si="2"/>
        <v>28895383.274402857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341582.21930686373</v>
      </c>
      <c r="D35" s="1">
        <f t="shared" si="4"/>
        <v>1.1700751072189842E-4</v>
      </c>
      <c r="E35" s="199">
        <f t="shared" si="2"/>
        <v>30901711.060751252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363158.90212475957</v>
      </c>
      <c r="D36" s="1">
        <f t="shared" si="4"/>
        <v>1.0570587310354624E-4</v>
      </c>
      <c r="E36" s="199">
        <f t="shared" si="2"/>
        <v>32853675.713481337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384150.61371045368</v>
      </c>
      <c r="D37" s="1">
        <f t="shared" si="4"/>
        <v>9.5984049317302799E-5</v>
      </c>
      <c r="E37" s="199">
        <f t="shared" si="2"/>
        <v>34752720.129224174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404572.89826786373</v>
      </c>
      <c r="D38" s="1">
        <f t="shared" si="4"/>
        <v>8.7544086751586289E-5</v>
      </c>
      <c r="E38" s="199">
        <f t="shared" si="2"/>
        <v>36600250.536029652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424440.90399361809</v>
      </c>
      <c r="D39" s="1">
        <f t="shared" si="4"/>
        <v>8.0158176897258005E-5</v>
      </c>
      <c r="E39" s="199">
        <f t="shared" si="2"/>
        <v>38397637.336596861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443769.39223802311</v>
      </c>
      <c r="D40" s="1">
        <f t="shared" si="4"/>
        <v>7.3649170265222588E-5</v>
      </c>
      <c r="E40" s="199">
        <f t="shared" si="2"/>
        <v>40146215.93703378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462572.74650588329</v>
      </c>
      <c r="D41" s="1">
        <f t="shared" si="4"/>
        <v>6.7877244487257778E-5</v>
      </c>
      <c r="E41" s="199">
        <f t="shared" si="2"/>
        <v>41847287.561128944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480864.98129671277</v>
      </c>
      <c r="D42" s="1">
        <f t="shared" si="4"/>
        <v>6.2730571985011917E-5</v>
      </c>
      <c r="E42" s="199">
        <f t="shared" si="2"/>
        <v>43502120.050093561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B12" sqref="B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JJ_Optim_Scenario!G24</f>
        <v>10426713.5</v>
      </c>
      <c r="C9" s="158">
        <f>JJ_Optim_Scenario!H24</f>
        <v>19363896.5</v>
      </c>
      <c r="D9" s="158">
        <f>JJ_Optim_Scenario!I24</f>
        <v>13312631.257466014</v>
      </c>
      <c r="E9" s="118">
        <f>((($R$12/(1+EXP($P$12+$Q$12*D9)))-1) - ($F$12-$C$12))*$I$12</f>
        <v>325914.80613466725</v>
      </c>
      <c r="F9" s="145">
        <f>E9*$G$12</f>
        <v>325914.80613466725</v>
      </c>
      <c r="G9" s="80">
        <f>JJ_Optim_Scenario!E24</f>
        <v>14895305</v>
      </c>
      <c r="H9" s="121">
        <f>((($R$12/(1+EXP($P$12+$Q$12*G9)))-1) - ($F$12-$C$12))*$I$12</f>
        <v>357940.73004525341</v>
      </c>
      <c r="I9" s="146">
        <f>H9*$G$12</f>
        <v>357940.73004525341</v>
      </c>
      <c r="J9" s="123">
        <f>G9/I9</f>
        <v>41.6138867407373</v>
      </c>
      <c r="K9" s="1" t="s">
        <v>142</v>
      </c>
    </row>
    <row r="10" spans="1:18" ht="14.4" thickBot="1" x14ac:dyDescent="0.35"/>
    <row r="11" spans="1:18" ht="61.8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80">
        <v>14895305</v>
      </c>
      <c r="C12" s="86">
        <v>357940.73004525516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357940.73004525516</v>
      </c>
      <c r="I12" s="197">
        <f>JJ_Optim_Scenario!D24</f>
        <v>1</v>
      </c>
      <c r="K12" s="245"/>
      <c r="L12" s="98">
        <f>F12-C12</f>
        <v>14291059.269954745</v>
      </c>
      <c r="M12" s="98">
        <f>L12+E12</f>
        <v>15389734.269954745</v>
      </c>
      <c r="N12" s="99">
        <f>B12</f>
        <v>14895305</v>
      </c>
      <c r="O12" s="98">
        <f>F12</f>
        <v>14649000</v>
      </c>
      <c r="P12" s="24">
        <f>LN((($M$12+1)/($L$12+1))-1)</f>
        <v>-2.5655292775253753</v>
      </c>
      <c r="Q12" s="100">
        <f>(LN((($M$12+1)/($O$12+1))-1)-$P$12)/$N$12</f>
        <v>-2.8126728021741543E-8</v>
      </c>
      <c r="R12" s="101">
        <f>M12+1</f>
        <v>15389735.269954745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50000000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198" t="s">
        <v>208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-1.862645149230957E-9</v>
      </c>
      <c r="C22" s="106">
        <f>B22*$G$12</f>
        <v>-1.862645149230957E-9</v>
      </c>
      <c r="E22" s="199">
        <f>B22*$G$14</f>
        <v>-1.9429251551628113E-7</v>
      </c>
    </row>
    <row r="23" spans="1:8" x14ac:dyDescent="0.3">
      <c r="A23" s="122">
        <f>A22+(($C$18-$B$18)/$D$18)</f>
        <v>2500000</v>
      </c>
      <c r="B23" s="106">
        <f t="shared" si="0"/>
        <v>69613.343456786126</v>
      </c>
      <c r="C23" s="106">
        <f t="shared" ref="C23:C42" si="1">B23*$G$12</f>
        <v>69613.343456786126</v>
      </c>
      <c r="D23" s="1">
        <f>(B23-B22)/A23</f>
        <v>2.7845337382715194E-2</v>
      </c>
      <c r="E23" s="199">
        <f t="shared" ref="E23:E42" si="2">B23*$G$14</f>
        <v>7261367.8559773611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135113.29644636251</v>
      </c>
      <c r="C24" s="106">
        <f t="shared" si="1"/>
        <v>135113.29644636251</v>
      </c>
      <c r="D24" s="1">
        <f t="shared" ref="D24:D42" si="4">(B24-B23)/A24</f>
        <v>1.3099990597915277E-2</v>
      </c>
      <c r="E24" s="199">
        <f t="shared" si="2"/>
        <v>14093667.952320075</v>
      </c>
    </row>
    <row r="25" spans="1:8" x14ac:dyDescent="0.3">
      <c r="A25" s="122">
        <f t="shared" si="3"/>
        <v>7500000</v>
      </c>
      <c r="B25" s="106">
        <f t="shared" si="0"/>
        <v>196706.01895291917</v>
      </c>
      <c r="C25" s="106">
        <f t="shared" si="1"/>
        <v>196706.01895291917</v>
      </c>
      <c r="D25" s="1">
        <f t="shared" si="4"/>
        <v>8.2123630008742211E-3</v>
      </c>
      <c r="E25" s="199">
        <f t="shared" si="2"/>
        <v>20518404.836978998</v>
      </c>
    </row>
    <row r="26" spans="1:8" x14ac:dyDescent="0.3">
      <c r="A26" s="122">
        <f t="shared" si="3"/>
        <v>10000000</v>
      </c>
      <c r="B26" s="106">
        <f t="shared" si="0"/>
        <v>254591.97913881578</v>
      </c>
      <c r="C26" s="106">
        <f t="shared" si="1"/>
        <v>254591.97913881578</v>
      </c>
      <c r="D26" s="1">
        <f t="shared" si="4"/>
        <v>5.7885960185896602E-3</v>
      </c>
      <c r="E26" s="199">
        <f t="shared" si="2"/>
        <v>26556489.343969874</v>
      </c>
    </row>
    <row r="27" spans="1:8" x14ac:dyDescent="0.3">
      <c r="A27" s="122">
        <f t="shared" si="3"/>
        <v>12500000</v>
      </c>
      <c r="B27" s="106">
        <f t="shared" si="0"/>
        <v>308965.47104606405</v>
      </c>
      <c r="C27" s="106">
        <f t="shared" si="1"/>
        <v>308965.47104606405</v>
      </c>
      <c r="D27" s="1">
        <f t="shared" si="4"/>
        <v>4.3498793525798621E-3</v>
      </c>
      <c r="E27" s="199">
        <f t="shared" si="2"/>
        <v>32228188.284814943</v>
      </c>
    </row>
    <row r="28" spans="1:8" x14ac:dyDescent="0.3">
      <c r="A28" s="122">
        <f t="shared" si="3"/>
        <v>15000000</v>
      </c>
      <c r="B28" s="106">
        <f t="shared" si="0"/>
        <v>360014.24244978279</v>
      </c>
      <c r="C28" s="106">
        <f t="shared" si="1"/>
        <v>360014.24244978279</v>
      </c>
      <c r="D28" s="1">
        <f t="shared" si="4"/>
        <v>3.4032514269145826E-3</v>
      </c>
      <c r="E28" s="199">
        <f t="shared" si="2"/>
        <v>37553085.629936844</v>
      </c>
    </row>
    <row r="29" spans="1:8" x14ac:dyDescent="0.3">
      <c r="A29" s="122">
        <f t="shared" si="3"/>
        <v>17500000</v>
      </c>
      <c r="B29" s="106">
        <f t="shared" si="0"/>
        <v>407919.22098019347</v>
      </c>
      <c r="C29" s="106">
        <f t="shared" si="1"/>
        <v>407919.22098019347</v>
      </c>
      <c r="D29" s="1">
        <f t="shared" si="4"/>
        <v>2.7374273445948958E-3</v>
      </c>
      <c r="E29" s="199">
        <f t="shared" si="2"/>
        <v>42550053.940443978</v>
      </c>
    </row>
    <row r="30" spans="1:8" x14ac:dyDescent="0.3">
      <c r="A30" s="122">
        <f t="shared" si="3"/>
        <v>20000000</v>
      </c>
      <c r="B30" s="106">
        <f t="shared" si="0"/>
        <v>452854.32718004286</v>
      </c>
      <c r="C30" s="106">
        <f t="shared" si="1"/>
        <v>452854.32718004286</v>
      </c>
      <c r="D30" s="1">
        <f t="shared" si="4"/>
        <v>2.2467553099924696E-3</v>
      </c>
      <c r="E30" s="199">
        <f t="shared" si="2"/>
        <v>47237234.868150271</v>
      </c>
    </row>
    <row r="31" spans="1:8" x14ac:dyDescent="0.3">
      <c r="A31" s="122">
        <f t="shared" si="3"/>
        <v>22500000</v>
      </c>
      <c r="B31" s="106">
        <f t="shared" si="0"/>
        <v>494986.36381567456</v>
      </c>
      <c r="C31" s="106">
        <f t="shared" si="1"/>
        <v>494986.36381567456</v>
      </c>
      <c r="D31" s="1">
        <f t="shared" si="4"/>
        <v>1.872534961583631E-3</v>
      </c>
      <c r="E31" s="199">
        <f t="shared" si="2"/>
        <v>51632027.609613016</v>
      </c>
    </row>
    <row r="32" spans="1:8" x14ac:dyDescent="0.3">
      <c r="A32" s="122">
        <f t="shared" si="3"/>
        <v>25000000</v>
      </c>
      <c r="B32" s="106">
        <f t="shared" si="0"/>
        <v>534474.97147820704</v>
      </c>
      <c r="C32" s="106">
        <f t="shared" si="1"/>
        <v>534474.97147820704</v>
      </c>
      <c r="D32" s="1">
        <f t="shared" si="4"/>
        <v>1.5795443065012992E-3</v>
      </c>
      <c r="E32" s="199">
        <f t="shared" si="2"/>
        <v>55751084.274891779</v>
      </c>
    </row>
    <row r="33" spans="1:5" x14ac:dyDescent="0.3">
      <c r="A33" s="122">
        <f t="shared" si="3"/>
        <v>27500000</v>
      </c>
      <c r="B33" s="106">
        <f t="shared" si="0"/>
        <v>571472.64126765914</v>
      </c>
      <c r="C33" s="106">
        <f t="shared" si="1"/>
        <v>571472.64126765914</v>
      </c>
      <c r="D33" s="1">
        <f t="shared" si="4"/>
        <v>1.3453698105255311E-3</v>
      </c>
      <c r="E33" s="199">
        <f t="shared" si="2"/>
        <v>59610311.210629523</v>
      </c>
    </row>
    <row r="34" spans="1:5" x14ac:dyDescent="0.3">
      <c r="A34" s="122">
        <f>A33+(($C$18-$B$18)/$D$18)</f>
        <v>30000000</v>
      </c>
      <c r="B34" s="106">
        <f t="shared" si="0"/>
        <v>606124.7761241179</v>
      </c>
      <c r="C34" s="106">
        <f t="shared" si="1"/>
        <v>606124.7761241179</v>
      </c>
      <c r="D34" s="1">
        <f t="shared" si="4"/>
        <v>1.1550711618819585E-3</v>
      </c>
      <c r="E34" s="199">
        <f t="shared" si="2"/>
        <v>63224875.397506736</v>
      </c>
    </row>
    <row r="35" spans="1:5" x14ac:dyDescent="0.3">
      <c r="A35" s="122">
        <f t="shared" si="3"/>
        <v>32500000</v>
      </c>
      <c r="B35" s="106">
        <f t="shared" si="0"/>
        <v>638569.79313788004</v>
      </c>
      <c r="C35" s="106">
        <f t="shared" si="1"/>
        <v>638569.79313788004</v>
      </c>
      <c r="D35" s="1">
        <f t="shared" si="4"/>
        <v>9.9830821580806613E-4</v>
      </c>
      <c r="E35" s="199">
        <f t="shared" si="2"/>
        <v>66609215.122212268</v>
      </c>
    </row>
    <row r="36" spans="1:5" x14ac:dyDescent="0.3">
      <c r="A36" s="122">
        <f t="shared" si="3"/>
        <v>35000000</v>
      </c>
      <c r="B36" s="106">
        <f t="shared" si="0"/>
        <v>668939.25991971605</v>
      </c>
      <c r="C36" s="106">
        <f t="shared" si="1"/>
        <v>668939.25991971605</v>
      </c>
      <c r="D36" s="1">
        <f t="shared" si="4"/>
        <v>8.6769905090960009E-4</v>
      </c>
      <c r="E36" s="199">
        <f t="shared" si="2"/>
        <v>69777054.202225581</v>
      </c>
    </row>
    <row r="37" spans="1:5" x14ac:dyDescent="0.3">
      <c r="A37" s="122">
        <f t="shared" si="3"/>
        <v>37500000</v>
      </c>
      <c r="B37" s="106">
        <f t="shared" si="0"/>
        <v>697358.05883310176</v>
      </c>
      <c r="C37" s="106">
        <f t="shared" si="1"/>
        <v>697358.05883310176</v>
      </c>
      <c r="D37" s="1">
        <f t="shared" si="4"/>
        <v>7.5783463769028587E-4</v>
      </c>
      <c r="E37" s="199">
        <f t="shared" si="2"/>
        <v>72741419.116880849</v>
      </c>
    </row>
    <row r="38" spans="1:5" x14ac:dyDescent="0.3">
      <c r="A38" s="122">
        <f t="shared" si="3"/>
        <v>40000000</v>
      </c>
      <c r="B38" s="106">
        <f t="shared" si="0"/>
        <v>723944.57357360981</v>
      </c>
      <c r="C38" s="106">
        <f t="shared" si="1"/>
        <v>723944.57357360981</v>
      </c>
      <c r="D38" s="1">
        <f t="shared" si="4"/>
        <v>6.6466286851270121E-4</v>
      </c>
      <c r="E38" s="199">
        <f t="shared" si="2"/>
        <v>75514658.469463244</v>
      </c>
    </row>
    <row r="39" spans="1:5" x14ac:dyDescent="0.3">
      <c r="A39" s="122">
        <f t="shared" si="3"/>
        <v>42500000</v>
      </c>
      <c r="B39" s="106">
        <f t="shared" si="0"/>
        <v>748810.89322213084</v>
      </c>
      <c r="C39" s="106">
        <f t="shared" si="1"/>
        <v>748810.89322213084</v>
      </c>
      <c r="D39" s="1">
        <f t="shared" si="4"/>
        <v>5.8508987408284756E-4</v>
      </c>
      <c r="E39" s="199">
        <f t="shared" si="2"/>
        <v>78108464.272000462</v>
      </c>
    </row>
    <row r="40" spans="1:5" x14ac:dyDescent="0.3">
      <c r="A40" s="122">
        <f t="shared" si="3"/>
        <v>45000000</v>
      </c>
      <c r="B40" s="106">
        <f t="shared" si="0"/>
        <v>772063.02949445881</v>
      </c>
      <c r="C40" s="106">
        <f t="shared" si="1"/>
        <v>772063.02949445881</v>
      </c>
      <c r="D40" s="1">
        <f t="shared" si="4"/>
        <v>5.1671413938506614E-4</v>
      </c>
      <c r="E40" s="199">
        <f t="shared" si="2"/>
        <v>80533894.606566995</v>
      </c>
    </row>
    <row r="41" spans="1:5" x14ac:dyDescent="0.3">
      <c r="A41" s="122">
        <f>A40+(($C$18-$B$18)/$D$18)</f>
        <v>47500000</v>
      </c>
      <c r="B41" s="106">
        <f t="shared" si="0"/>
        <v>793801.14345869608</v>
      </c>
      <c r="C41" s="106">
        <f t="shared" si="1"/>
        <v>793801.14345869608</v>
      </c>
      <c r="D41" s="1">
        <f t="shared" si="4"/>
        <v>4.5764450451025838E-4</v>
      </c>
      <c r="E41" s="199">
        <f t="shared" si="2"/>
        <v>82801397.274176598</v>
      </c>
    </row>
    <row r="42" spans="1:5" x14ac:dyDescent="0.3">
      <c r="A42" s="122">
        <f t="shared" si="3"/>
        <v>50000000</v>
      </c>
      <c r="B42" s="106">
        <f t="shared" si="0"/>
        <v>814119.77849387564</v>
      </c>
      <c r="C42" s="106">
        <f t="shared" si="1"/>
        <v>814119.77849387564</v>
      </c>
      <c r="D42" s="1">
        <f t="shared" si="4"/>
        <v>4.0637270070359113E-4</v>
      </c>
      <c r="E42" s="199">
        <f t="shared" si="2"/>
        <v>84920834.094696164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2" ht="14.4" thickBot="1" x14ac:dyDescent="0.35">
      <c r="A4" s="29" t="s">
        <v>38</v>
      </c>
      <c r="B4" s="276" t="s">
        <v>39</v>
      </c>
      <c r="C4" s="276"/>
      <c r="D4" s="277"/>
    </row>
    <row r="6" spans="1:12" ht="14.4" thickBot="1" x14ac:dyDescent="0.35"/>
    <row r="7" spans="1:12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</row>
    <row r="8" spans="1:12" ht="27.6" x14ac:dyDescent="0.3">
      <c r="A8" s="23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7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23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235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237"/>
      <c r="B12" s="12">
        <v>20</v>
      </c>
      <c r="C12" s="12">
        <v>30</v>
      </c>
      <c r="D12" s="12">
        <v>0</v>
      </c>
      <c r="E12" s="14">
        <v>70</v>
      </c>
      <c r="G12" s="237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268" t="s">
        <v>30</v>
      </c>
      <c r="B13" s="269"/>
      <c r="C13" s="269"/>
      <c r="D13" s="269"/>
      <c r="E13" s="270"/>
      <c r="G13" s="278" t="s">
        <v>29</v>
      </c>
      <c r="H13" s="279"/>
      <c r="I13" s="279"/>
      <c r="J13" s="280"/>
    </row>
    <row r="14" spans="1:12" ht="33.6" customHeight="1" x14ac:dyDescent="0.3">
      <c r="A14" s="264"/>
      <c r="B14" s="265"/>
      <c r="C14" s="265"/>
      <c r="D14" s="265"/>
      <c r="E14" s="266"/>
      <c r="G14" s="281"/>
      <c r="H14" s="282"/>
      <c r="I14" s="282"/>
      <c r="J14" s="283"/>
    </row>
    <row r="16" spans="1:12" ht="14.4" thickBot="1" x14ac:dyDescent="0.35"/>
    <row r="17" spans="1:4" ht="16.8" customHeight="1" x14ac:dyDescent="0.3">
      <c r="A17" s="244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245"/>
      <c r="B18" s="12">
        <v>0</v>
      </c>
      <c r="C18" s="12">
        <v>100</v>
      </c>
      <c r="D18" s="26">
        <v>20</v>
      </c>
    </row>
    <row r="20" spans="1:4" x14ac:dyDescent="0.3">
      <c r="A20" s="210" t="s">
        <v>37</v>
      </c>
      <c r="B20" s="210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2" ht="31.8" customHeight="1" thickBot="1" x14ac:dyDescent="0.35">
      <c r="A4" s="29" t="s">
        <v>38</v>
      </c>
      <c r="B4" s="288" t="s">
        <v>41</v>
      </c>
      <c r="C4" s="289"/>
      <c r="D4" s="290"/>
    </row>
    <row r="6" spans="1:12" ht="14.4" thickBot="1" x14ac:dyDescent="0.35"/>
    <row r="7" spans="1:12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  <c r="H7" s="1" t="s">
        <v>54</v>
      </c>
    </row>
    <row r="8" spans="1:12" ht="27.6" x14ac:dyDescent="0.3">
      <c r="A8" s="23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7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235" t="s">
        <v>42</v>
      </c>
      <c r="B11" s="229" t="s">
        <v>47</v>
      </c>
      <c r="C11" s="285" t="s">
        <v>46</v>
      </c>
      <c r="D11" s="274"/>
      <c r="E11" s="274"/>
      <c r="F11" s="3" t="s">
        <v>48</v>
      </c>
      <c r="G11" s="33"/>
      <c r="H11" s="32"/>
      <c r="I11" s="32"/>
      <c r="J11" s="32"/>
    </row>
    <row r="12" spans="1:12" x14ac:dyDescent="0.3">
      <c r="A12" s="286"/>
      <c r="B12" s="21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287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243" t="s">
        <v>52</v>
      </c>
      <c r="B14" s="243"/>
      <c r="C14" s="243"/>
      <c r="D14" s="243"/>
      <c r="E14" s="243"/>
      <c r="F14" s="243"/>
      <c r="G14" s="38"/>
      <c r="H14" s="39"/>
      <c r="I14" s="39"/>
      <c r="J14" s="39"/>
    </row>
    <row r="15" spans="1:12" ht="30.6" customHeight="1" x14ac:dyDescent="0.3">
      <c r="A15" s="243"/>
      <c r="B15" s="243"/>
      <c r="C15" s="243"/>
      <c r="D15" s="243"/>
      <c r="E15" s="243"/>
      <c r="F15" s="243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245"/>
      <c r="B19" s="12">
        <v>0</v>
      </c>
      <c r="C19" s="12">
        <v>20000000</v>
      </c>
      <c r="D19" s="26">
        <v>20</v>
      </c>
    </row>
    <row r="21" spans="1:4" x14ac:dyDescent="0.3">
      <c r="A21" s="210" t="s">
        <v>37</v>
      </c>
      <c r="B21" s="210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4" ht="14.4" thickBot="1" x14ac:dyDescent="0.35">
      <c r="A4" s="29" t="s">
        <v>38</v>
      </c>
      <c r="B4" s="276" t="s">
        <v>57</v>
      </c>
      <c r="C4" s="276"/>
      <c r="D4" s="277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  <c r="I7" s="267" t="s">
        <v>73</v>
      </c>
      <c r="J7" s="267"/>
      <c r="K7" s="267"/>
      <c r="L7" s="267"/>
      <c r="N7" s="47" t="s">
        <v>58</v>
      </c>
    </row>
    <row r="8" spans="1:14" ht="27.6" x14ac:dyDescent="0.3">
      <c r="A8" s="23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267"/>
      <c r="J8" s="267"/>
      <c r="K8" s="267"/>
      <c r="L8" s="267"/>
      <c r="N8" s="47" t="s">
        <v>59</v>
      </c>
    </row>
    <row r="9" spans="1:14" ht="14.4" thickBot="1" x14ac:dyDescent="0.35">
      <c r="A9" s="237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210" t="s">
        <v>60</v>
      </c>
      <c r="B11" s="3" t="s">
        <v>61</v>
      </c>
      <c r="C11" s="3" t="s">
        <v>62</v>
      </c>
      <c r="D11" s="32"/>
      <c r="E11" s="25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210"/>
      <c r="B12" s="41">
        <v>0</v>
      </c>
      <c r="C12" s="41">
        <v>0</v>
      </c>
      <c r="D12" s="32"/>
      <c r="E12" s="25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210"/>
      <c r="B13" s="41">
        <v>1</v>
      </c>
      <c r="C13" s="41">
        <v>0.75</v>
      </c>
      <c r="D13" s="32"/>
      <c r="E13" s="25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210"/>
      <c r="B14" s="41">
        <v>2</v>
      </c>
      <c r="C14" s="41">
        <v>0</v>
      </c>
      <c r="D14" s="32"/>
      <c r="E14" s="25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210"/>
      <c r="B15" s="41">
        <v>3</v>
      </c>
      <c r="C15" s="41">
        <v>-1</v>
      </c>
      <c r="D15" s="32"/>
      <c r="E15" s="25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210"/>
      <c r="B16" s="41">
        <v>4</v>
      </c>
      <c r="C16" s="41">
        <v>3</v>
      </c>
      <c r="D16" s="32"/>
      <c r="E16" s="25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210"/>
      <c r="B17" s="42">
        <v>5</v>
      </c>
      <c r="C17" s="42">
        <v>3</v>
      </c>
      <c r="D17" s="40"/>
      <c r="E17" s="25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291" t="s">
        <v>74</v>
      </c>
      <c r="B18" s="292"/>
      <c r="C18" s="293"/>
      <c r="D18" s="33"/>
      <c r="E18" s="243" t="s">
        <v>75</v>
      </c>
      <c r="F18" s="243"/>
      <c r="G18" s="243"/>
      <c r="H18" s="243"/>
      <c r="I18" s="243"/>
      <c r="J18" s="243"/>
      <c r="K18" s="243"/>
      <c r="L18" s="243"/>
      <c r="M18" s="243"/>
    </row>
    <row r="19" spans="1:13" ht="35.4" customHeight="1" x14ac:dyDescent="0.3">
      <c r="A19" s="264"/>
      <c r="B19" s="265"/>
      <c r="C19" s="266"/>
      <c r="D19" s="33"/>
      <c r="E19" s="243"/>
      <c r="F19" s="243"/>
      <c r="G19" s="243"/>
      <c r="H19" s="243"/>
      <c r="I19" s="243"/>
      <c r="J19" s="243"/>
      <c r="K19" s="243"/>
      <c r="L19" s="243"/>
      <c r="M19" s="243"/>
    </row>
    <row r="21" spans="1:13" ht="14.4" thickBot="1" x14ac:dyDescent="0.35"/>
    <row r="22" spans="1:13" ht="16.8" customHeight="1" x14ac:dyDescent="0.3">
      <c r="A22" s="244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245"/>
      <c r="B23" s="12">
        <v>0</v>
      </c>
      <c r="C23" s="12">
        <v>5</v>
      </c>
      <c r="D23" s="26">
        <v>20</v>
      </c>
    </row>
    <row r="25" spans="1:13" x14ac:dyDescent="0.3">
      <c r="A25" s="210" t="s">
        <v>37</v>
      </c>
      <c r="B25" s="210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294" t="s">
        <v>111</v>
      </c>
      <c r="C4" s="294"/>
      <c r="D4" s="294"/>
      <c r="E4" s="294"/>
      <c r="F4" s="295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</row>
    <row r="8" spans="1:15" ht="27.6" x14ac:dyDescent="0.3">
      <c r="A8" s="236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237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235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244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237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245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268" t="s">
        <v>119</v>
      </c>
      <c r="B13" s="269"/>
      <c r="C13" s="269"/>
      <c r="D13" s="269"/>
      <c r="E13" s="269"/>
      <c r="F13" s="270"/>
      <c r="H13" s="268" t="s">
        <v>120</v>
      </c>
      <c r="I13" s="269"/>
      <c r="J13" s="269"/>
      <c r="K13" s="269"/>
      <c r="L13" s="269"/>
      <c r="M13" s="269"/>
      <c r="N13" s="269"/>
      <c r="O13" s="270"/>
    </row>
    <row r="14" spans="1:15" ht="33.6" customHeight="1" x14ac:dyDescent="0.3">
      <c r="A14" s="264"/>
      <c r="B14" s="265"/>
      <c r="C14" s="265"/>
      <c r="D14" s="265"/>
      <c r="E14" s="265"/>
      <c r="F14" s="266"/>
      <c r="H14" s="264"/>
      <c r="I14" s="265"/>
      <c r="J14" s="265"/>
      <c r="K14" s="265"/>
      <c r="L14" s="265"/>
      <c r="M14" s="265"/>
      <c r="N14" s="265"/>
      <c r="O14" s="266"/>
    </row>
    <row r="16" spans="1:15" ht="14.4" thickBot="1" x14ac:dyDescent="0.35"/>
    <row r="17" spans="1:4" ht="16.8" customHeight="1" x14ac:dyDescent="0.3">
      <c r="A17" s="244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245"/>
      <c r="B18" s="102">
        <v>0</v>
      </c>
      <c r="C18" s="103">
        <v>200000000</v>
      </c>
      <c r="D18" s="26">
        <v>20</v>
      </c>
    </row>
    <row r="20" spans="1:4" x14ac:dyDescent="0.3">
      <c r="A20" s="210" t="s">
        <v>37</v>
      </c>
      <c r="B20" s="210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Charts - Idvl</vt:lpstr>
      <vt:lpstr>Charts - Idvl IRev</vt:lpstr>
      <vt:lpstr>Chart - Combined</vt:lpstr>
      <vt:lpstr>Case Notes</vt:lpstr>
      <vt:lpstr>STD30 (-15)</vt:lpstr>
      <vt:lpstr>STD30 (-10)</vt:lpstr>
      <vt:lpstr>STD30 (-5)</vt:lpstr>
      <vt:lpstr>STD30 (+0)</vt:lpstr>
      <vt:lpstr>STD30 (+5)</vt:lpstr>
      <vt:lpstr>STD30 (+10)</vt:lpstr>
      <vt:lpstr>STD30 (+15)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2013-07-22T18:50:56Z</dcterms:modified>
</cp:coreProperties>
</file>