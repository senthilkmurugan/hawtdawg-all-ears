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firstSheet="2" activeTab="3"/>
  </bookViews>
  <sheets>
    <sheet name="Charts - Idvl" sheetId="35" r:id="rId1"/>
    <sheet name="Chart - Combined" sheetId="36" r:id="rId2"/>
    <sheet name="JJ_Notes_1" sheetId="24" r:id="rId3"/>
    <sheet name="JJ_Optim_Scenario" sheetId="23" r:id="rId4"/>
    <sheet name="JANSample" sheetId="25" r:id="rId5"/>
    <sheet name="JMTSample" sheetId="26" r:id="rId6"/>
    <sheet name="TOTSample" sheetId="27" r:id="rId7"/>
    <sheet name="JJVCH" sheetId="29" r:id="rId8"/>
    <sheet name="JJMMF" sheetId="30" r:id="rId9"/>
    <sheet name="JJHCC" sheetId="31" r:id="rId10"/>
    <sheet name="JJMCM" sheetId="32" r:id="rId11"/>
    <sheet name="JJHCC_ACQ" sheetId="33" r:id="rId12"/>
    <sheet name="JJHCC_ADH" sheetId="34" r:id="rId13"/>
    <sheet name="Fn.Templates ==&gt;" sheetId="3" r:id="rId14"/>
    <sheet name="FT_SCurveEst" sheetId="2" r:id="rId15"/>
    <sheet name="FT_Equation" sheetId="4" r:id="rId16"/>
    <sheet name="FT_Interpolate" sheetId="5" r:id="rId17"/>
    <sheet name="FT_SCurve3Est" sheetId="13" r:id="rId18"/>
  </sheets>
  <functionGroups builtInGroupCount="17"/>
  <externalReferences>
    <externalReference r:id="rId19"/>
  </externalReferences>
  <definedNames>
    <definedName name="solver_adj" localSheetId="3" hidden="1">JJ_Optim_Scenario!$I$17:$I$24</definedName>
    <definedName name="solver_cvg" localSheetId="3" hidden="1">0.00001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JJ_Optim_Scenario!$I$17:$I$24</definedName>
    <definedName name="solver_lhs2" localSheetId="3" hidden="1">JJ_Optim_Scenario!$I$17:$I$24</definedName>
    <definedName name="solver_lhs3" localSheetId="3" hidden="1">JJ_Optim_Scenario!$I$25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3</definedName>
    <definedName name="solver_nwt" localSheetId="3" hidden="1">1</definedName>
    <definedName name="solver_opt" localSheetId="3" hidden="1">JJ_Optim_Scenario!$B$9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3</definedName>
    <definedName name="solver_rel3" localSheetId="3" hidden="1">2</definedName>
    <definedName name="solver_rhs1" localSheetId="3" hidden="1">JJ_Optim_Scenario!$H$17:$H$24</definedName>
    <definedName name="solver_rhs2" localSheetId="3" hidden="1">JJ_Optim_Scenario!$G$17:$G$24</definedName>
    <definedName name="solver_rhs3" localSheetId="3" hidden="1">JJ_Optim_Scenario!$B$12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45621"/>
</workbook>
</file>

<file path=xl/calcChain.xml><?xml version="1.0" encoding="utf-8"?>
<calcChain xmlns="http://schemas.openxmlformats.org/spreadsheetml/2006/main">
  <c r="B9" i="29" l="1"/>
  <c r="E23" i="32" l="1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30" i="30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D9" i="34" l="1"/>
  <c r="C9" i="34"/>
  <c r="B9" i="34"/>
  <c r="D9" i="33"/>
  <c r="D9" i="32"/>
  <c r="C9" i="32"/>
  <c r="B9" i="32"/>
  <c r="D9" i="31"/>
  <c r="C9" i="31"/>
  <c r="B9" i="31"/>
  <c r="D9" i="30"/>
  <c r="D9" i="29"/>
  <c r="C9" i="29"/>
  <c r="D9" i="26"/>
  <c r="D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G9" i="25"/>
  <c r="I31" i="23"/>
  <c r="H41" i="23"/>
  <c r="K41" i="23" s="1"/>
  <c r="M41" i="23" s="1"/>
  <c r="H40" i="23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K40" i="23" l="1"/>
  <c r="M40" i="23" s="1"/>
  <c r="H42" i="23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H24" i="23"/>
  <c r="G24" i="23"/>
  <c r="K23" i="23"/>
  <c r="H23" i="23"/>
  <c r="C9" i="33" s="1"/>
  <c r="G23" i="23"/>
  <c r="B9" i="33" s="1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J19" i="23" s="1"/>
  <c r="I36" i="23" s="1"/>
  <c r="J36" i="23" s="1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J18" i="23" s="1"/>
  <c r="I35" i="23" s="1"/>
  <c r="J35" i="23" s="1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H9" i="25"/>
  <c r="F9" i="25"/>
  <c r="J17" i="23" s="1"/>
  <c r="I34" i="23" s="1"/>
  <c r="J34" i="23" s="1"/>
  <c r="E9" i="25"/>
  <c r="A24" i="25"/>
  <c r="A25" i="25" s="1"/>
  <c r="A23" i="25"/>
  <c r="K22" i="23"/>
  <c r="H22" i="23"/>
  <c r="G22" i="23"/>
  <c r="K21" i="23"/>
  <c r="H21" i="23"/>
  <c r="G21" i="23"/>
  <c r="K20" i="23"/>
  <c r="H20" i="23"/>
  <c r="C9" i="30" s="1"/>
  <c r="G20" i="23"/>
  <c r="B9" i="30" s="1"/>
  <c r="K19" i="23"/>
  <c r="H19" i="23"/>
  <c r="G19" i="23"/>
  <c r="K18" i="23"/>
  <c r="H18" i="23"/>
  <c r="C9" i="26" s="1"/>
  <c r="G18" i="23"/>
  <c r="B9" i="26" s="1"/>
  <c r="K17" i="23"/>
  <c r="H17" i="23"/>
  <c r="C9" i="25" s="1"/>
  <c r="G17" i="23"/>
  <c r="B9" i="25" s="1"/>
  <c r="H14" i="30" a="1"/>
  <c r="B41" i="33" l="1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F23" i="23" s="1"/>
  <c r="B40" i="33"/>
  <c r="E40" i="33" s="1"/>
  <c r="B36" i="33"/>
  <c r="E36" i="33" s="1"/>
  <c r="B32" i="33"/>
  <c r="E32" i="33" s="1"/>
  <c r="B28" i="33"/>
  <c r="E28" i="33" s="1"/>
  <c r="B24" i="33"/>
  <c r="E24" i="33" s="1"/>
  <c r="E9" i="33"/>
  <c r="F9" i="33" s="1"/>
  <c r="J23" i="23" s="1"/>
  <c r="B39" i="33"/>
  <c r="E39" i="33" s="1"/>
  <c r="B35" i="33"/>
  <c r="E35" i="33" s="1"/>
  <c r="B31" i="33"/>
  <c r="E31" i="33" s="1"/>
  <c r="B27" i="33"/>
  <c r="E27" i="33" s="1"/>
  <c r="B23" i="33"/>
  <c r="E23" i="33" s="1"/>
  <c r="B42" i="33"/>
  <c r="E42" i="33" s="1"/>
  <c r="B38" i="33"/>
  <c r="E38" i="33" s="1"/>
  <c r="B34" i="33"/>
  <c r="E34" i="33" s="1"/>
  <c r="B30" i="33"/>
  <c r="E30" i="33" s="1"/>
  <c r="B26" i="33"/>
  <c r="E26" i="33" s="1"/>
  <c r="B22" i="33"/>
  <c r="E22" i="33" s="1"/>
  <c r="J9" i="25"/>
  <c r="F17" i="23"/>
  <c r="F34" i="23" s="1"/>
  <c r="G34" i="2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I39" i="23" s="1"/>
  <c r="J39" i="23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J24" i="23" s="1"/>
  <c r="I41" i="23" s="1"/>
  <c r="J41" i="23" s="1"/>
  <c r="H9" i="34"/>
  <c r="I9" i="34" s="1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B32" i="30"/>
  <c r="B31" i="30"/>
  <c r="B30" i="30"/>
  <c r="H9" i="30"/>
  <c r="E9" i="30"/>
  <c r="C22" i="34" l="1"/>
  <c r="E22" i="34"/>
  <c r="C22" i="33"/>
  <c r="F40" i="23"/>
  <c r="G40" i="23" s="1"/>
  <c r="J9" i="33"/>
  <c r="L21" i="23"/>
  <c r="N21" i="23" s="1"/>
  <c r="I40" i="23"/>
  <c r="J40" i="23" s="1"/>
  <c r="L23" i="23"/>
  <c r="N23" i="23" s="1"/>
  <c r="F22" i="23"/>
  <c r="J9" i="32"/>
  <c r="J9" i="34"/>
  <c r="F24" i="23"/>
  <c r="L35" i="23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L40" i="23" l="1"/>
  <c r="N40" i="23" s="1"/>
  <c r="J45" i="23"/>
  <c r="J44" i="23"/>
  <c r="J43" i="23"/>
  <c r="N35" i="23"/>
  <c r="J42" i="23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F37" i="23" s="1"/>
  <c r="G37" i="23" s="1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G43" i="23" l="1"/>
  <c r="G44" i="23"/>
  <c r="G45" i="23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N20" i="23" l="1"/>
  <c r="L37" i="23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N37" i="23" l="1"/>
  <c r="L43" i="23"/>
  <c r="L44" i="23"/>
  <c r="L45" i="23"/>
  <c r="L42" i="23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M44" i="23" l="1"/>
  <c r="M43" i="23"/>
  <c r="M45" i="23"/>
  <c r="N42" i="23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N43" i="23" l="1"/>
  <c r="N44" i="23"/>
  <c r="N45" i="23"/>
  <c r="B9" i="23"/>
  <c r="J25" i="23"/>
  <c r="L18" i="23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43" i="5"/>
  <c r="B44" i="5"/>
  <c r="B28" i="5"/>
  <c r="B31" i="5"/>
  <c r="B42" i="5"/>
  <c r="B47" i="5"/>
  <c r="B33" i="5"/>
  <c r="B40" i="5"/>
  <c r="B37" i="5"/>
  <c r="E9" i="5"/>
  <c r="B41" i="5"/>
  <c r="B29" i="5"/>
  <c r="B39" i="5"/>
  <c r="B34" i="5"/>
  <c r="B30" i="5"/>
  <c r="B35" i="5"/>
  <c r="B46" i="5"/>
  <c r="B39" i="30"/>
  <c r="B45" i="5"/>
  <c r="B27" i="5"/>
  <c r="B38" i="5"/>
  <c r="B36" i="5"/>
  <c r="B32" i="5"/>
  <c r="N18" i="23" l="1"/>
  <c r="L25" i="23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C40" i="30" l="1"/>
  <c r="A41" i="30"/>
  <c r="B34" i="29"/>
  <c r="A35" i="29"/>
  <c r="C34" i="29"/>
  <c r="B34" i="27"/>
  <c r="A35" i="27"/>
  <c r="C34" i="27"/>
  <c r="C32" i="26"/>
  <c r="B32" i="26"/>
  <c r="A33" i="26"/>
  <c r="A35" i="25"/>
  <c r="B41" i="30"/>
  <c r="C41" i="30" l="1"/>
  <c r="A42" i="30"/>
  <c r="C35" i="29"/>
  <c r="B35" i="29"/>
  <c r="A36" i="29"/>
  <c r="C35" i="27"/>
  <c r="B35" i="27"/>
  <c r="A36" i="27"/>
  <c r="A34" i="26"/>
  <c r="C33" i="26"/>
  <c r="B33" i="26"/>
  <c r="A36" i="25"/>
  <c r="B42" i="30"/>
  <c r="C42" i="30" l="1"/>
  <c r="A43" i="30"/>
  <c r="A37" i="29"/>
  <c r="C36" i="29"/>
  <c r="B36" i="29"/>
  <c r="A37" i="27"/>
  <c r="C36" i="27"/>
  <c r="B36" i="27"/>
  <c r="A35" i="26"/>
  <c r="C34" i="26"/>
  <c r="B34" i="26"/>
  <c r="A37" i="25"/>
  <c r="B43" i="30"/>
  <c r="C43" i="30" l="1"/>
  <c r="A44" i="30"/>
  <c r="A38" i="29"/>
  <c r="C37" i="29"/>
  <c r="B37" i="29"/>
  <c r="A38" i="27"/>
  <c r="C37" i="27"/>
  <c r="B37" i="27"/>
  <c r="B35" i="26"/>
  <c r="A36" i="26"/>
  <c r="C35" i="26"/>
  <c r="A38" i="25"/>
  <c r="B44" i="30"/>
  <c r="C44" i="30" l="1"/>
  <c r="A45" i="30"/>
  <c r="B38" i="29"/>
  <c r="A39" i="29"/>
  <c r="C38" i="29"/>
  <c r="B38" i="27"/>
  <c r="A39" i="27"/>
  <c r="C38" i="27"/>
  <c r="C36" i="26"/>
  <c r="B36" i="26"/>
  <c r="A37" i="26"/>
  <c r="A39" i="25"/>
  <c r="B45" i="30"/>
  <c r="C45" i="30" l="1"/>
  <c r="A46" i="30"/>
  <c r="C39" i="29"/>
  <c r="B39" i="29"/>
  <c r="A40" i="29"/>
  <c r="C39" i="27"/>
  <c r="B39" i="27"/>
  <c r="A40" i="27"/>
  <c r="A38" i="26"/>
  <c r="C37" i="26"/>
  <c r="B37" i="26"/>
  <c r="A40" i="25"/>
  <c r="B46" i="30"/>
  <c r="C46" i="30" l="1"/>
  <c r="A47" i="30"/>
  <c r="A41" i="29"/>
  <c r="C40" i="29"/>
  <c r="B40" i="29"/>
  <c r="A41" i="27"/>
  <c r="C40" i="27"/>
  <c r="B40" i="27"/>
  <c r="A39" i="26"/>
  <c r="C38" i="26"/>
  <c r="B38" i="26"/>
  <c r="A41" i="25"/>
  <c r="B47" i="30"/>
  <c r="C47" i="30" l="1"/>
  <c r="A48" i="30"/>
  <c r="A42" i="29"/>
  <c r="C41" i="29"/>
  <c r="B41" i="29"/>
  <c r="A42" i="27"/>
  <c r="C41" i="27"/>
  <c r="B41" i="27"/>
  <c r="B39" i="26"/>
  <c r="A40" i="26"/>
  <c r="C39" i="26"/>
  <c r="A42" i="25"/>
  <c r="B48" i="30"/>
  <c r="C48" i="30" l="1"/>
  <c r="A49" i="30"/>
  <c r="B42" i="29"/>
  <c r="A43" i="29"/>
  <c r="C42" i="29"/>
  <c r="B42" i="27"/>
  <c r="A43" i="27"/>
  <c r="C42" i="27"/>
  <c r="C40" i="26"/>
  <c r="B40" i="26"/>
  <c r="A41" i="26"/>
  <c r="A43" i="25"/>
  <c r="B49" i="30"/>
  <c r="C49" i="30" l="1"/>
  <c r="A50" i="30"/>
  <c r="C43" i="29"/>
  <c r="B43" i="29"/>
  <c r="C43" i="27"/>
  <c r="B43" i="27"/>
  <c r="A42" i="26"/>
  <c r="C41" i="26"/>
  <c r="B41" i="26"/>
  <c r="B50" i="30"/>
  <c r="C50" i="30" l="1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<sst xmlns="http://schemas.openxmlformats.org/spreadsheetml/2006/main" count="1036" uniqueCount="274">
  <si>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</si>
  <si>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</si>
  <si>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</si>
  <si>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</si>
  <si>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</si>
  <si>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</si>
  <si>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</si>
  <si>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</si>
  <si>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</si>
  <si>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</si>
  <si>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</si>
  <si>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</si>
  <si>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</si>
  <si>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</si>
  <si>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</si>
  <si>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</si>
  <si>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</si>
  <si>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</si>
  <si>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</si>
  <si>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</si>
  <si>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</si>
  <si>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</si>
  <si>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</si>
  <si>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</si>
  <si>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</si>
  <si>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</si>
  <si>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</si>
  <si>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</si>
  <si>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</si>
  <si>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</si>
  <si>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</si>
  <si>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</si>
  <si>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</si>
  <si>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</si>
  <si>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</si>
  <si>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</si>
  <si>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</si>
  <si>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</si>
  <si>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</si>
  <si>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</si>
  <si>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</si>
  <si>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</si>
  <si>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</si>
  <si>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</si>
  <si>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</si>
  <si>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</si>
  <si>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</si>
  <si>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</si>
  <si>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</si>
  <si>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</si>
  <si>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</si>
  <si>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</si>
  <si>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</si>
  <si>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</si>
  <si>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</si>
  <si>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</si>
  <si>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</si>
  <si>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</si>
  <si>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</si>
  <si>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</si>
  <si>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</si>
  <si>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</si>
  <si>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</si>
  <si>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</si>
  <si>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</si>
  <si>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</si>
  <si>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</si>
  <si>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</si>
  <si>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</si>
  <si>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</si>
  <si>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</si>
  <si>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</si>
  <si>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</si>
  <si>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</si>
  <si>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</si>
  <si>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</si>
  <si>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</si>
  <si>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</si>
  <si>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</si>
  <si>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</si>
  <si>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</si>
  <si>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</si>
  <si>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</si>
  <si>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</si>
  <si>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</si>
  <si>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</si>
  <si>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</si>
  <si>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</si>
  <si>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</si>
  <si>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</si>
  <si>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</si>
  <si>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</si>
  <si>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</si>
  <si>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</si>
  <si>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</si>
  <si>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</si>
  <si>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</si>
  <si>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</si>
  <si>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</si>
  <si>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</si>
  <si>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</si>
  <si>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</si>
  <si>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</si>
  <si>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</si>
  <si>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</si>
  <si>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</si>
  <si>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</si>
  <si>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</si>
  <si>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</si>
  <si>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</si>
  <si>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</si>
  <si>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</si>
  <si>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</si>
  <si>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</si>
  <si>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</si>
  <si>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</si>
  <si>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</si>
  <si>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</si>
  <si>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</si>
  <si>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</si>
  <si>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</si>
  <si>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</si>
  <si>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</si>
  <si>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</si>
  <si>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</si>
  <si>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</si>
  <si>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</si>
  <si>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</si>
  <si>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</si>
  <si>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</si>
  <si>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</si>
  <si>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</si>
  <si>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</si>
  <si>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</si>
  <si>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</si>
  <si>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</si>
  <si>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</si>
  <si>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</si>
  <si>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</si>
  <si>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</si>
  <si>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</si>
  <si>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</si>
  <si>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</si>
  <si>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</si>
  <si>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</si>
  <si>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</si>
  <si>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</si>
  <si>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</si>
  <si>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</si>
  <si>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</si>
  <si>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</si>
  <si>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</si>
  <si>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</si>
  <si>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</si>
  <si>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</si>
  <si>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</si>
  <si>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</si>
  <si>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</si>
  <si>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</si>
  <si>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</si>
  <si>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</si>
  <si>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</si>
  <si>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</si>
  <si>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</si>
  <si>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</si>
  <si>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</si>
  <si>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</si>
  <si>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</si>
  <si>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</si>
  <si>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</si>
  <si>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</si>
  <si>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</si>
  <si>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</si>
  <si>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</si>
  <si>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</si>
  <si>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</si>
  <si>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</si>
  <si>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</si>
  <si>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</si>
  <si>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</si>
  <si>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</si>
  <si>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</si>
  <si>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</si>
  <si>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</si>
  <si>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</si>
  <si>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</si>
  <si>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</si>
  <si>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</si>
  <si>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</si>
  <si>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</si>
  <si>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</si>
  <si>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</si>
  <si>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</si>
  <si>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</si>
  <si>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</si>
  <si>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</si>
  <si>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</si>
  <si>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</si>
  <si>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</si>
  <si>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</si>
  <si>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</si>
  <si>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</si>
  <si>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</si>
  <si>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</si>
  <si>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</si>
  <si>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</si>
  <si>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</si>
  <si>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</si>
  <si>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</si>
  <si>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</si>
  <si>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</si>
  <si>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</si>
  <si>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</si>
  <si>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</si>
  <si>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</si>
  <si>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</si>
  <si>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</si>
  <si>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</si>
  <si>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</si>
  <si>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</si>
  <si>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</si>
  <si>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</si>
  <si>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Reference: Annualized 2012 Q1 Spend (Best Quarter in terms of NRx in 2012)</t>
  </si>
  <si>
    <t>Yearly projection based on 2012-Q1  vs. 2013</t>
  </si>
  <si>
    <t>Spend Category</t>
  </si>
  <si>
    <t>2012_Q1</t>
  </si>
  <si>
    <t>Yearly spend based on 2012 Q1 spend levels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</si>
  <si>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</si>
  <si>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</si>
  <si>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</si>
  <si>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</si>
  <si>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</si>
  <si>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</si>
  <si>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</si>
  <si>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</si>
  <si>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</si>
  <si>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</si>
  <si>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</si>
  <si>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</si>
  <si>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</si>
  <si>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</si>
  <si>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</si>
  <si>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</si>
  <si>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</si>
  <si>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</si>
  <si>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</si>
  <si>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</si>
  <si>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</si>
  <si>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</si>
  <si>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</si>
  <si>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</si>
  <si>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</si>
  <si>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</si>
  <si>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</si>
  <si>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</si>
  <si>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</si>
  <si>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</si>
  <si>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</si>
  <si>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</si>
  <si>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</si>
  <si>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</si>
  <si>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</si>
  <si>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</si>
  <si>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</si>
  <si>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</si>
  <si>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</si>
  <si>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</si>
  <si>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</si>
  <si>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</si>
  <si>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</si>
  <si>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</si>
  <si>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</si>
  <si>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</si>
  <si>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1A.</t>
    </r>
    <r>
      <rPr>
        <sz val="10"/>
        <color rgb="FF0000FF"/>
        <rFont val="Calibri"/>
        <family val="2"/>
        <scheme val="minor"/>
      </rPr>
      <t xml:space="preserve"> Local constraints can vary by + or - 30%. Global budget remains at currently planned level.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</si>
</sst>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399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164" fontId="5" fillId="5" borderId="2" xfId="0" applyNumberFormat="1" applyFont="1" applyFill="1" applyBorder="1"/>
    <xf numFmtId="9" fontId="1" fillId="0" borderId="0" xfId="3" applyFont="1"/>
    <xf numFmtId="0" fontId="36" fillId="0" borderId="0" xfId="0" applyFont="1"/>
    <xf numFmtId="0" fontId="28" fillId="9" borderId="2" xfId="0" applyFont="1" applyFill="1" applyBorder="1" applyAlignment="1">
      <alignment horizontal="center" wrapText="1"/>
    </xf>
    <xf numFmtId="0" fontId="28" fillId="44" borderId="12" xfId="0" applyFont="1" applyFill="1" applyBorder="1" applyAlignment="1">
      <alignment horizontal="center" vertical="center" wrapText="1"/>
    </xf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38624"/>
        <c:axId val="262940928"/>
      </c:scatterChart>
      <c:valAx>
        <c:axId val="262938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2940928"/>
        <c:crosses val="autoZero"/>
        <c:crossBetween val="midCat"/>
        <c:dispUnits>
          <c:builtInUnit val="thousands"/>
        </c:dispUnits>
      </c:valAx>
      <c:valAx>
        <c:axId val="26294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29386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86752"/>
        <c:axId val="262809472"/>
      </c:scatterChart>
      <c:valAx>
        <c:axId val="2629867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2809472"/>
        <c:crosses val="autoZero"/>
        <c:crossBetween val="midCat"/>
        <c:dispUnits>
          <c:builtInUnit val="thousands"/>
        </c:dispUnits>
      </c:valAx>
      <c:valAx>
        <c:axId val="262809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29867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73472"/>
        <c:axId val="263280128"/>
      </c:scatterChart>
      <c:valAx>
        <c:axId val="263273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3280128"/>
        <c:crosses val="autoZero"/>
        <c:crossBetween val="midCat"/>
        <c:dispUnits>
          <c:builtInUnit val="thousands"/>
        </c:dispUnits>
      </c:valAx>
      <c:valAx>
        <c:axId val="263280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32734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334528"/>
        <c:axId val="263345280"/>
      </c:scatterChart>
      <c:valAx>
        <c:axId val="2633345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3345280"/>
        <c:crosses val="autoZero"/>
        <c:crossBetween val="midCat"/>
        <c:dispUnits>
          <c:builtInUnit val="thousands"/>
        </c:dispUnits>
      </c:valAx>
      <c:valAx>
        <c:axId val="26334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33345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27063313.299997024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1836120.2522812556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01472"/>
        <c:axId val="263403776"/>
      </c:scatterChart>
      <c:valAx>
        <c:axId val="263401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3403776"/>
        <c:crosses val="autoZero"/>
        <c:crossBetween val="midCat"/>
        <c:dispUnits>
          <c:builtInUnit val="thousands"/>
        </c:dispUnits>
      </c:valAx>
      <c:valAx>
        <c:axId val="263403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34014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28736"/>
        <c:axId val="263072000"/>
      </c:scatterChart>
      <c:valAx>
        <c:axId val="2634287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3072000"/>
        <c:crosses val="autoZero"/>
        <c:crossBetween val="midCat"/>
        <c:dispUnits>
          <c:builtInUnit val="thousands"/>
        </c:dispUnits>
      </c:valAx>
      <c:valAx>
        <c:axId val="263072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34287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59085.138733214022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130496"/>
        <c:axId val="263149440"/>
      </c:scatterChart>
      <c:valAx>
        <c:axId val="263130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3149440"/>
        <c:crosses val="autoZero"/>
        <c:crossBetween val="midCat"/>
        <c:dispUnits>
          <c:builtInUnit val="thousands"/>
        </c:dispUnits>
      </c:valAx>
      <c:valAx>
        <c:axId val="263149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31304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266383.4186916817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199744"/>
        <c:axId val="263210496"/>
      </c:scatterChart>
      <c:valAx>
        <c:axId val="26319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3210496"/>
        <c:crosses val="autoZero"/>
        <c:crossBetween val="midCat"/>
        <c:dispUnits>
          <c:builtInUnit val="thousands"/>
        </c:dispUnits>
      </c:valAx>
      <c:valAx>
        <c:axId val="26321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31997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27063313.299997024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1836120.2522812556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59085.138733214022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266383.4186916817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27063313.299997024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1836120.2522812556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59085.138733214022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266383.4186916817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850048"/>
        <c:axId val="264865280"/>
      </c:scatterChart>
      <c:valAx>
        <c:axId val="264850048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4865280"/>
        <c:crosses val="autoZero"/>
        <c:crossBetween val="midCat"/>
        <c:dispUnits>
          <c:builtInUnit val="thousands"/>
        </c:dispUnits>
      </c:valAx>
      <c:valAx>
        <c:axId val="264865280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48500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27063313.299997024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1836120.2522812556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59085.138733214022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266383.4186916817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27063313.299997024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1836120.2522812556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59085.138733214022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266383.4186916817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94272"/>
        <c:axId val="265121792"/>
      </c:scatterChart>
      <c:valAx>
        <c:axId val="265094272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5121792"/>
        <c:crosses val="autoZero"/>
        <c:crossBetween val="midCat"/>
        <c:dispUnits>
          <c:builtInUnit val="thousands"/>
        </c:dispUnits>
      </c:valAx>
      <c:valAx>
        <c:axId val="265121792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50942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27063313.299997024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178038373.11799166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26553983.007285006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5729157.4244348034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31007029.935711749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305088"/>
        <c:axId val="265324416"/>
      </c:scatterChart>
      <c:valAx>
        <c:axId val="265305088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5324416"/>
        <c:crosses val="autoZero"/>
        <c:crossBetween val="midCat"/>
        <c:dispUnits>
          <c:builtInUnit val="millions"/>
        </c:dispUnits>
      </c:valAx>
      <c:valAx>
        <c:axId val="265324416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6530508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27063313.299997024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178038373.11799166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26553983.007285006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5729157.4244348034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31007029.935711749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465856"/>
        <c:axId val="265468544"/>
      </c:scatterChart>
      <c:valAx>
        <c:axId val="265465856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5468544"/>
        <c:crosses val="autoZero"/>
        <c:crossBetween val="midCat"/>
        <c:dispUnits>
          <c:builtInUnit val="millions"/>
        </c:dispUnits>
      </c:valAx>
      <c:valAx>
        <c:axId val="265468544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6546585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543808"/>
        <c:axId val="263554560"/>
      </c:scatterChart>
      <c:valAx>
        <c:axId val="263543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3554560"/>
        <c:crosses val="autoZero"/>
        <c:crossBetween val="midCat"/>
        <c:dispUnits>
          <c:builtInUnit val="thousands"/>
        </c:dispUnits>
      </c:valAx>
      <c:valAx>
        <c:axId val="263554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35438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259498.53045724996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658112"/>
        <c:axId val="263672960"/>
      </c:scatterChart>
      <c:valAx>
        <c:axId val="2636581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3672960"/>
        <c:crosses val="autoZero"/>
        <c:crossBetween val="midCat"/>
        <c:dispUnits>
          <c:builtInUnit val="thousands"/>
        </c:dispUnits>
      </c:valAx>
      <c:valAx>
        <c:axId val="263672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36581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83744"/>
        <c:axId val="266786304"/>
      </c:scatterChart>
      <c:valAx>
        <c:axId val="266783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6786304"/>
        <c:crosses val="autoZero"/>
        <c:crossBetween val="midCat"/>
        <c:dispUnits>
          <c:builtInUnit val="thousands"/>
        </c:dispUnits>
      </c:valAx>
      <c:valAx>
        <c:axId val="266786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67837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300303.17113274895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61184"/>
        <c:axId val="266871936"/>
      </c:scatterChart>
      <c:valAx>
        <c:axId val="266861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6871936"/>
        <c:crosses val="autoZero"/>
        <c:crossBetween val="midCat"/>
        <c:dispUnits>
          <c:builtInUnit val="thousands"/>
        </c:dispUnits>
      </c:valAx>
      <c:valAx>
        <c:axId val="266871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68611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931200"/>
        <c:axId val="266941952"/>
      </c:scatterChart>
      <c:valAx>
        <c:axId val="2669312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6941952"/>
        <c:crosses val="autoZero"/>
        <c:crossBetween val="midCat"/>
        <c:dispUnits>
          <c:builtInUnit val="thousands"/>
        </c:dispUnits>
      </c:valAx>
      <c:valAx>
        <c:axId val="266941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69312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984064"/>
        <c:axId val="267068544"/>
      </c:scatterChart>
      <c:valAx>
        <c:axId val="2669840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7068544"/>
        <c:crosses val="autoZero"/>
        <c:crossBetween val="midCat"/>
        <c:dispUnits>
          <c:builtInUnit val="thousands"/>
        </c:dispUnits>
      </c:valAx>
      <c:valAx>
        <c:axId val="267068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69840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242496"/>
        <c:axId val="267257344"/>
      </c:scatterChart>
      <c:valAx>
        <c:axId val="267242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7257344"/>
        <c:crosses val="autoZero"/>
        <c:crossBetween val="midCat"/>
        <c:dispUnits>
          <c:builtInUnit val="thousands"/>
        </c:dispUnits>
      </c:valAx>
      <c:valAx>
        <c:axId val="267257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72424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9140.6147807429006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11744"/>
        <c:axId val="267326592"/>
      </c:scatterChart>
      <c:valAx>
        <c:axId val="267311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7326592"/>
        <c:crosses val="autoZero"/>
        <c:crossBetween val="midCat"/>
        <c:dispUnits>
          <c:builtInUnit val="thousands"/>
        </c:dispUnits>
      </c:valAx>
      <c:valAx>
        <c:axId val="267326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73117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89952"/>
        <c:axId val="267396608"/>
      </c:scatterChart>
      <c:valAx>
        <c:axId val="2673899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7396608"/>
        <c:crosses val="autoZero"/>
        <c:crossBetween val="midCat"/>
        <c:dispUnits>
          <c:builtInUnit val="thousands"/>
        </c:dispUnits>
      </c:valAx>
      <c:valAx>
        <c:axId val="267396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73899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1701.1654528829024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51008"/>
        <c:axId val="267539584"/>
      </c:scatterChart>
      <c:valAx>
        <c:axId val="267451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7539584"/>
        <c:crosses val="autoZero"/>
        <c:crossBetween val="midCat"/>
        <c:dispUnits>
          <c:builtInUnit val="thousands"/>
        </c:dispUnits>
      </c:valAx>
      <c:valAx>
        <c:axId val="267539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74510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27063313.299997024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1836120.2522812556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30848"/>
        <c:axId val="268763904"/>
      </c:scatterChart>
      <c:valAx>
        <c:axId val="267630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8763904"/>
        <c:crosses val="autoZero"/>
        <c:crossBetween val="midCat"/>
        <c:dispUnits>
          <c:builtInUnit val="thousands"/>
        </c:dispUnits>
      </c:valAx>
      <c:valAx>
        <c:axId val="26876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76308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27063313.299997024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159247.20314668305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806016"/>
        <c:axId val="268824960"/>
      </c:scatterChart>
      <c:valAx>
        <c:axId val="2688060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8824960"/>
        <c:crosses val="autoZero"/>
        <c:crossBetween val="midCat"/>
        <c:dispUnits>
          <c:builtInUnit val="thousands"/>
        </c:dispUnits>
      </c:valAx>
      <c:valAx>
        <c:axId val="268824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88060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887936"/>
        <c:axId val="268910976"/>
      </c:scatterChart>
      <c:valAx>
        <c:axId val="2688879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8910976"/>
        <c:crosses val="autoZero"/>
        <c:crossBetween val="midCat"/>
        <c:dispUnits>
          <c:builtInUnit val="thousands"/>
        </c:dispUnits>
      </c:valAx>
      <c:valAx>
        <c:axId val="268910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88879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23751.326482365839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953088"/>
        <c:axId val="269029376"/>
      </c:scatterChart>
      <c:valAx>
        <c:axId val="2689530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9029376"/>
        <c:crosses val="autoZero"/>
        <c:crossBetween val="midCat"/>
        <c:dispUnits>
          <c:builtInUnit val="thousands"/>
        </c:dispUnits>
      </c:valAx>
      <c:valAx>
        <c:axId val="269029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89530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59085.138733214022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207040"/>
        <c:axId val="269213696"/>
      </c:scatterChart>
      <c:valAx>
        <c:axId val="2692070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9213696"/>
        <c:crosses val="autoZero"/>
        <c:crossBetween val="midCat"/>
        <c:dispUnits>
          <c:builtInUnit val="thousands"/>
        </c:dispUnits>
      </c:valAx>
      <c:valAx>
        <c:axId val="269213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2070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5124.469968188554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272192"/>
        <c:axId val="269274496"/>
      </c:scatterChart>
      <c:valAx>
        <c:axId val="2692721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9274496"/>
        <c:crosses val="autoZero"/>
        <c:crossBetween val="midCat"/>
        <c:dispUnits>
          <c:builtInUnit val="thousands"/>
        </c:dispUnits>
      </c:valAx>
      <c:valAx>
        <c:axId val="269274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2721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266383.4186916817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341824"/>
        <c:axId val="269344128"/>
      </c:scatterChart>
      <c:valAx>
        <c:axId val="269341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9344128"/>
        <c:crosses val="autoZero"/>
        <c:crossBetween val="midCat"/>
        <c:dispUnits>
          <c:builtInUnit val="thousands"/>
        </c:dispUnits>
      </c:valAx>
      <c:valAx>
        <c:axId val="269344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341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834112"/>
        <c:axId val="269848576"/>
      </c:scatterChart>
      <c:valAx>
        <c:axId val="2698341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9848576"/>
        <c:crosses val="autoZero"/>
        <c:crossBetween val="midCat"/>
      </c:valAx>
      <c:valAx>
        <c:axId val="26984857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983411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143040"/>
        <c:axId val="267144576"/>
      </c:scatterChart>
      <c:valAx>
        <c:axId val="2671430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144576"/>
        <c:crosses val="autoZero"/>
        <c:crossBetween val="midCat"/>
      </c:valAx>
      <c:valAx>
        <c:axId val="26714457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14304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763712"/>
        <c:axId val="269765632"/>
      </c:scatterChart>
      <c:valAx>
        <c:axId val="269763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9765632"/>
        <c:crosses val="autoZero"/>
        <c:crossBetween val="midCat"/>
      </c:valAx>
      <c:valAx>
        <c:axId val="26976563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976371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906688"/>
        <c:axId val="269908992"/>
      </c:scatterChart>
      <c:valAx>
        <c:axId val="2699066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9908992"/>
        <c:crosses val="autoZero"/>
        <c:crossBetween val="midCat"/>
        <c:dispUnits>
          <c:builtInUnit val="millions"/>
        </c:dispUnits>
      </c:valAx>
      <c:valAx>
        <c:axId val="2699089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9066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45720</xdr:colOff>
      <xdr:row>41</xdr:row>
      <xdr:rowOff>60960</xdr:rowOff>
    </xdr:from>
    <xdr:to>
      <xdr:col>17</xdr:col>
      <xdr:colOff>510540</xdr:colOff>
      <xdr:row>61</xdr:row>
      <xdr:rowOff>15240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45720</xdr:colOff>
      <xdr:row>61</xdr:row>
      <xdr:rowOff>76200</xdr:rowOff>
    </xdr:from>
    <xdr:to>
      <xdr:col>8</xdr:col>
      <xdr:colOff>472440</xdr:colOff>
      <xdr:row>80</xdr:row>
      <xdr:rowOff>83820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30480</xdr:colOff>
      <xdr:row>61</xdr:row>
      <xdr:rowOff>60960</xdr:rowOff>
    </xdr:from>
    <xdr:to>
      <xdr:col>17</xdr:col>
      <xdr:colOff>518160</xdr:colOff>
      <xdr:row>80</xdr:row>
      <xdr:rowOff>91440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10</xdr:col>
      <xdr:colOff>297180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10</xdr:col>
      <xdr:colOff>320040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"/>
  <sheetViews>
    <sheetView workbookViewId="0">
      <selection activeCell="F1" sqref="F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"/>
  <sheetViews>
    <sheetView topLeftCell="H31" workbookViewId="0">
      <selection activeCell="X45" sqref="X45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CC"/>
  </sheetPr>
  <dimension ref="A2:AL66"/>
  <sheetViews>
    <sheetView workbookViewId="0">
      <selection activeCell="G17" sqref="G17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03" t="s">
        <v>191</v>
      </c>
      <c r="E6" s="303"/>
      <c r="F6" s="303" t="s">
        <v>183</v>
      </c>
      <c r="G6" s="303"/>
      <c r="H6" s="303"/>
      <c r="I6" s="303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04" t="s">
        <v>194</v>
      </c>
      <c r="D20" s="304"/>
      <c r="E20" s="304"/>
      <c r="F20" s="304" t="s">
        <v>195</v>
      </c>
      <c r="G20" s="304"/>
      <c r="H20" s="304"/>
      <c r="I20" s="304" t="s">
        <v>196</v>
      </c>
      <c r="J20" s="304"/>
      <c r="K20" s="192" t="s">
        <v>197</v>
      </c>
      <c r="L20" s="187"/>
      <c r="M20" s="189" t="s">
        <v>198</v>
      </c>
      <c r="N20" s="187"/>
      <c r="O20" s="304" t="s">
        <v>194</v>
      </c>
      <c r="P20" s="304"/>
      <c r="Q20" s="304"/>
      <c r="R20" s="304" t="s">
        <v>195</v>
      </c>
      <c r="S20" s="304"/>
      <c r="T20" s="304"/>
      <c r="U20" s="304" t="s">
        <v>196</v>
      </c>
      <c r="V20" s="304"/>
      <c r="W20" s="192" t="s">
        <v>197</v>
      </c>
      <c r="X20" s="187"/>
      <c r="Y20" s="189" t="s">
        <v>199</v>
      </c>
      <c r="Z20" s="187"/>
      <c r="AA20" s="305" t="s">
        <v>200</v>
      </c>
      <c r="AB20" s="306"/>
      <c r="AC20" s="307"/>
      <c r="AD20" s="305" t="s">
        <v>201</v>
      </c>
      <c r="AE20" s="307"/>
      <c r="AF20" s="212"/>
      <c r="AG20" s="308" t="s">
        <v>202</v>
      </c>
      <c r="AH20" s="309"/>
      <c r="AI20" s="309"/>
      <c r="AJ20" s="309"/>
      <c r="AK20" s="309"/>
      <c r="AL20" s="310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11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12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12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12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12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12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12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12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13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14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12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12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12"/>
      <c r="Z34" s="262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12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12"/>
      <c r="Z36" s="262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12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12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13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222</v>
      </c>
    </row>
    <row r="43" spans="1:38" x14ac:dyDescent="0.3">
      <c r="A43" s="253" t="s">
        <v>223</v>
      </c>
      <c r="B43" s="248"/>
      <c r="C43" s="248"/>
      <c r="D43" s="248"/>
      <c r="E43" s="248"/>
      <c r="F43" s="248"/>
    </row>
    <row r="44" spans="1:38" ht="41.4" x14ac:dyDescent="0.3">
      <c r="A44" s="257" t="s">
        <v>224</v>
      </c>
      <c r="B44" s="249" t="s">
        <v>225</v>
      </c>
      <c r="C44" s="249" t="s">
        <v>226</v>
      </c>
      <c r="D44" s="249" t="s">
        <v>227</v>
      </c>
      <c r="E44" s="249" t="s">
        <v>228</v>
      </c>
      <c r="F44" s="249" t="s">
        <v>229</v>
      </c>
    </row>
    <row r="45" spans="1:38" x14ac:dyDescent="0.3">
      <c r="A45" s="258" t="s">
        <v>230</v>
      </c>
      <c r="B45" s="250">
        <v>1485207</v>
      </c>
      <c r="C45" s="250">
        <v>5940828</v>
      </c>
      <c r="D45" s="250">
        <v>5111928</v>
      </c>
      <c r="E45" s="250">
        <v>-828900</v>
      </c>
      <c r="F45" s="252">
        <v>-0.13952600546590474</v>
      </c>
    </row>
    <row r="46" spans="1:38" x14ac:dyDescent="0.3">
      <c r="A46" s="258" t="s">
        <v>231</v>
      </c>
      <c r="B46" s="250">
        <v>7509116</v>
      </c>
      <c r="C46" s="250">
        <v>30036464</v>
      </c>
      <c r="D46" s="250">
        <v>40058044</v>
      </c>
      <c r="E46" s="250">
        <v>10021580</v>
      </c>
      <c r="F46" s="252">
        <v>0.33364712970208477</v>
      </c>
    </row>
    <row r="47" spans="1:38" x14ac:dyDescent="0.3">
      <c r="A47" s="261" t="s">
        <v>232</v>
      </c>
      <c r="B47" s="250">
        <v>13463006</v>
      </c>
      <c r="C47" s="250">
        <v>53852024</v>
      </c>
      <c r="D47" s="250">
        <v>25228000</v>
      </c>
      <c r="E47" s="250">
        <v>-28624024</v>
      </c>
      <c r="F47" s="252">
        <v>-0.53153107114414122</v>
      </c>
      <c r="G47" t="s">
        <v>108</v>
      </c>
    </row>
    <row r="48" spans="1:38" x14ac:dyDescent="0.3">
      <c r="A48" s="261" t="s">
        <v>233</v>
      </c>
      <c r="B48" s="250">
        <v>865260</v>
      </c>
      <c r="C48" s="250">
        <v>3461040</v>
      </c>
      <c r="D48" s="250">
        <v>7242494</v>
      </c>
      <c r="E48" s="250">
        <v>3781454</v>
      </c>
      <c r="F48" s="252">
        <v>1.0925773755865289</v>
      </c>
      <c r="G48" t="s">
        <v>96</v>
      </c>
    </row>
    <row r="49" spans="1:7" x14ac:dyDescent="0.3">
      <c r="A49" s="258" t="s">
        <v>234</v>
      </c>
      <c r="B49" s="250">
        <v>0</v>
      </c>
      <c r="C49" s="250">
        <v>0</v>
      </c>
      <c r="D49" s="250">
        <v>0</v>
      </c>
      <c r="E49" s="250">
        <v>0</v>
      </c>
      <c r="F49" s="252"/>
    </row>
    <row r="50" spans="1:7" x14ac:dyDescent="0.3">
      <c r="A50" s="261" t="s">
        <v>235</v>
      </c>
      <c r="B50" s="250">
        <v>1852637</v>
      </c>
      <c r="C50" s="250">
        <v>7410548</v>
      </c>
      <c r="D50" s="250">
        <v>5155000</v>
      </c>
      <c r="E50" s="250">
        <v>-2255548</v>
      </c>
      <c r="F50" s="252">
        <v>-0.30436993323570671</v>
      </c>
      <c r="G50" t="s">
        <v>94</v>
      </c>
    </row>
    <row r="51" spans="1:7" x14ac:dyDescent="0.3">
      <c r="A51" s="261" t="s">
        <v>236</v>
      </c>
      <c r="B51" s="250">
        <v>1987601</v>
      </c>
      <c r="C51" s="250">
        <v>7950404</v>
      </c>
      <c r="D51" s="250">
        <v>7077000</v>
      </c>
      <c r="E51" s="250">
        <v>-873404</v>
      </c>
      <c r="F51" s="252">
        <v>-0.10985655571716858</v>
      </c>
      <c r="G51" t="s">
        <v>95</v>
      </c>
    </row>
    <row r="52" spans="1:7" x14ac:dyDescent="0.3">
      <c r="A52" s="261" t="s">
        <v>237</v>
      </c>
      <c r="B52" s="250">
        <v>7817443</v>
      </c>
      <c r="C52" s="250">
        <v>31269772</v>
      </c>
      <c r="D52" s="250">
        <v>21601934</v>
      </c>
      <c r="E52" s="250">
        <v>-9667838</v>
      </c>
      <c r="F52" s="252">
        <v>-0.30917519961450313</v>
      </c>
      <c r="G52" t="s">
        <v>93</v>
      </c>
    </row>
    <row r="53" spans="1:7" x14ac:dyDescent="0.3">
      <c r="A53" s="258" t="s">
        <v>238</v>
      </c>
      <c r="B53" s="250">
        <v>146598</v>
      </c>
      <c r="C53" s="250">
        <v>586392</v>
      </c>
      <c r="D53" s="250">
        <v>0</v>
      </c>
      <c r="E53" s="250">
        <v>-586392</v>
      </c>
      <c r="F53" s="252">
        <v>-1</v>
      </c>
    </row>
    <row r="54" spans="1:7" ht="15" thickBot="1" x14ac:dyDescent="0.35">
      <c r="A54" s="259" t="s">
        <v>103</v>
      </c>
      <c r="B54" s="251">
        <v>35126868</v>
      </c>
      <c r="C54" s="254">
        <v>140507472</v>
      </c>
      <c r="D54" s="254">
        <v>111474400</v>
      </c>
      <c r="E54" s="254">
        <v>-29033072</v>
      </c>
      <c r="F54" s="255">
        <v>-0.20663009295334842</v>
      </c>
    </row>
    <row r="55" spans="1:7" ht="15" thickTop="1" x14ac:dyDescent="0.3">
      <c r="A55" s="260"/>
      <c r="B55" s="248"/>
      <c r="C55" s="248"/>
      <c r="D55" s="248"/>
      <c r="E55" s="248"/>
      <c r="F55" s="248"/>
    </row>
    <row r="56" spans="1:7" ht="41.4" x14ac:dyDescent="0.3">
      <c r="A56" s="257" t="s">
        <v>224</v>
      </c>
      <c r="B56" s="249" t="s">
        <v>225</v>
      </c>
      <c r="C56" s="249" t="s">
        <v>226</v>
      </c>
      <c r="D56" s="249" t="s">
        <v>227</v>
      </c>
      <c r="E56" s="249" t="s">
        <v>228</v>
      </c>
      <c r="F56" s="249" t="s">
        <v>229</v>
      </c>
    </row>
    <row r="57" spans="1:7" x14ac:dyDescent="0.3">
      <c r="A57" s="258" t="s">
        <v>230</v>
      </c>
      <c r="B57" s="250">
        <v>1485207</v>
      </c>
      <c r="C57" s="252">
        <v>4.2281224730881216E-2</v>
      </c>
      <c r="D57" s="252">
        <v>4.5857416590714996E-2</v>
      </c>
      <c r="E57" s="252">
        <v>3.57619185983378E-3</v>
      </c>
      <c r="F57" s="252">
        <v>8.4581084928266353E-2</v>
      </c>
    </row>
    <row r="58" spans="1:7" x14ac:dyDescent="0.3">
      <c r="A58" s="258" t="s">
        <v>231</v>
      </c>
      <c r="B58" s="250">
        <v>7509116</v>
      </c>
      <c r="C58" s="252">
        <v>0.21377129324481761</v>
      </c>
      <c r="D58" s="252">
        <v>0.35934747350064228</v>
      </c>
      <c r="E58" s="252">
        <v>0.14557618025582467</v>
      </c>
      <c r="F58" s="252">
        <v>0.68099031467759441</v>
      </c>
    </row>
    <row r="59" spans="1:7" x14ac:dyDescent="0.3">
      <c r="A59" s="261" t="s">
        <v>232</v>
      </c>
      <c r="B59" s="250">
        <v>13463006</v>
      </c>
      <c r="C59" s="252">
        <v>0.38326804427881245</v>
      </c>
      <c r="D59" s="252">
        <v>0.22631205012092462</v>
      </c>
      <c r="E59" s="252">
        <v>-0.15695599415788783</v>
      </c>
      <c r="F59" s="252">
        <v>-0.40952016871959329</v>
      </c>
      <c r="G59" s="248" t="s">
        <v>108</v>
      </c>
    </row>
    <row r="60" spans="1:7" x14ac:dyDescent="0.3">
      <c r="A60" s="261" t="s">
        <v>233</v>
      </c>
      <c r="B60" s="250">
        <v>865260</v>
      </c>
      <c r="C60" s="252">
        <v>2.4632426665537048E-2</v>
      </c>
      <c r="D60" s="252">
        <v>6.4970020022534325E-2</v>
      </c>
      <c r="E60" s="252">
        <v>4.0337593356997277E-2</v>
      </c>
      <c r="F60" s="252">
        <v>1.6375809783058504</v>
      </c>
      <c r="G60" s="248" t="s">
        <v>96</v>
      </c>
    </row>
    <row r="61" spans="1:7" x14ac:dyDescent="0.3">
      <c r="A61" s="258" t="s">
        <v>234</v>
      </c>
      <c r="B61" s="250">
        <v>0</v>
      </c>
      <c r="C61" s="252">
        <v>0</v>
      </c>
      <c r="D61" s="252">
        <v>0</v>
      </c>
      <c r="E61" s="252">
        <v>0</v>
      </c>
      <c r="F61" s="252"/>
      <c r="G61" s="248"/>
    </row>
    <row r="62" spans="1:7" x14ac:dyDescent="0.3">
      <c r="A62" s="261" t="s">
        <v>235</v>
      </c>
      <c r="B62" s="250">
        <v>1852637</v>
      </c>
      <c r="C62" s="252">
        <v>5.2741309017359586E-2</v>
      </c>
      <c r="D62" s="252">
        <v>4.6243801267376185E-2</v>
      </c>
      <c r="E62" s="252">
        <v>-6.4975077499834014E-3</v>
      </c>
      <c r="F62" s="252">
        <v>-0.12319579985860368</v>
      </c>
      <c r="G62" s="248" t="s">
        <v>94</v>
      </c>
    </row>
    <row r="63" spans="1:7" x14ac:dyDescent="0.3">
      <c r="A63" s="261" t="s">
        <v>236</v>
      </c>
      <c r="B63" s="250">
        <v>1987601</v>
      </c>
      <c r="C63" s="252">
        <v>5.6583496143180201E-2</v>
      </c>
      <c r="D63" s="252">
        <v>6.3485428044465816E-2</v>
      </c>
      <c r="E63" s="252">
        <v>6.9019319012856156E-3</v>
      </c>
      <c r="F63" s="252">
        <v>0.12197782695895648</v>
      </c>
      <c r="G63" s="248" t="s">
        <v>95</v>
      </c>
    </row>
    <row r="64" spans="1:7" x14ac:dyDescent="0.3">
      <c r="A64" s="261" t="s">
        <v>237</v>
      </c>
      <c r="B64" s="250">
        <v>7817443</v>
      </c>
      <c r="C64" s="252">
        <v>0.2225488193254235</v>
      </c>
      <c r="D64" s="252">
        <v>0.19378381045334175</v>
      </c>
      <c r="E64" s="252">
        <v>-2.8765008872081749E-2</v>
      </c>
      <c r="F64" s="252">
        <v>-0.12925257909375795</v>
      </c>
      <c r="G64" s="248" t="s">
        <v>93</v>
      </c>
    </row>
    <row r="65" spans="1:6" x14ac:dyDescent="0.3">
      <c r="A65" s="258" t="s">
        <v>238</v>
      </c>
      <c r="B65" s="250">
        <v>146598</v>
      </c>
      <c r="C65" s="252">
        <v>4.1733865939883969E-3</v>
      </c>
      <c r="D65" s="252">
        <v>0</v>
      </c>
      <c r="E65" s="252">
        <v>-4.1733865939883969E-3</v>
      </c>
      <c r="F65" s="252">
        <v>-1</v>
      </c>
    </row>
    <row r="66" spans="1:6" ht="15" thickBot="1" x14ac:dyDescent="0.35">
      <c r="A66" s="259" t="s">
        <v>103</v>
      </c>
      <c r="B66" s="251">
        <v>35126868</v>
      </c>
      <c r="C66" s="255">
        <v>1</v>
      </c>
      <c r="D66" s="255">
        <v>1</v>
      </c>
      <c r="E66" s="255">
        <v>0</v>
      </c>
      <c r="F66" s="255">
        <v>0</v>
      </c>
    </row>
  </sheetData>
  <mergeCells count="13">
    <mergeCell ref="AA20:AC20"/>
    <mergeCell ref="AD20:AE20"/>
    <mergeCell ref="AG20:AL20"/>
    <mergeCell ref="Y22:Y30"/>
    <mergeCell ref="Y31:Y39"/>
    <mergeCell ref="D6:E6"/>
    <mergeCell ref="F6:I6"/>
    <mergeCell ref="U20:V20"/>
    <mergeCell ref="C20:E20"/>
    <mergeCell ref="F20:H20"/>
    <mergeCell ref="I20:J20"/>
    <mergeCell ref="O20:Q20"/>
    <mergeCell ref="R20:T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-0.249977111117893"/>
  </sheetPr>
  <dimension ref="A1:N47"/>
  <sheetViews>
    <sheetView tabSelected="1" workbookViewId="0">
      <selection activeCell="C7" sqref="C7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2.332031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28.2" customHeight="1" x14ac:dyDescent="0.3">
      <c r="A4" s="49" t="s">
        <v>78</v>
      </c>
      <c r="B4" s="302" t="s">
        <v>273</v>
      </c>
    </row>
    <row r="5" spans="1:14" x14ac:dyDescent="0.3">
      <c r="A5" s="48" t="s">
        <v>79</v>
      </c>
      <c r="B5" s="1" t="s">
        <v>167</v>
      </c>
      <c r="E5" s="315" t="s">
        <v>50</v>
      </c>
      <c r="F5" s="316"/>
      <c r="G5" s="316"/>
      <c r="H5" s="316"/>
      <c r="I5" s="317"/>
    </row>
    <row r="6" spans="1:14" x14ac:dyDescent="0.3">
      <c r="A6" s="48" t="s">
        <v>80</v>
      </c>
      <c r="B6" s="1" t="s">
        <v>168</v>
      </c>
      <c r="E6" s="318" t="s">
        <v>51</v>
      </c>
      <c r="F6" s="319"/>
      <c r="G6" s="319"/>
      <c r="H6" s="319"/>
      <c r="I6" s="320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9014960.9494742211</v>
      </c>
    </row>
    <row r="10" spans="1:14" ht="14.4" thickBot="1" x14ac:dyDescent="0.35">
      <c r="A10" s="50"/>
    </row>
    <row r="11" spans="1:14" ht="27.6" x14ac:dyDescent="0.3">
      <c r="A11" s="321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322"/>
      <c r="B12" s="80">
        <v>79855579</v>
      </c>
      <c r="C12" s="81">
        <f>1*B12 - 1</f>
        <v>79855578</v>
      </c>
      <c r="D12" s="82">
        <f>1*B12 + 1</f>
        <v>79855580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63">
        <v>0.7</v>
      </c>
      <c r="H14" s="263">
        <v>1.3</v>
      </c>
      <c r="I14" s="63" t="s">
        <v>98</v>
      </c>
      <c r="J14" s="63" t="s">
        <v>99</v>
      </c>
    </row>
    <row r="15" spans="1:14" ht="27.6" customHeight="1" x14ac:dyDescent="0.3">
      <c r="A15" s="323" t="s">
        <v>2</v>
      </c>
      <c r="B15" s="325" t="s">
        <v>3</v>
      </c>
      <c r="C15" s="325" t="s">
        <v>38</v>
      </c>
      <c r="D15" s="325" t="s">
        <v>169</v>
      </c>
      <c r="E15" s="326" t="s">
        <v>86</v>
      </c>
      <c r="F15" s="327"/>
      <c r="G15" s="328" t="s">
        <v>241</v>
      </c>
      <c r="H15" s="329"/>
      <c r="I15" s="328" t="s">
        <v>89</v>
      </c>
      <c r="J15" s="329"/>
      <c r="K15" s="326" t="s">
        <v>90</v>
      </c>
      <c r="L15" s="330"/>
      <c r="M15" s="330"/>
      <c r="N15" s="327"/>
    </row>
    <row r="16" spans="1:14" ht="27.6" x14ac:dyDescent="0.3">
      <c r="A16" s="324"/>
      <c r="B16" s="324"/>
      <c r="C16" s="324"/>
      <c r="D16" s="324"/>
      <c r="E16" s="105" t="s">
        <v>265</v>
      </c>
      <c r="F16" s="105" t="s">
        <v>266</v>
      </c>
      <c r="G16" s="105" t="s">
        <v>87</v>
      </c>
      <c r="H16" s="105" t="s">
        <v>88</v>
      </c>
      <c r="I16" s="62" t="s">
        <v>263</v>
      </c>
      <c r="J16" s="62" t="s">
        <v>264</v>
      </c>
      <c r="K16" s="105" t="s">
        <v>239</v>
      </c>
      <c r="L16" s="105" t="s">
        <v>240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 t="shared" ref="G17:G24" si="0">E17*$G$14</f>
        <v>4194049.3</v>
      </c>
      <c r="H17" s="73">
        <f t="shared" ref="H17:H24" si="1">E17*$H$14</f>
        <v>7788948.7000000002</v>
      </c>
      <c r="I17" s="273">
        <v>7788948.7000000002</v>
      </c>
      <c r="J17" s="64">
        <f>JANSample!F9</f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 t="shared" si="0"/>
        <v>10927304.5</v>
      </c>
      <c r="H18" s="74">
        <f t="shared" si="1"/>
        <v>20293565.5</v>
      </c>
      <c r="I18" s="274">
        <v>20293565.5</v>
      </c>
      <c r="J18" s="65">
        <f>JMTSample!F9</f>
        <v>3462495.5631605955</v>
      </c>
      <c r="K18" s="60">
        <f t="shared" ref="K18:L22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 t="shared" si="0"/>
        <v>2663301.1999999997</v>
      </c>
      <c r="H19" s="74">
        <f t="shared" si="1"/>
        <v>4946130.8</v>
      </c>
      <c r="I19" s="274">
        <v>2663301.1999999997</v>
      </c>
      <c r="J19" s="65">
        <f>JJVCH!F9</f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 t="shared" si="0"/>
        <v>3108000</v>
      </c>
      <c r="H20" s="74">
        <f t="shared" si="1"/>
        <v>5772000</v>
      </c>
      <c r="I20" s="274">
        <v>3108000</v>
      </c>
      <c r="J20" s="65">
        <f>JJMMF!F9</f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 t="shared" si="0"/>
        <v>16067799.999999998</v>
      </c>
      <c r="H21" s="74">
        <f t="shared" si="1"/>
        <v>29840200</v>
      </c>
      <c r="I21" s="274">
        <v>27063313.299997024</v>
      </c>
      <c r="J21" s="65">
        <f>JJHCC!F9</f>
        <v>1836120.2522812556</v>
      </c>
      <c r="K21" s="60">
        <f t="shared" si="2"/>
        <v>4109313.2999970242</v>
      </c>
      <c r="L21" s="60">
        <f t="shared" si="2"/>
        <v>240228.23792089266</v>
      </c>
      <c r="M21" s="61">
        <f t="shared" si="3"/>
        <v>0.17902384333872198</v>
      </c>
      <c r="N21" s="61">
        <f t="shared" si="3"/>
        <v>0.15052913089309283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 t="shared" si="0"/>
        <v>5473288.7999999998</v>
      </c>
      <c r="H22" s="74">
        <f t="shared" si="1"/>
        <v>10164679.200000001</v>
      </c>
      <c r="I22" s="274">
        <v>5473288.7999999998</v>
      </c>
      <c r="J22" s="65">
        <f>JJMCM!F9</f>
        <v>273852.79434167809</v>
      </c>
      <c r="K22" s="60">
        <f t="shared" si="2"/>
        <v>-2345695.2000000002</v>
      </c>
      <c r="L22" s="60">
        <f t="shared" si="2"/>
        <v>-104430.44679358479</v>
      </c>
      <c r="M22" s="61">
        <f t="shared" si="3"/>
        <v>-0.30000000000000004</v>
      </c>
      <c r="N22" s="61">
        <f t="shared" si="3"/>
        <v>-0.27606416419659352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3535945</v>
      </c>
      <c r="F23" s="57">
        <f>JJHCC_ACQ!I9</f>
        <v>83212.009999999995</v>
      </c>
      <c r="G23" s="74">
        <f t="shared" si="0"/>
        <v>2475161.5</v>
      </c>
      <c r="H23" s="74">
        <f t="shared" si="1"/>
        <v>4596728.5</v>
      </c>
      <c r="I23" s="274">
        <v>2475161.5</v>
      </c>
      <c r="J23" s="65">
        <f>JJHCC_ACQ!F9</f>
        <v>59085.138733214022</v>
      </c>
      <c r="K23" s="60">
        <f t="shared" ref="K23:K24" si="4">I23-E23</f>
        <v>-1060783.5</v>
      </c>
      <c r="L23" s="60">
        <f t="shared" ref="L23:L24" si="5">J23-F23</f>
        <v>-24126.871266785973</v>
      </c>
      <c r="M23" s="61">
        <f t="shared" ref="M23:M24" si="6">K23/E23</f>
        <v>-0.3</v>
      </c>
      <c r="N23" s="61">
        <f t="shared" ref="N23:N24" si="7">L23/F23</f>
        <v>-0.28994457971614884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 t="shared" si="0"/>
        <v>10990000</v>
      </c>
      <c r="H24" s="74">
        <f t="shared" si="1"/>
        <v>20410000</v>
      </c>
      <c r="I24" s="274">
        <v>10990000</v>
      </c>
      <c r="J24" s="65">
        <f>JJHCC_ADH!F9</f>
        <v>266383.4186916817</v>
      </c>
      <c r="K24" s="60">
        <f t="shared" si="4"/>
        <v>-4710000</v>
      </c>
      <c r="L24" s="60">
        <f t="shared" si="5"/>
        <v>-94449.318421719596</v>
      </c>
      <c r="M24" s="61">
        <f t="shared" si="6"/>
        <v>-0.3</v>
      </c>
      <c r="N24" s="61">
        <f t="shared" si="7"/>
        <v>-0.26175373991090056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8">SUM(E17:E24)</f>
        <v>79855579</v>
      </c>
      <c r="F25" s="77">
        <f t="shared" si="8"/>
        <v>7567899.9910694035</v>
      </c>
      <c r="G25" s="76">
        <f t="shared" si="8"/>
        <v>55898905.299999997</v>
      </c>
      <c r="H25" s="76">
        <f t="shared" si="8"/>
        <v>103812252.7</v>
      </c>
      <c r="I25" s="83">
        <f t="shared" si="8"/>
        <v>79855578.99999702</v>
      </c>
      <c r="J25" s="275">
        <f t="shared" si="8"/>
        <v>9014960.9494742211</v>
      </c>
      <c r="K25" s="76">
        <f>SUM(K17:K24)</f>
        <v>-2.9755756258964539E-6</v>
      </c>
      <c r="L25" s="275">
        <f>SUM(L17:L24)</f>
        <v>1447060.9584048197</v>
      </c>
      <c r="M25" s="79">
        <f>K25/E25</f>
        <v>-3.7261962948092255E-14</v>
      </c>
      <c r="N25" s="79">
        <f t="shared" si="3"/>
        <v>0.19121037013074199</v>
      </c>
    </row>
    <row r="29" spans="1:14" s="256" customFormat="1" x14ac:dyDescent="0.3"/>
    <row r="30" spans="1:14" ht="55.2" x14ac:dyDescent="0.3">
      <c r="A30" s="337" t="s">
        <v>242</v>
      </c>
      <c r="D30" s="291" t="s">
        <v>149</v>
      </c>
      <c r="E30" s="291" t="s">
        <v>256</v>
      </c>
      <c r="F30" s="291" t="s">
        <v>260</v>
      </c>
      <c r="G30" s="291" t="s">
        <v>257</v>
      </c>
      <c r="H30" s="291" t="s">
        <v>258</v>
      </c>
      <c r="I30" s="291" t="s">
        <v>259</v>
      </c>
    </row>
    <row r="31" spans="1:14" x14ac:dyDescent="0.3">
      <c r="A31" s="337"/>
      <c r="D31" s="292">
        <v>11.53</v>
      </c>
      <c r="E31" s="293">
        <v>1876</v>
      </c>
      <c r="F31" s="293">
        <v>1118</v>
      </c>
      <c r="G31" s="294">
        <v>194</v>
      </c>
      <c r="H31" s="295">
        <v>0.4</v>
      </c>
      <c r="I31" s="294">
        <f>(1-H31)*G31</f>
        <v>116.39999999999999</v>
      </c>
    </row>
    <row r="32" spans="1:14" ht="13.8" customHeight="1" x14ac:dyDescent="0.3">
      <c r="A32" s="331" t="s">
        <v>2</v>
      </c>
      <c r="B32" s="325" t="s">
        <v>3</v>
      </c>
      <c r="C32" s="325" t="str">
        <f t="shared" ref="C32:C42" si="9">D15</f>
        <v>Response Scaling Factor for Sensitivity Analysis</v>
      </c>
      <c r="D32" s="332" t="s">
        <v>86</v>
      </c>
      <c r="E32" s="333"/>
      <c r="F32" s="333"/>
      <c r="G32" s="334"/>
      <c r="H32" s="335" t="s">
        <v>89</v>
      </c>
      <c r="I32" s="336"/>
      <c r="J32" s="336"/>
      <c r="K32" s="332" t="s">
        <v>251</v>
      </c>
      <c r="L32" s="333"/>
      <c r="M32" s="333"/>
      <c r="N32" s="334"/>
    </row>
    <row r="33" spans="1:14" ht="74.400000000000006" customHeight="1" x14ac:dyDescent="0.3">
      <c r="A33" s="324"/>
      <c r="B33" s="324"/>
      <c r="C33" s="324">
        <f t="shared" si="9"/>
        <v>0</v>
      </c>
      <c r="D33" s="182" t="s">
        <v>244</v>
      </c>
      <c r="E33" s="182" t="s">
        <v>243</v>
      </c>
      <c r="F33" s="182" t="s">
        <v>245</v>
      </c>
      <c r="G33" s="182" t="s">
        <v>261</v>
      </c>
      <c r="H33" s="62" t="s">
        <v>249</v>
      </c>
      <c r="I33" s="62" t="s">
        <v>250</v>
      </c>
      <c r="J33" s="62" t="s">
        <v>262</v>
      </c>
      <c r="K33" s="182" t="s">
        <v>252</v>
      </c>
      <c r="L33" s="182" t="s">
        <v>253</v>
      </c>
      <c r="M33" s="182" t="s">
        <v>254</v>
      </c>
      <c r="N33" s="182" t="s">
        <v>255</v>
      </c>
    </row>
    <row r="34" spans="1:14" x14ac:dyDescent="0.3">
      <c r="A34" s="54" t="s">
        <v>13</v>
      </c>
      <c r="B34" s="54" t="s">
        <v>93</v>
      </c>
      <c r="C34" s="153">
        <f t="shared" si="9"/>
        <v>1</v>
      </c>
      <c r="D34" s="266">
        <f t="shared" ref="D34:D41" si="10">E17</f>
        <v>5991499</v>
      </c>
      <c r="E34" s="264" t="s">
        <v>185</v>
      </c>
      <c r="F34" s="268">
        <f>F17/$D$31</f>
        <v>200413.29391107525</v>
      </c>
      <c r="G34" s="270">
        <f>F34*$F$31</f>
        <v>224062062.59258214</v>
      </c>
      <c r="H34" s="276">
        <f t="shared" ref="H34:H41" si="11">I17</f>
        <v>7788948.7000000002</v>
      </c>
      <c r="I34" s="268">
        <f>J17/$D$31</f>
        <v>259498.53045725002</v>
      </c>
      <c r="J34" s="279">
        <f>I34*$F$31</f>
        <v>290119357.05120552</v>
      </c>
      <c r="K34" s="266">
        <f>H34-D34</f>
        <v>1797449.7000000002</v>
      </c>
      <c r="L34" s="266">
        <f>J34-G34</f>
        <v>66057294.458623379</v>
      </c>
      <c r="M34" s="282">
        <f>K34/D34</f>
        <v>0.30000000000000004</v>
      </c>
      <c r="N34" s="2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9"/>
        <v>1</v>
      </c>
      <c r="D35" s="267">
        <f t="shared" si="10"/>
        <v>15610435</v>
      </c>
      <c r="E35" s="265" t="s">
        <v>185</v>
      </c>
      <c r="F35" s="269">
        <f t="shared" ref="F35:F40" si="12">F18/$D$31</f>
        <v>230933.63819705584</v>
      </c>
      <c r="G35" s="271">
        <f t="shared" ref="G35:G40" si="13">F35*$F$31</f>
        <v>258183807.50430843</v>
      </c>
      <c r="H35" s="277">
        <f t="shared" si="11"/>
        <v>20293565.5</v>
      </c>
      <c r="I35" s="269">
        <f t="shared" ref="I35:I40" si="14">J18/$D$31</f>
        <v>300303.17113274895</v>
      </c>
      <c r="J35" s="280">
        <f t="shared" ref="J35:J40" si="15">I35*$F$31</f>
        <v>335738945.32641333</v>
      </c>
      <c r="K35" s="267">
        <f t="shared" ref="K35:K42" si="16">H35-D35</f>
        <v>4683130.5</v>
      </c>
      <c r="L35" s="267">
        <f t="shared" ref="L35:L42" si="17">J35-G35</f>
        <v>77555137.822104901</v>
      </c>
      <c r="M35" s="284">
        <f t="shared" ref="M35:M42" si="18">K35/D35</f>
        <v>0.3</v>
      </c>
      <c r="N35" s="285">
        <f t="shared" ref="N35:N42" si="19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9"/>
        <v>1</v>
      </c>
      <c r="D36" s="267">
        <f t="shared" si="10"/>
        <v>3804716</v>
      </c>
      <c r="E36" s="265" t="s">
        <v>185</v>
      </c>
      <c r="F36" s="269">
        <f t="shared" si="12"/>
        <v>13058.170083390574</v>
      </c>
      <c r="G36" s="271">
        <f t="shared" si="13"/>
        <v>14599034.153230662</v>
      </c>
      <c r="H36" s="277">
        <f t="shared" si="11"/>
        <v>2663301.1999999997</v>
      </c>
      <c r="I36" s="269">
        <f t="shared" si="14"/>
        <v>9140.6147807428988</v>
      </c>
      <c r="J36" s="280">
        <f t="shared" si="15"/>
        <v>10219207.32487056</v>
      </c>
      <c r="K36" s="267">
        <f t="shared" si="16"/>
        <v>-1141414.8000000003</v>
      </c>
      <c r="L36" s="267">
        <f t="shared" si="17"/>
        <v>-4379826.8283601012</v>
      </c>
      <c r="M36" s="284">
        <f t="shared" si="18"/>
        <v>-0.3000000000000001</v>
      </c>
      <c r="N36" s="285">
        <f t="shared" si="19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9"/>
        <v>1</v>
      </c>
      <c r="D37" s="267">
        <f t="shared" si="10"/>
        <v>4440000</v>
      </c>
      <c r="E37" s="265" t="s">
        <v>185</v>
      </c>
      <c r="F37" s="269">
        <f>F20/$D$31</f>
        <v>2228.0277703496668</v>
      </c>
      <c r="G37" s="271">
        <f>F37*$F$31</f>
        <v>2490935.0472509274</v>
      </c>
      <c r="H37" s="277">
        <f t="shared" si="11"/>
        <v>3108000</v>
      </c>
      <c r="I37" s="269">
        <f t="shared" si="14"/>
        <v>1701.1654528829024</v>
      </c>
      <c r="J37" s="280">
        <f t="shared" si="15"/>
        <v>1901902.9763230849</v>
      </c>
      <c r="K37" s="267">
        <f t="shared" si="16"/>
        <v>-1332000</v>
      </c>
      <c r="L37" s="267">
        <f t="shared" si="17"/>
        <v>-589032.07092784252</v>
      </c>
      <c r="M37" s="284">
        <f t="shared" si="18"/>
        <v>-0.3</v>
      </c>
      <c r="N37" s="285">
        <f t="shared" si="19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9"/>
        <v>1</v>
      </c>
      <c r="D38" s="267">
        <f t="shared" si="10"/>
        <v>22954000</v>
      </c>
      <c r="E38" s="265" t="s">
        <v>185</v>
      </c>
      <c r="F38" s="269">
        <f t="shared" si="12"/>
        <v>138412.14348311909</v>
      </c>
      <c r="G38" s="271">
        <f t="shared" si="13"/>
        <v>154744776.41412714</v>
      </c>
      <c r="H38" s="277">
        <f t="shared" si="11"/>
        <v>27063313.299997024</v>
      </c>
      <c r="I38" s="269">
        <f t="shared" si="14"/>
        <v>159247.20314668305</v>
      </c>
      <c r="J38" s="280">
        <f t="shared" si="15"/>
        <v>178038373.11799166</v>
      </c>
      <c r="K38" s="267">
        <f t="shared" si="16"/>
        <v>4109313.2999970242</v>
      </c>
      <c r="L38" s="267">
        <f t="shared" si="17"/>
        <v>23293596.703864515</v>
      </c>
      <c r="M38" s="284">
        <f t="shared" si="18"/>
        <v>0.17902384333872198</v>
      </c>
      <c r="N38" s="285">
        <f t="shared" si="19"/>
        <v>0.15052913089309275</v>
      </c>
    </row>
    <row r="39" spans="1:14" x14ac:dyDescent="0.3">
      <c r="A39" s="55" t="s">
        <v>104</v>
      </c>
      <c r="B39" s="55" t="s">
        <v>96</v>
      </c>
      <c r="C39" s="154">
        <f t="shared" si="9"/>
        <v>1</v>
      </c>
      <c r="D39" s="267">
        <f t="shared" si="10"/>
        <v>7818984</v>
      </c>
      <c r="E39" s="265" t="s">
        <v>185</v>
      </c>
      <c r="F39" s="269">
        <f t="shared" si="12"/>
        <v>32808.607210343704</v>
      </c>
      <c r="G39" s="271">
        <f t="shared" si="13"/>
        <v>36680022.861164257</v>
      </c>
      <c r="H39" s="277">
        <f t="shared" si="11"/>
        <v>5473288.7999999998</v>
      </c>
      <c r="I39" s="269">
        <f t="shared" si="14"/>
        <v>23751.326482365839</v>
      </c>
      <c r="J39" s="280">
        <f t="shared" si="15"/>
        <v>26553983.007285006</v>
      </c>
      <c r="K39" s="267">
        <f t="shared" si="16"/>
        <v>-2345695.2000000002</v>
      </c>
      <c r="L39" s="267">
        <f t="shared" si="17"/>
        <v>-10126039.853879251</v>
      </c>
      <c r="M39" s="284">
        <f t="shared" si="18"/>
        <v>-0.30000000000000004</v>
      </c>
      <c r="N39" s="285">
        <f t="shared" si="19"/>
        <v>-0.27606416419659346</v>
      </c>
    </row>
    <row r="40" spans="1:14" x14ac:dyDescent="0.3">
      <c r="A40" s="55" t="s">
        <v>104</v>
      </c>
      <c r="B40" s="55" t="s">
        <v>177</v>
      </c>
      <c r="C40" s="154">
        <f t="shared" si="9"/>
        <v>1</v>
      </c>
      <c r="D40" s="267">
        <f t="shared" si="10"/>
        <v>3535945</v>
      </c>
      <c r="E40" s="265" t="s">
        <v>185</v>
      </c>
      <c r="F40" s="269">
        <f t="shared" si="12"/>
        <v>7217</v>
      </c>
      <c r="G40" s="271">
        <f t="shared" si="13"/>
        <v>8068606</v>
      </c>
      <c r="H40" s="277">
        <f t="shared" si="11"/>
        <v>2475161.5</v>
      </c>
      <c r="I40" s="269">
        <f t="shared" si="14"/>
        <v>5124.469968188554</v>
      </c>
      <c r="J40" s="280">
        <f t="shared" si="15"/>
        <v>5729157.4244348034</v>
      </c>
      <c r="K40" s="267">
        <f t="shared" si="16"/>
        <v>-1060783.5</v>
      </c>
      <c r="L40" s="267">
        <f t="shared" si="17"/>
        <v>-2339448.5755651966</v>
      </c>
      <c r="M40" s="284">
        <f t="shared" si="18"/>
        <v>-0.3</v>
      </c>
      <c r="N40" s="285">
        <f t="shared" si="19"/>
        <v>-0.28994457971614879</v>
      </c>
    </row>
    <row r="41" spans="1:14" x14ac:dyDescent="0.3">
      <c r="A41" s="55" t="s">
        <v>104</v>
      </c>
      <c r="B41" s="55" t="s">
        <v>172</v>
      </c>
      <c r="C41" s="154">
        <f t="shared" si="9"/>
        <v>1</v>
      </c>
      <c r="D41" s="267">
        <f t="shared" si="10"/>
        <v>15700000</v>
      </c>
      <c r="E41" s="287" t="s">
        <v>184</v>
      </c>
      <c r="F41" s="269">
        <f t="shared" ref="F41" si="20">F24</f>
        <v>360832.73711340129</v>
      </c>
      <c r="G41" s="271">
        <f>F41*$I$31</f>
        <v>42000930.599999905</v>
      </c>
      <c r="H41" s="277">
        <f t="shared" si="11"/>
        <v>10990000</v>
      </c>
      <c r="I41" s="269">
        <f>J24</f>
        <v>266383.4186916817</v>
      </c>
      <c r="J41" s="280">
        <f>I41*$I$31</f>
        <v>31007029.935711749</v>
      </c>
      <c r="K41" s="267">
        <f t="shared" si="16"/>
        <v>-4710000</v>
      </c>
      <c r="L41" s="267">
        <f t="shared" si="17"/>
        <v>-10993900.664288156</v>
      </c>
      <c r="M41" s="284">
        <f t="shared" si="18"/>
        <v>-0.3</v>
      </c>
      <c r="N41" s="285">
        <f t="shared" si="19"/>
        <v>-0.26175373991090045</v>
      </c>
    </row>
    <row r="42" spans="1:14" x14ac:dyDescent="0.3">
      <c r="A42" s="75" t="s">
        <v>104</v>
      </c>
      <c r="B42" s="75" t="s">
        <v>103</v>
      </c>
      <c r="C42" s="75">
        <f t="shared" si="9"/>
        <v>0</v>
      </c>
      <c r="D42" s="76">
        <f>SUM(D34:D41)</f>
        <v>79855579</v>
      </c>
      <c r="E42" s="77"/>
      <c r="F42" s="77"/>
      <c r="G42" s="272">
        <f>SUM(G34:G41)</f>
        <v>740830175.17266345</v>
      </c>
      <c r="H42" s="278">
        <f>SUM(H34:H41)</f>
        <v>79855578.99999702</v>
      </c>
      <c r="I42" s="77"/>
      <c r="J42" s="281">
        <f>SUM(J34:J41)</f>
        <v>879307956.16423571</v>
      </c>
      <c r="K42" s="76">
        <f t="shared" si="16"/>
        <v>-2.9802322387695313E-6</v>
      </c>
      <c r="L42" s="300">
        <f t="shared" si="17"/>
        <v>138477780.99157226</v>
      </c>
      <c r="M42" s="79">
        <f t="shared" si="18"/>
        <v>-3.7320275879153432E-14</v>
      </c>
      <c r="N42" s="286">
        <f t="shared" si="19"/>
        <v>0.18692243598109051</v>
      </c>
    </row>
    <row r="43" spans="1:14" x14ac:dyDescent="0.3">
      <c r="D43" s="288">
        <v>0.54</v>
      </c>
      <c r="E43" s="288">
        <v>0.34</v>
      </c>
      <c r="F43" s="185" t="s">
        <v>246</v>
      </c>
      <c r="G43" s="289">
        <f>SUM(G34:G40)*$E$43 + (G41*$D$43)</f>
        <v>260282445.67870557</v>
      </c>
      <c r="H43" s="256"/>
      <c r="I43" s="183"/>
      <c r="J43" s="289">
        <f>SUM(J34:J40)*$E$43 + (J41*$D$43)</f>
        <v>305166111.08298248</v>
      </c>
      <c r="K43" s="256"/>
      <c r="L43" s="289">
        <f>SUM(L34:L40)*$E$43 + (L41*$D$43)</f>
        <v>44883665.404276945</v>
      </c>
      <c r="M43" s="301">
        <f>L43/L42</f>
        <v>0.32412178389115404</v>
      </c>
      <c r="N43" s="290">
        <f>N42*(L43/L42)</f>
        <v>6.0585633399471095E-2</v>
      </c>
    </row>
    <row r="44" spans="1:14" x14ac:dyDescent="0.3">
      <c r="D44" s="288">
        <v>0.46</v>
      </c>
      <c r="E44" s="288">
        <v>0.39</v>
      </c>
      <c r="F44" s="185" t="s">
        <v>247</v>
      </c>
      <c r="G44" s="289">
        <f>SUM(G34:G40)*$E$44 + (G41*$D$44)</f>
        <v>291863833.45933878</v>
      </c>
      <c r="H44" s="256"/>
      <c r="I44" s="183"/>
      <c r="J44" s="289">
        <f>SUM(J34:J40)*$E$44 + (J41*$D$44)</f>
        <v>345100594.99955177</v>
      </c>
      <c r="K44" s="256"/>
      <c r="L44" s="289">
        <f>SUM(L34:L40)*$E$44 + (L41*$D$44)</f>
        <v>53236761.540213011</v>
      </c>
      <c r="M44" s="301">
        <f>L44/L42</f>
        <v>0.38444262436190391</v>
      </c>
      <c r="N44" s="290">
        <f>N42*(L44/L42)</f>
        <v>7.1860951840690412E-2</v>
      </c>
    </row>
    <row r="45" spans="1:14" x14ac:dyDescent="0.3">
      <c r="D45" s="288">
        <v>0</v>
      </c>
      <c r="E45" s="288">
        <v>0.27</v>
      </c>
      <c r="F45" s="185" t="s">
        <v>248</v>
      </c>
      <c r="G45" s="289">
        <f>SUM(G34:G40)*$E$45 + (G41*$D$45)</f>
        <v>188683896.03461918</v>
      </c>
      <c r="H45" s="256"/>
      <c r="I45" s="183"/>
      <c r="J45" s="289">
        <f>SUM(J34:J40)*$E$45 + (J41*$D$45)</f>
        <v>229041250.08170149</v>
      </c>
      <c r="K45" s="256"/>
      <c r="L45" s="289">
        <f>SUM(L34:L40)*$E$45 + (L41*$D$45)</f>
        <v>40357354.04708232</v>
      </c>
      <c r="M45" s="301">
        <f>L45/L42</f>
        <v>0.29143559174694217</v>
      </c>
      <c r="N45" s="290">
        <f>N42*(L45/L42)</f>
        <v>5.4475850740929026E-2</v>
      </c>
    </row>
    <row r="46" spans="1:14" x14ac:dyDescent="0.3">
      <c r="D46" s="1" t="s">
        <v>184</v>
      </c>
      <c r="E46" s="1" t="s">
        <v>271</v>
      </c>
    </row>
    <row r="47" spans="1:14" ht="27.6" x14ac:dyDescent="0.3">
      <c r="D47" s="186" t="s">
        <v>272</v>
      </c>
    </row>
  </sheetData>
  <mergeCells count="18">
    <mergeCell ref="K15:N15"/>
    <mergeCell ref="A32:A33"/>
    <mergeCell ref="B32:B33"/>
    <mergeCell ref="C32:C33"/>
    <mergeCell ref="D32:G32"/>
    <mergeCell ref="H32:J32"/>
    <mergeCell ref="K32:N32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D1" workbookViewId="0">
      <selection activeCell="D9" sqref="D9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338" t="s">
        <v>105</v>
      </c>
      <c r="I2" s="339"/>
      <c r="J2" s="339"/>
      <c r="K2" s="339"/>
      <c r="L2" s="339"/>
      <c r="M2" s="339"/>
      <c r="N2" s="34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41" t="s">
        <v>136</v>
      </c>
      <c r="I3" s="342"/>
      <c r="J3" s="342"/>
      <c r="K3" s="342"/>
      <c r="L3" s="342"/>
      <c r="M3" s="342"/>
      <c r="N3" s="343"/>
    </row>
    <row r="4" spans="1:14" ht="18.600000000000001" customHeight="1" thickBot="1" x14ac:dyDescent="0.35">
      <c r="A4" s="29" t="s">
        <v>38</v>
      </c>
      <c r="B4" s="344" t="s">
        <v>131</v>
      </c>
      <c r="C4" s="345"/>
      <c r="D4" s="345"/>
      <c r="E4" s="345"/>
      <c r="F4" s="346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47" t="s">
        <v>12</v>
      </c>
      <c r="E7" s="348"/>
      <c r="F7" s="349"/>
      <c r="G7" s="347" t="s">
        <v>143</v>
      </c>
      <c r="H7" s="348"/>
      <c r="I7" s="350"/>
      <c r="J7" s="1" t="s">
        <v>144</v>
      </c>
    </row>
    <row r="8" spans="1:14" ht="27.6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6"/>
      <c r="B9" s="112">
        <f>JJ_Optim_Scenario!G17</f>
        <v>4194049.3</v>
      </c>
      <c r="C9" s="113">
        <f>JJ_Optim_Scenario!H17</f>
        <v>7788948.7000000002</v>
      </c>
      <c r="D9" s="114">
        <f>JJ_Optim_Scenario!I17</f>
        <v>7788948.7000000002</v>
      </c>
      <c r="E9" s="119">
        <f>$B$13*D9+$C$13*D9*D9</f>
        <v>259498.53045724996</v>
      </c>
      <c r="F9" s="85">
        <f>$E$13*D9+$F$13*D9*D9</f>
        <v>2992018.0561720924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354" t="s">
        <v>42</v>
      </c>
      <c r="B11" s="348" t="s">
        <v>138</v>
      </c>
      <c r="C11" s="348"/>
      <c r="D11" s="348" t="s">
        <v>125</v>
      </c>
      <c r="E11" s="348" t="s">
        <v>137</v>
      </c>
      <c r="F11" s="348"/>
      <c r="G11" s="350" t="s">
        <v>134</v>
      </c>
      <c r="I11" s="141"/>
      <c r="J11" s="32"/>
    </row>
    <row r="12" spans="1:14" ht="24.6" customHeight="1" x14ac:dyDescent="0.3">
      <c r="A12" s="355"/>
      <c r="B12" s="91" t="s">
        <v>43</v>
      </c>
      <c r="C12" s="91" t="s">
        <v>44</v>
      </c>
      <c r="D12" s="337"/>
      <c r="E12" s="91" t="s">
        <v>132</v>
      </c>
      <c r="F12" s="91" t="s">
        <v>133</v>
      </c>
      <c r="G12" s="351"/>
      <c r="H12" s="298" t="s">
        <v>267</v>
      </c>
      <c r="I12" s="298" t="s">
        <v>268</v>
      </c>
      <c r="J12" s="32"/>
    </row>
    <row r="13" spans="1:14" ht="14.4" thickBot="1" x14ac:dyDescent="0.35">
      <c r="A13" s="356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96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2" t="s">
        <v>135</v>
      </c>
      <c r="B14" s="352"/>
      <c r="C14" s="352"/>
      <c r="D14" s="352"/>
      <c r="E14" s="352"/>
      <c r="F14" s="352"/>
      <c r="G14" s="352"/>
      <c r="H14" s="39"/>
      <c r="I14" s="39"/>
      <c r="J14" s="39"/>
    </row>
    <row r="15" spans="1:14" ht="30.6" customHeight="1" x14ac:dyDescent="0.3">
      <c r="A15" s="353"/>
      <c r="B15" s="353"/>
      <c r="C15" s="353"/>
      <c r="D15" s="353"/>
      <c r="E15" s="353"/>
      <c r="F15" s="353"/>
      <c r="G15" s="353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58"/>
      <c r="B19" s="103">
        <v>0</v>
      </c>
      <c r="C19" s="103">
        <v>15000000</v>
      </c>
      <c r="D19" s="26">
        <v>20</v>
      </c>
    </row>
    <row r="21" spans="1:4" x14ac:dyDescent="0.3">
      <c r="A21" s="337" t="s">
        <v>37</v>
      </c>
      <c r="B21" s="337"/>
      <c r="C21" s="33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2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9">
        <f t="shared" si="2"/>
        <v>549741061.89992487</v>
      </c>
    </row>
  </sheetData>
  <mergeCells count="15">
    <mergeCell ref="A7:A9"/>
    <mergeCell ref="B7:C7"/>
    <mergeCell ref="A21:C21"/>
    <mergeCell ref="B11:C11"/>
    <mergeCell ref="D11:D12"/>
    <mergeCell ref="E11:F11"/>
    <mergeCell ref="G11:G12"/>
    <mergeCell ref="A14:G15"/>
    <mergeCell ref="A11:A13"/>
    <mergeCell ref="A18:A19"/>
    <mergeCell ref="H2:N2"/>
    <mergeCell ref="H3:N3"/>
    <mergeCell ref="B4:F4"/>
    <mergeCell ref="D7:F7"/>
    <mergeCell ref="G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workbookViewId="0">
      <selection activeCell="D9" sqref="D9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338" t="s">
        <v>105</v>
      </c>
      <c r="I2" s="339"/>
      <c r="J2" s="339"/>
      <c r="K2" s="339"/>
      <c r="L2" s="339"/>
      <c r="M2" s="339"/>
      <c r="N2" s="34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41" t="s">
        <v>136</v>
      </c>
      <c r="I3" s="342"/>
      <c r="J3" s="342"/>
      <c r="K3" s="342"/>
      <c r="L3" s="342"/>
      <c r="M3" s="342"/>
      <c r="N3" s="343"/>
    </row>
    <row r="4" spans="1:14" ht="18.600000000000001" customHeight="1" thickBot="1" x14ac:dyDescent="0.35">
      <c r="A4" s="29" t="s">
        <v>38</v>
      </c>
      <c r="B4" s="344" t="s">
        <v>131</v>
      </c>
      <c r="C4" s="345"/>
      <c r="D4" s="345"/>
      <c r="E4" s="345"/>
      <c r="F4" s="346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47" t="s">
        <v>12</v>
      </c>
      <c r="E7" s="348"/>
      <c r="F7" s="349"/>
      <c r="G7" s="347" t="s">
        <v>143</v>
      </c>
      <c r="H7" s="348"/>
      <c r="I7" s="350"/>
      <c r="J7" s="1" t="s">
        <v>144</v>
      </c>
    </row>
    <row r="8" spans="1:14" ht="27.6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6"/>
      <c r="B9" s="112">
        <f>JJ_Optim_Scenario!G18</f>
        <v>10927304.5</v>
      </c>
      <c r="C9" s="113">
        <f>JJ_Optim_Scenario!H18</f>
        <v>20293565.5</v>
      </c>
      <c r="D9" s="114">
        <f>JJ_Optim_Scenario!I18</f>
        <v>20293565.5</v>
      </c>
      <c r="E9" s="119">
        <f>$B$13*D9+$C$13*D9*D9</f>
        <v>300303.17113274895</v>
      </c>
      <c r="F9" s="85">
        <f>$E$13*D9+$F$13*D9*D9</f>
        <v>3462495.5631605955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354" t="s">
        <v>42</v>
      </c>
      <c r="B11" s="348" t="s">
        <v>138</v>
      </c>
      <c r="C11" s="348"/>
      <c r="D11" s="348" t="s">
        <v>125</v>
      </c>
      <c r="E11" s="348" t="s">
        <v>137</v>
      </c>
      <c r="F11" s="348"/>
      <c r="G11" s="350" t="s">
        <v>134</v>
      </c>
      <c r="J11" s="32"/>
    </row>
    <row r="12" spans="1:14" ht="24.6" customHeight="1" x14ac:dyDescent="0.3">
      <c r="A12" s="355"/>
      <c r="B12" s="91" t="s">
        <v>43</v>
      </c>
      <c r="C12" s="91" t="s">
        <v>44</v>
      </c>
      <c r="D12" s="337"/>
      <c r="E12" s="91" t="s">
        <v>132</v>
      </c>
      <c r="F12" s="91" t="s">
        <v>133</v>
      </c>
      <c r="G12" s="351"/>
      <c r="H12" s="298" t="s">
        <v>267</v>
      </c>
      <c r="I12" s="298" t="s">
        <v>268</v>
      </c>
      <c r="J12" s="32"/>
    </row>
    <row r="13" spans="1:14" ht="14.4" thickBot="1" x14ac:dyDescent="0.35">
      <c r="A13" s="356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96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2" t="s">
        <v>135</v>
      </c>
      <c r="B14" s="352"/>
      <c r="C14" s="352"/>
      <c r="D14" s="352"/>
      <c r="E14" s="352"/>
      <c r="F14" s="352"/>
      <c r="G14" s="352"/>
      <c r="H14" s="39"/>
      <c r="I14" s="39"/>
      <c r="J14" s="39"/>
    </row>
    <row r="15" spans="1:14" ht="30.6" customHeight="1" x14ac:dyDescent="0.3">
      <c r="A15" s="353"/>
      <c r="B15" s="353"/>
      <c r="C15" s="353"/>
      <c r="D15" s="353"/>
      <c r="E15" s="353"/>
      <c r="F15" s="353"/>
      <c r="G15" s="353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58"/>
      <c r="B19" s="103">
        <v>0</v>
      </c>
      <c r="C19" s="103">
        <v>40000000</v>
      </c>
      <c r="D19" s="26">
        <v>20</v>
      </c>
    </row>
    <row r="21" spans="1:4" x14ac:dyDescent="0.3">
      <c r="A21" s="337" t="s">
        <v>37</v>
      </c>
      <c r="B21" s="337"/>
      <c r="C21" s="33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2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9">
        <f t="shared" si="2"/>
        <v>662593713.01496136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workbookViewId="0">
      <selection activeCell="D9" sqref="D9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38" t="s">
        <v>105</v>
      </c>
      <c r="I2" s="339"/>
      <c r="J2" s="339"/>
      <c r="K2" s="339"/>
      <c r="L2" s="339"/>
      <c r="M2" s="339"/>
      <c r="N2" s="34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41" t="s">
        <v>136</v>
      </c>
      <c r="I3" s="342"/>
      <c r="J3" s="342"/>
      <c r="K3" s="342"/>
      <c r="L3" s="342"/>
      <c r="M3" s="342"/>
      <c r="N3" s="343"/>
    </row>
    <row r="4" spans="1:14" ht="18.600000000000001" customHeight="1" thickBot="1" x14ac:dyDescent="0.35">
      <c r="A4" s="29" t="s">
        <v>38</v>
      </c>
      <c r="B4" s="344" t="s">
        <v>131</v>
      </c>
      <c r="C4" s="345"/>
      <c r="D4" s="345"/>
      <c r="E4" s="345"/>
      <c r="F4" s="346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47" t="s">
        <v>12</v>
      </c>
      <c r="E7" s="348"/>
      <c r="F7" s="349"/>
      <c r="G7" s="347" t="s">
        <v>143</v>
      </c>
      <c r="H7" s="348"/>
      <c r="I7" s="350"/>
      <c r="J7" s="1" t="s">
        <v>144</v>
      </c>
    </row>
    <row r="8" spans="1:14" ht="27.6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6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354" t="s">
        <v>42</v>
      </c>
      <c r="B11" s="348" t="s">
        <v>138</v>
      </c>
      <c r="C11" s="348"/>
      <c r="D11" s="348" t="s">
        <v>125</v>
      </c>
      <c r="E11" s="348" t="s">
        <v>137</v>
      </c>
      <c r="F11" s="348"/>
      <c r="G11" s="350" t="s">
        <v>134</v>
      </c>
      <c r="J11" s="32"/>
    </row>
    <row r="12" spans="1:14" ht="24.6" customHeight="1" x14ac:dyDescent="0.3">
      <c r="A12" s="355"/>
      <c r="B12" s="91" t="s">
        <v>43</v>
      </c>
      <c r="C12" s="91" t="s">
        <v>44</v>
      </c>
      <c r="D12" s="337"/>
      <c r="E12" s="91" t="s">
        <v>132</v>
      </c>
      <c r="F12" s="91" t="s">
        <v>133</v>
      </c>
      <c r="G12" s="351"/>
      <c r="H12" s="298" t="s">
        <v>267</v>
      </c>
      <c r="I12" s="298" t="s">
        <v>268</v>
      </c>
      <c r="J12" s="32"/>
    </row>
    <row r="13" spans="1:14" ht="14.4" thickBot="1" x14ac:dyDescent="0.35">
      <c r="A13" s="356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2" t="s">
        <v>135</v>
      </c>
      <c r="B14" s="352"/>
      <c r="C14" s="352"/>
      <c r="D14" s="352"/>
      <c r="E14" s="352"/>
      <c r="F14" s="352"/>
      <c r="G14" s="352"/>
      <c r="H14" s="39"/>
      <c r="I14" s="39"/>
      <c r="J14" s="39"/>
    </row>
    <row r="15" spans="1:14" ht="30.6" customHeight="1" x14ac:dyDescent="0.3">
      <c r="A15" s="353"/>
      <c r="B15" s="353"/>
      <c r="C15" s="353"/>
      <c r="D15" s="353"/>
      <c r="E15" s="353"/>
      <c r="F15" s="353"/>
      <c r="G15" s="353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58"/>
      <c r="B19" s="103">
        <v>0</v>
      </c>
      <c r="C19" s="103">
        <v>60000000</v>
      </c>
      <c r="D19" s="26">
        <v>20</v>
      </c>
    </row>
    <row r="21" spans="1:4" x14ac:dyDescent="0.3">
      <c r="A21" s="337" t="s">
        <v>37</v>
      </c>
      <c r="B21" s="337"/>
      <c r="C21" s="33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2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9">
        <f t="shared" si="2"/>
        <v>1252762298.4731474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>
      <selection activeCell="G9" sqref="G9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38" t="s">
        <v>105</v>
      </c>
      <c r="I2" s="339"/>
      <c r="J2" s="339"/>
      <c r="K2" s="339"/>
      <c r="L2" s="339"/>
      <c r="M2" s="339"/>
      <c r="N2" s="340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341" t="s">
        <v>136</v>
      </c>
      <c r="I3" s="342"/>
      <c r="J3" s="342"/>
      <c r="K3" s="342"/>
      <c r="L3" s="342"/>
      <c r="M3" s="342"/>
      <c r="N3" s="343"/>
    </row>
    <row r="4" spans="1:14" ht="18.600000000000001" customHeight="1" thickBot="1" x14ac:dyDescent="0.35">
      <c r="A4" s="29" t="s">
        <v>38</v>
      </c>
      <c r="B4" s="344" t="s">
        <v>131</v>
      </c>
      <c r="C4" s="345"/>
      <c r="D4" s="345"/>
      <c r="E4" s="345"/>
      <c r="F4" s="346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47" t="s">
        <v>12</v>
      </c>
      <c r="E7" s="348"/>
      <c r="F7" s="349"/>
      <c r="G7" s="347" t="s">
        <v>143</v>
      </c>
      <c r="H7" s="348"/>
      <c r="I7" s="350"/>
      <c r="J7" s="1" t="s">
        <v>144</v>
      </c>
    </row>
    <row r="8" spans="1:14" ht="27.6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6"/>
      <c r="B9" s="112">
        <f>JJ_Optim_Scenario!G19</f>
        <v>2663301.1999999997</v>
      </c>
      <c r="C9" s="113">
        <f>JJ_Optim_Scenario!H19</f>
        <v>4946130.8</v>
      </c>
      <c r="D9" s="114">
        <f>JJ_Optim_Scenario!I19</f>
        <v>2663301.1999999997</v>
      </c>
      <c r="E9" s="119">
        <f>$B$13*D9+$C$13*D9*D9</f>
        <v>9140.6147807429006</v>
      </c>
      <c r="F9" s="85">
        <f>$E$13*D9+$F$13*D9*D9</f>
        <v>105391.28842196563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354" t="s">
        <v>42</v>
      </c>
      <c r="B11" s="348" t="s">
        <v>138</v>
      </c>
      <c r="C11" s="348"/>
      <c r="D11" s="348" t="s">
        <v>125</v>
      </c>
      <c r="E11" s="348" t="s">
        <v>137</v>
      </c>
      <c r="F11" s="348"/>
      <c r="G11" s="350" t="s">
        <v>134</v>
      </c>
      <c r="J11" s="32"/>
    </row>
    <row r="12" spans="1:14" ht="24.6" customHeight="1" x14ac:dyDescent="0.3">
      <c r="A12" s="355"/>
      <c r="B12" s="91" t="s">
        <v>43</v>
      </c>
      <c r="C12" s="91" t="s">
        <v>44</v>
      </c>
      <c r="D12" s="337"/>
      <c r="E12" s="91" t="s">
        <v>132</v>
      </c>
      <c r="F12" s="91" t="s">
        <v>133</v>
      </c>
      <c r="G12" s="351"/>
      <c r="H12" s="298" t="s">
        <v>267</v>
      </c>
      <c r="I12" s="298" t="s">
        <v>268</v>
      </c>
      <c r="J12" s="32"/>
    </row>
    <row r="13" spans="1:14" ht="14.4" thickBot="1" x14ac:dyDescent="0.35">
      <c r="A13" s="356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96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2" t="s">
        <v>135</v>
      </c>
      <c r="B14" s="352"/>
      <c r="C14" s="352"/>
      <c r="D14" s="352"/>
      <c r="E14" s="352"/>
      <c r="F14" s="352"/>
      <c r="G14" s="352"/>
      <c r="H14" s="39"/>
      <c r="I14" s="39"/>
      <c r="J14" s="39"/>
    </row>
    <row r="15" spans="1:14" ht="30.6" customHeight="1" x14ac:dyDescent="0.3">
      <c r="A15" s="353"/>
      <c r="B15" s="353"/>
      <c r="C15" s="353"/>
      <c r="D15" s="353"/>
      <c r="E15" s="353"/>
      <c r="F15" s="353"/>
      <c r="G15" s="353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58"/>
      <c r="B19" s="103">
        <v>0</v>
      </c>
      <c r="C19" s="103">
        <v>10000000</v>
      </c>
      <c r="D19" s="26">
        <v>20</v>
      </c>
    </row>
    <row r="21" spans="1:4" x14ac:dyDescent="0.3">
      <c r="A21" s="337" t="s">
        <v>37</v>
      </c>
      <c r="B21" s="337"/>
      <c r="C21" s="33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2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9">
        <f t="shared" si="2"/>
        <v>38373266.546987124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D1" workbookViewId="0">
      <selection activeCell="L31" sqref="L3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315" t="s">
        <v>105</v>
      </c>
      <c r="N2" s="316"/>
      <c r="O2" s="316"/>
      <c r="P2" s="316"/>
      <c r="Q2" s="316"/>
      <c r="R2" s="316"/>
      <c r="S2" s="317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318" t="s">
        <v>72</v>
      </c>
      <c r="N3" s="319"/>
      <c r="O3" s="319"/>
      <c r="P3" s="319"/>
      <c r="Q3" s="319"/>
      <c r="R3" s="319"/>
      <c r="S3" s="320"/>
    </row>
    <row r="4" spans="1:25" ht="15" customHeight="1" thickBot="1" x14ac:dyDescent="0.35">
      <c r="A4" s="29" t="s">
        <v>38</v>
      </c>
      <c r="B4" s="344" t="s">
        <v>57</v>
      </c>
      <c r="C4" s="345"/>
      <c r="D4" s="345"/>
      <c r="E4" s="345"/>
      <c r="F4" s="346"/>
    </row>
    <row r="6" spans="1:25" ht="14.4" thickBot="1" x14ac:dyDescent="0.35"/>
    <row r="7" spans="1:25" ht="27.6" customHeight="1" x14ac:dyDescent="0.3">
      <c r="A7" s="354" t="s">
        <v>8</v>
      </c>
      <c r="B7" s="348" t="s">
        <v>9</v>
      </c>
      <c r="C7" s="348"/>
      <c r="D7" s="348" t="s">
        <v>12</v>
      </c>
      <c r="E7" s="348"/>
      <c r="F7" s="348"/>
      <c r="G7" s="348" t="s">
        <v>143</v>
      </c>
      <c r="H7" s="348"/>
      <c r="I7" s="350"/>
      <c r="J7" s="360" t="s">
        <v>144</v>
      </c>
      <c r="K7" s="361"/>
      <c r="M7" s="359" t="s">
        <v>73</v>
      </c>
      <c r="N7" s="359"/>
      <c r="O7" s="359"/>
      <c r="P7" s="359"/>
      <c r="R7" s="47" t="s">
        <v>58</v>
      </c>
    </row>
    <row r="8" spans="1:25" ht="27.6" x14ac:dyDescent="0.3">
      <c r="A8" s="355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359"/>
      <c r="N8" s="359"/>
      <c r="O8" s="359"/>
      <c r="P8" s="359"/>
      <c r="R8" s="47" t="s">
        <v>59</v>
      </c>
    </row>
    <row r="9" spans="1:25" ht="14.4" thickBot="1" x14ac:dyDescent="0.35">
      <c r="A9" s="356"/>
      <c r="B9" s="112">
        <f>JJ_Optim_Scenario!G20</f>
        <v>3108000</v>
      </c>
      <c r="C9" s="112">
        <f>JJ_Optim_Scenario!H20</f>
        <v>5772000</v>
      </c>
      <c r="D9" s="117">
        <f>JJ_Optim_Scenario!I20</f>
        <v>3108000</v>
      </c>
      <c r="E9" s="118">
        <f>csplinePred($B$14:$B$20,$C$14:$C$20,$H$14:$O$20,D9)*$C$12</f>
        <v>1701.1654528829024</v>
      </c>
      <c r="F9" s="118">
        <f>E9*$C$11</f>
        <v>19614.437671739863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354" t="s">
        <v>148</v>
      </c>
      <c r="B11" s="93" t="s">
        <v>149</v>
      </c>
      <c r="C11" s="10">
        <v>11.53</v>
      </c>
      <c r="D11" s="298" t="s">
        <v>267</v>
      </c>
      <c r="E11" s="298" t="s">
        <v>268</v>
      </c>
    </row>
    <row r="12" spans="1:25" ht="38.4" customHeight="1" thickBot="1" x14ac:dyDescent="0.35">
      <c r="A12" s="356"/>
      <c r="B12" s="137" t="s">
        <v>134</v>
      </c>
      <c r="C12" s="296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354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362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355"/>
      <c r="B14" s="125">
        <v>0</v>
      </c>
      <c r="C14" s="127">
        <v>0</v>
      </c>
      <c r="D14" s="133">
        <f>C14*$C$11</f>
        <v>0</v>
      </c>
      <c r="E14" s="130"/>
      <c r="G14" s="363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355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363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355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363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355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363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355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363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355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363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356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364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365" t="s">
        <v>74</v>
      </c>
      <c r="B21" s="366"/>
      <c r="C21" s="367"/>
      <c r="D21" s="33"/>
      <c r="G21" s="353" t="s">
        <v>75</v>
      </c>
      <c r="H21" s="353"/>
      <c r="I21" s="353"/>
      <c r="J21" s="353"/>
      <c r="K21" s="353"/>
      <c r="L21" s="353"/>
      <c r="M21" s="353"/>
      <c r="N21" s="353"/>
      <c r="O21" s="353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368"/>
      <c r="B22" s="369"/>
      <c r="C22" s="370"/>
      <c r="D22" s="33"/>
      <c r="G22" s="353"/>
      <c r="H22" s="353"/>
      <c r="I22" s="353"/>
      <c r="J22" s="353"/>
      <c r="K22" s="353"/>
      <c r="L22" s="353"/>
      <c r="M22" s="353"/>
      <c r="N22" s="353"/>
      <c r="O22" s="353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357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358"/>
      <c r="B26" s="103">
        <v>0</v>
      </c>
      <c r="C26" s="103">
        <v>20000000</v>
      </c>
      <c r="D26" s="26">
        <v>20</v>
      </c>
    </row>
    <row r="28" spans="1:25" x14ac:dyDescent="0.3">
      <c r="A28" s="337" t="s">
        <v>37</v>
      </c>
      <c r="B28" s="337"/>
      <c r="C28" s="337"/>
    </row>
    <row r="29" spans="1:25" x14ac:dyDescent="0.3">
      <c r="A29" s="91" t="s">
        <v>35</v>
      </c>
      <c r="B29" s="91" t="s">
        <v>127</v>
      </c>
      <c r="C29" s="91" t="s">
        <v>156</v>
      </c>
      <c r="D29" s="298" t="s">
        <v>269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9">
        <f t="shared" si="2"/>
        <v>5040742.6756750345</v>
      </c>
    </row>
  </sheetData>
  <mergeCells count="16"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  <mergeCell ref="M2:S2"/>
    <mergeCell ref="M3:S3"/>
    <mergeCell ref="A7:A9"/>
    <mergeCell ref="B7:C7"/>
    <mergeCell ref="M7:P8"/>
    <mergeCell ref="B4:F4"/>
  </mergeCells>
  <pageMargins left="0.7" right="0.7" top="0.75" bottom="0.75" header="0.3" footer="0.3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0.79998168889431442"/>
  </sheetPr>
  <dimension ref="A1:R42"/>
  <sheetViews>
    <sheetView topLeftCell="A18" workbookViewId="0">
      <selection activeCell="F17" sqref="F17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1" t="s">
        <v>111</v>
      </c>
      <c r="C4" s="371"/>
      <c r="D4" s="371"/>
      <c r="E4" s="371"/>
      <c r="F4" s="3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4" t="s">
        <v>8</v>
      </c>
      <c r="B7" s="348" t="s">
        <v>9</v>
      </c>
      <c r="C7" s="349"/>
      <c r="D7" s="373" t="s">
        <v>12</v>
      </c>
      <c r="E7" s="374"/>
      <c r="F7" s="375"/>
      <c r="G7" s="348" t="s">
        <v>143</v>
      </c>
      <c r="H7" s="348"/>
      <c r="I7" s="350"/>
      <c r="J7" s="1" t="s">
        <v>144</v>
      </c>
    </row>
    <row r="8" spans="1:18" ht="28.2" customHeight="1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6"/>
      <c r="B9" s="80">
        <f>JJ_Optim_Scenario!G21</f>
        <v>16067799.999999998</v>
      </c>
      <c r="C9" s="80">
        <f>JJ_Optim_Scenario!H21</f>
        <v>29840200</v>
      </c>
      <c r="D9" s="95">
        <f>JJ_Optim_Scenario!I21</f>
        <v>27063313.299997024</v>
      </c>
      <c r="E9" s="118">
        <f>((($R$12/(1+EXP($P$12+$Q$12*D9)))-1) - ($F$12-$C$12))*$I$12</f>
        <v>159247.20314668305</v>
      </c>
      <c r="F9" s="145">
        <f>E9*$G$12</f>
        <v>1836120.2522812556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35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5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6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7">
        <f>JJ_Optim_Scenario!D21</f>
        <v>1</v>
      </c>
      <c r="K12" s="358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376" t="s">
        <v>119</v>
      </c>
      <c r="B13" s="377"/>
      <c r="C13" s="377"/>
      <c r="D13" s="377"/>
      <c r="E13" s="377"/>
      <c r="F13" s="378"/>
      <c r="G13" s="298" t="s">
        <v>267</v>
      </c>
      <c r="H13" s="298" t="s">
        <v>268</v>
      </c>
      <c r="K13" s="376" t="s">
        <v>120</v>
      </c>
      <c r="L13" s="377"/>
      <c r="M13" s="377"/>
      <c r="N13" s="377"/>
      <c r="O13" s="377"/>
      <c r="P13" s="377"/>
      <c r="Q13" s="377"/>
      <c r="R13" s="378"/>
    </row>
    <row r="14" spans="1:18" ht="33.6" customHeight="1" thickBot="1" x14ac:dyDescent="0.35">
      <c r="A14" s="368"/>
      <c r="B14" s="369"/>
      <c r="C14" s="369"/>
      <c r="D14" s="369"/>
      <c r="E14" s="369"/>
      <c r="F14" s="370"/>
      <c r="G14" s="184">
        <f>JJ_Optim_Scenario!$I$31</f>
        <v>116.39999999999999</v>
      </c>
      <c r="H14" s="184">
        <f>JJ_Optim_Scenario!$F$31</f>
        <v>1118</v>
      </c>
      <c r="K14" s="368"/>
      <c r="L14" s="369"/>
      <c r="M14" s="369"/>
      <c r="N14" s="369"/>
      <c r="O14" s="369"/>
      <c r="P14" s="369"/>
      <c r="Q14" s="369"/>
      <c r="R14" s="370"/>
    </row>
    <row r="16" spans="1:18" ht="14.4" thickBot="1" x14ac:dyDescent="0.35"/>
    <row r="17" spans="1:8" ht="42.6" customHeight="1" x14ac:dyDescent="0.3">
      <c r="A17" s="35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58"/>
      <c r="B18" s="102">
        <v>0</v>
      </c>
      <c r="C18" s="103">
        <v>60000000</v>
      </c>
      <c r="D18" s="26">
        <v>20</v>
      </c>
    </row>
    <row r="20" spans="1:8" x14ac:dyDescent="0.3">
      <c r="A20" s="337" t="s">
        <v>37</v>
      </c>
      <c r="B20" s="337"/>
      <c r="C20" s="337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9">
        <f t="shared" si="2"/>
        <v>325669640.47273898</v>
      </c>
    </row>
  </sheetData>
  <mergeCells count="11">
    <mergeCell ref="G7:I7"/>
    <mergeCell ref="K13:R14"/>
    <mergeCell ref="K11:K12"/>
    <mergeCell ref="A13:F14"/>
    <mergeCell ref="A17:A18"/>
    <mergeCell ref="A20:C20"/>
    <mergeCell ref="B4:F4"/>
    <mergeCell ref="A7:A9"/>
    <mergeCell ref="B7:C7"/>
    <mergeCell ref="D7:F7"/>
    <mergeCell ref="A11:A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0.79998168889431442"/>
  </sheetPr>
  <dimension ref="A1:R42"/>
  <sheetViews>
    <sheetView topLeftCell="A4" workbookViewId="0">
      <selection activeCell="B45" sqref="B4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1" t="s">
        <v>111</v>
      </c>
      <c r="C4" s="371"/>
      <c r="D4" s="371"/>
      <c r="E4" s="371"/>
      <c r="F4" s="3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354" t="s">
        <v>8</v>
      </c>
      <c r="B7" s="348" t="s">
        <v>9</v>
      </c>
      <c r="C7" s="349"/>
      <c r="D7" s="373" t="s">
        <v>12</v>
      </c>
      <c r="E7" s="374"/>
      <c r="F7" s="375"/>
      <c r="G7" s="348" t="s">
        <v>143</v>
      </c>
      <c r="H7" s="348"/>
      <c r="I7" s="350"/>
      <c r="J7" s="1" t="s">
        <v>144</v>
      </c>
    </row>
    <row r="8" spans="1:18" ht="28.2" customHeight="1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6"/>
      <c r="B9" s="80">
        <f>JJ_Optim_Scenario!G22</f>
        <v>5473288.7999999998</v>
      </c>
      <c r="C9" s="80">
        <f>JJ_Optim_Scenario!H22</f>
        <v>10164679.200000001</v>
      </c>
      <c r="D9" s="95">
        <f>JJ_Optim_Scenario!I22</f>
        <v>5473288.7999999998</v>
      </c>
      <c r="E9" s="118">
        <f>((($R$12/(1+EXP($P$12+$Q$12*D9)))-1) - ($F$12-$C$12))*$I$12</f>
        <v>23751.326482365839</v>
      </c>
      <c r="F9" s="145">
        <f>E9*$G$12</f>
        <v>273852.79434167809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35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5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6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7">
        <f>JJ_Optim_Scenario!D22</f>
        <v>1</v>
      </c>
      <c r="K12" s="358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376" t="s">
        <v>119</v>
      </c>
      <c r="B13" s="377"/>
      <c r="C13" s="377"/>
      <c r="D13" s="377"/>
      <c r="E13" s="377"/>
      <c r="F13" s="378"/>
      <c r="G13" s="298" t="s">
        <v>267</v>
      </c>
      <c r="H13" s="298" t="s">
        <v>268</v>
      </c>
      <c r="K13" s="376" t="s">
        <v>120</v>
      </c>
      <c r="L13" s="377"/>
      <c r="M13" s="377"/>
      <c r="N13" s="377"/>
      <c r="O13" s="377"/>
      <c r="P13" s="377"/>
      <c r="Q13" s="377"/>
      <c r="R13" s="378"/>
    </row>
    <row r="14" spans="1:18" ht="33.6" customHeight="1" thickBot="1" x14ac:dyDescent="0.35">
      <c r="A14" s="368"/>
      <c r="B14" s="369"/>
      <c r="C14" s="369"/>
      <c r="D14" s="369"/>
      <c r="E14" s="369"/>
      <c r="F14" s="370"/>
      <c r="G14" s="184">
        <f>JJ_Optim_Scenario!$I$31</f>
        <v>116.39999999999999</v>
      </c>
      <c r="H14" s="184">
        <f>JJ_Optim_Scenario!$F$31</f>
        <v>1118</v>
      </c>
      <c r="K14" s="368"/>
      <c r="L14" s="369"/>
      <c r="M14" s="369"/>
      <c r="N14" s="369"/>
      <c r="O14" s="369"/>
      <c r="P14" s="369"/>
      <c r="Q14" s="369"/>
      <c r="R14" s="370"/>
    </row>
    <row r="16" spans="1:18" ht="14.4" thickBot="1" x14ac:dyDescent="0.35"/>
    <row r="17" spans="1:8" ht="42.6" customHeight="1" x14ac:dyDescent="0.3">
      <c r="A17" s="35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58"/>
      <c r="B18" s="102">
        <v>0</v>
      </c>
      <c r="C18" s="103">
        <v>30000000</v>
      </c>
      <c r="D18" s="26">
        <v>20</v>
      </c>
    </row>
    <row r="20" spans="1:8" x14ac:dyDescent="0.3">
      <c r="A20" s="337" t="s">
        <v>37</v>
      </c>
      <c r="B20" s="337"/>
      <c r="C20" s="337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9">
        <f t="shared" si="2"/>
        <v>104150341.40321961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79998168889431442"/>
  </sheetPr>
  <dimension ref="A1:R42"/>
  <sheetViews>
    <sheetView workbookViewId="0">
      <selection activeCell="E17" sqref="E17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1" t="s">
        <v>111</v>
      </c>
      <c r="C4" s="371"/>
      <c r="D4" s="371"/>
      <c r="E4" s="371"/>
      <c r="F4" s="3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4" t="s">
        <v>8</v>
      </c>
      <c r="B7" s="348" t="s">
        <v>9</v>
      </c>
      <c r="C7" s="349"/>
      <c r="D7" s="373" t="s">
        <v>12</v>
      </c>
      <c r="E7" s="374"/>
      <c r="F7" s="375"/>
      <c r="G7" s="348" t="s">
        <v>143</v>
      </c>
      <c r="H7" s="348"/>
      <c r="I7" s="350"/>
      <c r="J7" s="1" t="s">
        <v>144</v>
      </c>
    </row>
    <row r="8" spans="1:18" ht="28.2" customHeight="1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6"/>
      <c r="B9" s="80">
        <f>JJ_Optim_Scenario!G23</f>
        <v>2475161.5</v>
      </c>
      <c r="C9" s="80">
        <f>JJ_Optim_Scenario!H23</f>
        <v>4596728.5</v>
      </c>
      <c r="D9" s="95">
        <f>JJ_Optim_Scenario!I23</f>
        <v>2475161.5</v>
      </c>
      <c r="E9" s="118">
        <f>((($R$12/(1+EXP($P$12+$Q$12*D9)))-1) - ($F$12-$C$12))*$I$12</f>
        <v>5124.469968188554</v>
      </c>
      <c r="F9" s="145">
        <f>E9*$G$12</f>
        <v>59085.138733214022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83212.009999999995</v>
      </c>
      <c r="J9" s="123">
        <f>G9/I9</f>
        <v>42.493205007306038</v>
      </c>
      <c r="K9" s="1" t="s">
        <v>142</v>
      </c>
    </row>
    <row r="10" spans="1:18" ht="14.4" thickBot="1" x14ac:dyDescent="0.35"/>
    <row r="11" spans="1:18" ht="61.8" customHeight="1" x14ac:dyDescent="0.3">
      <c r="A11" s="35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35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6"/>
      <c r="B12" s="184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v>11.53</v>
      </c>
      <c r="H12" s="98">
        <f>C12*G12</f>
        <v>83212.009999999995</v>
      </c>
      <c r="I12" s="297">
        <f>JJ_Optim_Scenario!D23</f>
        <v>1</v>
      </c>
      <c r="K12" s="358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376" t="s">
        <v>119</v>
      </c>
      <c r="B13" s="377"/>
      <c r="C13" s="377"/>
      <c r="D13" s="377"/>
      <c r="E13" s="377"/>
      <c r="F13" s="378"/>
      <c r="G13" s="298" t="s">
        <v>267</v>
      </c>
      <c r="H13" s="298" t="s">
        <v>268</v>
      </c>
      <c r="K13" s="376" t="s">
        <v>120</v>
      </c>
      <c r="L13" s="377"/>
      <c r="M13" s="377"/>
      <c r="N13" s="377"/>
      <c r="O13" s="377"/>
      <c r="P13" s="377"/>
      <c r="Q13" s="377"/>
      <c r="R13" s="378"/>
    </row>
    <row r="14" spans="1:18" ht="33.6" customHeight="1" thickBot="1" x14ac:dyDescent="0.35">
      <c r="A14" s="368"/>
      <c r="B14" s="369"/>
      <c r="C14" s="369"/>
      <c r="D14" s="369"/>
      <c r="E14" s="369"/>
      <c r="F14" s="370"/>
      <c r="G14" s="184">
        <f>JJ_Optim_Scenario!$I$31</f>
        <v>116.39999999999999</v>
      </c>
      <c r="H14" s="184">
        <f>JJ_Optim_Scenario!$F$31</f>
        <v>1118</v>
      </c>
      <c r="K14" s="368"/>
      <c r="L14" s="369"/>
      <c r="M14" s="369"/>
      <c r="N14" s="369"/>
      <c r="O14" s="369"/>
      <c r="P14" s="369"/>
      <c r="Q14" s="369"/>
      <c r="R14" s="370"/>
    </row>
    <row r="16" spans="1:18" ht="14.4" thickBot="1" x14ac:dyDescent="0.35"/>
    <row r="17" spans="1:8" ht="42.6" customHeight="1" x14ac:dyDescent="0.3">
      <c r="A17" s="35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58"/>
      <c r="B18" s="102">
        <v>0</v>
      </c>
      <c r="C18" s="103">
        <v>20000000</v>
      </c>
      <c r="D18" s="26">
        <v>20</v>
      </c>
    </row>
    <row r="20" spans="1:8" x14ac:dyDescent="0.3">
      <c r="A20" s="337" t="s">
        <v>37</v>
      </c>
      <c r="B20" s="337"/>
      <c r="C20" s="337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24351.913629447237</v>
      </c>
      <c r="D23" s="1">
        <f>(B23-B22)/A23</f>
        <v>2.1120480164308099E-3</v>
      </c>
      <c r="E23" s="299">
        <f t="shared" ref="E23:E42" si="2">B23*$H$14</f>
        <v>2361269.6823696457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48049.404525877959</v>
      </c>
      <c r="D24" s="1">
        <f t="shared" ref="D24:D42" si="4">(B24-B23)/A24</f>
        <v>1.0276448784228415E-3</v>
      </c>
      <c r="E24" s="299">
        <f t="shared" si="2"/>
        <v>4659083.6305231191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71109.551435840607</v>
      </c>
      <c r="D25" s="1">
        <f t="shared" si="4"/>
        <v>6.6667091384685286E-4</v>
      </c>
      <c r="E25" s="299">
        <f t="shared" si="2"/>
        <v>6895097.8755654637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93549.014763941639</v>
      </c>
      <c r="D26" s="1">
        <f t="shared" si="4"/>
        <v>4.8654517190158369E-4</v>
      </c>
      <c r="E26" s="299">
        <f t="shared" si="2"/>
        <v>9070927.8843093459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115384.04533069761</v>
      </c>
      <c r="D27" s="1">
        <f t="shared" si="4"/>
        <v>3.7875161434095352E-4</v>
      </c>
      <c r="E27" s="299">
        <f t="shared" si="2"/>
        <v>11188149.408475276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136630.49303118809</v>
      </c>
      <c r="D28" s="1">
        <f t="shared" si="4"/>
        <v>3.0711835357748592E-4</v>
      </c>
      <c r="E28" s="299">
        <f t="shared" si="2"/>
        <v>13248299.324273052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157303.81538989223</v>
      </c>
      <c r="D29" s="1">
        <f t="shared" si="4"/>
        <v>2.5614325806844445E-4</v>
      </c>
      <c r="E29" s="299">
        <f t="shared" si="2"/>
        <v>15252876.461916698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177419.08600843383</v>
      </c>
      <c r="D30" s="1">
        <f t="shared" si="4"/>
        <v>2.180753536268603E-4</v>
      </c>
      <c r="E30" s="299">
        <f t="shared" si="2"/>
        <v>17203342.424755335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196991.00290244407</v>
      </c>
      <c r="D31" s="1">
        <f t="shared" si="4"/>
        <v>1.886086238220127E-4</v>
      </c>
      <c r="E31" s="299">
        <f t="shared" si="2"/>
        <v>19101122.397652429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216033.89672464313</v>
      </c>
      <c r="D32" s="1">
        <f t="shared" si="4"/>
        <v>1.6515953011447563E-4</v>
      </c>
      <c r="E32" s="299">
        <f t="shared" si="2"/>
        <v>20947605.944332264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234561.73887168092</v>
      </c>
      <c r="D33" s="1">
        <f t="shared" si="4"/>
        <v>1.460840664435686E-4</v>
      </c>
      <c r="E33" s="299">
        <f t="shared" si="2"/>
        <v>22744147.793455273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252588.14947222514</v>
      </c>
      <c r="D34" s="1">
        <f t="shared" si="4"/>
        <v>1.3028628650292134E-4</v>
      </c>
      <c r="E34" s="299">
        <f t="shared" si="2"/>
        <v>24492068.613178466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270126.40525433049</v>
      </c>
      <c r="D35" s="1">
        <f t="shared" si="4"/>
        <v>1.1700751072189842E-4</v>
      </c>
      <c r="E35" s="299">
        <f t="shared" si="2"/>
        <v>26192655.774010539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287189.44729070493</v>
      </c>
      <c r="D36" s="1">
        <f t="shared" si="4"/>
        <v>1.0570587310354624E-4</v>
      </c>
      <c r="E36" s="299">
        <f t="shared" si="2"/>
        <v>27847164.099827245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303789.88862013241</v>
      </c>
      <c r="D37" s="1">
        <f t="shared" si="4"/>
        <v>9.5984049317302799E-5</v>
      </c>
      <c r="E37" s="299">
        <f t="shared" si="2"/>
        <v>29456816.606878411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319940.02174406504</v>
      </c>
      <c r="D38" s="1">
        <f t="shared" si="4"/>
        <v>8.7544086751586289E-5</v>
      </c>
      <c r="E38" s="299">
        <f t="shared" si="2"/>
        <v>31022805.230690785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335651.82599769661</v>
      </c>
      <c r="D39" s="1">
        <f t="shared" si="4"/>
        <v>8.0158176897258005E-5</v>
      </c>
      <c r="E39" s="299">
        <f t="shared" si="2"/>
        <v>32546291.540800072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350936.9747945409</v>
      </c>
      <c r="D40" s="1">
        <f t="shared" si="4"/>
        <v>7.3649170265222588E-5</v>
      </c>
      <c r="E40" s="299">
        <f t="shared" si="2"/>
        <v>34028407.443217412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365806.84274436446</v>
      </c>
      <c r="D41" s="1">
        <f t="shared" si="4"/>
        <v>6.7877244487257778E-5</v>
      </c>
      <c r="E41" s="299">
        <f t="shared" si="2"/>
        <v>35470255.870615743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380272.51264410821</v>
      </c>
      <c r="D42" s="1">
        <f t="shared" si="4"/>
        <v>6.2730571985011917E-5</v>
      </c>
      <c r="E42" s="299">
        <f t="shared" si="2"/>
        <v>36872911.460200608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3" tint="0.79998168889431442"/>
  </sheetPr>
  <dimension ref="A1:R42"/>
  <sheetViews>
    <sheetView workbookViewId="0">
      <selection activeCell="I14" sqref="I14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33203125" style="1" customWidth="1"/>
    <col min="15" max="15" width="11.21875" style="1" customWidth="1"/>
    <col min="16" max="16" width="8.88671875" style="1"/>
    <col min="17" max="17" width="10.33203125" style="1" customWidth="1"/>
    <col min="18" max="18" width="12.10937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371" t="s">
        <v>111</v>
      </c>
      <c r="C4" s="371"/>
      <c r="D4" s="371"/>
      <c r="E4" s="371"/>
      <c r="F4" s="3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354" t="s">
        <v>8</v>
      </c>
      <c r="B7" s="348" t="s">
        <v>9</v>
      </c>
      <c r="C7" s="349"/>
      <c r="D7" s="373" t="s">
        <v>12</v>
      </c>
      <c r="E7" s="374"/>
      <c r="F7" s="375"/>
      <c r="G7" s="348" t="s">
        <v>143</v>
      </c>
      <c r="H7" s="348"/>
      <c r="I7" s="350"/>
      <c r="J7" s="1" t="s">
        <v>144</v>
      </c>
    </row>
    <row r="8" spans="1:18" ht="28.2" customHeight="1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6"/>
      <c r="B9" s="80">
        <f>JJ_Optim_Scenario!G24</f>
        <v>10990000</v>
      </c>
      <c r="C9" s="184">
        <f>JJ_Optim_Scenario!H24</f>
        <v>20410000</v>
      </c>
      <c r="D9" s="184">
        <f>JJ_Optim_Scenario!I24</f>
        <v>10990000</v>
      </c>
      <c r="E9" s="118">
        <f>((($R$12/(1+EXP($P$12+$Q$12*D9)))-1) - ($F$12-$C$12))*$I$12</f>
        <v>266383.4186916817</v>
      </c>
      <c r="F9" s="145">
        <f>E9*$G$12</f>
        <v>266383.4186916817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35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35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6"/>
      <c r="B12" s="80">
        <v>15700000</v>
      </c>
      <c r="C12" s="86">
        <v>360832.73711340211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360832.73711340211</v>
      </c>
      <c r="I12" s="297">
        <f>JJ_Optim_Scenario!D24</f>
        <v>1</v>
      </c>
      <c r="K12" s="358"/>
      <c r="L12" s="98">
        <f>F12-C12</f>
        <v>14288167.262886599</v>
      </c>
      <c r="M12" s="98">
        <f>L12+E12</f>
        <v>15386842.262886599</v>
      </c>
      <c r="N12" s="99">
        <f>B12</f>
        <v>15700000</v>
      </c>
      <c r="O12" s="98">
        <f>F12</f>
        <v>14649000</v>
      </c>
      <c r="P12" s="24">
        <f>LN((($M$12+1)/($L$12+1))-1)</f>
        <v>-2.5653268922808143</v>
      </c>
      <c r="Q12" s="100">
        <f>(LN((($M$12+1)/($O$12+1))-1)-$P$12)/$N$12</f>
        <v>-2.6947163240976005E-8</v>
      </c>
      <c r="R12" s="101">
        <f>M12+1</f>
        <v>15386843.262886599</v>
      </c>
    </row>
    <row r="13" spans="1:18" ht="34.200000000000003" customHeight="1" x14ac:dyDescent="0.3">
      <c r="A13" s="376" t="s">
        <v>119</v>
      </c>
      <c r="B13" s="377"/>
      <c r="C13" s="377"/>
      <c r="D13" s="377"/>
      <c r="E13" s="377"/>
      <c r="F13" s="378"/>
      <c r="G13" s="298" t="s">
        <v>267</v>
      </c>
      <c r="H13" s="298" t="s">
        <v>268</v>
      </c>
      <c r="K13" s="376" t="s">
        <v>120</v>
      </c>
      <c r="L13" s="377"/>
      <c r="M13" s="377"/>
      <c r="N13" s="377"/>
      <c r="O13" s="377"/>
      <c r="P13" s="377"/>
      <c r="Q13" s="377"/>
      <c r="R13" s="378"/>
    </row>
    <row r="14" spans="1:18" ht="33.6" customHeight="1" thickBot="1" x14ac:dyDescent="0.35">
      <c r="A14" s="368"/>
      <c r="B14" s="369"/>
      <c r="C14" s="369"/>
      <c r="D14" s="369"/>
      <c r="E14" s="369"/>
      <c r="F14" s="370"/>
      <c r="G14" s="184">
        <f>JJ_Optim_Scenario!$I$31</f>
        <v>116.39999999999999</v>
      </c>
      <c r="H14" s="184">
        <f>JJ_Optim_Scenario!$F$31</f>
        <v>1118</v>
      </c>
      <c r="K14" s="368"/>
      <c r="L14" s="369"/>
      <c r="M14" s="369"/>
      <c r="N14" s="369"/>
      <c r="O14" s="369"/>
      <c r="P14" s="369"/>
      <c r="Q14" s="369"/>
      <c r="R14" s="370"/>
    </row>
    <row r="16" spans="1:18" ht="14.4" thickBot="1" x14ac:dyDescent="0.35"/>
    <row r="17" spans="1:8" ht="42.6" customHeight="1" x14ac:dyDescent="0.3">
      <c r="A17" s="35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58"/>
      <c r="B18" s="102">
        <v>0</v>
      </c>
      <c r="C18" s="103">
        <v>50000000</v>
      </c>
      <c r="D18" s="26">
        <v>20</v>
      </c>
    </row>
    <row r="20" spans="1:8" x14ac:dyDescent="0.3">
      <c r="A20" s="337" t="s">
        <v>37</v>
      </c>
      <c r="B20" s="337"/>
      <c r="C20" s="337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8" t="s">
        <v>270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1.862645149230957E-9</v>
      </c>
      <c r="C22" s="106">
        <f>B22*$G$12</f>
        <v>1.862645149230957E-9</v>
      </c>
      <c r="E22" s="299">
        <f>B22*$G$14</f>
        <v>2.1681189537048338E-7</v>
      </c>
    </row>
    <row r="23" spans="1:8" x14ac:dyDescent="0.3">
      <c r="A23" s="122">
        <f>A22+(($C$18-$B$18)/$D$18)</f>
        <v>2500000</v>
      </c>
      <c r="B23" s="106">
        <f t="shared" si="0"/>
        <v>66777.120228324085</v>
      </c>
      <c r="C23" s="106">
        <f t="shared" ref="C23:C42" si="1">B23*$G$12</f>
        <v>66777.120228324085</v>
      </c>
      <c r="D23" s="1">
        <f>(B23-B22)/A23</f>
        <v>2.6710848091328888E-2</v>
      </c>
      <c r="E23" s="299">
        <f t="shared" ref="E23:E42" si="2">B23*$G$14</f>
        <v>7772856.7945769234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129770.77474719286</v>
      </c>
      <c r="C24" s="106">
        <f t="shared" si="1"/>
        <v>129770.77474719286</v>
      </c>
      <c r="D24" s="1">
        <f t="shared" ref="D24:D42" si="4">(B24-B23)/A24</f>
        <v>1.2598730903773754E-2</v>
      </c>
      <c r="E24" s="299">
        <f t="shared" si="2"/>
        <v>15105318.180573247</v>
      </c>
    </row>
    <row r="25" spans="1:8" x14ac:dyDescent="0.3">
      <c r="A25" s="122">
        <f t="shared" si="3"/>
        <v>7500000</v>
      </c>
      <c r="B25" s="106">
        <f t="shared" si="0"/>
        <v>189162.54184601083</v>
      </c>
      <c r="C25" s="106">
        <f t="shared" si="1"/>
        <v>189162.54184601083</v>
      </c>
      <c r="D25" s="1">
        <f t="shared" si="4"/>
        <v>7.918902279842396E-3</v>
      </c>
      <c r="E25" s="299">
        <f t="shared" si="2"/>
        <v>22018519.87087566</v>
      </c>
    </row>
    <row r="26" spans="1:8" x14ac:dyDescent="0.3">
      <c r="A26" s="122">
        <f t="shared" si="3"/>
        <v>10000000</v>
      </c>
      <c r="B26" s="106">
        <f t="shared" si="0"/>
        <v>245129.24382783286</v>
      </c>
      <c r="C26" s="106">
        <f t="shared" si="1"/>
        <v>245129.24382783286</v>
      </c>
      <c r="D26" s="1">
        <f t="shared" si="4"/>
        <v>5.5966701981822031E-3</v>
      </c>
      <c r="E26" s="299">
        <f t="shared" si="2"/>
        <v>28533043.981559742</v>
      </c>
    </row>
    <row r="27" spans="1:8" x14ac:dyDescent="0.3">
      <c r="A27" s="122">
        <f t="shared" si="3"/>
        <v>12500000</v>
      </c>
      <c r="B27" s="106">
        <f t="shared" si="0"/>
        <v>297842.54778906517</v>
      </c>
      <c r="C27" s="106">
        <f t="shared" si="1"/>
        <v>297842.54778906517</v>
      </c>
      <c r="D27" s="1">
        <f t="shared" si="4"/>
        <v>4.2170643168985842E-3</v>
      </c>
      <c r="E27" s="299">
        <f t="shared" si="2"/>
        <v>34668872.562647186</v>
      </c>
    </row>
    <row r="28" spans="1:8" x14ac:dyDescent="0.3">
      <c r="A28" s="122">
        <f t="shared" si="3"/>
        <v>15000000</v>
      </c>
      <c r="B28" s="106">
        <f t="shared" si="0"/>
        <v>347468.65276842937</v>
      </c>
      <c r="C28" s="106">
        <f t="shared" si="1"/>
        <v>347468.65276842937</v>
      </c>
      <c r="D28" s="1">
        <f t="shared" si="4"/>
        <v>3.3084069986242799E-3</v>
      </c>
      <c r="E28" s="299">
        <f t="shared" si="2"/>
        <v>40445351.182245173</v>
      </c>
    </row>
    <row r="29" spans="1:8" x14ac:dyDescent="0.3">
      <c r="A29" s="122">
        <f t="shared" si="3"/>
        <v>17500000</v>
      </c>
      <c r="B29" s="106">
        <f t="shared" si="0"/>
        <v>394168.05440711975</v>
      </c>
      <c r="C29" s="106">
        <f t="shared" si="1"/>
        <v>394168.05440711975</v>
      </c>
      <c r="D29" s="1">
        <f t="shared" si="4"/>
        <v>2.6685372364965935E-3</v>
      </c>
      <c r="E29" s="299">
        <f t="shared" si="2"/>
        <v>45881161.532988735</v>
      </c>
    </row>
    <row r="30" spans="1:8" x14ac:dyDescent="0.3">
      <c r="A30" s="122">
        <f t="shared" si="3"/>
        <v>20000000</v>
      </c>
      <c r="B30" s="106">
        <f t="shared" si="0"/>
        <v>438095.37863838859</v>
      </c>
      <c r="C30" s="106">
        <f t="shared" si="1"/>
        <v>438095.37863838859</v>
      </c>
      <c r="D30" s="1">
        <f t="shared" si="4"/>
        <v>2.1963662115634421E-3</v>
      </c>
      <c r="E30" s="299">
        <f t="shared" si="2"/>
        <v>50994302.073508427</v>
      </c>
    </row>
    <row r="31" spans="1:8" x14ac:dyDescent="0.3">
      <c r="A31" s="122">
        <f t="shared" si="3"/>
        <v>22500000</v>
      </c>
      <c r="B31" s="106">
        <f t="shared" si="0"/>
        <v>479399.27637467906</v>
      </c>
      <c r="C31" s="106">
        <f t="shared" si="1"/>
        <v>479399.27637467906</v>
      </c>
      <c r="D31" s="1">
        <f t="shared" si="4"/>
        <v>1.8357287882795764E-3</v>
      </c>
      <c r="E31" s="299">
        <f t="shared" si="2"/>
        <v>55802075.770012639</v>
      </c>
    </row>
    <row r="32" spans="1:8" x14ac:dyDescent="0.3">
      <c r="A32" s="122">
        <f t="shared" si="3"/>
        <v>25000000</v>
      </c>
      <c r="B32" s="106">
        <f t="shared" si="0"/>
        <v>518222.37166078761</v>
      </c>
      <c r="C32" s="106">
        <f t="shared" si="1"/>
        <v>518222.37166078761</v>
      </c>
      <c r="D32" s="1">
        <f t="shared" si="4"/>
        <v>1.5529238114443422E-3</v>
      </c>
      <c r="E32" s="299">
        <f t="shared" si="2"/>
        <v>60321084.061315671</v>
      </c>
    </row>
    <row r="33" spans="1:5" x14ac:dyDescent="0.3">
      <c r="A33" s="122">
        <f t="shared" si="3"/>
        <v>27500000</v>
      </c>
      <c r="B33" s="106">
        <f t="shared" si="0"/>
        <v>554701.25629257597</v>
      </c>
      <c r="C33" s="106">
        <f t="shared" si="1"/>
        <v>554701.25629257597</v>
      </c>
      <c r="D33" s="1">
        <f t="shared" si="4"/>
        <v>1.3265048957013948E-3</v>
      </c>
      <c r="E33" s="299">
        <f t="shared" si="2"/>
        <v>64567226.232455835</v>
      </c>
    </row>
    <row r="34" spans="1:5" x14ac:dyDescent="0.3">
      <c r="A34" s="122">
        <f>A33+(($C$18-$B$18)/$D$18)</f>
        <v>30000000</v>
      </c>
      <c r="B34" s="106">
        <f t="shared" si="0"/>
        <v>588966.52444665693</v>
      </c>
      <c r="C34" s="106">
        <f t="shared" si="1"/>
        <v>588966.52444665693</v>
      </c>
      <c r="D34" s="1">
        <f t="shared" si="4"/>
        <v>1.1421756051360318E-3</v>
      </c>
      <c r="E34" s="299">
        <f t="shared" si="2"/>
        <v>68555703.445590869</v>
      </c>
    </row>
    <row r="35" spans="1:5" x14ac:dyDescent="0.3">
      <c r="A35" s="122">
        <f t="shared" si="3"/>
        <v>32500000</v>
      </c>
      <c r="B35" s="106">
        <f t="shared" si="0"/>
        <v>621142.84141393006</v>
      </c>
      <c r="C35" s="106">
        <f t="shared" si="1"/>
        <v>621142.84141393006</v>
      </c>
      <c r="D35" s="1">
        <f t="shared" si="4"/>
        <v>9.9004052206994259E-4</v>
      </c>
      <c r="E35" s="299">
        <f t="shared" si="2"/>
        <v>72301026.740581453</v>
      </c>
    </row>
    <row r="36" spans="1:5" x14ac:dyDescent="0.3">
      <c r="A36" s="122">
        <f t="shared" si="3"/>
        <v>35000000</v>
      </c>
      <c r="B36" s="106">
        <f t="shared" si="0"/>
        <v>651349.04106848314</v>
      </c>
      <c r="C36" s="106">
        <f t="shared" si="1"/>
        <v>651349.04106848314</v>
      </c>
      <c r="D36" s="1">
        <f t="shared" si="4"/>
        <v>8.6303427584437386E-4</v>
      </c>
      <c r="E36" s="299">
        <f t="shared" si="2"/>
        <v>75817028.380371436</v>
      </c>
    </row>
    <row r="37" spans="1:5" x14ac:dyDescent="0.3">
      <c r="A37" s="122">
        <f t="shared" si="3"/>
        <v>37500000</v>
      </c>
      <c r="B37" s="106">
        <f t="shared" si="0"/>
        <v>679698.24722526968</v>
      </c>
      <c r="C37" s="106">
        <f t="shared" si="1"/>
        <v>679698.24722526968</v>
      </c>
      <c r="D37" s="1">
        <f t="shared" si="4"/>
        <v>7.5597883084764083E-4</v>
      </c>
      <c r="E37" s="299">
        <f t="shared" si="2"/>
        <v>79116875.977021381</v>
      </c>
    </row>
    <row r="38" spans="1:5" x14ac:dyDescent="0.3">
      <c r="A38" s="122">
        <f t="shared" si="3"/>
        <v>40000000</v>
      </c>
      <c r="B38" s="106">
        <f t="shared" si="0"/>
        <v>706298.01453892514</v>
      </c>
      <c r="C38" s="106">
        <f t="shared" si="1"/>
        <v>706298.01453892514</v>
      </c>
      <c r="D38" s="1">
        <f t="shared" si="4"/>
        <v>6.6499418284138669E-4</v>
      </c>
      <c r="E38" s="299">
        <f t="shared" si="2"/>
        <v>82213088.892330885</v>
      </c>
    </row>
    <row r="39" spans="1:5" x14ac:dyDescent="0.3">
      <c r="A39" s="122">
        <f t="shared" si="3"/>
        <v>42500000</v>
      </c>
      <c r="B39" s="106">
        <f t="shared" si="0"/>
        <v>731250.48506828956</v>
      </c>
      <c r="C39" s="106">
        <f t="shared" si="1"/>
        <v>731250.48506828956</v>
      </c>
      <c r="D39" s="1">
        <f t="shared" si="4"/>
        <v>5.87116953632104E-4</v>
      </c>
      <c r="E39" s="299">
        <f t="shared" si="2"/>
        <v>85117556.461948901</v>
      </c>
    </row>
    <row r="40" spans="1:5" x14ac:dyDescent="0.3">
      <c r="A40" s="122">
        <f t="shared" si="3"/>
        <v>45000000</v>
      </c>
      <c r="B40" s="106">
        <f t="shared" si="0"/>
        <v>754652.55707320757</v>
      </c>
      <c r="C40" s="106">
        <f t="shared" si="1"/>
        <v>754652.55707320757</v>
      </c>
      <c r="D40" s="1">
        <f t="shared" si="4"/>
        <v>5.2004604455373356E-4</v>
      </c>
      <c r="E40" s="299">
        <f t="shared" si="2"/>
        <v>87841557.64332135</v>
      </c>
    </row>
    <row r="41" spans="1:5" x14ac:dyDescent="0.3">
      <c r="A41" s="122">
        <f>A40+(($C$18-$B$18)/$D$18)</f>
        <v>47500000</v>
      </c>
      <c r="B41" s="106">
        <f t="shared" si="0"/>
        <v>776596.06302100234</v>
      </c>
      <c r="C41" s="106">
        <f t="shared" si="1"/>
        <v>776596.06302100234</v>
      </c>
      <c r="D41" s="1">
        <f t="shared" si="4"/>
        <v>4.619685462693635E-4</v>
      </c>
      <c r="E41" s="299">
        <f t="shared" si="2"/>
        <v>90395781.735644668</v>
      </c>
    </row>
    <row r="42" spans="1:5" x14ac:dyDescent="0.3">
      <c r="A42" s="122">
        <f t="shared" si="3"/>
        <v>50000000</v>
      </c>
      <c r="B42" s="106">
        <f t="shared" si="0"/>
        <v>797167.95415875129</v>
      </c>
      <c r="C42" s="106">
        <f t="shared" si="1"/>
        <v>797167.95415875129</v>
      </c>
      <c r="D42" s="1">
        <f t="shared" si="4"/>
        <v>4.1143782275497912E-4</v>
      </c>
      <c r="E42" s="299">
        <f t="shared" si="2"/>
        <v>92790349.864078641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0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15" t="s">
        <v>105</v>
      </c>
      <c r="G2" s="316"/>
      <c r="H2" s="316"/>
      <c r="I2" s="316"/>
      <c r="J2" s="316"/>
      <c r="K2" s="316"/>
      <c r="L2" s="317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318" t="s">
        <v>72</v>
      </c>
      <c r="G3" s="319"/>
      <c r="H3" s="319"/>
      <c r="I3" s="319"/>
      <c r="J3" s="319"/>
      <c r="K3" s="319"/>
      <c r="L3" s="320"/>
    </row>
    <row r="4" spans="1:12" ht="14.4" thickBot="1" x14ac:dyDescent="0.35">
      <c r="A4" s="29" t="s">
        <v>38</v>
      </c>
      <c r="B4" s="379" t="s">
        <v>39</v>
      </c>
      <c r="C4" s="379"/>
      <c r="D4" s="380"/>
    </row>
    <row r="6" spans="1:12" ht="14.4" thickBot="1" x14ac:dyDescent="0.35"/>
    <row r="7" spans="1:12" ht="27.6" customHeight="1" x14ac:dyDescent="0.3">
      <c r="A7" s="354" t="s">
        <v>8</v>
      </c>
      <c r="B7" s="348" t="s">
        <v>9</v>
      </c>
      <c r="C7" s="349"/>
      <c r="D7" s="373" t="s">
        <v>12</v>
      </c>
      <c r="E7" s="375"/>
      <c r="F7" s="374" t="s">
        <v>24</v>
      </c>
      <c r="G7" s="387"/>
    </row>
    <row r="8" spans="1:12" ht="27.6" x14ac:dyDescent="0.3">
      <c r="A8" s="35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6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354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54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356"/>
      <c r="B12" s="12">
        <v>20</v>
      </c>
      <c r="C12" s="12">
        <v>30</v>
      </c>
      <c r="D12" s="12">
        <v>0</v>
      </c>
      <c r="E12" s="14">
        <v>70</v>
      </c>
      <c r="G12" s="356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376" t="s">
        <v>30</v>
      </c>
      <c r="B13" s="377"/>
      <c r="C13" s="377"/>
      <c r="D13" s="377"/>
      <c r="E13" s="378"/>
      <c r="G13" s="381" t="s">
        <v>29</v>
      </c>
      <c r="H13" s="382"/>
      <c r="I13" s="382"/>
      <c r="J13" s="383"/>
    </row>
    <row r="14" spans="1:12" ht="33.6" customHeight="1" x14ac:dyDescent="0.3">
      <c r="A14" s="368"/>
      <c r="B14" s="369"/>
      <c r="C14" s="369"/>
      <c r="D14" s="369"/>
      <c r="E14" s="370"/>
      <c r="G14" s="384"/>
      <c r="H14" s="385"/>
      <c r="I14" s="385"/>
      <c r="J14" s="386"/>
    </row>
    <row r="16" spans="1:12" ht="14.4" thickBot="1" x14ac:dyDescent="0.35"/>
    <row r="17" spans="1:4" ht="16.8" customHeight="1" x14ac:dyDescent="0.3">
      <c r="A17" s="357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358"/>
      <c r="B18" s="12">
        <v>0</v>
      </c>
      <c r="C18" s="12">
        <v>100</v>
      </c>
      <c r="D18" s="26">
        <v>20</v>
      </c>
    </row>
    <row r="20" spans="1:4" x14ac:dyDescent="0.3">
      <c r="A20" s="337" t="s">
        <v>37</v>
      </c>
      <c r="B20" s="337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topLeftCell="A19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15" t="s">
        <v>105</v>
      </c>
      <c r="G2" s="316"/>
      <c r="H2" s="316"/>
      <c r="I2" s="316"/>
      <c r="J2" s="316"/>
      <c r="K2" s="316"/>
      <c r="L2" s="317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318" t="s">
        <v>72</v>
      </c>
      <c r="G3" s="319"/>
      <c r="H3" s="319"/>
      <c r="I3" s="319"/>
      <c r="J3" s="319"/>
      <c r="K3" s="319"/>
      <c r="L3" s="320"/>
    </row>
    <row r="4" spans="1:12" ht="31.8" customHeight="1" thickBot="1" x14ac:dyDescent="0.35">
      <c r="A4" s="29" t="s">
        <v>38</v>
      </c>
      <c r="B4" s="388" t="s">
        <v>41</v>
      </c>
      <c r="C4" s="389"/>
      <c r="D4" s="390"/>
    </row>
    <row r="6" spans="1:12" ht="14.4" thickBot="1" x14ac:dyDescent="0.35"/>
    <row r="7" spans="1:12" ht="27.6" customHeight="1" x14ac:dyDescent="0.3">
      <c r="A7" s="354" t="s">
        <v>8</v>
      </c>
      <c r="B7" s="348" t="s">
        <v>9</v>
      </c>
      <c r="C7" s="349"/>
      <c r="D7" s="373" t="s">
        <v>12</v>
      </c>
      <c r="E7" s="375"/>
      <c r="F7" s="374" t="s">
        <v>24</v>
      </c>
      <c r="G7" s="387"/>
      <c r="H7" s="1" t="s">
        <v>54</v>
      </c>
    </row>
    <row r="8" spans="1:12" ht="27.6" x14ac:dyDescent="0.3">
      <c r="A8" s="35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6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354" t="s">
        <v>42</v>
      </c>
      <c r="B11" s="323" t="s">
        <v>47</v>
      </c>
      <c r="C11" s="391" t="s">
        <v>46</v>
      </c>
      <c r="D11" s="374"/>
      <c r="E11" s="374"/>
      <c r="F11" s="3" t="s">
        <v>48</v>
      </c>
      <c r="G11" s="33"/>
      <c r="H11" s="32"/>
      <c r="I11" s="32"/>
      <c r="J11" s="32"/>
    </row>
    <row r="12" spans="1:12" x14ac:dyDescent="0.3">
      <c r="A12" s="392"/>
      <c r="B12" s="32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39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353" t="s">
        <v>52</v>
      </c>
      <c r="B14" s="353"/>
      <c r="C14" s="353"/>
      <c r="D14" s="353"/>
      <c r="E14" s="353"/>
      <c r="F14" s="353"/>
      <c r="G14" s="38"/>
      <c r="H14" s="39"/>
      <c r="I14" s="39"/>
      <c r="J14" s="39"/>
    </row>
    <row r="15" spans="1:12" ht="30.6" customHeight="1" x14ac:dyDescent="0.3">
      <c r="A15" s="353"/>
      <c r="B15" s="353"/>
      <c r="C15" s="353"/>
      <c r="D15" s="353"/>
      <c r="E15" s="353"/>
      <c r="F15" s="353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358"/>
      <c r="B19" s="12">
        <v>0</v>
      </c>
      <c r="C19" s="12">
        <v>20000000</v>
      </c>
      <c r="D19" s="26">
        <v>20</v>
      </c>
    </row>
    <row r="21" spans="1:4" x14ac:dyDescent="0.3">
      <c r="A21" s="337" t="s">
        <v>37</v>
      </c>
      <c r="B21" s="337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topLeftCell="A16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315" t="s">
        <v>105</v>
      </c>
      <c r="G2" s="316"/>
      <c r="H2" s="316"/>
      <c r="I2" s="316"/>
      <c r="J2" s="316"/>
      <c r="K2" s="316"/>
      <c r="L2" s="317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318" t="s">
        <v>72</v>
      </c>
      <c r="G3" s="319"/>
      <c r="H3" s="319"/>
      <c r="I3" s="319"/>
      <c r="J3" s="319"/>
      <c r="K3" s="319"/>
      <c r="L3" s="320"/>
    </row>
    <row r="4" spans="1:14" ht="14.4" thickBot="1" x14ac:dyDescent="0.35">
      <c r="A4" s="29" t="s">
        <v>38</v>
      </c>
      <c r="B4" s="379" t="s">
        <v>57</v>
      </c>
      <c r="C4" s="379"/>
      <c r="D4" s="380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73" t="s">
        <v>12</v>
      </c>
      <c r="E7" s="375"/>
      <c r="F7" s="374" t="s">
        <v>24</v>
      </c>
      <c r="G7" s="387"/>
      <c r="I7" s="359" t="s">
        <v>73</v>
      </c>
      <c r="J7" s="359"/>
      <c r="K7" s="359"/>
      <c r="L7" s="359"/>
      <c r="N7" s="47" t="s">
        <v>58</v>
      </c>
    </row>
    <row r="8" spans="1:14" ht="27.6" x14ac:dyDescent="0.3">
      <c r="A8" s="35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359"/>
      <c r="J8" s="359"/>
      <c r="K8" s="359"/>
      <c r="L8" s="359"/>
      <c r="N8" s="47" t="s">
        <v>59</v>
      </c>
    </row>
    <row r="9" spans="1:14" ht="14.4" thickBot="1" x14ac:dyDescent="0.35">
      <c r="A9" s="356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337" t="s">
        <v>60</v>
      </c>
      <c r="B11" s="3" t="s">
        <v>61</v>
      </c>
      <c r="C11" s="3" t="s">
        <v>62</v>
      </c>
      <c r="D11" s="32"/>
      <c r="E11" s="36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337"/>
      <c r="B12" s="41">
        <v>0</v>
      </c>
      <c r="C12" s="41">
        <v>0</v>
      </c>
      <c r="D12" s="32"/>
      <c r="E12" s="36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337"/>
      <c r="B13" s="41">
        <v>1</v>
      </c>
      <c r="C13" s="41">
        <v>0.75</v>
      </c>
      <c r="D13" s="32"/>
      <c r="E13" s="36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337"/>
      <c r="B14" s="41">
        <v>2</v>
      </c>
      <c r="C14" s="41">
        <v>0</v>
      </c>
      <c r="D14" s="32"/>
      <c r="E14" s="36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337"/>
      <c r="B15" s="41">
        <v>3</v>
      </c>
      <c r="C15" s="41">
        <v>-1</v>
      </c>
      <c r="D15" s="32"/>
      <c r="E15" s="36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337"/>
      <c r="B16" s="41">
        <v>4</v>
      </c>
      <c r="C16" s="41">
        <v>3</v>
      </c>
      <c r="D16" s="32"/>
      <c r="E16" s="36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337"/>
      <c r="B17" s="42">
        <v>5</v>
      </c>
      <c r="C17" s="42">
        <v>3</v>
      </c>
      <c r="D17" s="40"/>
      <c r="E17" s="36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394" t="s">
        <v>74</v>
      </c>
      <c r="B18" s="395"/>
      <c r="C18" s="396"/>
      <c r="D18" s="33"/>
      <c r="E18" s="353" t="s">
        <v>75</v>
      </c>
      <c r="F18" s="353"/>
      <c r="G18" s="353"/>
      <c r="H18" s="353"/>
      <c r="I18" s="353"/>
      <c r="J18" s="353"/>
      <c r="K18" s="353"/>
      <c r="L18" s="353"/>
      <c r="M18" s="353"/>
    </row>
    <row r="19" spans="1:13" ht="35.4" customHeight="1" x14ac:dyDescent="0.3">
      <c r="A19" s="368"/>
      <c r="B19" s="369"/>
      <c r="C19" s="370"/>
      <c r="D19" s="33"/>
      <c r="E19" s="353"/>
      <c r="F19" s="353"/>
      <c r="G19" s="353"/>
      <c r="H19" s="353"/>
      <c r="I19" s="353"/>
      <c r="J19" s="353"/>
      <c r="K19" s="353"/>
      <c r="L19" s="353"/>
      <c r="M19" s="353"/>
    </row>
    <row r="21" spans="1:13" ht="14.4" thickBot="1" x14ac:dyDescent="0.35"/>
    <row r="22" spans="1:13" ht="16.8" customHeight="1" x14ac:dyDescent="0.3">
      <c r="A22" s="357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358"/>
      <c r="B23" s="12">
        <v>0</v>
      </c>
      <c r="C23" s="12">
        <v>5</v>
      </c>
      <c r="D23" s="26">
        <v>20</v>
      </c>
    </row>
    <row r="25" spans="1:13" x14ac:dyDescent="0.3">
      <c r="A25" s="337" t="s">
        <v>37</v>
      </c>
      <c r="B25" s="337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1"/>
  </sheetPr>
  <dimension ref="A1:O42"/>
  <sheetViews>
    <sheetView topLeftCell="A13"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397" t="s">
        <v>111</v>
      </c>
      <c r="C4" s="397"/>
      <c r="D4" s="397"/>
      <c r="E4" s="397"/>
      <c r="F4" s="398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354" t="s">
        <v>8</v>
      </c>
      <c r="B7" s="348" t="s">
        <v>9</v>
      </c>
      <c r="C7" s="349"/>
      <c r="D7" s="373" t="s">
        <v>12</v>
      </c>
      <c r="E7" s="375"/>
      <c r="F7" s="374" t="s">
        <v>24</v>
      </c>
      <c r="G7" s="387"/>
    </row>
    <row r="8" spans="1:15" ht="27.6" x14ac:dyDescent="0.3">
      <c r="A8" s="355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356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354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357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356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358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376" t="s">
        <v>119</v>
      </c>
      <c r="B13" s="377"/>
      <c r="C13" s="377"/>
      <c r="D13" s="377"/>
      <c r="E13" s="377"/>
      <c r="F13" s="378"/>
      <c r="H13" s="376" t="s">
        <v>120</v>
      </c>
      <c r="I13" s="377"/>
      <c r="J13" s="377"/>
      <c r="K13" s="377"/>
      <c r="L13" s="377"/>
      <c r="M13" s="377"/>
      <c r="N13" s="377"/>
      <c r="O13" s="378"/>
    </row>
    <row r="14" spans="1:15" ht="33.6" customHeight="1" x14ac:dyDescent="0.3">
      <c r="A14" s="368"/>
      <c r="B14" s="369"/>
      <c r="C14" s="369"/>
      <c r="D14" s="369"/>
      <c r="E14" s="369"/>
      <c r="F14" s="370"/>
      <c r="H14" s="368"/>
      <c r="I14" s="369"/>
      <c r="J14" s="369"/>
      <c r="K14" s="369"/>
      <c r="L14" s="369"/>
      <c r="M14" s="369"/>
      <c r="N14" s="369"/>
      <c r="O14" s="370"/>
    </row>
    <row r="16" spans="1:15" ht="14.4" thickBot="1" x14ac:dyDescent="0.35"/>
    <row r="17" spans="1:4" ht="16.8" customHeight="1" x14ac:dyDescent="0.3">
      <c r="A17" s="357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358"/>
      <c r="B18" s="102">
        <v>0</v>
      </c>
      <c r="C18" s="103">
        <v>200000000</v>
      </c>
      <c r="D18" s="26">
        <v>20</v>
      </c>
    </row>
    <row r="20" spans="1:4" x14ac:dyDescent="0.3">
      <c r="A20" s="337" t="s">
        <v>37</v>
      </c>
      <c r="B20" s="337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Charts - Idvl</vt:lpstr>
      <vt:lpstr>Chart - Combined</vt:lpstr>
      <vt:lpstr>JJ_Notes_1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2013-06-26T19:20:10Z</dcterms:modified>
</cp:coreProperties>
</file>