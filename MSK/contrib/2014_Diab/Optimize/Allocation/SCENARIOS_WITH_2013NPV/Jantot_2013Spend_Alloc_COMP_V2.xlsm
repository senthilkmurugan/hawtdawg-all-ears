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3" activeTab="4"/>
  </bookViews>
  <sheets>
    <sheet name="Charts - Idvl" sheetId="35" r:id="rId1"/>
    <sheet name="Chart - Combined" sheetId="36" r:id="rId2"/>
    <sheet name="JJ_Notes_1" sheetId="24" r:id="rId3"/>
    <sheet name="Case Notes" sheetId="37" r:id="rId4"/>
    <sheet name="JJ_Optim_Scenario" sheetId="23" r:id="rId5"/>
    <sheet name="JANSample" sheetId="25" r:id="rId6"/>
    <sheet name="JMTSample" sheetId="26" r:id="rId7"/>
    <sheet name="TOTSample" sheetId="27" r:id="rId8"/>
    <sheet name="JJVCH" sheetId="29" r:id="rId9"/>
    <sheet name="JJMMF" sheetId="30" r:id="rId10"/>
    <sheet name="JJHCC" sheetId="31" r:id="rId11"/>
    <sheet name="JJMCM" sheetId="32" r:id="rId12"/>
    <sheet name="JJHCC_ACQ" sheetId="33" r:id="rId13"/>
    <sheet name="JJHCC_ADH" sheetId="34" r:id="rId14"/>
    <sheet name="Fn.Templates ==&gt;" sheetId="3" r:id="rId15"/>
    <sheet name="FT_SCurveEst" sheetId="2" r:id="rId16"/>
    <sheet name="FT_Equation" sheetId="4" r:id="rId17"/>
    <sheet name="FT_Interpolate" sheetId="5" r:id="rId18"/>
    <sheet name="FT_SCurve3Est" sheetId="13" r:id="rId19"/>
  </sheets>
  <functionGroups builtInGroupCount="17"/>
  <externalReferences>
    <externalReference r:id="rId20"/>
  </externalReferences>
  <definedNames>
    <definedName name="solver_adj" localSheetId="4" hidden="1">JJ_Optim_Scenario!$I$17:$I$24</definedName>
    <definedName name="solver_cvg" localSheetId="4" hidden="1">0.00001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JJ_Optim_Scenario!$I$17:$I$24</definedName>
    <definedName name="solver_lhs2" localSheetId="4" hidden="1">JJ_Optim_Scenario!$I$17:$I$24</definedName>
    <definedName name="solver_lhs3" localSheetId="4" hidden="1">JJ_Optim_Scenario!$I$25</definedName>
    <definedName name="solver_lhs4" localSheetId="4" hidden="1">JJ_Optim_Scenario!$I$25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4</definedName>
    <definedName name="solver_nwt" localSheetId="4" hidden="1">1</definedName>
    <definedName name="solver_opt" localSheetId="4" hidden="1">JJ_Optim_Scenario!$B$9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hs1" localSheetId="4" hidden="1">JJ_Optim_Scenario!$H$17:$H$24</definedName>
    <definedName name="solver_rhs2" localSheetId="4" hidden="1">JJ_Optim_Scenario!$G$17:$G$24</definedName>
    <definedName name="solver_rhs3" localSheetId="4" hidden="1">JJ_Optim_Scenario!$D$12</definedName>
    <definedName name="solver_rhs4" localSheetId="4" hidden="1">JJ_Optim_Scenario!$C$12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0</definedName>
    <definedName name="solver_ver" localSheetId="4" hidden="1">3</definedName>
  </definedNames>
  <calcPr calcId="145621"/>
</workbook>
</file>

<file path=xl/calcChain.xml><?xml version="1.0" encoding="utf-8"?>
<calcChain xmlns="http://schemas.openxmlformats.org/spreadsheetml/2006/main">
  <c r="C31" i="37" l="1"/>
  <c r="C35" i="37"/>
  <c r="C34" i="37"/>
  <c r="C33" i="37"/>
  <c r="C32" i="37"/>
  <c r="C30" i="37"/>
  <c r="C36" i="37" s="1"/>
  <c r="C29" i="37"/>
  <c r="C28" i="37"/>
  <c r="F31" i="37"/>
  <c r="E31" i="37"/>
  <c r="F35" i="37"/>
  <c r="E35" i="37"/>
  <c r="F34" i="37"/>
  <c r="E34" i="37"/>
  <c r="F33" i="37"/>
  <c r="E33" i="37"/>
  <c r="F32" i="37"/>
  <c r="E32" i="37"/>
  <c r="F30" i="37"/>
  <c r="E30" i="37"/>
  <c r="F29" i="37"/>
  <c r="F28" i="37"/>
  <c r="E28" i="37"/>
  <c r="H24" i="23" l="1"/>
  <c r="H23" i="23"/>
  <c r="H20" i="23"/>
  <c r="H22" i="23"/>
  <c r="G22" i="23"/>
  <c r="H21" i="23"/>
  <c r="G20" i="23"/>
  <c r="B36" i="37"/>
  <c r="H19" i="23"/>
  <c r="H18" i="23"/>
  <c r="G21" i="23"/>
  <c r="G23" i="23"/>
  <c r="G24" i="23"/>
  <c r="G19" i="23"/>
  <c r="E29" i="37"/>
  <c r="G18" i="23" s="1"/>
  <c r="G54" i="24"/>
  <c r="H17" i="23" l="1"/>
  <c r="E36" i="37"/>
  <c r="G17" i="2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F36" i="37" l="1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28" i="33"/>
  <c r="E28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B40" i="33"/>
  <c r="E40" i="33" s="1"/>
  <c r="B36" i="33"/>
  <c r="E36" i="33" s="1"/>
  <c r="B32" i="33"/>
  <c r="E32" i="33" s="1"/>
  <c r="B24" i="33"/>
  <c r="E24" i="33" s="1"/>
  <c r="E9" i="33"/>
  <c r="F9" i="33" s="1"/>
  <c r="J23" i="23" s="1"/>
  <c r="B39" i="33"/>
  <c r="E39" i="33" s="1"/>
  <c r="B35" i="33"/>
  <c r="E35" i="33" s="1"/>
  <c r="B31" i="33"/>
  <c r="E31" i="33" s="1"/>
  <c r="B27" i="33"/>
  <c r="E27" i="33" s="1"/>
  <c r="B23" i="33"/>
  <c r="E23" i="3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H9" i="30"/>
  <c r="B30" i="30"/>
  <c r="E9" i="30"/>
  <c r="C22" i="34" l="1"/>
  <c r="E22" i="34"/>
  <c r="F23" i="23"/>
  <c r="F40" i="23" s="1"/>
  <c r="G40" i="23" s="1"/>
  <c r="J9" i="33"/>
  <c r="L21" i="23"/>
  <c r="N21" i="23" s="1"/>
  <c r="I40" i="23"/>
  <c r="J40" i="23" s="1"/>
  <c r="L23" i="23"/>
  <c r="N23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40" i="23" l="1"/>
  <c r="J44" i="23"/>
  <c r="J45" i="23"/>
  <c r="J43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23" l="1"/>
  <c r="G45" i="23"/>
  <c r="G44" i="23"/>
  <c r="N40" i="23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N37" i="23" l="1"/>
  <c r="L45" i="23"/>
  <c r="L44" i="23"/>
  <c r="L43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M43" i="23" l="1"/>
  <c r="M44" i="23"/>
  <c r="M45" i="23"/>
  <c r="N42" i="23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3" i="23" l="1"/>
  <c r="N44" i="23"/>
  <c r="N45" i="23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L25" i="23" l="1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<sst xmlns="http://schemas.openxmlformats.org/spreadsheetml/2006/main" count="1173" uniqueCount="290">
  <si>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</si>
  <si>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</si>
  <si>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</si>
  <si>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</si>
  <si>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</si>
  <si>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</si>
  <si>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</si>
  <si>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</si>
  <si>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</si>
  <si>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</si>
  <si>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</si>
  <si>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</si>
  <si>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</si>
  <si>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</si>
  <si>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</si>
  <si>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</si>
  <si>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</si>
  <si>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</si>
  <si>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</si>
  <si>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</si>
  <si>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</si>
  <si>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</si>
  <si>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</si>
  <si>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</si>
  <si>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</si>
  <si>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</si>
  <si>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</si>
  <si>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</si>
  <si>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</si>
  <si>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</si>
  <si>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</si>
  <si>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</si>
  <si>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</si>
  <si>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</si>
  <si>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</si>
  <si>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</si>
  <si>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</si>
  <si>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</si>
  <si>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</si>
  <si>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</si>
  <si>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</si>
  <si>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</si>
  <si>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</si>
  <si>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</si>
  <si>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</si>
  <si>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</si>
  <si>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</si>
  <si>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</si>
  <si>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</si>
  <si>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</si>
  <si>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</si>
  <si>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</si>
  <si>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</si>
  <si>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</si>
  <si>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</si>
  <si>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</si>
  <si>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</si>
  <si>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</si>
  <si>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</si>
  <si>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</si>
  <si>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</si>
  <si>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</si>
  <si>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</si>
  <si>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</si>
  <si>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</si>
  <si>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</si>
  <si>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</si>
  <si>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</si>
  <si>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</si>
  <si>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</si>
  <si>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</si>
  <si>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</si>
  <si>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</si>
  <si>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</si>
  <si>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</si>
  <si>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</si>
  <si>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</si>
  <si>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</si>
  <si>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</si>
  <si>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</si>
  <si>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</si>
  <si>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</si>
  <si>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</si>
  <si>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</si>
  <si>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</si>
  <si>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</si>
  <si>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</si>
  <si>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</si>
  <si>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</si>
  <si>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</si>
  <si>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</si>
  <si>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</si>
  <si>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</si>
  <si>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</si>
  <si>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</si>
  <si>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</si>
  <si>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</si>
  <si>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</si>
  <si>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</si>
  <si>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</si>
  <si>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</si>
  <si>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</si>
  <si>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</si>
  <si>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</si>
  <si>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</si>
  <si>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</si>
  <si>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</si>
  <si>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</si>
  <si>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</si>
  <si>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</si>
  <si>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</si>
  <si>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</si>
  <si>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</si>
  <si>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</si>
  <si>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</si>
  <si>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</si>
  <si>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</si>
  <si>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</si>
  <si>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</si>
  <si>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</si>
  <si>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</si>
  <si>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</si>
  <si>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</si>
  <si>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</si>
  <si>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</si>
  <si>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</si>
  <si>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</si>
  <si>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</si>
  <si>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</si>
  <si>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</si>
  <si>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</si>
  <si>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</si>
  <si>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</si>
  <si>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</si>
  <si>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</si>
  <si>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</si>
  <si>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</si>
  <si>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</si>
  <si>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</si>
  <si>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</si>
  <si>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</si>
  <si>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</si>
  <si>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</si>
  <si>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</si>
  <si>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</si>
  <si>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</si>
  <si>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</si>
  <si>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</si>
  <si>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</si>
  <si>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</si>
  <si>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</si>
  <si>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</si>
  <si>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</si>
  <si>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</si>
  <si>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</si>
  <si>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</si>
  <si>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</si>
  <si>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</si>
  <si>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</si>
  <si>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</si>
  <si>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</si>
  <si>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</si>
  <si>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</si>
  <si>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</si>
  <si>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</si>
  <si>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</si>
  <si>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</si>
  <si>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</si>
  <si>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</si>
  <si>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</si>
  <si>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</si>
  <si>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</si>
  <si>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</si>
  <si>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</si>
  <si>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</si>
  <si>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</si>
  <si>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</si>
  <si>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</si>
  <si>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</si>
  <si>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</si>
  <si>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</si>
  <si>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</si>
  <si>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</si>
  <si>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</si>
  <si>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</si>
  <si>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</si>
  <si>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</si>
  <si>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</si>
  <si>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</si>
  <si>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</si>
  <si>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</si>
  <si>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</si>
  <si>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</si>
  <si>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</si>
  <si>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</si>
  <si>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</si>
  <si>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</si>
  <si>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</si>
  <si>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</si>
  <si>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</si>
  <si>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</si>
  <si>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</si>
  <si>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</si>
  <si>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</si>
  <si>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</si>
  <si>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</si>
  <si>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</si>
  <si>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</si>
  <si>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</si>
  <si>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</si>
  <si>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</si>
  <si>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</si>
  <si>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</si>
  <si>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</si>
  <si>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</si>
  <si>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</si>
  <si>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</si>
  <si>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</si>
  <si>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</si>
  <si>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</si>
  <si>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</si>
  <si>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</si>
  <si>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</si>
  <si>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</si>
  <si>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</si>
  <si>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</si>
  <si>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</si>
  <si>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</si>
  <si>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</si>
  <si>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</si>
  <si>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</si>
  <si>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</si>
  <si>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</si>
  <si>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</si>
  <si>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</si>
  <si>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</si>
  <si>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</si>
  <si>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</si>
  <si>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</si>
  <si>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</si>
  <si>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</si>
  <si>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</si>
  <si>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</si>
  <si>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</si>
  <si>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</si>
  <si>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</si>
  <si>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</si>
  <si>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</si>
  <si>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</si>
  <si>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</si>
  <si>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</si>
  <si>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</si>
  <si>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</si>
  <si>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</si>
  <si>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</si>
  <si>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</si>
  <si>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</si>
  <si>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</si>
  <si>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</si>
  <si>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</si>
  <si>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</si>
  <si>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</si>
  <si>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</si>
  <si>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</si>
  <si>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</si>
  <si>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</si>
  <si>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</si>
  <si>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</si>
  <si>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</si>
  <si>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</si>
  <si>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</si>
  <si>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</si>
  <si>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</si>
  <si>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</si>
  <si>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</si>
  <si>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</si>
  <si>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</si>
  <si>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Change in spend to competitor levels</t>
  </si>
  <si>
    <t>110% to 140%</t>
  </si>
  <si>
    <t>Based on Indexes, roughly, sample spend for Tradjenta was 110% of Januvia and the Detail spend was 140% of Januvia.</t>
  </si>
  <si>
    <t>Janumet + XR leads DPP-4 combo market. Spend is distributed at + or -30% (i.e., like Case 1)</t>
  </si>
  <si>
    <t>&lt;-- Default</t>
  </si>
  <si>
    <t>70% to 130%</t>
  </si>
  <si>
    <t>Same as Case 1.</t>
  </si>
  <si>
    <t>170% to 270%</t>
  </si>
  <si>
    <t>Based on Indexes, roughly, Onglyza has 70% more spend and Tradjenta has 170% more spend than Januvia.</t>
  </si>
  <si>
    <t>Projected Spend to meet Competitors sampling and MMF levels</t>
  </si>
  <si>
    <r>
      <rPr>
        <b/>
        <sz val="10"/>
        <color rgb="FF0000FF"/>
        <rFont val="Calibri"/>
        <family val="2"/>
        <scheme val="minor"/>
      </rPr>
      <t>CASE 2.</t>
    </r>
    <r>
      <rPr>
        <sz val="10"/>
        <color rgb="FF0000FF"/>
        <rFont val="Calibri"/>
        <family val="2"/>
        <scheme val="minor"/>
      </rPr>
      <t xml:space="preserve"> Based on CSD Competitive promotions data, spends for Samples and Meetings are designed to be similar to Tradjenta's 2012 levels. Increase Januvia Sample spends by curr +10%(based on Tradjenta Samples) to curr +40% (based on Tradjenta details). Increase MMF spends from curr. +70% (Onglyza equivalent) to curr. +170% (Tradjenta MMF). Global spend ranges from curr level to additional max added for samples and meetings.</t>
    </r>
  </si>
  <si>
    <t>New Patient</t>
  </si>
  <si>
    <t>Equal Impact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</si>
</sst>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165" fontId="37" fillId="42" borderId="2" xfId="2" applyNumberFormat="1" applyFont="1" applyFill="1" applyBorder="1"/>
    <xf numFmtId="0" fontId="51" fillId="0" borderId="0" xfId="0" applyFont="1"/>
    <xf numFmtId="164" fontId="36" fillId="0" borderId="0" xfId="4" applyNumberFormat="1" applyFont="1" applyFill="1" applyBorder="1"/>
    <xf numFmtId="164" fontId="39" fillId="0" borderId="0" xfId="0" applyNumberFormat="1" applyFont="1"/>
    <xf numFmtId="0" fontId="52" fillId="0" borderId="12" xfId="0" applyFont="1" applyBorder="1"/>
    <xf numFmtId="0" fontId="52" fillId="0" borderId="37" xfId="0" applyFont="1" applyBorder="1"/>
    <xf numFmtId="9" fontId="1" fillId="0" borderId="0" xfId="3" applyFont="1"/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83712"/>
        <c:axId val="291286016"/>
      </c:scatterChart>
      <c:valAx>
        <c:axId val="291283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1286016"/>
        <c:crosses val="autoZero"/>
        <c:crossBetween val="midCat"/>
        <c:dispUnits>
          <c:builtInUnit val="thousands"/>
        </c:dispUnits>
      </c:valAx>
      <c:valAx>
        <c:axId val="29128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1283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6784"/>
        <c:axId val="293562240"/>
      </c:scatterChart>
      <c:valAx>
        <c:axId val="291926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3562240"/>
        <c:crosses val="autoZero"/>
        <c:crossBetween val="midCat"/>
        <c:dispUnits>
          <c:builtInUnit val="thousands"/>
        </c:dispUnits>
      </c:valAx>
      <c:valAx>
        <c:axId val="293562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1926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87968"/>
        <c:axId val="293602816"/>
      </c:scatterChart>
      <c:valAx>
        <c:axId val="2935879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3602816"/>
        <c:crosses val="autoZero"/>
        <c:crossBetween val="midCat"/>
        <c:dispUnits>
          <c:builtInUnit val="thousands"/>
        </c:dispUnits>
      </c:valAx>
      <c:valAx>
        <c:axId val="293602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35879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7548000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11988000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49024"/>
        <c:axId val="294335616"/>
      </c:scatterChart>
      <c:valAx>
        <c:axId val="293649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4335616"/>
        <c:crosses val="autoZero"/>
        <c:crossBetween val="midCat"/>
        <c:dispUnits>
          <c:builtInUnit val="thousands"/>
        </c:dispUnits>
      </c:valAx>
      <c:valAx>
        <c:axId val="294335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36490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85920"/>
        <c:axId val="299115264"/>
      </c:scatterChart>
      <c:valAx>
        <c:axId val="294385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99115264"/>
        <c:crosses val="autoZero"/>
        <c:crossBetween val="midCat"/>
        <c:dispUnits>
          <c:builtInUnit val="thousands"/>
        </c:dispUnits>
      </c:valAx>
      <c:valAx>
        <c:axId val="299115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4385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368919.78899706784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57376"/>
        <c:axId val="299250048"/>
      </c:scatterChart>
      <c:valAx>
        <c:axId val="299157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99250048"/>
        <c:crosses val="autoZero"/>
        <c:crossBetween val="midCat"/>
        <c:dispUnits>
          <c:builtInUnit val="thousands"/>
        </c:dispUnits>
      </c:valAx>
      <c:valAx>
        <c:axId val="299250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91573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296256"/>
        <c:axId val="299909120"/>
      </c:scatterChart>
      <c:valAx>
        <c:axId val="299296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99909120"/>
        <c:crosses val="autoZero"/>
        <c:crossBetween val="midCat"/>
        <c:dispUnits>
          <c:builtInUnit val="thousands"/>
        </c:dispUnits>
      </c:valAx>
      <c:valAx>
        <c:axId val="29990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92962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81728"/>
        <c:axId val="301084032"/>
      </c:scatterChart>
      <c:valAx>
        <c:axId val="301081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1084032"/>
        <c:crosses val="autoZero"/>
        <c:crossBetween val="midCat"/>
        <c:dispUnits>
          <c:builtInUnit val="thousands"/>
        </c:dispUnits>
      </c:valAx>
      <c:valAx>
        <c:axId val="301084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1081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368919.78899706784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368919.78899706784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67168"/>
        <c:axId val="302252032"/>
      </c:scatterChart>
      <c:valAx>
        <c:axId val="30216716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2252032"/>
        <c:crosses val="autoZero"/>
        <c:crossBetween val="midCat"/>
        <c:dispUnits>
          <c:builtInUnit val="thousands"/>
        </c:dispUnits>
      </c:valAx>
      <c:valAx>
        <c:axId val="302252032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1671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368919.78899706784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368919.78899706784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11232"/>
        <c:axId val="302743552"/>
      </c:scatterChart>
      <c:valAx>
        <c:axId val="302511232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2743552"/>
        <c:crosses val="autoZero"/>
        <c:crossBetween val="midCat"/>
        <c:dispUnits>
          <c:builtInUnit val="thousands"/>
        </c:dispUnits>
      </c:valAx>
      <c:valAx>
        <c:axId val="30274355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5112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312019345.01750028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3488333.2246395759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35772100.962595128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5729157.4244348034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31007029.935711749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343232"/>
        <c:axId val="293345536"/>
      </c:scatterChart>
      <c:valAx>
        <c:axId val="293343232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3345536"/>
        <c:crosses val="autoZero"/>
        <c:crossBetween val="midCat"/>
        <c:dispUnits>
          <c:builtInUnit val="millions"/>
        </c:dispUnits>
      </c:valAx>
      <c:valAx>
        <c:axId val="29334553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933432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312019345.01750028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3488333.2246395759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35772100.962595128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5729157.4244348034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31007029.935711749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95872"/>
        <c:axId val="293698560"/>
      </c:scatterChart>
      <c:valAx>
        <c:axId val="293695872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3698560"/>
        <c:crosses val="autoZero"/>
        <c:crossBetween val="midCat"/>
        <c:dispUnits>
          <c:builtInUnit val="millions"/>
        </c:dispUnits>
      </c:valAx>
      <c:valAx>
        <c:axId val="293698560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936958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36448"/>
        <c:axId val="293738368"/>
      </c:scatterChart>
      <c:valAx>
        <c:axId val="293736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3738368"/>
        <c:crosses val="autoZero"/>
        <c:crossBetween val="midCat"/>
        <c:dispUnits>
          <c:builtInUnit val="thousands"/>
        </c:dispUnits>
      </c:valAx>
      <c:valAx>
        <c:axId val="293738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37364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279087.0706775494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84576"/>
        <c:axId val="293799424"/>
      </c:scatterChart>
      <c:valAx>
        <c:axId val="293784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3799424"/>
        <c:crosses val="autoZero"/>
        <c:crossBetween val="midCat"/>
        <c:dispUnits>
          <c:builtInUnit val="thousands"/>
        </c:dispUnits>
      </c:valAx>
      <c:valAx>
        <c:axId val="29379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3784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29664"/>
        <c:axId val="294131584"/>
      </c:scatterChart>
      <c:valAx>
        <c:axId val="294129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4131584"/>
        <c:crosses val="autoZero"/>
        <c:crossBetween val="midCat"/>
        <c:dispUnits>
          <c:builtInUnit val="thousands"/>
        </c:dispUnits>
      </c:valAx>
      <c:valAx>
        <c:axId val="294131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41296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58944"/>
        <c:axId val="294261504"/>
      </c:scatterChart>
      <c:valAx>
        <c:axId val="294258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4261504"/>
        <c:crosses val="autoZero"/>
        <c:crossBetween val="midCat"/>
        <c:dispUnits>
          <c:builtInUnit val="thousands"/>
        </c:dispUnits>
      </c:valAx>
      <c:valAx>
        <c:axId val="294261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42589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123520"/>
        <c:axId val="288134272"/>
      </c:scatterChart>
      <c:valAx>
        <c:axId val="288123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8134272"/>
        <c:crosses val="autoZero"/>
        <c:crossBetween val="midCat"/>
        <c:dispUnits>
          <c:builtInUnit val="thousands"/>
        </c:dispUnits>
      </c:valAx>
      <c:valAx>
        <c:axId val="288134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8123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94176"/>
        <c:axId val="151405312"/>
      </c:scatterChart>
      <c:valAx>
        <c:axId val="294194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405312"/>
        <c:crosses val="autoZero"/>
        <c:crossBetween val="midCat"/>
        <c:dispUnits>
          <c:builtInUnit val="thousands"/>
        </c:dispUnits>
      </c:valAx>
      <c:valAx>
        <c:axId val="151405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41941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20224"/>
        <c:axId val="151630976"/>
      </c:scatterChart>
      <c:valAx>
        <c:axId val="151620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630976"/>
        <c:crosses val="autoZero"/>
        <c:crossBetween val="midCat"/>
        <c:dispUnits>
          <c:builtInUnit val="thousands"/>
        </c:dispUnits>
      </c:valAx>
      <c:valAx>
        <c:axId val="151630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16202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9140.6147807429006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66592"/>
        <c:axId val="151581440"/>
      </c:scatterChart>
      <c:valAx>
        <c:axId val="151566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581440"/>
        <c:crosses val="autoZero"/>
        <c:crossBetween val="midCat"/>
        <c:dispUnits>
          <c:builtInUnit val="thousands"/>
        </c:dispUnits>
      </c:valAx>
      <c:valAx>
        <c:axId val="151581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15665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7548000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11988000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8976"/>
        <c:axId val="152089728"/>
      </c:scatterChart>
      <c:valAx>
        <c:axId val="152078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089728"/>
        <c:crosses val="autoZero"/>
        <c:crossBetween val="midCat"/>
        <c:dispUnits>
          <c:builtInUnit val="thousands"/>
        </c:dispUnits>
      </c:valAx>
      <c:valAx>
        <c:axId val="152089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078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7548000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11988000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3120.1549415380823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35936"/>
        <c:axId val="152150784"/>
      </c:scatterChart>
      <c:valAx>
        <c:axId val="152135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150784"/>
        <c:crosses val="autoZero"/>
        <c:crossBetween val="midCat"/>
        <c:dispUnits>
          <c:builtInUnit val="thousands"/>
        </c:dispUnits>
      </c:valAx>
      <c:valAx>
        <c:axId val="15215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13593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22112"/>
        <c:axId val="154132864"/>
      </c:scatterChart>
      <c:valAx>
        <c:axId val="154122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4132864"/>
        <c:crosses val="autoZero"/>
        <c:crossBetween val="midCat"/>
        <c:dispUnits>
          <c:builtInUnit val="thousands"/>
        </c:dispUnits>
      </c:valAx>
      <c:valAx>
        <c:axId val="15413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41221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172716.05387802981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08928"/>
        <c:axId val="162115584"/>
      </c:scatterChart>
      <c:valAx>
        <c:axId val="1621089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2115584"/>
        <c:crosses val="autoZero"/>
        <c:crossBetween val="midCat"/>
        <c:dispUnits>
          <c:builtInUnit val="thousands"/>
        </c:dispUnits>
      </c:valAx>
      <c:valAx>
        <c:axId val="16211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21089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368919.78899706784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69760"/>
        <c:axId val="162480128"/>
      </c:scatterChart>
      <c:valAx>
        <c:axId val="1624697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2480128"/>
        <c:crosses val="autoZero"/>
        <c:crossBetween val="midCat"/>
        <c:dispUnits>
          <c:builtInUnit val="thousands"/>
        </c:dispUnits>
      </c:valAx>
      <c:valAx>
        <c:axId val="162480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24697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7601851.7598856883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31996.512488904409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34528"/>
        <c:axId val="162536832"/>
      </c:scatterChart>
      <c:valAx>
        <c:axId val="1625345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2536832"/>
        <c:crosses val="autoZero"/>
        <c:crossBetween val="midCat"/>
        <c:dispUnits>
          <c:builtInUnit val="thousands"/>
        </c:dispUnits>
      </c:valAx>
      <c:valAx>
        <c:axId val="162536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25345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87488"/>
        <c:axId val="163089792"/>
      </c:scatterChart>
      <c:valAx>
        <c:axId val="163087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3089792"/>
        <c:crosses val="autoZero"/>
        <c:crossBetween val="midCat"/>
        <c:dispUnits>
          <c:builtInUnit val="thousands"/>
        </c:dispUnits>
      </c:valAx>
      <c:valAx>
        <c:axId val="163089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30874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5124.469968188554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48544"/>
        <c:axId val="163150848"/>
      </c:scatterChart>
      <c:valAx>
        <c:axId val="163148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3150848"/>
        <c:crosses val="autoZero"/>
        <c:crossBetween val="midCat"/>
        <c:dispUnits>
          <c:builtInUnit val="thousands"/>
        </c:dispUnits>
      </c:valAx>
      <c:valAx>
        <c:axId val="163150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31485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85408"/>
        <c:axId val="163187712"/>
      </c:scatterChart>
      <c:valAx>
        <c:axId val="163185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3187712"/>
        <c:crosses val="autoZero"/>
        <c:crossBetween val="midCat"/>
        <c:dispUnits>
          <c:builtInUnit val="thousands"/>
        </c:dispUnits>
      </c:valAx>
      <c:valAx>
        <c:axId val="163187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31854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60320"/>
        <c:axId val="163962240"/>
      </c:scatterChart>
      <c:valAx>
        <c:axId val="1639603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962240"/>
        <c:crosses val="autoZero"/>
        <c:crossBetween val="midCat"/>
      </c:valAx>
      <c:valAx>
        <c:axId val="16396224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9603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86208"/>
        <c:axId val="163888128"/>
      </c:scatterChart>
      <c:valAx>
        <c:axId val="163886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888128"/>
        <c:crosses val="autoZero"/>
        <c:crossBetween val="midCat"/>
      </c:valAx>
      <c:valAx>
        <c:axId val="163888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886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72544"/>
        <c:axId val="151374464"/>
      </c:scatterChart>
      <c:valAx>
        <c:axId val="151372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374464"/>
        <c:crosses val="autoZero"/>
        <c:crossBetween val="midCat"/>
      </c:valAx>
      <c:valAx>
        <c:axId val="15137446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3725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81056"/>
        <c:axId val="164383360"/>
      </c:scatterChart>
      <c:valAx>
        <c:axId val="1643810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4383360"/>
        <c:crosses val="autoZero"/>
        <c:crossBetween val="midCat"/>
        <c:dispUnits>
          <c:builtInUnit val="millions"/>
        </c:dispUnits>
      </c:valAx>
      <c:valAx>
        <c:axId val="1643833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438105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H34" workbookViewId="0">
      <selection activeCell="V37" sqref="V37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topLeftCell="A16" workbookViewId="0">
      <selection activeCell="A19" sqref="A19:XFD40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30" t="s">
        <v>191</v>
      </c>
      <c r="E6" s="330"/>
      <c r="F6" s="330" t="s">
        <v>183</v>
      </c>
      <c r="G6" s="330"/>
      <c r="H6" s="330"/>
      <c r="I6" s="330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31" t="s">
        <v>194</v>
      </c>
      <c r="D20" s="331"/>
      <c r="E20" s="331"/>
      <c r="F20" s="331" t="s">
        <v>195</v>
      </c>
      <c r="G20" s="331"/>
      <c r="H20" s="331"/>
      <c r="I20" s="331" t="s">
        <v>196</v>
      </c>
      <c r="J20" s="331"/>
      <c r="K20" s="192" t="s">
        <v>197</v>
      </c>
      <c r="L20" s="187"/>
      <c r="M20" s="189" t="s">
        <v>198</v>
      </c>
      <c r="N20" s="187"/>
      <c r="O20" s="331" t="s">
        <v>194</v>
      </c>
      <c r="P20" s="331"/>
      <c r="Q20" s="331"/>
      <c r="R20" s="331" t="s">
        <v>195</v>
      </c>
      <c r="S20" s="331"/>
      <c r="T20" s="331"/>
      <c r="U20" s="331" t="s">
        <v>196</v>
      </c>
      <c r="V20" s="331"/>
      <c r="W20" s="192" t="s">
        <v>197</v>
      </c>
      <c r="X20" s="187"/>
      <c r="Y20" s="189" t="s">
        <v>199</v>
      </c>
      <c r="Z20" s="187"/>
      <c r="AA20" s="320" t="s">
        <v>200</v>
      </c>
      <c r="AB20" s="321"/>
      <c r="AC20" s="322"/>
      <c r="AD20" s="320" t="s">
        <v>201</v>
      </c>
      <c r="AE20" s="322"/>
      <c r="AF20" s="212"/>
      <c r="AG20" s="323" t="s">
        <v>202</v>
      </c>
      <c r="AH20" s="324"/>
      <c r="AI20" s="324"/>
      <c r="AJ20" s="324"/>
      <c r="AK20" s="324"/>
      <c r="AL20" s="325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6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7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7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7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7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7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7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7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28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29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7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7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7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7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7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7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7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28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D6:E6"/>
    <mergeCell ref="F6:I6"/>
    <mergeCell ref="U20:V20"/>
    <mergeCell ref="C20:E20"/>
    <mergeCell ref="F20:H20"/>
    <mergeCell ref="I20:J20"/>
    <mergeCell ref="O20:Q20"/>
    <mergeCell ref="R20:T20"/>
    <mergeCell ref="AA20:AC20"/>
    <mergeCell ref="AD20:AE20"/>
    <mergeCell ref="AG20:AL20"/>
    <mergeCell ref="Y22:Y30"/>
    <mergeCell ref="Y31:Y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37"/>
  <sheetViews>
    <sheetView topLeftCell="A22" workbookViewId="0">
      <selection activeCell="E34" sqref="E34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6" max="6" width="14" customWidth="1"/>
    <col min="7" max="7" width="11.88671875" customWidth="1"/>
    <col min="14" max="14" width="19.5546875" customWidth="1"/>
  </cols>
  <sheetData>
    <row r="2" spans="1:38" s="248" customFormat="1" ht="15" thickBot="1" x14ac:dyDescent="0.35">
      <c r="A2" s="159" t="s">
        <v>192</v>
      </c>
    </row>
    <row r="3" spans="1:38" s="248" customFormat="1" ht="15" thickTop="1" x14ac:dyDescent="0.3">
      <c r="A3" s="253" t="s">
        <v>193</v>
      </c>
      <c r="C3" s="331" t="s">
        <v>194</v>
      </c>
      <c r="D3" s="331"/>
      <c r="E3" s="331"/>
      <c r="F3" s="331" t="s">
        <v>195</v>
      </c>
      <c r="G3" s="331"/>
      <c r="H3" s="331"/>
      <c r="I3" s="331" t="s">
        <v>196</v>
      </c>
      <c r="J3" s="331"/>
      <c r="K3" s="192" t="s">
        <v>197</v>
      </c>
      <c r="M3" s="253" t="s">
        <v>198</v>
      </c>
      <c r="O3" s="331" t="s">
        <v>194</v>
      </c>
      <c r="P3" s="331"/>
      <c r="Q3" s="331"/>
      <c r="R3" s="331" t="s">
        <v>195</v>
      </c>
      <c r="S3" s="331"/>
      <c r="T3" s="331"/>
      <c r="U3" s="331" t="s">
        <v>196</v>
      </c>
      <c r="V3" s="331"/>
      <c r="W3" s="192" t="s">
        <v>197</v>
      </c>
      <c r="Y3" s="253" t="s">
        <v>199</v>
      </c>
      <c r="AA3" s="320" t="s">
        <v>200</v>
      </c>
      <c r="AB3" s="321"/>
      <c r="AC3" s="322"/>
      <c r="AD3" s="320" t="s">
        <v>201</v>
      </c>
      <c r="AE3" s="322"/>
      <c r="AF3" s="212"/>
      <c r="AG3" s="323" t="s">
        <v>202</v>
      </c>
      <c r="AH3" s="324"/>
      <c r="AI3" s="324"/>
      <c r="AJ3" s="324"/>
      <c r="AK3" s="324"/>
      <c r="AL3" s="325"/>
    </row>
    <row r="4" spans="1:38" s="248" customFormat="1" ht="27.6" x14ac:dyDescent="0.3">
      <c r="A4" s="194" t="s">
        <v>203</v>
      </c>
      <c r="B4" s="193" t="s">
        <v>3</v>
      </c>
      <c r="C4" s="194" t="s">
        <v>204</v>
      </c>
      <c r="D4" s="194" t="s">
        <v>205</v>
      </c>
      <c r="E4" s="194" t="s">
        <v>206</v>
      </c>
      <c r="F4" s="194" t="s">
        <v>207</v>
      </c>
      <c r="G4" s="194" t="s">
        <v>208</v>
      </c>
      <c r="H4" s="194" t="s">
        <v>209</v>
      </c>
      <c r="I4" s="194" t="s">
        <v>210</v>
      </c>
      <c r="J4" s="194" t="s">
        <v>211</v>
      </c>
      <c r="K4" s="194" t="s">
        <v>212</v>
      </c>
      <c r="M4" s="194" t="s">
        <v>203</v>
      </c>
      <c r="N4" s="193" t="s">
        <v>3</v>
      </c>
      <c r="O4" s="194" t="s">
        <v>204</v>
      </c>
      <c r="P4" s="194" t="s">
        <v>205</v>
      </c>
      <c r="Q4" s="194" t="s">
        <v>206</v>
      </c>
      <c r="R4" s="194" t="s">
        <v>207</v>
      </c>
      <c r="S4" s="194" t="s">
        <v>208</v>
      </c>
      <c r="T4" s="194" t="s">
        <v>209</v>
      </c>
      <c r="U4" s="194" t="s">
        <v>210</v>
      </c>
      <c r="V4" s="194" t="s">
        <v>211</v>
      </c>
      <c r="W4" s="194" t="s">
        <v>212</v>
      </c>
      <c r="Y4" s="194" t="s">
        <v>203</v>
      </c>
      <c r="Z4" s="214" t="s">
        <v>3</v>
      </c>
      <c r="AA4" s="209" t="s">
        <v>204</v>
      </c>
      <c r="AB4" s="194" t="s">
        <v>205</v>
      </c>
      <c r="AC4" s="208" t="s">
        <v>206</v>
      </c>
      <c r="AD4" s="209" t="s">
        <v>207</v>
      </c>
      <c r="AE4" s="208" t="s">
        <v>208</v>
      </c>
      <c r="AF4" s="213"/>
      <c r="AG4" s="209" t="s">
        <v>204</v>
      </c>
      <c r="AH4" s="194" t="s">
        <v>205</v>
      </c>
      <c r="AI4" s="194" t="s">
        <v>206</v>
      </c>
      <c r="AJ4" s="194" t="s">
        <v>207</v>
      </c>
      <c r="AK4" s="194" t="s">
        <v>208</v>
      </c>
      <c r="AL4" s="208" t="s">
        <v>210</v>
      </c>
    </row>
    <row r="5" spans="1:38" s="248" customFormat="1" x14ac:dyDescent="0.3">
      <c r="A5" s="199">
        <v>2011</v>
      </c>
      <c r="B5" s="198" t="s">
        <v>213</v>
      </c>
      <c r="C5" s="202">
        <v>202929</v>
      </c>
      <c r="D5" s="202">
        <v>156047</v>
      </c>
      <c r="E5" s="202">
        <v>183545</v>
      </c>
      <c r="F5" s="202">
        <v>105723</v>
      </c>
      <c r="G5" s="202">
        <v>130317</v>
      </c>
      <c r="H5" s="202">
        <v>0</v>
      </c>
      <c r="I5" s="202">
        <v>218771</v>
      </c>
      <c r="J5" s="202">
        <v>99148</v>
      </c>
      <c r="K5" s="202">
        <v>149552</v>
      </c>
      <c r="M5" s="199">
        <v>2011</v>
      </c>
      <c r="N5" s="198" t="s">
        <v>213</v>
      </c>
      <c r="O5" s="191"/>
      <c r="P5" s="191"/>
      <c r="Q5" s="191"/>
      <c r="R5" s="191"/>
      <c r="S5" s="191"/>
      <c r="T5" s="191"/>
      <c r="U5" s="191"/>
      <c r="V5" s="191"/>
      <c r="W5" s="191"/>
      <c r="Y5" s="326">
        <v>2011</v>
      </c>
      <c r="Z5" s="233" t="s">
        <v>213</v>
      </c>
      <c r="AA5" s="243">
        <v>0.37404819352614921</v>
      </c>
      <c r="AB5" s="234">
        <v>0.28763310544660942</v>
      </c>
      <c r="AC5" s="235">
        <v>0.33831870102724132</v>
      </c>
      <c r="AD5" s="243">
        <v>0.44790289781392983</v>
      </c>
      <c r="AE5" s="235">
        <v>0.55209710218607011</v>
      </c>
      <c r="AF5" s="210"/>
      <c r="AG5" s="243">
        <v>0.16286018336607727</v>
      </c>
      <c r="AH5" s="236">
        <v>0.12523514644888734</v>
      </c>
      <c r="AI5" s="236">
        <v>0.14730360054958461</v>
      </c>
      <c r="AJ5" s="245">
        <v>8.4847740667976429E-2</v>
      </c>
      <c r="AK5" s="236">
        <v>0.10458559651758542</v>
      </c>
      <c r="AL5" s="237">
        <v>0</v>
      </c>
    </row>
    <row r="6" spans="1:38" s="248" customFormat="1" x14ac:dyDescent="0.3">
      <c r="A6" s="188">
        <v>2011</v>
      </c>
      <c r="B6" s="190" t="s">
        <v>214</v>
      </c>
      <c r="C6" s="191">
        <v>113817</v>
      </c>
      <c r="D6" s="191">
        <v>96852</v>
      </c>
      <c r="E6" s="191">
        <v>111249</v>
      </c>
      <c r="F6" s="191">
        <v>67138</v>
      </c>
      <c r="G6" s="191">
        <v>84849</v>
      </c>
      <c r="H6" s="191">
        <v>0</v>
      </c>
      <c r="I6" s="191">
        <v>125031</v>
      </c>
      <c r="J6" s="191">
        <v>65362</v>
      </c>
      <c r="K6" s="191">
        <v>99248</v>
      </c>
      <c r="M6" s="188">
        <v>2011</v>
      </c>
      <c r="N6" s="190" t="s">
        <v>214</v>
      </c>
      <c r="O6" s="191"/>
      <c r="P6" s="191"/>
      <c r="Q6" s="191"/>
      <c r="R6" s="191"/>
      <c r="S6" s="191"/>
      <c r="T6" s="191"/>
      <c r="U6" s="191"/>
      <c r="V6" s="191"/>
      <c r="W6" s="191"/>
      <c r="Y6" s="327"/>
      <c r="Z6" s="215" t="s">
        <v>214</v>
      </c>
      <c r="AA6" s="217">
        <v>0.35355898085847948</v>
      </c>
      <c r="AB6" s="218">
        <v>0.30085922502003615</v>
      </c>
      <c r="AC6" s="219">
        <v>0.34558179412148438</v>
      </c>
      <c r="AD6" s="217">
        <v>0.4417351484008501</v>
      </c>
      <c r="AE6" s="219">
        <v>0.55826485159914996</v>
      </c>
      <c r="AF6" s="211"/>
      <c r="AG6" s="225">
        <v>0.14906371063432983</v>
      </c>
      <c r="AH6" s="229">
        <v>0.12684500999284914</v>
      </c>
      <c r="AI6" s="229">
        <v>0.14570045550628252</v>
      </c>
      <c r="AJ6" s="229">
        <v>8.792921448085643E-2</v>
      </c>
      <c r="AK6" s="229">
        <v>0.11112493549831969</v>
      </c>
      <c r="AL6" s="226">
        <v>0</v>
      </c>
    </row>
    <row r="7" spans="1:38" s="248" customFormat="1" x14ac:dyDescent="0.3">
      <c r="A7" s="188">
        <v>2011</v>
      </c>
      <c r="B7" s="190" t="s">
        <v>215</v>
      </c>
      <c r="C7" s="191">
        <v>1179</v>
      </c>
      <c r="D7" s="191">
        <v>899</v>
      </c>
      <c r="E7" s="191">
        <v>1116</v>
      </c>
      <c r="F7" s="191">
        <v>750</v>
      </c>
      <c r="G7" s="191">
        <v>887</v>
      </c>
      <c r="H7" s="191">
        <v>0</v>
      </c>
      <c r="I7" s="191">
        <v>1138</v>
      </c>
      <c r="J7" s="191">
        <v>598</v>
      </c>
      <c r="K7" s="191">
        <v>909</v>
      </c>
      <c r="M7" s="188">
        <v>2011</v>
      </c>
      <c r="N7" s="190" t="s">
        <v>215</v>
      </c>
      <c r="O7" s="191"/>
      <c r="P7" s="191"/>
      <c r="Q7" s="191"/>
      <c r="R7" s="191"/>
      <c r="S7" s="191"/>
      <c r="T7" s="191"/>
      <c r="U7" s="191"/>
      <c r="V7" s="191"/>
      <c r="W7" s="191"/>
      <c r="Y7" s="327"/>
      <c r="Z7" s="215" t="s">
        <v>215</v>
      </c>
      <c r="AA7" s="217">
        <v>0.36912961803381339</v>
      </c>
      <c r="AB7" s="218">
        <v>0.28146524733876016</v>
      </c>
      <c r="AC7" s="219">
        <v>0.34940513462742645</v>
      </c>
      <c r="AD7" s="217">
        <v>0.45815516188149052</v>
      </c>
      <c r="AE7" s="219">
        <v>0.54184483811850948</v>
      </c>
      <c r="AF7" s="211"/>
      <c r="AG7" s="225">
        <v>0.15770465489566612</v>
      </c>
      <c r="AH7" s="229">
        <v>0.12025147137506688</v>
      </c>
      <c r="AI7" s="229">
        <v>0.1492776886035313</v>
      </c>
      <c r="AJ7" s="229">
        <v>0.10032102728731943</v>
      </c>
      <c r="AK7" s="229">
        <v>0.11864633493846977</v>
      </c>
      <c r="AL7" s="226">
        <v>0</v>
      </c>
    </row>
    <row r="8" spans="1:38" s="248" customFormat="1" x14ac:dyDescent="0.3">
      <c r="A8" s="188">
        <v>2011</v>
      </c>
      <c r="B8" s="190" t="s">
        <v>216</v>
      </c>
      <c r="C8" s="191">
        <v>45980</v>
      </c>
      <c r="D8" s="191">
        <v>25190</v>
      </c>
      <c r="E8" s="191">
        <v>37421</v>
      </c>
      <c r="F8" s="191">
        <v>31623</v>
      </c>
      <c r="G8" s="191">
        <v>31073</v>
      </c>
      <c r="H8" s="191">
        <v>0</v>
      </c>
      <c r="I8" s="191">
        <v>35420</v>
      </c>
      <c r="J8" s="191">
        <v>19333</v>
      </c>
      <c r="K8" s="191">
        <v>38677</v>
      </c>
      <c r="M8" s="188">
        <v>2011</v>
      </c>
      <c r="N8" s="190" t="s">
        <v>216</v>
      </c>
      <c r="O8" s="191"/>
      <c r="P8" s="191"/>
      <c r="Q8" s="191"/>
      <c r="R8" s="191"/>
      <c r="S8" s="191"/>
      <c r="T8" s="191"/>
      <c r="U8" s="191"/>
      <c r="V8" s="191"/>
      <c r="W8" s="191"/>
      <c r="Y8" s="327"/>
      <c r="Z8" s="215" t="s">
        <v>216</v>
      </c>
      <c r="AA8" s="217">
        <v>0.42342367231170169</v>
      </c>
      <c r="AB8" s="218">
        <v>0.23197134200808539</v>
      </c>
      <c r="AC8" s="219">
        <v>0.34460498568021292</v>
      </c>
      <c r="AD8" s="217">
        <v>0.50438624473650628</v>
      </c>
      <c r="AE8" s="219">
        <v>0.49561375526349366</v>
      </c>
      <c r="AF8" s="211"/>
      <c r="AG8" s="225">
        <v>0.17369492703528674</v>
      </c>
      <c r="AH8" s="229">
        <v>9.5158225576747996E-2</v>
      </c>
      <c r="AI8" s="229">
        <v>0.14136228500625195</v>
      </c>
      <c r="AJ8" s="229">
        <v>0.11945964936139349</v>
      </c>
      <c r="AK8" s="229">
        <v>0.11738195884661733</v>
      </c>
      <c r="AL8" s="226">
        <v>0</v>
      </c>
    </row>
    <row r="9" spans="1:38" s="248" customFormat="1" x14ac:dyDescent="0.3">
      <c r="A9" s="188">
        <v>2011</v>
      </c>
      <c r="B9" s="190" t="s">
        <v>217</v>
      </c>
      <c r="C9" s="191">
        <v>29878</v>
      </c>
      <c r="D9" s="191">
        <v>1</v>
      </c>
      <c r="E9" s="191">
        <v>22592</v>
      </c>
      <c r="F9" s="191">
        <v>0</v>
      </c>
      <c r="G9" s="191">
        <v>32</v>
      </c>
      <c r="H9" s="191">
        <v>0</v>
      </c>
      <c r="I9" s="191">
        <v>15377</v>
      </c>
      <c r="J9" s="191">
        <v>2</v>
      </c>
      <c r="K9" s="191">
        <v>21</v>
      </c>
      <c r="M9" s="188">
        <v>2011</v>
      </c>
      <c r="N9" s="190" t="s">
        <v>217</v>
      </c>
      <c r="O9" s="191"/>
      <c r="P9" s="191"/>
      <c r="Q9" s="191"/>
      <c r="R9" s="191"/>
      <c r="S9" s="191"/>
      <c r="T9" s="191"/>
      <c r="U9" s="191"/>
      <c r="V9" s="191"/>
      <c r="W9" s="191"/>
      <c r="Y9" s="327"/>
      <c r="Z9" s="215" t="s">
        <v>217</v>
      </c>
      <c r="AA9" s="217">
        <v>0.56941929827904936</v>
      </c>
      <c r="AB9" s="218">
        <v>1.9058146404680682E-5</v>
      </c>
      <c r="AC9" s="219">
        <v>0.43056164357454596</v>
      </c>
      <c r="AD9" s="217">
        <v>0</v>
      </c>
      <c r="AE9" s="219">
        <v>1</v>
      </c>
      <c r="AF9" s="211"/>
      <c r="AG9" s="225">
        <v>0.44001001428508313</v>
      </c>
      <c r="AH9" s="229">
        <v>1.4726889828137195E-5</v>
      </c>
      <c r="AI9" s="229">
        <v>0.33270989499727555</v>
      </c>
      <c r="AJ9" s="229">
        <v>0</v>
      </c>
      <c r="AK9" s="229">
        <v>4.7126047450039024E-4</v>
      </c>
      <c r="AL9" s="226">
        <v>0</v>
      </c>
    </row>
    <row r="10" spans="1:38" s="248" customFormat="1" x14ac:dyDescent="0.3">
      <c r="A10" s="188">
        <v>2011</v>
      </c>
      <c r="B10" s="190" t="s">
        <v>218</v>
      </c>
      <c r="C10" s="191">
        <v>8099</v>
      </c>
      <c r="D10" s="191">
        <v>13884</v>
      </c>
      <c r="E10" s="191">
        <v>6553</v>
      </c>
      <c r="F10" s="191">
        <v>4193</v>
      </c>
      <c r="G10" s="191">
        <v>9436</v>
      </c>
      <c r="H10" s="191">
        <v>0</v>
      </c>
      <c r="I10" s="191">
        <v>25024</v>
      </c>
      <c r="J10" s="191">
        <v>9966</v>
      </c>
      <c r="K10" s="191">
        <v>8297</v>
      </c>
      <c r="M10" s="188">
        <v>2011</v>
      </c>
      <c r="N10" s="190" t="s">
        <v>218</v>
      </c>
      <c r="O10" s="191"/>
      <c r="P10" s="191"/>
      <c r="Q10" s="191"/>
      <c r="R10" s="191"/>
      <c r="S10" s="191"/>
      <c r="T10" s="191"/>
      <c r="U10" s="191"/>
      <c r="V10" s="191"/>
      <c r="W10" s="191"/>
      <c r="Y10" s="327"/>
      <c r="Z10" s="215" t="s">
        <v>218</v>
      </c>
      <c r="AA10" s="217">
        <v>0.28381693299691618</v>
      </c>
      <c r="AB10" s="218">
        <v>0.48654331370899917</v>
      </c>
      <c r="AC10" s="219">
        <v>0.22963975329408468</v>
      </c>
      <c r="AD10" s="217">
        <v>0.30765279917822291</v>
      </c>
      <c r="AE10" s="219">
        <v>0.69234720082177714</v>
      </c>
      <c r="AF10" s="211"/>
      <c r="AG10" s="225">
        <v>9.4778355099939149E-2</v>
      </c>
      <c r="AH10" s="229">
        <v>0.16247718017132426</v>
      </c>
      <c r="AI10" s="229">
        <v>7.6686326826756537E-2</v>
      </c>
      <c r="AJ10" s="229">
        <v>4.9068482890979731E-2</v>
      </c>
      <c r="AK10" s="229">
        <v>0.11042456583813134</v>
      </c>
      <c r="AL10" s="226">
        <v>0</v>
      </c>
    </row>
    <row r="11" spans="1:38" s="248" customFormat="1" x14ac:dyDescent="0.3">
      <c r="A11" s="188">
        <v>2011</v>
      </c>
      <c r="B11" s="190" t="s">
        <v>219</v>
      </c>
      <c r="C11" s="191">
        <v>4538</v>
      </c>
      <c r="D11" s="191">
        <v>5985</v>
      </c>
      <c r="E11" s="191">
        <v>4736</v>
      </c>
      <c r="F11" s="191">
        <v>2412</v>
      </c>
      <c r="G11" s="191">
        <v>4121</v>
      </c>
      <c r="H11" s="191">
        <v>0</v>
      </c>
      <c r="I11" s="191">
        <v>13823</v>
      </c>
      <c r="J11" s="191">
        <v>3172</v>
      </c>
      <c r="K11" s="191">
        <v>3308</v>
      </c>
      <c r="M11" s="188">
        <v>2011</v>
      </c>
      <c r="N11" s="190" t="s">
        <v>219</v>
      </c>
      <c r="O11" s="191"/>
      <c r="P11" s="191"/>
      <c r="Q11" s="191"/>
      <c r="R11" s="191"/>
      <c r="S11" s="191"/>
      <c r="T11" s="191"/>
      <c r="U11" s="191"/>
      <c r="V11" s="191"/>
      <c r="W11" s="191"/>
      <c r="Y11" s="327"/>
      <c r="Z11" s="215" t="s">
        <v>219</v>
      </c>
      <c r="AA11" s="217">
        <v>0.29739825676649845</v>
      </c>
      <c r="AB11" s="218">
        <v>0.39222753784651682</v>
      </c>
      <c r="AC11" s="219">
        <v>0.31037420538698474</v>
      </c>
      <c r="AD11" s="217">
        <v>0.36920251033215978</v>
      </c>
      <c r="AE11" s="219">
        <v>0.63079748966784022</v>
      </c>
      <c r="AF11" s="211"/>
      <c r="AG11" s="225">
        <v>0.10780377717068536</v>
      </c>
      <c r="AH11" s="229">
        <v>0.1421784059864592</v>
      </c>
      <c r="AI11" s="229">
        <v>0.1125074236845231</v>
      </c>
      <c r="AJ11" s="229">
        <v>5.7298966623114386E-2</v>
      </c>
      <c r="AK11" s="229">
        <v>9.7897612543057372E-2</v>
      </c>
      <c r="AL11" s="226">
        <v>0</v>
      </c>
    </row>
    <row r="12" spans="1:38" s="248" customFormat="1" x14ac:dyDescent="0.3">
      <c r="A12" s="188">
        <v>2011</v>
      </c>
      <c r="B12" s="190" t="s">
        <v>220</v>
      </c>
      <c r="C12" s="191">
        <v>132</v>
      </c>
      <c r="D12" s="191">
        <v>13262</v>
      </c>
      <c r="E12" s="191">
        <v>262</v>
      </c>
      <c r="F12" s="191">
        <v>0</v>
      </c>
      <c r="G12" s="191">
        <v>0</v>
      </c>
      <c r="H12" s="191">
        <v>0</v>
      </c>
      <c r="I12" s="191">
        <v>2272</v>
      </c>
      <c r="J12" s="191">
        <v>81</v>
      </c>
      <c r="K12" s="191">
        <v>0</v>
      </c>
      <c r="M12" s="188">
        <v>2011</v>
      </c>
      <c r="N12" s="190" t="s">
        <v>220</v>
      </c>
      <c r="O12" s="191"/>
      <c r="P12" s="191"/>
      <c r="Q12" s="191"/>
      <c r="R12" s="191"/>
      <c r="S12" s="191"/>
      <c r="T12" s="191"/>
      <c r="U12" s="191"/>
      <c r="V12" s="191"/>
      <c r="W12" s="191"/>
      <c r="Y12" s="327"/>
      <c r="Z12" s="215" t="s">
        <v>220</v>
      </c>
      <c r="AA12" s="217">
        <v>9.6660808435852369E-3</v>
      </c>
      <c r="AB12" s="218">
        <v>0.97114821323960165</v>
      </c>
      <c r="AC12" s="219">
        <v>1.9185705916813123E-2</v>
      </c>
      <c r="AD12" s="227" t="s">
        <v>181</v>
      </c>
      <c r="AE12" s="228" t="s">
        <v>181</v>
      </c>
      <c r="AF12" s="211"/>
      <c r="AG12" s="225">
        <v>8.2453619838840659E-3</v>
      </c>
      <c r="AH12" s="229">
        <v>0.82840901992629146</v>
      </c>
      <c r="AI12" s="229">
        <v>1.6365794240739584E-2</v>
      </c>
      <c r="AJ12" s="229">
        <v>0</v>
      </c>
      <c r="AK12" s="229">
        <v>0</v>
      </c>
      <c r="AL12" s="226">
        <v>0</v>
      </c>
    </row>
    <row r="13" spans="1:38" s="248" customFormat="1" ht="15" thickBot="1" x14ac:dyDescent="0.35">
      <c r="A13" s="195">
        <v>2011</v>
      </c>
      <c r="B13" s="196" t="s">
        <v>221</v>
      </c>
      <c r="C13" s="197">
        <v>484</v>
      </c>
      <c r="D13" s="197">
        <v>876</v>
      </c>
      <c r="E13" s="197">
        <v>734</v>
      </c>
      <c r="F13" s="197">
        <v>356</v>
      </c>
      <c r="G13" s="197">
        <v>807</v>
      </c>
      <c r="H13" s="197">
        <v>0</v>
      </c>
      <c r="I13" s="197">
        <v>1823</v>
      </c>
      <c r="J13" s="197">
        <v>1232</v>
      </c>
      <c r="K13" s="197">
        <v>0</v>
      </c>
      <c r="M13" s="195">
        <v>2011</v>
      </c>
      <c r="N13" s="196" t="s">
        <v>221</v>
      </c>
      <c r="O13" s="197"/>
      <c r="P13" s="197"/>
      <c r="Q13" s="197"/>
      <c r="R13" s="197"/>
      <c r="S13" s="197"/>
      <c r="T13" s="197"/>
      <c r="U13" s="197"/>
      <c r="V13" s="197"/>
      <c r="W13" s="197"/>
      <c r="Y13" s="328"/>
      <c r="Z13" s="216" t="s">
        <v>221</v>
      </c>
      <c r="AA13" s="220">
        <v>0.23113658070678128</v>
      </c>
      <c r="AB13" s="221">
        <v>0.41833810888252149</v>
      </c>
      <c r="AC13" s="222">
        <v>0.35052531041069723</v>
      </c>
      <c r="AD13" s="220">
        <v>0.30610490111779881</v>
      </c>
      <c r="AE13" s="222">
        <v>0.69389509888220124</v>
      </c>
      <c r="AF13" s="211"/>
      <c r="AG13" s="230">
        <v>7.6679340937896065E-2</v>
      </c>
      <c r="AH13" s="231">
        <v>0.13878326996197718</v>
      </c>
      <c r="AI13" s="231">
        <v>0.11628643852978454</v>
      </c>
      <c r="AJ13" s="231">
        <v>5.6400506970849175E-2</v>
      </c>
      <c r="AK13" s="231">
        <v>0.12785171102661597</v>
      </c>
      <c r="AL13" s="232">
        <v>0</v>
      </c>
    </row>
    <row r="14" spans="1:38" s="248" customFormat="1" ht="15" thickTop="1" x14ac:dyDescent="0.3">
      <c r="A14" s="200">
        <v>2012</v>
      </c>
      <c r="B14" s="201" t="s">
        <v>213</v>
      </c>
      <c r="C14" s="204">
        <v>194453</v>
      </c>
      <c r="D14" s="206">
        <v>284707</v>
      </c>
      <c r="E14" s="206">
        <v>210491</v>
      </c>
      <c r="F14" s="206">
        <v>178069</v>
      </c>
      <c r="G14" s="206">
        <v>118968</v>
      </c>
      <c r="H14" s="206">
        <v>47684</v>
      </c>
      <c r="I14" s="206">
        <v>211006</v>
      </c>
      <c r="J14" s="206">
        <v>159989</v>
      </c>
      <c r="K14" s="206">
        <v>65632</v>
      </c>
      <c r="M14" s="200">
        <v>2012</v>
      </c>
      <c r="N14" s="201" t="s">
        <v>213</v>
      </c>
      <c r="O14" s="206">
        <v>100</v>
      </c>
      <c r="P14" s="206">
        <v>146.41430062791522</v>
      </c>
      <c r="Q14" s="206">
        <v>108.24775138465337</v>
      </c>
      <c r="R14" s="206">
        <v>91.574313587345017</v>
      </c>
      <c r="S14" s="206">
        <v>61.180850899703266</v>
      </c>
      <c r="T14" s="206">
        <v>24.522121026674824</v>
      </c>
      <c r="U14" s="206">
        <v>108.51259687430897</v>
      </c>
      <c r="V14" s="206">
        <v>82.276436979630034</v>
      </c>
      <c r="W14" s="206">
        <v>33.752114906944094</v>
      </c>
      <c r="Y14" s="329">
        <v>2012</v>
      </c>
      <c r="Z14" s="238" t="s">
        <v>213</v>
      </c>
      <c r="AA14" s="244">
        <v>0.28195855584926288</v>
      </c>
      <c r="AB14" s="239">
        <v>0.41282764760726803</v>
      </c>
      <c r="AC14" s="240">
        <v>0.30521379654346908</v>
      </c>
      <c r="AD14" s="244">
        <v>0.51655976862448183</v>
      </c>
      <c r="AE14" s="240">
        <v>0.34511387469866933</v>
      </c>
      <c r="AF14" s="210"/>
      <c r="AG14" s="244">
        <v>0.13219111637737346</v>
      </c>
      <c r="AH14" s="241">
        <v>0.19354669853616488</v>
      </c>
      <c r="AI14" s="241">
        <v>0.14309391100877702</v>
      </c>
      <c r="AJ14" s="246">
        <v>0.12105310744602818</v>
      </c>
      <c r="AK14" s="241">
        <v>8.0875649813494099E-2</v>
      </c>
      <c r="AL14" s="242">
        <v>3.241606554457209E-2</v>
      </c>
    </row>
    <row r="15" spans="1:38" s="248" customFormat="1" x14ac:dyDescent="0.3">
      <c r="A15" s="188">
        <v>2012</v>
      </c>
      <c r="B15" s="190" t="s">
        <v>214</v>
      </c>
      <c r="C15" s="203">
        <v>104837</v>
      </c>
      <c r="D15" s="191">
        <v>189342</v>
      </c>
      <c r="E15" s="191">
        <v>142918</v>
      </c>
      <c r="F15" s="191">
        <v>112466</v>
      </c>
      <c r="G15" s="191">
        <v>75149</v>
      </c>
      <c r="H15" s="191">
        <v>28273</v>
      </c>
      <c r="I15" s="191">
        <v>126463</v>
      </c>
      <c r="J15" s="191">
        <v>102778</v>
      </c>
      <c r="K15" s="191">
        <v>46610</v>
      </c>
      <c r="M15" s="188">
        <v>2012</v>
      </c>
      <c r="N15" s="190" t="s">
        <v>214</v>
      </c>
      <c r="O15" s="202">
        <v>100</v>
      </c>
      <c r="P15" s="191">
        <v>180.60608372998084</v>
      </c>
      <c r="Q15" s="191">
        <v>136.32400774535708</v>
      </c>
      <c r="R15" s="191">
        <v>107.27701097894825</v>
      </c>
      <c r="S15" s="191">
        <v>71.68175357936606</v>
      </c>
      <c r="T15" s="191">
        <v>26.968532102215821</v>
      </c>
      <c r="U15" s="191">
        <v>120.62821332163263</v>
      </c>
      <c r="V15" s="191">
        <v>98.035998740902542</v>
      </c>
      <c r="W15" s="191">
        <v>44.459494262521822</v>
      </c>
      <c r="Y15" s="327"/>
      <c r="Z15" s="215" t="s">
        <v>214</v>
      </c>
      <c r="AA15" s="223">
        <v>0.23984836317796737</v>
      </c>
      <c r="AB15" s="218">
        <v>0.43318073562618825</v>
      </c>
      <c r="AC15" s="219">
        <v>0.32697090119584438</v>
      </c>
      <c r="AD15" s="217">
        <v>0.52094604609797668</v>
      </c>
      <c r="AE15" s="219">
        <v>0.34809252945971986</v>
      </c>
      <c r="AF15" s="211"/>
      <c r="AG15" s="225">
        <v>0.11286922556834576</v>
      </c>
      <c r="AH15" s="229">
        <v>0.20384868803534748</v>
      </c>
      <c r="AI15" s="229">
        <v>0.15386785180591622</v>
      </c>
      <c r="AJ15" s="229">
        <v>0.12108273150480817</v>
      </c>
      <c r="AK15" s="229">
        <v>8.0906640138840441E-2</v>
      </c>
      <c r="AL15" s="226">
        <v>3.0439173330921714E-2</v>
      </c>
    </row>
    <row r="16" spans="1:38" s="248" customFormat="1" x14ac:dyDescent="0.3">
      <c r="A16" s="188">
        <v>2012</v>
      </c>
      <c r="B16" s="190" t="s">
        <v>215</v>
      </c>
      <c r="C16" s="191">
        <v>1203</v>
      </c>
      <c r="D16" s="191">
        <v>1706</v>
      </c>
      <c r="E16" s="191">
        <v>1269</v>
      </c>
      <c r="F16" s="191">
        <v>1181</v>
      </c>
      <c r="G16" s="191">
        <v>753</v>
      </c>
      <c r="H16" s="191">
        <v>320</v>
      </c>
      <c r="I16" s="191">
        <v>1165</v>
      </c>
      <c r="J16" s="191">
        <v>886</v>
      </c>
      <c r="K16" s="191">
        <v>423</v>
      </c>
      <c r="M16" s="188">
        <v>2012</v>
      </c>
      <c r="N16" s="190" t="s">
        <v>215</v>
      </c>
      <c r="O16" s="202">
        <v>100</v>
      </c>
      <c r="P16" s="191">
        <v>141.81213632585204</v>
      </c>
      <c r="Q16" s="191">
        <v>105.4862842892768</v>
      </c>
      <c r="R16" s="191">
        <v>98.171238570241059</v>
      </c>
      <c r="S16" s="191">
        <v>62.593516209476306</v>
      </c>
      <c r="T16" s="191">
        <v>26.60016625103907</v>
      </c>
      <c r="U16" s="191">
        <v>96.841230257689119</v>
      </c>
      <c r="V16" s="191">
        <v>73.649210307564431</v>
      </c>
      <c r="W16" s="191">
        <v>35.16209476309227</v>
      </c>
      <c r="Y16" s="327"/>
      <c r="Z16" s="215" t="s">
        <v>215</v>
      </c>
      <c r="AA16" s="223">
        <v>0.28793681187170894</v>
      </c>
      <c r="AB16" s="218">
        <v>0.40832934418382</v>
      </c>
      <c r="AC16" s="219">
        <v>0.30373384394447106</v>
      </c>
      <c r="AD16" s="217">
        <v>0.52395740905057675</v>
      </c>
      <c r="AE16" s="219">
        <v>0.33407275953859805</v>
      </c>
      <c r="AF16" s="211"/>
      <c r="AG16" s="225">
        <v>0.13507747585897148</v>
      </c>
      <c r="AH16" s="229">
        <v>0.19155625421064451</v>
      </c>
      <c r="AI16" s="229">
        <v>0.14248821019537392</v>
      </c>
      <c r="AJ16" s="229">
        <v>0.13260723108017067</v>
      </c>
      <c r="AK16" s="229">
        <v>8.4549741747136767E-2</v>
      </c>
      <c r="AL16" s="226">
        <v>3.593083314619358E-2</v>
      </c>
    </row>
    <row r="17" spans="1:38" s="248" customFormat="1" x14ac:dyDescent="0.3">
      <c r="A17" s="188">
        <v>2012</v>
      </c>
      <c r="B17" s="190" t="s">
        <v>216</v>
      </c>
      <c r="C17" s="203">
        <v>46478</v>
      </c>
      <c r="D17" s="191">
        <v>51950</v>
      </c>
      <c r="E17" s="191">
        <v>48297</v>
      </c>
      <c r="F17" s="191">
        <v>46369</v>
      </c>
      <c r="G17" s="191">
        <v>32481</v>
      </c>
      <c r="H17" s="191">
        <v>10661</v>
      </c>
      <c r="I17" s="191">
        <v>37997</v>
      </c>
      <c r="J17" s="191">
        <v>19717</v>
      </c>
      <c r="K17" s="191">
        <v>14732</v>
      </c>
      <c r="M17" s="188">
        <v>2012</v>
      </c>
      <c r="N17" s="247" t="s">
        <v>216</v>
      </c>
      <c r="O17" s="202">
        <v>100</v>
      </c>
      <c r="P17" s="313">
        <v>111.77331210465167</v>
      </c>
      <c r="Q17" s="191">
        <v>103.9136795903438</v>
      </c>
      <c r="R17" s="191">
        <v>99.765480442359816</v>
      </c>
      <c r="S17" s="191">
        <v>69.88467662119713</v>
      </c>
      <c r="T17" s="191">
        <v>22.937733981668746</v>
      </c>
      <c r="U17" s="191">
        <v>81.752657171134729</v>
      </c>
      <c r="V17" s="191">
        <v>42.422221265975303</v>
      </c>
      <c r="W17" s="191">
        <v>31.696716726193035</v>
      </c>
      <c r="Y17" s="327"/>
      <c r="Z17" s="262" t="s">
        <v>216</v>
      </c>
      <c r="AA17" s="223">
        <v>0.31676946668938488</v>
      </c>
      <c r="AB17" s="218">
        <v>0.35406372465496677</v>
      </c>
      <c r="AC17" s="219">
        <v>0.32916680865564835</v>
      </c>
      <c r="AD17" s="217">
        <v>0.51802571750957982</v>
      </c>
      <c r="AE17" s="219">
        <v>0.36287160237289273</v>
      </c>
      <c r="AF17" s="211"/>
      <c r="AG17" s="225">
        <v>0.15056919418689785</v>
      </c>
      <c r="AH17" s="229">
        <v>0.16829617535198035</v>
      </c>
      <c r="AI17" s="229">
        <v>0.1564619900091356</v>
      </c>
      <c r="AJ17" s="229">
        <v>0.15021607997874836</v>
      </c>
      <c r="AK17" s="229">
        <v>0.1052247944486559</v>
      </c>
      <c r="AL17" s="226">
        <v>3.4537161220932866E-2</v>
      </c>
    </row>
    <row r="18" spans="1:38" s="248" customFormat="1" x14ac:dyDescent="0.3">
      <c r="A18" s="188">
        <v>2012</v>
      </c>
      <c r="B18" s="190" t="s">
        <v>217</v>
      </c>
      <c r="C18" s="191">
        <v>31770</v>
      </c>
      <c r="D18" s="191">
        <v>82</v>
      </c>
      <c r="E18" s="191">
        <v>816</v>
      </c>
      <c r="F18" s="191">
        <v>0</v>
      </c>
      <c r="G18" s="191">
        <v>36</v>
      </c>
      <c r="H18" s="191">
        <v>0</v>
      </c>
      <c r="I18" s="191">
        <v>11680</v>
      </c>
      <c r="J18" s="191">
        <v>5</v>
      </c>
      <c r="K18" s="191">
        <v>30</v>
      </c>
      <c r="M18" s="188">
        <v>2012</v>
      </c>
      <c r="N18" s="190" t="s">
        <v>217</v>
      </c>
      <c r="O18" s="202"/>
      <c r="P18" s="191"/>
      <c r="Q18" s="191"/>
      <c r="R18" s="191"/>
      <c r="S18" s="191"/>
      <c r="T18" s="191"/>
      <c r="U18" s="191"/>
      <c r="V18" s="191"/>
      <c r="W18" s="191"/>
      <c r="Y18" s="327"/>
      <c r="Z18" s="215" t="s">
        <v>217</v>
      </c>
      <c r="AA18" s="223">
        <v>0.97251132606832369</v>
      </c>
      <c r="AB18" s="218">
        <v>2.5101016285049588E-3</v>
      </c>
      <c r="AC18" s="219">
        <v>2.4978572303171298E-2</v>
      </c>
      <c r="AD18" s="217">
        <v>0</v>
      </c>
      <c r="AE18" s="219">
        <v>1</v>
      </c>
      <c r="AF18" s="211"/>
      <c r="AG18" s="225">
        <v>0.71523447173506838</v>
      </c>
      <c r="AH18" s="229">
        <v>1.8460568675566762E-3</v>
      </c>
      <c r="AI18" s="229">
        <v>1.8370517121051803E-2</v>
      </c>
      <c r="AJ18" s="229">
        <v>0</v>
      </c>
      <c r="AK18" s="229">
        <v>8.1046399063463832E-4</v>
      </c>
      <c r="AL18" s="226">
        <v>0</v>
      </c>
    </row>
    <row r="19" spans="1:38" s="248" customFormat="1" x14ac:dyDescent="0.3">
      <c r="A19" s="188">
        <v>2012</v>
      </c>
      <c r="B19" s="190" t="s">
        <v>218</v>
      </c>
      <c r="C19" s="203">
        <v>8121</v>
      </c>
      <c r="D19" s="191">
        <v>21615</v>
      </c>
      <c r="E19" s="191">
        <v>13800</v>
      </c>
      <c r="F19" s="191">
        <v>14085</v>
      </c>
      <c r="G19" s="191">
        <v>7091</v>
      </c>
      <c r="H19" s="191">
        <v>2862</v>
      </c>
      <c r="I19" s="191">
        <v>16469</v>
      </c>
      <c r="J19" s="191">
        <v>25000</v>
      </c>
      <c r="K19" s="191">
        <v>2527</v>
      </c>
      <c r="M19" s="188">
        <v>2012</v>
      </c>
      <c r="N19" s="247" t="s">
        <v>218</v>
      </c>
      <c r="O19" s="202">
        <v>100</v>
      </c>
      <c r="P19" s="313">
        <v>266.16180273365353</v>
      </c>
      <c r="Q19" s="313">
        <v>169.9298115995567</v>
      </c>
      <c r="R19" s="191">
        <v>173.43923162172146</v>
      </c>
      <c r="S19" s="191">
        <v>87.316832902351933</v>
      </c>
      <c r="T19" s="191">
        <v>35.241965275212408</v>
      </c>
      <c r="U19" s="191">
        <v>202.79522226326807</v>
      </c>
      <c r="V19" s="191">
        <v>307.84386159339982</v>
      </c>
      <c r="W19" s="191">
        <v>31.116857529860852</v>
      </c>
      <c r="Y19" s="327"/>
      <c r="Z19" s="262" t="s">
        <v>218</v>
      </c>
      <c r="AA19" s="223">
        <v>0.18653528114663726</v>
      </c>
      <c r="AB19" s="218">
        <v>0.49648566703417862</v>
      </c>
      <c r="AC19" s="219">
        <v>0.31697905181918412</v>
      </c>
      <c r="AD19" s="217">
        <v>0.58594725018720362</v>
      </c>
      <c r="AE19" s="219">
        <v>0.29499126383226559</v>
      </c>
      <c r="AF19" s="211"/>
      <c r="AG19" s="225">
        <v>7.2788383974186605E-2</v>
      </c>
      <c r="AH19" s="229">
        <v>0.1937348749663888</v>
      </c>
      <c r="AI19" s="229">
        <v>0.12368916375369723</v>
      </c>
      <c r="AJ19" s="229">
        <v>0.12624361387469749</v>
      </c>
      <c r="AK19" s="229">
        <v>6.3556511607062827E-2</v>
      </c>
      <c r="AL19" s="226">
        <v>2.565205700457112E-2</v>
      </c>
    </row>
    <row r="20" spans="1:38" s="248" customFormat="1" x14ac:dyDescent="0.3">
      <c r="A20" s="188">
        <v>2012</v>
      </c>
      <c r="B20" s="190" t="s">
        <v>219</v>
      </c>
      <c r="C20" s="203">
        <v>3007</v>
      </c>
      <c r="D20" s="191">
        <v>12150</v>
      </c>
      <c r="E20" s="191">
        <v>4070</v>
      </c>
      <c r="F20" s="191">
        <v>4729</v>
      </c>
      <c r="G20" s="191">
        <v>3589</v>
      </c>
      <c r="H20" s="191">
        <v>4919</v>
      </c>
      <c r="I20" s="191">
        <v>16185</v>
      </c>
      <c r="J20" s="191">
        <v>10016</v>
      </c>
      <c r="K20" s="191">
        <v>1734</v>
      </c>
      <c r="M20" s="188">
        <v>2012</v>
      </c>
      <c r="N20" s="190" t="s">
        <v>219</v>
      </c>
      <c r="O20" s="202">
        <v>100</v>
      </c>
      <c r="P20" s="191">
        <v>404.0571998669771</v>
      </c>
      <c r="Q20" s="191">
        <v>135.35084802128367</v>
      </c>
      <c r="R20" s="191">
        <v>157.26637845028267</v>
      </c>
      <c r="S20" s="191">
        <v>119.35483870967742</v>
      </c>
      <c r="T20" s="191">
        <v>163.58496840705021</v>
      </c>
      <c r="U20" s="191">
        <v>538.24409710675093</v>
      </c>
      <c r="V20" s="191">
        <v>333.0894579314932</v>
      </c>
      <c r="W20" s="191">
        <v>57.665447289657465</v>
      </c>
      <c r="Y20" s="327"/>
      <c r="Z20" s="215" t="s">
        <v>219</v>
      </c>
      <c r="AA20" s="223">
        <v>0.15639465335205702</v>
      </c>
      <c r="AB20" s="218">
        <v>0.63192385707598686</v>
      </c>
      <c r="AC20" s="219">
        <v>0.21168148957195609</v>
      </c>
      <c r="AD20" s="217">
        <v>0.35725617587066555</v>
      </c>
      <c r="AE20" s="219">
        <v>0.27113394273626956</v>
      </c>
      <c r="AF20" s="211"/>
      <c r="AG20" s="225">
        <v>4.9785592476696637E-2</v>
      </c>
      <c r="AH20" s="229">
        <v>0.20116227089852481</v>
      </c>
      <c r="AI20" s="229">
        <v>6.7385221609629301E-2</v>
      </c>
      <c r="AJ20" s="229">
        <v>7.8295998278117188E-2</v>
      </c>
      <c r="AK20" s="229">
        <v>5.9421513601218563E-2</v>
      </c>
      <c r="AL20" s="226">
        <v>8.1441745724266962E-2</v>
      </c>
    </row>
    <row r="21" spans="1:38" s="248" customFormat="1" x14ac:dyDescent="0.3">
      <c r="A21" s="188">
        <v>2012</v>
      </c>
      <c r="B21" s="190" t="s">
        <v>220</v>
      </c>
      <c r="C21" s="191">
        <v>0</v>
      </c>
      <c r="D21" s="191">
        <v>7985</v>
      </c>
      <c r="E21" s="191">
        <v>23</v>
      </c>
      <c r="F21" s="191">
        <v>0</v>
      </c>
      <c r="G21" s="191">
        <v>0</v>
      </c>
      <c r="H21" s="191">
        <v>0</v>
      </c>
      <c r="I21" s="191">
        <v>800</v>
      </c>
      <c r="J21" s="191">
        <v>29</v>
      </c>
      <c r="K21" s="191">
        <v>0</v>
      </c>
      <c r="M21" s="188">
        <v>2012</v>
      </c>
      <c r="N21" s="190" t="s">
        <v>220</v>
      </c>
      <c r="O21" s="202"/>
      <c r="P21" s="191"/>
      <c r="Q21" s="191"/>
      <c r="R21" s="191"/>
      <c r="S21" s="191"/>
      <c r="T21" s="191"/>
      <c r="U21" s="191"/>
      <c r="V21" s="191"/>
      <c r="W21" s="191"/>
      <c r="Y21" s="327"/>
      <c r="Z21" s="215" t="s">
        <v>220</v>
      </c>
      <c r="AA21" s="223">
        <v>0</v>
      </c>
      <c r="AB21" s="218">
        <v>0.99712787212787213</v>
      </c>
      <c r="AC21" s="219">
        <v>2.872127872127872E-3</v>
      </c>
      <c r="AD21" s="227" t="s">
        <v>181</v>
      </c>
      <c r="AE21" s="228" t="s">
        <v>181</v>
      </c>
      <c r="AF21" s="211"/>
      <c r="AG21" s="225">
        <v>0</v>
      </c>
      <c r="AH21" s="229">
        <v>0.90358719022292633</v>
      </c>
      <c r="AI21" s="229">
        <v>2.602693221681566E-3</v>
      </c>
      <c r="AJ21" s="229">
        <v>0</v>
      </c>
      <c r="AK21" s="229">
        <v>0</v>
      </c>
      <c r="AL21" s="226">
        <v>0</v>
      </c>
    </row>
    <row r="22" spans="1:38" s="248" customFormat="1" ht="15" thickBot="1" x14ac:dyDescent="0.35">
      <c r="A22" s="195">
        <v>2012</v>
      </c>
      <c r="B22" s="196" t="s">
        <v>221</v>
      </c>
      <c r="C22" s="205">
        <v>242</v>
      </c>
      <c r="D22" s="197">
        <v>1583</v>
      </c>
      <c r="E22" s="197">
        <v>568</v>
      </c>
      <c r="F22" s="197">
        <v>419</v>
      </c>
      <c r="G22" s="197">
        <v>623</v>
      </c>
      <c r="H22" s="197">
        <v>967</v>
      </c>
      <c r="I22" s="197">
        <v>1411</v>
      </c>
      <c r="J22" s="197">
        <v>2442</v>
      </c>
      <c r="K22" s="197">
        <v>0</v>
      </c>
      <c r="M22" s="195">
        <v>2012</v>
      </c>
      <c r="N22" s="196" t="s">
        <v>221</v>
      </c>
      <c r="O22" s="207">
        <v>100</v>
      </c>
      <c r="P22" s="197">
        <v>654.13223140495859</v>
      </c>
      <c r="Q22" s="197">
        <v>234.71074380165291</v>
      </c>
      <c r="R22" s="197">
        <v>173.14049586776858</v>
      </c>
      <c r="S22" s="197">
        <v>257.43801652892563</v>
      </c>
      <c r="T22" s="197">
        <v>399.58677685950414</v>
      </c>
      <c r="U22" s="197">
        <v>583.05785123966939</v>
      </c>
      <c r="V22" s="197">
        <v>1009.0909090909091</v>
      </c>
      <c r="W22" s="197">
        <v>0</v>
      </c>
      <c r="Y22" s="328"/>
      <c r="Z22" s="216" t="s">
        <v>221</v>
      </c>
      <c r="AA22" s="224">
        <v>0.10112829084830756</v>
      </c>
      <c r="AB22" s="221">
        <v>0.66151274550773087</v>
      </c>
      <c r="AC22" s="222">
        <v>0.23735896364396156</v>
      </c>
      <c r="AD22" s="220">
        <v>0.20856147336983574</v>
      </c>
      <c r="AE22" s="222">
        <v>0.31010452961672474</v>
      </c>
      <c r="AF22" s="211"/>
      <c r="AG22" s="230">
        <v>2.9315566323440338E-2</v>
      </c>
      <c r="AH22" s="231">
        <v>0.19176256814052089</v>
      </c>
      <c r="AI22" s="231">
        <v>6.8806783767413685E-2</v>
      </c>
      <c r="AJ22" s="231">
        <v>5.0757116898849181E-2</v>
      </c>
      <c r="AK22" s="231">
        <v>7.5469412477286488E-2</v>
      </c>
      <c r="AL22" s="232">
        <v>0.11714112658994549</v>
      </c>
    </row>
    <row r="23" spans="1:38" s="248" customFormat="1" ht="15" thickTop="1" x14ac:dyDescent="0.3"/>
    <row r="26" spans="1:38" x14ac:dyDescent="0.3">
      <c r="E26" s="304">
        <v>0.7</v>
      </c>
      <c r="F26" s="304">
        <v>1.3</v>
      </c>
      <c r="G26" t="s">
        <v>281</v>
      </c>
    </row>
    <row r="27" spans="1:38" ht="72" x14ac:dyDescent="0.3">
      <c r="A27" s="301" t="s">
        <v>3</v>
      </c>
      <c r="B27" s="301" t="s">
        <v>271</v>
      </c>
      <c r="C27" s="301" t="s">
        <v>286</v>
      </c>
      <c r="D27" s="301" t="s">
        <v>277</v>
      </c>
      <c r="E27" s="301" t="s">
        <v>272</v>
      </c>
      <c r="F27" s="301" t="s">
        <v>273</v>
      </c>
      <c r="G27" s="301" t="s">
        <v>276</v>
      </c>
    </row>
    <row r="28" spans="1:38" x14ac:dyDescent="0.3">
      <c r="A28" s="314" t="s">
        <v>274</v>
      </c>
      <c r="B28" s="315">
        <v>5991499</v>
      </c>
      <c r="C28" s="315">
        <f>1.4*B28</f>
        <v>8388098.5999999996</v>
      </c>
      <c r="D28" s="306" t="s">
        <v>278</v>
      </c>
      <c r="E28" s="307">
        <f>1.1*B28</f>
        <v>6590648.9000000004</v>
      </c>
      <c r="F28" s="306">
        <f>1.4*B28</f>
        <v>8388098.5999999996</v>
      </c>
      <c r="G28" t="s">
        <v>279</v>
      </c>
    </row>
    <row r="29" spans="1:38" x14ac:dyDescent="0.3">
      <c r="A29" t="s">
        <v>275</v>
      </c>
      <c r="B29" s="302">
        <v>15610435</v>
      </c>
      <c r="C29" s="302">
        <f>B29</f>
        <v>15610435</v>
      </c>
      <c r="D29" s="305" t="s">
        <v>282</v>
      </c>
      <c r="E29" s="303">
        <f>$E$26*B29</f>
        <v>10927304.5</v>
      </c>
      <c r="F29" s="305">
        <f>B29*$F$26</f>
        <v>20293565.5</v>
      </c>
      <c r="G29" s="248" t="s">
        <v>280</v>
      </c>
    </row>
    <row r="30" spans="1:38" x14ac:dyDescent="0.3">
      <c r="A30" t="s">
        <v>95</v>
      </c>
      <c r="B30" s="302">
        <v>3804716</v>
      </c>
      <c r="C30" s="302">
        <f t="shared" ref="C30:C35" si="0">B30</f>
        <v>3804716</v>
      </c>
      <c r="D30" s="305" t="s">
        <v>282</v>
      </c>
      <c r="E30" s="303">
        <f>$E$26*B30</f>
        <v>2663301.1999999997</v>
      </c>
      <c r="F30" s="305">
        <f>B30*$F$26</f>
        <v>4946130.8</v>
      </c>
      <c r="G30" t="s">
        <v>283</v>
      </c>
    </row>
    <row r="31" spans="1:38" x14ac:dyDescent="0.3">
      <c r="A31" s="314" t="s">
        <v>94</v>
      </c>
      <c r="B31" s="315">
        <v>4440000</v>
      </c>
      <c r="C31" s="315">
        <f>2.7*B31</f>
        <v>11988000</v>
      </c>
      <c r="D31" s="306" t="s">
        <v>284</v>
      </c>
      <c r="E31" s="307">
        <f>1.7*B31</f>
        <v>7548000</v>
      </c>
      <c r="F31" s="306">
        <f>2.7*B31</f>
        <v>11988000</v>
      </c>
      <c r="G31" t="s">
        <v>285</v>
      </c>
    </row>
    <row r="32" spans="1:38" x14ac:dyDescent="0.3">
      <c r="A32" t="s">
        <v>108</v>
      </c>
      <c r="B32" s="302">
        <v>22954000</v>
      </c>
      <c r="C32" s="302">
        <f t="shared" si="0"/>
        <v>22954000</v>
      </c>
      <c r="D32" s="305" t="s">
        <v>282</v>
      </c>
      <c r="E32" s="303">
        <f>$E$26*B32</f>
        <v>16067799.999999998</v>
      </c>
      <c r="F32" s="305">
        <f>B32*$F$26</f>
        <v>29840200</v>
      </c>
    </row>
    <row r="33" spans="1:7" x14ac:dyDescent="0.3">
      <c r="A33" t="s">
        <v>96</v>
      </c>
      <c r="B33" s="302">
        <v>7818984</v>
      </c>
      <c r="C33" s="302">
        <f t="shared" si="0"/>
        <v>7818984</v>
      </c>
      <c r="D33" s="305" t="s">
        <v>282</v>
      </c>
      <c r="E33" s="316">
        <f>$E$26*B33</f>
        <v>5473288.7999999998</v>
      </c>
      <c r="F33" s="316">
        <f>B33*$F$26</f>
        <v>10164679.200000001</v>
      </c>
    </row>
    <row r="34" spans="1:7" x14ac:dyDescent="0.3">
      <c r="A34" t="s">
        <v>177</v>
      </c>
      <c r="B34" s="302">
        <v>3535945</v>
      </c>
      <c r="C34" s="302">
        <f t="shared" si="0"/>
        <v>3535945</v>
      </c>
      <c r="D34" s="305" t="s">
        <v>282</v>
      </c>
      <c r="E34" s="303">
        <f>$E$26*B34</f>
        <v>2475161.5</v>
      </c>
      <c r="F34" s="303">
        <f>B34*$F$26</f>
        <v>4596728.5</v>
      </c>
    </row>
    <row r="35" spans="1:7" x14ac:dyDescent="0.3">
      <c r="A35" t="s">
        <v>172</v>
      </c>
      <c r="B35" s="302">
        <v>15700000</v>
      </c>
      <c r="C35" s="302">
        <f t="shared" si="0"/>
        <v>15700000</v>
      </c>
      <c r="D35" s="305" t="s">
        <v>282</v>
      </c>
      <c r="E35" s="303">
        <f>$E$26*B35</f>
        <v>10990000</v>
      </c>
      <c r="F35" s="303">
        <f>B35*$F$26</f>
        <v>20410000</v>
      </c>
      <c r="G35" s="248"/>
    </row>
    <row r="36" spans="1:7" x14ac:dyDescent="0.3">
      <c r="A36" s="309" t="s">
        <v>103</v>
      </c>
      <c r="B36" s="310">
        <f>SUM(B28:B35)</f>
        <v>79855579</v>
      </c>
      <c r="C36" s="311">
        <f>SUM(C28:C35)</f>
        <v>89800178.599999994</v>
      </c>
      <c r="D36" s="310"/>
      <c r="E36" s="310">
        <f t="shared" ref="E36:F36" si="1">SUM(E28:E35)</f>
        <v>62735504.899999991</v>
      </c>
      <c r="F36" s="310">
        <f t="shared" si="1"/>
        <v>110627402.60000001</v>
      </c>
    </row>
    <row r="37" spans="1:7" x14ac:dyDescent="0.3">
      <c r="C37" s="308"/>
    </row>
  </sheetData>
  <mergeCells count="11">
    <mergeCell ref="AA3:AC3"/>
    <mergeCell ref="AD3:AE3"/>
    <mergeCell ref="AG3:AL3"/>
    <mergeCell ref="Y5:Y13"/>
    <mergeCell ref="Y14:Y22"/>
    <mergeCell ref="U3:V3"/>
    <mergeCell ref="C3:E3"/>
    <mergeCell ref="F3:H3"/>
    <mergeCell ref="I3:J3"/>
    <mergeCell ref="O3:Q3"/>
    <mergeCell ref="R3:T3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abSelected="1" workbookViewId="0">
      <selection activeCell="B14" sqref="B14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55.8" customHeight="1" x14ac:dyDescent="0.3">
      <c r="A4" s="49" t="s">
        <v>78</v>
      </c>
      <c r="B4" s="334" t="s">
        <v>287</v>
      </c>
      <c r="C4" s="335"/>
      <c r="D4" s="335"/>
      <c r="E4" s="335"/>
      <c r="F4" s="335"/>
      <c r="G4" s="335"/>
      <c r="H4" s="335"/>
      <c r="I4" s="335"/>
    </row>
    <row r="5" spans="1:14" x14ac:dyDescent="0.3">
      <c r="A5" s="48" t="s">
        <v>79</v>
      </c>
      <c r="B5" s="1" t="s">
        <v>167</v>
      </c>
      <c r="E5" s="343" t="s">
        <v>50</v>
      </c>
      <c r="F5" s="344"/>
      <c r="G5" s="344"/>
      <c r="H5" s="344"/>
      <c r="I5" s="345"/>
    </row>
    <row r="6" spans="1:14" x14ac:dyDescent="0.3">
      <c r="A6" s="48" t="s">
        <v>80</v>
      </c>
      <c r="B6" s="1" t="s">
        <v>168</v>
      </c>
      <c r="E6" s="346" t="s">
        <v>51</v>
      </c>
      <c r="F6" s="347"/>
      <c r="G6" s="347"/>
      <c r="H6" s="347"/>
      <c r="I6" s="34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9507540.6106062867</v>
      </c>
    </row>
    <row r="10" spans="1:14" ht="14.4" thickBot="1" x14ac:dyDescent="0.35">
      <c r="A10" s="50"/>
    </row>
    <row r="11" spans="1:14" ht="27.6" x14ac:dyDescent="0.3">
      <c r="A11" s="349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50"/>
      <c r="B12" s="80">
        <v>89800178.599999994</v>
      </c>
      <c r="C12" s="81">
        <v>79855579</v>
      </c>
      <c r="D12" s="82">
        <v>89800178.599999994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0.7</v>
      </c>
      <c r="H14" s="263">
        <v>1.3</v>
      </c>
      <c r="I14" s="63" t="s">
        <v>98</v>
      </c>
      <c r="J14" s="63" t="s">
        <v>99</v>
      </c>
    </row>
    <row r="15" spans="1:14" ht="27.6" customHeight="1" x14ac:dyDescent="0.3">
      <c r="A15" s="351" t="s">
        <v>2</v>
      </c>
      <c r="B15" s="353" t="s">
        <v>3</v>
      </c>
      <c r="C15" s="353" t="s">
        <v>38</v>
      </c>
      <c r="D15" s="353" t="s">
        <v>169</v>
      </c>
      <c r="E15" s="336" t="s">
        <v>86</v>
      </c>
      <c r="F15" s="338"/>
      <c r="G15" s="332" t="s">
        <v>241</v>
      </c>
      <c r="H15" s="333"/>
      <c r="I15" s="332" t="s">
        <v>89</v>
      </c>
      <c r="J15" s="333"/>
      <c r="K15" s="336" t="s">
        <v>90</v>
      </c>
      <c r="L15" s="337"/>
      <c r="M15" s="337"/>
      <c r="N15" s="338"/>
    </row>
    <row r="16" spans="1:14" ht="27.6" x14ac:dyDescent="0.3">
      <c r="A16" s="352"/>
      <c r="B16" s="352"/>
      <c r="C16" s="352"/>
      <c r="D16" s="352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317" t="s">
        <v>13</v>
      </c>
      <c r="B17" s="317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Notes'!E28</f>
        <v>6590648.9000000004</v>
      </c>
      <c r="H17" s="73">
        <f>'Case Notes'!F28</f>
        <v>8388098.5999999996</v>
      </c>
      <c r="I17" s="273">
        <v>8388098.5999999996</v>
      </c>
      <c r="J17" s="64">
        <f>JANSample!F9</f>
        <v>3217873.9249121454</v>
      </c>
      <c r="K17" s="58">
        <f>I17-E17</f>
        <v>2396599.5999999996</v>
      </c>
      <c r="L17" s="58">
        <f>J17-F17</f>
        <v>907108.64611744788</v>
      </c>
      <c r="M17" s="59">
        <f>K17/E17</f>
        <v>0.39999999999999991</v>
      </c>
      <c r="N17" s="59">
        <f>L17/F17</f>
        <v>0.39255767534753622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Notes'!E29</f>
        <v>10927304.5</v>
      </c>
      <c r="H18" s="74">
        <f>'Case Notes'!F29</f>
        <v>20293565.5</v>
      </c>
      <c r="I18" s="274">
        <v>20293565.5</v>
      </c>
      <c r="J18" s="65">
        <f>JMTSample!F9</f>
        <v>3462495.5631605955</v>
      </c>
      <c r="K18" s="60">
        <f t="shared" ref="K18:L22" si="0">I18-E18</f>
        <v>4683130.5</v>
      </c>
      <c r="L18" s="60">
        <f t="shared" si="0"/>
        <v>799830.71474854182</v>
      </c>
      <c r="M18" s="61">
        <f t="shared" ref="M18:N25" si="1">K18/E18</f>
        <v>0.3</v>
      </c>
      <c r="N18" s="61">
        <f t="shared" si="1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Notes'!E30</f>
        <v>2663301.1999999997</v>
      </c>
      <c r="H19" s="74">
        <f>'Case Notes'!F30</f>
        <v>4946130.8</v>
      </c>
      <c r="I19" s="274">
        <v>2663301.1999999997</v>
      </c>
      <c r="J19" s="65">
        <f>JJVCH!F9</f>
        <v>105391.28842196563</v>
      </c>
      <c r="K19" s="60">
        <f t="shared" si="0"/>
        <v>-1141414.8000000003</v>
      </c>
      <c r="L19" s="60">
        <f t="shared" si="0"/>
        <v>-45169.412639527683</v>
      </c>
      <c r="M19" s="61">
        <f t="shared" si="1"/>
        <v>-0.3000000000000001</v>
      </c>
      <c r="N19" s="61">
        <f t="shared" si="1"/>
        <v>-0.30000798562354725</v>
      </c>
    </row>
    <row r="20" spans="1:14" x14ac:dyDescent="0.3">
      <c r="A20" s="318" t="s">
        <v>104</v>
      </c>
      <c r="B20" s="318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Notes'!E31</f>
        <v>7548000</v>
      </c>
      <c r="H20" s="74">
        <f>'Case Notes'!F31</f>
        <v>11988000</v>
      </c>
      <c r="I20" s="274">
        <v>7548000.0000000009</v>
      </c>
      <c r="J20" s="65">
        <f>JJMMF!F9</f>
        <v>35975.386475934087</v>
      </c>
      <c r="K20" s="60">
        <f t="shared" si="0"/>
        <v>3108000.0000000009</v>
      </c>
      <c r="L20" s="60">
        <f t="shared" si="0"/>
        <v>10286.226283802429</v>
      </c>
      <c r="M20" s="61">
        <f t="shared" si="1"/>
        <v>0.70000000000000018</v>
      </c>
      <c r="N20" s="61">
        <f t="shared" si="1"/>
        <v>0.40041115423278806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Notes'!E32</f>
        <v>16067799.999999998</v>
      </c>
      <c r="H21" s="74">
        <f>'Case Notes'!F32</f>
        <v>29840200</v>
      </c>
      <c r="I21" s="274">
        <v>29840200</v>
      </c>
      <c r="J21" s="65">
        <f>JJHCC!F9</f>
        <v>1991416.1012136836</v>
      </c>
      <c r="K21" s="60">
        <f t="shared" si="0"/>
        <v>6886200</v>
      </c>
      <c r="L21" s="60">
        <f t="shared" si="0"/>
        <v>395524.08685332071</v>
      </c>
      <c r="M21" s="61">
        <f t="shared" si="1"/>
        <v>0.3</v>
      </c>
      <c r="N21" s="61">
        <f t="shared" si="1"/>
        <v>0.24783887837915378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Notes'!E33</f>
        <v>5473288.7999999998</v>
      </c>
      <c r="H22" s="74">
        <f>'Case Notes'!F33</f>
        <v>10164679.200000001</v>
      </c>
      <c r="I22" s="274">
        <v>7601851.7598856883</v>
      </c>
      <c r="J22" s="65">
        <f>JJMCM!F9</f>
        <v>368919.78899706784</v>
      </c>
      <c r="K22" s="60">
        <f t="shared" si="0"/>
        <v>-217132.24011431169</v>
      </c>
      <c r="L22" s="60">
        <f t="shared" si="0"/>
        <v>-9363.4521381950472</v>
      </c>
      <c r="M22" s="61">
        <f t="shared" si="1"/>
        <v>-2.7769879067959684E-2</v>
      </c>
      <c r="N22" s="61">
        <f t="shared" si="1"/>
        <v>-2.4752489986324702E-2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83212.009999999995</v>
      </c>
      <c r="G23" s="74">
        <f>'Case Notes'!E34</f>
        <v>2475161.5</v>
      </c>
      <c r="H23" s="74">
        <f>'Case Notes'!F34</f>
        <v>4596728.5</v>
      </c>
      <c r="I23" s="274">
        <v>2475161.5</v>
      </c>
      <c r="J23" s="65">
        <f>JJHCC_ACQ!F9</f>
        <v>59085.138733214022</v>
      </c>
      <c r="K23" s="60">
        <f t="shared" ref="K23:K24" si="2">I23-E23</f>
        <v>-1060783.5</v>
      </c>
      <c r="L23" s="60">
        <f t="shared" ref="L23:L24" si="3">J23-F23</f>
        <v>-24126.871266785973</v>
      </c>
      <c r="M23" s="61">
        <f t="shared" ref="M23:M24" si="4">K23/E23</f>
        <v>-0.3</v>
      </c>
      <c r="N23" s="61">
        <f t="shared" ref="N23:N24" si="5">L23/F23</f>
        <v>-0.28994457971614884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Notes'!E35</f>
        <v>10990000</v>
      </c>
      <c r="H24" s="74">
        <f>'Case Notes'!F35</f>
        <v>20410000</v>
      </c>
      <c r="I24" s="274">
        <v>10990000</v>
      </c>
      <c r="J24" s="65">
        <f>JJHCC_ADH!F9</f>
        <v>266383.4186916817</v>
      </c>
      <c r="K24" s="60">
        <f t="shared" si="2"/>
        <v>-4710000</v>
      </c>
      <c r="L24" s="60">
        <f t="shared" si="3"/>
        <v>-94449.318421719596</v>
      </c>
      <c r="M24" s="61">
        <f t="shared" si="4"/>
        <v>-0.3</v>
      </c>
      <c r="N24" s="61">
        <f t="shared" si="5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79855579</v>
      </c>
      <c r="F25" s="77">
        <f t="shared" si="6"/>
        <v>7567899.9910694035</v>
      </c>
      <c r="G25" s="76">
        <f t="shared" si="6"/>
        <v>62735504.899999991</v>
      </c>
      <c r="H25" s="76">
        <f t="shared" si="6"/>
        <v>110627402.60000001</v>
      </c>
      <c r="I25" s="83">
        <f t="shared" si="6"/>
        <v>89800178.559885696</v>
      </c>
      <c r="J25" s="275">
        <f t="shared" si="6"/>
        <v>9507540.6106062867</v>
      </c>
      <c r="K25" s="76">
        <f>SUM(K17:K24)</f>
        <v>9944599.5598856881</v>
      </c>
      <c r="L25" s="275">
        <f>SUM(L17:L24)</f>
        <v>1939640.6195368846</v>
      </c>
      <c r="M25" s="79">
        <f>K25/E25</f>
        <v>0.12453230800424962</v>
      </c>
      <c r="N25" s="79">
        <f t="shared" si="1"/>
        <v>0.25629839477606497</v>
      </c>
    </row>
    <row r="29" spans="1:14" s="256" customFormat="1" x14ac:dyDescent="0.3"/>
    <row r="30" spans="1:14" ht="55.2" x14ac:dyDescent="0.3">
      <c r="A30" s="342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42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54" t="s">
        <v>2</v>
      </c>
      <c r="B32" s="353" t="s">
        <v>3</v>
      </c>
      <c r="C32" s="353" t="str">
        <f t="shared" ref="C32:C42" si="7">D15</f>
        <v>Response Scaling Factor for Sensitivity Analysis</v>
      </c>
      <c r="D32" s="339" t="s">
        <v>86</v>
      </c>
      <c r="E32" s="340"/>
      <c r="F32" s="340"/>
      <c r="G32" s="341"/>
      <c r="H32" s="355" t="s">
        <v>89</v>
      </c>
      <c r="I32" s="356"/>
      <c r="J32" s="356"/>
      <c r="K32" s="339" t="s">
        <v>251</v>
      </c>
      <c r="L32" s="340"/>
      <c r="M32" s="340"/>
      <c r="N32" s="341"/>
    </row>
    <row r="33" spans="1:14" ht="74.400000000000006" customHeight="1" x14ac:dyDescent="0.3">
      <c r="A33" s="352"/>
      <c r="B33" s="352"/>
      <c r="C33" s="352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8388098.5999999996</v>
      </c>
      <c r="I34" s="268">
        <f>J17/$D$31</f>
        <v>279087.07067754946</v>
      </c>
      <c r="J34" s="279">
        <f>I34*$F$31</f>
        <v>312019345.01750028</v>
      </c>
      <c r="K34" s="266">
        <f>H34-D34</f>
        <v>2396599.5999999996</v>
      </c>
      <c r="L34" s="266">
        <f>J34-G34</f>
        <v>87957282.424918145</v>
      </c>
      <c r="M34" s="282">
        <f>K34/D34</f>
        <v>0.39999999999999991</v>
      </c>
      <c r="N34" s="283">
        <f>L34/G34</f>
        <v>0.39255767534753599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20293565.5</v>
      </c>
      <c r="I35" s="269">
        <f t="shared" ref="I35:I40" si="12">J18/$D$31</f>
        <v>300303.17113274895</v>
      </c>
      <c r="J35" s="280">
        <f t="shared" ref="J35:J40" si="13">I35*$F$31</f>
        <v>335738945.32641333</v>
      </c>
      <c r="K35" s="267">
        <f t="shared" ref="K35:K42" si="14">H35-D35</f>
        <v>4683130.5</v>
      </c>
      <c r="L35" s="267">
        <f t="shared" ref="L35:L42" si="15">J35-G35</f>
        <v>77555137.822104901</v>
      </c>
      <c r="M35" s="284">
        <f t="shared" ref="M35:M42" si="16">K35/D35</f>
        <v>0.3</v>
      </c>
      <c r="N35" s="285">
        <f t="shared" ref="N35:N42" si="17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2663301.1999999997</v>
      </c>
      <c r="I36" s="269">
        <f t="shared" si="12"/>
        <v>9140.6147807428988</v>
      </c>
      <c r="J36" s="280">
        <f t="shared" si="13"/>
        <v>10219207.32487056</v>
      </c>
      <c r="K36" s="267">
        <f t="shared" si="14"/>
        <v>-1141414.8000000003</v>
      </c>
      <c r="L36" s="267">
        <f t="shared" si="15"/>
        <v>-4379826.8283601012</v>
      </c>
      <c r="M36" s="284">
        <f t="shared" si="16"/>
        <v>-0.3000000000000001</v>
      </c>
      <c r="N36" s="285">
        <f t="shared" si="17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7548000.0000000009</v>
      </c>
      <c r="I37" s="269">
        <f t="shared" si="12"/>
        <v>3120.1549415380823</v>
      </c>
      <c r="J37" s="280">
        <f t="shared" si="13"/>
        <v>3488333.2246395759</v>
      </c>
      <c r="K37" s="267">
        <f t="shared" si="14"/>
        <v>3108000.0000000009</v>
      </c>
      <c r="L37" s="267">
        <f t="shared" si="15"/>
        <v>997398.1773886485</v>
      </c>
      <c r="M37" s="284">
        <f t="shared" si="16"/>
        <v>0.70000000000000018</v>
      </c>
      <c r="N37" s="285">
        <f t="shared" si="17"/>
        <v>0.40041115423278811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29840200</v>
      </c>
      <c r="I38" s="269">
        <f t="shared" si="12"/>
        <v>172716.05387802981</v>
      </c>
      <c r="J38" s="280">
        <f t="shared" si="13"/>
        <v>193096548.23563734</v>
      </c>
      <c r="K38" s="267">
        <f t="shared" si="14"/>
        <v>6886200</v>
      </c>
      <c r="L38" s="267">
        <f t="shared" si="15"/>
        <v>38351771.821510196</v>
      </c>
      <c r="M38" s="284">
        <f t="shared" si="16"/>
        <v>0.3</v>
      </c>
      <c r="N38" s="285">
        <f t="shared" si="17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7601851.7598856883</v>
      </c>
      <c r="I39" s="269">
        <f t="shared" si="12"/>
        <v>31996.512488904409</v>
      </c>
      <c r="J39" s="280">
        <f t="shared" si="13"/>
        <v>35772100.962595128</v>
      </c>
      <c r="K39" s="267">
        <f t="shared" si="14"/>
        <v>-217132.24011431169</v>
      </c>
      <c r="L39" s="267">
        <f t="shared" si="15"/>
        <v>-907921.89856912941</v>
      </c>
      <c r="M39" s="284">
        <f t="shared" si="16"/>
        <v>-2.7769879067959684E-2</v>
      </c>
      <c r="N39" s="285">
        <f t="shared" si="17"/>
        <v>-2.4752489986324702E-2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3535945</v>
      </c>
      <c r="E40" s="265" t="s">
        <v>185</v>
      </c>
      <c r="F40" s="269">
        <f t="shared" si="10"/>
        <v>7217</v>
      </c>
      <c r="G40" s="271">
        <f t="shared" si="11"/>
        <v>8068606</v>
      </c>
      <c r="H40" s="277">
        <f t="shared" si="9"/>
        <v>2475161.5</v>
      </c>
      <c r="I40" s="269">
        <f t="shared" si="12"/>
        <v>5124.469968188554</v>
      </c>
      <c r="J40" s="280">
        <f t="shared" si="13"/>
        <v>5729157.4244348034</v>
      </c>
      <c r="K40" s="267">
        <f t="shared" si="14"/>
        <v>-1060783.5</v>
      </c>
      <c r="L40" s="267">
        <f t="shared" si="15"/>
        <v>-2339448.5755651966</v>
      </c>
      <c r="M40" s="284">
        <f t="shared" si="16"/>
        <v>-0.3</v>
      </c>
      <c r="N40" s="285">
        <f t="shared" si="17"/>
        <v>-0.28994457971614879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10990000</v>
      </c>
      <c r="I41" s="269">
        <f>J24</f>
        <v>266383.4186916817</v>
      </c>
      <c r="J41" s="280">
        <f>I41*$I$31</f>
        <v>31007029.935711749</v>
      </c>
      <c r="K41" s="267">
        <f t="shared" si="14"/>
        <v>-4710000</v>
      </c>
      <c r="L41" s="267">
        <f t="shared" si="15"/>
        <v>-10993900.664288156</v>
      </c>
      <c r="M41" s="284">
        <f t="shared" si="16"/>
        <v>-0.3</v>
      </c>
      <c r="N41" s="285">
        <f t="shared" si="17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79855579</v>
      </c>
      <c r="E42" s="77"/>
      <c r="F42" s="77"/>
      <c r="G42" s="272">
        <f>SUM(G34:G41)</f>
        <v>740830175.17266345</v>
      </c>
      <c r="H42" s="278">
        <f>SUM(H34:H41)</f>
        <v>89800178.559885696</v>
      </c>
      <c r="I42" s="77"/>
      <c r="J42" s="281">
        <f>SUM(J34:J41)</f>
        <v>927070667.45180261</v>
      </c>
      <c r="K42" s="76">
        <f t="shared" si="14"/>
        <v>9944599.5598856956</v>
      </c>
      <c r="L42" s="312">
        <f t="shared" si="15"/>
        <v>186240492.27913916</v>
      </c>
      <c r="M42" s="79">
        <f t="shared" si="16"/>
        <v>0.12453230800424972</v>
      </c>
      <c r="N42" s="286">
        <f t="shared" si="17"/>
        <v>0.25139431211172325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260282445.67870557</v>
      </c>
      <c r="H43" s="256"/>
      <c r="I43" s="183"/>
      <c r="J43" s="289">
        <f>SUM(J34:J40)*$E$43 + (J41*$D$43)</f>
        <v>321405432.92075527</v>
      </c>
      <c r="K43" s="256"/>
      <c r="L43" s="289">
        <f>SUM(L34:L40)*$E$43 + (L41*$D$43)</f>
        <v>61122987.242049731</v>
      </c>
      <c r="M43" s="319">
        <f>L43/L42</f>
        <v>0.32819386640386439</v>
      </c>
      <c r="N43" s="290">
        <f>N42*(L43/L42)</f>
        <v>8.250607128388629E-2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291863833.45933878</v>
      </c>
      <c r="H44" s="256"/>
      <c r="I44" s="183"/>
      <c r="J44" s="289">
        <f>SUM(J34:J40)*$E$44 + (J41*$D$44)</f>
        <v>363728052.40170288</v>
      </c>
      <c r="K44" s="256"/>
      <c r="L44" s="289">
        <f>SUM(L34:L40)*$E$44 + (L41*$D$44)</f>
        <v>71864218.942364156</v>
      </c>
      <c r="M44" s="319">
        <f>L44/L42</f>
        <v>0.38586785324135275</v>
      </c>
      <c r="N44" s="290">
        <f>N42*(L44/L42)</f>
        <v>9.7004983531637251E-2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188683896.03461918</v>
      </c>
      <c r="H45" s="256"/>
      <c r="I45" s="183"/>
      <c r="J45" s="289">
        <f>SUM(J34:J40)*$E$45 + (J41*$D$45)</f>
        <v>241937182.12934455</v>
      </c>
      <c r="K45" s="256"/>
      <c r="L45" s="289">
        <f>SUM(L34:L40)*$E$45 + (L41*$D$45)</f>
        <v>53253286.094725415</v>
      </c>
      <c r="M45" s="319">
        <f>L45/L42</f>
        <v>0.28593828035478364</v>
      </c>
      <c r="N45" s="290">
        <f>N42*(L45/L42)</f>
        <v>7.1883257296199904E-2</v>
      </c>
    </row>
    <row r="46" spans="1:14" x14ac:dyDescent="0.3">
      <c r="D46" s="256" t="s">
        <v>184</v>
      </c>
      <c r="E46" s="256" t="s">
        <v>288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289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A32:A33"/>
    <mergeCell ref="B32:B33"/>
    <mergeCell ref="C32:C33"/>
    <mergeCell ref="D32:G32"/>
    <mergeCell ref="H32:J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B4:I4"/>
    <mergeCell ref="K15:N15"/>
    <mergeCell ref="K32:N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JJ_Optim_Scenario!G17</f>
        <v>6590648.9000000004</v>
      </c>
      <c r="C9" s="113">
        <f>JJ_Optim_Scenario!H17</f>
        <v>8388098.5999999996</v>
      </c>
      <c r="D9" s="114">
        <f>JJ_Optim_Scenario!I17</f>
        <v>8388098.5999999996</v>
      </c>
      <c r="E9" s="119">
        <f>$B$13*D9+$C$13*D9*D9</f>
        <v>279087.0706775494</v>
      </c>
      <c r="F9" s="85">
        <f>$E$13*D9+$F$13*D9*D9</f>
        <v>3217873.9249121454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I11" s="141"/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2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15000000</v>
      </c>
      <c r="D19" s="26">
        <v>20</v>
      </c>
    </row>
    <row r="21" spans="1:4" x14ac:dyDescent="0.3">
      <c r="A21" s="342" t="s">
        <v>37</v>
      </c>
      <c r="B21" s="342"/>
      <c r="C21" s="34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$B$13*D9+$C$13*D9*D9</f>
        <v>300303.17113274895</v>
      </c>
      <c r="F9" s="85">
        <f>$E$13*D9+$F$13*D9*D9</f>
        <v>3462495.5631605955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2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40000000</v>
      </c>
      <c r="D19" s="26">
        <v>20</v>
      </c>
    </row>
    <row r="21" spans="1:4" x14ac:dyDescent="0.3">
      <c r="A21" s="342" t="s">
        <v>37</v>
      </c>
      <c r="B21" s="342"/>
      <c r="C21" s="34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2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60000000</v>
      </c>
      <c r="D19" s="26">
        <v>20</v>
      </c>
    </row>
    <row r="21" spans="1:4" x14ac:dyDescent="0.3">
      <c r="A21" s="342" t="s">
        <v>37</v>
      </c>
      <c r="B21" s="342"/>
      <c r="C21" s="34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JJ_Optim_Scenario!E19</f>
        <v>3804716</v>
      </c>
      <c r="C9" s="113">
        <f>JJ_Optim_Scenario!H19</f>
        <v>4946130.8</v>
      </c>
      <c r="D9" s="114">
        <f>JJ_Optim_Scenario!I19</f>
        <v>2663301.1999999997</v>
      </c>
      <c r="E9" s="119">
        <f>$B$13*D9+$C$13*D9*D9</f>
        <v>9140.6147807429006</v>
      </c>
      <c r="F9" s="85">
        <f>$E$13*D9+$F$13*D9*D9</f>
        <v>105391.28842196563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2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10000000</v>
      </c>
      <c r="D19" s="26">
        <v>20</v>
      </c>
    </row>
    <row r="21" spans="1:4" x14ac:dyDescent="0.3">
      <c r="A21" s="342" t="s">
        <v>37</v>
      </c>
      <c r="B21" s="342"/>
      <c r="C21" s="34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D29" sqref="D29:D30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43" t="s">
        <v>105</v>
      </c>
      <c r="N2" s="344"/>
      <c r="O2" s="344"/>
      <c r="P2" s="344"/>
      <c r="Q2" s="344"/>
      <c r="R2" s="344"/>
      <c r="S2" s="345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46" t="s">
        <v>72</v>
      </c>
      <c r="N3" s="347"/>
      <c r="O3" s="347"/>
      <c r="P3" s="347"/>
      <c r="Q3" s="347"/>
      <c r="R3" s="347"/>
      <c r="S3" s="348"/>
    </row>
    <row r="4" spans="1:25" ht="15" customHeight="1" thickBot="1" x14ac:dyDescent="0.35">
      <c r="A4" s="29" t="s">
        <v>38</v>
      </c>
      <c r="B4" s="374" t="s">
        <v>57</v>
      </c>
      <c r="C4" s="375"/>
      <c r="D4" s="375"/>
      <c r="E4" s="375"/>
      <c r="F4" s="376"/>
    </row>
    <row r="6" spans="1:25" ht="14.4" thickBot="1" x14ac:dyDescent="0.35"/>
    <row r="7" spans="1:25" ht="27.6" customHeight="1" x14ac:dyDescent="0.3">
      <c r="A7" s="357" t="s">
        <v>8</v>
      </c>
      <c r="B7" s="360" t="s">
        <v>9</v>
      </c>
      <c r="C7" s="360"/>
      <c r="D7" s="360" t="s">
        <v>12</v>
      </c>
      <c r="E7" s="360"/>
      <c r="F7" s="360"/>
      <c r="G7" s="360" t="s">
        <v>143</v>
      </c>
      <c r="H7" s="360"/>
      <c r="I7" s="362"/>
      <c r="J7" s="378" t="s">
        <v>144</v>
      </c>
      <c r="K7" s="379"/>
      <c r="M7" s="389" t="s">
        <v>73</v>
      </c>
      <c r="N7" s="389"/>
      <c r="O7" s="389"/>
      <c r="P7" s="389"/>
      <c r="R7" s="47" t="s">
        <v>58</v>
      </c>
    </row>
    <row r="8" spans="1:25" ht="27.6" x14ac:dyDescent="0.3">
      <c r="A8" s="358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89"/>
      <c r="N8" s="389"/>
      <c r="O8" s="389"/>
      <c r="P8" s="389"/>
      <c r="R8" s="47" t="s">
        <v>59</v>
      </c>
    </row>
    <row r="9" spans="1:25" ht="14.4" thickBot="1" x14ac:dyDescent="0.35">
      <c r="A9" s="359"/>
      <c r="B9" s="112">
        <f>JJ_Optim_Scenario!G20</f>
        <v>7548000</v>
      </c>
      <c r="C9" s="112">
        <f>JJ_Optim_Scenario!H20</f>
        <v>11988000</v>
      </c>
      <c r="D9" s="117">
        <f>JJ_Optim_Scenario!I20</f>
        <v>7548000.0000000009</v>
      </c>
      <c r="E9" s="118">
        <f>csplinePred($B$14:$B$20,$C$14:$C$20,$H$14:$O$20,D9)*$C$12</f>
        <v>3120.1549415380823</v>
      </c>
      <c r="F9" s="118">
        <f>E9*$C$11</f>
        <v>35975.386475934087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7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9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7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80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8"/>
      <c r="B14" s="125">
        <v>0</v>
      </c>
      <c r="C14" s="127">
        <v>0</v>
      </c>
      <c r="D14" s="133">
        <f>C14*$C$11</f>
        <v>0</v>
      </c>
      <c r="E14" s="130"/>
      <c r="G14" s="381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8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81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8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81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8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81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8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81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8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81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9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82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83" t="s">
        <v>74</v>
      </c>
      <c r="B21" s="384"/>
      <c r="C21" s="385"/>
      <c r="D21" s="33"/>
      <c r="G21" s="365" t="s">
        <v>75</v>
      </c>
      <c r="H21" s="365"/>
      <c r="I21" s="365"/>
      <c r="J21" s="365"/>
      <c r="K21" s="365"/>
      <c r="L21" s="365"/>
      <c r="M21" s="365"/>
      <c r="N21" s="365"/>
      <c r="O21" s="365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6"/>
      <c r="B22" s="387"/>
      <c r="C22" s="388"/>
      <c r="D22" s="33"/>
      <c r="G22" s="365"/>
      <c r="H22" s="365"/>
      <c r="I22" s="365"/>
      <c r="J22" s="365"/>
      <c r="K22" s="365"/>
      <c r="L22" s="365"/>
      <c r="M22" s="365"/>
      <c r="N22" s="365"/>
      <c r="O22" s="365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66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67"/>
      <c r="B26" s="103">
        <v>0</v>
      </c>
      <c r="C26" s="103">
        <v>20000000</v>
      </c>
      <c r="D26" s="26">
        <v>20</v>
      </c>
    </row>
    <row r="28" spans="1:25" x14ac:dyDescent="0.3">
      <c r="A28" s="342" t="s">
        <v>37</v>
      </c>
      <c r="B28" s="342"/>
      <c r="C28" s="342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JJ_Optim_Scenario!G21</f>
        <v>16067799.999999998</v>
      </c>
      <c r="C9" s="80">
        <f>JJ_Optim_Scenario!H21</f>
        <v>29840200</v>
      </c>
      <c r="D9" s="95">
        <f>JJ_Optim_Scenario!I21</f>
        <v>29840200</v>
      </c>
      <c r="E9" s="118">
        <f>((($R$12/(1+EXP($P$12+$Q$12*D9)))-1) - ($F$12-$C$12))*$I$12</f>
        <v>172716.05387802981</v>
      </c>
      <c r="F9" s="145">
        <f>E9*$G$12</f>
        <v>1991416.1012136836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67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60000000</v>
      </c>
      <c r="D18" s="26">
        <v>20</v>
      </c>
    </row>
    <row r="20" spans="1:8" x14ac:dyDescent="0.3">
      <c r="A20" s="342" t="s">
        <v>37</v>
      </c>
      <c r="B20" s="342"/>
      <c r="C20" s="34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7601851.7598856883</v>
      </c>
      <c r="E9" s="118">
        <f>((($R$12/(1+EXP($P$12+$Q$12*D9)))-1) - ($F$12-$C$12))*$I$12</f>
        <v>31996.512488904409</v>
      </c>
      <c r="F9" s="145">
        <f>E9*$G$12</f>
        <v>368919.78899706784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67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30000000</v>
      </c>
      <c r="D18" s="26">
        <v>20</v>
      </c>
    </row>
    <row r="20" spans="1:8" x14ac:dyDescent="0.3">
      <c r="A20" s="342" t="s">
        <v>37</v>
      </c>
      <c r="B20" s="342"/>
      <c r="C20" s="34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E16" sqref="E16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JJ_Optim_Scenario!G23</f>
        <v>2475161.5</v>
      </c>
      <c r="C9" s="80">
        <f>JJ_Optim_Scenario!H23</f>
        <v>4596728.5</v>
      </c>
      <c r="D9" s="95">
        <f>JJ_Optim_Scenario!I23</f>
        <v>2475161.5</v>
      </c>
      <c r="E9" s="118">
        <f>((($R$12/(1+EXP($P$12+$Q$12*D9)))-1) - ($F$12-$C$12))*$I$12</f>
        <v>5124.469968188554</v>
      </c>
      <c r="F9" s="145">
        <f>E9*$G$12</f>
        <v>59085.138733214022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297">
        <f>JJ_Optim_Scenario!D23</f>
        <v>1</v>
      </c>
      <c r="K12" s="367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20000000</v>
      </c>
      <c r="D18" s="26">
        <v>20</v>
      </c>
    </row>
    <row r="20" spans="1:8" x14ac:dyDescent="0.3">
      <c r="A20" s="342" t="s">
        <v>37</v>
      </c>
      <c r="B20" s="342"/>
      <c r="C20" s="34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299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299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299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299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299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299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299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299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299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299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299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299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299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299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299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299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299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299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299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299">
        <f t="shared" si="2"/>
        <v>36872911.460200608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6" workbookViewId="0">
      <selection activeCell="E16" sqref="E16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JJ_Optim_Scenario!G24</f>
        <v>10990000</v>
      </c>
      <c r="C9" s="184">
        <f>JJ_Optim_Scenario!H24</f>
        <v>20410000</v>
      </c>
      <c r="D9" s="184">
        <f>JJ_Optim_Scenario!I24</f>
        <v>10990000</v>
      </c>
      <c r="E9" s="118">
        <f>((($R$12/(1+EXP($P$12+$Q$12*D9)))-1) - ($F$12-$C$12))*$I$12</f>
        <v>266383.4186916817</v>
      </c>
      <c r="F9" s="145">
        <f>E9*$G$12</f>
        <v>266383.4186916817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67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50000000</v>
      </c>
      <c r="D18" s="26">
        <v>20</v>
      </c>
    </row>
    <row r="20" spans="1:8" x14ac:dyDescent="0.3">
      <c r="A20" s="342" t="s">
        <v>37</v>
      </c>
      <c r="B20" s="342"/>
      <c r="C20" s="342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299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299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299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299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299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299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299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299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299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299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299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299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299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299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299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299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299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299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299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299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299">
        <f t="shared" si="2"/>
        <v>92790349.864078641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43" t="s">
        <v>105</v>
      </c>
      <c r="G2" s="344"/>
      <c r="H2" s="344"/>
      <c r="I2" s="344"/>
      <c r="J2" s="344"/>
      <c r="K2" s="344"/>
      <c r="L2" s="345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46" t="s">
        <v>72</v>
      </c>
      <c r="G3" s="347"/>
      <c r="H3" s="347"/>
      <c r="I3" s="347"/>
      <c r="J3" s="347"/>
      <c r="K3" s="347"/>
      <c r="L3" s="348"/>
    </row>
    <row r="4" spans="1:12" ht="14.4" thickBot="1" x14ac:dyDescent="0.35">
      <c r="A4" s="29" t="s">
        <v>38</v>
      </c>
      <c r="B4" s="398" t="s">
        <v>39</v>
      </c>
      <c r="C4" s="398"/>
      <c r="D4" s="399"/>
    </row>
    <row r="6" spans="1:12" ht="14.4" thickBot="1" x14ac:dyDescent="0.35"/>
    <row r="7" spans="1:12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</row>
    <row r="8" spans="1:12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7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9"/>
      <c r="B12" s="12">
        <v>20</v>
      </c>
      <c r="C12" s="12">
        <v>30</v>
      </c>
      <c r="D12" s="12">
        <v>0</v>
      </c>
      <c r="E12" s="14">
        <v>70</v>
      </c>
      <c r="G12" s="35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90" t="s">
        <v>30</v>
      </c>
      <c r="B13" s="391"/>
      <c r="C13" s="391"/>
      <c r="D13" s="391"/>
      <c r="E13" s="392"/>
      <c r="G13" s="400" t="s">
        <v>29</v>
      </c>
      <c r="H13" s="401"/>
      <c r="I13" s="401"/>
      <c r="J13" s="402"/>
    </row>
    <row r="14" spans="1:12" ht="33.6" customHeight="1" x14ac:dyDescent="0.3">
      <c r="A14" s="386"/>
      <c r="B14" s="387"/>
      <c r="C14" s="387"/>
      <c r="D14" s="387"/>
      <c r="E14" s="388"/>
      <c r="G14" s="403"/>
      <c r="H14" s="404"/>
      <c r="I14" s="404"/>
      <c r="J14" s="405"/>
    </row>
    <row r="16" spans="1:12" ht="14.4" thickBot="1" x14ac:dyDescent="0.35"/>
    <row r="17" spans="1:4" ht="16.8" customHeight="1" x14ac:dyDescent="0.3">
      <c r="A17" s="366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67"/>
      <c r="B18" s="12">
        <v>0</v>
      </c>
      <c r="C18" s="12">
        <v>100</v>
      </c>
      <c r="D18" s="26">
        <v>20</v>
      </c>
    </row>
    <row r="20" spans="1:4" x14ac:dyDescent="0.3">
      <c r="A20" s="342" t="s">
        <v>37</v>
      </c>
      <c r="B20" s="342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43" t="s">
        <v>105</v>
      </c>
      <c r="G2" s="344"/>
      <c r="H2" s="344"/>
      <c r="I2" s="344"/>
      <c r="J2" s="344"/>
      <c r="K2" s="344"/>
      <c r="L2" s="345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46" t="s">
        <v>72</v>
      </c>
      <c r="G3" s="347"/>
      <c r="H3" s="347"/>
      <c r="I3" s="347"/>
      <c r="J3" s="347"/>
      <c r="K3" s="347"/>
      <c r="L3" s="348"/>
    </row>
    <row r="4" spans="1:12" ht="31.8" customHeight="1" thickBot="1" x14ac:dyDescent="0.35">
      <c r="A4" s="29" t="s">
        <v>38</v>
      </c>
      <c r="B4" s="410" t="s">
        <v>41</v>
      </c>
      <c r="C4" s="411"/>
      <c r="D4" s="412"/>
    </row>
    <row r="6" spans="1:12" ht="14.4" thickBot="1" x14ac:dyDescent="0.35"/>
    <row r="7" spans="1:12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  <c r="H7" s="1" t="s">
        <v>54</v>
      </c>
    </row>
    <row r="8" spans="1:12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7" t="s">
        <v>42</v>
      </c>
      <c r="B11" s="351" t="s">
        <v>47</v>
      </c>
      <c r="C11" s="407" t="s">
        <v>46</v>
      </c>
      <c r="D11" s="396"/>
      <c r="E11" s="396"/>
      <c r="F11" s="3" t="s">
        <v>48</v>
      </c>
      <c r="G11" s="33"/>
      <c r="H11" s="32"/>
      <c r="I11" s="32"/>
      <c r="J11" s="32"/>
    </row>
    <row r="12" spans="1:12" x14ac:dyDescent="0.3">
      <c r="A12" s="408"/>
      <c r="B12" s="35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0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65" t="s">
        <v>52</v>
      </c>
      <c r="B14" s="365"/>
      <c r="C14" s="365"/>
      <c r="D14" s="365"/>
      <c r="E14" s="365"/>
      <c r="F14" s="365"/>
      <c r="G14" s="38"/>
      <c r="H14" s="39"/>
      <c r="I14" s="39"/>
      <c r="J14" s="39"/>
    </row>
    <row r="15" spans="1:12" ht="30.6" customHeight="1" x14ac:dyDescent="0.3">
      <c r="A15" s="365"/>
      <c r="B15" s="365"/>
      <c r="C15" s="365"/>
      <c r="D15" s="365"/>
      <c r="E15" s="365"/>
      <c r="F15" s="365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67"/>
      <c r="B19" s="12">
        <v>0</v>
      </c>
      <c r="C19" s="12">
        <v>20000000</v>
      </c>
      <c r="D19" s="26">
        <v>20</v>
      </c>
    </row>
    <row r="21" spans="1:4" x14ac:dyDescent="0.3">
      <c r="A21" s="342" t="s">
        <v>37</v>
      </c>
      <c r="B21" s="342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43" t="s">
        <v>105</v>
      </c>
      <c r="G2" s="344"/>
      <c r="H2" s="344"/>
      <c r="I2" s="344"/>
      <c r="J2" s="344"/>
      <c r="K2" s="344"/>
      <c r="L2" s="345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46" t="s">
        <v>72</v>
      </c>
      <c r="G3" s="347"/>
      <c r="H3" s="347"/>
      <c r="I3" s="347"/>
      <c r="J3" s="347"/>
      <c r="K3" s="347"/>
      <c r="L3" s="348"/>
    </row>
    <row r="4" spans="1:14" ht="14.4" thickBot="1" x14ac:dyDescent="0.35">
      <c r="A4" s="29" t="s">
        <v>38</v>
      </c>
      <c r="B4" s="398" t="s">
        <v>57</v>
      </c>
      <c r="C4" s="398"/>
      <c r="D4" s="399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  <c r="I7" s="389" t="s">
        <v>73</v>
      </c>
      <c r="J7" s="389"/>
      <c r="K7" s="389"/>
      <c r="L7" s="389"/>
      <c r="N7" s="47" t="s">
        <v>58</v>
      </c>
    </row>
    <row r="8" spans="1:14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89"/>
      <c r="J8" s="389"/>
      <c r="K8" s="389"/>
      <c r="L8" s="389"/>
      <c r="N8" s="47" t="s">
        <v>59</v>
      </c>
    </row>
    <row r="9" spans="1:14" ht="14.4" thickBot="1" x14ac:dyDescent="0.35">
      <c r="A9" s="35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42" t="s">
        <v>60</v>
      </c>
      <c r="B11" s="3" t="s">
        <v>61</v>
      </c>
      <c r="C11" s="3" t="s">
        <v>62</v>
      </c>
      <c r="D11" s="32"/>
      <c r="E11" s="38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42"/>
      <c r="B12" s="41">
        <v>0</v>
      </c>
      <c r="C12" s="41">
        <v>0</v>
      </c>
      <c r="D12" s="32"/>
      <c r="E12" s="38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42"/>
      <c r="B13" s="41">
        <v>1</v>
      </c>
      <c r="C13" s="41">
        <v>0.75</v>
      </c>
      <c r="D13" s="32"/>
      <c r="E13" s="38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42"/>
      <c r="B14" s="41">
        <v>2</v>
      </c>
      <c r="C14" s="41">
        <v>0</v>
      </c>
      <c r="D14" s="32"/>
      <c r="E14" s="38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42"/>
      <c r="B15" s="41">
        <v>3</v>
      </c>
      <c r="C15" s="41">
        <v>-1</v>
      </c>
      <c r="D15" s="32"/>
      <c r="E15" s="38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42"/>
      <c r="B16" s="41">
        <v>4</v>
      </c>
      <c r="C16" s="41">
        <v>3</v>
      </c>
      <c r="D16" s="32"/>
      <c r="E16" s="38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42"/>
      <c r="B17" s="42">
        <v>5</v>
      </c>
      <c r="C17" s="42">
        <v>3</v>
      </c>
      <c r="D17" s="40"/>
      <c r="E17" s="38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13" t="s">
        <v>74</v>
      </c>
      <c r="B18" s="414"/>
      <c r="C18" s="415"/>
      <c r="D18" s="33"/>
      <c r="E18" s="365" t="s">
        <v>75</v>
      </c>
      <c r="F18" s="365"/>
      <c r="G18" s="365"/>
      <c r="H18" s="365"/>
      <c r="I18" s="365"/>
      <c r="J18" s="365"/>
      <c r="K18" s="365"/>
      <c r="L18" s="365"/>
      <c r="M18" s="365"/>
    </row>
    <row r="19" spans="1:13" ht="35.4" customHeight="1" x14ac:dyDescent="0.3">
      <c r="A19" s="386"/>
      <c r="B19" s="387"/>
      <c r="C19" s="388"/>
      <c r="D19" s="33"/>
      <c r="E19" s="365"/>
      <c r="F19" s="365"/>
      <c r="G19" s="365"/>
      <c r="H19" s="365"/>
      <c r="I19" s="365"/>
      <c r="J19" s="365"/>
      <c r="K19" s="365"/>
      <c r="L19" s="365"/>
      <c r="M19" s="365"/>
    </row>
    <row r="21" spans="1:13" ht="14.4" thickBot="1" x14ac:dyDescent="0.35"/>
    <row r="22" spans="1:13" ht="16.8" customHeight="1" x14ac:dyDescent="0.3">
      <c r="A22" s="366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67"/>
      <c r="B23" s="12">
        <v>0</v>
      </c>
      <c r="C23" s="12">
        <v>5</v>
      </c>
      <c r="D23" s="26">
        <v>20</v>
      </c>
    </row>
    <row r="25" spans="1:13" x14ac:dyDescent="0.3">
      <c r="A25" s="342" t="s">
        <v>37</v>
      </c>
      <c r="B25" s="342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6" t="s">
        <v>111</v>
      </c>
      <c r="C4" s="416"/>
      <c r="D4" s="416"/>
      <c r="E4" s="416"/>
      <c r="F4" s="417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</row>
    <row r="8" spans="1:15" ht="27.6" x14ac:dyDescent="0.3">
      <c r="A8" s="358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9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7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66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67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90" t="s">
        <v>119</v>
      </c>
      <c r="B13" s="391"/>
      <c r="C13" s="391"/>
      <c r="D13" s="391"/>
      <c r="E13" s="391"/>
      <c r="F13" s="392"/>
      <c r="H13" s="390" t="s">
        <v>120</v>
      </c>
      <c r="I13" s="391"/>
      <c r="J13" s="391"/>
      <c r="K13" s="391"/>
      <c r="L13" s="391"/>
      <c r="M13" s="391"/>
      <c r="N13" s="391"/>
      <c r="O13" s="392"/>
    </row>
    <row r="14" spans="1:15" ht="33.6" customHeight="1" x14ac:dyDescent="0.3">
      <c r="A14" s="386"/>
      <c r="B14" s="387"/>
      <c r="C14" s="387"/>
      <c r="D14" s="387"/>
      <c r="E14" s="387"/>
      <c r="F14" s="388"/>
      <c r="H14" s="386"/>
      <c r="I14" s="387"/>
      <c r="J14" s="387"/>
      <c r="K14" s="387"/>
      <c r="L14" s="387"/>
      <c r="M14" s="387"/>
      <c r="N14" s="387"/>
      <c r="O14" s="388"/>
    </row>
    <row r="16" spans="1:15" ht="14.4" thickBot="1" x14ac:dyDescent="0.35"/>
    <row r="17" spans="1:4" ht="16.8" customHeight="1" x14ac:dyDescent="0.3">
      <c r="A17" s="366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67"/>
      <c r="B18" s="102">
        <v>0</v>
      </c>
      <c r="C18" s="103">
        <v>200000000</v>
      </c>
      <c r="D18" s="26">
        <v>20</v>
      </c>
    </row>
    <row r="20" spans="1:4" x14ac:dyDescent="0.3">
      <c r="A20" s="342" t="s">
        <v>37</v>
      </c>
      <c r="B20" s="342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Charts - Idvl</vt:lpstr>
      <vt:lpstr>Chart - Combined</vt:lpstr>
      <vt:lpstr>JJ_Notes_1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2013-05-11T19:16:17Z</dcterms:modified>
</cp:coreProperties>
</file>