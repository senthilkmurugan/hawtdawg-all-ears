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4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6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7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8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9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11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2.xml" ContentType="application/vnd.openxmlformats-officedocument.drawing+xml"/>
  <Override PartName="/xl/charts/chart37.xml" ContentType="application/vnd.openxmlformats-officedocument.drawingml.chart+xml"/>
  <Override PartName="/xl/drawings/drawing13.xml" ContentType="application/vnd.openxmlformats-officedocument.drawing+xml"/>
  <Override PartName="/xl/charts/chart38.xml" ContentType="application/vnd.openxmlformats-officedocument.drawingml.chart+xml"/>
  <Override PartName="/xl/drawings/drawing14.xml" ContentType="application/vnd.openxmlformats-officedocument.drawing+xml"/>
  <Override PartName="/xl/charts/chart39.xml" ContentType="application/vnd.openxmlformats-officedocument.drawingml.chart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2" windowWidth="15576" windowHeight="7416" tabRatio="906" firstSheet="4" activeTab="14"/>
  </bookViews>
  <sheets>
    <sheet name="Charts - Idvl" sheetId="35" r:id="rId1"/>
    <sheet name="Charts - Idvl IRev" sheetId="38" r:id="rId2"/>
    <sheet name="Chart - Combined" sheetId="36" r:id="rId3"/>
    <sheet name="JJ_Notes_1" sheetId="24" r:id="rId4"/>
    <sheet name="Case Notes" sheetId="37" r:id="rId5"/>
    <sheet name="JJ_Optim_Scenario" sheetId="23" r:id="rId6"/>
    <sheet name="JANSample" sheetId="25" r:id="rId7"/>
    <sheet name="JMTSample" sheetId="26" r:id="rId8"/>
    <sheet name="TOTSample" sheetId="27" r:id="rId9"/>
    <sheet name="JJVCH" sheetId="29" r:id="rId10"/>
    <sheet name="JJMMF" sheetId="30" r:id="rId11"/>
    <sheet name="JJHCC" sheetId="31" r:id="rId12"/>
    <sheet name="JJMCM" sheetId="32" r:id="rId13"/>
    <sheet name="JJHCC_ACQ" sheetId="33" r:id="rId14"/>
    <sheet name="JJHCC_ADH" sheetId="34" r:id="rId15"/>
    <sheet name="Fn.Templates ==&gt;" sheetId="3" r:id="rId16"/>
    <sheet name="FT_SCurveEst" sheetId="2" r:id="rId17"/>
    <sheet name="FT_Equation" sheetId="4" r:id="rId18"/>
    <sheet name="FT_Interpolate" sheetId="5" r:id="rId19"/>
    <sheet name="FT_SCurve3Est" sheetId="13" r:id="rId20"/>
  </sheets>
  <functionGroups builtInGroupCount="17"/>
  <externalReferences>
    <externalReference r:id="rId21"/>
  </externalReferences>
  <definedNames>
    <definedName name="solver_adj" localSheetId="5" hidden="1">JJ_Optim_Scenario!$I$17:$I$24</definedName>
    <definedName name="solver_cvg" localSheetId="5" hidden="1">0.00001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JJ_Optim_Scenario!$I$17:$I$24</definedName>
    <definedName name="solver_lhs2" localSheetId="5" hidden="1">JJ_Optim_Scenario!$I$17:$I$24</definedName>
    <definedName name="solver_lhs3" localSheetId="5" hidden="1">JJ_Optim_Scenario!$I$25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3</definedName>
    <definedName name="solver_nwt" localSheetId="5" hidden="1">1</definedName>
    <definedName name="solver_opt" localSheetId="5" hidden="1">JJ_Optim_Scenario!$B$9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2" localSheetId="5" hidden="1">3</definedName>
    <definedName name="solver_rel3" localSheetId="5" hidden="1">2</definedName>
    <definedName name="solver_rhs1" localSheetId="5" hidden="1">JJ_Optim_Scenario!$H$17:$H$24</definedName>
    <definedName name="solver_rhs2" localSheetId="5" hidden="1">JJ_Optim_Scenario!$G$17:$G$24</definedName>
    <definedName name="solver_rhs3" localSheetId="5" hidden="1">JJ_Optim_Scenario!$B$12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1</definedName>
    <definedName name="solver_val" localSheetId="5" hidden="1">0</definedName>
    <definedName name="solver_ver" localSheetId="5" hidden="1">3</definedName>
  </definedNames>
  <calcPr calcId="145621"/>
</workbook>
</file>

<file path=xl/calcChain.xml><?xml version="1.0" encoding="utf-8"?>
<calcChain xmlns="http://schemas.openxmlformats.org/spreadsheetml/2006/main">
  <c r="G17" i="23" l="1"/>
  <c r="H17" i="23"/>
  <c r="G18" i="23"/>
  <c r="H18" i="23"/>
  <c r="G19" i="23"/>
  <c r="H19" i="23"/>
  <c r="G20" i="23"/>
  <c r="H20" i="23"/>
  <c r="G21" i="23"/>
  <c r="H21" i="23"/>
  <c r="G22" i="23"/>
  <c r="H22" i="23"/>
  <c r="G23" i="23"/>
  <c r="G24" i="23"/>
  <c r="H24" i="23"/>
  <c r="E27" i="37"/>
  <c r="C27" i="37"/>
  <c r="C26" i="37"/>
  <c r="C28" i="37" s="1"/>
  <c r="C29" i="37" s="1"/>
  <c r="E23" i="37"/>
  <c r="D23" i="37"/>
  <c r="D25" i="37"/>
  <c r="E25" i="37"/>
  <c r="C25" i="37"/>
  <c r="E24" i="37"/>
  <c r="C24" i="37"/>
  <c r="C23" i="37"/>
  <c r="B28" i="37"/>
  <c r="C22" i="37"/>
  <c r="E22" i="37" s="1"/>
  <c r="E20" i="37"/>
  <c r="E21" i="37"/>
  <c r="C21" i="37"/>
  <c r="C20" i="37"/>
  <c r="D24" i="37"/>
  <c r="D26" i="37"/>
  <c r="D28" i="37" s="1"/>
  <c r="D27" i="37"/>
  <c r="D22" i="37"/>
  <c r="D20" i="37"/>
  <c r="D21" i="37"/>
  <c r="G15" i="37"/>
  <c r="G54" i="24"/>
  <c r="E26" i="37" l="1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22" i="32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22" i="31"/>
  <c r="D24" i="29"/>
  <c r="D25" i="29"/>
  <c r="D26" i="29"/>
  <c r="D27" i="29"/>
  <c r="D28" i="29"/>
  <c r="D29" i="29"/>
  <c r="D30" i="29"/>
  <c r="D31" i="29"/>
  <c r="D32" i="29"/>
  <c r="D33" i="29"/>
  <c r="D34" i="29"/>
  <c r="D35" i="29"/>
  <c r="D36" i="29"/>
  <c r="D37" i="29"/>
  <c r="D38" i="29"/>
  <c r="D39" i="29"/>
  <c r="D40" i="29"/>
  <c r="D41" i="29"/>
  <c r="D42" i="29"/>
  <c r="D43" i="29"/>
  <c r="D23" i="29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23" i="27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23" i="26"/>
  <c r="H14" i="34"/>
  <c r="G14" i="34"/>
  <c r="H14" i="33"/>
  <c r="G14" i="33"/>
  <c r="H14" i="32"/>
  <c r="G14" i="32"/>
  <c r="H14" i="31"/>
  <c r="G14" i="31"/>
  <c r="E12" i="30"/>
  <c r="D12" i="30"/>
  <c r="I13" i="29"/>
  <c r="H13" i="29"/>
  <c r="I13" i="27"/>
  <c r="H13" i="27"/>
  <c r="I13" i="26"/>
  <c r="H13" i="26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I13" i="25"/>
  <c r="H13" i="25"/>
  <c r="H23" i="23" l="1"/>
  <c r="E28" i="37"/>
  <c r="D9" i="34"/>
  <c r="C9" i="34"/>
  <c r="B9" i="34"/>
  <c r="D9" i="33"/>
  <c r="C9" i="33"/>
  <c r="B9" i="33"/>
  <c r="D9" i="32"/>
  <c r="C9" i="32"/>
  <c r="B9" i="32"/>
  <c r="D9" i="31"/>
  <c r="C9" i="31"/>
  <c r="B9" i="31"/>
  <c r="D9" i="30"/>
  <c r="C9" i="30"/>
  <c r="B9" i="30"/>
  <c r="D9" i="29"/>
  <c r="C9" i="29"/>
  <c r="B9" i="29"/>
  <c r="D9" i="26"/>
  <c r="C9" i="26"/>
  <c r="B9" i="26"/>
  <c r="D9" i="25"/>
  <c r="C9" i="25"/>
  <c r="B9" i="25"/>
  <c r="I12" i="34"/>
  <c r="I12" i="33"/>
  <c r="I12" i="32"/>
  <c r="I12" i="31"/>
  <c r="C12" i="30"/>
  <c r="G13" i="29"/>
  <c r="G13" i="26"/>
  <c r="G13" i="25"/>
  <c r="G9" i="34"/>
  <c r="G9" i="33"/>
  <c r="G9" i="32"/>
  <c r="G9" i="31"/>
  <c r="G9" i="30"/>
  <c r="G9" i="29"/>
  <c r="G9" i="26"/>
  <c r="D35" i="23"/>
  <c r="F17" i="23"/>
  <c r="G9" i="25"/>
  <c r="F34" i="23"/>
  <c r="G34" i="23" s="1"/>
  <c r="I31" i="23"/>
  <c r="H41" i="23"/>
  <c r="K41" i="23" s="1"/>
  <c r="M41" i="23" s="1"/>
  <c r="H40" i="23"/>
  <c r="H39" i="23"/>
  <c r="K39" i="23" s="1"/>
  <c r="M39" i="23" s="1"/>
  <c r="H38" i="23"/>
  <c r="K38" i="23" s="1"/>
  <c r="M38" i="23" s="1"/>
  <c r="H37" i="23"/>
  <c r="K37" i="23" s="1"/>
  <c r="M37" i="23" s="1"/>
  <c r="H36" i="23"/>
  <c r="K36" i="23" s="1"/>
  <c r="M36" i="23" s="1"/>
  <c r="H35" i="23"/>
  <c r="H34" i="23"/>
  <c r="I25" i="23"/>
  <c r="D34" i="23"/>
  <c r="D36" i="23"/>
  <c r="D37" i="23"/>
  <c r="D38" i="23"/>
  <c r="D39" i="23"/>
  <c r="D40" i="23"/>
  <c r="D41" i="23"/>
  <c r="C32" i="23"/>
  <c r="C33" i="23"/>
  <c r="C34" i="23"/>
  <c r="C35" i="23"/>
  <c r="C36" i="23"/>
  <c r="C37" i="23"/>
  <c r="C38" i="23"/>
  <c r="C39" i="23"/>
  <c r="C40" i="23"/>
  <c r="C41" i="23"/>
  <c r="C42" i="23"/>
  <c r="E25" i="23"/>
  <c r="K40" i="23" l="1"/>
  <c r="M40" i="23" s="1"/>
  <c r="H42" i="23"/>
  <c r="K34" i="23"/>
  <c r="M34" i="23" s="1"/>
  <c r="D42" i="23"/>
  <c r="K35" i="23"/>
  <c r="M35" i="23" s="1"/>
  <c r="K42" i="23" l="1"/>
  <c r="M42" i="23" s="1"/>
  <c r="C16" i="24"/>
  <c r="E9" i="24" a="1"/>
  <c r="E9" i="24" s="1"/>
  <c r="D9" i="24" s="1"/>
  <c r="D8" i="24"/>
  <c r="E10" i="24"/>
  <c r="K24" i="23" l="1"/>
  <c r="K23" i="23"/>
  <c r="M24" i="23" l="1"/>
  <c r="M23" i="23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O12" i="34"/>
  <c r="N12" i="34"/>
  <c r="L12" i="34"/>
  <c r="M12" i="34" s="1"/>
  <c r="H12" i="34"/>
  <c r="H12" i="32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B25" i="31"/>
  <c r="B24" i="31"/>
  <c r="B23" i="31"/>
  <c r="B22" i="31"/>
  <c r="H9" i="31"/>
  <c r="I9" i="31" s="1"/>
  <c r="H12" i="31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O12" i="33"/>
  <c r="N12" i="33"/>
  <c r="L12" i="33"/>
  <c r="M12" i="33" s="1"/>
  <c r="P12" i="33" s="1"/>
  <c r="H12" i="33"/>
  <c r="A22" i="32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O12" i="32"/>
  <c r="N12" i="32"/>
  <c r="L12" i="32"/>
  <c r="M12" i="32" s="1"/>
  <c r="P12" i="32" s="1"/>
  <c r="A22" i="3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O12" i="31"/>
  <c r="N12" i="31"/>
  <c r="M12" i="31"/>
  <c r="P12" i="31" s="1"/>
  <c r="L12" i="31"/>
  <c r="E9" i="31"/>
  <c r="J9" i="31" l="1"/>
  <c r="F21" i="23"/>
  <c r="F38" i="23" s="1"/>
  <c r="G38" i="23" s="1"/>
  <c r="R12" i="34"/>
  <c r="P12" i="34"/>
  <c r="Q12" i="34" s="1"/>
  <c r="Q12" i="33"/>
  <c r="R12" i="33"/>
  <c r="Q12" i="32"/>
  <c r="R12" i="32"/>
  <c r="Q12" i="31"/>
  <c r="R12" i="31"/>
  <c r="D16" i="30"/>
  <c r="D20" i="30"/>
  <c r="D19" i="30"/>
  <c r="D18" i="30"/>
  <c r="D17" i="30"/>
  <c r="D14" i="30"/>
  <c r="D15" i="30"/>
  <c r="C20" i="30"/>
  <c r="C19" i="30"/>
  <c r="C18" i="30"/>
  <c r="C17" i="30"/>
  <c r="C15" i="30"/>
  <c r="J9" i="29"/>
  <c r="J9" i="27"/>
  <c r="A30" i="30"/>
  <c r="A31" i="30" s="1"/>
  <c r="A24" i="29"/>
  <c r="A25" i="29" s="1"/>
  <c r="B23" i="29"/>
  <c r="A23" i="29"/>
  <c r="C23" i="29" s="1"/>
  <c r="I9" i="29"/>
  <c r="F19" i="23" s="1"/>
  <c r="F36" i="23" s="1"/>
  <c r="G36" i="23" s="1"/>
  <c r="H9" i="29"/>
  <c r="F9" i="29"/>
  <c r="J19" i="23" s="1"/>
  <c r="I36" i="23" s="1"/>
  <c r="J36" i="23" s="1"/>
  <c r="E9" i="29"/>
  <c r="A24" i="27"/>
  <c r="A25" i="27" s="1"/>
  <c r="B23" i="27"/>
  <c r="A23" i="27"/>
  <c r="C23" i="27" s="1"/>
  <c r="I9" i="27"/>
  <c r="H9" i="27"/>
  <c r="F9" i="27"/>
  <c r="E9" i="27"/>
  <c r="A23" i="26"/>
  <c r="B23" i="26" s="1"/>
  <c r="I9" i="26"/>
  <c r="F18" i="23" s="1"/>
  <c r="H9" i="26"/>
  <c r="F9" i="26"/>
  <c r="J18" i="23" s="1"/>
  <c r="I35" i="23" s="1"/>
  <c r="J35" i="23" s="1"/>
  <c r="E9" i="26"/>
  <c r="B24" i="25"/>
  <c r="C24" i="25"/>
  <c r="B25" i="25"/>
  <c r="C25" i="25"/>
  <c r="B26" i="25"/>
  <c r="C26" i="25"/>
  <c r="B27" i="25"/>
  <c r="C27" i="25"/>
  <c r="B28" i="25"/>
  <c r="C28" i="25"/>
  <c r="B29" i="25"/>
  <c r="C29" i="25"/>
  <c r="B30" i="25"/>
  <c r="C30" i="25"/>
  <c r="B31" i="25"/>
  <c r="C31" i="25"/>
  <c r="B32" i="25"/>
  <c r="C32" i="25"/>
  <c r="B33" i="25"/>
  <c r="C33" i="25"/>
  <c r="B34" i="25"/>
  <c r="C34" i="25"/>
  <c r="B35" i="25"/>
  <c r="C35" i="25"/>
  <c r="B36" i="25"/>
  <c r="C36" i="25"/>
  <c r="B37" i="25"/>
  <c r="C37" i="25"/>
  <c r="B38" i="25"/>
  <c r="C38" i="25"/>
  <c r="B39" i="25"/>
  <c r="C39" i="25"/>
  <c r="B40" i="25"/>
  <c r="C40" i="25"/>
  <c r="B41" i="25"/>
  <c r="C41" i="25"/>
  <c r="B42" i="25"/>
  <c r="C42" i="25"/>
  <c r="B43" i="25"/>
  <c r="C43" i="25"/>
  <c r="C23" i="25"/>
  <c r="B23" i="25"/>
  <c r="I9" i="25"/>
  <c r="J9" i="25" s="1"/>
  <c r="H9" i="25"/>
  <c r="F9" i="25"/>
  <c r="J17" i="23" s="1"/>
  <c r="I34" i="23" s="1"/>
  <c r="J34" i="23" s="1"/>
  <c r="E9" i="25"/>
  <c r="A24" i="25"/>
  <c r="A25" i="25" s="1"/>
  <c r="A23" i="25"/>
  <c r="K22" i="23"/>
  <c r="K21" i="23"/>
  <c r="K20" i="23"/>
  <c r="K19" i="23"/>
  <c r="K18" i="23"/>
  <c r="K17" i="23"/>
  <c r="H14" i="30" a="1"/>
  <c r="B41" i="33" l="1"/>
  <c r="E41" i="33" s="1"/>
  <c r="B37" i="33"/>
  <c r="E37" i="33" s="1"/>
  <c r="B33" i="33"/>
  <c r="E33" i="33" s="1"/>
  <c r="B29" i="33"/>
  <c r="E29" i="33" s="1"/>
  <c r="B25" i="33"/>
  <c r="E25" i="33" s="1"/>
  <c r="H9" i="33"/>
  <c r="I9" i="33" s="1"/>
  <c r="B36" i="33"/>
  <c r="E36" i="33" s="1"/>
  <c r="B28" i="33"/>
  <c r="E28" i="33" s="1"/>
  <c r="E9" i="33"/>
  <c r="F9" i="33" s="1"/>
  <c r="J23" i="23" s="1"/>
  <c r="B39" i="33"/>
  <c r="E39" i="33" s="1"/>
  <c r="B35" i="33"/>
  <c r="E35" i="33" s="1"/>
  <c r="B31" i="33"/>
  <c r="E31" i="33" s="1"/>
  <c r="B27" i="33"/>
  <c r="E27" i="33" s="1"/>
  <c r="B23" i="33"/>
  <c r="E23" i="33" s="1"/>
  <c r="B42" i="33"/>
  <c r="E42" i="33" s="1"/>
  <c r="B38" i="33"/>
  <c r="E38" i="33" s="1"/>
  <c r="B34" i="33"/>
  <c r="E34" i="33" s="1"/>
  <c r="B30" i="33"/>
  <c r="E30" i="33" s="1"/>
  <c r="B26" i="33"/>
  <c r="E26" i="33" s="1"/>
  <c r="B22" i="33"/>
  <c r="E22" i="33" s="1"/>
  <c r="B40" i="33"/>
  <c r="E40" i="33" s="1"/>
  <c r="B32" i="33"/>
  <c r="E32" i="33" s="1"/>
  <c r="B24" i="33"/>
  <c r="E24" i="33" s="1"/>
  <c r="K25" i="23"/>
  <c r="M25" i="23" s="1"/>
  <c r="B41" i="32"/>
  <c r="B37" i="32"/>
  <c r="B33" i="32"/>
  <c r="B29" i="32"/>
  <c r="B25" i="32"/>
  <c r="H9" i="32"/>
  <c r="I9" i="32" s="1"/>
  <c r="B40" i="32"/>
  <c r="B36" i="32"/>
  <c r="B32" i="32"/>
  <c r="B28" i="32"/>
  <c r="B24" i="32"/>
  <c r="B39" i="32"/>
  <c r="B35" i="32"/>
  <c r="B31" i="32"/>
  <c r="B27" i="32"/>
  <c r="B23" i="32"/>
  <c r="E9" i="32"/>
  <c r="F9" i="32" s="1"/>
  <c r="J22" i="23" s="1"/>
  <c r="I39" i="23" s="1"/>
  <c r="J39" i="23" s="1"/>
  <c r="B42" i="32"/>
  <c r="B38" i="32"/>
  <c r="B34" i="32"/>
  <c r="B30" i="32"/>
  <c r="B26" i="32"/>
  <c r="B22" i="32"/>
  <c r="C22" i="32" s="1"/>
  <c r="F35" i="23"/>
  <c r="G35" i="23" s="1"/>
  <c r="J9" i="26"/>
  <c r="G25" i="23"/>
  <c r="H25" i="23"/>
  <c r="M18" i="23"/>
  <c r="M20" i="23"/>
  <c r="M21" i="23"/>
  <c r="M22" i="23"/>
  <c r="L19" i="23"/>
  <c r="N19" i="23" s="1"/>
  <c r="M19" i="23"/>
  <c r="L36" i="23"/>
  <c r="N36" i="23" s="1"/>
  <c r="M17" i="23"/>
  <c r="B42" i="34"/>
  <c r="E42" i="34" s="1"/>
  <c r="B41" i="34"/>
  <c r="E41" i="34" s="1"/>
  <c r="B40" i="34"/>
  <c r="E40" i="34" s="1"/>
  <c r="B39" i="34"/>
  <c r="E39" i="34" s="1"/>
  <c r="B38" i="34"/>
  <c r="E38" i="34" s="1"/>
  <c r="B37" i="34"/>
  <c r="E37" i="34" s="1"/>
  <c r="B36" i="34"/>
  <c r="E36" i="34" s="1"/>
  <c r="B35" i="34"/>
  <c r="E35" i="34" s="1"/>
  <c r="B34" i="34"/>
  <c r="E34" i="34" s="1"/>
  <c r="B33" i="34"/>
  <c r="E33" i="34" s="1"/>
  <c r="B32" i="34"/>
  <c r="E32" i="34" s="1"/>
  <c r="B31" i="34"/>
  <c r="E31" i="34" s="1"/>
  <c r="B30" i="34"/>
  <c r="E30" i="34" s="1"/>
  <c r="B29" i="34"/>
  <c r="E29" i="34" s="1"/>
  <c r="B28" i="34"/>
  <c r="E28" i="34" s="1"/>
  <c r="B27" i="34"/>
  <c r="E27" i="34" s="1"/>
  <c r="B26" i="34"/>
  <c r="E26" i="34" s="1"/>
  <c r="B25" i="34"/>
  <c r="E25" i="34" s="1"/>
  <c r="B24" i="34"/>
  <c r="E24" i="34" s="1"/>
  <c r="B23" i="34"/>
  <c r="E23" i="34" s="1"/>
  <c r="B22" i="34"/>
  <c r="E9" i="34"/>
  <c r="F9" i="34" s="1"/>
  <c r="J24" i="23" s="1"/>
  <c r="I41" i="23" s="1"/>
  <c r="J41" i="23" s="1"/>
  <c r="H9" i="34"/>
  <c r="I9" i="34" s="1"/>
  <c r="C22" i="33"/>
  <c r="C22" i="31"/>
  <c r="F9" i="31"/>
  <c r="J21" i="23" s="1"/>
  <c r="I38" i="23" s="1"/>
  <c r="J38" i="23" s="1"/>
  <c r="L38" i="23" s="1"/>
  <c r="N38" i="23" s="1"/>
  <c r="A32" i="30"/>
  <c r="K14" i="30"/>
  <c r="O14" i="30"/>
  <c r="K15" i="30"/>
  <c r="O15" i="30"/>
  <c r="K16" i="30"/>
  <c r="O16" i="30"/>
  <c r="K17" i="30"/>
  <c r="O17" i="30"/>
  <c r="K18" i="30"/>
  <c r="O18" i="30"/>
  <c r="K19" i="30"/>
  <c r="O19" i="30"/>
  <c r="K20" i="30"/>
  <c r="O20" i="30"/>
  <c r="M14" i="30"/>
  <c r="N14" i="30"/>
  <c r="H14" i="30"/>
  <c r="L14" i="30"/>
  <c r="H15" i="30"/>
  <c r="L15" i="30"/>
  <c r="H16" i="30"/>
  <c r="L16" i="30"/>
  <c r="H17" i="30"/>
  <c r="L17" i="30"/>
  <c r="H18" i="30"/>
  <c r="L18" i="30"/>
  <c r="H19" i="30"/>
  <c r="L19" i="30"/>
  <c r="H20" i="30"/>
  <c r="L20" i="30"/>
  <c r="I14" i="30"/>
  <c r="I15" i="30"/>
  <c r="M15" i="30"/>
  <c r="I16" i="30"/>
  <c r="M16" i="30"/>
  <c r="I17" i="30"/>
  <c r="M17" i="30"/>
  <c r="I18" i="30"/>
  <c r="M18" i="30"/>
  <c r="I19" i="30"/>
  <c r="M19" i="30"/>
  <c r="I20" i="30"/>
  <c r="M20" i="30"/>
  <c r="J14" i="30"/>
  <c r="J15" i="30"/>
  <c r="N15" i="30"/>
  <c r="J16" i="30"/>
  <c r="N16" i="30"/>
  <c r="J17" i="30"/>
  <c r="N17" i="30"/>
  <c r="J18" i="30"/>
  <c r="N18" i="30"/>
  <c r="J19" i="30"/>
  <c r="N19" i="30"/>
  <c r="J20" i="30"/>
  <c r="N20" i="30"/>
  <c r="C24" i="29"/>
  <c r="A26" i="29"/>
  <c r="C25" i="29"/>
  <c r="B25" i="29"/>
  <c r="B24" i="29"/>
  <c r="C24" i="27"/>
  <c r="A26" i="27"/>
  <c r="C25" i="27"/>
  <c r="B25" i="27"/>
  <c r="B24" i="27"/>
  <c r="C23" i="26"/>
  <c r="A24" i="26"/>
  <c r="A26" i="25"/>
  <c r="B31" i="30"/>
  <c r="B30" i="30"/>
  <c r="B32" i="30"/>
  <c r="H9" i="30"/>
  <c r="E9" i="30"/>
  <c r="C22" i="34" l="1"/>
  <c r="E22" i="34"/>
  <c r="F23" i="23"/>
  <c r="F40" i="23" s="1"/>
  <c r="G40" i="23" s="1"/>
  <c r="J9" i="33"/>
  <c r="D32" i="30"/>
  <c r="D30" i="30"/>
  <c r="D31" i="30"/>
  <c r="L21" i="23"/>
  <c r="N21" i="23" s="1"/>
  <c r="I40" i="23"/>
  <c r="J40" i="23" s="1"/>
  <c r="F22" i="23"/>
  <c r="J9" i="32"/>
  <c r="J9" i="34"/>
  <c r="F24" i="23"/>
  <c r="L35" i="23"/>
  <c r="N35" i="23" s="1"/>
  <c r="L34" i="23"/>
  <c r="N34" i="23" s="1"/>
  <c r="D28" i="34"/>
  <c r="C28" i="34"/>
  <c r="C32" i="34"/>
  <c r="D32" i="34"/>
  <c r="D40" i="34"/>
  <c r="C40" i="34"/>
  <c r="C25" i="34"/>
  <c r="D25" i="34"/>
  <c r="C29" i="34"/>
  <c r="D29" i="34"/>
  <c r="D37" i="34"/>
  <c r="C37" i="34"/>
  <c r="D41" i="34"/>
  <c r="C41" i="34"/>
  <c r="D23" i="34"/>
  <c r="C23" i="34"/>
  <c r="C27" i="34"/>
  <c r="D27" i="34"/>
  <c r="D31" i="34"/>
  <c r="C31" i="34"/>
  <c r="D35" i="34"/>
  <c r="C35" i="34"/>
  <c r="C39" i="34"/>
  <c r="D39" i="34"/>
  <c r="D24" i="34"/>
  <c r="C24" i="34"/>
  <c r="D36" i="34"/>
  <c r="C36" i="34"/>
  <c r="D33" i="34"/>
  <c r="C33" i="34"/>
  <c r="D26" i="34"/>
  <c r="C26" i="34"/>
  <c r="D30" i="34"/>
  <c r="C30" i="34"/>
  <c r="C34" i="34"/>
  <c r="D34" i="34"/>
  <c r="D38" i="34"/>
  <c r="C38" i="34"/>
  <c r="C42" i="34"/>
  <c r="D42" i="34"/>
  <c r="C38" i="33"/>
  <c r="D38" i="33"/>
  <c r="C24" i="33"/>
  <c r="D24" i="33"/>
  <c r="C28" i="33"/>
  <c r="D28" i="33"/>
  <c r="C32" i="33"/>
  <c r="D32" i="33"/>
  <c r="C36" i="33"/>
  <c r="D36" i="33"/>
  <c r="C40" i="33"/>
  <c r="D40" i="33"/>
  <c r="C25" i="33"/>
  <c r="D25" i="33"/>
  <c r="C29" i="33"/>
  <c r="D29" i="33"/>
  <c r="C33" i="33"/>
  <c r="D33" i="33"/>
  <c r="C37" i="33"/>
  <c r="D37" i="33"/>
  <c r="C41" i="33"/>
  <c r="D41" i="33"/>
  <c r="C26" i="33"/>
  <c r="D26" i="33"/>
  <c r="C30" i="33"/>
  <c r="D30" i="33"/>
  <c r="C34" i="33"/>
  <c r="D34" i="33"/>
  <c r="C42" i="33"/>
  <c r="D42" i="33"/>
  <c r="C23" i="33"/>
  <c r="D23" i="33"/>
  <c r="C27" i="33"/>
  <c r="D27" i="33"/>
  <c r="C31" i="33"/>
  <c r="D31" i="33"/>
  <c r="C35" i="33"/>
  <c r="D35" i="33"/>
  <c r="C39" i="33"/>
  <c r="D39" i="33"/>
  <c r="C26" i="32"/>
  <c r="D26" i="32"/>
  <c r="C30" i="32"/>
  <c r="D30" i="32"/>
  <c r="C38" i="32"/>
  <c r="D38" i="32"/>
  <c r="C42" i="32"/>
  <c r="D42" i="32"/>
  <c r="C24" i="32"/>
  <c r="D24" i="32"/>
  <c r="C28" i="32"/>
  <c r="D28" i="32"/>
  <c r="C32" i="32"/>
  <c r="D32" i="32"/>
  <c r="C36" i="32"/>
  <c r="D36" i="32"/>
  <c r="C40" i="32"/>
  <c r="D40" i="32"/>
  <c r="C25" i="32"/>
  <c r="D25" i="32"/>
  <c r="C29" i="32"/>
  <c r="D29" i="32"/>
  <c r="C33" i="32"/>
  <c r="D33" i="32"/>
  <c r="C37" i="32"/>
  <c r="D37" i="32"/>
  <c r="C41" i="32"/>
  <c r="D41" i="32"/>
  <c r="C34" i="32"/>
  <c r="D34" i="32"/>
  <c r="C23" i="32"/>
  <c r="D23" i="32"/>
  <c r="C27" i="32"/>
  <c r="D27" i="32"/>
  <c r="C31" i="32"/>
  <c r="D31" i="32"/>
  <c r="C35" i="32"/>
  <c r="D35" i="32"/>
  <c r="C39" i="32"/>
  <c r="D39" i="32"/>
  <c r="C30" i="30"/>
  <c r="C31" i="30"/>
  <c r="I9" i="30"/>
  <c r="F9" i="30"/>
  <c r="J20" i="23" s="1"/>
  <c r="I37" i="23" s="1"/>
  <c r="J37" i="23" s="1"/>
  <c r="C30" i="31"/>
  <c r="D30" i="31"/>
  <c r="C38" i="31"/>
  <c r="D38" i="31"/>
  <c r="C24" i="31"/>
  <c r="D24" i="31"/>
  <c r="C28" i="31"/>
  <c r="D28" i="31"/>
  <c r="C32" i="31"/>
  <c r="D32" i="31"/>
  <c r="C36" i="31"/>
  <c r="D36" i="31"/>
  <c r="C40" i="31"/>
  <c r="D40" i="31"/>
  <c r="C25" i="31"/>
  <c r="D25" i="31"/>
  <c r="C29" i="31"/>
  <c r="D29" i="31"/>
  <c r="C33" i="31"/>
  <c r="D33" i="31"/>
  <c r="C37" i="31"/>
  <c r="D37" i="31"/>
  <c r="C41" i="31"/>
  <c r="D41" i="31"/>
  <c r="C26" i="31"/>
  <c r="D26" i="31"/>
  <c r="C34" i="31"/>
  <c r="D34" i="31"/>
  <c r="C42" i="31"/>
  <c r="D42" i="31"/>
  <c r="C23" i="31"/>
  <c r="D23" i="31"/>
  <c r="C27" i="31"/>
  <c r="D27" i="31"/>
  <c r="C31" i="31"/>
  <c r="D31" i="31"/>
  <c r="C35" i="31"/>
  <c r="D35" i="31"/>
  <c r="C39" i="31"/>
  <c r="D39" i="31"/>
  <c r="C32" i="30"/>
  <c r="A33" i="30"/>
  <c r="B26" i="29"/>
  <c r="A27" i="29"/>
  <c r="C26" i="29"/>
  <c r="B26" i="27"/>
  <c r="A27" i="27"/>
  <c r="C26" i="27"/>
  <c r="C24" i="26"/>
  <c r="B24" i="26"/>
  <c r="A25" i="26"/>
  <c r="A27" i="25"/>
  <c r="B33" i="30"/>
  <c r="L23" i="23" l="1"/>
  <c r="N23" i="23" s="1"/>
  <c r="L40" i="23"/>
  <c r="N40" i="23" s="1"/>
  <c r="D33" i="30"/>
  <c r="J43" i="23"/>
  <c r="J45" i="23"/>
  <c r="J44" i="23"/>
  <c r="J42" i="23"/>
  <c r="F39" i="23"/>
  <c r="G39" i="23" s="1"/>
  <c r="L39" i="23" s="1"/>
  <c r="N39" i="23" s="1"/>
  <c r="L22" i="23"/>
  <c r="N22" i="23" s="1"/>
  <c r="F41" i="23"/>
  <c r="G41" i="23" s="1"/>
  <c r="L41" i="23" s="1"/>
  <c r="N41" i="23" s="1"/>
  <c r="L24" i="23"/>
  <c r="N24" i="23" s="1"/>
  <c r="J9" i="30"/>
  <c r="F20" i="23"/>
  <c r="C33" i="30"/>
  <c r="A34" i="30"/>
  <c r="C27" i="29"/>
  <c r="B27" i="29"/>
  <c r="A28" i="29"/>
  <c r="C27" i="27"/>
  <c r="B27" i="27"/>
  <c r="A28" i="27"/>
  <c r="A26" i="26"/>
  <c r="C25" i="26"/>
  <c r="B25" i="26"/>
  <c r="A28" i="25"/>
  <c r="B34" i="30"/>
  <c r="D34" i="30" l="1"/>
  <c r="F37" i="23"/>
  <c r="G37" i="23" s="1"/>
  <c r="F25" i="23"/>
  <c r="L20" i="23"/>
  <c r="C34" i="30"/>
  <c r="A35" i="30"/>
  <c r="A29" i="29"/>
  <c r="C28" i="29"/>
  <c r="B28" i="29"/>
  <c r="A29" i="27"/>
  <c r="C28" i="27"/>
  <c r="B28" i="27"/>
  <c r="A27" i="26"/>
  <c r="C26" i="26"/>
  <c r="B26" i="26"/>
  <c r="A29" i="25"/>
  <c r="A23" i="13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22" i="13"/>
  <c r="L12" i="13"/>
  <c r="K12" i="13"/>
  <c r="J12" i="13"/>
  <c r="M12" i="13" s="1"/>
  <c r="I12" i="13"/>
  <c r="G9" i="13"/>
  <c r="F9" i="13"/>
  <c r="D9" i="13" s="1"/>
  <c r="C9" i="13"/>
  <c r="B9" i="13"/>
  <c r="B35" i="30"/>
  <c r="D35" i="30" l="1"/>
  <c r="G44" i="23"/>
  <c r="G45" i="23"/>
  <c r="G43" i="23"/>
  <c r="N20" i="23"/>
  <c r="L37" i="23"/>
  <c r="G42" i="23"/>
  <c r="C35" i="30"/>
  <c r="A36" i="30"/>
  <c r="A30" i="29"/>
  <c r="C29" i="29"/>
  <c r="B29" i="29"/>
  <c r="A30" i="27"/>
  <c r="C29" i="27"/>
  <c r="B29" i="27"/>
  <c r="B27" i="26"/>
  <c r="A28" i="26"/>
  <c r="C27" i="26"/>
  <c r="A30" i="25"/>
  <c r="N12" i="13"/>
  <c r="O12" i="13"/>
  <c r="B36" i="30"/>
  <c r="D36" i="30" l="1"/>
  <c r="N37" i="23"/>
  <c r="L43" i="23"/>
  <c r="L45" i="23"/>
  <c r="L44" i="23"/>
  <c r="L42" i="23"/>
  <c r="C36" i="30"/>
  <c r="A37" i="30"/>
  <c r="B30" i="29"/>
  <c r="A31" i="29"/>
  <c r="C30" i="29"/>
  <c r="B30" i="27"/>
  <c r="A31" i="27"/>
  <c r="C30" i="27"/>
  <c r="C28" i="26"/>
  <c r="B28" i="26"/>
  <c r="A29" i="26"/>
  <c r="A31" i="25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B37" i="30"/>
  <c r="D37" i="30" l="1"/>
  <c r="M45" i="23"/>
  <c r="M44" i="23"/>
  <c r="M43" i="23"/>
  <c r="N42" i="23"/>
  <c r="N44" i="23" s="1"/>
  <c r="C37" i="30"/>
  <c r="A38" i="30"/>
  <c r="C31" i="29"/>
  <c r="B31" i="29"/>
  <c r="A32" i="29"/>
  <c r="C31" i="27"/>
  <c r="B31" i="27"/>
  <c r="A32" i="27"/>
  <c r="A30" i="26"/>
  <c r="C29" i="26"/>
  <c r="B29" i="26"/>
  <c r="A32" i="25"/>
  <c r="C33" i="13"/>
  <c r="C28" i="13"/>
  <c r="C23" i="13"/>
  <c r="C38" i="13"/>
  <c r="C29" i="13"/>
  <c r="C37" i="13"/>
  <c r="C34" i="13"/>
  <c r="C25" i="13"/>
  <c r="C41" i="13"/>
  <c r="B38" i="30"/>
  <c r="F12" i="5" a="1"/>
  <c r="N45" i="23" l="1"/>
  <c r="N43" i="23"/>
  <c r="D38" i="30"/>
  <c r="B9" i="23"/>
  <c r="J25" i="23"/>
  <c r="L18" i="23"/>
  <c r="N18" i="23" s="1"/>
  <c r="C38" i="30"/>
  <c r="A39" i="30"/>
  <c r="A33" i="29"/>
  <c r="C32" i="29"/>
  <c r="B32" i="29"/>
  <c r="A33" i="27"/>
  <c r="C32" i="27"/>
  <c r="B32" i="27"/>
  <c r="A31" i="26"/>
  <c r="C30" i="26"/>
  <c r="B30" i="26"/>
  <c r="A33" i="25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B23" i="4"/>
  <c r="G9" i="4"/>
  <c r="E9" i="4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A23" i="4"/>
  <c r="B31" i="5"/>
  <c r="B40" i="5"/>
  <c r="B29" i="5"/>
  <c r="B35" i="5"/>
  <c r="B27" i="5"/>
  <c r="B38" i="5"/>
  <c r="B44" i="5"/>
  <c r="E9" i="5"/>
  <c r="B36" i="5"/>
  <c r="B28" i="5"/>
  <c r="B41" i="5"/>
  <c r="B45" i="5"/>
  <c r="B43" i="5"/>
  <c r="B42" i="5"/>
  <c r="B37" i="5"/>
  <c r="B39" i="5"/>
  <c r="B46" i="5"/>
  <c r="B47" i="5"/>
  <c r="B34" i="5"/>
  <c r="B39" i="30"/>
  <c r="B33" i="5"/>
  <c r="B30" i="5"/>
  <c r="B32" i="5"/>
  <c r="D39" i="30" l="1"/>
  <c r="L25" i="23"/>
  <c r="N25" i="23" s="1"/>
  <c r="C39" i="30"/>
  <c r="A40" i="30"/>
  <c r="A34" i="29"/>
  <c r="C33" i="29"/>
  <c r="B33" i="29"/>
  <c r="A34" i="27"/>
  <c r="C33" i="27"/>
  <c r="B33" i="27"/>
  <c r="B31" i="26"/>
  <c r="A32" i="26"/>
  <c r="C31" i="26"/>
  <c r="A34" i="25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42" i="4"/>
  <c r="B27" i="4"/>
  <c r="B31" i="4"/>
  <c r="B35" i="4"/>
  <c r="B39" i="4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A41" i="2"/>
  <c r="A42" i="2"/>
  <c r="A34" i="2"/>
  <c r="A35" i="2" s="1"/>
  <c r="A36" i="2" s="1"/>
  <c r="A37" i="2" s="1"/>
  <c r="A38" i="2" s="1"/>
  <c r="A39" i="2" s="1"/>
  <c r="A40" i="2" s="1"/>
  <c r="A24" i="2"/>
  <c r="A25" i="2" s="1"/>
  <c r="A26" i="2" s="1"/>
  <c r="A27" i="2" s="1"/>
  <c r="A28" i="2" s="1"/>
  <c r="A29" i="2" s="1"/>
  <c r="A30" i="2" s="1"/>
  <c r="A31" i="2" s="1"/>
  <c r="A32" i="2" s="1"/>
  <c r="A33" i="2" s="1"/>
  <c r="B22" i="2"/>
  <c r="A23" i="2"/>
  <c r="A22" i="2"/>
  <c r="E9" i="2"/>
  <c r="J12" i="2"/>
  <c r="I12" i="2"/>
  <c r="H12" i="2"/>
  <c r="G9" i="2"/>
  <c r="F9" i="2"/>
  <c r="B40" i="30"/>
  <c r="D40" i="30" l="1"/>
  <c r="C40" i="30"/>
  <c r="A41" i="30"/>
  <c r="B34" i="29"/>
  <c r="A35" i="29"/>
  <c r="C34" i="29"/>
  <c r="B34" i="27"/>
  <c r="A35" i="27"/>
  <c r="C34" i="27"/>
  <c r="C32" i="26"/>
  <c r="B32" i="26"/>
  <c r="A33" i="26"/>
  <c r="A35" i="25"/>
  <c r="B41" i="30"/>
  <c r="D41" i="30" l="1"/>
  <c r="C41" i="30"/>
  <c r="A42" i="30"/>
  <c r="C35" i="29"/>
  <c r="B35" i="29"/>
  <c r="A36" i="29"/>
  <c r="C35" i="27"/>
  <c r="B35" i="27"/>
  <c r="A36" i="27"/>
  <c r="A34" i="26"/>
  <c r="C33" i="26"/>
  <c r="B33" i="26"/>
  <c r="A36" i="25"/>
  <c r="B42" i="30"/>
  <c r="D42" i="30" l="1"/>
  <c r="C42" i="30"/>
  <c r="A43" i="30"/>
  <c r="A37" i="29"/>
  <c r="C36" i="29"/>
  <c r="B36" i="29"/>
  <c r="A37" i="27"/>
  <c r="C36" i="27"/>
  <c r="B36" i="27"/>
  <c r="A35" i="26"/>
  <c r="C34" i="26"/>
  <c r="B34" i="26"/>
  <c r="A37" i="25"/>
  <c r="B43" i="30"/>
  <c r="D43" i="30" l="1"/>
  <c r="C43" i="30"/>
  <c r="A44" i="30"/>
  <c r="A38" i="29"/>
  <c r="C37" i="29"/>
  <c r="B37" i="29"/>
  <c r="A38" i="27"/>
  <c r="C37" i="27"/>
  <c r="B37" i="27"/>
  <c r="B35" i="26"/>
  <c r="A36" i="26"/>
  <c r="C35" i="26"/>
  <c r="A38" i="25"/>
  <c r="B44" i="30"/>
  <c r="D44" i="30" l="1"/>
  <c r="C44" i="30"/>
  <c r="A45" i="30"/>
  <c r="B38" i="29"/>
  <c r="A39" i="29"/>
  <c r="C38" i="29"/>
  <c r="B38" i="27"/>
  <c r="A39" i="27"/>
  <c r="C38" i="27"/>
  <c r="C36" i="26"/>
  <c r="B36" i="26"/>
  <c r="A37" i="26"/>
  <c r="A39" i="25"/>
  <c r="B45" i="30"/>
  <c r="D45" i="30" l="1"/>
  <c r="C45" i="30"/>
  <c r="A46" i="30"/>
  <c r="C39" i="29"/>
  <c r="B39" i="29"/>
  <c r="A40" i="29"/>
  <c r="C39" i="27"/>
  <c r="B39" i="27"/>
  <c r="A40" i="27"/>
  <c r="A38" i="26"/>
  <c r="C37" i="26"/>
  <c r="B37" i="26"/>
  <c r="A40" i="25"/>
  <c r="B46" i="30"/>
  <c r="D46" i="30" l="1"/>
  <c r="C46" i="30"/>
  <c r="A47" i="30"/>
  <c r="A41" i="29"/>
  <c r="C40" i="29"/>
  <c r="B40" i="29"/>
  <c r="A41" i="27"/>
  <c r="C40" i="27"/>
  <c r="B40" i="27"/>
  <c r="A39" i="26"/>
  <c r="C38" i="26"/>
  <c r="B38" i="26"/>
  <c r="A41" i="25"/>
  <c r="B47" i="30"/>
  <c r="D47" i="30" l="1"/>
  <c r="C47" i="30"/>
  <c r="A48" i="30"/>
  <c r="A42" i="29"/>
  <c r="C41" i="29"/>
  <c r="B41" i="29"/>
  <c r="A42" i="27"/>
  <c r="C41" i="27"/>
  <c r="B41" i="27"/>
  <c r="B39" i="26"/>
  <c r="A40" i="26"/>
  <c r="C39" i="26"/>
  <c r="A42" i="25"/>
  <c r="B48" i="30"/>
  <c r="D48" i="30" l="1"/>
  <c r="C48" i="30"/>
  <c r="A49" i="30"/>
  <c r="B42" i="29"/>
  <c r="A43" i="29"/>
  <c r="C42" i="29"/>
  <c r="B42" i="27"/>
  <c r="A43" i="27"/>
  <c r="C42" i="27"/>
  <c r="C40" i="26"/>
  <c r="B40" i="26"/>
  <c r="A41" i="26"/>
  <c r="A43" i="25"/>
  <c r="B49" i="30"/>
  <c r="D49" i="30" l="1"/>
  <c r="C49" i="30"/>
  <c r="A50" i="30"/>
  <c r="C43" i="29"/>
  <c r="B43" i="29"/>
  <c r="C43" i="27"/>
  <c r="B43" i="27"/>
  <c r="A42" i="26"/>
  <c r="C41" i="26"/>
  <c r="B41" i="26"/>
  <c r="B50" i="30"/>
  <c r="D50" i="30" l="1"/>
  <c r="C50" i="30"/>
  <c r="A43" i="26"/>
  <c r="C42" i="26"/>
  <c r="B42" i="26"/>
  <c r="B43" i="26" l="1"/>
  <c r="C43" i="26"/>
</calcChain>
</file>

<file path=xl/sharedStrings.xml><?xml version="1.0" encoding="utf-8"?>
<sst xmlns="http://schemas.openxmlformats.org/spreadsheetml/2006/main" count="1082" uniqueCount="287">
  <si>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</si>
  <si>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</si>
  <si>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</si>
  <si>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</si>
  <si>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</si>
  <si>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</si>
  <si>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</si>
  <si>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</si>
  <si>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</si>
  <si>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</si>
  <si>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</si>
  <si>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</si>
  <si>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</si>
  <si>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</si>
  <si>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</si>
  <si>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</si>
  <si>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</si>
  <si>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</si>
  <si>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</si>
  <si>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</si>
  <si>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</si>
  <si>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</si>
  <si>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</si>
  <si>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</si>
  <si>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</si>
  <si>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</si>
  <si>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</si>
  <si>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</si>
  <si>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</si>
  <si>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</si>
  <si>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</si>
  <si>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</si>
  <si>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</si>
  <si>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</si>
  <si>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</si>
  <si>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</si>
  <si>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</si>
  <si>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</si>
  <si>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</si>
  <si>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</si>
  <si>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</si>
  <si>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</si>
  <si>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</si>
  <si>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</si>
  <si>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</si>
  <si>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</si>
  <si>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</si>
  <si>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</si>
  <si>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</si>
  <si>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</si>
  <si>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</si>
  <si>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</si>
  <si>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</si>
  <si>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</si>
  <si>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</si>
  <si>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</si>
  <si>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</si>
  <si>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</si>
  <si>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</si>
  <si>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</si>
  <si>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</si>
  <si>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</si>
  <si>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</si>
  <si>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</si>
  <si>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</si>
  <si>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</si>
  <si>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</si>
  <si>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</si>
  <si>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</si>
  <si>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</si>
  <si>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</si>
  <si>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</si>
  <si>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</si>
  <si>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</si>
  <si>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</si>
  <si>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</si>
  <si>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</si>
  <si>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</si>
  <si>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</si>
  <si>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</si>
  <si>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</si>
  <si>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</si>
  <si>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</si>
  <si>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</si>
  <si>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</si>
  <si>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</si>
  <si>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</si>
  <si>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</si>
  <si>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</si>
  <si>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</si>
  <si>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</si>
  <si>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</si>
  <si>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</si>
  <si>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Samples</t>
  </si>
  <si>
    <t>MMF</t>
  </si>
  <si>
    <t>Vouchers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</si>
  <si>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</si>
  <si>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</si>
  <si>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</si>
  <si>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</si>
  <si>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</si>
  <si>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</si>
  <si>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Quadractic Eqn.</t>
  </si>
  <si>
    <t>TOTAL</t>
  </si>
  <si>
    <t>Januvia Family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</si>
  <si>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</si>
  <si>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</si>
  <si>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</si>
  <si>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</si>
  <si>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</si>
  <si>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</si>
  <si>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</si>
  <si>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</si>
  <si>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</si>
  <si>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</si>
  <si>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</si>
  <si>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</si>
  <si>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</si>
  <si>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</si>
  <si>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</si>
  <si>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</si>
  <si>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Assumption</t>
  </si>
  <si>
    <t>YT unit</t>
  </si>
  <si>
    <t>Incr. TRx</t>
  </si>
  <si>
    <t>Optimal YT value</t>
  </si>
  <si>
    <t>Multiplication Factor (3yr Adherence Rxs)</t>
  </si>
  <si>
    <t>YT Current</t>
  </si>
  <si>
    <t>Y (Incr. NRx)</t>
  </si>
  <si>
    <t>YT (Incr. TRx)</t>
  </si>
  <si>
    <t>Incr. NRx slope</t>
  </si>
  <si>
    <t>HCC Pharmacy Acquisition</t>
  </si>
  <si>
    <t>Equation: Quadratic Polynomial</t>
  </si>
  <si>
    <t>X  [at]</t>
  </si>
  <si>
    <t>X^2  [bt]</t>
  </si>
  <si>
    <t>Response Function Scaling Factor (for sensitivity analysis)</t>
  </si>
  <si>
    <t>*Note: The above inputs are for quadratic polynomial. Y represents original scale (here, Incr. NRx) used for response function modeling. YT is the transformed Y (here, Incr. TRx) and brings the Response function to the same Y scale needed for optimization.</t>
  </si>
  <si>
    <t>Note2 : ORANGE cells need formulas</t>
  </si>
  <si>
    <r>
      <t xml:space="preserve">SLOPES of Polynomial Eqn for YT. </t>
    </r>
    <r>
      <rPr>
        <b/>
        <sz val="10"/>
        <color rgb="FFC00000"/>
        <rFont val="Calibri"/>
        <family val="2"/>
        <scheme val="minor"/>
      </rPr>
      <t>YT</t>
    </r>
    <r>
      <rPr>
        <sz val="10"/>
        <color rgb="FFC00000"/>
        <rFont val="Calibri"/>
        <family val="2"/>
        <scheme val="minor"/>
      </rPr>
      <t>=at*X+bt*X^2</t>
    </r>
  </si>
  <si>
    <r>
      <t xml:space="preserve">SLOPES of Polynomial Eqn. </t>
    </r>
    <r>
      <rPr>
        <b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>=a*X+b*X^2</t>
    </r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</si>
  <si>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</si>
  <si>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Starting YT value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</si>
  <si>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Janumet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</si>
  <si>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&lt;-- Spend per Incr. TRx</t>
  </si>
  <si>
    <t>Current Values (optional)</t>
  </si>
  <si>
    <t>The current values here represents 2013 levels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</si>
  <si>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Family (JANTOT) Vouchers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</si>
  <si>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Janumet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</si>
  <si>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</si>
  <si>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Inputs for Transformation and Scaling</t>
  </si>
  <si>
    <t>3-Yr Adherence Rxs per New Patient</t>
  </si>
  <si>
    <t>15% increment to Incr. NRx linear projection</t>
  </si>
  <si>
    <t>20% reduction from Incr. NRx linear projection</t>
  </si>
  <si>
    <t>35% reduction from Incr. NRx linear projection</t>
  </si>
  <si>
    <t>60% reduction from Incr. NRx linear projection</t>
  </si>
  <si>
    <t>10% reduction from Incr. NRx linear projection</t>
  </si>
  <si>
    <t>Mean Est. of Incr. NRx from ROI point estimate</t>
  </si>
  <si>
    <t>Y (Incr. TRx)</t>
  </si>
  <si>
    <r>
      <rPr>
        <b/>
        <sz val="10"/>
        <color rgb="FFC00000"/>
        <rFont val="Calibri"/>
        <family val="2"/>
        <scheme val="minor"/>
      </rPr>
      <t>Januvia Family MMF</t>
    </r>
    <r>
      <rPr>
        <sz val="10"/>
        <color theme="1"/>
        <rFont val="Calibri"/>
        <family val="2"/>
        <scheme val="minor"/>
      </rPr>
      <t>. Given a set of X and Y values, a cubic spline function (i.e., a smooth continuous curve) is fit for each pair of values</t>
    </r>
  </si>
  <si>
    <r>
      <rPr>
        <b/>
        <sz val="10"/>
        <color rgb="FFC00000"/>
        <rFont val="Calibri"/>
        <family val="2"/>
        <scheme val="minor"/>
      </rPr>
      <t>Januvia Family HCC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</si>
  <si>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</si>
  <si>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HCC Pharmacy Acquisition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</si>
  <si>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Adherence</t>
  </si>
  <si>
    <r>
      <rPr>
        <b/>
        <sz val="10"/>
        <color rgb="FFC00000"/>
        <rFont val="Calibri"/>
        <family val="2"/>
        <scheme val="minor"/>
      </rPr>
      <t>Januvia Family HCC Adherence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</si>
  <si>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Multiplication Factor (=1 since Y and YT units are same Incr. TRx here)</t>
  </si>
  <si>
    <t xml:space="preserve"> TRx</t>
  </si>
  <si>
    <t>Samples, Vouchers, MMF, HCC, MCM, HCC Pharmacy Acquisition and Adherence</t>
  </si>
  <si>
    <r>
      <t xml:space="preserve">To optimize allocation of spend across represented channels. All used response functions are converted to </t>
    </r>
    <r>
      <rPr>
        <b/>
        <sz val="10"/>
        <color theme="1"/>
        <rFont val="Calibri"/>
        <family val="2"/>
        <scheme val="minor"/>
      </rPr>
      <t>Channel Spend vs.  Incr. TRx scale</t>
    </r>
  </si>
  <si>
    <t>Spend in $</t>
  </si>
  <si>
    <t xml:space="preserve">Incremental TRx </t>
  </si>
  <si>
    <t>Response Scaling Factor for Sensitivity Analysis</t>
  </si>
  <si>
    <t>Janumet + XR</t>
  </si>
  <si>
    <t>Pharmacy Acquisition</t>
  </si>
  <si>
    <t>Adherence</t>
  </si>
  <si>
    <t>Scurve Est. [Base Adjusted]</t>
  </si>
  <si>
    <t>Spline [Assumed Response Decays]</t>
  </si>
  <si>
    <t>Current 2013 budget place holder values.</t>
  </si>
  <si>
    <t>Budgeted Spend ($)</t>
  </si>
  <si>
    <t>Phar. Acquisition</t>
  </si>
  <si>
    <t>Total</t>
  </si>
  <si>
    <t>Est. Spend per Incr. NRx (approx)</t>
  </si>
  <si>
    <t>Est. Spend per Incr. TRx (approx)</t>
  </si>
  <si>
    <t xml:space="preserve"> - </t>
  </si>
  <si>
    <t>NA</t>
  </si>
  <si>
    <t>Assumptions on Current and Max. Impact</t>
  </si>
  <si>
    <t>TRx</t>
  </si>
  <si>
    <t>NRx</t>
  </si>
  <si>
    <t>Base Unit</t>
  </si>
  <si>
    <t>3-Yr Adherence Rxs per New Patient (from finance NPV sheet)</t>
  </si>
  <si>
    <t>% Impact w.r.t 2012 Base Unit</t>
  </si>
  <si>
    <t>Assumed Max. Impact (for S-Curve)</t>
  </si>
  <si>
    <t>Base Unit Value (2012 NPA)</t>
  </si>
  <si>
    <t>Est. Mktg. Spend per Incr. Rx From Response Curves (~ 2012 or 2013 spend levels):</t>
  </si>
  <si>
    <t>Reference: 2012 Spend Index Chart from CSD Audit Data</t>
  </si>
  <si>
    <t>Spend and Volume</t>
  </si>
  <si>
    <t>DPP-4</t>
  </si>
  <si>
    <t>DPP-4 Combo</t>
  </si>
  <si>
    <t>GLP-1</t>
  </si>
  <si>
    <t>TZD</t>
  </si>
  <si>
    <t>2012 Index (Januvia = 100)</t>
  </si>
  <si>
    <t>Share of Spend</t>
  </si>
  <si>
    <t>Shares within DPP-4 Brands</t>
  </si>
  <si>
    <t>Shares within DPP-4 Combo Brands</t>
  </si>
  <si>
    <t>Shares when Main Brands are considered
[Brands here + JentaDueto + Byetta + Actos]</t>
  </si>
  <si>
    <t>Year</t>
  </si>
  <si>
    <t>JANUVIA</t>
  </si>
  <si>
    <t>TRADJENTA</t>
  </si>
  <si>
    <t>ONGLYZA</t>
  </si>
  <si>
    <t>JANUMET + XR</t>
  </si>
  <si>
    <t>KOMBIGLYZE</t>
  </si>
  <si>
    <t>JENTADUETO</t>
  </si>
  <si>
    <t>VICTOZA</t>
  </si>
  <si>
    <t>BYETTA</t>
  </si>
  <si>
    <t>ACTOS</t>
  </si>
  <si>
    <t>Total Promo</t>
  </si>
  <si>
    <t>Detail Spend</t>
  </si>
  <si>
    <t>Detail Volume</t>
  </si>
  <si>
    <t>Sample Spend</t>
  </si>
  <si>
    <t>DTC Spend</t>
  </si>
  <si>
    <t>Meetings Spend</t>
  </si>
  <si>
    <t>Mailings Spend</t>
  </si>
  <si>
    <t>Clinical Trial Spend</t>
  </si>
  <si>
    <t>Print Spend</t>
  </si>
  <si>
    <t>Reference: Annualized 2012 Q1 Spend (Best Quarter in terms of NRx in 2012)</t>
  </si>
  <si>
    <t>Yearly projection based on 2012-Q1  vs. 2013</t>
  </si>
  <si>
    <t>Spend Category</t>
  </si>
  <si>
    <t>2012_Q1</t>
  </si>
  <si>
    <t>Yearly spend based on 2012 Q1 spend levels</t>
  </si>
  <si>
    <t>2013 Total Spend</t>
  </si>
  <si>
    <t>Difference</t>
  </si>
  <si>
    <t xml:space="preserve">% Change </t>
  </si>
  <si>
    <t>SC_1_DISEASE_TREATMENT_RSCRS</t>
  </si>
  <si>
    <t>SC_1_PRODUCT_PROMO_RESOURCES</t>
  </si>
  <si>
    <t>SC_2_ADVERTISING_PROGRAMS</t>
  </si>
  <si>
    <t>SC_2_MCM_CAMPAIGN_EXECUTION</t>
  </si>
  <si>
    <t>SC_3_LECTURE_PROGRAMS</t>
  </si>
  <si>
    <t>SC_3_MMFS</t>
  </si>
  <si>
    <t>SC_6_COUPONS_VOUCHERS</t>
  </si>
  <si>
    <t>SC_6_PRODUCT_SAMPLES</t>
  </si>
  <si>
    <t>SC_6_SAMPLES_DIST_FULFILLMENT</t>
  </si>
  <si>
    <t>Delta X 
($ Spend)</t>
  </si>
  <si>
    <t>Delta Y 
(Incr. TRx)</t>
  </si>
  <si>
    <t>Local Constraints ($ Spend)</t>
  </si>
  <si>
    <t>Incremental Revenue vs. Channel Spend</t>
  </si>
  <si>
    <t>Measured Unit of Response</t>
  </si>
  <si>
    <t>2013 Planned Spend ($)</t>
  </si>
  <si>
    <t>Incremental Rxs (in Response Units)</t>
  </si>
  <si>
    <t>Year 1</t>
  </si>
  <si>
    <t>Year 2</t>
  </si>
  <si>
    <t>Year 3</t>
  </si>
  <si>
    <t>2013 Optimal Spend ($)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</si>
  <si>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</si>
  <si>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</si>
  <si>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</si>
  <si>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</si>
  <si>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</si>
  <si>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</si>
  <si>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</si>
  <si>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</si>
  <si>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</si>
  <si>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</si>
  <si>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</si>
  <si>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</si>
  <si>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</si>
  <si>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</si>
  <si>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Y opt 
(Incr. TRx)</t>
  </si>
  <si>
    <t>X curr 
($ Spend)</t>
  </si>
  <si>
    <t>Y curr 
(Incr. TRx)</t>
  </si>
  <si>
    <t>Post Tax PGM ($)</t>
  </si>
  <si>
    <t>3-yr post tax NPV</t>
  </si>
  <si>
    <t>3-yr Incr. Rev.</t>
  </si>
  <si>
    <t xml:space="preserve"> Incr. Rev.</t>
  </si>
  <si>
    <t>Current Spend</t>
  </si>
  <si>
    <t>Min. Constraint</t>
  </si>
  <si>
    <t>Max. Constraint</t>
  </si>
  <si>
    <t>Januvia Samples</t>
  </si>
  <si>
    <t>Janumet Samples</t>
  </si>
  <si>
    <t>Notes</t>
  </si>
  <si>
    <t xml:space="preserve">Q1-12 lvl is $31.3 MM in total. Max here is apportioned Q1-12 lvl +10%. Min here is curr. Level -10%. </t>
  </si>
  <si>
    <t>Equivalent 2012-Q1 Projected level.</t>
  </si>
  <si>
    <t>Per 2013 budget levels, 53% goes to vouchers. Apply this ratio to 2012-Q1 proj. level. Then apply curr -10% as min. And Q1-12 +10% as max.</t>
  </si>
  <si>
    <t>Assume Q1-12 lvl of $53 MM represents consumer HCC only (i.e., some evidence from cell D8). Min and Max rules are same as above.</t>
  </si>
  <si>
    <t>Per 2013 budget levels, roughly 51% goes to measured MMF programs. Apply this ratio to Q1-12 level to get Equivalent spend. Min and Max are REVERSED as Q1-12 level is less than curr promotions.</t>
  </si>
  <si>
    <t>Q1-12 level is less than curr level. Min and Max are REVERSED as Q1-12 level is less than curr promotions.</t>
  </si>
  <si>
    <t>Considered same as current spend. Min and Max are - or + 10% of curr level.</t>
  </si>
  <si>
    <t>New Patient</t>
  </si>
  <si>
    <t>Equal Impact Distribution</t>
  </si>
  <si>
    <r>
      <rPr>
        <b/>
        <sz val="10"/>
        <color rgb="FF0000FF"/>
        <rFont val="Calibri"/>
        <family val="2"/>
        <scheme val="minor"/>
      </rPr>
      <t>CASE 3A.</t>
    </r>
    <r>
      <rPr>
        <sz val="10"/>
        <color rgb="FF0000FF"/>
        <rFont val="Calibri"/>
        <family val="2"/>
        <scheme val="minor"/>
      </rPr>
      <t xml:space="preserve"> Increase Max. spends for HCC, MCM, MMF, VCH &amp; Sample to 2012-Q1 projected spend levels +10%. Other channels allow +10% of curr. Spend. Let min. local spends to be at current level -10%. Global spend is same as </t>
    </r>
    <r>
      <rPr>
        <u/>
        <sz val="10"/>
        <color rgb="FF0000FF"/>
        <rFont val="Calibri"/>
        <family val="2"/>
        <scheme val="minor"/>
      </rPr>
      <t>2012-Q1 projected level</t>
    </r>
    <r>
      <rPr>
        <sz val="10"/>
        <color rgb="FF0000FF"/>
        <rFont val="Calibri"/>
        <family val="2"/>
        <scheme val="minor"/>
      </rPr>
      <t>. NOTE: If Q1-12 level is less than curr. spend, then base for min and max spends are reversed.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</si>
</sst>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</numFmts>
  <fonts count="5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8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0"/>
      <color rgb="FF0000FF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8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2" applyNumberFormat="0" applyFill="0" applyAlignment="0" applyProtection="0"/>
    <xf numFmtId="0" fontId="16" fillId="0" borderId="53" applyNumberFormat="0" applyFill="0" applyAlignment="0" applyProtection="0"/>
    <xf numFmtId="0" fontId="17" fillId="0" borderId="54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5" applyNumberFormat="0" applyAlignment="0" applyProtection="0"/>
    <xf numFmtId="0" fontId="22" fillId="14" borderId="56" applyNumberFormat="0" applyAlignment="0" applyProtection="0"/>
    <xf numFmtId="0" fontId="23" fillId="14" borderId="55" applyNumberFormat="0" applyAlignment="0" applyProtection="0"/>
    <xf numFmtId="0" fontId="24" fillId="0" borderId="57" applyNumberFormat="0" applyFill="0" applyAlignment="0" applyProtection="0"/>
    <xf numFmtId="0" fontId="25" fillId="15" borderId="58" applyNumberFormat="0" applyAlignment="0" applyProtection="0"/>
    <xf numFmtId="0" fontId="26" fillId="0" borderId="0" applyNumberFormat="0" applyFill="0" applyBorder="0" applyAlignment="0" applyProtection="0"/>
    <xf numFmtId="0" fontId="11" fillId="16" borderId="59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60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46" fillId="0" borderId="0"/>
    <xf numFmtId="0" fontId="46" fillId="0" borderId="0"/>
    <xf numFmtId="43" fontId="46" fillId="0" borderId="0" applyFont="0" applyFill="0" applyBorder="0" applyAlignment="0" applyProtection="0"/>
    <xf numFmtId="0" fontId="46" fillId="0" borderId="0"/>
  </cellStyleXfs>
  <cellXfs count="412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1" xfId="0" applyFont="1" applyFill="1" applyBorder="1" applyAlignment="1">
      <alignment horizontal="center" vertical="center" wrapText="1"/>
    </xf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3" fontId="1" fillId="2" borderId="12" xfId="2" applyNumberFormat="1" applyFont="1" applyFill="1" applyBorder="1"/>
    <xf numFmtId="3" fontId="1" fillId="2" borderId="37" xfId="2" applyNumberFormat="1" applyFont="1" applyFill="1" applyBorder="1"/>
    <xf numFmtId="3" fontId="1" fillId="9" borderId="12" xfId="0" applyNumberFormat="1" applyFont="1" applyFill="1" applyBorder="1"/>
    <xf numFmtId="9" fontId="1" fillId="9" borderId="12" xfId="3" applyFont="1" applyFill="1" applyBorder="1"/>
    <xf numFmtId="3" fontId="1" fillId="9" borderId="37" xfId="0" applyNumberFormat="1" applyFont="1" applyFill="1" applyBorder="1"/>
    <xf numFmtId="9" fontId="1" fillId="9" borderId="37" xfId="3" applyFont="1" applyFill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12" xfId="2" applyNumberFormat="1" applyFont="1" applyFill="1" applyBorder="1"/>
    <xf numFmtId="3" fontId="12" fillId="8" borderId="37" xfId="2" applyNumberFormat="1" applyFont="1" applyFill="1" applyBorder="1"/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164" fontId="1" fillId="2" borderId="12" xfId="4" applyNumberFormat="1" applyFont="1" applyFill="1" applyBorder="1"/>
    <xf numFmtId="164" fontId="1" fillId="2" borderId="37" xfId="4" applyNumberFormat="1" applyFont="1" applyFill="1" applyBorder="1"/>
    <xf numFmtId="0" fontId="1" fillId="5" borderId="2" xfId="0" applyFont="1" applyFill="1" applyBorder="1"/>
    <xf numFmtId="164" fontId="1" fillId="5" borderId="2" xfId="0" applyNumberFormat="1" applyFont="1" applyFill="1" applyBorder="1"/>
    <xf numFmtId="3" fontId="1" fillId="5" borderId="2" xfId="0" applyNumberFormat="1" applyFont="1" applyFill="1" applyBorder="1"/>
    <xf numFmtId="9" fontId="1" fillId="0" borderId="0" xfId="0" applyNumberFormat="1" applyFont="1"/>
    <xf numFmtId="9" fontId="1" fillId="5" borderId="2" xfId="3" applyFont="1" applyFill="1" applyBorder="1"/>
    <xf numFmtId="164" fontId="1" fillId="2" borderId="10" xfId="4" applyNumberFormat="1" applyFont="1" applyFill="1" applyBorder="1"/>
    <xf numFmtId="6" fontId="1" fillId="2" borderId="10" xfId="0" applyNumberFormat="1" applyFont="1" applyFill="1" applyBorder="1"/>
    <xf numFmtId="6" fontId="1" fillId="2" borderId="11" xfId="0" applyNumberFormat="1" applyFont="1" applyFill="1" applyBorder="1"/>
    <xf numFmtId="164" fontId="1" fillId="6" borderId="2" xfId="0" applyNumberFormat="1" applyFont="1" applyFill="1" applyBorder="1"/>
    <xf numFmtId="3" fontId="1" fillId="2" borderId="11" xfId="0" applyNumberFormat="1" applyFont="1" applyFill="1" applyBorder="1"/>
    <xf numFmtId="3" fontId="3" fillId="6" borderId="17" xfId="0" applyNumberFormat="1" applyFont="1" applyFill="1" applyBorder="1"/>
    <xf numFmtId="3" fontId="1" fillId="2" borderId="1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43" fontId="1" fillId="2" borderId="10" xfId="2" applyNumberFormat="1" applyFont="1" applyFill="1" applyBorder="1"/>
    <xf numFmtId="166" fontId="1" fillId="2" borderId="10" xfId="0" applyNumberFormat="1" applyFont="1" applyFill="1" applyBorder="1" applyAlignment="1">
      <alignment vertical="center" wrapText="1"/>
    </xf>
    <xf numFmtId="166" fontId="1" fillId="2" borderId="17" xfId="0" applyNumberFormat="1" applyFont="1" applyFill="1" applyBorder="1" applyAlignment="1">
      <alignment vertical="center" wrapText="1"/>
    </xf>
    <xf numFmtId="166" fontId="3" fillId="5" borderId="23" xfId="0" applyNumberFormat="1" applyFont="1" applyFill="1" applyBorder="1"/>
    <xf numFmtId="3" fontId="1" fillId="6" borderId="11" xfId="0" applyNumberFormat="1" applyFont="1" applyFill="1" applyBorder="1"/>
    <xf numFmtId="3" fontId="1" fillId="6" borderId="2" xfId="0" applyNumberFormat="1" applyFont="1" applyFill="1" applyBorder="1"/>
    <xf numFmtId="166" fontId="3" fillId="5" borderId="10" xfId="0" applyNumberFormat="1" applyFont="1" applyFill="1" applyBorder="1"/>
    <xf numFmtId="3" fontId="3" fillId="6" borderId="10" xfId="0" applyNumberFormat="1" applyFont="1" applyFill="1" applyBorder="1"/>
    <xf numFmtId="3" fontId="4" fillId="6" borderId="10" xfId="0" applyNumberFormat="1" applyFont="1" applyFill="1" applyBorder="1"/>
    <xf numFmtId="166" fontId="1" fillId="2" borderId="23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166" fontId="4" fillId="2" borderId="2" xfId="0" applyNumberFormat="1" applyFont="1" applyFill="1" applyBorder="1" applyAlignment="1">
      <alignment vertical="center" wrapText="1"/>
    </xf>
    <xf numFmtId="166" fontId="4" fillId="2" borderId="2" xfId="0" applyNumberFormat="1" applyFont="1" applyFill="1" applyBorder="1" applyAlignment="1">
      <alignment horizontal="right" wrapText="1"/>
    </xf>
    <xf numFmtId="3" fontId="2" fillId="2" borderId="2" xfId="0" applyNumberFormat="1" applyFont="1" applyFill="1" applyBorder="1" applyAlignment="1">
      <alignment horizontal="right" vertical="center" wrapText="1"/>
    </xf>
    <xf numFmtId="3" fontId="4" fillId="2" borderId="2" xfId="0" applyNumberFormat="1" applyFont="1" applyFill="1" applyBorder="1" applyAlignment="1">
      <alignment horizontal="right" vertical="center" wrapText="1"/>
    </xf>
    <xf numFmtId="0" fontId="30" fillId="0" borderId="0" xfId="0" applyFont="1" applyBorder="1" applyAlignment="1"/>
    <xf numFmtId="0" fontId="5" fillId="0" borderId="0" xfId="0" applyFont="1" applyBorder="1"/>
    <xf numFmtId="0" fontId="0" fillId="0" borderId="0" xfId="0" applyFont="1" applyBorder="1" applyAlignment="1"/>
    <xf numFmtId="0" fontId="34" fillId="0" borderId="0" xfId="0" applyFont="1" applyBorder="1" applyAlignment="1"/>
    <xf numFmtId="9" fontId="34" fillId="0" borderId="0" xfId="0" applyNumberFormat="1" applyFont="1" applyBorder="1" applyAlignment="1"/>
    <xf numFmtId="3" fontId="4" fillId="2" borderId="8" xfId="0" applyNumberFormat="1" applyFont="1" applyFill="1" applyBorder="1" applyAlignment="1">
      <alignment horizontal="right" vertical="center" wrapText="1"/>
    </xf>
    <xf numFmtId="166" fontId="4" fillId="2" borderId="10" xfId="0" applyNumberFormat="1" applyFont="1" applyFill="1" applyBorder="1" applyAlignment="1"/>
    <xf numFmtId="3" fontId="4" fillId="2" borderId="10" xfId="0" applyNumberFormat="1" applyFont="1" applyFill="1" applyBorder="1" applyAlignment="1">
      <alignment horizontal="right"/>
    </xf>
    <xf numFmtId="3" fontId="4" fillId="2" borderId="11" xfId="0" applyNumberFormat="1" applyFont="1" applyFill="1" applyBorder="1" applyAlignment="1">
      <alignment horizontal="right"/>
    </xf>
    <xf numFmtId="0" fontId="2" fillId="3" borderId="10" xfId="0" applyFont="1" applyFill="1" applyBorder="1" applyAlignment="1">
      <alignment horizontal="center" vertical="center" wrapText="1"/>
    </xf>
    <xf numFmtId="166" fontId="2" fillId="2" borderId="2" xfId="0" applyNumberFormat="1" applyFont="1" applyFill="1" applyBorder="1" applyAlignment="1">
      <alignment vertical="center" wrapText="1"/>
    </xf>
    <xf numFmtId="3" fontId="2" fillId="2" borderId="8" xfId="0" applyNumberFormat="1" applyFont="1" applyFill="1" applyBorder="1" applyAlignment="1">
      <alignment horizontal="right" vertical="center" wrapText="1"/>
    </xf>
    <xf numFmtId="0" fontId="4" fillId="7" borderId="3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2" fillId="3" borderId="69" xfId="0" applyFont="1" applyFill="1" applyBorder="1" applyAlignment="1">
      <alignment horizontal="center" vertical="center" wrapText="1"/>
    </xf>
    <xf numFmtId="3" fontId="3" fillId="6" borderId="64" xfId="0" applyNumberFormat="1" applyFont="1" applyFill="1" applyBorder="1"/>
    <xf numFmtId="3" fontId="1" fillId="6" borderId="70" xfId="0" applyNumberFormat="1" applyFont="1" applyFill="1" applyBorder="1"/>
    <xf numFmtId="0" fontId="1" fillId="2" borderId="10" xfId="0" applyFont="1" applyFill="1" applyBorder="1" applyAlignment="1">
      <alignment wrapText="1"/>
    </xf>
    <xf numFmtId="43" fontId="1" fillId="2" borderId="9" xfId="2" applyNumberFormat="1" applyFont="1" applyFill="1" applyBorder="1"/>
    <xf numFmtId="0" fontId="35" fillId="3" borderId="6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43" fontId="31" fillId="2" borderId="9" xfId="2" applyNumberFormat="1" applyFont="1" applyFill="1" applyBorder="1"/>
    <xf numFmtId="164" fontId="1" fillId="2" borderId="10" xfId="4" applyNumberFormat="1" applyFont="1" applyFill="1" applyBorder="1"/>
    <xf numFmtId="9" fontId="1" fillId="0" borderId="12" xfId="0" applyNumberFormat="1" applyFont="1" applyBorder="1"/>
    <xf numFmtId="9" fontId="1" fillId="0" borderId="37" xfId="0" applyNumberFormat="1" applyFont="1" applyBorder="1"/>
    <xf numFmtId="0" fontId="1" fillId="0" borderId="2" xfId="0" applyFont="1" applyBorder="1" applyAlignment="1">
      <alignment wrapText="1"/>
    </xf>
    <xf numFmtId="0" fontId="28" fillId="9" borderId="2" xfId="0" applyFont="1" applyFill="1" applyBorder="1" applyAlignment="1">
      <alignment horizontal="center" vertical="center" wrapText="1"/>
    </xf>
    <xf numFmtId="164" fontId="1" fillId="0" borderId="2" xfId="4" applyNumberFormat="1" applyFont="1" applyFill="1" applyBorder="1"/>
    <xf numFmtId="164" fontId="1" fillId="0" borderId="2" xfId="4" applyNumberFormat="1" applyFont="1" applyBorder="1"/>
    <xf numFmtId="0" fontId="37" fillId="0" borderId="0" xfId="0" applyFont="1"/>
    <xf numFmtId="164" fontId="40" fillId="2" borderId="2" xfId="4" applyNumberFormat="1" applyFont="1" applyFill="1" applyBorder="1"/>
    <xf numFmtId="164" fontId="39" fillId="0" borderId="2" xfId="4" applyNumberFormat="1" applyFont="1" applyBorder="1"/>
    <xf numFmtId="42" fontId="39" fillId="0" borderId="2" xfId="4" applyNumberFormat="1" applyFont="1" applyBorder="1" applyAlignment="1">
      <alignment horizontal="right"/>
    </xf>
    <xf numFmtId="164" fontId="0" fillId="43" borderId="2" xfId="0" applyNumberFormat="1" applyFill="1" applyBorder="1"/>
    <xf numFmtId="0" fontId="5" fillId="2" borderId="2" xfId="0" applyFont="1" applyFill="1" applyBorder="1" applyAlignment="1">
      <alignment wrapText="1"/>
    </xf>
    <xf numFmtId="164" fontId="0" fillId="45" borderId="2" xfId="0" applyNumberFormat="1" applyFill="1" applyBorder="1"/>
    <xf numFmtId="164" fontId="0" fillId="5" borderId="2" xfId="0" applyNumberFormat="1" applyFill="1" applyBorder="1"/>
    <xf numFmtId="0" fontId="43" fillId="0" borderId="2" xfId="0" applyFont="1" applyBorder="1"/>
    <xf numFmtId="164" fontId="0" fillId="42" borderId="2" xfId="0" applyNumberFormat="1" applyFill="1" applyBorder="1"/>
    <xf numFmtId="0" fontId="28" fillId="0" borderId="2" xfId="0" applyFont="1" applyBorder="1" applyAlignment="1">
      <alignment wrapText="1"/>
    </xf>
    <xf numFmtId="164" fontId="0" fillId="0" borderId="2" xfId="0" applyNumberFormat="1" applyBorder="1" applyAlignment="1">
      <alignment horizontal="right"/>
    </xf>
    <xf numFmtId="164" fontId="0" fillId="0" borderId="2" xfId="0" applyNumberFormat="1" applyBorder="1"/>
    <xf numFmtId="164" fontId="0" fillId="0" borderId="2" xfId="4" applyNumberFormat="1" applyFont="1" applyBorder="1"/>
    <xf numFmtId="0" fontId="0" fillId="0" borderId="2" xfId="0" applyBorder="1"/>
    <xf numFmtId="3" fontId="0" fillId="0" borderId="2" xfId="0" applyNumberFormat="1" applyBorder="1"/>
    <xf numFmtId="0" fontId="0" fillId="0" borderId="2" xfId="0" applyBorder="1" applyAlignment="1">
      <alignment horizontal="right"/>
    </xf>
    <xf numFmtId="10" fontId="42" fillId="0" borderId="2" xfId="0" applyNumberFormat="1" applyFont="1" applyBorder="1"/>
    <xf numFmtId="10" fontId="34" fillId="0" borderId="2" xfId="0" applyNumberFormat="1" applyFont="1" applyBorder="1"/>
    <xf numFmtId="0" fontId="0" fillId="0" borderId="0" xfId="0"/>
    <xf numFmtId="10" fontId="0" fillId="0" borderId="2" xfId="0" applyNumberFormat="1" applyBorder="1"/>
    <xf numFmtId="0" fontId="0" fillId="2" borderId="2" xfId="0" applyFill="1" applyBorder="1"/>
    <xf numFmtId="0" fontId="0" fillId="0" borderId="0" xfId="0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5" fillId="0" borderId="0" xfId="0" applyFont="1"/>
    <xf numFmtId="0" fontId="1" fillId="0" borderId="0" xfId="0" applyFont="1" applyAlignment="1">
      <alignment wrapText="1"/>
    </xf>
    <xf numFmtId="0" fontId="0" fillId="0" borderId="0" xfId="0"/>
    <xf numFmtId="0" fontId="0" fillId="0" borderId="2" xfId="0" applyBorder="1"/>
    <xf numFmtId="0" fontId="38" fillId="0" borderId="0" xfId="0" applyFont="1"/>
    <xf numFmtId="0" fontId="1" fillId="0" borderId="2" xfId="0" applyFont="1" applyBorder="1"/>
    <xf numFmtId="165" fontId="0" fillId="0" borderId="2" xfId="2" applyNumberFormat="1" applyFont="1" applyBorder="1"/>
    <xf numFmtId="0" fontId="28" fillId="44" borderId="12" xfId="0" applyFont="1" applyFill="1" applyBorder="1" applyAlignment="1">
      <alignment horizontal="center" vertical="center"/>
    </xf>
    <xf numFmtId="0" fontId="5" fillId="44" borderId="2" xfId="0" applyFont="1" applyFill="1" applyBorder="1" applyAlignment="1">
      <alignment wrapText="1"/>
    </xf>
    <xf numFmtId="0" fontId="41" fillId="44" borderId="2" xfId="53" applyFont="1" applyFill="1" applyBorder="1" applyAlignment="1">
      <alignment wrapText="1"/>
    </xf>
    <xf numFmtId="0" fontId="0" fillId="0" borderId="71" xfId="0" applyBorder="1"/>
    <xf numFmtId="0" fontId="1" fillId="0" borderId="71" xfId="0" applyFont="1" applyBorder="1"/>
    <xf numFmtId="165" fontId="0" fillId="0" borderId="71" xfId="2" applyNumberFormat="1" applyFont="1" applyBorder="1"/>
    <xf numFmtId="0" fontId="5" fillId="0" borderId="2" xfId="0" applyFont="1" applyBorder="1"/>
    <xf numFmtId="0" fontId="28" fillId="0" borderId="2" xfId="0" applyFont="1" applyBorder="1"/>
    <xf numFmtId="0" fontId="28" fillId="0" borderId="32" xfId="0" applyFont="1" applyBorder="1"/>
    <xf numFmtId="0" fontId="5" fillId="0" borderId="32" xfId="0" applyFont="1" applyBorder="1"/>
    <xf numFmtId="165" fontId="28" fillId="0" borderId="2" xfId="2" applyNumberFormat="1" applyFont="1" applyBorder="1"/>
    <xf numFmtId="165" fontId="28" fillId="46" borderId="2" xfId="2" applyNumberFormat="1" applyFont="1" applyFill="1" applyBorder="1"/>
    <xf numFmtId="165" fontId="28" fillId="46" borderId="32" xfId="2" applyNumberFormat="1" applyFont="1" applyFill="1" applyBorder="1"/>
    <xf numFmtId="165" fontId="28" fillId="46" borderId="71" xfId="2" applyNumberFormat="1" applyFont="1" applyFill="1" applyBorder="1"/>
    <xf numFmtId="165" fontId="28" fillId="0" borderId="32" xfId="2" applyNumberFormat="1" applyFont="1" applyBorder="1"/>
    <xf numFmtId="165" fontId="28" fillId="0" borderId="71" xfId="2" applyNumberFormat="1" applyFont="1" applyBorder="1"/>
    <xf numFmtId="0" fontId="41" fillId="44" borderId="16" xfId="53" applyFont="1" applyFill="1" applyBorder="1" applyAlignment="1">
      <alignment wrapText="1"/>
    </xf>
    <xf numFmtId="0" fontId="41" fillId="44" borderId="22" xfId="53" applyFont="1" applyFill="1" applyBorder="1" applyAlignment="1">
      <alignment wrapText="1"/>
    </xf>
    <xf numFmtId="165" fontId="28" fillId="0" borderId="0" xfId="2" applyNumberFormat="1" applyFont="1" applyBorder="1"/>
    <xf numFmtId="165" fontId="0" fillId="0" borderId="0" xfId="2" applyNumberFormat="1" applyFont="1" applyBorder="1"/>
    <xf numFmtId="0" fontId="28" fillId="0" borderId="76" xfId="0" applyFont="1" applyFill="1" applyBorder="1" applyAlignment="1">
      <alignment horizontal="center" vertical="center" wrapText="1"/>
    </xf>
    <xf numFmtId="0" fontId="41" fillId="0" borderId="76" xfId="53" applyFont="1" applyFill="1" applyBorder="1" applyAlignment="1">
      <alignment wrapText="1"/>
    </xf>
    <xf numFmtId="0" fontId="5" fillId="44" borderId="41" xfId="0" applyFont="1" applyFill="1" applyBorder="1" applyAlignment="1">
      <alignment wrapText="1"/>
    </xf>
    <xf numFmtId="0" fontId="1" fillId="0" borderId="41" xfId="0" applyFont="1" applyBorder="1"/>
    <xf numFmtId="0" fontId="1" fillId="0" borderId="80" xfId="0" applyFont="1" applyBorder="1"/>
    <xf numFmtId="9" fontId="11" fillId="0" borderId="22" xfId="3" applyFont="1" applyBorder="1"/>
    <xf numFmtId="9" fontId="11" fillId="0" borderId="2" xfId="3" applyFont="1" applyBorder="1"/>
    <xf numFmtId="9" fontId="11" fillId="0" borderId="16" xfId="3" applyFont="1" applyBorder="1"/>
    <xf numFmtId="9" fontId="11" fillId="0" borderId="74" xfId="3" applyFont="1" applyBorder="1"/>
    <xf numFmtId="9" fontId="11" fillId="0" borderId="71" xfId="3" applyFont="1" applyBorder="1"/>
    <xf numFmtId="9" fontId="11" fillId="0" borderId="72" xfId="3" applyFont="1" applyBorder="1"/>
    <xf numFmtId="9" fontId="11" fillId="0" borderId="22" xfId="3" applyFont="1" applyFill="1" applyBorder="1"/>
    <xf numFmtId="9" fontId="11" fillId="0" borderId="74" xfId="3" applyFont="1" applyFill="1" applyBorder="1"/>
    <xf numFmtId="9" fontId="0" fillId="0" borderId="22" xfId="3" applyFont="1" applyBorder="1"/>
    <xf numFmtId="9" fontId="0" fillId="0" borderId="16" xfId="3" applyFont="1" applyBorder="1"/>
    <xf numFmtId="9" fontId="0" fillId="0" borderId="22" xfId="3" applyFont="1" applyBorder="1" applyAlignment="1">
      <alignment horizontal="right"/>
    </xf>
    <xf numFmtId="9" fontId="0" fillId="0" borderId="16" xfId="3" applyFont="1" applyBorder="1" applyAlignment="1">
      <alignment horizontal="right"/>
    </xf>
    <xf numFmtId="9" fontId="0" fillId="0" borderId="2" xfId="3" applyFont="1" applyBorder="1"/>
    <xf numFmtId="9" fontId="0" fillId="0" borderId="74" xfId="3" applyFont="1" applyBorder="1"/>
    <xf numFmtId="9" fontId="0" fillId="0" borderId="71" xfId="3" applyFont="1" applyBorder="1"/>
    <xf numFmtId="9" fontId="0" fillId="0" borderId="72" xfId="3" applyFont="1" applyBorder="1"/>
    <xf numFmtId="0" fontId="5" fillId="42" borderId="41" xfId="0" applyFont="1" applyFill="1" applyBorder="1"/>
    <xf numFmtId="9" fontId="11" fillId="42" borderId="2" xfId="3" applyFont="1" applyFill="1" applyBorder="1"/>
    <xf numFmtId="9" fontId="11" fillId="42" borderId="16" xfId="3" applyFont="1" applyFill="1" applyBorder="1"/>
    <xf numFmtId="9" fontId="0" fillId="42" borderId="2" xfId="3" applyFont="1" applyFill="1" applyBorder="1"/>
    <xf numFmtId="9" fontId="0" fillId="42" borderId="16" xfId="3" applyFont="1" applyFill="1" applyBorder="1"/>
    <xf numFmtId="0" fontId="5" fillId="42" borderId="25" xfId="0" applyFont="1" applyFill="1" applyBorder="1"/>
    <xf numFmtId="9" fontId="11" fillId="42" borderId="32" xfId="3" applyFont="1" applyFill="1" applyBorder="1"/>
    <xf numFmtId="9" fontId="11" fillId="42" borderId="73" xfId="3" applyFont="1" applyFill="1" applyBorder="1"/>
    <xf numFmtId="9" fontId="0" fillId="42" borderId="32" xfId="3" applyFont="1" applyFill="1" applyBorder="1"/>
    <xf numFmtId="9" fontId="0" fillId="42" borderId="73" xfId="3" applyFont="1" applyFill="1" applyBorder="1"/>
    <xf numFmtId="9" fontId="28" fillId="42" borderId="22" xfId="3" applyFont="1" applyFill="1" applyBorder="1"/>
    <xf numFmtId="9" fontId="28" fillId="42" borderId="75" xfId="3" applyFont="1" applyFill="1" applyBorder="1"/>
    <xf numFmtId="9" fontId="28" fillId="42" borderId="2" xfId="3" applyFont="1" applyFill="1" applyBorder="1"/>
    <xf numFmtId="9" fontId="28" fillId="42" borderId="32" xfId="3" applyFont="1" applyFill="1" applyBorder="1"/>
    <xf numFmtId="0" fontId="36" fillId="0" borderId="2" xfId="0" applyFont="1" applyBorder="1"/>
    <xf numFmtId="0" fontId="0" fillId="0" borderId="0" xfId="0"/>
    <xf numFmtId="3" fontId="5" fillId="41" borderId="2" xfId="0" applyNumberFormat="1" applyFont="1" applyFill="1" applyBorder="1" applyAlignment="1">
      <alignment horizontal="center" vertical="center" wrapText="1"/>
    </xf>
    <xf numFmtId="3" fontId="44" fillId="43" borderId="37" xfId="0" applyNumberFormat="1" applyFont="1" applyFill="1" applyBorder="1"/>
    <xf numFmtId="3" fontId="44" fillId="43" borderId="71" xfId="0" applyNumberFormat="1" applyFont="1" applyFill="1" applyBorder="1"/>
    <xf numFmtId="9" fontId="44" fillId="43" borderId="37" xfId="3" applyFont="1" applyFill="1" applyBorder="1"/>
    <xf numFmtId="0" fontId="38" fillId="0" borderId="0" xfId="0" applyFont="1"/>
    <xf numFmtId="3" fontId="45" fillId="43" borderId="71" xfId="0" applyNumberFormat="1" applyFont="1" applyFill="1" applyBorder="1"/>
    <xf numFmtId="9" fontId="45" fillId="43" borderId="71" xfId="3" applyFont="1" applyFill="1" applyBorder="1"/>
    <xf numFmtId="0" fontId="1" fillId="0" borderId="0" xfId="0" applyFont="1"/>
    <xf numFmtId="3" fontId="47" fillId="41" borderId="2" xfId="0" applyNumberFormat="1" applyFont="1" applyFill="1" applyBorder="1" applyAlignment="1">
      <alignment horizontal="center" vertical="center" wrapText="1"/>
    </xf>
    <xf numFmtId="3" fontId="47" fillId="43" borderId="37" xfId="0" applyNumberFormat="1" applyFont="1" applyFill="1" applyBorder="1" applyAlignment="1">
      <alignment horizontal="left" vertical="top" wrapText="1"/>
    </xf>
    <xf numFmtId="3" fontId="47" fillId="43" borderId="71" xfId="0" applyNumberFormat="1" applyFont="1" applyFill="1" applyBorder="1" applyAlignment="1">
      <alignment horizontal="left" vertical="top" wrapText="1"/>
    </xf>
    <xf numFmtId="0" fontId="47" fillId="0" borderId="0" xfId="0" applyFont="1"/>
    <xf numFmtId="3" fontId="48" fillId="43" borderId="37" xfId="0" applyNumberFormat="1" applyFont="1" applyFill="1" applyBorder="1" applyAlignment="1">
      <alignment horizontal="left" vertical="top" wrapText="1"/>
    </xf>
    <xf numFmtId="0" fontId="36" fillId="0" borderId="41" xfId="0" applyFont="1" applyBorder="1"/>
    <xf numFmtId="9" fontId="36" fillId="8" borderId="2" xfId="0" applyNumberFormat="1" applyFont="1" applyFill="1" applyBorder="1"/>
    <xf numFmtId="3" fontId="1" fillId="0" borderId="12" xfId="2" applyNumberFormat="1" applyFont="1" applyFill="1" applyBorder="1" applyAlignment="1">
      <alignment horizontal="right"/>
    </xf>
    <xf numFmtId="3" fontId="1" fillId="0" borderId="37" xfId="2" applyNumberFormat="1" applyFont="1" applyFill="1" applyBorder="1" applyAlignment="1">
      <alignment horizontal="right"/>
    </xf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2" borderId="12" xfId="2" applyNumberFormat="1" applyFont="1" applyFill="1" applyBorder="1" applyAlignment="1">
      <alignment horizontal="left"/>
    </xf>
    <xf numFmtId="42" fontId="1" fillId="42" borderId="37" xfId="2" applyNumberFormat="1" applyFont="1" applyFill="1" applyBorder="1" applyAlignment="1">
      <alignment horizontal="left"/>
    </xf>
    <xf numFmtId="42" fontId="1" fillId="5" borderId="2" xfId="0" applyNumberFormat="1" applyFont="1" applyFill="1" applyBorder="1" applyAlignment="1">
      <alignment horizontal="left"/>
    </xf>
    <xf numFmtId="42" fontId="12" fillId="8" borderId="12" xfId="2" applyNumberFormat="1" applyFont="1" applyFill="1" applyBorder="1"/>
    <xf numFmtId="42" fontId="12" fillId="8" borderId="37" xfId="2" applyNumberFormat="1" applyFont="1" applyFill="1" applyBorder="1"/>
    <xf numFmtId="37" fontId="1" fillId="5" borderId="2" xfId="0" applyNumberFormat="1" applyFont="1" applyFill="1" applyBorder="1"/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164" fontId="1" fillId="8" borderId="2" xfId="0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42" fontId="1" fillId="8" borderId="2" xfId="0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9" fontId="1" fillId="5" borderId="2" xfId="3" applyFont="1" applyFill="1" applyBorder="1" applyAlignment="1">
      <alignment horizontal="left"/>
    </xf>
    <xf numFmtId="3" fontId="49" fillId="0" borderId="37" xfId="2" applyNumberFormat="1" applyFont="1" applyFill="1" applyBorder="1" applyAlignment="1">
      <alignment horizontal="right"/>
    </xf>
    <xf numFmtId="9" fontId="1" fillId="2" borderId="0" xfId="0" applyNumberFormat="1" applyFont="1" applyFill="1"/>
    <xf numFmtId="164" fontId="1" fillId="0" borderId="0" xfId="0" applyNumberFormat="1" applyFont="1"/>
    <xf numFmtId="9" fontId="1" fillId="0" borderId="0" xfId="3" applyFont="1" applyAlignment="1">
      <alignment horizontal="left"/>
    </xf>
    <xf numFmtId="0" fontId="1" fillId="9" borderId="2" xfId="0" applyFont="1" applyFill="1" applyBorder="1" applyAlignment="1">
      <alignment wrapText="1"/>
    </xf>
    <xf numFmtId="0" fontId="1" fillId="9" borderId="2" xfId="0" applyFont="1" applyFill="1" applyBorder="1"/>
    <xf numFmtId="164" fontId="1" fillId="9" borderId="2" xfId="4" applyNumberFormat="1" applyFont="1" applyFill="1" applyBorder="1"/>
    <xf numFmtId="6" fontId="1" fillId="9" borderId="2" xfId="0" applyNumberFormat="1" applyFont="1" applyFill="1" applyBorder="1"/>
    <xf numFmtId="9" fontId="1" fillId="9" borderId="2" xfId="0" applyNumberFormat="1" applyFont="1" applyFill="1" applyBorder="1"/>
    <xf numFmtId="9" fontId="1" fillId="2" borderId="11" xfId="0" applyNumberFormat="1" applyFont="1" applyFill="1" applyBorder="1"/>
    <xf numFmtId="9" fontId="1" fillId="2" borderId="11" xfId="3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center" vertical="center" wrapText="1"/>
    </xf>
    <xf numFmtId="5" fontId="1" fillId="5" borderId="2" xfId="4" applyNumberFormat="1" applyFont="1" applyFill="1" applyBorder="1"/>
    <xf numFmtId="3" fontId="0" fillId="0" borderId="0" xfId="0" applyNumberFormat="1"/>
    <xf numFmtId="0" fontId="28" fillId="0" borderId="0" xfId="0" applyFont="1" applyAlignment="1">
      <alignment wrapText="1"/>
    </xf>
    <xf numFmtId="164" fontId="1" fillId="0" borderId="0" xfId="4" applyNumberFormat="1" applyFont="1" applyFill="1" applyBorder="1"/>
    <xf numFmtId="164" fontId="0" fillId="0" borderId="0" xfId="0" applyNumberFormat="1"/>
    <xf numFmtId="9" fontId="0" fillId="0" borderId="0" xfId="0" applyNumberFormat="1"/>
    <xf numFmtId="164" fontId="0" fillId="0" borderId="0" xfId="4" applyNumberFormat="1" applyFont="1"/>
    <xf numFmtId="164" fontId="51" fillId="0" borderId="0" xfId="4" applyNumberFormat="1" applyFont="1"/>
    <xf numFmtId="164" fontId="51" fillId="0" borderId="0" xfId="0" applyNumberFormat="1" applyFont="1"/>
    <xf numFmtId="9" fontId="0" fillId="0" borderId="0" xfId="3" applyFont="1"/>
    <xf numFmtId="0" fontId="28" fillId="42" borderId="0" xfId="0" applyFont="1" applyFill="1"/>
    <xf numFmtId="164" fontId="28" fillId="42" borderId="0" xfId="0" applyNumberFormat="1" applyFont="1" applyFill="1"/>
    <xf numFmtId="164" fontId="28" fillId="47" borderId="0" xfId="0" applyNumberFormat="1" applyFont="1" applyFill="1"/>
    <xf numFmtId="164" fontId="5" fillId="5" borderId="2" xfId="0" applyNumberFormat="1" applyFont="1" applyFill="1" applyBorder="1"/>
    <xf numFmtId="9" fontId="1" fillId="0" borderId="0" xfId="3" applyFont="1"/>
    <xf numFmtId="0" fontId="28" fillId="44" borderId="81" xfId="0" applyFont="1" applyFill="1" applyBorder="1" applyAlignment="1">
      <alignment horizontal="center" vertical="center" wrapText="1"/>
    </xf>
    <xf numFmtId="0" fontId="28" fillId="44" borderId="82" xfId="0" applyFont="1" applyFill="1" applyBorder="1" applyAlignment="1">
      <alignment horizontal="center" vertical="center" wrapText="1"/>
    </xf>
    <xf numFmtId="0" fontId="28" fillId="44" borderId="83" xfId="0" applyFont="1" applyFill="1" applyBorder="1" applyAlignment="1">
      <alignment horizontal="center" vertical="center" wrapText="1"/>
    </xf>
    <xf numFmtId="0" fontId="28" fillId="44" borderId="77" xfId="0" applyFont="1" applyFill="1" applyBorder="1" applyAlignment="1">
      <alignment horizontal="center" vertical="center" wrapText="1"/>
    </xf>
    <xf numFmtId="0" fontId="28" fillId="44" borderId="78" xfId="0" applyFont="1" applyFill="1" applyBorder="1" applyAlignment="1">
      <alignment horizontal="center" vertical="center" wrapText="1"/>
    </xf>
    <xf numFmtId="0" fontId="28" fillId="44" borderId="79" xfId="0" applyFont="1" applyFill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37" xfId="0" applyFont="1" applyBorder="1" applyAlignment="1">
      <alignment horizontal="center" vertical="center" wrapText="1"/>
    </xf>
    <xf numFmtId="0" fontId="28" fillId="0" borderId="84" xfId="0" applyFont="1" applyBorder="1" applyAlignment="1">
      <alignment horizontal="center" vertical="center" wrapText="1"/>
    </xf>
    <xf numFmtId="0" fontId="28" fillId="0" borderId="82" xfId="0" applyFont="1" applyBorder="1" applyAlignment="1">
      <alignment horizontal="center" vertical="center" wrapText="1"/>
    </xf>
    <xf numFmtId="0" fontId="28" fillId="9" borderId="2" xfId="0" applyFont="1" applyFill="1" applyBorder="1" applyAlignment="1">
      <alignment horizontal="center" wrapText="1"/>
    </xf>
    <xf numFmtId="0" fontId="28" fillId="44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36" fillId="0" borderId="40" xfId="0" applyFont="1" applyBorder="1" applyAlignment="1">
      <alignment horizontal="left" wrapText="1"/>
    </xf>
    <xf numFmtId="0" fontId="36" fillId="0" borderId="0" xfId="0" applyFont="1" applyAlignment="1">
      <alignment horizontal="left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 vertical="center" wrapText="1"/>
    </xf>
    <xf numFmtId="0" fontId="1" fillId="2" borderId="4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6" borderId="41" xfId="0" applyFont="1" applyFill="1" applyBorder="1" applyAlignment="1">
      <alignment horizontal="left" vertical="center"/>
    </xf>
    <xf numFmtId="0" fontId="1" fillId="6" borderId="42" xfId="0" applyFont="1" applyFill="1" applyBorder="1" applyAlignment="1">
      <alignment horizontal="left" vertical="center"/>
    </xf>
    <xf numFmtId="0" fontId="1" fillId="6" borderId="13" xfId="0" applyFont="1" applyFill="1" applyBorder="1" applyAlignment="1">
      <alignment horizontal="left" vertical="center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 vertical="center" wrapText="1"/>
    </xf>
    <xf numFmtId="0" fontId="1" fillId="0" borderId="68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2" fillId="3" borderId="66" xfId="0" applyFont="1" applyFill="1" applyBorder="1" applyAlignment="1">
      <alignment horizontal="left" vertical="center" wrapText="1"/>
    </xf>
    <xf numFmtId="0" fontId="1" fillId="0" borderId="4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3" borderId="61" xfId="0" applyFont="1" applyFill="1" applyBorder="1" applyAlignment="1">
      <alignment horizontal="center" wrapText="1"/>
    </xf>
    <xf numFmtId="0" fontId="1" fillId="3" borderId="62" xfId="0" applyFont="1" applyFill="1" applyBorder="1" applyAlignment="1">
      <alignment horizont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/>
    <cellStyle name="Comma 2 2" xfId="6"/>
    <cellStyle name="Comma 2 3" xfId="7"/>
    <cellStyle name="Comma 3" xfId="55"/>
    <cellStyle name="Currency" xfId="4" builtinId="4"/>
    <cellStyle name="Currency 2" xfId="8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/>
    <cellStyle name="Normal 2 2" xfId="9"/>
    <cellStyle name="Normal 2 2 2" xfId="56"/>
    <cellStyle name="Normal 2 3" xfId="10"/>
    <cellStyle name="Normal 3" xfId="53"/>
    <cellStyle name="Normal 4" xfId="54"/>
    <cellStyle name="Note" xfId="26" builtinId="10" customBuiltin="1"/>
    <cellStyle name="Output" xfId="21" builtinId="21" customBuiltin="1"/>
    <cellStyle name="Percent" xfId="3" builtinId="5"/>
    <cellStyle name="Percent 2" xfId="11"/>
    <cellStyle name="Title" xfId="12" builtinId="15" customBuiltin="1"/>
    <cellStyle name="Total" xfId="28" builtinId="25" customBuiltin="1"/>
    <cellStyle name="Warning Text" xfId="25" builtinId="11" customBuiltin="1"/>
  </cellStyles>
  <dxfs count="0"/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JANSample!$B$9</c:f>
              <c:numCache>
                <c:formatCode>"$"#,##0</c:formatCode>
                <c:ptCount val="1"/>
                <c:pt idx="0">
                  <c:v>5392349.1000000006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JANSample!$C$9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369984"/>
        <c:axId val="259376640"/>
      </c:scatterChart>
      <c:valAx>
        <c:axId val="2593699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59376640"/>
        <c:crosses val="autoZero"/>
        <c:crossBetween val="midCat"/>
        <c:dispUnits>
          <c:builtInUnit val="thousands"/>
        </c:dispUnits>
      </c:valAx>
      <c:valAx>
        <c:axId val="259376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936998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JMTSample!$B$9</c:f>
              <c:numCache>
                <c:formatCode>"$"#,##0</c:formatCode>
                <c:ptCount val="1"/>
                <c:pt idx="0">
                  <c:v>14049391.5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JMTSample!$C$9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4242253.8145483863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446656"/>
        <c:axId val="259457408"/>
      </c:scatterChart>
      <c:valAx>
        <c:axId val="2594466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59457408"/>
        <c:crosses val="autoZero"/>
        <c:crossBetween val="midCat"/>
        <c:dispUnits>
          <c:builtInUnit val="thousands"/>
        </c:dispUnits>
      </c:valAx>
      <c:valAx>
        <c:axId val="259457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944665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1.4367816091954023E-2"/>
                  <c:y val="-6.9300069300069298E-3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JJVCH!$C$9</c:f>
              <c:numCache>
                <c:formatCode>"$"#,##0</c:formatCode>
                <c:ptCount val="1"/>
                <c:pt idx="0">
                  <c:v>4635085.5320000006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7.1839080459770114E-3"/>
                  <c:y val="3.1185031185031187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515136"/>
        <c:axId val="259517440"/>
      </c:scatterChart>
      <c:valAx>
        <c:axId val="2595151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59517440"/>
        <c:crosses val="autoZero"/>
        <c:crossBetween val="midCat"/>
        <c:dispUnits>
          <c:builtInUnit val="thousands"/>
        </c:dispUnits>
      </c:valAx>
      <c:valAx>
        <c:axId val="25951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951513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JJMMF!$B$9</c:f>
              <c:numCache>
                <c:formatCode>"$"#,##0</c:formatCode>
                <c:ptCount val="1"/>
                <c:pt idx="0">
                  <c:v>3401441.5320000001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JJMMF!$C$9</c:f>
              <c:numCache>
                <c:formatCode>"$"#,##0</c:formatCode>
                <c:ptCount val="1"/>
                <c:pt idx="0">
                  <c:v>4884000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554688"/>
        <c:axId val="259573632"/>
      </c:scatterChart>
      <c:valAx>
        <c:axId val="2595546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59573632"/>
        <c:crosses val="autoZero"/>
        <c:crossBetween val="midCat"/>
        <c:dispUnits>
          <c:builtInUnit val="thousands"/>
        </c:dispUnits>
      </c:valAx>
      <c:valAx>
        <c:axId val="259573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95546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20658600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59237226.400000006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49152705.988807186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2928722.1567082792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258240"/>
        <c:axId val="281277184"/>
      </c:scatterChart>
      <c:valAx>
        <c:axId val="2812582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81277184"/>
        <c:crosses val="autoZero"/>
        <c:crossBetween val="midCat"/>
        <c:dispUnits>
          <c:builtInUnit val="thousands"/>
        </c:dispUnits>
      </c:valAx>
      <c:valAx>
        <c:axId val="2812771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8125824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0"/>
                  <c:y val="2.1097046413502109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3114936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1.1887779362814982E-2"/>
                  <c:y val="-2.46132208157524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8124382.9767209534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391350.92093183304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730560"/>
        <c:axId val="291732864"/>
      </c:scatterChart>
      <c:valAx>
        <c:axId val="2917305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91732864"/>
        <c:crosses val="autoZero"/>
        <c:crossBetween val="midCat"/>
        <c:dispUnits>
          <c:builtInUnit val="thousands"/>
        </c:dispUnits>
      </c:valAx>
      <c:valAx>
        <c:axId val="2917328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173056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3182350.5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3889539.5000000005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2.3946360153256703E-3"/>
                  <c:y val="2.552881108679795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3182350.5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75247.187494712707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069376"/>
        <c:axId val="292071680"/>
      </c:scatterChart>
      <c:valAx>
        <c:axId val="2920693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92071680"/>
        <c:crosses val="autoZero"/>
        <c:crossBetween val="midCat"/>
        <c:dispUnits>
          <c:builtInUnit val="thousands"/>
        </c:dispUnits>
      </c:valAx>
      <c:valAx>
        <c:axId val="292071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20693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17270000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7.1024591386303982E-3"/>
                  <c:y val="6.1594202898550728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330538.85608282685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117120"/>
        <c:axId val="292127872"/>
      </c:scatterChart>
      <c:valAx>
        <c:axId val="2921171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92127872"/>
        <c:crosses val="autoZero"/>
        <c:crossBetween val="midCat"/>
        <c:dispUnits>
          <c:builtInUnit val="thousands"/>
        </c:dispUnits>
      </c:valAx>
      <c:valAx>
        <c:axId val="292127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21171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3-year </a:t>
            </a:r>
            <a:r>
              <a:rPr lang="en-US" sz="1200">
                <a:solidFill>
                  <a:sysClr val="windowText" lastClr="000000"/>
                </a:solidFill>
              </a:rPr>
              <a:t>Incr. Revenue </a:t>
            </a:r>
            <a:r>
              <a:rPr lang="en-US" sz="1200"/>
              <a:t>from Samples</a:t>
            </a:r>
          </a:p>
        </c:rich>
      </c:tx>
      <c:overlay val="0"/>
      <c:spPr>
        <a:solidFill>
          <a:sysClr val="window" lastClr="FFFFFF"/>
        </a:solidFill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JANSample!$B$9</c:f>
              <c:numCache>
                <c:formatCode>"$"#,##0</c:formatCode>
                <c:ptCount val="1"/>
                <c:pt idx="0">
                  <c:v>5392349.1000000006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JANSample!$C$9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353965540.58551222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236288"/>
        <c:axId val="290255232"/>
      </c:scatterChart>
      <c:valAx>
        <c:axId val="2902362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290255232"/>
        <c:crosses val="autoZero"/>
        <c:crossBetween val="midCat"/>
        <c:dispUnits>
          <c:builtInUnit val="millions"/>
        </c:dispUnits>
      </c:valAx>
      <c:valAx>
        <c:axId val="290255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3-year Incr. Revenue (in MM $)</a:t>
                </a: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29023628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>
                <a:solidFill>
                  <a:srgbClr val="0000FF"/>
                </a:solidFill>
              </a:rPr>
              <a:t> </a:t>
            </a:r>
            <a:r>
              <a:rPr lang="en-US" sz="1200"/>
              <a:t>from Samples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JMTSample!$B$9</c:f>
              <c:numCache>
                <c:formatCode>"$"#,##0</c:formatCode>
                <c:ptCount val="1"/>
                <c:pt idx="0">
                  <c:v>14049391.5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JMTSample!$C$9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411347767.96748447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304768"/>
        <c:axId val="290307072"/>
      </c:scatterChart>
      <c:valAx>
        <c:axId val="2903047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290307072"/>
        <c:crosses val="autoZero"/>
        <c:crossBetween val="midCat"/>
        <c:dispUnits>
          <c:builtInUnit val="millions"/>
        </c:dispUnits>
      </c:valAx>
      <c:valAx>
        <c:axId val="290307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3-year Incr. Revenue (in MM $)</a:t>
                </a:r>
                <a:endParaRPr lang="en-US" sz="1000"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29030476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JJVCH!$C$9</c:f>
              <c:numCache>
                <c:formatCode>"$"#,##0</c:formatCode>
                <c:ptCount val="1"/>
                <c:pt idx="0">
                  <c:v>4635085.5320000006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13139080.774025781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364800"/>
        <c:axId val="290367360"/>
      </c:scatterChart>
      <c:valAx>
        <c:axId val="2903648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290367360"/>
        <c:crosses val="autoZero"/>
        <c:crossBetween val="midCat"/>
        <c:dispUnits>
          <c:builtInUnit val="millions"/>
        </c:dispUnits>
      </c:valAx>
      <c:valAx>
        <c:axId val="290367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solidFill>
                      <a:sysClr val="windowText" lastClr="000000"/>
                    </a:solidFill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29036480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 b="1" i="0" baseline="0">
                <a:effectLst/>
              </a:rPr>
              <a:t> from MMF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JJMMF!$B$9</c:f>
              <c:numCache>
                <c:formatCode>"$"#,##0</c:formatCode>
                <c:ptCount val="1"/>
                <c:pt idx="0">
                  <c:v>3401441.5320000001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JJMMF!$C$9</c:f>
              <c:numCache>
                <c:formatCode>"$"#,##0</c:formatCode>
                <c:ptCount val="1"/>
                <c:pt idx="0">
                  <c:v>4884000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2037051.8094706296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412800"/>
        <c:axId val="290427648"/>
      </c:scatterChart>
      <c:valAx>
        <c:axId val="2904128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290427648"/>
        <c:crosses val="autoZero"/>
        <c:crossBetween val="midCat"/>
        <c:dispUnits>
          <c:builtInUnit val="millions"/>
        </c:dispUnits>
      </c:valAx>
      <c:valAx>
        <c:axId val="290427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.0_);_(&quot;$&quot;* \(#,##0.0\);_(&quot;$&quot;* &quot;-&quot;?_);_(@_)" sourceLinked="0"/>
        <c:majorTickMark val="out"/>
        <c:minorTickMark val="none"/>
        <c:tickLblPos val="nextTo"/>
        <c:crossAx val="29041280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HCC Programs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20658600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59237226.400000006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49152705.988807186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283981905.56807083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267136"/>
        <c:axId val="292269440"/>
      </c:scatterChart>
      <c:valAx>
        <c:axId val="2922671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292269440"/>
        <c:crosses val="autoZero"/>
        <c:crossBetween val="midCat"/>
        <c:dispUnits>
          <c:builtInUnit val="millions"/>
        </c:dispUnits>
      </c:valAx>
      <c:valAx>
        <c:axId val="292269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29226713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MCM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1887779362815026E-2"/>
                  <c:y val="3.867791842475387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3114936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4.7551117451260106E-3"/>
                  <c:y val="-2.76864126161445E-7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8124382.9767209534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37947123.122444868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319232"/>
        <c:axId val="292321536"/>
      </c:scatterChart>
      <c:valAx>
        <c:axId val="2923192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292321536"/>
        <c:crosses val="autoZero"/>
        <c:crossBetween val="midCat"/>
        <c:dispUnits>
          <c:builtInUnit val="millions"/>
        </c:dispUnits>
      </c:valAx>
      <c:valAx>
        <c:axId val="2923215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29231923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Pharmacy Acquisition Programs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2361269.6823696457</c:v>
                </c:pt>
                <c:pt idx="2">
                  <c:v>4659083.6305231191</c:v>
                </c:pt>
                <c:pt idx="3">
                  <c:v>6895097.8755654637</c:v>
                </c:pt>
                <c:pt idx="4">
                  <c:v>9070927.8843093459</c:v>
                </c:pt>
                <c:pt idx="5">
                  <c:v>11188149.408475276</c:v>
                </c:pt>
                <c:pt idx="6">
                  <c:v>13248299.324273052</c:v>
                </c:pt>
                <c:pt idx="7">
                  <c:v>15252876.461916698</c:v>
                </c:pt>
                <c:pt idx="8">
                  <c:v>17203342.424755335</c:v>
                </c:pt>
                <c:pt idx="9">
                  <c:v>19101122.397652429</c:v>
                </c:pt>
                <c:pt idx="10">
                  <c:v>20947605.944332264</c:v>
                </c:pt>
                <c:pt idx="11">
                  <c:v>22744147.793455273</c:v>
                </c:pt>
                <c:pt idx="12">
                  <c:v>24492068.613178466</c:v>
                </c:pt>
                <c:pt idx="13">
                  <c:v>26192655.774010539</c:v>
                </c:pt>
                <c:pt idx="14">
                  <c:v>27847164.099827245</c:v>
                </c:pt>
                <c:pt idx="15">
                  <c:v>29456816.606878411</c:v>
                </c:pt>
                <c:pt idx="16">
                  <c:v>31022805.230690785</c:v>
                </c:pt>
                <c:pt idx="17">
                  <c:v>32546291.540800072</c:v>
                </c:pt>
                <c:pt idx="18">
                  <c:v>34028407.443217412</c:v>
                </c:pt>
                <c:pt idx="19">
                  <c:v>35470255.870615743</c:v>
                </c:pt>
                <c:pt idx="20">
                  <c:v>36872911.460200608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3182350.5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3889539.5000000005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9.5785440613026813E-3"/>
                  <c:y val="3.6469730123997082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3182350.5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7296301.4413780412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379264"/>
        <c:axId val="292385920"/>
      </c:scatterChart>
      <c:valAx>
        <c:axId val="2923792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292385920"/>
        <c:crosses val="autoZero"/>
        <c:crossBetween val="midCat"/>
        <c:dispUnits>
          <c:builtInUnit val="millions"/>
        </c:dispUnits>
      </c:valAx>
      <c:valAx>
        <c:axId val="2923859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292379264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 </a:t>
            </a:r>
            <a:r>
              <a:rPr lang="en-US" sz="1200"/>
              <a:t>from Adherence</a:t>
            </a:r>
            <a:r>
              <a:rPr lang="en-US" sz="1200" baseline="0"/>
              <a:t> Programs</a:t>
            </a:r>
            <a:endParaRPr lang="en-US" sz="120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2.1681189537048338E-7</c:v>
                </c:pt>
                <c:pt idx="1">
                  <c:v>7772856.7945769234</c:v>
                </c:pt>
                <c:pt idx="2">
                  <c:v>15105318.180573247</c:v>
                </c:pt>
                <c:pt idx="3">
                  <c:v>22018519.87087566</c:v>
                </c:pt>
                <c:pt idx="4">
                  <c:v>28533043.981559742</c:v>
                </c:pt>
                <c:pt idx="5">
                  <c:v>34668872.562647186</c:v>
                </c:pt>
                <c:pt idx="6">
                  <c:v>40445351.182245173</c:v>
                </c:pt>
                <c:pt idx="7">
                  <c:v>45881161.532988735</c:v>
                </c:pt>
                <c:pt idx="8">
                  <c:v>50994302.073508427</c:v>
                </c:pt>
                <c:pt idx="9">
                  <c:v>55802075.770012639</c:v>
                </c:pt>
                <c:pt idx="10">
                  <c:v>60321084.061315671</c:v>
                </c:pt>
                <c:pt idx="11">
                  <c:v>64567226.232455835</c:v>
                </c:pt>
                <c:pt idx="12">
                  <c:v>68555703.445590869</c:v>
                </c:pt>
                <c:pt idx="13">
                  <c:v>72301026.740581453</c:v>
                </c:pt>
                <c:pt idx="14">
                  <c:v>75817028.380371436</c:v>
                </c:pt>
                <c:pt idx="15">
                  <c:v>79116875.977021381</c:v>
                </c:pt>
                <c:pt idx="16">
                  <c:v>82213088.892330885</c:v>
                </c:pt>
                <c:pt idx="17">
                  <c:v>85117556.461948901</c:v>
                </c:pt>
                <c:pt idx="18">
                  <c:v>87841557.64332135</c:v>
                </c:pt>
                <c:pt idx="19">
                  <c:v>90395781.735644668</c:v>
                </c:pt>
                <c:pt idx="20">
                  <c:v>92790349.864078641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17270000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2.3674242424242859E-3"/>
                  <c:y val="3.623188405797101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38474722.848041043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447744"/>
        <c:axId val="292462592"/>
      </c:scatterChart>
      <c:valAx>
        <c:axId val="292447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292462592"/>
        <c:crosses val="autoZero"/>
        <c:crossBetween val="midCat"/>
        <c:dispUnits>
          <c:builtInUnit val="millions"/>
        </c:dispUnits>
      </c:valAx>
      <c:valAx>
        <c:axId val="292462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292447744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4242253.8145483863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49152705.988807186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2928722.1567082792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8124382.9767209534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391350.92093183304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3182350.5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75247.187494712707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330538.85608282685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4242253.8145483863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49152705.988807186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2928722.1567082792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8124382.9767209534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391350.92093183304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3182350.5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75247.187494712707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330538.85608282685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962688"/>
        <c:axId val="294977920"/>
      </c:scatterChart>
      <c:valAx>
        <c:axId val="294962688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Channel Spend (in MM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94977920"/>
        <c:crosses val="autoZero"/>
        <c:crossBetween val="midCat"/>
        <c:dispUnits>
          <c:builtInUnit val="millions"/>
        </c:dispUnits>
      </c:valAx>
      <c:valAx>
        <c:axId val="294977920"/>
        <c:scaling>
          <c:orientation val="minMax"/>
          <c:max val="5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>
                    <a:solidFill>
                      <a:sysClr val="windowText" lastClr="000000"/>
                    </a:solidFill>
                  </a:defRPr>
                </a:pPr>
                <a:r>
                  <a:rPr lang="en-US" sz="1200" b="0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949626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4242253.8145483863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49152705.988807186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2928722.1567082792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8124382.9767209534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391350.92093183304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3182350.5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75247.187494712707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330538.85608282685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4242253.8145483863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49152705.988807186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2928722.1567082792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5.4086538461538464E-2"/>
                  <c:y val="-0.1412918108419838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8124382.9767209534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391350.92093183304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3182350.5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75247.187494712707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9"/>
              <c:layout>
                <c:manualLayout>
                  <c:x val="-9.6153846153846159E-2"/>
                  <c:y val="-2.883506343713956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330538.85608282685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580608"/>
        <c:axId val="296608128"/>
      </c:scatterChart>
      <c:valAx>
        <c:axId val="296580608"/>
        <c:scaling>
          <c:orientation val="minMax"/>
          <c:max val="25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Channel Spend (in MM $)</a:t>
                </a:r>
              </a:p>
            </c:rich>
          </c:tx>
          <c:layout>
            <c:manualLayout>
              <c:xMode val="edge"/>
              <c:yMode val="edge"/>
              <c:x val="0.38775126817080557"/>
              <c:y val="0.91738754325259508"/>
            </c:manualLayout>
          </c:layout>
          <c:overlay val="0"/>
        </c:title>
        <c:numFmt formatCode="&quot;$&quot;#,##0" sourceLinked="1"/>
        <c:majorTickMark val="out"/>
        <c:minorTickMark val="none"/>
        <c:tickLblPos val="nextTo"/>
        <c:crossAx val="296608128"/>
        <c:crosses val="autoZero"/>
        <c:crossBetween val="midCat"/>
        <c:dispUnits>
          <c:builtInUnit val="thousands"/>
        </c:dispUnits>
      </c:valAx>
      <c:valAx>
        <c:axId val="296608128"/>
        <c:scaling>
          <c:orientation val="minMax"/>
          <c:max val="9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>
                    <a:solidFill>
                      <a:sysClr val="windowText" lastClr="000000"/>
                    </a:solidFill>
                  </a:defRPr>
                </a:pPr>
                <a:r>
                  <a:rPr lang="en-US" sz="1200" b="0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658060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353965540.58551222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411347767.96748447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13139080.774025781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2037051.8094706296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49152705.988807186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283981905.56807083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8124382.9767209534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37947123.122444868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2361269.6823696457</c:v>
                </c:pt>
                <c:pt idx="2">
                  <c:v>4659083.6305231191</c:v>
                </c:pt>
                <c:pt idx="3">
                  <c:v>6895097.8755654637</c:v>
                </c:pt>
                <c:pt idx="4">
                  <c:v>9070927.8843093459</c:v>
                </c:pt>
                <c:pt idx="5">
                  <c:v>11188149.408475276</c:v>
                </c:pt>
                <c:pt idx="6">
                  <c:v>13248299.324273052</c:v>
                </c:pt>
                <c:pt idx="7">
                  <c:v>15252876.461916698</c:v>
                </c:pt>
                <c:pt idx="8">
                  <c:v>17203342.424755335</c:v>
                </c:pt>
                <c:pt idx="9">
                  <c:v>19101122.397652429</c:v>
                </c:pt>
                <c:pt idx="10">
                  <c:v>20947605.944332264</c:v>
                </c:pt>
                <c:pt idx="11">
                  <c:v>22744147.793455273</c:v>
                </c:pt>
                <c:pt idx="12">
                  <c:v>24492068.613178466</c:v>
                </c:pt>
                <c:pt idx="13">
                  <c:v>26192655.774010539</c:v>
                </c:pt>
                <c:pt idx="14">
                  <c:v>27847164.099827245</c:v>
                </c:pt>
                <c:pt idx="15">
                  <c:v>29456816.606878411</c:v>
                </c:pt>
                <c:pt idx="16">
                  <c:v>31022805.230690785</c:v>
                </c:pt>
                <c:pt idx="17">
                  <c:v>32546291.540800072</c:v>
                </c:pt>
                <c:pt idx="18">
                  <c:v>34028407.443217412</c:v>
                </c:pt>
                <c:pt idx="19">
                  <c:v>35470255.870615743</c:v>
                </c:pt>
                <c:pt idx="20">
                  <c:v>36872911.460200608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3182350.5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7296301.4413780412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2.1681189537048338E-7</c:v>
                </c:pt>
                <c:pt idx="1">
                  <c:v>7772856.7945769234</c:v>
                </c:pt>
                <c:pt idx="2">
                  <c:v>15105318.180573247</c:v>
                </c:pt>
                <c:pt idx="3">
                  <c:v>22018519.87087566</c:v>
                </c:pt>
                <c:pt idx="4">
                  <c:v>28533043.981559742</c:v>
                </c:pt>
                <c:pt idx="5">
                  <c:v>34668872.562647186</c:v>
                </c:pt>
                <c:pt idx="6">
                  <c:v>40445351.182245173</c:v>
                </c:pt>
                <c:pt idx="7">
                  <c:v>45881161.532988735</c:v>
                </c:pt>
                <c:pt idx="8">
                  <c:v>50994302.073508427</c:v>
                </c:pt>
                <c:pt idx="9">
                  <c:v>55802075.770012639</c:v>
                </c:pt>
                <c:pt idx="10">
                  <c:v>60321084.061315671</c:v>
                </c:pt>
                <c:pt idx="11">
                  <c:v>64567226.232455835</c:v>
                </c:pt>
                <c:pt idx="12">
                  <c:v>68555703.445590869</c:v>
                </c:pt>
                <c:pt idx="13">
                  <c:v>72301026.740581453</c:v>
                </c:pt>
                <c:pt idx="14">
                  <c:v>75817028.380371436</c:v>
                </c:pt>
                <c:pt idx="15">
                  <c:v>79116875.977021381</c:v>
                </c:pt>
                <c:pt idx="16">
                  <c:v>82213088.892330885</c:v>
                </c:pt>
                <c:pt idx="17">
                  <c:v>85117556.461948901</c:v>
                </c:pt>
                <c:pt idx="18">
                  <c:v>87841557.64332135</c:v>
                </c:pt>
                <c:pt idx="19">
                  <c:v>90395781.735644668</c:v>
                </c:pt>
                <c:pt idx="20">
                  <c:v>92790349.864078641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38474722.848041043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066496"/>
        <c:axId val="297069184"/>
      </c:scatterChart>
      <c:valAx>
        <c:axId val="297066496"/>
        <c:scaling>
          <c:orientation val="minMax"/>
          <c:max val="6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97069184"/>
        <c:crosses val="autoZero"/>
        <c:crossBetween val="midCat"/>
        <c:dispUnits>
          <c:builtInUnit val="millions"/>
        </c:dispUnits>
      </c:valAx>
      <c:valAx>
        <c:axId val="297069184"/>
        <c:scaling>
          <c:orientation val="minMax"/>
          <c:max val="5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layout/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29706649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353965540.58551222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411347767.96748447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13139080.774025781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2037051.8094706296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49152705.988807186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283981905.56807083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8124382.9767209534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37947123.122444868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2361269.6823696457</c:v>
                </c:pt>
                <c:pt idx="2">
                  <c:v>4659083.6305231191</c:v>
                </c:pt>
                <c:pt idx="3">
                  <c:v>6895097.8755654637</c:v>
                </c:pt>
                <c:pt idx="4">
                  <c:v>9070927.8843093459</c:v>
                </c:pt>
                <c:pt idx="5">
                  <c:v>11188149.408475276</c:v>
                </c:pt>
                <c:pt idx="6">
                  <c:v>13248299.324273052</c:v>
                </c:pt>
                <c:pt idx="7">
                  <c:v>15252876.461916698</c:v>
                </c:pt>
                <c:pt idx="8">
                  <c:v>17203342.424755335</c:v>
                </c:pt>
                <c:pt idx="9">
                  <c:v>19101122.397652429</c:v>
                </c:pt>
                <c:pt idx="10">
                  <c:v>20947605.944332264</c:v>
                </c:pt>
                <c:pt idx="11">
                  <c:v>22744147.793455273</c:v>
                </c:pt>
                <c:pt idx="12">
                  <c:v>24492068.613178466</c:v>
                </c:pt>
                <c:pt idx="13">
                  <c:v>26192655.774010539</c:v>
                </c:pt>
                <c:pt idx="14">
                  <c:v>27847164.099827245</c:v>
                </c:pt>
                <c:pt idx="15">
                  <c:v>29456816.606878411</c:v>
                </c:pt>
                <c:pt idx="16">
                  <c:v>31022805.230690785</c:v>
                </c:pt>
                <c:pt idx="17">
                  <c:v>32546291.540800072</c:v>
                </c:pt>
                <c:pt idx="18">
                  <c:v>34028407.443217412</c:v>
                </c:pt>
                <c:pt idx="19">
                  <c:v>35470255.870615743</c:v>
                </c:pt>
                <c:pt idx="20">
                  <c:v>36872911.460200608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3182350.5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7296301.4413780412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2.1681189537048338E-7</c:v>
                </c:pt>
                <c:pt idx="1">
                  <c:v>7772856.7945769234</c:v>
                </c:pt>
                <c:pt idx="2">
                  <c:v>15105318.180573247</c:v>
                </c:pt>
                <c:pt idx="3">
                  <c:v>22018519.87087566</c:v>
                </c:pt>
                <c:pt idx="4">
                  <c:v>28533043.981559742</c:v>
                </c:pt>
                <c:pt idx="5">
                  <c:v>34668872.562647186</c:v>
                </c:pt>
                <c:pt idx="6">
                  <c:v>40445351.182245173</c:v>
                </c:pt>
                <c:pt idx="7">
                  <c:v>45881161.532988735</c:v>
                </c:pt>
                <c:pt idx="8">
                  <c:v>50994302.073508427</c:v>
                </c:pt>
                <c:pt idx="9">
                  <c:v>55802075.770012639</c:v>
                </c:pt>
                <c:pt idx="10">
                  <c:v>60321084.061315671</c:v>
                </c:pt>
                <c:pt idx="11">
                  <c:v>64567226.232455835</c:v>
                </c:pt>
                <c:pt idx="12">
                  <c:v>68555703.445590869</c:v>
                </c:pt>
                <c:pt idx="13">
                  <c:v>72301026.740581453</c:v>
                </c:pt>
                <c:pt idx="14">
                  <c:v>75817028.380371436</c:v>
                </c:pt>
                <c:pt idx="15">
                  <c:v>79116875.977021381</c:v>
                </c:pt>
                <c:pt idx="16">
                  <c:v>82213088.892330885</c:v>
                </c:pt>
                <c:pt idx="17">
                  <c:v>85117556.461948901</c:v>
                </c:pt>
                <c:pt idx="18">
                  <c:v>87841557.64332135</c:v>
                </c:pt>
                <c:pt idx="19">
                  <c:v>90395781.735644668</c:v>
                </c:pt>
                <c:pt idx="20">
                  <c:v>92790349.864078641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38474722.848041043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829696"/>
        <c:axId val="296832384"/>
      </c:scatterChart>
      <c:valAx>
        <c:axId val="296829696"/>
        <c:scaling>
          <c:orientation val="minMax"/>
          <c:max val="2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96832384"/>
        <c:crosses val="autoZero"/>
        <c:crossBetween val="midCat"/>
        <c:dispUnits>
          <c:builtInUnit val="millions"/>
        </c:dispUnits>
      </c:valAx>
      <c:valAx>
        <c:axId val="296832384"/>
        <c:scaling>
          <c:orientation val="minMax"/>
          <c:max val="1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29682969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5392349.1000000006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683008"/>
        <c:axId val="291842304"/>
      </c:scatterChart>
      <c:valAx>
        <c:axId val="296683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91842304"/>
        <c:crosses val="autoZero"/>
        <c:crossBetween val="midCat"/>
        <c:dispUnits>
          <c:builtInUnit val="thousands"/>
        </c:dispUnits>
      </c:valAx>
      <c:valAx>
        <c:axId val="291842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668300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JANSample!$H$9</c:f>
              <c:numCache>
                <c:formatCode>#,##0</c:formatCode>
                <c:ptCount val="1"/>
                <c:pt idx="0">
                  <c:v>200413.29391107528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25378.876892208733</c:v>
                </c:pt>
                <c:pt idx="2">
                  <c:v>50674.284123322177</c:v>
                </c:pt>
                <c:pt idx="3">
                  <c:v>75886.221693340325</c:v>
                </c:pt>
                <c:pt idx="4">
                  <c:v>101014.68960226317</c:v>
                </c:pt>
                <c:pt idx="5">
                  <c:v>126059.68785009073</c:v>
                </c:pt>
                <c:pt idx="6">
                  <c:v>151021.21643682299</c:v>
                </c:pt>
                <c:pt idx="7">
                  <c:v>175899.27536245997</c:v>
                </c:pt>
                <c:pt idx="8">
                  <c:v>200693.86462700163</c:v>
                </c:pt>
                <c:pt idx="9">
                  <c:v>225404.98423044803</c:v>
                </c:pt>
                <c:pt idx="10">
                  <c:v>250032.63417279909</c:v>
                </c:pt>
                <c:pt idx="11">
                  <c:v>274576.81445405487</c:v>
                </c:pt>
                <c:pt idx="12">
                  <c:v>299037.52507421537</c:v>
                </c:pt>
                <c:pt idx="13">
                  <c:v>323414.76603328058</c:v>
                </c:pt>
                <c:pt idx="14">
                  <c:v>347708.5373312505</c:v>
                </c:pt>
                <c:pt idx="15">
                  <c:v>371918.83896812511</c:v>
                </c:pt>
                <c:pt idx="16">
                  <c:v>396045.67094390444</c:v>
                </c:pt>
                <c:pt idx="17">
                  <c:v>420089.03325858846</c:v>
                </c:pt>
                <c:pt idx="18">
                  <c:v>444048.92591217719</c:v>
                </c:pt>
                <c:pt idx="19">
                  <c:v>467925.34890467062</c:v>
                </c:pt>
                <c:pt idx="20">
                  <c:v>491718.30223606876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5392349.1000000006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JANSample!$E$9</c:f>
              <c:numCache>
                <c:formatCode>#,##0</c:formatCode>
                <c:ptCount val="1"/>
                <c:pt idx="0">
                  <c:v>316606.02914625418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892608"/>
        <c:axId val="291903360"/>
      </c:scatterChart>
      <c:valAx>
        <c:axId val="2918926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91903360"/>
        <c:crosses val="autoZero"/>
        <c:crossBetween val="midCat"/>
        <c:dispUnits>
          <c:builtInUnit val="thousands"/>
        </c:dispUnits>
      </c:valAx>
      <c:valAx>
        <c:axId val="291903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189260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14049391.5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4242253.8145483863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016128"/>
        <c:axId val="292018432"/>
      </c:scatterChart>
      <c:valAx>
        <c:axId val="2920161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92018432"/>
        <c:crosses val="autoZero"/>
        <c:crossBetween val="midCat"/>
        <c:dispUnits>
          <c:builtInUnit val="thousands"/>
        </c:dispUnits>
      </c:valAx>
      <c:valAx>
        <c:axId val="2920184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201612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JMTSample!$H$9</c:f>
              <c:numCache>
                <c:formatCode>#,##0</c:formatCode>
                <c:ptCount val="1"/>
                <c:pt idx="0">
                  <c:v>230933.63819705584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29561.46752068662</c:v>
                </c:pt>
                <c:pt idx="2">
                  <c:v>59130.463989929907</c:v>
                </c:pt>
                <c:pt idx="3">
                  <c:v>88706.989407729881</c:v>
                </c:pt>
                <c:pt idx="4">
                  <c:v>118291.04377408652</c:v>
                </c:pt>
                <c:pt idx="5">
                  <c:v>147882.62708899984</c:v>
                </c:pt>
                <c:pt idx="6">
                  <c:v>177481.73935246983</c:v>
                </c:pt>
                <c:pt idx="7">
                  <c:v>207088.38056449647</c:v>
                </c:pt>
                <c:pt idx="8">
                  <c:v>236702.55072507978</c:v>
                </c:pt>
                <c:pt idx="9">
                  <c:v>266324.24983421981</c:v>
                </c:pt>
                <c:pt idx="10">
                  <c:v>295953.47789191647</c:v>
                </c:pt>
                <c:pt idx="11">
                  <c:v>325590.23489816982</c:v>
                </c:pt>
                <c:pt idx="12">
                  <c:v>355234.52085297985</c:v>
                </c:pt>
                <c:pt idx="13">
                  <c:v>384886.33575634653</c:v>
                </c:pt>
                <c:pt idx="14">
                  <c:v>414545.67960826989</c:v>
                </c:pt>
                <c:pt idx="15">
                  <c:v>444212.55240874994</c:v>
                </c:pt>
                <c:pt idx="16">
                  <c:v>473886.95415778668</c:v>
                </c:pt>
                <c:pt idx="17">
                  <c:v>503568.88485537999</c:v>
                </c:pt>
                <c:pt idx="18">
                  <c:v>533258.34450153005</c:v>
                </c:pt>
                <c:pt idx="19">
                  <c:v>562955.33309623681</c:v>
                </c:pt>
                <c:pt idx="20">
                  <c:v>592659.85063950031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14049391.5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JMTSample!$E$9</c:f>
              <c:numCache>
                <c:formatCode>#,##0</c:formatCode>
                <c:ptCount val="1"/>
                <c:pt idx="0">
                  <c:v>367931.81392440468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569152"/>
        <c:axId val="305579904"/>
      </c:scatterChart>
      <c:valAx>
        <c:axId val="3055691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05579904"/>
        <c:crosses val="autoZero"/>
        <c:crossBetween val="midCat"/>
        <c:dispUnits>
          <c:builtInUnit val="thousands"/>
        </c:dispUnits>
      </c:valAx>
      <c:valAx>
        <c:axId val="30557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55691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TOTSample!$I$9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644000.83781159297</c:v>
                </c:pt>
                <c:pt idx="2">
                  <c:v>1288211.1218520165</c:v>
                </c:pt>
                <c:pt idx="3">
                  <c:v>1932630.8521212705</c:v>
                </c:pt>
                <c:pt idx="4">
                  <c:v>2577260.0286193546</c:v>
                </c:pt>
                <c:pt idx="5">
                  <c:v>3222098.6513462695</c:v>
                </c:pt>
                <c:pt idx="6">
                  <c:v>3867146.7203020151</c:v>
                </c:pt>
                <c:pt idx="7">
                  <c:v>4512404.2354865903</c:v>
                </c:pt>
                <c:pt idx="8">
                  <c:v>5157871.1968999971</c:v>
                </c:pt>
                <c:pt idx="9">
                  <c:v>5803547.604542234</c:v>
                </c:pt>
                <c:pt idx="10">
                  <c:v>6449433.458413301</c:v>
                </c:pt>
                <c:pt idx="11">
                  <c:v>7095528.7585131992</c:v>
                </c:pt>
                <c:pt idx="12">
                  <c:v>7741833.5048419265</c:v>
                </c:pt>
                <c:pt idx="13">
                  <c:v>8388347.6973994859</c:v>
                </c:pt>
                <c:pt idx="14">
                  <c:v>9035071.3361858744</c:v>
                </c:pt>
                <c:pt idx="15">
                  <c:v>9682004.421201095</c:v>
                </c:pt>
                <c:pt idx="16">
                  <c:v>10329146.952445144</c:v>
                </c:pt>
                <c:pt idx="17">
                  <c:v>10976498.929918025</c:v>
                </c:pt>
                <c:pt idx="18">
                  <c:v>11624060.353619734</c:v>
                </c:pt>
                <c:pt idx="19">
                  <c:v>12271831.223550277</c:v>
                </c:pt>
                <c:pt idx="20">
                  <c:v>12919811.539709648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TOTSample!$F$9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656576"/>
        <c:axId val="297212160"/>
      </c:scatterChart>
      <c:valAx>
        <c:axId val="3056565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97212160"/>
        <c:crosses val="autoZero"/>
        <c:crossBetween val="midCat"/>
        <c:dispUnits>
          <c:builtInUnit val="thousands"/>
        </c:dispUnits>
      </c:valAx>
      <c:valAx>
        <c:axId val="297212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56565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TOTSample!$H$9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55854.365811933487</c:v>
                </c:pt>
                <c:pt idx="2">
                  <c:v>111726.89695160596</c:v>
                </c:pt>
                <c:pt idx="3">
                  <c:v>167617.59341901742</c:v>
                </c:pt>
                <c:pt idx="4">
                  <c:v>223526.45521416783</c:v>
                </c:pt>
                <c:pt idx="5">
                  <c:v>279453.48233705724</c:v>
                </c:pt>
                <c:pt idx="6">
                  <c:v>335398.67478768562</c:v>
                </c:pt>
                <c:pt idx="7">
                  <c:v>391362.03256605304</c:v>
                </c:pt>
                <c:pt idx="8">
                  <c:v>447343.55567215936</c:v>
                </c:pt>
                <c:pt idx="9">
                  <c:v>503343.24410600471</c:v>
                </c:pt>
                <c:pt idx="10">
                  <c:v>559361.09786758909</c:v>
                </c:pt>
                <c:pt idx="11">
                  <c:v>615397.11695691233</c:v>
                </c:pt>
                <c:pt idx="12">
                  <c:v>671451.30137397465</c:v>
                </c:pt>
                <c:pt idx="13">
                  <c:v>727523.65111877583</c:v>
                </c:pt>
                <c:pt idx="14">
                  <c:v>783614.16619131609</c:v>
                </c:pt>
                <c:pt idx="15">
                  <c:v>839722.84659159533</c:v>
                </c:pt>
                <c:pt idx="16">
                  <c:v>895849.69231961353</c:v>
                </c:pt>
                <c:pt idx="17">
                  <c:v>951994.70337537082</c:v>
                </c:pt>
                <c:pt idx="18">
                  <c:v>1008157.879758867</c:v>
                </c:pt>
                <c:pt idx="19">
                  <c:v>1064339.2214701022</c:v>
                </c:pt>
                <c:pt idx="20">
                  <c:v>1120538.7285090764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TOTSample!$E$9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266560"/>
        <c:axId val="297277312"/>
      </c:scatterChart>
      <c:valAx>
        <c:axId val="2972665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97277312"/>
        <c:crosses val="autoZero"/>
        <c:crossBetween val="midCat"/>
        <c:dispUnits>
          <c:builtInUnit val="thousands"/>
        </c:dispUnits>
      </c:valAx>
      <c:valAx>
        <c:axId val="2972773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726656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4635085.5320000006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381888"/>
        <c:axId val="297384192"/>
      </c:scatterChart>
      <c:valAx>
        <c:axId val="2973818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97384192"/>
        <c:crosses val="autoZero"/>
        <c:crossBetween val="midCat"/>
        <c:dispUnits>
          <c:builtInUnit val="thousands"/>
        </c:dispUnits>
      </c:valAx>
      <c:valAx>
        <c:axId val="297384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73818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JJVCH!$H$9</c:f>
              <c:numCache>
                <c:formatCode>#,##0</c:formatCode>
                <c:ptCount val="1"/>
                <c:pt idx="0">
                  <c:v>13058.170083390574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JJVCH!$B$23:$B$43</c:f>
              <c:numCache>
                <c:formatCode>#,##0</c:formatCode>
                <c:ptCount val="21"/>
                <c:pt idx="0">
                  <c:v>0</c:v>
                </c:pt>
                <c:pt idx="1">
                  <c:v>1715.9938848419392</c:v>
                </c:pt>
                <c:pt idx="2">
                  <c:v>3432.0049209969438</c:v>
                </c:pt>
                <c:pt idx="3">
                  <c:v>5148.0331084650143</c:v>
                </c:pt>
                <c:pt idx="4">
                  <c:v>6864.0784472461501</c:v>
                </c:pt>
                <c:pt idx="5">
                  <c:v>8580.1409373403512</c:v>
                </c:pt>
                <c:pt idx="6">
                  <c:v>10296.220578747618</c:v>
                </c:pt>
                <c:pt idx="7">
                  <c:v>12012.317371467951</c:v>
                </c:pt>
                <c:pt idx="8">
                  <c:v>13728.431315501346</c:v>
                </c:pt>
                <c:pt idx="9">
                  <c:v>15444.562410847811</c:v>
                </c:pt>
                <c:pt idx="10">
                  <c:v>17160.710657507341</c:v>
                </c:pt>
                <c:pt idx="11">
                  <c:v>18876.876055479934</c:v>
                </c:pt>
                <c:pt idx="12">
                  <c:v>20593.058604765592</c:v>
                </c:pt>
                <c:pt idx="13">
                  <c:v>22309.258305364314</c:v>
                </c:pt>
                <c:pt idx="14">
                  <c:v>24025.475157276109</c:v>
                </c:pt>
                <c:pt idx="15">
                  <c:v>25741.709160500963</c:v>
                </c:pt>
                <c:pt idx="16">
                  <c:v>27457.960315038883</c:v>
                </c:pt>
                <c:pt idx="17">
                  <c:v>29174.228620889873</c:v>
                </c:pt>
                <c:pt idx="18">
                  <c:v>30890.514078053922</c:v>
                </c:pt>
                <c:pt idx="19">
                  <c:v>32606.816686531038</c:v>
                </c:pt>
                <c:pt idx="20">
                  <c:v>34323.136446321223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4635085.5320000006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JJVCH!$E$9</c:f>
              <c:numCache>
                <c:formatCode>#,##0</c:formatCode>
                <c:ptCount val="1"/>
                <c:pt idx="0">
                  <c:v>11752.308384638445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958272"/>
        <c:axId val="305977216"/>
      </c:scatterChart>
      <c:valAx>
        <c:axId val="3059582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05977216"/>
        <c:crosses val="autoZero"/>
        <c:crossBetween val="midCat"/>
        <c:dispUnits>
          <c:builtInUnit val="thousands"/>
        </c:dispUnits>
      </c:valAx>
      <c:valAx>
        <c:axId val="3059772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595827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3401441.5320000001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4884000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994048"/>
        <c:axId val="308996352"/>
      </c:scatterChart>
      <c:valAx>
        <c:axId val="3089940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08996352"/>
        <c:crosses val="autoZero"/>
        <c:crossBetween val="midCat"/>
        <c:dispUnits>
          <c:builtInUnit val="thousands"/>
        </c:dispUnits>
      </c:valAx>
      <c:valAx>
        <c:axId val="308996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899404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Incr. NRx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JJMMF!$H$9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JJMMF!$B$30:$B$50</c:f>
              <c:numCache>
                <c:formatCode>#,##0</c:formatCode>
                <c:ptCount val="21"/>
                <c:pt idx="0">
                  <c:v>0</c:v>
                </c:pt>
                <c:pt idx="1">
                  <c:v>629.56490051464186</c:v>
                </c:pt>
                <c:pt idx="2">
                  <c:v>1192.8250504925284</c:v>
                </c:pt>
                <c:pt idx="3">
                  <c:v>1655.6123288503752</c:v>
                </c:pt>
                <c:pt idx="4">
                  <c:v>2059.9135792918387</c:v>
                </c:pt>
                <c:pt idx="5">
                  <c:v>2429.7066710650297</c:v>
                </c:pt>
                <c:pt idx="6">
                  <c:v>2741.9011416863686</c:v>
                </c:pt>
                <c:pt idx="7">
                  <c:v>2996.3056955581837</c:v>
                </c:pt>
                <c:pt idx="8">
                  <c:v>3216.6772375412847</c:v>
                </c:pt>
                <c:pt idx="9">
                  <c:v>3413.2615065556502</c:v>
                </c:pt>
                <c:pt idx="10">
                  <c:v>3587.9307138747795</c:v>
                </c:pt>
                <c:pt idx="11">
                  <c:v>3742.4548719927543</c:v>
                </c:pt>
                <c:pt idx="12">
                  <c:v>3878.5879969333819</c:v>
                </c:pt>
                <c:pt idx="13">
                  <c:v>3998.0307016956012</c:v>
                </c:pt>
                <c:pt idx="14">
                  <c:v>4102.4724685284873</c:v>
                </c:pt>
                <c:pt idx="15">
                  <c:v>4193.6027796811159</c:v>
                </c:pt>
                <c:pt idx="16">
                  <c:v>4273.1111174025591</c:v>
                </c:pt>
                <c:pt idx="17">
                  <c:v>4342.6869639418946</c:v>
                </c:pt>
                <c:pt idx="18">
                  <c:v>4404.0198015481947</c:v>
                </c:pt>
                <c:pt idx="19">
                  <c:v>4458.7991124705359</c:v>
                </c:pt>
                <c:pt idx="20">
                  <c:v>4508.7143789579914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3401441.5320000001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4884000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JJMMF!$E$9</c:f>
              <c:numCache>
                <c:formatCode>#,##0</c:formatCode>
                <c:ptCount val="1"/>
                <c:pt idx="0">
                  <c:v>1822.0499190256078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773952"/>
        <c:axId val="305776512"/>
      </c:scatterChart>
      <c:valAx>
        <c:axId val="3057739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05776512"/>
        <c:crosses val="autoZero"/>
        <c:crossBetween val="midCat"/>
        <c:dispUnits>
          <c:builtInUnit val="thousands"/>
        </c:dispUnits>
      </c:valAx>
      <c:valAx>
        <c:axId val="3057765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577395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20658600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59237226.400000006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49152705.988807186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2928722.1567082792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352"/>
        <c:axId val="305903104"/>
      </c:scatterChart>
      <c:valAx>
        <c:axId val="3058923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05903104"/>
        <c:crosses val="autoZero"/>
        <c:crossBetween val="midCat"/>
        <c:dispUnits>
          <c:builtInUnit val="thousands"/>
        </c:dispUnits>
      </c:valAx>
      <c:valAx>
        <c:axId val="305903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58923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JJHCC!$H$9</c:f>
              <c:numCache>
                <c:formatCode>#,##0</c:formatCode>
                <c:ptCount val="1"/>
                <c:pt idx="0">
                  <c:v>138412.14348311909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JJHCC!$B$22:$B$42</c:f>
              <c:numCache>
                <c:formatCode>#,##0</c:formatCode>
                <c:ptCount val="21"/>
                <c:pt idx="0">
                  <c:v>0</c:v>
                </c:pt>
                <c:pt idx="1">
                  <c:v>20387.807857017033</c:v>
                </c:pt>
                <c:pt idx="2">
                  <c:v>40047.087668891996</c:v>
                </c:pt>
                <c:pt idx="3">
                  <c:v>58997.915796743706</c:v>
                </c:pt>
                <c:pt idx="4">
                  <c:v>77260.28909897618</c:v>
                </c:pt>
                <c:pt idx="5">
                  <c:v>94854.081059573218</c:v>
                </c:pt>
                <c:pt idx="6">
                  <c:v>111799.00184178166</c:v>
                </c:pt>
                <c:pt idx="7">
                  <c:v>128114.56210814044</c:v>
                </c:pt>
                <c:pt idx="8">
                  <c:v>143820.04043962713</c:v>
                </c:pt>
                <c:pt idx="9">
                  <c:v>158934.4541807482</c:v>
                </c:pt>
                <c:pt idx="10">
                  <c:v>173476.53353370167</c:v>
                </c:pt>
                <c:pt idx="11">
                  <c:v>187464.69872274343</c:v>
                </c:pt>
                <c:pt idx="12">
                  <c:v>200917.04004970193</c:v>
                </c:pt>
                <c:pt idx="13">
                  <c:v>213851.30066273827</c:v>
                </c:pt>
                <c:pt idx="14">
                  <c:v>226284.86186285131</c:v>
                </c:pt>
                <c:pt idx="15">
                  <c:v>238234.73077614885</c:v>
                </c:pt>
                <c:pt idx="16">
                  <c:v>249717.53022422828</c:v>
                </c:pt>
                <c:pt idx="17">
                  <c:v>260749.49063010328</c:v>
                </c:pt>
                <c:pt idx="18">
                  <c:v>271346.44380283542</c:v>
                </c:pt>
                <c:pt idx="19">
                  <c:v>281523.81845008489</c:v>
                </c:pt>
                <c:pt idx="20">
                  <c:v>291296.63727436401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20658600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59237226.400000006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49152705.988807186</c:v>
                </c:pt>
              </c:numCache>
            </c:numRef>
          </c:xVal>
          <c:yVal>
            <c:numRef>
              <c:f>JJHCC!$E$9</c:f>
              <c:numCache>
                <c:formatCode>#,##0</c:formatCode>
                <c:ptCount val="1"/>
                <c:pt idx="0">
                  <c:v>254008.86007877532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033600"/>
        <c:axId val="309052544"/>
      </c:scatterChart>
      <c:valAx>
        <c:axId val="3090336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09052544"/>
        <c:crosses val="autoZero"/>
        <c:crossBetween val="midCat"/>
        <c:dispUnits>
          <c:builtInUnit val="thousands"/>
        </c:dispUnits>
      </c:valAx>
      <c:valAx>
        <c:axId val="309052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903360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3114936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8124382.9767209534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391350.92093183304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361280"/>
        <c:axId val="309384320"/>
      </c:scatterChart>
      <c:valAx>
        <c:axId val="3093612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09384320"/>
        <c:crosses val="autoZero"/>
        <c:crossBetween val="midCat"/>
        <c:dispUnits>
          <c:builtInUnit val="thousands"/>
        </c:dispUnits>
      </c:valAx>
      <c:valAx>
        <c:axId val="30938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936128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JJMCM!$H$9</c:f>
              <c:numCache>
                <c:formatCode>#,##0</c:formatCode>
                <c:ptCount val="1"/>
                <c:pt idx="0">
                  <c:v>32808.607210343704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JJMCM!$B$22:$B$42</c:f>
              <c:numCache>
                <c:formatCode>#,##0</c:formatCode>
                <c:ptCount val="21"/>
                <c:pt idx="0">
                  <c:v>0</c:v>
                </c:pt>
                <c:pt idx="1">
                  <c:v>6895.6730519244447</c:v>
                </c:pt>
                <c:pt idx="2">
                  <c:v>13492.924360195175</c:v>
                </c:pt>
                <c:pt idx="3">
                  <c:v>19803.930657913908</c:v>
                </c:pt>
                <c:pt idx="4">
                  <c:v>25840.436453695409</c:v>
                </c:pt>
                <c:pt idx="5">
                  <c:v>31613.763577678241</c:v>
                </c:pt>
                <c:pt idx="6">
                  <c:v>37134.821087535471</c:v>
                </c:pt>
                <c:pt idx="7">
                  <c:v>42414.115461166948</c:v>
                </c:pt>
                <c:pt idx="8">
                  <c:v>47461.761009507813</c:v>
                </c:pt>
                <c:pt idx="9">
                  <c:v>52287.490449133329</c:v>
                </c:pt>
                <c:pt idx="10">
                  <c:v>56900.665580376983</c:v>
                </c:pt>
                <c:pt idx="11">
                  <c:v>61310.288022032939</c:v>
                </c:pt>
                <c:pt idx="12">
                  <c:v>65525.00995898433</c:v>
                </c:pt>
                <c:pt idx="13">
                  <c:v>69553.144863749854</c:v>
                </c:pt>
                <c:pt idx="14">
                  <c:v>73402.678157398477</c:v>
                </c:pt>
                <c:pt idx="15">
                  <c:v>77081.277779318392</c:v>
                </c:pt>
                <c:pt idx="16">
                  <c:v>80596.304639068432</c:v>
                </c:pt>
                <c:pt idx="17">
                  <c:v>83954.822926981375</c:v>
                </c:pt>
                <c:pt idx="18">
                  <c:v>87163.610263321549</c:v>
                </c:pt>
                <c:pt idx="19">
                  <c:v>90229.167668692768</c:v>
                </c:pt>
                <c:pt idx="20">
                  <c:v>93157.729340983555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3114936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8124382.9767209534</c:v>
                </c:pt>
              </c:numCache>
            </c:numRef>
          </c:xVal>
          <c:yVal>
            <c:numRef>
              <c:f>JJMCM!$E$9</c:f>
              <c:numCache>
                <c:formatCode>#,##0</c:formatCode>
                <c:ptCount val="1"/>
                <c:pt idx="0">
                  <c:v>33941.970592526719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180672"/>
        <c:axId val="309199616"/>
      </c:scatterChart>
      <c:valAx>
        <c:axId val="3091806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09199616"/>
        <c:crosses val="autoZero"/>
        <c:crossBetween val="midCat"/>
        <c:dispUnits>
          <c:builtInUnit val="thousands"/>
        </c:dispUnits>
      </c:valAx>
      <c:valAx>
        <c:axId val="30919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918067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3182350.5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3889539.5000000005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3182350.5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75247.187494712707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299456"/>
        <c:axId val="309306112"/>
      </c:scatterChart>
      <c:valAx>
        <c:axId val="3092994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layout/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09306112"/>
        <c:crosses val="autoZero"/>
        <c:crossBetween val="midCat"/>
        <c:dispUnits>
          <c:builtInUnit val="thousands"/>
        </c:dispUnits>
      </c:valAx>
      <c:valAx>
        <c:axId val="309306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30929945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Pharmacy Acquisition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JJHCC_ACQ!$H$9</c:f>
              <c:numCache>
                <c:formatCode>#,##0</c:formatCode>
                <c:ptCount val="1"/>
                <c:pt idx="0">
                  <c:v>7217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JJHCC_ACQ!$B$22:$B$42</c:f>
              <c:numCache>
                <c:formatCode>#,##0</c:formatCode>
                <c:ptCount val="21"/>
                <c:pt idx="0">
                  <c:v>0</c:v>
                </c:pt>
                <c:pt idx="1">
                  <c:v>2112.0480164308101</c:v>
                </c:pt>
                <c:pt idx="2">
                  <c:v>4167.337773276493</c:v>
                </c:pt>
                <c:pt idx="3">
                  <c:v>6167.3505148170516</c:v>
                </c:pt>
                <c:pt idx="4">
                  <c:v>8113.5312024233863</c:v>
                </c:pt>
                <c:pt idx="5">
                  <c:v>10007.289274128154</c:v>
                </c:pt>
                <c:pt idx="6">
                  <c:v>11849.999395593069</c:v>
                </c:pt>
                <c:pt idx="7">
                  <c:v>13643.002202072181</c:v>
                </c:pt>
                <c:pt idx="8">
                  <c:v>15387.605031087063</c:v>
                </c:pt>
                <c:pt idx="9">
                  <c:v>17085.082645485178</c:v>
                </c:pt>
                <c:pt idx="10">
                  <c:v>18736.677946629934</c:v>
                </c:pt>
                <c:pt idx="11">
                  <c:v>20343.602677509189</c:v>
                </c:pt>
                <c:pt idx="12">
                  <c:v>21907.038115544245</c:v>
                </c:pt>
                <c:pt idx="13">
                  <c:v>23428.135754928924</c:v>
                </c:pt>
                <c:pt idx="14">
                  <c:v>24908.017978378572</c:v>
                </c:pt>
                <c:pt idx="15">
                  <c:v>26347.778718138114</c:v>
                </c:pt>
                <c:pt idx="16">
                  <c:v>27748.484106163494</c:v>
                </c:pt>
                <c:pt idx="17">
                  <c:v>29111.17311341688</c:v>
                </c:pt>
                <c:pt idx="18">
                  <c:v>30436.858178190887</c:v>
                </c:pt>
                <c:pt idx="19">
                  <c:v>31726.525823448785</c:v>
                </c:pt>
                <c:pt idx="20">
                  <c:v>32981.137263149023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3182350.5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3889539.5000000005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3182350.5</c:v>
                </c:pt>
              </c:numCache>
            </c:numRef>
          </c:xVal>
          <c:yVal>
            <c:numRef>
              <c:f>JJHCC_ACQ!$E$9</c:f>
              <c:numCache>
                <c:formatCode>#,##0</c:formatCode>
                <c:ptCount val="1"/>
                <c:pt idx="0">
                  <c:v>6526.2088026637211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688192"/>
        <c:axId val="309690752"/>
      </c:scatterChart>
      <c:valAx>
        <c:axId val="3096881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09690752"/>
        <c:crosses val="autoZero"/>
        <c:crossBetween val="midCat"/>
        <c:dispUnits>
          <c:builtInUnit val="thousands"/>
        </c:dispUnits>
      </c:valAx>
      <c:valAx>
        <c:axId val="309690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968819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17270000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330538.85608282685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774208"/>
        <c:axId val="309784960"/>
      </c:scatterChart>
      <c:valAx>
        <c:axId val="30977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layout/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09784960"/>
        <c:crosses val="autoZero"/>
        <c:crossBetween val="midCat"/>
        <c:dispUnits>
          <c:builtInUnit val="thousands"/>
        </c:dispUnits>
      </c:valAx>
      <c:valAx>
        <c:axId val="3097849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30977420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081472"/>
        <c:axId val="297091840"/>
      </c:scatterChart>
      <c:valAx>
        <c:axId val="2970814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7091840"/>
        <c:crosses val="autoZero"/>
        <c:crossBetween val="midCat"/>
      </c:valAx>
      <c:valAx>
        <c:axId val="29709184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708147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577984"/>
        <c:axId val="309592448"/>
      </c:scatterChart>
      <c:valAx>
        <c:axId val="3095779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9592448"/>
        <c:crosses val="autoZero"/>
        <c:crossBetween val="midCat"/>
      </c:valAx>
      <c:valAx>
        <c:axId val="30959244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957798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642048"/>
        <c:axId val="318644224"/>
      </c:scatterChart>
      <c:valAx>
        <c:axId val="3186420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8644224"/>
        <c:crosses val="autoZero"/>
        <c:crossBetween val="midCat"/>
      </c:valAx>
      <c:valAx>
        <c:axId val="318644224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864204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731776"/>
        <c:axId val="318738432"/>
      </c:scatterChart>
      <c:valAx>
        <c:axId val="3187317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18738432"/>
        <c:crosses val="autoZero"/>
        <c:crossBetween val="midCat"/>
        <c:dispUnits>
          <c:builtInUnit val="millions"/>
        </c:dispUnits>
      </c:valAx>
      <c:valAx>
        <c:axId val="31873843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1873177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502920</xdr:colOff>
      <xdr:row>41</xdr:row>
      <xdr:rowOff>76200</xdr:rowOff>
    </xdr:from>
    <xdr:to>
      <xdr:col>17</xdr:col>
      <xdr:colOff>358140</xdr:colOff>
      <xdr:row>61</xdr:row>
      <xdr:rowOff>30480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53340</xdr:colOff>
      <xdr:row>61</xdr:row>
      <xdr:rowOff>38100</xdr:rowOff>
    </xdr:from>
    <xdr:to>
      <xdr:col>8</xdr:col>
      <xdr:colOff>480060</xdr:colOff>
      <xdr:row>80</xdr:row>
      <xdr:rowOff>45720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502920</xdr:colOff>
      <xdr:row>61</xdr:row>
      <xdr:rowOff>53340</xdr:rowOff>
    </xdr:from>
    <xdr:to>
      <xdr:col>17</xdr:col>
      <xdr:colOff>381000</xdr:colOff>
      <xdr:row>80</xdr:row>
      <xdr:rowOff>83820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502920</xdr:colOff>
      <xdr:row>41</xdr:row>
      <xdr:rowOff>76200</xdr:rowOff>
    </xdr:from>
    <xdr:to>
      <xdr:col>17</xdr:col>
      <xdr:colOff>358140</xdr:colOff>
      <xdr:row>61</xdr:row>
      <xdr:rowOff>30480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68580</xdr:colOff>
      <xdr:row>61</xdr:row>
      <xdr:rowOff>30480</xdr:rowOff>
    </xdr:from>
    <xdr:to>
      <xdr:col>8</xdr:col>
      <xdr:colOff>495300</xdr:colOff>
      <xdr:row>80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518160</xdr:colOff>
      <xdr:row>61</xdr:row>
      <xdr:rowOff>30480</xdr:rowOff>
    </xdr:from>
    <xdr:to>
      <xdr:col>17</xdr:col>
      <xdr:colOff>396240</xdr:colOff>
      <xdr:row>80</xdr:row>
      <xdr:rowOff>60960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1</xdr:row>
      <xdr:rowOff>83820</xdr:rowOff>
    </xdr:from>
    <xdr:to>
      <xdr:col>10</xdr:col>
      <xdr:colOff>449580</xdr:colOff>
      <xdr:row>25</xdr:row>
      <xdr:rowOff>99060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220980</xdr:colOff>
      <xdr:row>26</xdr:row>
      <xdr:rowOff>175260</xdr:rowOff>
    </xdr:from>
    <xdr:to>
      <xdr:col>10</xdr:col>
      <xdr:colOff>464820</xdr:colOff>
      <xdr:row>51</xdr:row>
      <xdr:rowOff>7620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91440</xdr:colOff>
      <xdr:row>1</xdr:row>
      <xdr:rowOff>83820</xdr:rowOff>
    </xdr:from>
    <xdr:to>
      <xdr:col>21</xdr:col>
      <xdr:colOff>335280</xdr:colOff>
      <xdr:row>25</xdr:row>
      <xdr:rowOff>99060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129540</xdr:colOff>
      <xdr:row>27</xdr:row>
      <xdr:rowOff>0</xdr:rowOff>
    </xdr:from>
    <xdr:to>
      <xdr:col>21</xdr:col>
      <xdr:colOff>373380</xdr:colOff>
      <xdr:row>51</xdr:row>
      <xdr:rowOff>15240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678180</xdr:colOff>
      <xdr:row>26</xdr:row>
      <xdr:rowOff>133350</xdr:rowOff>
    </xdr:from>
    <xdr:to>
      <xdr:col>12</xdr:col>
      <xdr:colOff>358140</xdr:colOff>
      <xdr:row>48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670560</xdr:colOff>
      <xdr:row>49</xdr:row>
      <xdr:rowOff>91440</xdr:rowOff>
    </xdr:from>
    <xdr:to>
      <xdr:col>12</xdr:col>
      <xdr:colOff>350520</xdr:colOff>
      <xdr:row>70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17</xdr:row>
      <xdr:rowOff>220980</xdr:rowOff>
    </xdr:from>
    <xdr:to>
      <xdr:col>12</xdr:col>
      <xdr:colOff>510540</xdr:colOff>
      <xdr:row>41</xdr:row>
      <xdr:rowOff>80010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160020</xdr:colOff>
      <xdr:row>42</xdr:row>
      <xdr:rowOff>144780</xdr:rowOff>
    </xdr:from>
    <xdr:to>
      <xdr:col>12</xdr:col>
      <xdr:colOff>541020</xdr:colOff>
      <xdr:row>66</xdr:row>
      <xdr:rowOff>125730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167640</xdr:colOff>
      <xdr:row>18</xdr:row>
      <xdr:rowOff>160020</xdr:rowOff>
    </xdr:from>
    <xdr:to>
      <xdr:col>12</xdr:col>
      <xdr:colOff>548640</xdr:colOff>
      <xdr:row>42</xdr:row>
      <xdr:rowOff>140970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243840</xdr:colOff>
      <xdr:row>43</xdr:row>
      <xdr:rowOff>91440</xdr:rowOff>
    </xdr:from>
    <xdr:to>
      <xdr:col>12</xdr:col>
      <xdr:colOff>624840</xdr:colOff>
      <xdr:row>67</xdr:row>
      <xdr:rowOff>72390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129540</xdr:colOff>
      <xdr:row>38</xdr:row>
      <xdr:rowOff>129540</xdr:rowOff>
    </xdr:from>
    <xdr:to>
      <xdr:col>12</xdr:col>
      <xdr:colOff>22860</xdr:colOff>
      <xdr:row>59</xdr:row>
      <xdr:rowOff>129540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\\wpushh01\dinfopln\Marketing%20Mix%20PI\InvOpt\P2%202014%20AB\Promo\Diabetes%20Deep%20Dive\Optimize\ChannelResp\FNL_SAMPLE_Resp_Curv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Excel.Sheet.12">
    <oleItems>
      <mc:AlternateContent xmlns:mc="http://schemas.openxmlformats.org/markup-compatibility/2006">
        <mc:Choice Requires="x14">
          <x14:oleItem name="!JMT Sample Curve - TRx!R44C17" advise="1">
            <x14:values>
              <value>
                <val>5.8629951685230131</val>
              </value>
            </x14:values>
          </x14:oleItem>
        </mc:Choice>
        <mc:Fallback>
          <oleItem name="!JMT Sample Curve - TRx!R44C17" advise="1"/>
        </mc:Fallback>
      </mc:AlternateContent>
    </oleItems>
  </ol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G46" workbookViewId="0">
      <selection activeCell="V61" sqref="V6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A4" workbookViewId="0">
      <selection activeCell="I30" sqref="I30"/>
    </sheetView>
  </sheetViews>
  <sheetFormatPr defaultRowHeight="14.4" x14ac:dyDescent="0.3"/>
  <cols>
    <col min="1" max="16384" width="8.88671875" style="248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workbookViewId="0"/>
  </sheetViews>
  <sheetFormatPr defaultRowHeight="14.4" x14ac:dyDescent="0.3"/>
  <cols>
    <col min="1" max="16384" width="8.88671875" style="248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2:AL66"/>
  <sheetViews>
    <sheetView topLeftCell="A46" workbookViewId="0">
      <selection activeCell="A50" sqref="A50"/>
    </sheetView>
  </sheetViews>
  <sheetFormatPr defaultRowHeight="14.4" x14ac:dyDescent="0.3"/>
  <cols>
    <col min="1" max="1" width="24.33203125" customWidth="1"/>
    <col min="2" max="2" width="18.6640625" customWidth="1"/>
    <col min="3" max="3" width="16.109375" customWidth="1"/>
    <col min="4" max="4" width="13.21875" customWidth="1"/>
    <col min="5" max="5" width="13.6640625" customWidth="1"/>
    <col min="7" max="7" width="10.88671875" customWidth="1"/>
    <col min="9" max="9" width="9.88671875" bestFit="1" customWidth="1"/>
    <col min="14" max="14" width="13.6640625" customWidth="1"/>
    <col min="26" max="26" width="17.21875" customWidth="1"/>
  </cols>
  <sheetData>
    <row r="2" spans="1:9" s="181" customFormat="1" x14ac:dyDescent="0.3"/>
    <row r="3" spans="1:9" s="181" customFormat="1" ht="43.2" x14ac:dyDescent="0.3">
      <c r="A3" s="169" t="s">
        <v>187</v>
      </c>
      <c r="B3" s="173">
        <v>11.53</v>
      </c>
    </row>
    <row r="4" spans="1:9" s="181" customFormat="1" x14ac:dyDescent="0.3"/>
    <row r="5" spans="1:9" x14ac:dyDescent="0.3">
      <c r="A5" s="159" t="s">
        <v>175</v>
      </c>
    </row>
    <row r="6" spans="1:9" s="178" customFormat="1" ht="45.6" customHeight="1" x14ac:dyDescent="0.3">
      <c r="D6" s="324" t="s">
        <v>191</v>
      </c>
      <c r="E6" s="324"/>
      <c r="F6" s="324" t="s">
        <v>183</v>
      </c>
      <c r="G6" s="324"/>
      <c r="H6" s="324"/>
      <c r="I6" s="324"/>
    </row>
    <row r="7" spans="1:9" ht="57.6" x14ac:dyDescent="0.3">
      <c r="A7" s="156" t="s">
        <v>2</v>
      </c>
      <c r="B7" s="156" t="s">
        <v>3</v>
      </c>
      <c r="C7" s="156" t="s">
        <v>176</v>
      </c>
      <c r="D7" s="156" t="s">
        <v>179</v>
      </c>
      <c r="E7" s="156" t="s">
        <v>180</v>
      </c>
      <c r="F7" s="156" t="s">
        <v>188</v>
      </c>
      <c r="G7" s="156" t="s">
        <v>189</v>
      </c>
      <c r="H7" s="156" t="s">
        <v>186</v>
      </c>
      <c r="I7" s="156" t="s">
        <v>190</v>
      </c>
    </row>
    <row r="8" spans="1:9" x14ac:dyDescent="0.3">
      <c r="A8" s="155" t="s">
        <v>13</v>
      </c>
      <c r="B8" s="155" t="s">
        <v>93</v>
      </c>
      <c r="C8" s="158">
        <v>5991499</v>
      </c>
      <c r="D8" s="171">
        <f>E8*$B$3</f>
        <v>29.862699999999997</v>
      </c>
      <c r="E8" s="163">
        <v>2.59</v>
      </c>
      <c r="F8" s="179">
        <v>4.5699999999999998E-2</v>
      </c>
      <c r="G8" s="175" t="s">
        <v>182</v>
      </c>
      <c r="H8" s="173" t="s">
        <v>185</v>
      </c>
      <c r="I8" s="174">
        <v>5165000</v>
      </c>
    </row>
    <row r="9" spans="1:9" x14ac:dyDescent="0.3">
      <c r="A9" s="155" t="s">
        <v>170</v>
      </c>
      <c r="B9" s="155" t="s">
        <v>93</v>
      </c>
      <c r="C9" s="157">
        <v>15610435</v>
      </c>
      <c r="D9" s="171">
        <f>E9*$B$3</f>
        <v>67.600334293070333</v>
      </c>
      <c r="E9" s="163">
        <f t="array" ref="E9">[1]!'!JMT Sample Curve - TRx!R44C17'</f>
        <v>5.8629951685230131</v>
      </c>
      <c r="F9" s="179">
        <v>0.13750000000000001</v>
      </c>
      <c r="G9" s="175" t="s">
        <v>182</v>
      </c>
      <c r="H9" s="173" t="s">
        <v>185</v>
      </c>
      <c r="I9" s="174">
        <v>5165000</v>
      </c>
    </row>
    <row r="10" spans="1:9" x14ac:dyDescent="0.3">
      <c r="A10" s="155" t="s">
        <v>104</v>
      </c>
      <c r="B10" s="155" t="s">
        <v>95</v>
      </c>
      <c r="C10" s="172">
        <v>3804716</v>
      </c>
      <c r="D10" s="171">
        <v>291</v>
      </c>
      <c r="E10" s="166">
        <f>D10/$B$3</f>
        <v>25.238508239375545</v>
      </c>
      <c r="F10" s="179">
        <v>2.5000000000000001E-3</v>
      </c>
      <c r="G10" s="175" t="s">
        <v>182</v>
      </c>
      <c r="H10" s="173" t="s">
        <v>185</v>
      </c>
      <c r="I10" s="174">
        <v>5165000</v>
      </c>
    </row>
    <row r="11" spans="1:9" x14ac:dyDescent="0.3">
      <c r="A11" s="155" t="s">
        <v>104</v>
      </c>
      <c r="B11" s="155" t="s">
        <v>94</v>
      </c>
      <c r="C11" s="161">
        <v>4440000</v>
      </c>
      <c r="D11" s="171">
        <v>1904</v>
      </c>
      <c r="E11" s="168">
        <v>165.18</v>
      </c>
      <c r="F11" s="179">
        <v>4.0000000000000002E-4</v>
      </c>
      <c r="G11" s="175" t="s">
        <v>182</v>
      </c>
      <c r="H11" s="173" t="s">
        <v>185</v>
      </c>
      <c r="I11" s="174">
        <v>5165000</v>
      </c>
    </row>
    <row r="12" spans="1:9" x14ac:dyDescent="0.3">
      <c r="A12" s="155" t="s">
        <v>104</v>
      </c>
      <c r="B12" s="155" t="s">
        <v>108</v>
      </c>
      <c r="C12" s="162">
        <v>22954000</v>
      </c>
      <c r="D12" s="171">
        <v>165.32505748072708</v>
      </c>
      <c r="E12" s="166">
        <v>14.338686685232185</v>
      </c>
      <c r="F12" s="179">
        <v>2.627286914246511E-2</v>
      </c>
      <c r="G12" s="177">
        <v>0.1</v>
      </c>
      <c r="H12" s="173" t="s">
        <v>185</v>
      </c>
      <c r="I12" s="174">
        <v>5165000</v>
      </c>
    </row>
    <row r="13" spans="1:9" x14ac:dyDescent="0.3">
      <c r="A13" s="155" t="s">
        <v>104</v>
      </c>
      <c r="B13" s="155" t="s">
        <v>96</v>
      </c>
      <c r="C13" s="161">
        <v>7818984</v>
      </c>
      <c r="D13" s="171">
        <v>235.66</v>
      </c>
      <c r="E13" s="166">
        <v>20.440000000000001</v>
      </c>
      <c r="F13" s="179">
        <v>5.7800000000000004E-3</v>
      </c>
      <c r="G13" s="177">
        <v>0.03</v>
      </c>
      <c r="H13" s="173" t="s">
        <v>185</v>
      </c>
      <c r="I13" s="174">
        <v>5165000</v>
      </c>
    </row>
    <row r="14" spans="1:9" x14ac:dyDescent="0.3">
      <c r="A14" s="155" t="s">
        <v>104</v>
      </c>
      <c r="B14" s="155" t="s">
        <v>171</v>
      </c>
      <c r="C14" s="161">
        <v>4782666</v>
      </c>
      <c r="D14" s="171">
        <v>608.11</v>
      </c>
      <c r="E14" s="165">
        <v>52.74</v>
      </c>
      <c r="F14" s="179">
        <v>1.8102092528193402E-3</v>
      </c>
      <c r="G14" s="177">
        <v>0.02</v>
      </c>
      <c r="H14" s="173" t="s">
        <v>185</v>
      </c>
      <c r="I14" s="174">
        <v>5165000</v>
      </c>
    </row>
    <row r="15" spans="1:9" x14ac:dyDescent="0.3">
      <c r="A15" s="155" t="s">
        <v>104</v>
      </c>
      <c r="B15" s="155" t="s">
        <v>172</v>
      </c>
      <c r="C15" s="161">
        <v>15700000</v>
      </c>
      <c r="D15" s="170" t="s">
        <v>182</v>
      </c>
      <c r="E15" s="165">
        <v>43.51</v>
      </c>
      <c r="F15" s="176">
        <v>2.627286914246511E-2</v>
      </c>
      <c r="G15" s="176">
        <v>0.15</v>
      </c>
      <c r="H15" s="167" t="s">
        <v>184</v>
      </c>
      <c r="I15" s="174">
        <v>14649000</v>
      </c>
    </row>
    <row r="16" spans="1:9" x14ac:dyDescent="0.3">
      <c r="A16" s="164" t="s">
        <v>178</v>
      </c>
      <c r="B16" s="164"/>
      <c r="C16" s="160">
        <f>SUM(C8:C15)</f>
        <v>81102300</v>
      </c>
      <c r="D16" s="180"/>
      <c r="E16" s="180"/>
      <c r="F16" s="180"/>
      <c r="G16" s="180"/>
      <c r="H16" s="180"/>
      <c r="I16" s="180"/>
    </row>
    <row r="19" spans="1:38" ht="15" thickBot="1" x14ac:dyDescent="0.35">
      <c r="A19" s="159" t="s">
        <v>192</v>
      </c>
    </row>
    <row r="20" spans="1:38" ht="15" thickTop="1" x14ac:dyDescent="0.3">
      <c r="A20" s="189" t="s">
        <v>193</v>
      </c>
      <c r="B20" s="187"/>
      <c r="C20" s="325" t="s">
        <v>194</v>
      </c>
      <c r="D20" s="325"/>
      <c r="E20" s="325"/>
      <c r="F20" s="325" t="s">
        <v>195</v>
      </c>
      <c r="G20" s="325"/>
      <c r="H20" s="325"/>
      <c r="I20" s="325" t="s">
        <v>196</v>
      </c>
      <c r="J20" s="325"/>
      <c r="K20" s="192" t="s">
        <v>197</v>
      </c>
      <c r="L20" s="187"/>
      <c r="M20" s="189" t="s">
        <v>198</v>
      </c>
      <c r="N20" s="187"/>
      <c r="O20" s="325" t="s">
        <v>194</v>
      </c>
      <c r="P20" s="325"/>
      <c r="Q20" s="325"/>
      <c r="R20" s="325" t="s">
        <v>195</v>
      </c>
      <c r="S20" s="325"/>
      <c r="T20" s="325"/>
      <c r="U20" s="325" t="s">
        <v>196</v>
      </c>
      <c r="V20" s="325"/>
      <c r="W20" s="192" t="s">
        <v>197</v>
      </c>
      <c r="X20" s="187"/>
      <c r="Y20" s="189" t="s">
        <v>199</v>
      </c>
      <c r="Z20" s="187"/>
      <c r="AA20" s="314" t="s">
        <v>200</v>
      </c>
      <c r="AB20" s="315"/>
      <c r="AC20" s="316"/>
      <c r="AD20" s="314" t="s">
        <v>201</v>
      </c>
      <c r="AE20" s="316"/>
      <c r="AF20" s="212"/>
      <c r="AG20" s="317" t="s">
        <v>202</v>
      </c>
      <c r="AH20" s="318"/>
      <c r="AI20" s="318"/>
      <c r="AJ20" s="318"/>
      <c r="AK20" s="318"/>
      <c r="AL20" s="319"/>
    </row>
    <row r="21" spans="1:38" ht="27.6" x14ac:dyDescent="0.3">
      <c r="A21" s="194" t="s">
        <v>203</v>
      </c>
      <c r="B21" s="193" t="s">
        <v>3</v>
      </c>
      <c r="C21" s="194" t="s">
        <v>204</v>
      </c>
      <c r="D21" s="194" t="s">
        <v>205</v>
      </c>
      <c r="E21" s="194" t="s">
        <v>206</v>
      </c>
      <c r="F21" s="194" t="s">
        <v>207</v>
      </c>
      <c r="G21" s="194" t="s">
        <v>208</v>
      </c>
      <c r="H21" s="194" t="s">
        <v>209</v>
      </c>
      <c r="I21" s="194" t="s">
        <v>210</v>
      </c>
      <c r="J21" s="194" t="s">
        <v>211</v>
      </c>
      <c r="K21" s="194" t="s">
        <v>212</v>
      </c>
      <c r="L21" s="187"/>
      <c r="M21" s="194" t="s">
        <v>203</v>
      </c>
      <c r="N21" s="193" t="s">
        <v>3</v>
      </c>
      <c r="O21" s="194" t="s">
        <v>204</v>
      </c>
      <c r="P21" s="194" t="s">
        <v>205</v>
      </c>
      <c r="Q21" s="194" t="s">
        <v>206</v>
      </c>
      <c r="R21" s="194" t="s">
        <v>207</v>
      </c>
      <c r="S21" s="194" t="s">
        <v>208</v>
      </c>
      <c r="T21" s="194" t="s">
        <v>209</v>
      </c>
      <c r="U21" s="194" t="s">
        <v>210</v>
      </c>
      <c r="V21" s="194" t="s">
        <v>211</v>
      </c>
      <c r="W21" s="194" t="s">
        <v>212</v>
      </c>
      <c r="X21" s="187"/>
      <c r="Y21" s="194" t="s">
        <v>203</v>
      </c>
      <c r="Z21" s="214" t="s">
        <v>3</v>
      </c>
      <c r="AA21" s="209" t="s">
        <v>204</v>
      </c>
      <c r="AB21" s="194" t="s">
        <v>205</v>
      </c>
      <c r="AC21" s="208" t="s">
        <v>206</v>
      </c>
      <c r="AD21" s="209" t="s">
        <v>207</v>
      </c>
      <c r="AE21" s="208" t="s">
        <v>208</v>
      </c>
      <c r="AF21" s="213"/>
      <c r="AG21" s="209" t="s">
        <v>204</v>
      </c>
      <c r="AH21" s="194" t="s">
        <v>205</v>
      </c>
      <c r="AI21" s="194" t="s">
        <v>206</v>
      </c>
      <c r="AJ21" s="194" t="s">
        <v>207</v>
      </c>
      <c r="AK21" s="194" t="s">
        <v>208</v>
      </c>
      <c r="AL21" s="208" t="s">
        <v>210</v>
      </c>
    </row>
    <row r="22" spans="1:38" x14ac:dyDescent="0.3">
      <c r="A22" s="199">
        <v>2011</v>
      </c>
      <c r="B22" s="198" t="s">
        <v>213</v>
      </c>
      <c r="C22" s="202">
        <v>202929</v>
      </c>
      <c r="D22" s="202">
        <v>156047</v>
      </c>
      <c r="E22" s="202">
        <v>183545</v>
      </c>
      <c r="F22" s="202">
        <v>105723</v>
      </c>
      <c r="G22" s="202">
        <v>130317</v>
      </c>
      <c r="H22" s="202">
        <v>0</v>
      </c>
      <c r="I22" s="202">
        <v>218771</v>
      </c>
      <c r="J22" s="202">
        <v>99148</v>
      </c>
      <c r="K22" s="202">
        <v>149552</v>
      </c>
      <c r="L22" s="187"/>
      <c r="M22" s="199">
        <v>2011</v>
      </c>
      <c r="N22" s="198" t="s">
        <v>213</v>
      </c>
      <c r="O22" s="191"/>
      <c r="P22" s="191"/>
      <c r="Q22" s="191"/>
      <c r="R22" s="191"/>
      <c r="S22" s="191"/>
      <c r="T22" s="191"/>
      <c r="U22" s="191"/>
      <c r="V22" s="191"/>
      <c r="W22" s="191"/>
      <c r="X22" s="187"/>
      <c r="Y22" s="320">
        <v>2011</v>
      </c>
      <c r="Z22" s="233" t="s">
        <v>213</v>
      </c>
      <c r="AA22" s="243">
        <v>0.37404819352614921</v>
      </c>
      <c r="AB22" s="234">
        <v>0.28763310544660942</v>
      </c>
      <c r="AC22" s="235">
        <v>0.33831870102724132</v>
      </c>
      <c r="AD22" s="243">
        <v>0.44790289781392983</v>
      </c>
      <c r="AE22" s="235">
        <v>0.55209710218607011</v>
      </c>
      <c r="AF22" s="210"/>
      <c r="AG22" s="243">
        <v>0.16286018336607727</v>
      </c>
      <c r="AH22" s="236">
        <v>0.12523514644888734</v>
      </c>
      <c r="AI22" s="236">
        <v>0.14730360054958461</v>
      </c>
      <c r="AJ22" s="245">
        <v>8.4847740667976429E-2</v>
      </c>
      <c r="AK22" s="236">
        <v>0.10458559651758542</v>
      </c>
      <c r="AL22" s="237">
        <v>0</v>
      </c>
    </row>
    <row r="23" spans="1:38" x14ac:dyDescent="0.3">
      <c r="A23" s="188">
        <v>2011</v>
      </c>
      <c r="B23" s="190" t="s">
        <v>214</v>
      </c>
      <c r="C23" s="191">
        <v>113817</v>
      </c>
      <c r="D23" s="191">
        <v>96852</v>
      </c>
      <c r="E23" s="191">
        <v>111249</v>
      </c>
      <c r="F23" s="191">
        <v>67138</v>
      </c>
      <c r="G23" s="191">
        <v>84849</v>
      </c>
      <c r="H23" s="191">
        <v>0</v>
      </c>
      <c r="I23" s="191">
        <v>125031</v>
      </c>
      <c r="J23" s="191">
        <v>65362</v>
      </c>
      <c r="K23" s="191">
        <v>99248</v>
      </c>
      <c r="L23" s="187"/>
      <c r="M23" s="188">
        <v>2011</v>
      </c>
      <c r="N23" s="190" t="s">
        <v>214</v>
      </c>
      <c r="O23" s="191"/>
      <c r="P23" s="191"/>
      <c r="Q23" s="191"/>
      <c r="R23" s="191"/>
      <c r="S23" s="191"/>
      <c r="T23" s="191"/>
      <c r="U23" s="191"/>
      <c r="V23" s="191"/>
      <c r="W23" s="191"/>
      <c r="X23" s="187"/>
      <c r="Y23" s="321"/>
      <c r="Z23" s="215" t="s">
        <v>214</v>
      </c>
      <c r="AA23" s="217">
        <v>0.35355898085847948</v>
      </c>
      <c r="AB23" s="218">
        <v>0.30085922502003615</v>
      </c>
      <c r="AC23" s="219">
        <v>0.34558179412148438</v>
      </c>
      <c r="AD23" s="217">
        <v>0.4417351484008501</v>
      </c>
      <c r="AE23" s="219">
        <v>0.55826485159914996</v>
      </c>
      <c r="AF23" s="211"/>
      <c r="AG23" s="225">
        <v>0.14906371063432983</v>
      </c>
      <c r="AH23" s="229">
        <v>0.12684500999284914</v>
      </c>
      <c r="AI23" s="229">
        <v>0.14570045550628252</v>
      </c>
      <c r="AJ23" s="229">
        <v>8.792921448085643E-2</v>
      </c>
      <c r="AK23" s="229">
        <v>0.11112493549831969</v>
      </c>
      <c r="AL23" s="226">
        <v>0</v>
      </c>
    </row>
    <row r="24" spans="1:38" x14ac:dyDescent="0.3">
      <c r="A24" s="188">
        <v>2011</v>
      </c>
      <c r="B24" s="190" t="s">
        <v>215</v>
      </c>
      <c r="C24" s="191">
        <v>1179</v>
      </c>
      <c r="D24" s="191">
        <v>899</v>
      </c>
      <c r="E24" s="191">
        <v>1116</v>
      </c>
      <c r="F24" s="191">
        <v>750</v>
      </c>
      <c r="G24" s="191">
        <v>887</v>
      </c>
      <c r="H24" s="191">
        <v>0</v>
      </c>
      <c r="I24" s="191">
        <v>1138</v>
      </c>
      <c r="J24" s="191">
        <v>598</v>
      </c>
      <c r="K24" s="191">
        <v>909</v>
      </c>
      <c r="L24" s="187"/>
      <c r="M24" s="188">
        <v>2011</v>
      </c>
      <c r="N24" s="190" t="s">
        <v>215</v>
      </c>
      <c r="O24" s="191"/>
      <c r="P24" s="191"/>
      <c r="Q24" s="191"/>
      <c r="R24" s="191"/>
      <c r="S24" s="191"/>
      <c r="T24" s="191"/>
      <c r="U24" s="191"/>
      <c r="V24" s="191"/>
      <c r="W24" s="191"/>
      <c r="X24" s="187"/>
      <c r="Y24" s="321"/>
      <c r="Z24" s="215" t="s">
        <v>215</v>
      </c>
      <c r="AA24" s="217">
        <v>0.36912961803381339</v>
      </c>
      <c r="AB24" s="218">
        <v>0.28146524733876016</v>
      </c>
      <c r="AC24" s="219">
        <v>0.34940513462742645</v>
      </c>
      <c r="AD24" s="217">
        <v>0.45815516188149052</v>
      </c>
      <c r="AE24" s="219">
        <v>0.54184483811850948</v>
      </c>
      <c r="AF24" s="211"/>
      <c r="AG24" s="225">
        <v>0.15770465489566612</v>
      </c>
      <c r="AH24" s="229">
        <v>0.12025147137506688</v>
      </c>
      <c r="AI24" s="229">
        <v>0.1492776886035313</v>
      </c>
      <c r="AJ24" s="229">
        <v>0.10032102728731943</v>
      </c>
      <c r="AK24" s="229">
        <v>0.11864633493846977</v>
      </c>
      <c r="AL24" s="226">
        <v>0</v>
      </c>
    </row>
    <row r="25" spans="1:38" x14ac:dyDescent="0.3">
      <c r="A25" s="188">
        <v>2011</v>
      </c>
      <c r="B25" s="190" t="s">
        <v>216</v>
      </c>
      <c r="C25" s="191">
        <v>45980</v>
      </c>
      <c r="D25" s="191">
        <v>25190</v>
      </c>
      <c r="E25" s="191">
        <v>37421</v>
      </c>
      <c r="F25" s="191">
        <v>31623</v>
      </c>
      <c r="G25" s="191">
        <v>31073</v>
      </c>
      <c r="H25" s="191">
        <v>0</v>
      </c>
      <c r="I25" s="191">
        <v>35420</v>
      </c>
      <c r="J25" s="191">
        <v>19333</v>
      </c>
      <c r="K25" s="191">
        <v>38677</v>
      </c>
      <c r="L25" s="187"/>
      <c r="M25" s="188">
        <v>2011</v>
      </c>
      <c r="N25" s="190" t="s">
        <v>216</v>
      </c>
      <c r="O25" s="191"/>
      <c r="P25" s="191"/>
      <c r="Q25" s="191"/>
      <c r="R25" s="191"/>
      <c r="S25" s="191"/>
      <c r="T25" s="191"/>
      <c r="U25" s="191"/>
      <c r="V25" s="191"/>
      <c r="W25" s="191"/>
      <c r="X25" s="187"/>
      <c r="Y25" s="321"/>
      <c r="Z25" s="215" t="s">
        <v>216</v>
      </c>
      <c r="AA25" s="217">
        <v>0.42342367231170169</v>
      </c>
      <c r="AB25" s="218">
        <v>0.23197134200808539</v>
      </c>
      <c r="AC25" s="219">
        <v>0.34460498568021292</v>
      </c>
      <c r="AD25" s="217">
        <v>0.50438624473650628</v>
      </c>
      <c r="AE25" s="219">
        <v>0.49561375526349366</v>
      </c>
      <c r="AF25" s="211"/>
      <c r="AG25" s="225">
        <v>0.17369492703528674</v>
      </c>
      <c r="AH25" s="229">
        <v>9.5158225576747996E-2</v>
      </c>
      <c r="AI25" s="229">
        <v>0.14136228500625195</v>
      </c>
      <c r="AJ25" s="229">
        <v>0.11945964936139349</v>
      </c>
      <c r="AK25" s="229">
        <v>0.11738195884661733</v>
      </c>
      <c r="AL25" s="226">
        <v>0</v>
      </c>
    </row>
    <row r="26" spans="1:38" x14ac:dyDescent="0.3">
      <c r="A26" s="188">
        <v>2011</v>
      </c>
      <c r="B26" s="190" t="s">
        <v>217</v>
      </c>
      <c r="C26" s="191">
        <v>29878</v>
      </c>
      <c r="D26" s="191">
        <v>1</v>
      </c>
      <c r="E26" s="191">
        <v>22592</v>
      </c>
      <c r="F26" s="191">
        <v>0</v>
      </c>
      <c r="G26" s="191">
        <v>32</v>
      </c>
      <c r="H26" s="191">
        <v>0</v>
      </c>
      <c r="I26" s="191">
        <v>15377</v>
      </c>
      <c r="J26" s="191">
        <v>2</v>
      </c>
      <c r="K26" s="191">
        <v>21</v>
      </c>
      <c r="L26" s="187"/>
      <c r="M26" s="188">
        <v>2011</v>
      </c>
      <c r="N26" s="190" t="s">
        <v>217</v>
      </c>
      <c r="O26" s="191"/>
      <c r="P26" s="191"/>
      <c r="Q26" s="191"/>
      <c r="R26" s="191"/>
      <c r="S26" s="191"/>
      <c r="T26" s="191"/>
      <c r="U26" s="191"/>
      <c r="V26" s="191"/>
      <c r="W26" s="191"/>
      <c r="X26" s="187"/>
      <c r="Y26" s="321"/>
      <c r="Z26" s="215" t="s">
        <v>217</v>
      </c>
      <c r="AA26" s="217">
        <v>0.56941929827904936</v>
      </c>
      <c r="AB26" s="218">
        <v>1.9058146404680682E-5</v>
      </c>
      <c r="AC26" s="219">
        <v>0.43056164357454596</v>
      </c>
      <c r="AD26" s="217">
        <v>0</v>
      </c>
      <c r="AE26" s="219">
        <v>1</v>
      </c>
      <c r="AF26" s="211"/>
      <c r="AG26" s="225">
        <v>0.44001001428508313</v>
      </c>
      <c r="AH26" s="229">
        <v>1.4726889828137195E-5</v>
      </c>
      <c r="AI26" s="229">
        <v>0.33270989499727555</v>
      </c>
      <c r="AJ26" s="229">
        <v>0</v>
      </c>
      <c r="AK26" s="229">
        <v>4.7126047450039024E-4</v>
      </c>
      <c r="AL26" s="226">
        <v>0</v>
      </c>
    </row>
    <row r="27" spans="1:38" x14ac:dyDescent="0.3">
      <c r="A27" s="188">
        <v>2011</v>
      </c>
      <c r="B27" s="190" t="s">
        <v>218</v>
      </c>
      <c r="C27" s="191">
        <v>8099</v>
      </c>
      <c r="D27" s="191">
        <v>13884</v>
      </c>
      <c r="E27" s="191">
        <v>6553</v>
      </c>
      <c r="F27" s="191">
        <v>4193</v>
      </c>
      <c r="G27" s="191">
        <v>9436</v>
      </c>
      <c r="H27" s="191">
        <v>0</v>
      </c>
      <c r="I27" s="191">
        <v>25024</v>
      </c>
      <c r="J27" s="191">
        <v>9966</v>
      </c>
      <c r="K27" s="191">
        <v>8297</v>
      </c>
      <c r="L27" s="187"/>
      <c r="M27" s="188">
        <v>2011</v>
      </c>
      <c r="N27" s="190" t="s">
        <v>218</v>
      </c>
      <c r="O27" s="191"/>
      <c r="P27" s="191"/>
      <c r="Q27" s="191"/>
      <c r="R27" s="191"/>
      <c r="S27" s="191"/>
      <c r="T27" s="191"/>
      <c r="U27" s="191"/>
      <c r="V27" s="191"/>
      <c r="W27" s="191"/>
      <c r="X27" s="187"/>
      <c r="Y27" s="321"/>
      <c r="Z27" s="215" t="s">
        <v>218</v>
      </c>
      <c r="AA27" s="217">
        <v>0.28381693299691618</v>
      </c>
      <c r="AB27" s="218">
        <v>0.48654331370899917</v>
      </c>
      <c r="AC27" s="219">
        <v>0.22963975329408468</v>
      </c>
      <c r="AD27" s="217">
        <v>0.30765279917822291</v>
      </c>
      <c r="AE27" s="219">
        <v>0.69234720082177714</v>
      </c>
      <c r="AF27" s="211"/>
      <c r="AG27" s="225">
        <v>9.4778355099939149E-2</v>
      </c>
      <c r="AH27" s="229">
        <v>0.16247718017132426</v>
      </c>
      <c r="AI27" s="229">
        <v>7.6686326826756537E-2</v>
      </c>
      <c r="AJ27" s="229">
        <v>4.9068482890979731E-2</v>
      </c>
      <c r="AK27" s="229">
        <v>0.11042456583813134</v>
      </c>
      <c r="AL27" s="226">
        <v>0</v>
      </c>
    </row>
    <row r="28" spans="1:38" x14ac:dyDescent="0.3">
      <c r="A28" s="188">
        <v>2011</v>
      </c>
      <c r="B28" s="190" t="s">
        <v>219</v>
      </c>
      <c r="C28" s="191">
        <v>4538</v>
      </c>
      <c r="D28" s="191">
        <v>5985</v>
      </c>
      <c r="E28" s="191">
        <v>4736</v>
      </c>
      <c r="F28" s="191">
        <v>2412</v>
      </c>
      <c r="G28" s="191">
        <v>4121</v>
      </c>
      <c r="H28" s="191">
        <v>0</v>
      </c>
      <c r="I28" s="191">
        <v>13823</v>
      </c>
      <c r="J28" s="191">
        <v>3172</v>
      </c>
      <c r="K28" s="191">
        <v>3308</v>
      </c>
      <c r="L28" s="187"/>
      <c r="M28" s="188">
        <v>2011</v>
      </c>
      <c r="N28" s="190" t="s">
        <v>219</v>
      </c>
      <c r="O28" s="191"/>
      <c r="P28" s="191"/>
      <c r="Q28" s="191"/>
      <c r="R28" s="191"/>
      <c r="S28" s="191"/>
      <c r="T28" s="191"/>
      <c r="U28" s="191"/>
      <c r="V28" s="191"/>
      <c r="W28" s="191"/>
      <c r="X28" s="187"/>
      <c r="Y28" s="321"/>
      <c r="Z28" s="215" t="s">
        <v>219</v>
      </c>
      <c r="AA28" s="217">
        <v>0.29739825676649845</v>
      </c>
      <c r="AB28" s="218">
        <v>0.39222753784651682</v>
      </c>
      <c r="AC28" s="219">
        <v>0.31037420538698474</v>
      </c>
      <c r="AD28" s="217">
        <v>0.36920251033215978</v>
      </c>
      <c r="AE28" s="219">
        <v>0.63079748966784022</v>
      </c>
      <c r="AF28" s="211"/>
      <c r="AG28" s="225">
        <v>0.10780377717068536</v>
      </c>
      <c r="AH28" s="229">
        <v>0.1421784059864592</v>
      </c>
      <c r="AI28" s="229">
        <v>0.1125074236845231</v>
      </c>
      <c r="AJ28" s="229">
        <v>5.7298966623114386E-2</v>
      </c>
      <c r="AK28" s="229">
        <v>9.7897612543057372E-2</v>
      </c>
      <c r="AL28" s="226">
        <v>0</v>
      </c>
    </row>
    <row r="29" spans="1:38" x14ac:dyDescent="0.3">
      <c r="A29" s="188">
        <v>2011</v>
      </c>
      <c r="B29" s="190" t="s">
        <v>220</v>
      </c>
      <c r="C29" s="191">
        <v>132</v>
      </c>
      <c r="D29" s="191">
        <v>13262</v>
      </c>
      <c r="E29" s="191">
        <v>262</v>
      </c>
      <c r="F29" s="191">
        <v>0</v>
      </c>
      <c r="G29" s="191">
        <v>0</v>
      </c>
      <c r="H29" s="191">
        <v>0</v>
      </c>
      <c r="I29" s="191">
        <v>2272</v>
      </c>
      <c r="J29" s="191">
        <v>81</v>
      </c>
      <c r="K29" s="191">
        <v>0</v>
      </c>
      <c r="L29" s="187"/>
      <c r="M29" s="188">
        <v>2011</v>
      </c>
      <c r="N29" s="190" t="s">
        <v>220</v>
      </c>
      <c r="O29" s="191"/>
      <c r="P29" s="191"/>
      <c r="Q29" s="191"/>
      <c r="R29" s="191"/>
      <c r="S29" s="191"/>
      <c r="T29" s="191"/>
      <c r="U29" s="191"/>
      <c r="V29" s="191"/>
      <c r="W29" s="191"/>
      <c r="X29" s="187"/>
      <c r="Y29" s="321"/>
      <c r="Z29" s="215" t="s">
        <v>220</v>
      </c>
      <c r="AA29" s="217">
        <v>9.6660808435852369E-3</v>
      </c>
      <c r="AB29" s="218">
        <v>0.97114821323960165</v>
      </c>
      <c r="AC29" s="219">
        <v>1.9185705916813123E-2</v>
      </c>
      <c r="AD29" s="227" t="s">
        <v>181</v>
      </c>
      <c r="AE29" s="228" t="s">
        <v>181</v>
      </c>
      <c r="AF29" s="211"/>
      <c r="AG29" s="225">
        <v>8.2453619838840659E-3</v>
      </c>
      <c r="AH29" s="229">
        <v>0.82840901992629146</v>
      </c>
      <c r="AI29" s="229">
        <v>1.6365794240739584E-2</v>
      </c>
      <c r="AJ29" s="229">
        <v>0</v>
      </c>
      <c r="AK29" s="229">
        <v>0</v>
      </c>
      <c r="AL29" s="226">
        <v>0</v>
      </c>
    </row>
    <row r="30" spans="1:38" ht="15" thickBot="1" x14ac:dyDescent="0.35">
      <c r="A30" s="195">
        <v>2011</v>
      </c>
      <c r="B30" s="196" t="s">
        <v>221</v>
      </c>
      <c r="C30" s="197">
        <v>484</v>
      </c>
      <c r="D30" s="197">
        <v>876</v>
      </c>
      <c r="E30" s="197">
        <v>734</v>
      </c>
      <c r="F30" s="197">
        <v>356</v>
      </c>
      <c r="G30" s="197">
        <v>807</v>
      </c>
      <c r="H30" s="197">
        <v>0</v>
      </c>
      <c r="I30" s="197">
        <v>1823</v>
      </c>
      <c r="J30" s="197">
        <v>1232</v>
      </c>
      <c r="K30" s="197">
        <v>0</v>
      </c>
      <c r="L30" s="187"/>
      <c r="M30" s="195">
        <v>2011</v>
      </c>
      <c r="N30" s="196" t="s">
        <v>221</v>
      </c>
      <c r="O30" s="197"/>
      <c r="P30" s="197"/>
      <c r="Q30" s="197"/>
      <c r="R30" s="197"/>
      <c r="S30" s="197"/>
      <c r="T30" s="197"/>
      <c r="U30" s="197"/>
      <c r="V30" s="197"/>
      <c r="W30" s="197"/>
      <c r="X30" s="187"/>
      <c r="Y30" s="322"/>
      <c r="Z30" s="216" t="s">
        <v>221</v>
      </c>
      <c r="AA30" s="220">
        <v>0.23113658070678128</v>
      </c>
      <c r="AB30" s="221">
        <v>0.41833810888252149</v>
      </c>
      <c r="AC30" s="222">
        <v>0.35052531041069723</v>
      </c>
      <c r="AD30" s="220">
        <v>0.30610490111779881</v>
      </c>
      <c r="AE30" s="222">
        <v>0.69389509888220124</v>
      </c>
      <c r="AF30" s="211"/>
      <c r="AG30" s="230">
        <v>7.6679340937896065E-2</v>
      </c>
      <c r="AH30" s="231">
        <v>0.13878326996197718</v>
      </c>
      <c r="AI30" s="231">
        <v>0.11628643852978454</v>
      </c>
      <c r="AJ30" s="231">
        <v>5.6400506970849175E-2</v>
      </c>
      <c r="AK30" s="231">
        <v>0.12785171102661597</v>
      </c>
      <c r="AL30" s="232">
        <v>0</v>
      </c>
    </row>
    <row r="31" spans="1:38" ht="15" thickTop="1" x14ac:dyDescent="0.3">
      <c r="A31" s="200">
        <v>2012</v>
      </c>
      <c r="B31" s="201" t="s">
        <v>213</v>
      </c>
      <c r="C31" s="204">
        <v>194453</v>
      </c>
      <c r="D31" s="206">
        <v>284707</v>
      </c>
      <c r="E31" s="206">
        <v>210491</v>
      </c>
      <c r="F31" s="206">
        <v>178069</v>
      </c>
      <c r="G31" s="206">
        <v>118968</v>
      </c>
      <c r="H31" s="206">
        <v>47684</v>
      </c>
      <c r="I31" s="206">
        <v>211006</v>
      </c>
      <c r="J31" s="206">
        <v>159989</v>
      </c>
      <c r="K31" s="206">
        <v>65632</v>
      </c>
      <c r="L31" s="187"/>
      <c r="M31" s="200">
        <v>2012</v>
      </c>
      <c r="N31" s="201" t="s">
        <v>213</v>
      </c>
      <c r="O31" s="206">
        <v>100</v>
      </c>
      <c r="P31" s="206">
        <v>146.41430062791522</v>
      </c>
      <c r="Q31" s="206">
        <v>108.24775138465337</v>
      </c>
      <c r="R31" s="206">
        <v>91.574313587345017</v>
      </c>
      <c r="S31" s="206">
        <v>61.180850899703266</v>
      </c>
      <c r="T31" s="206">
        <v>24.522121026674824</v>
      </c>
      <c r="U31" s="206">
        <v>108.51259687430897</v>
      </c>
      <c r="V31" s="206">
        <v>82.276436979630034</v>
      </c>
      <c r="W31" s="206">
        <v>33.752114906944094</v>
      </c>
      <c r="X31" s="187"/>
      <c r="Y31" s="323">
        <v>2012</v>
      </c>
      <c r="Z31" s="238" t="s">
        <v>213</v>
      </c>
      <c r="AA31" s="244">
        <v>0.28195855584926288</v>
      </c>
      <c r="AB31" s="239">
        <v>0.41282764760726803</v>
      </c>
      <c r="AC31" s="240">
        <v>0.30521379654346908</v>
      </c>
      <c r="AD31" s="244">
        <v>0.51655976862448183</v>
      </c>
      <c r="AE31" s="240">
        <v>0.34511387469866933</v>
      </c>
      <c r="AF31" s="210"/>
      <c r="AG31" s="244">
        <v>0.13219111637737346</v>
      </c>
      <c r="AH31" s="241">
        <v>0.19354669853616488</v>
      </c>
      <c r="AI31" s="241">
        <v>0.14309391100877702</v>
      </c>
      <c r="AJ31" s="246">
        <v>0.12105310744602818</v>
      </c>
      <c r="AK31" s="241">
        <v>8.0875649813494099E-2</v>
      </c>
      <c r="AL31" s="242">
        <v>3.241606554457209E-2</v>
      </c>
    </row>
    <row r="32" spans="1:38" x14ac:dyDescent="0.3">
      <c r="A32" s="188">
        <v>2012</v>
      </c>
      <c r="B32" s="190" t="s">
        <v>214</v>
      </c>
      <c r="C32" s="203">
        <v>104837</v>
      </c>
      <c r="D32" s="191">
        <v>189342</v>
      </c>
      <c r="E32" s="191">
        <v>142918</v>
      </c>
      <c r="F32" s="191">
        <v>112466</v>
      </c>
      <c r="G32" s="191">
        <v>75149</v>
      </c>
      <c r="H32" s="191">
        <v>28273</v>
      </c>
      <c r="I32" s="191">
        <v>126463</v>
      </c>
      <c r="J32" s="191">
        <v>102778</v>
      </c>
      <c r="K32" s="191">
        <v>46610</v>
      </c>
      <c r="L32" s="187"/>
      <c r="M32" s="188">
        <v>2012</v>
      </c>
      <c r="N32" s="190" t="s">
        <v>214</v>
      </c>
      <c r="O32" s="202">
        <v>100</v>
      </c>
      <c r="P32" s="191">
        <v>180.60608372998084</v>
      </c>
      <c r="Q32" s="191">
        <v>136.32400774535708</v>
      </c>
      <c r="R32" s="191">
        <v>107.27701097894825</v>
      </c>
      <c r="S32" s="191">
        <v>71.68175357936606</v>
      </c>
      <c r="T32" s="191">
        <v>26.968532102215821</v>
      </c>
      <c r="U32" s="191">
        <v>120.62821332163263</v>
      </c>
      <c r="V32" s="191">
        <v>98.035998740902542</v>
      </c>
      <c r="W32" s="191">
        <v>44.459494262521822</v>
      </c>
      <c r="X32" s="187"/>
      <c r="Y32" s="321"/>
      <c r="Z32" s="215" t="s">
        <v>214</v>
      </c>
      <c r="AA32" s="223">
        <v>0.23984836317796737</v>
      </c>
      <c r="AB32" s="218">
        <v>0.43318073562618825</v>
      </c>
      <c r="AC32" s="219">
        <v>0.32697090119584438</v>
      </c>
      <c r="AD32" s="217">
        <v>0.52094604609797668</v>
      </c>
      <c r="AE32" s="219">
        <v>0.34809252945971986</v>
      </c>
      <c r="AF32" s="211"/>
      <c r="AG32" s="225">
        <v>0.11286922556834576</v>
      </c>
      <c r="AH32" s="229">
        <v>0.20384868803534748</v>
      </c>
      <c r="AI32" s="229">
        <v>0.15386785180591622</v>
      </c>
      <c r="AJ32" s="229">
        <v>0.12108273150480817</v>
      </c>
      <c r="AK32" s="229">
        <v>8.0906640138840441E-2</v>
      </c>
      <c r="AL32" s="226">
        <v>3.0439173330921714E-2</v>
      </c>
    </row>
    <row r="33" spans="1:38" x14ac:dyDescent="0.3">
      <c r="A33" s="188">
        <v>2012</v>
      </c>
      <c r="B33" s="190" t="s">
        <v>215</v>
      </c>
      <c r="C33" s="191">
        <v>1203</v>
      </c>
      <c r="D33" s="191">
        <v>1706</v>
      </c>
      <c r="E33" s="191">
        <v>1269</v>
      </c>
      <c r="F33" s="191">
        <v>1181</v>
      </c>
      <c r="G33" s="191">
        <v>753</v>
      </c>
      <c r="H33" s="191">
        <v>320</v>
      </c>
      <c r="I33" s="191">
        <v>1165</v>
      </c>
      <c r="J33" s="191">
        <v>886</v>
      </c>
      <c r="K33" s="191">
        <v>423</v>
      </c>
      <c r="L33" s="187"/>
      <c r="M33" s="188">
        <v>2012</v>
      </c>
      <c r="N33" s="190" t="s">
        <v>215</v>
      </c>
      <c r="O33" s="202">
        <v>100</v>
      </c>
      <c r="P33" s="191">
        <v>141.81213632585204</v>
      </c>
      <c r="Q33" s="191">
        <v>105.4862842892768</v>
      </c>
      <c r="R33" s="191">
        <v>98.171238570241059</v>
      </c>
      <c r="S33" s="191">
        <v>62.593516209476306</v>
      </c>
      <c r="T33" s="191">
        <v>26.60016625103907</v>
      </c>
      <c r="U33" s="191">
        <v>96.841230257689119</v>
      </c>
      <c r="V33" s="191">
        <v>73.649210307564431</v>
      </c>
      <c r="W33" s="191">
        <v>35.16209476309227</v>
      </c>
      <c r="X33" s="187"/>
      <c r="Y33" s="321"/>
      <c r="Z33" s="215" t="s">
        <v>215</v>
      </c>
      <c r="AA33" s="223">
        <v>0.28793681187170894</v>
      </c>
      <c r="AB33" s="218">
        <v>0.40832934418382</v>
      </c>
      <c r="AC33" s="219">
        <v>0.30373384394447106</v>
      </c>
      <c r="AD33" s="217">
        <v>0.52395740905057675</v>
      </c>
      <c r="AE33" s="219">
        <v>0.33407275953859805</v>
      </c>
      <c r="AF33" s="211"/>
      <c r="AG33" s="225">
        <v>0.13507747585897148</v>
      </c>
      <c r="AH33" s="229">
        <v>0.19155625421064451</v>
      </c>
      <c r="AI33" s="229">
        <v>0.14248821019537392</v>
      </c>
      <c r="AJ33" s="229">
        <v>0.13260723108017067</v>
      </c>
      <c r="AK33" s="229">
        <v>8.4549741747136767E-2</v>
      </c>
      <c r="AL33" s="226">
        <v>3.593083314619358E-2</v>
      </c>
    </row>
    <row r="34" spans="1:38" x14ac:dyDescent="0.3">
      <c r="A34" s="188">
        <v>2012</v>
      </c>
      <c r="B34" s="190" t="s">
        <v>216</v>
      </c>
      <c r="C34" s="203">
        <v>46478</v>
      </c>
      <c r="D34" s="191">
        <v>51950</v>
      </c>
      <c r="E34" s="191">
        <v>48297</v>
      </c>
      <c r="F34" s="191">
        <v>46369</v>
      </c>
      <c r="G34" s="191">
        <v>32481</v>
      </c>
      <c r="H34" s="191">
        <v>10661</v>
      </c>
      <c r="I34" s="191">
        <v>37997</v>
      </c>
      <c r="J34" s="191">
        <v>19717</v>
      </c>
      <c r="K34" s="191">
        <v>14732</v>
      </c>
      <c r="L34" s="187"/>
      <c r="M34" s="188">
        <v>2012</v>
      </c>
      <c r="N34" s="247" t="s">
        <v>216</v>
      </c>
      <c r="O34" s="202">
        <v>100</v>
      </c>
      <c r="P34" s="191">
        <v>111.77331210465167</v>
      </c>
      <c r="Q34" s="191">
        <v>103.9136795903438</v>
      </c>
      <c r="R34" s="191">
        <v>99.765480442359816</v>
      </c>
      <c r="S34" s="191">
        <v>69.88467662119713</v>
      </c>
      <c r="T34" s="191">
        <v>22.937733981668746</v>
      </c>
      <c r="U34" s="191">
        <v>81.752657171134729</v>
      </c>
      <c r="V34" s="191">
        <v>42.422221265975303</v>
      </c>
      <c r="W34" s="191">
        <v>31.696716726193035</v>
      </c>
      <c r="X34" s="187"/>
      <c r="Y34" s="321"/>
      <c r="Z34" s="262" t="s">
        <v>216</v>
      </c>
      <c r="AA34" s="223">
        <v>0.31676946668938488</v>
      </c>
      <c r="AB34" s="218">
        <v>0.35406372465496677</v>
      </c>
      <c r="AC34" s="219">
        <v>0.32916680865564835</v>
      </c>
      <c r="AD34" s="217">
        <v>0.51802571750957982</v>
      </c>
      <c r="AE34" s="219">
        <v>0.36287160237289273</v>
      </c>
      <c r="AF34" s="211"/>
      <c r="AG34" s="225">
        <v>0.15056919418689785</v>
      </c>
      <c r="AH34" s="229">
        <v>0.16829617535198035</v>
      </c>
      <c r="AI34" s="229">
        <v>0.1564619900091356</v>
      </c>
      <c r="AJ34" s="229">
        <v>0.15021607997874836</v>
      </c>
      <c r="AK34" s="229">
        <v>0.1052247944486559</v>
      </c>
      <c r="AL34" s="226">
        <v>3.4537161220932866E-2</v>
      </c>
    </row>
    <row r="35" spans="1:38" x14ac:dyDescent="0.3">
      <c r="A35" s="188">
        <v>2012</v>
      </c>
      <c r="B35" s="190" t="s">
        <v>217</v>
      </c>
      <c r="C35" s="191">
        <v>31770</v>
      </c>
      <c r="D35" s="191">
        <v>82</v>
      </c>
      <c r="E35" s="191">
        <v>816</v>
      </c>
      <c r="F35" s="191">
        <v>0</v>
      </c>
      <c r="G35" s="191">
        <v>36</v>
      </c>
      <c r="H35" s="191">
        <v>0</v>
      </c>
      <c r="I35" s="191">
        <v>11680</v>
      </c>
      <c r="J35" s="191">
        <v>5</v>
      </c>
      <c r="K35" s="191">
        <v>30</v>
      </c>
      <c r="L35" s="187"/>
      <c r="M35" s="188">
        <v>2012</v>
      </c>
      <c r="N35" s="190" t="s">
        <v>217</v>
      </c>
      <c r="O35" s="202"/>
      <c r="P35" s="191"/>
      <c r="Q35" s="191"/>
      <c r="R35" s="191"/>
      <c r="S35" s="191"/>
      <c r="T35" s="191"/>
      <c r="U35" s="191"/>
      <c r="V35" s="191"/>
      <c r="W35" s="191"/>
      <c r="X35" s="187"/>
      <c r="Y35" s="321"/>
      <c r="Z35" s="215" t="s">
        <v>217</v>
      </c>
      <c r="AA35" s="223">
        <v>0.97251132606832369</v>
      </c>
      <c r="AB35" s="218">
        <v>2.5101016285049588E-3</v>
      </c>
      <c r="AC35" s="219">
        <v>2.4978572303171298E-2</v>
      </c>
      <c r="AD35" s="217">
        <v>0</v>
      </c>
      <c r="AE35" s="219">
        <v>1</v>
      </c>
      <c r="AF35" s="211"/>
      <c r="AG35" s="225">
        <v>0.71523447173506838</v>
      </c>
      <c r="AH35" s="229">
        <v>1.8460568675566762E-3</v>
      </c>
      <c r="AI35" s="229">
        <v>1.8370517121051803E-2</v>
      </c>
      <c r="AJ35" s="229">
        <v>0</v>
      </c>
      <c r="AK35" s="229">
        <v>8.1046399063463832E-4</v>
      </c>
      <c r="AL35" s="226">
        <v>0</v>
      </c>
    </row>
    <row r="36" spans="1:38" x14ac:dyDescent="0.3">
      <c r="A36" s="188">
        <v>2012</v>
      </c>
      <c r="B36" s="190" t="s">
        <v>218</v>
      </c>
      <c r="C36" s="203">
        <v>8121</v>
      </c>
      <c r="D36" s="191">
        <v>21615</v>
      </c>
      <c r="E36" s="191">
        <v>13800</v>
      </c>
      <c r="F36" s="191">
        <v>14085</v>
      </c>
      <c r="G36" s="191">
        <v>7091</v>
      </c>
      <c r="H36" s="191">
        <v>2862</v>
      </c>
      <c r="I36" s="191">
        <v>16469</v>
      </c>
      <c r="J36" s="191">
        <v>25000</v>
      </c>
      <c r="K36" s="191">
        <v>2527</v>
      </c>
      <c r="L36" s="187"/>
      <c r="M36" s="188">
        <v>2012</v>
      </c>
      <c r="N36" s="247" t="s">
        <v>218</v>
      </c>
      <c r="O36" s="202">
        <v>100</v>
      </c>
      <c r="P36" s="191">
        <v>266.16180273365353</v>
      </c>
      <c r="Q36" s="191">
        <v>169.9298115995567</v>
      </c>
      <c r="R36" s="191">
        <v>173.43923162172146</v>
      </c>
      <c r="S36" s="191">
        <v>87.316832902351933</v>
      </c>
      <c r="T36" s="191">
        <v>35.241965275212408</v>
      </c>
      <c r="U36" s="191">
        <v>202.79522226326807</v>
      </c>
      <c r="V36" s="191">
        <v>307.84386159339982</v>
      </c>
      <c r="W36" s="191">
        <v>31.116857529860852</v>
      </c>
      <c r="X36" s="187"/>
      <c r="Y36" s="321"/>
      <c r="Z36" s="262" t="s">
        <v>218</v>
      </c>
      <c r="AA36" s="223">
        <v>0.18653528114663726</v>
      </c>
      <c r="AB36" s="218">
        <v>0.49648566703417862</v>
      </c>
      <c r="AC36" s="219">
        <v>0.31697905181918412</v>
      </c>
      <c r="AD36" s="217">
        <v>0.58594725018720362</v>
      </c>
      <c r="AE36" s="219">
        <v>0.29499126383226559</v>
      </c>
      <c r="AF36" s="211"/>
      <c r="AG36" s="225">
        <v>7.2788383974186605E-2</v>
      </c>
      <c r="AH36" s="229">
        <v>0.1937348749663888</v>
      </c>
      <c r="AI36" s="229">
        <v>0.12368916375369723</v>
      </c>
      <c r="AJ36" s="229">
        <v>0.12624361387469749</v>
      </c>
      <c r="AK36" s="229">
        <v>6.3556511607062827E-2</v>
      </c>
      <c r="AL36" s="226">
        <v>2.565205700457112E-2</v>
      </c>
    </row>
    <row r="37" spans="1:38" x14ac:dyDescent="0.3">
      <c r="A37" s="188">
        <v>2012</v>
      </c>
      <c r="B37" s="190" t="s">
        <v>219</v>
      </c>
      <c r="C37" s="203">
        <v>3007</v>
      </c>
      <c r="D37" s="191">
        <v>12150</v>
      </c>
      <c r="E37" s="191">
        <v>4070</v>
      </c>
      <c r="F37" s="191">
        <v>4729</v>
      </c>
      <c r="G37" s="191">
        <v>3589</v>
      </c>
      <c r="H37" s="191">
        <v>4919</v>
      </c>
      <c r="I37" s="191">
        <v>16185</v>
      </c>
      <c r="J37" s="191">
        <v>10016</v>
      </c>
      <c r="K37" s="191">
        <v>1734</v>
      </c>
      <c r="L37" s="187"/>
      <c r="M37" s="188">
        <v>2012</v>
      </c>
      <c r="N37" s="190" t="s">
        <v>219</v>
      </c>
      <c r="O37" s="202">
        <v>100</v>
      </c>
      <c r="P37" s="191">
        <v>404.0571998669771</v>
      </c>
      <c r="Q37" s="191">
        <v>135.35084802128367</v>
      </c>
      <c r="R37" s="191">
        <v>157.26637845028267</v>
      </c>
      <c r="S37" s="191">
        <v>119.35483870967742</v>
      </c>
      <c r="T37" s="191">
        <v>163.58496840705021</v>
      </c>
      <c r="U37" s="191">
        <v>538.24409710675093</v>
      </c>
      <c r="V37" s="191">
        <v>333.0894579314932</v>
      </c>
      <c r="W37" s="191">
        <v>57.665447289657465</v>
      </c>
      <c r="X37" s="187"/>
      <c r="Y37" s="321"/>
      <c r="Z37" s="215" t="s">
        <v>219</v>
      </c>
      <c r="AA37" s="223">
        <v>0.15639465335205702</v>
      </c>
      <c r="AB37" s="218">
        <v>0.63192385707598686</v>
      </c>
      <c r="AC37" s="219">
        <v>0.21168148957195609</v>
      </c>
      <c r="AD37" s="217">
        <v>0.35725617587066555</v>
      </c>
      <c r="AE37" s="219">
        <v>0.27113394273626956</v>
      </c>
      <c r="AF37" s="211"/>
      <c r="AG37" s="225">
        <v>4.9785592476696637E-2</v>
      </c>
      <c r="AH37" s="229">
        <v>0.20116227089852481</v>
      </c>
      <c r="AI37" s="229">
        <v>6.7385221609629301E-2</v>
      </c>
      <c r="AJ37" s="229">
        <v>7.8295998278117188E-2</v>
      </c>
      <c r="AK37" s="229">
        <v>5.9421513601218563E-2</v>
      </c>
      <c r="AL37" s="226">
        <v>8.1441745724266962E-2</v>
      </c>
    </row>
    <row r="38" spans="1:38" x14ac:dyDescent="0.3">
      <c r="A38" s="188">
        <v>2012</v>
      </c>
      <c r="B38" s="190" t="s">
        <v>220</v>
      </c>
      <c r="C38" s="191">
        <v>0</v>
      </c>
      <c r="D38" s="191">
        <v>7985</v>
      </c>
      <c r="E38" s="191">
        <v>23</v>
      </c>
      <c r="F38" s="191">
        <v>0</v>
      </c>
      <c r="G38" s="191">
        <v>0</v>
      </c>
      <c r="H38" s="191">
        <v>0</v>
      </c>
      <c r="I38" s="191">
        <v>800</v>
      </c>
      <c r="J38" s="191">
        <v>29</v>
      </c>
      <c r="K38" s="191">
        <v>0</v>
      </c>
      <c r="L38" s="187"/>
      <c r="M38" s="188">
        <v>2012</v>
      </c>
      <c r="N38" s="190" t="s">
        <v>220</v>
      </c>
      <c r="O38" s="202"/>
      <c r="P38" s="191"/>
      <c r="Q38" s="191"/>
      <c r="R38" s="191"/>
      <c r="S38" s="191"/>
      <c r="T38" s="191"/>
      <c r="U38" s="191"/>
      <c r="V38" s="191"/>
      <c r="W38" s="191"/>
      <c r="X38" s="187"/>
      <c r="Y38" s="321"/>
      <c r="Z38" s="215" t="s">
        <v>220</v>
      </c>
      <c r="AA38" s="223">
        <v>0</v>
      </c>
      <c r="AB38" s="218">
        <v>0.99712787212787213</v>
      </c>
      <c r="AC38" s="219">
        <v>2.872127872127872E-3</v>
      </c>
      <c r="AD38" s="227" t="s">
        <v>181</v>
      </c>
      <c r="AE38" s="228" t="s">
        <v>181</v>
      </c>
      <c r="AF38" s="211"/>
      <c r="AG38" s="225">
        <v>0</v>
      </c>
      <c r="AH38" s="229">
        <v>0.90358719022292633</v>
      </c>
      <c r="AI38" s="229">
        <v>2.602693221681566E-3</v>
      </c>
      <c r="AJ38" s="229">
        <v>0</v>
      </c>
      <c r="AK38" s="229">
        <v>0</v>
      </c>
      <c r="AL38" s="226">
        <v>0</v>
      </c>
    </row>
    <row r="39" spans="1:38" ht="15" thickBot="1" x14ac:dyDescent="0.35">
      <c r="A39" s="195">
        <v>2012</v>
      </c>
      <c r="B39" s="196" t="s">
        <v>221</v>
      </c>
      <c r="C39" s="205">
        <v>242</v>
      </c>
      <c r="D39" s="197">
        <v>1583</v>
      </c>
      <c r="E39" s="197">
        <v>568</v>
      </c>
      <c r="F39" s="197">
        <v>419</v>
      </c>
      <c r="G39" s="197">
        <v>623</v>
      </c>
      <c r="H39" s="197">
        <v>967</v>
      </c>
      <c r="I39" s="197">
        <v>1411</v>
      </c>
      <c r="J39" s="197">
        <v>2442</v>
      </c>
      <c r="K39" s="197">
        <v>0</v>
      </c>
      <c r="L39" s="187"/>
      <c r="M39" s="195">
        <v>2012</v>
      </c>
      <c r="N39" s="196" t="s">
        <v>221</v>
      </c>
      <c r="O39" s="207">
        <v>100</v>
      </c>
      <c r="P39" s="197">
        <v>654.13223140495859</v>
      </c>
      <c r="Q39" s="197">
        <v>234.71074380165291</v>
      </c>
      <c r="R39" s="197">
        <v>173.14049586776858</v>
      </c>
      <c r="S39" s="197">
        <v>257.43801652892563</v>
      </c>
      <c r="T39" s="197">
        <v>399.58677685950414</v>
      </c>
      <c r="U39" s="197">
        <v>583.05785123966939</v>
      </c>
      <c r="V39" s="197">
        <v>1009.0909090909091</v>
      </c>
      <c r="W39" s="197">
        <v>0</v>
      </c>
      <c r="X39" s="187"/>
      <c r="Y39" s="322"/>
      <c r="Z39" s="216" t="s">
        <v>221</v>
      </c>
      <c r="AA39" s="224">
        <v>0.10112829084830756</v>
      </c>
      <c r="AB39" s="221">
        <v>0.66151274550773087</v>
      </c>
      <c r="AC39" s="222">
        <v>0.23735896364396156</v>
      </c>
      <c r="AD39" s="220">
        <v>0.20856147336983574</v>
      </c>
      <c r="AE39" s="222">
        <v>0.31010452961672474</v>
      </c>
      <c r="AF39" s="211"/>
      <c r="AG39" s="230">
        <v>2.9315566323440338E-2</v>
      </c>
      <c r="AH39" s="231">
        <v>0.19176256814052089</v>
      </c>
      <c r="AI39" s="231">
        <v>6.8806783767413685E-2</v>
      </c>
      <c r="AJ39" s="231">
        <v>5.0757116898849181E-2</v>
      </c>
      <c r="AK39" s="231">
        <v>7.5469412477286488E-2</v>
      </c>
      <c r="AL39" s="232">
        <v>0.11714112658994549</v>
      </c>
    </row>
    <row r="42" spans="1:38" x14ac:dyDescent="0.3">
      <c r="A42" s="159" t="s">
        <v>222</v>
      </c>
    </row>
    <row r="43" spans="1:38" x14ac:dyDescent="0.3">
      <c r="A43" s="253" t="s">
        <v>223</v>
      </c>
      <c r="B43" s="248"/>
      <c r="C43" s="248"/>
      <c r="D43" s="248"/>
      <c r="E43" s="248"/>
      <c r="F43" s="248"/>
    </row>
    <row r="44" spans="1:38" ht="41.4" x14ac:dyDescent="0.3">
      <c r="A44" s="257" t="s">
        <v>224</v>
      </c>
      <c r="B44" s="249" t="s">
        <v>225</v>
      </c>
      <c r="C44" s="249" t="s">
        <v>226</v>
      </c>
      <c r="D44" s="249" t="s">
        <v>227</v>
      </c>
      <c r="E44" s="249" t="s">
        <v>228</v>
      </c>
      <c r="F44" s="249" t="s">
        <v>229</v>
      </c>
    </row>
    <row r="45" spans="1:38" x14ac:dyDescent="0.3">
      <c r="A45" s="258" t="s">
        <v>230</v>
      </c>
      <c r="B45" s="250">
        <v>1485207</v>
      </c>
      <c r="C45" s="250">
        <v>5940828</v>
      </c>
      <c r="D45" s="250">
        <v>5111928</v>
      </c>
      <c r="E45" s="250">
        <v>-828900</v>
      </c>
      <c r="F45" s="252">
        <v>-0.13952600546590474</v>
      </c>
    </row>
    <row r="46" spans="1:38" x14ac:dyDescent="0.3">
      <c r="A46" s="258" t="s">
        <v>231</v>
      </c>
      <c r="B46" s="250">
        <v>7509116</v>
      </c>
      <c r="C46" s="250">
        <v>30036464</v>
      </c>
      <c r="D46" s="250">
        <v>40058044</v>
      </c>
      <c r="E46" s="250">
        <v>10021580</v>
      </c>
      <c r="F46" s="252">
        <v>0.33364712970208477</v>
      </c>
    </row>
    <row r="47" spans="1:38" x14ac:dyDescent="0.3">
      <c r="A47" s="261" t="s">
        <v>232</v>
      </c>
      <c r="B47" s="250">
        <v>13463006</v>
      </c>
      <c r="C47" s="250">
        <v>53852024</v>
      </c>
      <c r="D47" s="250">
        <v>25228000</v>
      </c>
      <c r="E47" s="250">
        <v>-28624024</v>
      </c>
      <c r="F47" s="252">
        <v>-0.53153107114414122</v>
      </c>
      <c r="G47" t="s">
        <v>108</v>
      </c>
    </row>
    <row r="48" spans="1:38" x14ac:dyDescent="0.3">
      <c r="A48" s="261" t="s">
        <v>233</v>
      </c>
      <c r="B48" s="250">
        <v>865260</v>
      </c>
      <c r="C48" s="250">
        <v>3461040</v>
      </c>
      <c r="D48" s="250">
        <v>7242494</v>
      </c>
      <c r="E48" s="250">
        <v>3781454</v>
      </c>
      <c r="F48" s="252">
        <v>1.0925773755865289</v>
      </c>
      <c r="G48" t="s">
        <v>96</v>
      </c>
    </row>
    <row r="49" spans="1:7" x14ac:dyDescent="0.3">
      <c r="A49" s="258" t="s">
        <v>234</v>
      </c>
      <c r="B49" s="250">
        <v>0</v>
      </c>
      <c r="C49" s="250">
        <v>0</v>
      </c>
      <c r="D49" s="250">
        <v>0</v>
      </c>
      <c r="E49" s="250">
        <v>0</v>
      </c>
      <c r="F49" s="252"/>
    </row>
    <row r="50" spans="1:7" x14ac:dyDescent="0.3">
      <c r="A50" s="261" t="s">
        <v>235</v>
      </c>
      <c r="B50" s="250">
        <v>1852637</v>
      </c>
      <c r="C50" s="250">
        <v>7410548</v>
      </c>
      <c r="D50" s="250">
        <v>5155000</v>
      </c>
      <c r="E50" s="250">
        <v>-2255548</v>
      </c>
      <c r="F50" s="252">
        <v>-0.30436993323570671</v>
      </c>
      <c r="G50" t="s">
        <v>94</v>
      </c>
    </row>
    <row r="51" spans="1:7" x14ac:dyDescent="0.3">
      <c r="A51" s="261" t="s">
        <v>236</v>
      </c>
      <c r="B51" s="250">
        <v>1987601</v>
      </c>
      <c r="C51" s="250">
        <v>7950404</v>
      </c>
      <c r="D51" s="250">
        <v>7077000</v>
      </c>
      <c r="E51" s="250">
        <v>-873404</v>
      </c>
      <c r="F51" s="252">
        <v>-0.10985655571716858</v>
      </c>
      <c r="G51" t="s">
        <v>95</v>
      </c>
    </row>
    <row r="52" spans="1:7" x14ac:dyDescent="0.3">
      <c r="A52" s="261" t="s">
        <v>237</v>
      </c>
      <c r="B52" s="250">
        <v>7817443</v>
      </c>
      <c r="C52" s="250">
        <v>31269772</v>
      </c>
      <c r="D52" s="250">
        <v>21601934</v>
      </c>
      <c r="E52" s="250">
        <v>-9667838</v>
      </c>
      <c r="F52" s="252">
        <v>-0.30917519961450313</v>
      </c>
      <c r="G52" t="s">
        <v>93</v>
      </c>
    </row>
    <row r="53" spans="1:7" x14ac:dyDescent="0.3">
      <c r="A53" s="258" t="s">
        <v>238</v>
      </c>
      <c r="B53" s="250">
        <v>146598</v>
      </c>
      <c r="C53" s="250">
        <v>586392</v>
      </c>
      <c r="D53" s="250">
        <v>0</v>
      </c>
      <c r="E53" s="250">
        <v>-586392</v>
      </c>
      <c r="F53" s="252">
        <v>-1</v>
      </c>
    </row>
    <row r="54" spans="1:7" ht="15" thickBot="1" x14ac:dyDescent="0.35">
      <c r="A54" s="259" t="s">
        <v>103</v>
      </c>
      <c r="B54" s="251">
        <v>35126868</v>
      </c>
      <c r="C54" s="254">
        <v>140507472</v>
      </c>
      <c r="D54" s="254">
        <v>111474400</v>
      </c>
      <c r="E54" s="254">
        <v>-29033072</v>
      </c>
      <c r="F54" s="255">
        <v>-0.20663009295334842</v>
      </c>
      <c r="G54" s="300">
        <f>C47+C48+C50+C51+C52</f>
        <v>103943788</v>
      </c>
    </row>
    <row r="55" spans="1:7" ht="15" thickTop="1" x14ac:dyDescent="0.3">
      <c r="A55" s="260"/>
      <c r="B55" s="248"/>
      <c r="C55" s="248"/>
      <c r="D55" s="248"/>
      <c r="E55" s="248"/>
      <c r="F55" s="248"/>
    </row>
    <row r="56" spans="1:7" ht="41.4" x14ac:dyDescent="0.3">
      <c r="A56" s="257" t="s">
        <v>224</v>
      </c>
      <c r="B56" s="249" t="s">
        <v>225</v>
      </c>
      <c r="C56" s="249" t="s">
        <v>226</v>
      </c>
      <c r="D56" s="249" t="s">
        <v>227</v>
      </c>
      <c r="E56" s="249" t="s">
        <v>228</v>
      </c>
      <c r="F56" s="249" t="s">
        <v>229</v>
      </c>
    </row>
    <row r="57" spans="1:7" x14ac:dyDescent="0.3">
      <c r="A57" s="258" t="s">
        <v>230</v>
      </c>
      <c r="B57" s="250">
        <v>1485207</v>
      </c>
      <c r="C57" s="252">
        <v>4.2281224730881216E-2</v>
      </c>
      <c r="D57" s="252">
        <v>4.5857416590714996E-2</v>
      </c>
      <c r="E57" s="252">
        <v>3.57619185983378E-3</v>
      </c>
      <c r="F57" s="252">
        <v>8.4581084928266353E-2</v>
      </c>
    </row>
    <row r="58" spans="1:7" x14ac:dyDescent="0.3">
      <c r="A58" s="258" t="s">
        <v>231</v>
      </c>
      <c r="B58" s="250">
        <v>7509116</v>
      </c>
      <c r="C58" s="252">
        <v>0.21377129324481761</v>
      </c>
      <c r="D58" s="252">
        <v>0.35934747350064228</v>
      </c>
      <c r="E58" s="252">
        <v>0.14557618025582467</v>
      </c>
      <c r="F58" s="252">
        <v>0.68099031467759441</v>
      </c>
    </row>
    <row r="59" spans="1:7" x14ac:dyDescent="0.3">
      <c r="A59" s="261" t="s">
        <v>232</v>
      </c>
      <c r="B59" s="250">
        <v>13463006</v>
      </c>
      <c r="C59" s="252">
        <v>0.38326804427881245</v>
      </c>
      <c r="D59" s="252">
        <v>0.22631205012092462</v>
      </c>
      <c r="E59" s="252">
        <v>-0.15695599415788783</v>
      </c>
      <c r="F59" s="252">
        <v>-0.40952016871959329</v>
      </c>
      <c r="G59" s="248" t="s">
        <v>108</v>
      </c>
    </row>
    <row r="60" spans="1:7" x14ac:dyDescent="0.3">
      <c r="A60" s="261" t="s">
        <v>233</v>
      </c>
      <c r="B60" s="250">
        <v>865260</v>
      </c>
      <c r="C60" s="252">
        <v>2.4632426665537048E-2</v>
      </c>
      <c r="D60" s="252">
        <v>6.4970020022534325E-2</v>
      </c>
      <c r="E60" s="252">
        <v>4.0337593356997277E-2</v>
      </c>
      <c r="F60" s="252">
        <v>1.6375809783058504</v>
      </c>
      <c r="G60" s="248" t="s">
        <v>96</v>
      </c>
    </row>
    <row r="61" spans="1:7" x14ac:dyDescent="0.3">
      <c r="A61" s="258" t="s">
        <v>234</v>
      </c>
      <c r="B61" s="250">
        <v>0</v>
      </c>
      <c r="C61" s="252">
        <v>0</v>
      </c>
      <c r="D61" s="252">
        <v>0</v>
      </c>
      <c r="E61" s="252">
        <v>0</v>
      </c>
      <c r="F61" s="252"/>
      <c r="G61" s="248"/>
    </row>
    <row r="62" spans="1:7" x14ac:dyDescent="0.3">
      <c r="A62" s="261" t="s">
        <v>235</v>
      </c>
      <c r="B62" s="250">
        <v>1852637</v>
      </c>
      <c r="C62" s="252">
        <v>5.2741309017359586E-2</v>
      </c>
      <c r="D62" s="252">
        <v>4.6243801267376185E-2</v>
      </c>
      <c r="E62" s="252">
        <v>-6.4975077499834014E-3</v>
      </c>
      <c r="F62" s="252">
        <v>-0.12319579985860368</v>
      </c>
      <c r="G62" s="248" t="s">
        <v>94</v>
      </c>
    </row>
    <row r="63" spans="1:7" x14ac:dyDescent="0.3">
      <c r="A63" s="261" t="s">
        <v>236</v>
      </c>
      <c r="B63" s="250">
        <v>1987601</v>
      </c>
      <c r="C63" s="252">
        <v>5.6583496143180201E-2</v>
      </c>
      <c r="D63" s="252">
        <v>6.3485428044465816E-2</v>
      </c>
      <c r="E63" s="252">
        <v>6.9019319012856156E-3</v>
      </c>
      <c r="F63" s="252">
        <v>0.12197782695895648</v>
      </c>
      <c r="G63" s="248" t="s">
        <v>95</v>
      </c>
    </row>
    <row r="64" spans="1:7" x14ac:dyDescent="0.3">
      <c r="A64" s="261" t="s">
        <v>237</v>
      </c>
      <c r="B64" s="250">
        <v>7817443</v>
      </c>
      <c r="C64" s="252">
        <v>0.2225488193254235</v>
      </c>
      <c r="D64" s="252">
        <v>0.19378381045334175</v>
      </c>
      <c r="E64" s="252">
        <v>-2.8765008872081749E-2</v>
      </c>
      <c r="F64" s="252">
        <v>-0.12925257909375795</v>
      </c>
      <c r="G64" s="248" t="s">
        <v>93</v>
      </c>
    </row>
    <row r="65" spans="1:6" x14ac:dyDescent="0.3">
      <c r="A65" s="258" t="s">
        <v>238</v>
      </c>
      <c r="B65" s="250">
        <v>146598</v>
      </c>
      <c r="C65" s="252">
        <v>4.1733865939883969E-3</v>
      </c>
      <c r="D65" s="252">
        <v>0</v>
      </c>
      <c r="E65" s="252">
        <v>-4.1733865939883969E-3</v>
      </c>
      <c r="F65" s="252">
        <v>-1</v>
      </c>
    </row>
    <row r="66" spans="1:6" ht="15" thickBot="1" x14ac:dyDescent="0.35">
      <c r="A66" s="259" t="s">
        <v>103</v>
      </c>
      <c r="B66" s="251">
        <v>35126868</v>
      </c>
      <c r="C66" s="255">
        <v>1</v>
      </c>
      <c r="D66" s="255">
        <v>1</v>
      </c>
      <c r="E66" s="255">
        <v>0</v>
      </c>
      <c r="F66" s="255">
        <v>0</v>
      </c>
    </row>
  </sheetData>
  <mergeCells count="13">
    <mergeCell ref="D6:E6"/>
    <mergeCell ref="F6:I6"/>
    <mergeCell ref="U20:V20"/>
    <mergeCell ref="C20:E20"/>
    <mergeCell ref="F20:H20"/>
    <mergeCell ref="I20:J20"/>
    <mergeCell ref="O20:Q20"/>
    <mergeCell ref="R20:T20"/>
    <mergeCell ref="AA20:AC20"/>
    <mergeCell ref="AD20:AE20"/>
    <mergeCell ref="AG20:AL20"/>
    <mergeCell ref="Y22:Y30"/>
    <mergeCell ref="Y31:Y3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3:G29"/>
  <sheetViews>
    <sheetView topLeftCell="A13" workbookViewId="0">
      <selection activeCell="B28" sqref="B28:C28"/>
    </sheetView>
  </sheetViews>
  <sheetFormatPr defaultRowHeight="14.4" x14ac:dyDescent="0.3"/>
  <cols>
    <col min="1" max="1" width="23.109375" customWidth="1"/>
    <col min="2" max="2" width="15.44140625" customWidth="1"/>
    <col min="3" max="3" width="14.109375" customWidth="1"/>
    <col min="4" max="4" width="13.6640625" customWidth="1"/>
    <col min="5" max="5" width="14.44140625" customWidth="1"/>
    <col min="7" max="7" width="11.88671875" customWidth="1"/>
  </cols>
  <sheetData>
    <row r="3" spans="1:7" x14ac:dyDescent="0.3">
      <c r="A3" s="159" t="s">
        <v>222</v>
      </c>
      <c r="B3" s="248"/>
      <c r="C3" s="248"/>
      <c r="D3" s="248"/>
      <c r="E3" s="248"/>
      <c r="F3" s="248"/>
      <c r="G3" s="248"/>
    </row>
    <row r="4" spans="1:7" x14ac:dyDescent="0.3">
      <c r="A4" s="253" t="s">
        <v>223</v>
      </c>
      <c r="B4" s="248"/>
      <c r="C4" s="248"/>
      <c r="D4" s="248"/>
      <c r="E4" s="248"/>
      <c r="F4" s="248"/>
      <c r="G4" s="248"/>
    </row>
    <row r="5" spans="1:7" ht="55.2" x14ac:dyDescent="0.3">
      <c r="A5" s="257" t="s">
        <v>224</v>
      </c>
      <c r="B5" s="249" t="s">
        <v>225</v>
      </c>
      <c r="C5" s="249" t="s">
        <v>226</v>
      </c>
      <c r="D5" s="249" t="s">
        <v>227</v>
      </c>
      <c r="E5" s="249" t="s">
        <v>228</v>
      </c>
      <c r="F5" s="249" t="s">
        <v>229</v>
      </c>
      <c r="G5" s="248"/>
    </row>
    <row r="6" spans="1:7" x14ac:dyDescent="0.3">
      <c r="A6" s="258" t="s">
        <v>230</v>
      </c>
      <c r="B6" s="250">
        <v>1485207</v>
      </c>
      <c r="C6" s="250">
        <v>5940828</v>
      </c>
      <c r="D6" s="250">
        <v>5111928</v>
      </c>
      <c r="E6" s="250">
        <v>-828900</v>
      </c>
      <c r="F6" s="252">
        <v>-0.13952600546590474</v>
      </c>
      <c r="G6" s="248"/>
    </row>
    <row r="7" spans="1:7" x14ac:dyDescent="0.3">
      <c r="A7" s="258" t="s">
        <v>231</v>
      </c>
      <c r="B7" s="250">
        <v>7509116</v>
      </c>
      <c r="C7" s="250">
        <v>30036464</v>
      </c>
      <c r="D7" s="250">
        <v>40058044</v>
      </c>
      <c r="E7" s="250">
        <v>10021580</v>
      </c>
      <c r="F7" s="252">
        <v>0.33364712970208477</v>
      </c>
      <c r="G7" s="248"/>
    </row>
    <row r="8" spans="1:7" x14ac:dyDescent="0.3">
      <c r="A8" s="261" t="s">
        <v>232</v>
      </c>
      <c r="B8" s="250">
        <v>13463006</v>
      </c>
      <c r="C8" s="250">
        <v>53852024</v>
      </c>
      <c r="D8" s="250">
        <v>25228000</v>
      </c>
      <c r="E8" s="250">
        <v>-28624024</v>
      </c>
      <c r="F8" s="252">
        <v>-0.53153107114414122</v>
      </c>
      <c r="G8" s="248" t="s">
        <v>108</v>
      </c>
    </row>
    <row r="9" spans="1:7" x14ac:dyDescent="0.3">
      <c r="A9" s="261" t="s">
        <v>233</v>
      </c>
      <c r="B9" s="250">
        <v>865260</v>
      </c>
      <c r="C9" s="250">
        <v>3461040</v>
      </c>
      <c r="D9" s="250">
        <v>7242494</v>
      </c>
      <c r="E9" s="250">
        <v>3781454</v>
      </c>
      <c r="F9" s="252">
        <v>1.0925773755865289</v>
      </c>
      <c r="G9" s="248" t="s">
        <v>96</v>
      </c>
    </row>
    <row r="10" spans="1:7" x14ac:dyDescent="0.3">
      <c r="A10" s="258" t="s">
        <v>234</v>
      </c>
      <c r="B10" s="250">
        <v>0</v>
      </c>
      <c r="C10" s="250">
        <v>0</v>
      </c>
      <c r="D10" s="250">
        <v>0</v>
      </c>
      <c r="E10" s="250">
        <v>0</v>
      </c>
      <c r="F10" s="252"/>
      <c r="G10" s="248"/>
    </row>
    <row r="11" spans="1:7" x14ac:dyDescent="0.3">
      <c r="A11" s="261" t="s">
        <v>235</v>
      </c>
      <c r="B11" s="250">
        <v>1852637</v>
      </c>
      <c r="C11" s="250">
        <v>7410548</v>
      </c>
      <c r="D11" s="250">
        <v>5155000</v>
      </c>
      <c r="E11" s="250">
        <v>-2255548</v>
      </c>
      <c r="F11" s="252">
        <v>-0.30436993323570671</v>
      </c>
      <c r="G11" s="248" t="s">
        <v>94</v>
      </c>
    </row>
    <row r="12" spans="1:7" x14ac:dyDescent="0.3">
      <c r="A12" s="261" t="s">
        <v>236</v>
      </c>
      <c r="B12" s="250">
        <v>1987601</v>
      </c>
      <c r="C12" s="250">
        <v>7950404</v>
      </c>
      <c r="D12" s="250">
        <v>7077000</v>
      </c>
      <c r="E12" s="250">
        <v>-873404</v>
      </c>
      <c r="F12" s="252">
        <v>-0.10985655571716858</v>
      </c>
      <c r="G12" s="248" t="s">
        <v>95</v>
      </c>
    </row>
    <row r="13" spans="1:7" x14ac:dyDescent="0.3">
      <c r="A13" s="261" t="s">
        <v>237</v>
      </c>
      <c r="B13" s="250">
        <v>7817443</v>
      </c>
      <c r="C13" s="250">
        <v>31269772</v>
      </c>
      <c r="D13" s="250">
        <v>21601934</v>
      </c>
      <c r="E13" s="250">
        <v>-9667838</v>
      </c>
      <c r="F13" s="252">
        <v>-0.30917519961450313</v>
      </c>
      <c r="G13" s="248" t="s">
        <v>93</v>
      </c>
    </row>
    <row r="14" spans="1:7" x14ac:dyDescent="0.3">
      <c r="A14" s="258" t="s">
        <v>238</v>
      </c>
      <c r="B14" s="250">
        <v>146598</v>
      </c>
      <c r="C14" s="250">
        <v>586392</v>
      </c>
      <c r="D14" s="250">
        <v>0</v>
      </c>
      <c r="E14" s="250">
        <v>-586392</v>
      </c>
      <c r="F14" s="252">
        <v>-1</v>
      </c>
      <c r="G14" s="248"/>
    </row>
    <row r="15" spans="1:7" ht="15" thickBot="1" x14ac:dyDescent="0.35">
      <c r="A15" s="259" t="s">
        <v>103</v>
      </c>
      <c r="B15" s="251">
        <v>35126868</v>
      </c>
      <c r="C15" s="254">
        <v>140507472</v>
      </c>
      <c r="D15" s="254">
        <v>111474400</v>
      </c>
      <c r="E15" s="254">
        <v>-29033072</v>
      </c>
      <c r="F15" s="255">
        <v>-0.20663009295334842</v>
      </c>
      <c r="G15" s="300">
        <f>C8+C9+C11+C12+C13</f>
        <v>103943788</v>
      </c>
    </row>
    <row r="16" spans="1:7" ht="15" thickTop="1" x14ac:dyDescent="0.3"/>
    <row r="18" spans="1:6" x14ac:dyDescent="0.3">
      <c r="D18" s="304">
        <v>0.9</v>
      </c>
      <c r="E18" s="304">
        <v>1.1000000000000001</v>
      </c>
    </row>
    <row r="19" spans="1:6" ht="43.2" x14ac:dyDescent="0.3">
      <c r="A19" s="301" t="s">
        <v>3</v>
      </c>
      <c r="B19" s="301" t="s">
        <v>271</v>
      </c>
      <c r="C19" s="301" t="s">
        <v>278</v>
      </c>
      <c r="D19" s="301" t="s">
        <v>272</v>
      </c>
      <c r="E19" s="301" t="s">
        <v>273</v>
      </c>
      <c r="F19" s="301" t="s">
        <v>276</v>
      </c>
    </row>
    <row r="20" spans="1:6" x14ac:dyDescent="0.3">
      <c r="A20" t="s">
        <v>274</v>
      </c>
      <c r="B20" s="302">
        <v>5991499</v>
      </c>
      <c r="C20" s="305">
        <f>(B20/(B20+B21))*C13</f>
        <v>8672964.54420368</v>
      </c>
      <c r="D20" s="303">
        <f>$D$18*B20</f>
        <v>5392349.1000000006</v>
      </c>
      <c r="E20" s="305">
        <f t="shared" ref="E20:E21" si="0">C20*$E$18</f>
        <v>9540260.9986240491</v>
      </c>
      <c r="F20" t="s">
        <v>277</v>
      </c>
    </row>
    <row r="21" spans="1:6" x14ac:dyDescent="0.3">
      <c r="A21" t="s">
        <v>275</v>
      </c>
      <c r="B21" s="302">
        <v>15610435</v>
      </c>
      <c r="C21" s="305">
        <f>(B21/(B20+B21))*C13</f>
        <v>22596807.45579632</v>
      </c>
      <c r="D21" s="303">
        <f>$D$18*B21</f>
        <v>14049391.5</v>
      </c>
      <c r="E21" s="305">
        <f t="shared" si="0"/>
        <v>24856488.201375954</v>
      </c>
      <c r="F21" s="248" t="s">
        <v>277</v>
      </c>
    </row>
    <row r="22" spans="1:6" x14ac:dyDescent="0.3">
      <c r="A22" t="s">
        <v>95</v>
      </c>
      <c r="B22" s="302">
        <v>3804716</v>
      </c>
      <c r="C22" s="305">
        <f>0.53*C12</f>
        <v>4213714.12</v>
      </c>
      <c r="D22" s="303">
        <f>$D$18*B22</f>
        <v>3424244.4</v>
      </c>
      <c r="E22" s="305">
        <f>C22*$E$18</f>
        <v>4635085.5320000006</v>
      </c>
      <c r="F22" t="s">
        <v>279</v>
      </c>
    </row>
    <row r="23" spans="1:6" x14ac:dyDescent="0.3">
      <c r="A23" t="s">
        <v>94</v>
      </c>
      <c r="B23" s="302">
        <v>4440000</v>
      </c>
      <c r="C23" s="306">
        <f>C11*0.51</f>
        <v>3779379.48</v>
      </c>
      <c r="D23" s="307">
        <f>C23*D18</f>
        <v>3401441.5320000001</v>
      </c>
      <c r="E23" s="306">
        <f>B23*E18</f>
        <v>4884000</v>
      </c>
      <c r="F23" t="s">
        <v>281</v>
      </c>
    </row>
    <row r="24" spans="1:6" x14ac:dyDescent="0.3">
      <c r="A24" t="s">
        <v>108</v>
      </c>
      <c r="B24" s="302">
        <v>22954000</v>
      </c>
      <c r="C24" s="305">
        <f>C8</f>
        <v>53852024</v>
      </c>
      <c r="D24" s="303">
        <f>$D$18*B24</f>
        <v>20658600</v>
      </c>
      <c r="E24" s="305">
        <f t="shared" ref="E24" si="1">C24*$E$18</f>
        <v>59237226.400000006</v>
      </c>
      <c r="F24" t="s">
        <v>280</v>
      </c>
    </row>
    <row r="25" spans="1:6" x14ac:dyDescent="0.3">
      <c r="A25" t="s">
        <v>96</v>
      </c>
      <c r="B25" s="302">
        <v>7818984</v>
      </c>
      <c r="C25" s="306">
        <f>C9</f>
        <v>3461040</v>
      </c>
      <c r="D25" s="307">
        <f>C25*D18</f>
        <v>3114936</v>
      </c>
      <c r="E25" s="307">
        <f>B25*E18</f>
        <v>8600882.4000000004</v>
      </c>
      <c r="F25" t="s">
        <v>282</v>
      </c>
    </row>
    <row r="26" spans="1:6" x14ac:dyDescent="0.3">
      <c r="A26" t="s">
        <v>177</v>
      </c>
      <c r="B26" s="302">
        <v>3535945</v>
      </c>
      <c r="C26" s="303">
        <f>B26</f>
        <v>3535945</v>
      </c>
      <c r="D26" s="303">
        <f>$D$18*B26</f>
        <v>3182350.5</v>
      </c>
      <c r="E26" s="303">
        <f>C26*$E$18</f>
        <v>3889539.5000000005</v>
      </c>
      <c r="F26" t="s">
        <v>283</v>
      </c>
    </row>
    <row r="27" spans="1:6" x14ac:dyDescent="0.3">
      <c r="A27" t="s">
        <v>172</v>
      </c>
      <c r="B27" s="302">
        <v>15700000</v>
      </c>
      <c r="C27" s="303">
        <f>B27</f>
        <v>15700000</v>
      </c>
      <c r="D27" s="303">
        <f>$D$18*B27</f>
        <v>14130000</v>
      </c>
      <c r="E27" s="303">
        <f>C27*$E$18</f>
        <v>17270000</v>
      </c>
      <c r="F27" s="248" t="s">
        <v>283</v>
      </c>
    </row>
    <row r="28" spans="1:6" x14ac:dyDescent="0.3">
      <c r="A28" s="309" t="s">
        <v>103</v>
      </c>
      <c r="B28" s="310">
        <f>SUM(B20:B27)</f>
        <v>79855579</v>
      </c>
      <c r="C28" s="311">
        <f t="shared" ref="C28:E28" si="2">SUM(C20:C27)</f>
        <v>115811874.59999999</v>
      </c>
      <c r="D28" s="310">
        <f t="shared" si="2"/>
        <v>67353313.032000005</v>
      </c>
      <c r="E28" s="310">
        <f t="shared" si="2"/>
        <v>132913483.03200001</v>
      </c>
    </row>
    <row r="29" spans="1:6" x14ac:dyDescent="0.3">
      <c r="C29" s="308">
        <f>C28/B28</f>
        <v>1.4502665443074427</v>
      </c>
    </row>
  </sheetData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:N47"/>
  <sheetViews>
    <sheetView topLeftCell="A13" workbookViewId="0">
      <selection activeCell="C6" sqref="C6"/>
    </sheetView>
  </sheetViews>
  <sheetFormatPr defaultRowHeight="13.8" x14ac:dyDescent="0.3"/>
  <cols>
    <col min="1" max="1" width="14.109375" style="1" customWidth="1"/>
    <col min="2" max="2" width="14.21875" style="1" customWidth="1"/>
    <col min="3" max="3" width="13.88671875" style="1" customWidth="1"/>
    <col min="4" max="4" width="12.44140625" style="1" customWidth="1"/>
    <col min="5" max="5" width="13.88671875" style="1" customWidth="1"/>
    <col min="6" max="6" width="12.44140625" style="1" customWidth="1"/>
    <col min="7" max="7" width="13.77734375" style="1" customWidth="1"/>
    <col min="8" max="8" width="14" style="1" customWidth="1"/>
    <col min="9" max="9" width="14.6640625" style="1" customWidth="1"/>
    <col min="10" max="10" width="14.77734375" style="1" customWidth="1"/>
    <col min="11" max="11" width="13.88671875" style="1" customWidth="1"/>
    <col min="12" max="12" width="13.5546875" style="1" customWidth="1"/>
    <col min="13" max="13" width="11.21875" style="1" customWidth="1"/>
    <col min="14" max="14" width="10.5546875" style="1" customWidth="1"/>
    <col min="15" max="16384" width="8.88671875" style="1"/>
  </cols>
  <sheetData>
    <row r="1" spans="1:14" x14ac:dyDescent="0.3">
      <c r="A1" s="48" t="s">
        <v>0</v>
      </c>
      <c r="B1" s="1" t="s">
        <v>166</v>
      </c>
    </row>
    <row r="2" spans="1:14" x14ac:dyDescent="0.3">
      <c r="A2" s="48" t="s">
        <v>76</v>
      </c>
      <c r="B2" s="1" t="s">
        <v>104</v>
      </c>
    </row>
    <row r="3" spans="1:14" x14ac:dyDescent="0.3">
      <c r="A3" s="48" t="s">
        <v>77</v>
      </c>
      <c r="B3" s="1" t="s">
        <v>165</v>
      </c>
    </row>
    <row r="4" spans="1:14" ht="42.6" customHeight="1" x14ac:dyDescent="0.3">
      <c r="A4" s="49" t="s">
        <v>78</v>
      </c>
      <c r="B4" s="328" t="s">
        <v>286</v>
      </c>
      <c r="C4" s="329"/>
      <c r="D4" s="329"/>
      <c r="E4" s="329"/>
      <c r="F4" s="329"/>
      <c r="G4" s="329"/>
      <c r="H4" s="329"/>
      <c r="I4" s="329"/>
    </row>
    <row r="5" spans="1:14" x14ac:dyDescent="0.3">
      <c r="A5" s="48" t="s">
        <v>79</v>
      </c>
      <c r="B5" s="1" t="s">
        <v>167</v>
      </c>
      <c r="E5" s="337" t="s">
        <v>50</v>
      </c>
      <c r="F5" s="338"/>
      <c r="G5" s="338"/>
      <c r="H5" s="338"/>
      <c r="I5" s="339"/>
    </row>
    <row r="6" spans="1:14" x14ac:dyDescent="0.3">
      <c r="A6" s="48" t="s">
        <v>80</v>
      </c>
      <c r="B6" s="1" t="s">
        <v>168</v>
      </c>
      <c r="E6" s="340" t="s">
        <v>51</v>
      </c>
      <c r="F6" s="341"/>
      <c r="G6" s="341"/>
      <c r="H6" s="341"/>
      <c r="I6" s="342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11775092.803063594</v>
      </c>
    </row>
    <row r="10" spans="1:14" ht="14.4" thickBot="1" x14ac:dyDescent="0.35">
      <c r="A10" s="50"/>
    </row>
    <row r="11" spans="1:14" ht="27.6" x14ac:dyDescent="0.3">
      <c r="A11" s="343" t="s">
        <v>82</v>
      </c>
      <c r="B11" s="51" t="s">
        <v>84</v>
      </c>
      <c r="C11" s="93" t="s">
        <v>100</v>
      </c>
      <c r="D11" s="15" t="s">
        <v>101</v>
      </c>
      <c r="E11" s="1" t="s">
        <v>97</v>
      </c>
    </row>
    <row r="12" spans="1:14" ht="14.4" thickBot="1" x14ac:dyDescent="0.35">
      <c r="A12" s="344"/>
      <c r="B12" s="80">
        <v>115811874.59999999</v>
      </c>
      <c r="C12" s="81">
        <v>79855579</v>
      </c>
      <c r="D12" s="82">
        <v>115811874.59999999</v>
      </c>
    </row>
    <row r="13" spans="1:14" ht="14.4" thickBot="1" x14ac:dyDescent="0.35"/>
    <row r="14" spans="1:14" ht="60.6" customHeight="1" thickBot="1" x14ac:dyDescent="0.35">
      <c r="A14" s="53" t="s">
        <v>85</v>
      </c>
      <c r="D14" s="186" t="s">
        <v>98</v>
      </c>
      <c r="E14" s="186" t="s">
        <v>98</v>
      </c>
      <c r="F14" s="186" t="s">
        <v>99</v>
      </c>
      <c r="G14" s="263">
        <v>0.9</v>
      </c>
      <c r="H14" s="263">
        <v>1.1000000000000001</v>
      </c>
      <c r="I14" s="63" t="s">
        <v>98</v>
      </c>
      <c r="J14" s="63" t="s">
        <v>99</v>
      </c>
    </row>
    <row r="15" spans="1:14" ht="27.6" customHeight="1" x14ac:dyDescent="0.3">
      <c r="A15" s="345" t="s">
        <v>2</v>
      </c>
      <c r="B15" s="347" t="s">
        <v>3</v>
      </c>
      <c r="C15" s="347" t="s">
        <v>38</v>
      </c>
      <c r="D15" s="347" t="s">
        <v>169</v>
      </c>
      <c r="E15" s="330" t="s">
        <v>86</v>
      </c>
      <c r="F15" s="332"/>
      <c r="G15" s="326" t="s">
        <v>241</v>
      </c>
      <c r="H15" s="327"/>
      <c r="I15" s="326" t="s">
        <v>89</v>
      </c>
      <c r="J15" s="327"/>
      <c r="K15" s="330" t="s">
        <v>90</v>
      </c>
      <c r="L15" s="331"/>
      <c r="M15" s="331"/>
      <c r="N15" s="332"/>
    </row>
    <row r="16" spans="1:14" ht="27.6" x14ac:dyDescent="0.3">
      <c r="A16" s="346"/>
      <c r="B16" s="346"/>
      <c r="C16" s="346"/>
      <c r="D16" s="346"/>
      <c r="E16" s="105" t="s">
        <v>265</v>
      </c>
      <c r="F16" s="105" t="s">
        <v>266</v>
      </c>
      <c r="G16" s="105" t="s">
        <v>87</v>
      </c>
      <c r="H16" s="105" t="s">
        <v>88</v>
      </c>
      <c r="I16" s="62" t="s">
        <v>263</v>
      </c>
      <c r="J16" s="62" t="s">
        <v>264</v>
      </c>
      <c r="K16" s="105" t="s">
        <v>239</v>
      </c>
      <c r="L16" s="105" t="s">
        <v>240</v>
      </c>
      <c r="M16" s="105" t="s">
        <v>91</v>
      </c>
      <c r="N16" s="105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f>JANSample!I9</f>
        <v>2310765.2787946975</v>
      </c>
      <c r="G17" s="73">
        <f>'Case Notes'!D20</f>
        <v>5392349.1000000006</v>
      </c>
      <c r="H17" s="73">
        <f>'Case Notes'!E20</f>
        <v>9540260.9986240491</v>
      </c>
      <c r="I17" s="273">
        <v>9540260.9986240491</v>
      </c>
      <c r="J17" s="64">
        <f>JANSample!F9</f>
        <v>3650467.5160563109</v>
      </c>
      <c r="K17" s="58">
        <f>I17-E17</f>
        <v>3548761.9986240491</v>
      </c>
      <c r="L17" s="58">
        <f>J17-F17</f>
        <v>1339702.2372616134</v>
      </c>
      <c r="M17" s="59">
        <f>K17/E17</f>
        <v>0.59229952281124454</v>
      </c>
      <c r="N17" s="59">
        <f>L17/F17</f>
        <v>0.57976560819730094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f>JMTSample!I9</f>
        <v>2662664.8484120537</v>
      </c>
      <c r="G18" s="74">
        <f>'Case Notes'!D21</f>
        <v>14049391.5</v>
      </c>
      <c r="H18" s="74">
        <f>'Case Notes'!E21</f>
        <v>24856488.201375954</v>
      </c>
      <c r="I18" s="274">
        <v>24856488.201375954</v>
      </c>
      <c r="J18" s="65">
        <f>JMTSample!F9</f>
        <v>4242253.8145483863</v>
      </c>
      <c r="K18" s="60">
        <f t="shared" ref="K18:L22" si="0">I18-E18</f>
        <v>9246053.2013759539</v>
      </c>
      <c r="L18" s="60">
        <f t="shared" si="0"/>
        <v>1579588.9661363326</v>
      </c>
      <c r="M18" s="61">
        <f t="shared" ref="M18:N25" si="1">K18/E18</f>
        <v>0.59229952281124476</v>
      </c>
      <c r="N18" s="61">
        <f t="shared" si="1"/>
        <v>0.5932361209779593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f>JJVCH!I9</f>
        <v>150560.70106149331</v>
      </c>
      <c r="G19" s="74">
        <f>'Case Notes'!D22</f>
        <v>3424244.4</v>
      </c>
      <c r="H19" s="74">
        <f>'Case Notes'!E22</f>
        <v>4635085.5320000006</v>
      </c>
      <c r="I19" s="274">
        <v>3424244.4</v>
      </c>
      <c r="J19" s="65">
        <f>JJVCH!F9</f>
        <v>135504.11567488126</v>
      </c>
      <c r="K19" s="60">
        <f t="shared" si="0"/>
        <v>-380471.60000000009</v>
      </c>
      <c r="L19" s="60">
        <f t="shared" si="0"/>
        <v>-15056.585386612045</v>
      </c>
      <c r="M19" s="61">
        <f t="shared" si="1"/>
        <v>-0.10000000000000002</v>
      </c>
      <c r="N19" s="61">
        <f t="shared" si="1"/>
        <v>-0.10000342241009162</v>
      </c>
    </row>
    <row r="20" spans="1:14" x14ac:dyDescent="0.3">
      <c r="A20" s="55" t="s">
        <v>104</v>
      </c>
      <c r="B20" s="55" t="s">
        <v>94</v>
      </c>
      <c r="C20" s="55" t="s">
        <v>174</v>
      </c>
      <c r="D20" s="154">
        <v>1</v>
      </c>
      <c r="E20" s="74">
        <v>4440000</v>
      </c>
      <c r="F20" s="57">
        <f>JJMMF!I9</f>
        <v>25689.160192131658</v>
      </c>
      <c r="G20" s="74">
        <f>'Case Notes'!D23</f>
        <v>3401441.5320000001</v>
      </c>
      <c r="H20" s="74">
        <f>'Case Notes'!E23</f>
        <v>4884000</v>
      </c>
      <c r="I20" s="274">
        <v>3401441.5320000006</v>
      </c>
      <c r="J20" s="65">
        <f>JJMMF!F9</f>
        <v>21008.235566365256</v>
      </c>
      <c r="K20" s="60">
        <f t="shared" si="0"/>
        <v>-1038558.4679999994</v>
      </c>
      <c r="L20" s="60">
        <f t="shared" si="0"/>
        <v>-4680.9246257664017</v>
      </c>
      <c r="M20" s="61">
        <f t="shared" si="1"/>
        <v>-0.23390956486486472</v>
      </c>
      <c r="N20" s="61">
        <f t="shared" si="1"/>
        <v>-0.18221399963086857</v>
      </c>
    </row>
    <row r="21" spans="1:14" x14ac:dyDescent="0.3">
      <c r="A21" s="55" t="s">
        <v>104</v>
      </c>
      <c r="B21" s="55" t="s">
        <v>108</v>
      </c>
      <c r="C21" s="55" t="s">
        <v>173</v>
      </c>
      <c r="D21" s="154">
        <v>1</v>
      </c>
      <c r="E21" s="74">
        <v>22954000</v>
      </c>
      <c r="F21" s="57">
        <f>JJHCC!I9</f>
        <v>1595892.0143603629</v>
      </c>
      <c r="G21" s="74">
        <f>'Case Notes'!D24</f>
        <v>20658600</v>
      </c>
      <c r="H21" s="74">
        <f>'Case Notes'!E24</f>
        <v>59237226.400000006</v>
      </c>
      <c r="I21" s="274">
        <v>49152705.988807186</v>
      </c>
      <c r="J21" s="65">
        <f>JJHCC!F9</f>
        <v>2928722.1567082792</v>
      </c>
      <c r="K21" s="60">
        <f t="shared" si="0"/>
        <v>26198705.988807186</v>
      </c>
      <c r="L21" s="60">
        <f t="shared" si="0"/>
        <v>1332830.1423479163</v>
      </c>
      <c r="M21" s="61">
        <f t="shared" si="1"/>
        <v>1.1413568872008011</v>
      </c>
      <c r="N21" s="61">
        <f t="shared" si="1"/>
        <v>0.83516311276369004</v>
      </c>
    </row>
    <row r="22" spans="1:14" x14ac:dyDescent="0.3">
      <c r="A22" s="55" t="s">
        <v>104</v>
      </c>
      <c r="B22" s="55" t="s">
        <v>96</v>
      </c>
      <c r="C22" s="55" t="s">
        <v>173</v>
      </c>
      <c r="D22" s="154">
        <v>1</v>
      </c>
      <c r="E22" s="74">
        <v>7818984</v>
      </c>
      <c r="F22" s="57">
        <f>JJMCM!I9</f>
        <v>378283.24113526288</v>
      </c>
      <c r="G22" s="74">
        <f>'Case Notes'!D25</f>
        <v>3114936</v>
      </c>
      <c r="H22" s="74">
        <f>'Case Notes'!E25</f>
        <v>8600882.4000000004</v>
      </c>
      <c r="I22" s="274">
        <v>8124382.9767209534</v>
      </c>
      <c r="J22" s="65">
        <f>JJMCM!F9</f>
        <v>391350.92093183304</v>
      </c>
      <c r="K22" s="60">
        <f t="shared" si="0"/>
        <v>305398.97672095336</v>
      </c>
      <c r="L22" s="60">
        <f t="shared" si="0"/>
        <v>13067.679796570155</v>
      </c>
      <c r="M22" s="61">
        <f t="shared" si="1"/>
        <v>3.9058652213759919E-2</v>
      </c>
      <c r="N22" s="61">
        <f t="shared" si="1"/>
        <v>3.4544696607105414E-2</v>
      </c>
    </row>
    <row r="23" spans="1:14" x14ac:dyDescent="0.3">
      <c r="A23" s="55" t="s">
        <v>104</v>
      </c>
      <c r="B23" s="55" t="s">
        <v>177</v>
      </c>
      <c r="C23" s="55" t="s">
        <v>173</v>
      </c>
      <c r="D23" s="154">
        <v>1</v>
      </c>
      <c r="E23" s="74">
        <v>3535945</v>
      </c>
      <c r="F23" s="57">
        <f>JJHCC_ACQ!I9</f>
        <v>83212.009999999995</v>
      </c>
      <c r="G23" s="74">
        <f>'Case Notes'!D26</f>
        <v>3182350.5</v>
      </c>
      <c r="H23" s="74">
        <f>'Case Notes'!E26</f>
        <v>3889539.5000000005</v>
      </c>
      <c r="I23" s="274">
        <v>3182350.5</v>
      </c>
      <c r="J23" s="65">
        <f>JJHCC_ACQ!F9</f>
        <v>75247.187494712707</v>
      </c>
      <c r="K23" s="60">
        <f t="shared" ref="K23:K24" si="2">I23-E23</f>
        <v>-353594.5</v>
      </c>
      <c r="L23" s="60">
        <f t="shared" ref="L23:L24" si="3">J23-F23</f>
        <v>-7964.8225052872876</v>
      </c>
      <c r="M23" s="61">
        <f t="shared" ref="M23:M24" si="4">K23/E23</f>
        <v>-0.1</v>
      </c>
      <c r="N23" s="61">
        <f t="shared" ref="N23:N24" si="5">L23/F23</f>
        <v>-9.5717222853855935E-2</v>
      </c>
    </row>
    <row r="24" spans="1:14" x14ac:dyDescent="0.3">
      <c r="A24" s="55" t="s">
        <v>104</v>
      </c>
      <c r="B24" s="55" t="s">
        <v>172</v>
      </c>
      <c r="C24" s="55" t="s">
        <v>173</v>
      </c>
      <c r="D24" s="154">
        <v>1</v>
      </c>
      <c r="E24" s="74">
        <v>15700000</v>
      </c>
      <c r="F24" s="57">
        <f>JJHCC_ADH!I9</f>
        <v>360832.73711340129</v>
      </c>
      <c r="G24" s="74">
        <f>'Case Notes'!D27</f>
        <v>14130000</v>
      </c>
      <c r="H24" s="74">
        <f>'Case Notes'!E27</f>
        <v>17270000</v>
      </c>
      <c r="I24" s="274">
        <v>14130000.000000002</v>
      </c>
      <c r="J24" s="65">
        <f>JJHCC_ADH!F9</f>
        <v>330538.85608282685</v>
      </c>
      <c r="K24" s="60">
        <f t="shared" si="2"/>
        <v>-1569999.9999999981</v>
      </c>
      <c r="L24" s="60">
        <f t="shared" si="3"/>
        <v>-30293.881030574441</v>
      </c>
      <c r="M24" s="61">
        <f t="shared" si="4"/>
        <v>-9.9999999999999881E-2</v>
      </c>
      <c r="N24" s="61">
        <f t="shared" si="5"/>
        <v>-8.3955467214311491E-2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6">SUM(E17:E24)</f>
        <v>79855579</v>
      </c>
      <c r="F25" s="77">
        <f t="shared" si="6"/>
        <v>7567899.9910694035</v>
      </c>
      <c r="G25" s="76">
        <f t="shared" si="6"/>
        <v>67353313.032000005</v>
      </c>
      <c r="H25" s="76">
        <f t="shared" si="6"/>
        <v>132913483.03200001</v>
      </c>
      <c r="I25" s="83">
        <f t="shared" si="6"/>
        <v>115811874.59752814</v>
      </c>
      <c r="J25" s="275">
        <f t="shared" si="6"/>
        <v>11775092.803063594</v>
      </c>
      <c r="K25" s="76">
        <f>SUM(K17:K24)</f>
        <v>35956295.597528137</v>
      </c>
      <c r="L25" s="275">
        <f>SUM(L17:L24)</f>
        <v>4207192.8119941922</v>
      </c>
      <c r="M25" s="79">
        <f>K25/E25</f>
        <v>0.45026654427648866</v>
      </c>
      <c r="N25" s="79">
        <f t="shared" si="1"/>
        <v>0.55592605834629727</v>
      </c>
    </row>
    <row r="29" spans="1:14" s="256" customFormat="1" x14ac:dyDescent="0.3"/>
    <row r="30" spans="1:14" ht="55.2" x14ac:dyDescent="0.3">
      <c r="A30" s="336" t="s">
        <v>242</v>
      </c>
      <c r="D30" s="291" t="s">
        <v>149</v>
      </c>
      <c r="E30" s="291" t="s">
        <v>256</v>
      </c>
      <c r="F30" s="291" t="s">
        <v>260</v>
      </c>
      <c r="G30" s="291" t="s">
        <v>257</v>
      </c>
      <c r="H30" s="291" t="s">
        <v>258</v>
      </c>
      <c r="I30" s="291" t="s">
        <v>259</v>
      </c>
    </row>
    <row r="31" spans="1:14" x14ac:dyDescent="0.3">
      <c r="A31" s="336"/>
      <c r="D31" s="292">
        <v>11.53</v>
      </c>
      <c r="E31" s="293">
        <v>1876</v>
      </c>
      <c r="F31" s="293">
        <v>1118</v>
      </c>
      <c r="G31" s="294">
        <v>194</v>
      </c>
      <c r="H31" s="295">
        <v>0.4</v>
      </c>
      <c r="I31" s="294">
        <f>(1-H31)*G31</f>
        <v>116.39999999999999</v>
      </c>
    </row>
    <row r="32" spans="1:14" ht="13.8" customHeight="1" x14ac:dyDescent="0.3">
      <c r="A32" s="348" t="s">
        <v>2</v>
      </c>
      <c r="B32" s="347" t="s">
        <v>3</v>
      </c>
      <c r="C32" s="347" t="str">
        <f t="shared" ref="C32:C42" si="7">D15</f>
        <v>Response Scaling Factor for Sensitivity Analysis</v>
      </c>
      <c r="D32" s="333" t="s">
        <v>86</v>
      </c>
      <c r="E32" s="334"/>
      <c r="F32" s="334"/>
      <c r="G32" s="335"/>
      <c r="H32" s="349" t="s">
        <v>89</v>
      </c>
      <c r="I32" s="350"/>
      <c r="J32" s="350"/>
      <c r="K32" s="333" t="s">
        <v>251</v>
      </c>
      <c r="L32" s="334"/>
      <c r="M32" s="334"/>
      <c r="N32" s="335"/>
    </row>
    <row r="33" spans="1:14" ht="74.400000000000006" customHeight="1" x14ac:dyDescent="0.3">
      <c r="A33" s="346"/>
      <c r="B33" s="346"/>
      <c r="C33" s="346">
        <f t="shared" si="7"/>
        <v>0</v>
      </c>
      <c r="D33" s="182" t="s">
        <v>244</v>
      </c>
      <c r="E33" s="182" t="s">
        <v>243</v>
      </c>
      <c r="F33" s="182" t="s">
        <v>245</v>
      </c>
      <c r="G33" s="182" t="s">
        <v>261</v>
      </c>
      <c r="H33" s="62" t="s">
        <v>249</v>
      </c>
      <c r="I33" s="62" t="s">
        <v>250</v>
      </c>
      <c r="J33" s="62" t="s">
        <v>262</v>
      </c>
      <c r="K33" s="182" t="s">
        <v>252</v>
      </c>
      <c r="L33" s="182" t="s">
        <v>253</v>
      </c>
      <c r="M33" s="182" t="s">
        <v>254</v>
      </c>
      <c r="N33" s="182" t="s">
        <v>255</v>
      </c>
    </row>
    <row r="34" spans="1:14" x14ac:dyDescent="0.3">
      <c r="A34" s="54" t="s">
        <v>13</v>
      </c>
      <c r="B34" s="54" t="s">
        <v>93</v>
      </c>
      <c r="C34" s="153">
        <f t="shared" si="7"/>
        <v>1</v>
      </c>
      <c r="D34" s="266">
        <f t="shared" ref="D34:D41" si="8">E17</f>
        <v>5991499</v>
      </c>
      <c r="E34" s="264" t="s">
        <v>185</v>
      </c>
      <c r="F34" s="268">
        <f>F17/$D$31</f>
        <v>200413.29391107525</v>
      </c>
      <c r="G34" s="270">
        <f>F34*$F$31</f>
        <v>224062062.59258214</v>
      </c>
      <c r="H34" s="276">
        <f t="shared" ref="H34:H41" si="9">I17</f>
        <v>9540260.9986240491</v>
      </c>
      <c r="I34" s="268">
        <f>J17/$D$31</f>
        <v>316606.02914625424</v>
      </c>
      <c r="J34" s="279">
        <f>I34*$F$31</f>
        <v>353965540.58551222</v>
      </c>
      <c r="K34" s="266">
        <f>H34-D34</f>
        <v>3548761.9986240491</v>
      </c>
      <c r="L34" s="266">
        <f>J34-G34</f>
        <v>129903477.99293008</v>
      </c>
      <c r="M34" s="282">
        <f>K34/D34</f>
        <v>0.59229952281124454</v>
      </c>
      <c r="N34" s="283">
        <f>L34/G34</f>
        <v>0.57976560819730094</v>
      </c>
    </row>
    <row r="35" spans="1:14" x14ac:dyDescent="0.3">
      <c r="A35" s="55" t="s">
        <v>170</v>
      </c>
      <c r="B35" s="55" t="s">
        <v>93</v>
      </c>
      <c r="C35" s="154">
        <f t="shared" si="7"/>
        <v>1</v>
      </c>
      <c r="D35" s="267">
        <f t="shared" si="8"/>
        <v>15610435</v>
      </c>
      <c r="E35" s="265" t="s">
        <v>185</v>
      </c>
      <c r="F35" s="269">
        <f t="shared" ref="F35:F40" si="10">F18/$D$31</f>
        <v>230933.63819705584</v>
      </c>
      <c r="G35" s="271">
        <f t="shared" ref="G35:G40" si="11">F35*$F$31</f>
        <v>258183807.50430843</v>
      </c>
      <c r="H35" s="277">
        <f t="shared" si="9"/>
        <v>24856488.201375954</v>
      </c>
      <c r="I35" s="269">
        <f t="shared" ref="I35:I40" si="12">J18/$D$31</f>
        <v>367931.81392440473</v>
      </c>
      <c r="J35" s="280">
        <f t="shared" ref="J35:J40" si="13">I35*$F$31</f>
        <v>411347767.96748447</v>
      </c>
      <c r="K35" s="267">
        <f t="shared" ref="K35:K42" si="14">H35-D35</f>
        <v>9246053.2013759539</v>
      </c>
      <c r="L35" s="267">
        <f t="shared" ref="L35:L42" si="15">J35-G35</f>
        <v>153163960.46317604</v>
      </c>
      <c r="M35" s="284">
        <f t="shared" ref="M35:M42" si="16">K35/D35</f>
        <v>0.59229952281124476</v>
      </c>
      <c r="N35" s="285">
        <f t="shared" ref="N35:N42" si="17">L35/G35</f>
        <v>0.59323612097795919</v>
      </c>
    </row>
    <row r="36" spans="1:14" x14ac:dyDescent="0.3">
      <c r="A36" s="55" t="s">
        <v>104</v>
      </c>
      <c r="B36" s="55" t="s">
        <v>95</v>
      </c>
      <c r="C36" s="154">
        <f t="shared" si="7"/>
        <v>1</v>
      </c>
      <c r="D36" s="267">
        <f t="shared" si="8"/>
        <v>3804716</v>
      </c>
      <c r="E36" s="265" t="s">
        <v>185</v>
      </c>
      <c r="F36" s="269">
        <f t="shared" si="10"/>
        <v>13058.170083390574</v>
      </c>
      <c r="G36" s="271">
        <f t="shared" si="11"/>
        <v>14599034.153230662</v>
      </c>
      <c r="H36" s="277">
        <f t="shared" si="9"/>
        <v>3424244.4</v>
      </c>
      <c r="I36" s="269">
        <f t="shared" si="12"/>
        <v>11752.308384638445</v>
      </c>
      <c r="J36" s="280">
        <f t="shared" si="13"/>
        <v>13139080.774025781</v>
      </c>
      <c r="K36" s="267">
        <f t="shared" si="14"/>
        <v>-380471.60000000009</v>
      </c>
      <c r="L36" s="267">
        <f t="shared" si="15"/>
        <v>-1459953.3792048804</v>
      </c>
      <c r="M36" s="284">
        <f t="shared" si="16"/>
        <v>-0.10000000000000002</v>
      </c>
      <c r="N36" s="285">
        <f t="shared" si="17"/>
        <v>-0.10000342241009165</v>
      </c>
    </row>
    <row r="37" spans="1:14" x14ac:dyDescent="0.3">
      <c r="A37" s="55" t="s">
        <v>104</v>
      </c>
      <c r="B37" s="55" t="s">
        <v>94</v>
      </c>
      <c r="C37" s="154">
        <f t="shared" si="7"/>
        <v>1</v>
      </c>
      <c r="D37" s="267">
        <f t="shared" si="8"/>
        <v>4440000</v>
      </c>
      <c r="E37" s="265" t="s">
        <v>185</v>
      </c>
      <c r="F37" s="269">
        <f t="shared" si="10"/>
        <v>2228.0277703496668</v>
      </c>
      <c r="G37" s="271">
        <f t="shared" si="11"/>
        <v>2490935.0472509274</v>
      </c>
      <c r="H37" s="277">
        <f t="shared" si="9"/>
        <v>3401441.5320000006</v>
      </c>
      <c r="I37" s="269">
        <f t="shared" si="12"/>
        <v>1822.0499190256078</v>
      </c>
      <c r="J37" s="280">
        <f t="shared" si="13"/>
        <v>2037051.8094706296</v>
      </c>
      <c r="K37" s="267">
        <f t="shared" si="14"/>
        <v>-1038558.4679999994</v>
      </c>
      <c r="L37" s="267">
        <f t="shared" si="15"/>
        <v>-453883.23778029787</v>
      </c>
      <c r="M37" s="284">
        <f t="shared" si="16"/>
        <v>-0.23390956486486472</v>
      </c>
      <c r="N37" s="285">
        <f t="shared" si="17"/>
        <v>-0.18221399963086848</v>
      </c>
    </row>
    <row r="38" spans="1:14" x14ac:dyDescent="0.3">
      <c r="A38" s="55" t="s">
        <v>104</v>
      </c>
      <c r="B38" s="55" t="s">
        <v>108</v>
      </c>
      <c r="C38" s="154">
        <f t="shared" si="7"/>
        <v>1</v>
      </c>
      <c r="D38" s="267">
        <f t="shared" si="8"/>
        <v>22954000</v>
      </c>
      <c r="E38" s="265" t="s">
        <v>185</v>
      </c>
      <c r="F38" s="269">
        <f t="shared" si="10"/>
        <v>138412.14348311909</v>
      </c>
      <c r="G38" s="271">
        <f t="shared" si="11"/>
        <v>154744776.41412714</v>
      </c>
      <c r="H38" s="277">
        <f t="shared" si="9"/>
        <v>49152705.988807186</v>
      </c>
      <c r="I38" s="269">
        <f t="shared" si="12"/>
        <v>254008.86007877532</v>
      </c>
      <c r="J38" s="280">
        <f t="shared" si="13"/>
        <v>283981905.56807083</v>
      </c>
      <c r="K38" s="267">
        <f t="shared" si="14"/>
        <v>26198705.988807186</v>
      </c>
      <c r="L38" s="267">
        <f t="shared" si="15"/>
        <v>129237129.15394369</v>
      </c>
      <c r="M38" s="284">
        <f t="shared" si="16"/>
        <v>1.1413568872008011</v>
      </c>
      <c r="N38" s="285">
        <f t="shared" si="17"/>
        <v>0.83516311276369015</v>
      </c>
    </row>
    <row r="39" spans="1:14" x14ac:dyDescent="0.3">
      <c r="A39" s="55" t="s">
        <v>104</v>
      </c>
      <c r="B39" s="55" t="s">
        <v>96</v>
      </c>
      <c r="C39" s="154">
        <f t="shared" si="7"/>
        <v>1</v>
      </c>
      <c r="D39" s="267">
        <f t="shared" si="8"/>
        <v>7818984</v>
      </c>
      <c r="E39" s="265" t="s">
        <v>185</v>
      </c>
      <c r="F39" s="269">
        <f t="shared" si="10"/>
        <v>32808.607210343704</v>
      </c>
      <c r="G39" s="271">
        <f t="shared" si="11"/>
        <v>36680022.861164257</v>
      </c>
      <c r="H39" s="277">
        <f t="shared" si="9"/>
        <v>8124382.9767209534</v>
      </c>
      <c r="I39" s="269">
        <f t="shared" si="12"/>
        <v>33941.970592526719</v>
      </c>
      <c r="J39" s="280">
        <f t="shared" si="13"/>
        <v>37947123.122444868</v>
      </c>
      <c r="K39" s="267">
        <f t="shared" si="14"/>
        <v>305398.97672095336</v>
      </c>
      <c r="L39" s="267">
        <f t="shared" si="15"/>
        <v>1267100.2612806112</v>
      </c>
      <c r="M39" s="284">
        <f t="shared" si="16"/>
        <v>3.9058652213759919E-2</v>
      </c>
      <c r="N39" s="285">
        <f t="shared" si="17"/>
        <v>3.4544696607105449E-2</v>
      </c>
    </row>
    <row r="40" spans="1:14" x14ac:dyDescent="0.3">
      <c r="A40" s="55" t="s">
        <v>104</v>
      </c>
      <c r="B40" s="55" t="s">
        <v>177</v>
      </c>
      <c r="C40" s="154">
        <f t="shared" si="7"/>
        <v>1</v>
      </c>
      <c r="D40" s="267">
        <f t="shared" si="8"/>
        <v>3535945</v>
      </c>
      <c r="E40" s="265" t="s">
        <v>185</v>
      </c>
      <c r="F40" s="269">
        <f t="shared" si="10"/>
        <v>7217</v>
      </c>
      <c r="G40" s="271">
        <f t="shared" si="11"/>
        <v>8068606</v>
      </c>
      <c r="H40" s="277">
        <f t="shared" si="9"/>
        <v>3182350.5</v>
      </c>
      <c r="I40" s="269">
        <f t="shared" si="12"/>
        <v>6526.2088026637221</v>
      </c>
      <c r="J40" s="280">
        <f t="shared" si="13"/>
        <v>7296301.4413780412</v>
      </c>
      <c r="K40" s="267">
        <f t="shared" si="14"/>
        <v>-353594.5</v>
      </c>
      <c r="L40" s="267">
        <f t="shared" si="15"/>
        <v>-772304.55862195883</v>
      </c>
      <c r="M40" s="284">
        <f t="shared" si="16"/>
        <v>-0.1</v>
      </c>
      <c r="N40" s="285">
        <f t="shared" si="17"/>
        <v>-9.5717222853855893E-2</v>
      </c>
    </row>
    <row r="41" spans="1:14" x14ac:dyDescent="0.3">
      <c r="A41" s="55" t="s">
        <v>104</v>
      </c>
      <c r="B41" s="55" t="s">
        <v>172</v>
      </c>
      <c r="C41" s="154">
        <f t="shared" si="7"/>
        <v>1</v>
      </c>
      <c r="D41" s="267">
        <f t="shared" si="8"/>
        <v>15700000</v>
      </c>
      <c r="E41" s="287" t="s">
        <v>184</v>
      </c>
      <c r="F41" s="269">
        <f t="shared" ref="F41" si="18">F24</f>
        <v>360832.73711340129</v>
      </c>
      <c r="G41" s="271">
        <f>F41*$I$31</f>
        <v>42000930.599999905</v>
      </c>
      <c r="H41" s="277">
        <f t="shared" si="9"/>
        <v>14130000.000000002</v>
      </c>
      <c r="I41" s="269">
        <f>J24</f>
        <v>330538.85608282685</v>
      </c>
      <c r="J41" s="280">
        <f>I41*$I$31</f>
        <v>38474722.848041043</v>
      </c>
      <c r="K41" s="267">
        <f t="shared" si="14"/>
        <v>-1569999.9999999981</v>
      </c>
      <c r="L41" s="267">
        <f t="shared" si="15"/>
        <v>-3526207.7519588619</v>
      </c>
      <c r="M41" s="284">
        <f t="shared" si="16"/>
        <v>-9.9999999999999881E-2</v>
      </c>
      <c r="N41" s="285">
        <f t="shared" si="17"/>
        <v>-8.3955467214311436E-2</v>
      </c>
    </row>
    <row r="42" spans="1:14" x14ac:dyDescent="0.3">
      <c r="A42" s="75" t="s">
        <v>104</v>
      </c>
      <c r="B42" s="75" t="s">
        <v>103</v>
      </c>
      <c r="C42" s="75">
        <f t="shared" si="7"/>
        <v>0</v>
      </c>
      <c r="D42" s="76">
        <f>SUM(D34:D41)</f>
        <v>79855579</v>
      </c>
      <c r="E42" s="77"/>
      <c r="F42" s="77"/>
      <c r="G42" s="272">
        <f>SUM(G34:G41)</f>
        <v>740830175.17266345</v>
      </c>
      <c r="H42" s="278">
        <f>SUM(H34:H41)</f>
        <v>115811874.59752814</v>
      </c>
      <c r="I42" s="77"/>
      <c r="J42" s="281">
        <f>SUM(J34:J41)</f>
        <v>1148189494.1164279</v>
      </c>
      <c r="K42" s="76">
        <f t="shared" si="14"/>
        <v>35956295.597528145</v>
      </c>
      <c r="L42" s="312">
        <f t="shared" si="15"/>
        <v>407359318.94376445</v>
      </c>
      <c r="M42" s="79">
        <f t="shared" si="16"/>
        <v>0.45026654427648877</v>
      </c>
      <c r="N42" s="286">
        <f t="shared" si="17"/>
        <v>0.54986869136212257</v>
      </c>
    </row>
    <row r="43" spans="1:14" x14ac:dyDescent="0.3">
      <c r="D43" s="288">
        <v>0.54</v>
      </c>
      <c r="E43" s="288">
        <v>0.34</v>
      </c>
      <c r="F43" s="185" t="s">
        <v>246</v>
      </c>
      <c r="G43" s="289">
        <f>SUM(G34:G40)*$E$43 + (G41*$D$43)</f>
        <v>260282445.67870557</v>
      </c>
      <c r="H43" s="256"/>
      <c r="I43" s="183"/>
      <c r="J43" s="289">
        <f>SUM(J34:J40)*$E$43 + (J41*$D$43)</f>
        <v>398079372.56919372</v>
      </c>
      <c r="K43" s="256"/>
      <c r="L43" s="289">
        <f>SUM(L34:L40)*$E$43 + (L41*$D$43)</f>
        <v>137796926.89048815</v>
      </c>
      <c r="M43" s="313">
        <f>L43/L42</f>
        <v>0.33826874820927044</v>
      </c>
      <c r="N43" s="290">
        <f>N42*(L43/L42)</f>
        <v>0.18600339390653489</v>
      </c>
    </row>
    <row r="44" spans="1:14" x14ac:dyDescent="0.3">
      <c r="D44" s="288">
        <v>0.46</v>
      </c>
      <c r="E44" s="288">
        <v>0.39</v>
      </c>
      <c r="F44" s="185" t="s">
        <v>247</v>
      </c>
      <c r="G44" s="289">
        <f>SUM(G34:G40)*$E$44 + (G41*$D$44)</f>
        <v>291863833.45933878</v>
      </c>
      <c r="H44" s="256"/>
      <c r="I44" s="183"/>
      <c r="J44" s="289">
        <f>SUM(J34:J40)*$E$44 + (J41*$D$44)</f>
        <v>450487133.30476975</v>
      </c>
      <c r="K44" s="256"/>
      <c r="L44" s="289">
        <f>SUM(L34:L40)*$E$44 + (L41*$D$44)</f>
        <v>158623299.84543103</v>
      </c>
      <c r="M44" s="313">
        <f>L44/L42</f>
        <v>0.38939406187324471</v>
      </c>
      <c r="N44" s="290">
        <f>N42*(L44/L42)</f>
        <v>0.21411560322642245</v>
      </c>
    </row>
    <row r="45" spans="1:14" x14ac:dyDescent="0.3">
      <c r="D45" s="288">
        <v>0</v>
      </c>
      <c r="E45" s="288">
        <v>0.27</v>
      </c>
      <c r="F45" s="185" t="s">
        <v>248</v>
      </c>
      <c r="G45" s="289">
        <f>SUM(G34:G40)*$E$45 + (G41*$D$45)</f>
        <v>188683896.03461918</v>
      </c>
      <c r="H45" s="256"/>
      <c r="I45" s="183"/>
      <c r="J45" s="289">
        <f>SUM(J34:J40)*$E$45 + (J41*$D$45)</f>
        <v>299622988.24246448</v>
      </c>
      <c r="K45" s="256"/>
      <c r="L45" s="289">
        <f>SUM(L34:L40)*$E$45 + (L41*$D$45)</f>
        <v>110939092.2078453</v>
      </c>
      <c r="M45" s="313">
        <f>L45/L42</f>
        <v>0.27233718991748496</v>
      </c>
      <c r="N45" s="290">
        <f>N42*(L45/L42)</f>
        <v>0.14974969422916529</v>
      </c>
    </row>
    <row r="46" spans="1:14" x14ac:dyDescent="0.3">
      <c r="D46" s="256" t="s">
        <v>184</v>
      </c>
      <c r="E46" s="256" t="s">
        <v>284</v>
      </c>
      <c r="F46" s="256"/>
      <c r="G46" s="256"/>
      <c r="H46" s="256"/>
      <c r="I46" s="256"/>
      <c r="J46" s="256"/>
      <c r="K46" s="256"/>
      <c r="L46" s="256"/>
      <c r="M46" s="256"/>
      <c r="N46" s="256"/>
    </row>
    <row r="47" spans="1:14" ht="27.6" x14ac:dyDescent="0.3">
      <c r="D47" s="186" t="s">
        <v>285</v>
      </c>
      <c r="E47" s="256"/>
      <c r="F47" s="256"/>
      <c r="G47" s="256"/>
      <c r="H47" s="256"/>
      <c r="I47" s="256"/>
      <c r="J47" s="256"/>
      <c r="K47" s="256"/>
      <c r="L47" s="256"/>
      <c r="M47" s="256"/>
      <c r="N47" s="256"/>
    </row>
  </sheetData>
  <mergeCells count="19">
    <mergeCell ref="A32:A33"/>
    <mergeCell ref="B32:B33"/>
    <mergeCell ref="C32:C33"/>
    <mergeCell ref="D32:G32"/>
    <mergeCell ref="H32:J32"/>
    <mergeCell ref="A30:A31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B4:I4"/>
    <mergeCell ref="K15:N15"/>
    <mergeCell ref="K32:N32"/>
  </mergeCells>
  <pageMargins left="0.7" right="0.7" top="0.75" bottom="0.75" header="0.3" footer="0.3"/>
  <pageSetup orientation="portrait"/>
  <ignoredErrors>
    <ignoredError sqref="I34:I40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79998168889431442"/>
  </sheetPr>
  <dimension ref="A1:N43"/>
  <sheetViews>
    <sheetView topLeftCell="C9" workbookViewId="0">
      <selection activeCell="N41" sqref="N41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5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139</v>
      </c>
    </row>
    <row r="2" spans="1:14" ht="16.2" customHeight="1" x14ac:dyDescent="0.3">
      <c r="A2" s="7" t="s">
        <v>2</v>
      </c>
      <c r="B2" s="8" t="s">
        <v>13</v>
      </c>
      <c r="C2" s="9" t="s">
        <v>4</v>
      </c>
      <c r="D2" s="10" t="s">
        <v>6</v>
      </c>
      <c r="E2" s="9" t="s">
        <v>122</v>
      </c>
      <c r="F2" s="10" t="s">
        <v>123</v>
      </c>
      <c r="H2" s="362" t="s">
        <v>105</v>
      </c>
      <c r="I2" s="363"/>
      <c r="J2" s="363"/>
      <c r="K2" s="363"/>
      <c r="L2" s="363"/>
      <c r="M2" s="363"/>
      <c r="N2" s="364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65" t="s">
        <v>136</v>
      </c>
      <c r="I3" s="366"/>
      <c r="J3" s="366"/>
      <c r="K3" s="366"/>
      <c r="L3" s="366"/>
      <c r="M3" s="366"/>
      <c r="N3" s="367"/>
    </row>
    <row r="4" spans="1:14" ht="18.600000000000001" customHeight="1" thickBot="1" x14ac:dyDescent="0.35">
      <c r="A4" s="29" t="s">
        <v>38</v>
      </c>
      <c r="B4" s="368" t="s">
        <v>131</v>
      </c>
      <c r="C4" s="369"/>
      <c r="D4" s="369"/>
      <c r="E4" s="369"/>
      <c r="F4" s="370"/>
    </row>
    <row r="6" spans="1:14" ht="14.4" thickBot="1" x14ac:dyDescent="0.35"/>
    <row r="7" spans="1:14" ht="27.6" customHeight="1" x14ac:dyDescent="0.3">
      <c r="A7" s="351" t="s">
        <v>8</v>
      </c>
      <c r="B7" s="354" t="s">
        <v>9</v>
      </c>
      <c r="C7" s="355"/>
      <c r="D7" s="371" t="s">
        <v>12</v>
      </c>
      <c r="E7" s="354"/>
      <c r="F7" s="355"/>
      <c r="G7" s="371" t="s">
        <v>143</v>
      </c>
      <c r="H7" s="354"/>
      <c r="I7" s="356"/>
      <c r="J7" s="1" t="s">
        <v>144</v>
      </c>
    </row>
    <row r="8" spans="1:14" ht="27.6" x14ac:dyDescent="0.3">
      <c r="A8" s="352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3"/>
      <c r="B9" s="112">
        <f>JJ_Optim_Scenario!G17</f>
        <v>5392349.1000000006</v>
      </c>
      <c r="C9" s="113">
        <f>JJ_Optim_Scenario!H17</f>
        <v>9540260.9986240491</v>
      </c>
      <c r="D9" s="114">
        <f>JJ_Optim_Scenario!I17</f>
        <v>9540260.9986240491</v>
      </c>
      <c r="E9" s="119">
        <f>$B$13*D9+$C$13*D9*D9</f>
        <v>316606.02914625418</v>
      </c>
      <c r="F9" s="85">
        <f>$E$13*D9+$F$13*D9*D9</f>
        <v>3650467.5160563109</v>
      </c>
      <c r="G9" s="120">
        <f>JJ_Optim_Scenario!E17</f>
        <v>5991499</v>
      </c>
      <c r="H9" s="121">
        <f>$B$13*G9+$C$13*G9*G9</f>
        <v>200413.29391107528</v>
      </c>
      <c r="I9" s="115">
        <f>$E$13*G9+$F$13*G9*G9</f>
        <v>2310765.2787946975</v>
      </c>
      <c r="J9" s="123">
        <f>G9/I9</f>
        <v>2.5928635223068546</v>
      </c>
      <c r="K9" s="1" t="s">
        <v>142</v>
      </c>
    </row>
    <row r="10" spans="1:14" ht="14.4" thickBot="1" x14ac:dyDescent="0.35"/>
    <row r="11" spans="1:14" ht="50.4" customHeight="1" x14ac:dyDescent="0.3">
      <c r="A11" s="351" t="s">
        <v>42</v>
      </c>
      <c r="B11" s="354" t="s">
        <v>138</v>
      </c>
      <c r="C11" s="354"/>
      <c r="D11" s="354" t="s">
        <v>125</v>
      </c>
      <c r="E11" s="354" t="s">
        <v>137</v>
      </c>
      <c r="F11" s="354"/>
      <c r="G11" s="356" t="s">
        <v>134</v>
      </c>
      <c r="I11" s="141"/>
      <c r="J11" s="32"/>
    </row>
    <row r="12" spans="1:14" ht="24.6" customHeight="1" x14ac:dyDescent="0.3">
      <c r="A12" s="352"/>
      <c r="B12" s="91" t="s">
        <v>43</v>
      </c>
      <c r="C12" s="91" t="s">
        <v>44</v>
      </c>
      <c r="D12" s="336"/>
      <c r="E12" s="91" t="s">
        <v>132</v>
      </c>
      <c r="F12" s="91" t="s">
        <v>133</v>
      </c>
      <c r="G12" s="357"/>
      <c r="H12" s="298" t="s">
        <v>267</v>
      </c>
      <c r="I12" s="298" t="s">
        <v>268</v>
      </c>
      <c r="J12" s="32"/>
    </row>
    <row r="13" spans="1:14" ht="14.4" thickBot="1" x14ac:dyDescent="0.35">
      <c r="A13" s="353"/>
      <c r="B13" s="12">
        <v>3.3894148963675173E-2</v>
      </c>
      <c r="C13" s="12">
        <v>-7.4195254306928158E-11</v>
      </c>
      <c r="D13" s="111">
        <v>11.53</v>
      </c>
      <c r="E13" s="12">
        <v>0.39079953755117475</v>
      </c>
      <c r="F13" s="12">
        <v>-8.5547128215888159E-10</v>
      </c>
      <c r="G13" s="296">
        <f>JJ_Optim_Scenario!D17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58" t="s">
        <v>135</v>
      </c>
      <c r="B14" s="358"/>
      <c r="C14" s="358"/>
      <c r="D14" s="358"/>
      <c r="E14" s="358"/>
      <c r="F14" s="358"/>
      <c r="G14" s="358"/>
      <c r="H14" s="39"/>
      <c r="I14" s="39"/>
      <c r="J14" s="39"/>
    </row>
    <row r="15" spans="1:14" ht="30.6" customHeight="1" x14ac:dyDescent="0.3">
      <c r="A15" s="359"/>
      <c r="B15" s="359"/>
      <c r="C15" s="359"/>
      <c r="D15" s="359"/>
      <c r="E15" s="359"/>
      <c r="F15" s="359"/>
      <c r="G15" s="359"/>
      <c r="H15" s="39"/>
      <c r="I15" s="39"/>
      <c r="J15" s="39"/>
    </row>
    <row r="17" spans="1:4" ht="14.4" thickBot="1" x14ac:dyDescent="0.35"/>
    <row r="18" spans="1:4" ht="16.8" customHeight="1" x14ac:dyDescent="0.3">
      <c r="A18" s="360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61"/>
      <c r="B19" s="103">
        <v>0</v>
      </c>
      <c r="C19" s="103">
        <v>15000000</v>
      </c>
      <c r="D19" s="26">
        <v>20</v>
      </c>
    </row>
    <row r="21" spans="1:4" x14ac:dyDescent="0.3">
      <c r="A21" s="336" t="s">
        <v>37</v>
      </c>
      <c r="B21" s="336"/>
      <c r="C21" s="336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750000</v>
      </c>
      <c r="B24" s="116">
        <f t="shared" ref="B24:B43" si="0">$B$13*A24+$C$13*A24*A24</f>
        <v>25378.876892208733</v>
      </c>
      <c r="C24" s="116">
        <f t="shared" ref="C24:C43" si="1">$E$13*A24+$F$13*A24*A24</f>
        <v>292618.45056716667</v>
      </c>
      <c r="D24" s="299">
        <f t="shared" ref="D24:D43" si="2">B24*$I$13</f>
        <v>28373584.365489364</v>
      </c>
    </row>
    <row r="25" spans="1:4" x14ac:dyDescent="0.3">
      <c r="A25" s="122">
        <f t="shared" ref="A25:A43" si="3">A24+(($C$19-$B$19)/$D$19)</f>
        <v>1500000</v>
      </c>
      <c r="B25" s="116">
        <f t="shared" si="0"/>
        <v>50674.284123322177</v>
      </c>
      <c r="C25" s="116">
        <f t="shared" si="1"/>
        <v>584274.49594190461</v>
      </c>
      <c r="D25" s="299">
        <f t="shared" si="2"/>
        <v>56653849.649874195</v>
      </c>
    </row>
    <row r="26" spans="1:4" x14ac:dyDescent="0.3">
      <c r="A26" s="122">
        <f t="shared" si="3"/>
        <v>2250000</v>
      </c>
      <c r="B26" s="116">
        <f t="shared" si="0"/>
        <v>75886.221693340325</v>
      </c>
      <c r="C26" s="116">
        <f t="shared" si="1"/>
        <v>874968.13612421392</v>
      </c>
      <c r="D26" s="299">
        <f t="shared" si="2"/>
        <v>84840795.85315448</v>
      </c>
    </row>
    <row r="27" spans="1:4" x14ac:dyDescent="0.3">
      <c r="A27" s="122">
        <f t="shared" si="3"/>
        <v>3000000</v>
      </c>
      <c r="B27" s="116">
        <f t="shared" si="0"/>
        <v>101014.68960226317</v>
      </c>
      <c r="C27" s="116">
        <f t="shared" si="1"/>
        <v>1164699.3711140943</v>
      </c>
      <c r="D27" s="299">
        <f t="shared" si="2"/>
        <v>112934422.97533022</v>
      </c>
    </row>
    <row r="28" spans="1:4" x14ac:dyDescent="0.3">
      <c r="A28" s="122">
        <f t="shared" si="3"/>
        <v>3750000</v>
      </c>
      <c r="B28" s="116">
        <f t="shared" si="0"/>
        <v>126059.68785009073</v>
      </c>
      <c r="C28" s="116">
        <f t="shared" si="1"/>
        <v>1453468.2009115461</v>
      </c>
      <c r="D28" s="299">
        <f t="shared" si="2"/>
        <v>140934731.01640144</v>
      </c>
    </row>
    <row r="29" spans="1:4" x14ac:dyDescent="0.3">
      <c r="A29" s="122">
        <f t="shared" si="3"/>
        <v>4500000</v>
      </c>
      <c r="B29" s="116">
        <f t="shared" si="0"/>
        <v>151021.21643682299</v>
      </c>
      <c r="C29" s="116">
        <f t="shared" si="1"/>
        <v>1741274.625516569</v>
      </c>
      <c r="D29" s="299">
        <f t="shared" si="2"/>
        <v>168841719.9763681</v>
      </c>
    </row>
    <row r="30" spans="1:4" x14ac:dyDescent="0.3">
      <c r="A30" s="122">
        <f t="shared" si="3"/>
        <v>5250000</v>
      </c>
      <c r="B30" s="116">
        <f t="shared" si="0"/>
        <v>175899.27536245997</v>
      </c>
      <c r="C30" s="116">
        <f t="shared" si="1"/>
        <v>2028118.6449291632</v>
      </c>
      <c r="D30" s="299">
        <f t="shared" si="2"/>
        <v>196655389.85523024</v>
      </c>
    </row>
    <row r="31" spans="1:4" x14ac:dyDescent="0.3">
      <c r="A31" s="122">
        <f t="shared" si="3"/>
        <v>6000000</v>
      </c>
      <c r="B31" s="116">
        <f t="shared" si="0"/>
        <v>200693.86462700163</v>
      </c>
      <c r="C31" s="116">
        <f t="shared" si="1"/>
        <v>2314000.2591493283</v>
      </c>
      <c r="D31" s="299">
        <f t="shared" si="2"/>
        <v>224375740.65298784</v>
      </c>
    </row>
    <row r="32" spans="1:4" x14ac:dyDescent="0.3">
      <c r="A32" s="122">
        <f t="shared" si="3"/>
        <v>6750000</v>
      </c>
      <c r="B32" s="116">
        <f t="shared" si="0"/>
        <v>225404.98423044803</v>
      </c>
      <c r="C32" s="116">
        <f t="shared" si="1"/>
        <v>2598919.4681770657</v>
      </c>
      <c r="D32" s="299">
        <f t="shared" si="2"/>
        <v>252002772.36964089</v>
      </c>
    </row>
    <row r="33" spans="1:4" x14ac:dyDescent="0.3">
      <c r="A33" s="122">
        <f t="shared" si="3"/>
        <v>7500000</v>
      </c>
      <c r="B33" s="116">
        <f t="shared" si="0"/>
        <v>250032.63417279909</v>
      </c>
      <c r="C33" s="116">
        <f t="shared" si="1"/>
        <v>2882876.2720123734</v>
      </c>
      <c r="D33" s="299">
        <f t="shared" si="2"/>
        <v>279536485.00518936</v>
      </c>
    </row>
    <row r="34" spans="1:4" x14ac:dyDescent="0.3">
      <c r="A34" s="122">
        <f t="shared" si="3"/>
        <v>8250000</v>
      </c>
      <c r="B34" s="116">
        <f t="shared" si="0"/>
        <v>274576.81445405487</v>
      </c>
      <c r="C34" s="116">
        <f t="shared" si="1"/>
        <v>3165870.6706552524</v>
      </c>
      <c r="D34" s="299">
        <f t="shared" si="2"/>
        <v>306976878.55963331</v>
      </c>
    </row>
    <row r="35" spans="1:4" x14ac:dyDescent="0.3">
      <c r="A35" s="122">
        <f>A34+(($C$19-$B$19)/$D$19)</f>
        <v>9000000</v>
      </c>
      <c r="B35" s="116">
        <f t="shared" si="0"/>
        <v>299037.52507421537</v>
      </c>
      <c r="C35" s="116">
        <f t="shared" si="1"/>
        <v>3447902.6641057036</v>
      </c>
      <c r="D35" s="299">
        <f t="shared" si="2"/>
        <v>334323953.03297281</v>
      </c>
    </row>
    <row r="36" spans="1:4" x14ac:dyDescent="0.3">
      <c r="A36" s="122">
        <f t="shared" si="3"/>
        <v>9750000</v>
      </c>
      <c r="B36" s="116">
        <f t="shared" si="0"/>
        <v>323414.76603328058</v>
      </c>
      <c r="C36" s="116">
        <f t="shared" si="1"/>
        <v>3728972.2523637251</v>
      </c>
      <c r="D36" s="299">
        <f t="shared" si="2"/>
        <v>361577708.42520767</v>
      </c>
    </row>
    <row r="37" spans="1:4" x14ac:dyDescent="0.3">
      <c r="A37" s="122">
        <f t="shared" si="3"/>
        <v>10500000</v>
      </c>
      <c r="B37" s="116">
        <f t="shared" si="0"/>
        <v>347708.5373312505</v>
      </c>
      <c r="C37" s="116">
        <f t="shared" si="1"/>
        <v>4009079.4354293179</v>
      </c>
      <c r="D37" s="299">
        <f t="shared" si="2"/>
        <v>388738144.73633808</v>
      </c>
    </row>
    <row r="38" spans="1:4" x14ac:dyDescent="0.3">
      <c r="A38" s="122">
        <f t="shared" si="3"/>
        <v>11250000</v>
      </c>
      <c r="B38" s="116">
        <f t="shared" si="0"/>
        <v>371918.83896812511</v>
      </c>
      <c r="C38" s="116">
        <f t="shared" si="1"/>
        <v>4288224.2133024819</v>
      </c>
      <c r="D38" s="299">
        <f t="shared" si="2"/>
        <v>415805261.96636391</v>
      </c>
    </row>
    <row r="39" spans="1:4" x14ac:dyDescent="0.3">
      <c r="A39" s="122">
        <f t="shared" si="3"/>
        <v>12000000</v>
      </c>
      <c r="B39" s="116">
        <f t="shared" si="0"/>
        <v>396045.67094390444</v>
      </c>
      <c r="C39" s="116">
        <f t="shared" si="1"/>
        <v>4566406.5859832177</v>
      </c>
      <c r="D39" s="299">
        <f t="shared" si="2"/>
        <v>442779060.11528516</v>
      </c>
    </row>
    <row r="40" spans="1:4" x14ac:dyDescent="0.3">
      <c r="A40" s="122">
        <f t="shared" si="3"/>
        <v>12750000</v>
      </c>
      <c r="B40" s="116">
        <f t="shared" si="0"/>
        <v>420089.03325858846</v>
      </c>
      <c r="C40" s="116">
        <f t="shared" si="1"/>
        <v>4843626.5534715252</v>
      </c>
      <c r="D40" s="299">
        <f t="shared" si="2"/>
        <v>469659539.18310189</v>
      </c>
    </row>
    <row r="41" spans="1:4" x14ac:dyDescent="0.3">
      <c r="A41" s="122">
        <f t="shared" si="3"/>
        <v>13500000</v>
      </c>
      <c r="B41" s="116">
        <f t="shared" si="0"/>
        <v>444048.92591217719</v>
      </c>
      <c r="C41" s="116">
        <f t="shared" si="1"/>
        <v>5119884.1157674035</v>
      </c>
      <c r="D41" s="299">
        <f t="shared" si="2"/>
        <v>496446699.16981411</v>
      </c>
    </row>
    <row r="42" spans="1:4" x14ac:dyDescent="0.3">
      <c r="A42" s="122">
        <f>A41+(($C$19-$B$19)/$D$19)</f>
        <v>14250000</v>
      </c>
      <c r="B42" s="116">
        <f t="shared" si="0"/>
        <v>467925.34890467062</v>
      </c>
      <c r="C42" s="116">
        <f t="shared" si="1"/>
        <v>5395179.2728708526</v>
      </c>
      <c r="D42" s="299">
        <f t="shared" si="2"/>
        <v>523140540.07542175</v>
      </c>
    </row>
    <row r="43" spans="1:4" x14ac:dyDescent="0.3">
      <c r="A43" s="122">
        <f t="shared" si="3"/>
        <v>15000000</v>
      </c>
      <c r="B43" s="116">
        <f t="shared" si="0"/>
        <v>491718.30223606876</v>
      </c>
      <c r="C43" s="116">
        <f t="shared" si="1"/>
        <v>5669512.0247818725</v>
      </c>
      <c r="D43" s="299">
        <f t="shared" si="2"/>
        <v>549741061.89992487</v>
      </c>
    </row>
  </sheetData>
  <mergeCells count="15">
    <mergeCell ref="H2:N2"/>
    <mergeCell ref="H3:N3"/>
    <mergeCell ref="B4:F4"/>
    <mergeCell ref="D7:F7"/>
    <mergeCell ref="G7:I7"/>
    <mergeCell ref="E11:F11"/>
    <mergeCell ref="G11:G12"/>
    <mergeCell ref="A14:G15"/>
    <mergeCell ref="A11:A13"/>
    <mergeCell ref="A18:A19"/>
    <mergeCell ref="A7:A9"/>
    <mergeCell ref="B7:C7"/>
    <mergeCell ref="A21:C21"/>
    <mergeCell ref="B11:C11"/>
    <mergeCell ref="D11:D1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N43"/>
  <sheetViews>
    <sheetView topLeftCell="A9" workbookViewId="0">
      <selection activeCell="D22" sqref="D22:D23"/>
    </sheetView>
  </sheetViews>
  <sheetFormatPr defaultRowHeight="13.8" x14ac:dyDescent="0.3"/>
  <cols>
    <col min="1" max="1" width="12.109375" style="1" customWidth="1"/>
    <col min="2" max="2" width="11.88671875" style="1" customWidth="1"/>
    <col min="3" max="3" width="11" style="1" customWidth="1"/>
    <col min="4" max="4" width="14.218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141</v>
      </c>
    </row>
    <row r="2" spans="1:14" ht="16.2" customHeight="1" x14ac:dyDescent="0.3">
      <c r="A2" s="7" t="s">
        <v>2</v>
      </c>
      <c r="B2" s="8" t="s">
        <v>146</v>
      </c>
      <c r="C2" s="9" t="s">
        <v>4</v>
      </c>
      <c r="D2" s="10" t="s">
        <v>6</v>
      </c>
      <c r="E2" s="9" t="s">
        <v>122</v>
      </c>
      <c r="F2" s="10" t="s">
        <v>123</v>
      </c>
      <c r="H2" s="362" t="s">
        <v>105</v>
      </c>
      <c r="I2" s="363"/>
      <c r="J2" s="363"/>
      <c r="K2" s="363"/>
      <c r="L2" s="363"/>
      <c r="M2" s="363"/>
      <c r="N2" s="364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65" t="s">
        <v>136</v>
      </c>
      <c r="I3" s="366"/>
      <c r="J3" s="366"/>
      <c r="K3" s="366"/>
      <c r="L3" s="366"/>
      <c r="M3" s="366"/>
      <c r="N3" s="367"/>
    </row>
    <row r="4" spans="1:14" ht="18.600000000000001" customHeight="1" thickBot="1" x14ac:dyDescent="0.35">
      <c r="A4" s="29" t="s">
        <v>38</v>
      </c>
      <c r="B4" s="368" t="s">
        <v>131</v>
      </c>
      <c r="C4" s="369"/>
      <c r="D4" s="369"/>
      <c r="E4" s="369"/>
      <c r="F4" s="370"/>
    </row>
    <row r="6" spans="1:14" ht="14.4" thickBot="1" x14ac:dyDescent="0.35"/>
    <row r="7" spans="1:14" ht="27.6" customHeight="1" x14ac:dyDescent="0.3">
      <c r="A7" s="351" t="s">
        <v>8</v>
      </c>
      <c r="B7" s="354" t="s">
        <v>9</v>
      </c>
      <c r="C7" s="355"/>
      <c r="D7" s="371" t="s">
        <v>12</v>
      </c>
      <c r="E7" s="354"/>
      <c r="F7" s="355"/>
      <c r="G7" s="371" t="s">
        <v>143</v>
      </c>
      <c r="H7" s="354"/>
      <c r="I7" s="356"/>
      <c r="J7" s="1" t="s">
        <v>144</v>
      </c>
    </row>
    <row r="8" spans="1:14" ht="27.6" x14ac:dyDescent="0.3">
      <c r="A8" s="352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3"/>
      <c r="B9" s="112">
        <f>JJ_Optim_Scenario!G18</f>
        <v>14049391.5</v>
      </c>
      <c r="C9" s="113">
        <f>JJ_Optim_Scenario!H18</f>
        <v>24856488.201375954</v>
      </c>
      <c r="D9" s="114">
        <f>JJ_Optim_Scenario!I18</f>
        <v>24856488.201375954</v>
      </c>
      <c r="E9" s="119">
        <f>$B$13*D9+$C$13*D9*D9</f>
        <v>367931.81392440468</v>
      </c>
      <c r="F9" s="85">
        <f>$E$13*D9+$F$13*D9*D9</f>
        <v>4242253.8145483863</v>
      </c>
      <c r="G9" s="120">
        <f>JJ_Optim_Scenario!E18</f>
        <v>15610435</v>
      </c>
      <c r="H9" s="121">
        <f>$B$13*G9+$C$13*G9*G9</f>
        <v>230933.63819705584</v>
      </c>
      <c r="I9" s="115">
        <f>$E$13*G9+$F$13*G9*G9</f>
        <v>2662664.8484120537</v>
      </c>
      <c r="J9" s="123">
        <f>G9/I9</f>
        <v>5.862711189246995</v>
      </c>
      <c r="K9" s="1" t="s">
        <v>142</v>
      </c>
    </row>
    <row r="10" spans="1:14" ht="14.4" thickBot="1" x14ac:dyDescent="0.35"/>
    <row r="11" spans="1:14" ht="50.4" customHeight="1" x14ac:dyDescent="0.3">
      <c r="A11" s="351" t="s">
        <v>42</v>
      </c>
      <c r="B11" s="354" t="s">
        <v>138</v>
      </c>
      <c r="C11" s="354"/>
      <c r="D11" s="354" t="s">
        <v>125</v>
      </c>
      <c r="E11" s="354" t="s">
        <v>137</v>
      </c>
      <c r="F11" s="354"/>
      <c r="G11" s="356" t="s">
        <v>134</v>
      </c>
      <c r="J11" s="32"/>
    </row>
    <row r="12" spans="1:14" ht="24.6" customHeight="1" x14ac:dyDescent="0.3">
      <c r="A12" s="352"/>
      <c r="B12" s="91" t="s">
        <v>43</v>
      </c>
      <c r="C12" s="91" t="s">
        <v>44</v>
      </c>
      <c r="D12" s="336"/>
      <c r="E12" s="91" t="s">
        <v>132</v>
      </c>
      <c r="F12" s="91" t="s">
        <v>133</v>
      </c>
      <c r="G12" s="357"/>
      <c r="H12" s="298" t="s">
        <v>267</v>
      </c>
      <c r="I12" s="298" t="s">
        <v>268</v>
      </c>
      <c r="J12" s="32"/>
    </row>
    <row r="13" spans="1:14" ht="14.4" thickBot="1" x14ac:dyDescent="0.35">
      <c r="A13" s="353"/>
      <c r="B13" s="12">
        <v>1.4778851523204141E-2</v>
      </c>
      <c r="C13" s="12">
        <v>9.4111856958413502E-13</v>
      </c>
      <c r="D13" s="111">
        <v>11.53</v>
      </c>
      <c r="E13" s="12">
        <v>0.17040015806254374</v>
      </c>
      <c r="F13" s="12">
        <v>1.0851097107305076E-11</v>
      </c>
      <c r="G13" s="296">
        <f>JJ_Optim_Scenario!D18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58" t="s">
        <v>135</v>
      </c>
      <c r="B14" s="358"/>
      <c r="C14" s="358"/>
      <c r="D14" s="358"/>
      <c r="E14" s="358"/>
      <c r="F14" s="358"/>
      <c r="G14" s="358"/>
      <c r="H14" s="39"/>
      <c r="I14" s="39"/>
      <c r="J14" s="39"/>
    </row>
    <row r="15" spans="1:14" ht="30.6" customHeight="1" x14ac:dyDescent="0.3">
      <c r="A15" s="359"/>
      <c r="B15" s="359"/>
      <c r="C15" s="359"/>
      <c r="D15" s="359"/>
      <c r="E15" s="359"/>
      <c r="F15" s="359"/>
      <c r="G15" s="359"/>
      <c r="H15" s="39"/>
      <c r="I15" s="39"/>
      <c r="J15" s="39"/>
    </row>
    <row r="17" spans="1:4" ht="14.4" thickBot="1" x14ac:dyDescent="0.35"/>
    <row r="18" spans="1:4" ht="16.8" customHeight="1" x14ac:dyDescent="0.3">
      <c r="A18" s="360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61"/>
      <c r="B19" s="103">
        <v>0</v>
      </c>
      <c r="C19" s="103">
        <v>40000000</v>
      </c>
      <c r="D19" s="26">
        <v>20</v>
      </c>
    </row>
    <row r="21" spans="1:4" x14ac:dyDescent="0.3">
      <c r="A21" s="336" t="s">
        <v>37</v>
      </c>
      <c r="B21" s="336"/>
      <c r="C21" s="336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2000000</v>
      </c>
      <c r="B24" s="116">
        <f t="shared" ref="B24:B43" si="0">$B$13*A24+$C$13*A24*A24</f>
        <v>29561.46752068662</v>
      </c>
      <c r="C24" s="116">
        <f t="shared" ref="C24:C43" si="1">$E$13*A24+$F$13*A24*A24</f>
        <v>340843.72051351675</v>
      </c>
      <c r="D24" s="299">
        <f t="shared" ref="D24:D43" si="2">B24*$I$13</f>
        <v>33049720.688127641</v>
      </c>
    </row>
    <row r="25" spans="1:4" x14ac:dyDescent="0.3">
      <c r="A25" s="122">
        <f t="shared" ref="A25:A43" si="3">A24+(($C$19-$B$19)/$D$19)</f>
        <v>4000000</v>
      </c>
      <c r="B25" s="116">
        <f t="shared" si="0"/>
        <v>59130.463989929907</v>
      </c>
      <c r="C25" s="116">
        <f t="shared" si="1"/>
        <v>681774.24980389187</v>
      </c>
      <c r="D25" s="299">
        <f t="shared" si="2"/>
        <v>66107858.740741633</v>
      </c>
    </row>
    <row r="26" spans="1:4" x14ac:dyDescent="0.3">
      <c r="A26" s="122">
        <f t="shared" si="3"/>
        <v>6000000</v>
      </c>
      <c r="B26" s="116">
        <f t="shared" si="0"/>
        <v>88706.989407729881</v>
      </c>
      <c r="C26" s="116">
        <f t="shared" si="1"/>
        <v>1022791.5878711254</v>
      </c>
      <c r="D26" s="299">
        <f t="shared" si="2"/>
        <v>99174414.15784201</v>
      </c>
    </row>
    <row r="27" spans="1:4" x14ac:dyDescent="0.3">
      <c r="A27" s="122">
        <f t="shared" si="3"/>
        <v>8000000</v>
      </c>
      <c r="B27" s="116">
        <f t="shared" si="0"/>
        <v>118291.04377408652</v>
      </c>
      <c r="C27" s="116">
        <f t="shared" si="1"/>
        <v>1363895.7347152175</v>
      </c>
      <c r="D27" s="299">
        <f t="shared" si="2"/>
        <v>132249386.93942873</v>
      </c>
    </row>
    <row r="28" spans="1:4" x14ac:dyDescent="0.3">
      <c r="A28" s="122">
        <f t="shared" si="3"/>
        <v>10000000</v>
      </c>
      <c r="B28" s="116">
        <f t="shared" si="0"/>
        <v>147882.62708899984</v>
      </c>
      <c r="C28" s="116">
        <f t="shared" si="1"/>
        <v>1705086.690336168</v>
      </c>
      <c r="D28" s="299">
        <f t="shared" si="2"/>
        <v>165332777.08550182</v>
      </c>
    </row>
    <row r="29" spans="1:4" x14ac:dyDescent="0.3">
      <c r="A29" s="122">
        <f t="shared" si="3"/>
        <v>12000000</v>
      </c>
      <c r="B29" s="116">
        <f t="shared" si="0"/>
        <v>177481.73935246983</v>
      </c>
      <c r="C29" s="116">
        <f t="shared" si="1"/>
        <v>2046364.4547339769</v>
      </c>
      <c r="D29" s="299">
        <f t="shared" si="2"/>
        <v>198424584.59606126</v>
      </c>
    </row>
    <row r="30" spans="1:4" x14ac:dyDescent="0.3">
      <c r="A30" s="122">
        <f t="shared" si="3"/>
        <v>14000000</v>
      </c>
      <c r="B30" s="116">
        <f t="shared" si="0"/>
        <v>207088.38056449647</v>
      </c>
      <c r="C30" s="116">
        <f t="shared" si="1"/>
        <v>2387729.0279086442</v>
      </c>
      <c r="D30" s="299">
        <f t="shared" si="2"/>
        <v>231524809.47110707</v>
      </c>
    </row>
    <row r="31" spans="1:4" x14ac:dyDescent="0.3">
      <c r="A31" s="122">
        <f t="shared" si="3"/>
        <v>16000000</v>
      </c>
      <c r="B31" s="116">
        <f t="shared" si="0"/>
        <v>236702.55072507978</v>
      </c>
      <c r="C31" s="116">
        <f t="shared" si="1"/>
        <v>2729180.40986017</v>
      </c>
      <c r="D31" s="299">
        <f t="shared" si="2"/>
        <v>264633451.71063921</v>
      </c>
    </row>
    <row r="32" spans="1:4" x14ac:dyDescent="0.3">
      <c r="A32" s="122">
        <f t="shared" si="3"/>
        <v>18000000</v>
      </c>
      <c r="B32" s="116">
        <f t="shared" si="0"/>
        <v>266324.24983421981</v>
      </c>
      <c r="C32" s="116">
        <f t="shared" si="1"/>
        <v>3070718.6005885541</v>
      </c>
      <c r="D32" s="299">
        <f t="shared" si="2"/>
        <v>297750511.31465775</v>
      </c>
    </row>
    <row r="33" spans="1:4" x14ac:dyDescent="0.3">
      <c r="A33" s="122">
        <f t="shared" si="3"/>
        <v>20000000</v>
      </c>
      <c r="B33" s="116">
        <f t="shared" si="0"/>
        <v>295953.47789191647</v>
      </c>
      <c r="C33" s="116">
        <f t="shared" si="1"/>
        <v>3412343.6000937968</v>
      </c>
      <c r="D33" s="299">
        <f t="shared" si="2"/>
        <v>330875988.28316259</v>
      </c>
    </row>
    <row r="34" spans="1:4" x14ac:dyDescent="0.3">
      <c r="A34" s="122">
        <f t="shared" si="3"/>
        <v>22000000</v>
      </c>
      <c r="B34" s="116">
        <f t="shared" si="0"/>
        <v>325590.23489816982</v>
      </c>
      <c r="C34" s="116">
        <f t="shared" si="1"/>
        <v>3754055.4083758979</v>
      </c>
      <c r="D34" s="299">
        <f t="shared" si="2"/>
        <v>364009882.61615384</v>
      </c>
    </row>
    <row r="35" spans="1:4" x14ac:dyDescent="0.3">
      <c r="A35" s="122">
        <f>A34+(($C$19-$B$19)/$D$19)</f>
        <v>24000000</v>
      </c>
      <c r="B35" s="116">
        <f t="shared" si="0"/>
        <v>355234.52085297985</v>
      </c>
      <c r="C35" s="116">
        <f t="shared" si="1"/>
        <v>4095854.0254348577</v>
      </c>
      <c r="D35" s="299">
        <f t="shared" si="2"/>
        <v>397152194.31363147</v>
      </c>
    </row>
    <row r="36" spans="1:4" x14ac:dyDescent="0.3">
      <c r="A36" s="122">
        <f t="shared" si="3"/>
        <v>26000000</v>
      </c>
      <c r="B36" s="116">
        <f t="shared" si="0"/>
        <v>384886.33575634653</v>
      </c>
      <c r="C36" s="116">
        <f t="shared" si="1"/>
        <v>4437739.4512706762</v>
      </c>
      <c r="D36" s="299">
        <f t="shared" si="2"/>
        <v>430302923.37559539</v>
      </c>
    </row>
    <row r="37" spans="1:4" x14ac:dyDescent="0.3">
      <c r="A37" s="122">
        <f t="shared" si="3"/>
        <v>28000000</v>
      </c>
      <c r="B37" s="116">
        <f t="shared" si="0"/>
        <v>414545.67960826989</v>
      </c>
      <c r="C37" s="116">
        <f t="shared" si="1"/>
        <v>4779711.6858833525</v>
      </c>
      <c r="D37" s="299">
        <f t="shared" si="2"/>
        <v>463462069.8020457</v>
      </c>
    </row>
    <row r="38" spans="1:4" x14ac:dyDescent="0.3">
      <c r="A38" s="122">
        <f t="shared" si="3"/>
        <v>30000000</v>
      </c>
      <c r="B38" s="116">
        <f t="shared" si="0"/>
        <v>444212.55240874994</v>
      </c>
      <c r="C38" s="116">
        <f t="shared" si="1"/>
        <v>5121770.7292728871</v>
      </c>
      <c r="D38" s="299">
        <f t="shared" si="2"/>
        <v>496629633.59298241</v>
      </c>
    </row>
    <row r="39" spans="1:4" x14ac:dyDescent="0.3">
      <c r="A39" s="122">
        <f t="shared" si="3"/>
        <v>32000000</v>
      </c>
      <c r="B39" s="116">
        <f t="shared" si="0"/>
        <v>473886.95415778668</v>
      </c>
      <c r="C39" s="116">
        <f t="shared" si="1"/>
        <v>5463916.58143928</v>
      </c>
      <c r="D39" s="299">
        <f t="shared" si="2"/>
        <v>529805614.74840552</v>
      </c>
    </row>
    <row r="40" spans="1:4" x14ac:dyDescent="0.3">
      <c r="A40" s="122">
        <f t="shared" si="3"/>
        <v>34000000</v>
      </c>
      <c r="B40" s="116">
        <f t="shared" si="0"/>
        <v>503568.88485537999</v>
      </c>
      <c r="C40" s="116">
        <f t="shared" si="1"/>
        <v>5806149.242382532</v>
      </c>
      <c r="D40" s="299">
        <f t="shared" si="2"/>
        <v>562990013.26831484</v>
      </c>
    </row>
    <row r="41" spans="1:4" x14ac:dyDescent="0.3">
      <c r="A41" s="122">
        <f t="shared" si="3"/>
        <v>36000000</v>
      </c>
      <c r="B41" s="116">
        <f t="shared" si="0"/>
        <v>533258.34450153005</v>
      </c>
      <c r="C41" s="116">
        <f t="shared" si="1"/>
        <v>6148468.7121026423</v>
      </c>
      <c r="D41" s="299">
        <f t="shared" si="2"/>
        <v>596182829.15271056</v>
      </c>
    </row>
    <row r="42" spans="1:4" x14ac:dyDescent="0.3">
      <c r="A42" s="122">
        <f>A41+(($C$19-$B$19)/$D$19)</f>
        <v>38000000</v>
      </c>
      <c r="B42" s="116">
        <f t="shared" si="0"/>
        <v>562955.33309623681</v>
      </c>
      <c r="C42" s="116">
        <f t="shared" si="1"/>
        <v>6490874.9905996108</v>
      </c>
      <c r="D42" s="299">
        <f t="shared" si="2"/>
        <v>629384062.40159273</v>
      </c>
    </row>
    <row r="43" spans="1:4" x14ac:dyDescent="0.3">
      <c r="A43" s="122">
        <f t="shared" si="3"/>
        <v>40000000</v>
      </c>
      <c r="B43" s="116">
        <f t="shared" si="0"/>
        <v>592659.85063950031</v>
      </c>
      <c r="C43" s="116">
        <f t="shared" si="1"/>
        <v>6833368.0778734377</v>
      </c>
      <c r="D43" s="299">
        <f t="shared" si="2"/>
        <v>662593713.01496136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79998168889431442"/>
  </sheetPr>
  <dimension ref="A1:N43"/>
  <sheetViews>
    <sheetView topLeftCell="A16" workbookViewId="0">
      <selection activeCell="D23" sqref="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4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362" t="s">
        <v>105</v>
      </c>
      <c r="I2" s="363"/>
      <c r="J2" s="363"/>
      <c r="K2" s="363"/>
      <c r="L2" s="363"/>
      <c r="M2" s="363"/>
      <c r="N2" s="364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65" t="s">
        <v>136</v>
      </c>
      <c r="I3" s="366"/>
      <c r="J3" s="366"/>
      <c r="K3" s="366"/>
      <c r="L3" s="366"/>
      <c r="M3" s="366"/>
      <c r="N3" s="367"/>
    </row>
    <row r="4" spans="1:14" ht="18.600000000000001" customHeight="1" thickBot="1" x14ac:dyDescent="0.35">
      <c r="A4" s="29" t="s">
        <v>38</v>
      </c>
      <c r="B4" s="368" t="s">
        <v>131</v>
      </c>
      <c r="C4" s="369"/>
      <c r="D4" s="369"/>
      <c r="E4" s="369"/>
      <c r="F4" s="370"/>
    </row>
    <row r="6" spans="1:14" ht="14.4" thickBot="1" x14ac:dyDescent="0.35"/>
    <row r="7" spans="1:14" ht="27.6" customHeight="1" x14ac:dyDescent="0.3">
      <c r="A7" s="351" t="s">
        <v>8</v>
      </c>
      <c r="B7" s="354" t="s">
        <v>9</v>
      </c>
      <c r="C7" s="355"/>
      <c r="D7" s="371" t="s">
        <v>12</v>
      </c>
      <c r="E7" s="354"/>
      <c r="F7" s="355"/>
      <c r="G7" s="371" t="s">
        <v>143</v>
      </c>
      <c r="H7" s="354"/>
      <c r="I7" s="356"/>
      <c r="J7" s="1" t="s">
        <v>144</v>
      </c>
    </row>
    <row r="8" spans="1:14" ht="27.6" x14ac:dyDescent="0.3">
      <c r="A8" s="352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3"/>
      <c r="B9" s="112">
        <v>0</v>
      </c>
      <c r="C9" s="113">
        <v>50000000</v>
      </c>
      <c r="D9" s="114">
        <v>21601934</v>
      </c>
      <c r="E9" s="119">
        <f>$B$13*D9+$C$13*D9*D9</f>
        <v>402592.96987355122</v>
      </c>
      <c r="F9" s="85">
        <f>$E$13*D9+$F$13*D9*D9</f>
        <v>4641896.9426420452</v>
      </c>
      <c r="G9" s="120">
        <v>21601934</v>
      </c>
      <c r="H9" s="121">
        <f>$B$13*G9+$C$13*G9*G9</f>
        <v>402592.96987355122</v>
      </c>
      <c r="I9" s="115">
        <f>$E$13*G9+$F$13*G9*G9</f>
        <v>4641896.9426420452</v>
      </c>
      <c r="J9" s="123">
        <f>G9/I9</f>
        <v>4.6536866860522652</v>
      </c>
      <c r="K9" s="1" t="s">
        <v>142</v>
      </c>
    </row>
    <row r="10" spans="1:14" ht="14.4" thickBot="1" x14ac:dyDescent="0.35"/>
    <row r="11" spans="1:14" ht="50.4" customHeight="1" x14ac:dyDescent="0.3">
      <c r="A11" s="351" t="s">
        <v>42</v>
      </c>
      <c r="B11" s="354" t="s">
        <v>138</v>
      </c>
      <c r="C11" s="354"/>
      <c r="D11" s="354" t="s">
        <v>125</v>
      </c>
      <c r="E11" s="354" t="s">
        <v>137</v>
      </c>
      <c r="F11" s="354"/>
      <c r="G11" s="356" t="s">
        <v>134</v>
      </c>
      <c r="J11" s="32"/>
    </row>
    <row r="12" spans="1:14" ht="24.6" customHeight="1" x14ac:dyDescent="0.3">
      <c r="A12" s="352"/>
      <c r="B12" s="91" t="s">
        <v>43</v>
      </c>
      <c r="C12" s="91" t="s">
        <v>44</v>
      </c>
      <c r="D12" s="336"/>
      <c r="E12" s="91" t="s">
        <v>132</v>
      </c>
      <c r="F12" s="91" t="s">
        <v>133</v>
      </c>
      <c r="G12" s="357"/>
      <c r="H12" s="298" t="s">
        <v>267</v>
      </c>
      <c r="I12" s="298" t="s">
        <v>268</v>
      </c>
      <c r="J12" s="32"/>
    </row>
    <row r="13" spans="1:14" ht="14.4" thickBot="1" x14ac:dyDescent="0.35">
      <c r="A13" s="353"/>
      <c r="B13" s="12">
        <v>1.8615094382687998E-2</v>
      </c>
      <c r="C13" s="12">
        <v>1.0091848743878766E-12</v>
      </c>
      <c r="D13" s="111">
        <v>11.53</v>
      </c>
      <c r="E13" s="12">
        <v>0.2146320382323926</v>
      </c>
      <c r="F13" s="12">
        <v>1.1635901601692217E-11</v>
      </c>
      <c r="G13" s="14"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58" t="s">
        <v>135</v>
      </c>
      <c r="B14" s="358"/>
      <c r="C14" s="358"/>
      <c r="D14" s="358"/>
      <c r="E14" s="358"/>
      <c r="F14" s="358"/>
      <c r="G14" s="358"/>
      <c r="H14" s="39"/>
      <c r="I14" s="39"/>
      <c r="J14" s="39"/>
    </row>
    <row r="15" spans="1:14" ht="30.6" customHeight="1" x14ac:dyDescent="0.3">
      <c r="A15" s="359"/>
      <c r="B15" s="359"/>
      <c r="C15" s="359"/>
      <c r="D15" s="359"/>
      <c r="E15" s="359"/>
      <c r="F15" s="359"/>
      <c r="G15" s="359"/>
      <c r="H15" s="39"/>
      <c r="I15" s="39"/>
      <c r="J15" s="39"/>
    </row>
    <row r="17" spans="1:4" ht="14.4" thickBot="1" x14ac:dyDescent="0.35"/>
    <row r="18" spans="1:4" ht="16.8" customHeight="1" x14ac:dyDescent="0.3">
      <c r="A18" s="360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61"/>
      <c r="B19" s="103">
        <v>0</v>
      </c>
      <c r="C19" s="103">
        <v>60000000</v>
      </c>
      <c r="D19" s="26">
        <v>20</v>
      </c>
    </row>
    <row r="21" spans="1:4" x14ac:dyDescent="0.3">
      <c r="A21" s="336" t="s">
        <v>37</v>
      </c>
      <c r="B21" s="336"/>
      <c r="C21" s="336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3000000</v>
      </c>
      <c r="B24" s="116">
        <f t="shared" ref="B24:B43" si="0">$B$13*A24+$C$13*A24*A24</f>
        <v>55854.365811933487</v>
      </c>
      <c r="C24" s="116">
        <f t="shared" ref="C24:C43" si="1">$E$13*A24+$F$13*A24*A24</f>
        <v>644000.83781159297</v>
      </c>
      <c r="D24" s="299">
        <f t="shared" ref="D24:D43" si="2">B24*$I$13</f>
        <v>62445180.977741636</v>
      </c>
    </row>
    <row r="25" spans="1:4" x14ac:dyDescent="0.3">
      <c r="A25" s="122">
        <f t="shared" ref="A25:A43" si="3">A24+(($C$19-$B$19)/$D$19)</f>
        <v>6000000</v>
      </c>
      <c r="B25" s="116">
        <f t="shared" si="0"/>
        <v>111726.89695160596</v>
      </c>
      <c r="C25" s="116">
        <f t="shared" si="1"/>
        <v>1288211.1218520165</v>
      </c>
      <c r="D25" s="299">
        <f t="shared" si="2"/>
        <v>124910670.79189546</v>
      </c>
    </row>
    <row r="26" spans="1:4" x14ac:dyDescent="0.3">
      <c r="A26" s="122">
        <f t="shared" si="3"/>
        <v>9000000</v>
      </c>
      <c r="B26" s="116">
        <f t="shared" si="0"/>
        <v>167617.59341901742</v>
      </c>
      <c r="C26" s="116">
        <f t="shared" si="1"/>
        <v>1932630.8521212705</v>
      </c>
      <c r="D26" s="299">
        <f t="shared" si="2"/>
        <v>187396469.44246146</v>
      </c>
    </row>
    <row r="27" spans="1:4" x14ac:dyDescent="0.3">
      <c r="A27" s="122">
        <f t="shared" si="3"/>
        <v>12000000</v>
      </c>
      <c r="B27" s="116">
        <f t="shared" si="0"/>
        <v>223526.45521416783</v>
      </c>
      <c r="C27" s="116">
        <f t="shared" si="1"/>
        <v>2577260.0286193546</v>
      </c>
      <c r="D27" s="299">
        <f t="shared" si="2"/>
        <v>249902576.92943963</v>
      </c>
    </row>
    <row r="28" spans="1:4" x14ac:dyDescent="0.3">
      <c r="A28" s="122">
        <f t="shared" si="3"/>
        <v>15000000</v>
      </c>
      <c r="B28" s="116">
        <f t="shared" si="0"/>
        <v>279453.48233705724</v>
      </c>
      <c r="C28" s="116">
        <f t="shared" si="1"/>
        <v>3222098.6513462695</v>
      </c>
      <c r="D28" s="299">
        <f t="shared" si="2"/>
        <v>312428993.25282997</v>
      </c>
    </row>
    <row r="29" spans="1:4" x14ac:dyDescent="0.3">
      <c r="A29" s="122">
        <f t="shared" si="3"/>
        <v>18000000</v>
      </c>
      <c r="B29" s="116">
        <f t="shared" si="0"/>
        <v>335398.67478768562</v>
      </c>
      <c r="C29" s="116">
        <f t="shared" si="1"/>
        <v>3867146.7203020151</v>
      </c>
      <c r="D29" s="299">
        <f t="shared" si="2"/>
        <v>374975718.41263252</v>
      </c>
    </row>
    <row r="30" spans="1:4" x14ac:dyDescent="0.3">
      <c r="A30" s="122">
        <f t="shared" si="3"/>
        <v>21000000</v>
      </c>
      <c r="B30" s="116">
        <f t="shared" si="0"/>
        <v>391362.03256605304</v>
      </c>
      <c r="C30" s="116">
        <f t="shared" si="1"/>
        <v>4512404.2354865903</v>
      </c>
      <c r="D30" s="299">
        <f t="shared" si="2"/>
        <v>437542752.40884727</v>
      </c>
    </row>
    <row r="31" spans="1:4" x14ac:dyDescent="0.3">
      <c r="A31" s="122">
        <f t="shared" si="3"/>
        <v>24000000</v>
      </c>
      <c r="B31" s="116">
        <f t="shared" si="0"/>
        <v>447343.55567215936</v>
      </c>
      <c r="C31" s="116">
        <f t="shared" si="1"/>
        <v>5157871.1968999971</v>
      </c>
      <c r="D31" s="299">
        <f t="shared" si="2"/>
        <v>500130095.24147415</v>
      </c>
    </row>
    <row r="32" spans="1:4" x14ac:dyDescent="0.3">
      <c r="A32" s="122">
        <f t="shared" si="3"/>
        <v>27000000</v>
      </c>
      <c r="B32" s="116">
        <f t="shared" si="0"/>
        <v>503343.24410600471</v>
      </c>
      <c r="C32" s="116">
        <f t="shared" si="1"/>
        <v>5803547.604542234</v>
      </c>
      <c r="D32" s="299">
        <f t="shared" si="2"/>
        <v>562737746.91051328</v>
      </c>
    </row>
    <row r="33" spans="1:4" x14ac:dyDescent="0.3">
      <c r="A33" s="122">
        <f t="shared" si="3"/>
        <v>30000000</v>
      </c>
      <c r="B33" s="116">
        <f t="shared" si="0"/>
        <v>559361.09786758909</v>
      </c>
      <c r="C33" s="116">
        <f t="shared" si="1"/>
        <v>6449433.458413301</v>
      </c>
      <c r="D33" s="299">
        <f t="shared" si="2"/>
        <v>625365707.4159646</v>
      </c>
    </row>
    <row r="34" spans="1:4" x14ac:dyDescent="0.3">
      <c r="A34" s="122">
        <f t="shared" si="3"/>
        <v>33000000</v>
      </c>
      <c r="B34" s="116">
        <f t="shared" si="0"/>
        <v>615397.11695691233</v>
      </c>
      <c r="C34" s="116">
        <f t="shared" si="1"/>
        <v>7095528.7585131992</v>
      </c>
      <c r="D34" s="299">
        <f t="shared" si="2"/>
        <v>688013976.757828</v>
      </c>
    </row>
    <row r="35" spans="1:4" x14ac:dyDescent="0.3">
      <c r="A35" s="122">
        <f>A34+(($C$19-$B$19)/$D$19)</f>
        <v>36000000</v>
      </c>
      <c r="B35" s="116">
        <f t="shared" si="0"/>
        <v>671451.30137397465</v>
      </c>
      <c r="C35" s="116">
        <f t="shared" si="1"/>
        <v>7741833.5048419265</v>
      </c>
      <c r="D35" s="299">
        <f t="shared" si="2"/>
        <v>750682554.9361037</v>
      </c>
    </row>
    <row r="36" spans="1:4" x14ac:dyDescent="0.3">
      <c r="A36" s="122">
        <f t="shared" si="3"/>
        <v>39000000</v>
      </c>
      <c r="B36" s="116">
        <f t="shared" si="0"/>
        <v>727523.65111877583</v>
      </c>
      <c r="C36" s="116">
        <f t="shared" si="1"/>
        <v>8388347.6973994859</v>
      </c>
      <c r="D36" s="299">
        <f t="shared" si="2"/>
        <v>813371441.95079136</v>
      </c>
    </row>
    <row r="37" spans="1:4" x14ac:dyDescent="0.3">
      <c r="A37" s="122">
        <f t="shared" si="3"/>
        <v>42000000</v>
      </c>
      <c r="B37" s="116">
        <f t="shared" si="0"/>
        <v>783614.16619131609</v>
      </c>
      <c r="C37" s="116">
        <f t="shared" si="1"/>
        <v>9035071.3361858744</v>
      </c>
      <c r="D37" s="299">
        <f t="shared" si="2"/>
        <v>876080637.80189145</v>
      </c>
    </row>
    <row r="38" spans="1:4" x14ac:dyDescent="0.3">
      <c r="A38" s="122">
        <f t="shared" si="3"/>
        <v>45000000</v>
      </c>
      <c r="B38" s="116">
        <f t="shared" si="0"/>
        <v>839722.84659159533</v>
      </c>
      <c r="C38" s="116">
        <f t="shared" si="1"/>
        <v>9682004.421201095</v>
      </c>
      <c r="D38" s="299">
        <f t="shared" si="2"/>
        <v>938810142.48940361</v>
      </c>
    </row>
    <row r="39" spans="1:4" x14ac:dyDescent="0.3">
      <c r="A39" s="122">
        <f t="shared" si="3"/>
        <v>48000000</v>
      </c>
      <c r="B39" s="116">
        <f t="shared" si="0"/>
        <v>895849.69231961353</v>
      </c>
      <c r="C39" s="116">
        <f t="shared" si="1"/>
        <v>10329146.952445144</v>
      </c>
      <c r="D39" s="299">
        <f t="shared" si="2"/>
        <v>1001559956.013328</v>
      </c>
    </row>
    <row r="40" spans="1:4" x14ac:dyDescent="0.3">
      <c r="A40" s="122">
        <f t="shared" si="3"/>
        <v>51000000</v>
      </c>
      <c r="B40" s="116">
        <f t="shared" si="0"/>
        <v>951994.70337537082</v>
      </c>
      <c r="C40" s="116">
        <f t="shared" si="1"/>
        <v>10976498.929918025</v>
      </c>
      <c r="D40" s="299">
        <f t="shared" si="2"/>
        <v>1064330078.3736646</v>
      </c>
    </row>
    <row r="41" spans="1:4" x14ac:dyDescent="0.3">
      <c r="A41" s="122">
        <f t="shared" si="3"/>
        <v>54000000</v>
      </c>
      <c r="B41" s="116">
        <f t="shared" si="0"/>
        <v>1008157.879758867</v>
      </c>
      <c r="C41" s="116">
        <f t="shared" si="1"/>
        <v>11624060.353619734</v>
      </c>
      <c r="D41" s="299">
        <f t="shared" si="2"/>
        <v>1127120509.5704134</v>
      </c>
    </row>
    <row r="42" spans="1:4" x14ac:dyDescent="0.3">
      <c r="A42" s="122">
        <f>A41+(($C$19-$B$19)/$D$19)</f>
        <v>57000000</v>
      </c>
      <c r="B42" s="116">
        <f t="shared" si="0"/>
        <v>1064339.2214701022</v>
      </c>
      <c r="C42" s="116">
        <f t="shared" si="1"/>
        <v>12271831.223550277</v>
      </c>
      <c r="D42" s="299">
        <f t="shared" si="2"/>
        <v>1189931249.6035743</v>
      </c>
    </row>
    <row r="43" spans="1:4" x14ac:dyDescent="0.3">
      <c r="A43" s="122">
        <f t="shared" si="3"/>
        <v>60000000</v>
      </c>
      <c r="B43" s="116">
        <f t="shared" si="0"/>
        <v>1120538.7285090764</v>
      </c>
      <c r="C43" s="116">
        <f t="shared" si="1"/>
        <v>12919811.539709648</v>
      </c>
      <c r="D43" s="299">
        <f t="shared" si="2"/>
        <v>1252762298.4731474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79998168889431442"/>
  </sheetPr>
  <dimension ref="A1:N43"/>
  <sheetViews>
    <sheetView topLeftCell="A9" workbookViewId="0">
      <selection activeCell="D22" sqref="D22: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362" t="s">
        <v>105</v>
      </c>
      <c r="I2" s="363"/>
      <c r="J2" s="363"/>
      <c r="K2" s="363"/>
      <c r="L2" s="363"/>
      <c r="M2" s="363"/>
      <c r="N2" s="364"/>
    </row>
    <row r="3" spans="1:14" ht="14.4" thickBot="1" x14ac:dyDescent="0.35">
      <c r="A3" s="11" t="s">
        <v>3</v>
      </c>
      <c r="B3" s="12" t="s">
        <v>95</v>
      </c>
      <c r="C3" s="13" t="s">
        <v>5</v>
      </c>
      <c r="D3" s="14" t="s">
        <v>7</v>
      </c>
      <c r="E3" s="13" t="s">
        <v>109</v>
      </c>
      <c r="F3" s="14"/>
      <c r="H3" s="365" t="s">
        <v>136</v>
      </c>
      <c r="I3" s="366"/>
      <c r="J3" s="366"/>
      <c r="K3" s="366"/>
      <c r="L3" s="366"/>
      <c r="M3" s="366"/>
      <c r="N3" s="367"/>
    </row>
    <row r="4" spans="1:14" ht="18.600000000000001" customHeight="1" thickBot="1" x14ac:dyDescent="0.35">
      <c r="A4" s="29" t="s">
        <v>38</v>
      </c>
      <c r="B4" s="368" t="s">
        <v>131</v>
      </c>
      <c r="C4" s="369"/>
      <c r="D4" s="369"/>
      <c r="E4" s="369"/>
      <c r="F4" s="370"/>
    </row>
    <row r="6" spans="1:14" ht="14.4" thickBot="1" x14ac:dyDescent="0.35"/>
    <row r="7" spans="1:14" ht="27.6" customHeight="1" x14ac:dyDescent="0.3">
      <c r="A7" s="351" t="s">
        <v>8</v>
      </c>
      <c r="B7" s="354" t="s">
        <v>9</v>
      </c>
      <c r="C7" s="355"/>
      <c r="D7" s="371" t="s">
        <v>12</v>
      </c>
      <c r="E7" s="354"/>
      <c r="F7" s="355"/>
      <c r="G7" s="371" t="s">
        <v>143</v>
      </c>
      <c r="H7" s="354"/>
      <c r="I7" s="356"/>
      <c r="J7" s="1" t="s">
        <v>144</v>
      </c>
    </row>
    <row r="8" spans="1:14" ht="27.6" x14ac:dyDescent="0.3">
      <c r="A8" s="352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3"/>
      <c r="B9" s="112">
        <f>JJ_Optim_Scenario!E19</f>
        <v>3804716</v>
      </c>
      <c r="C9" s="113">
        <f>JJ_Optim_Scenario!H19</f>
        <v>4635085.5320000006</v>
      </c>
      <c r="D9" s="114">
        <f>JJ_Optim_Scenario!I19</f>
        <v>3424244.4</v>
      </c>
      <c r="E9" s="119">
        <f>$B$13*D9+$C$13*D9*D9</f>
        <v>11752.308384638445</v>
      </c>
      <c r="F9" s="85">
        <f>$E$13*D9+$F$13*D9*D9</f>
        <v>135504.11567488126</v>
      </c>
      <c r="G9" s="120">
        <f>JJ_Optim_Scenario!E19</f>
        <v>3804716</v>
      </c>
      <c r="H9" s="121">
        <f>$B$13*G9+$C$13*G9*G9</f>
        <v>13058.170083390574</v>
      </c>
      <c r="I9" s="115">
        <f>$E$13*G9+$F$13*G9*G9</f>
        <v>150560.70106149331</v>
      </c>
      <c r="J9" s="123">
        <f>G9/I9</f>
        <v>25.270312725536826</v>
      </c>
      <c r="K9" s="1" t="s">
        <v>142</v>
      </c>
    </row>
    <row r="10" spans="1:14" ht="14.4" thickBot="1" x14ac:dyDescent="0.35"/>
    <row r="11" spans="1:14" ht="50.4" customHeight="1" x14ac:dyDescent="0.3">
      <c r="A11" s="351" t="s">
        <v>42</v>
      </c>
      <c r="B11" s="354" t="s">
        <v>138</v>
      </c>
      <c r="C11" s="354"/>
      <c r="D11" s="354" t="s">
        <v>125</v>
      </c>
      <c r="E11" s="354" t="s">
        <v>137</v>
      </c>
      <c r="F11" s="354"/>
      <c r="G11" s="356" t="s">
        <v>134</v>
      </c>
      <c r="J11" s="32"/>
    </row>
    <row r="12" spans="1:14" ht="24.6" customHeight="1" x14ac:dyDescent="0.3">
      <c r="A12" s="352"/>
      <c r="B12" s="91" t="s">
        <v>43</v>
      </c>
      <c r="C12" s="91" t="s">
        <v>44</v>
      </c>
      <c r="D12" s="336"/>
      <c r="E12" s="91" t="s">
        <v>132</v>
      </c>
      <c r="F12" s="91" t="s">
        <v>133</v>
      </c>
      <c r="G12" s="357"/>
      <c r="H12" s="298" t="s">
        <v>267</v>
      </c>
      <c r="I12" s="298" t="s">
        <v>268</v>
      </c>
      <c r="J12" s="32"/>
    </row>
    <row r="13" spans="1:14" ht="14.4" thickBot="1" x14ac:dyDescent="0.35">
      <c r="A13" s="353"/>
      <c r="B13" s="12">
        <v>3.4319706183708132E-3</v>
      </c>
      <c r="C13" s="12">
        <v>3.4302626130901291E-14</v>
      </c>
      <c r="D13" s="111">
        <v>11.53</v>
      </c>
      <c r="E13" s="12">
        <v>3.9570621229815472E-2</v>
      </c>
      <c r="F13" s="12">
        <v>3.9550927928929189E-13</v>
      </c>
      <c r="G13" s="296">
        <f>JJ_Optim_Scenario!D19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58" t="s">
        <v>135</v>
      </c>
      <c r="B14" s="358"/>
      <c r="C14" s="358"/>
      <c r="D14" s="358"/>
      <c r="E14" s="358"/>
      <c r="F14" s="358"/>
      <c r="G14" s="358"/>
      <c r="H14" s="39"/>
      <c r="I14" s="39"/>
      <c r="J14" s="39"/>
    </row>
    <row r="15" spans="1:14" ht="30.6" customHeight="1" x14ac:dyDescent="0.3">
      <c r="A15" s="359"/>
      <c r="B15" s="359"/>
      <c r="C15" s="359"/>
      <c r="D15" s="359"/>
      <c r="E15" s="359"/>
      <c r="F15" s="359"/>
      <c r="G15" s="359"/>
      <c r="H15" s="39"/>
      <c r="I15" s="39"/>
      <c r="J15" s="39"/>
    </row>
    <row r="17" spans="1:4" ht="14.4" thickBot="1" x14ac:dyDescent="0.35"/>
    <row r="18" spans="1:4" ht="16.8" customHeight="1" x14ac:dyDescent="0.3">
      <c r="A18" s="360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61"/>
      <c r="B19" s="103">
        <v>0</v>
      </c>
      <c r="C19" s="103">
        <v>10000000</v>
      </c>
      <c r="D19" s="26">
        <v>20</v>
      </c>
    </row>
    <row r="21" spans="1:4" x14ac:dyDescent="0.3">
      <c r="A21" s="336" t="s">
        <v>37</v>
      </c>
      <c r="B21" s="336"/>
      <c r="C21" s="336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500000</v>
      </c>
      <c r="B24" s="116">
        <f t="shared" ref="B24:B43" si="0">$B$13*A24+$C$13*A24*A24</f>
        <v>1715.9938848419392</v>
      </c>
      <c r="C24" s="116">
        <f t="shared" ref="C24:C43" si="1">$E$13*A24+$F$13*A24*A24</f>
        <v>19785.409492227558</v>
      </c>
      <c r="D24" s="299">
        <f t="shared" ref="D24:D43" si="2">B24*$I$13</f>
        <v>1918481.163253288</v>
      </c>
    </row>
    <row r="25" spans="1:4" x14ac:dyDescent="0.3">
      <c r="A25" s="122">
        <f t="shared" ref="A25:A43" si="3">A24+(($C$19-$B$19)/$D$19)</f>
        <v>1000000</v>
      </c>
      <c r="B25" s="116">
        <f t="shared" si="0"/>
        <v>3432.0049209969438</v>
      </c>
      <c r="C25" s="116">
        <f t="shared" si="1"/>
        <v>39571.016739094761</v>
      </c>
      <c r="D25" s="299">
        <f t="shared" si="2"/>
        <v>3836981.5016745832</v>
      </c>
    </row>
    <row r="26" spans="1:4" x14ac:dyDescent="0.3">
      <c r="A26" s="122">
        <f t="shared" si="3"/>
        <v>1500000</v>
      </c>
      <c r="B26" s="116">
        <f t="shared" si="0"/>
        <v>5148.0331084650143</v>
      </c>
      <c r="C26" s="116">
        <f t="shared" si="1"/>
        <v>59356.821740601605</v>
      </c>
      <c r="D26" s="299">
        <f t="shared" si="2"/>
        <v>5755501.0152638862</v>
      </c>
    </row>
    <row r="27" spans="1:4" x14ac:dyDescent="0.3">
      <c r="A27" s="122">
        <f t="shared" si="3"/>
        <v>2000000</v>
      </c>
      <c r="B27" s="116">
        <f t="shared" si="0"/>
        <v>6864.0784472461501</v>
      </c>
      <c r="C27" s="116">
        <f t="shared" si="1"/>
        <v>79142.824496748101</v>
      </c>
      <c r="D27" s="299">
        <f t="shared" si="2"/>
        <v>7674039.7040211959</v>
      </c>
    </row>
    <row r="28" spans="1:4" x14ac:dyDescent="0.3">
      <c r="A28" s="122">
        <f t="shared" si="3"/>
        <v>2500000</v>
      </c>
      <c r="B28" s="116">
        <f t="shared" si="0"/>
        <v>8580.1409373403512</v>
      </c>
      <c r="C28" s="116">
        <f t="shared" si="1"/>
        <v>98929.025007534234</v>
      </c>
      <c r="D28" s="299">
        <f t="shared" si="2"/>
        <v>9592597.5679465123</v>
      </c>
    </row>
    <row r="29" spans="1:4" x14ac:dyDescent="0.3">
      <c r="A29" s="122">
        <f t="shared" si="3"/>
        <v>3000000</v>
      </c>
      <c r="B29" s="116">
        <f t="shared" si="0"/>
        <v>10296.220578747618</v>
      </c>
      <c r="C29" s="116">
        <f t="shared" si="1"/>
        <v>118715.42327296002</v>
      </c>
      <c r="D29" s="299">
        <f t="shared" si="2"/>
        <v>11511174.607039837</v>
      </c>
    </row>
    <row r="30" spans="1:4" x14ac:dyDescent="0.3">
      <c r="A30" s="122">
        <f t="shared" si="3"/>
        <v>3500000</v>
      </c>
      <c r="B30" s="116">
        <f t="shared" si="0"/>
        <v>12012.317371467951</v>
      </c>
      <c r="C30" s="116">
        <f t="shared" si="1"/>
        <v>138502.01929302546</v>
      </c>
      <c r="D30" s="299">
        <f t="shared" si="2"/>
        <v>13429770.821301168</v>
      </c>
    </row>
    <row r="31" spans="1:4" x14ac:dyDescent="0.3">
      <c r="A31" s="122">
        <f t="shared" si="3"/>
        <v>4000000</v>
      </c>
      <c r="B31" s="116">
        <f t="shared" si="0"/>
        <v>13728.431315501346</v>
      </c>
      <c r="C31" s="116">
        <f t="shared" si="1"/>
        <v>158288.81306773052</v>
      </c>
      <c r="D31" s="299">
        <f t="shared" si="2"/>
        <v>15348386.210730504</v>
      </c>
    </row>
    <row r="32" spans="1:4" x14ac:dyDescent="0.3">
      <c r="A32" s="122">
        <f t="shared" si="3"/>
        <v>4500000</v>
      </c>
      <c r="B32" s="116">
        <f t="shared" si="0"/>
        <v>15444.562410847811</v>
      </c>
      <c r="C32" s="116">
        <f t="shared" si="1"/>
        <v>178075.80459707524</v>
      </c>
      <c r="D32" s="299">
        <f t="shared" si="2"/>
        <v>17267020.775327854</v>
      </c>
    </row>
    <row r="33" spans="1:4" x14ac:dyDescent="0.3">
      <c r="A33" s="122">
        <f t="shared" si="3"/>
        <v>5000000</v>
      </c>
      <c r="B33" s="116">
        <f t="shared" si="0"/>
        <v>17160.710657507341</v>
      </c>
      <c r="C33" s="116">
        <f t="shared" si="1"/>
        <v>197862.99388105958</v>
      </c>
      <c r="D33" s="299">
        <f t="shared" si="2"/>
        <v>19185674.515093207</v>
      </c>
    </row>
    <row r="34" spans="1:4" x14ac:dyDescent="0.3">
      <c r="A34" s="122">
        <f t="shared" si="3"/>
        <v>5500000</v>
      </c>
      <c r="B34" s="116">
        <f t="shared" si="0"/>
        <v>18876.876055479934</v>
      </c>
      <c r="C34" s="116">
        <f t="shared" si="1"/>
        <v>217650.38091968361</v>
      </c>
      <c r="D34" s="299">
        <f t="shared" si="2"/>
        <v>21104347.430026565</v>
      </c>
    </row>
    <row r="35" spans="1:4" x14ac:dyDescent="0.3">
      <c r="A35" s="122">
        <f>A34+(($C$19-$B$19)/$D$19)</f>
        <v>6000000</v>
      </c>
      <c r="B35" s="116">
        <f t="shared" si="0"/>
        <v>20593.058604765592</v>
      </c>
      <c r="C35" s="116">
        <f t="shared" si="1"/>
        <v>237437.96571294725</v>
      </c>
      <c r="D35" s="299">
        <f t="shared" si="2"/>
        <v>23023039.520127933</v>
      </c>
    </row>
    <row r="36" spans="1:4" x14ac:dyDescent="0.3">
      <c r="A36" s="122">
        <f t="shared" si="3"/>
        <v>6500000</v>
      </c>
      <c r="B36" s="116">
        <f t="shared" si="0"/>
        <v>22309.258305364314</v>
      </c>
      <c r="C36" s="116">
        <f t="shared" si="1"/>
        <v>257225.74826085052</v>
      </c>
      <c r="D36" s="299">
        <f t="shared" si="2"/>
        <v>24941750.785397302</v>
      </c>
    </row>
    <row r="37" spans="1:4" x14ac:dyDescent="0.3">
      <c r="A37" s="122">
        <f t="shared" si="3"/>
        <v>7000000</v>
      </c>
      <c r="B37" s="116">
        <f t="shared" si="0"/>
        <v>24025.475157276109</v>
      </c>
      <c r="C37" s="116">
        <f t="shared" si="1"/>
        <v>277013.72856339347</v>
      </c>
      <c r="D37" s="299">
        <f t="shared" si="2"/>
        <v>26860481.22583469</v>
      </c>
    </row>
    <row r="38" spans="1:4" x14ac:dyDescent="0.3">
      <c r="A38" s="122">
        <f t="shared" si="3"/>
        <v>7500000</v>
      </c>
      <c r="B38" s="116">
        <f t="shared" si="0"/>
        <v>25741.709160500963</v>
      </c>
      <c r="C38" s="116">
        <f t="shared" si="1"/>
        <v>296801.9066205761</v>
      </c>
      <c r="D38" s="299">
        <f t="shared" si="2"/>
        <v>28779230.841440078</v>
      </c>
    </row>
    <row r="39" spans="1:4" x14ac:dyDescent="0.3">
      <c r="A39" s="122">
        <f t="shared" si="3"/>
        <v>8000000</v>
      </c>
      <c r="B39" s="116">
        <f t="shared" si="0"/>
        <v>27457.960315038883</v>
      </c>
      <c r="C39" s="116">
        <f t="shared" si="1"/>
        <v>316590.28243239829</v>
      </c>
      <c r="D39" s="299">
        <f t="shared" si="2"/>
        <v>30697999.63221347</v>
      </c>
    </row>
    <row r="40" spans="1:4" x14ac:dyDescent="0.3">
      <c r="A40" s="122">
        <f t="shared" si="3"/>
        <v>8500000</v>
      </c>
      <c r="B40" s="116">
        <f t="shared" si="0"/>
        <v>29174.228620889873</v>
      </c>
      <c r="C40" s="116">
        <f t="shared" si="1"/>
        <v>336378.85599886021</v>
      </c>
      <c r="D40" s="299">
        <f t="shared" si="2"/>
        <v>32616787.598154876</v>
      </c>
    </row>
    <row r="41" spans="1:4" x14ac:dyDescent="0.3">
      <c r="A41" s="122">
        <f t="shared" si="3"/>
        <v>9000000</v>
      </c>
      <c r="B41" s="116">
        <f t="shared" si="0"/>
        <v>30890.514078053922</v>
      </c>
      <c r="C41" s="116">
        <f t="shared" si="1"/>
        <v>356167.62731996167</v>
      </c>
      <c r="D41" s="299">
        <f t="shared" si="2"/>
        <v>34535594.739264287</v>
      </c>
    </row>
    <row r="42" spans="1:4" x14ac:dyDescent="0.3">
      <c r="A42" s="122">
        <f>A41+(($C$19-$B$19)/$D$19)</f>
        <v>9500000</v>
      </c>
      <c r="B42" s="116">
        <f t="shared" si="0"/>
        <v>32606.816686531038</v>
      </c>
      <c r="C42" s="116">
        <f t="shared" si="1"/>
        <v>375956.59639570286</v>
      </c>
      <c r="D42" s="299">
        <f t="shared" si="2"/>
        <v>36454421.055541702</v>
      </c>
    </row>
    <row r="43" spans="1:4" x14ac:dyDescent="0.3">
      <c r="A43" s="122">
        <f t="shared" si="3"/>
        <v>10000000</v>
      </c>
      <c r="B43" s="116">
        <f t="shared" si="0"/>
        <v>34323.136446321223</v>
      </c>
      <c r="C43" s="116">
        <f t="shared" si="1"/>
        <v>395745.76322608365</v>
      </c>
      <c r="D43" s="299">
        <f t="shared" si="2"/>
        <v>38373266.546987124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79998168889431442"/>
  </sheetPr>
  <dimension ref="A1:Y50"/>
  <sheetViews>
    <sheetView topLeftCell="A9" workbookViewId="0">
      <selection activeCell="E41" sqref="E41"/>
    </sheetView>
  </sheetViews>
  <sheetFormatPr defaultRowHeight="13.8" x14ac:dyDescent="0.3"/>
  <cols>
    <col min="1" max="1" width="13" style="1" customWidth="1"/>
    <col min="2" max="2" width="18.44140625" style="1" customWidth="1"/>
    <col min="3" max="3" width="11" style="1" customWidth="1"/>
    <col min="4" max="4" width="12.109375" style="1" customWidth="1"/>
    <col min="5" max="5" width="19.5546875" style="1" customWidth="1"/>
    <col min="6" max="6" width="19.33203125" style="1" customWidth="1"/>
    <col min="7" max="7" width="15.21875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9" style="1" bestFit="1" customWidth="1"/>
    <col min="12" max="12" width="12.33203125" style="1" bestFit="1" customWidth="1"/>
    <col min="13" max="13" width="11.44140625" style="1" bestFit="1" customWidth="1"/>
    <col min="14" max="15" width="12.33203125" style="1" bestFit="1" customWidth="1"/>
    <col min="16" max="16" width="8.88671875" style="1"/>
    <col min="17" max="17" width="14.21875" style="1" customWidth="1"/>
    <col min="18" max="16384" width="8.88671875" style="1"/>
  </cols>
  <sheetData>
    <row r="1" spans="1:25" ht="14.4" thickBot="1" x14ac:dyDescent="0.35">
      <c r="A1" s="6" t="s">
        <v>0</v>
      </c>
      <c r="B1" s="1" t="s">
        <v>157</v>
      </c>
    </row>
    <row r="2" spans="1:25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M2" s="337" t="s">
        <v>105</v>
      </c>
      <c r="N2" s="338"/>
      <c r="O2" s="338"/>
      <c r="P2" s="338"/>
      <c r="Q2" s="338"/>
      <c r="R2" s="338"/>
      <c r="S2" s="339"/>
    </row>
    <row r="3" spans="1:25" ht="14.4" thickBot="1" x14ac:dyDescent="0.35">
      <c r="A3" s="11" t="s">
        <v>3</v>
      </c>
      <c r="B3" s="12" t="s">
        <v>94</v>
      </c>
      <c r="C3" s="13" t="s">
        <v>5</v>
      </c>
      <c r="D3" s="14" t="s">
        <v>7</v>
      </c>
      <c r="E3" s="13" t="s">
        <v>109</v>
      </c>
      <c r="F3" s="14"/>
      <c r="M3" s="340" t="s">
        <v>72</v>
      </c>
      <c r="N3" s="341"/>
      <c r="O3" s="341"/>
      <c r="P3" s="341"/>
      <c r="Q3" s="341"/>
      <c r="R3" s="341"/>
      <c r="S3" s="342"/>
    </row>
    <row r="4" spans="1:25" ht="15" customHeight="1" thickBot="1" x14ac:dyDescent="0.35">
      <c r="A4" s="29" t="s">
        <v>38</v>
      </c>
      <c r="B4" s="368" t="s">
        <v>57</v>
      </c>
      <c r="C4" s="369"/>
      <c r="D4" s="369"/>
      <c r="E4" s="369"/>
      <c r="F4" s="370"/>
    </row>
    <row r="6" spans="1:25" ht="14.4" thickBot="1" x14ac:dyDescent="0.35"/>
    <row r="7" spans="1:25" ht="27.6" customHeight="1" x14ac:dyDescent="0.3">
      <c r="A7" s="351" t="s">
        <v>8</v>
      </c>
      <c r="B7" s="354" t="s">
        <v>9</v>
      </c>
      <c r="C7" s="354"/>
      <c r="D7" s="354" t="s">
        <v>12</v>
      </c>
      <c r="E7" s="354"/>
      <c r="F7" s="354"/>
      <c r="G7" s="354" t="s">
        <v>143</v>
      </c>
      <c r="H7" s="354"/>
      <c r="I7" s="356"/>
      <c r="J7" s="372" t="s">
        <v>144</v>
      </c>
      <c r="K7" s="373"/>
      <c r="M7" s="383" t="s">
        <v>73</v>
      </c>
      <c r="N7" s="383"/>
      <c r="O7" s="383"/>
      <c r="P7" s="383"/>
      <c r="R7" s="47" t="s">
        <v>58</v>
      </c>
    </row>
    <row r="8" spans="1:25" ht="27.6" x14ac:dyDescent="0.3">
      <c r="A8" s="352"/>
      <c r="B8" s="91" t="s">
        <v>10</v>
      </c>
      <c r="C8" s="91" t="s">
        <v>11</v>
      </c>
      <c r="D8" s="91" t="s">
        <v>20</v>
      </c>
      <c r="E8" s="91" t="s">
        <v>21</v>
      </c>
      <c r="F8" s="91" t="s">
        <v>124</v>
      </c>
      <c r="G8" s="91" t="s">
        <v>22</v>
      </c>
      <c r="H8" s="91" t="s">
        <v>23</v>
      </c>
      <c r="I8" s="4" t="s">
        <v>140</v>
      </c>
      <c r="M8" s="383"/>
      <c r="N8" s="383"/>
      <c r="O8" s="383"/>
      <c r="P8" s="383"/>
      <c r="R8" s="47" t="s">
        <v>59</v>
      </c>
    </row>
    <row r="9" spans="1:25" ht="14.4" thickBot="1" x14ac:dyDescent="0.35">
      <c r="A9" s="353"/>
      <c r="B9" s="112">
        <f>JJ_Optim_Scenario!G20</f>
        <v>3401441.5320000001</v>
      </c>
      <c r="C9" s="112">
        <f>JJ_Optim_Scenario!H20</f>
        <v>4884000</v>
      </c>
      <c r="D9" s="117">
        <f>JJ_Optim_Scenario!I20</f>
        <v>3401441.5320000006</v>
      </c>
      <c r="E9" s="118">
        <f>csplinePred($B$14:$B$20,$C$14:$C$20,$H$14:$O$20,D9)*$C$12</f>
        <v>1822.0499190256078</v>
      </c>
      <c r="F9" s="118">
        <f>E9*$C$11</f>
        <v>21008.235566365256</v>
      </c>
      <c r="G9" s="103">
        <f>JJ_Optim_Scenario!E20</f>
        <v>4440000</v>
      </c>
      <c r="H9" s="86">
        <f>csplinePred($B$14:$B$20,$C$14:$C$20,$H$14:$O$20,G9)*$C$12</f>
        <v>2228.0277703496668</v>
      </c>
      <c r="I9" s="84">
        <f>H9*$C$11</f>
        <v>25689.160192131658</v>
      </c>
      <c r="J9" s="123">
        <f>G9/I9</f>
        <v>172.83554490659952</v>
      </c>
      <c r="K9" s="1" t="s">
        <v>142</v>
      </c>
    </row>
    <row r="10" spans="1:25" ht="14.4" thickBot="1" x14ac:dyDescent="0.35"/>
    <row r="11" spans="1:25" ht="27.6" customHeight="1" x14ac:dyDescent="0.3">
      <c r="A11" s="351" t="s">
        <v>148</v>
      </c>
      <c r="B11" s="93" t="s">
        <v>149</v>
      </c>
      <c r="C11" s="10">
        <v>11.53</v>
      </c>
      <c r="D11" s="298" t="s">
        <v>267</v>
      </c>
      <c r="E11" s="298" t="s">
        <v>268</v>
      </c>
    </row>
    <row r="12" spans="1:25" ht="38.4" customHeight="1" thickBot="1" x14ac:dyDescent="0.35">
      <c r="A12" s="353"/>
      <c r="B12" s="137" t="s">
        <v>134</v>
      </c>
      <c r="C12" s="296">
        <f>JJ_Optim_Scenario!D20</f>
        <v>1</v>
      </c>
      <c r="D12" s="184">
        <f>JJ_Optim_Scenario!$I$31</f>
        <v>116.39999999999999</v>
      </c>
      <c r="E12" s="184">
        <f>JJ_Optim_Scenario!$F$31</f>
        <v>1118</v>
      </c>
    </row>
    <row r="13" spans="1:25" ht="13.8" customHeight="1" x14ac:dyDescent="0.3">
      <c r="A13" s="351" t="s">
        <v>60</v>
      </c>
      <c r="B13" s="93" t="s">
        <v>61</v>
      </c>
      <c r="C13" s="93" t="s">
        <v>127</v>
      </c>
      <c r="D13" s="15" t="s">
        <v>128</v>
      </c>
      <c r="E13" s="129" t="s">
        <v>121</v>
      </c>
      <c r="G13" s="374" t="s">
        <v>147</v>
      </c>
      <c r="H13" s="93" t="s">
        <v>63</v>
      </c>
      <c r="I13" s="93" t="s">
        <v>64</v>
      </c>
      <c r="J13" s="93" t="s">
        <v>65</v>
      </c>
      <c r="K13" s="93" t="s">
        <v>66</v>
      </c>
      <c r="L13" s="93" t="s">
        <v>67</v>
      </c>
      <c r="M13" s="93" t="s">
        <v>68</v>
      </c>
      <c r="N13" s="93" t="s">
        <v>69</v>
      </c>
      <c r="O13" s="93" t="s">
        <v>70</v>
      </c>
      <c r="Q13" s="141"/>
      <c r="R13" s="142"/>
      <c r="S13" s="142"/>
      <c r="T13" s="142"/>
      <c r="U13" s="142"/>
      <c r="V13" s="142"/>
      <c r="W13" s="142"/>
      <c r="X13" s="142"/>
      <c r="Y13" s="142"/>
    </row>
    <row r="14" spans="1:25" ht="13.8" customHeight="1" x14ac:dyDescent="0.3">
      <c r="A14" s="352"/>
      <c r="B14" s="125">
        <v>0</v>
      </c>
      <c r="C14" s="127">
        <v>0</v>
      </c>
      <c r="D14" s="133">
        <f>C14*$C$11</f>
        <v>0</v>
      </c>
      <c r="E14" s="130"/>
      <c r="G14" s="375"/>
      <c r="H14" s="140">
        <f t="array" ref="H14:O20">csplinea($B$14:$B$20,$C$14:$C$20,$B$14:$B$20,2)</f>
        <v>1823251.2350824692</v>
      </c>
      <c r="I14" s="140">
        <v>0</v>
      </c>
      <c r="J14" s="140">
        <v>1</v>
      </c>
      <c r="K14" s="140">
        <v>0</v>
      </c>
      <c r="L14" s="140">
        <v>0</v>
      </c>
      <c r="M14" s="140">
        <v>6.4063409125349224E-4</v>
      </c>
      <c r="N14" s="140">
        <v>0</v>
      </c>
      <c r="O14" s="140">
        <v>-1.106919073885033E-17</v>
      </c>
      <c r="Q14" s="141"/>
      <c r="R14" s="142"/>
      <c r="S14" s="142"/>
      <c r="T14" s="142"/>
      <c r="U14" s="142"/>
      <c r="V14" s="142"/>
      <c r="W14" s="142"/>
      <c r="X14" s="142"/>
      <c r="Y14" s="142"/>
    </row>
    <row r="15" spans="1:25" ht="14.4" customHeight="1" x14ac:dyDescent="0.3">
      <c r="A15" s="352"/>
      <c r="B15" s="124">
        <v>1823251.2350824692</v>
      </c>
      <c r="C15" s="127">
        <f>(B15/$B$16)*$C$16*1.15</f>
        <v>1100.9472644677069</v>
      </c>
      <c r="D15" s="133">
        <f>C15*$C$11</f>
        <v>12693.92195931266</v>
      </c>
      <c r="E15" s="131" t="s">
        <v>150</v>
      </c>
      <c r="G15" s="375"/>
      <c r="H15" s="43">
        <v>1869197.1662065473</v>
      </c>
      <c r="I15" s="43">
        <v>-4.6676039091725829E-4</v>
      </c>
      <c r="J15" s="43">
        <v>7384896.8025780329</v>
      </c>
      <c r="K15" s="44">
        <v>0.25311080387122259</v>
      </c>
      <c r="L15" s="44">
        <v>-6.3204727621151642E-11</v>
      </c>
      <c r="M15" s="44">
        <v>5.3024398315115447E-4</v>
      </c>
      <c r="N15" s="44">
        <v>-6.054574705791688E-11</v>
      </c>
      <c r="O15" s="44">
        <v>8.92371409920535E-18</v>
      </c>
      <c r="Q15" s="141"/>
      <c r="R15" s="32"/>
      <c r="S15" s="32"/>
      <c r="T15" s="32"/>
      <c r="U15" s="40"/>
      <c r="V15" s="40"/>
      <c r="W15" s="40"/>
      <c r="X15" s="40"/>
      <c r="Y15" s="40"/>
    </row>
    <row r="16" spans="1:25" ht="14.4" customHeight="1" x14ac:dyDescent="0.3">
      <c r="A16" s="352"/>
      <c r="B16" s="138">
        <v>3692448.4012890165</v>
      </c>
      <c r="C16" s="126">
        <v>1938.816</v>
      </c>
      <c r="D16" s="139">
        <f>C16*$C$11</f>
        <v>22354.548479999998</v>
      </c>
      <c r="E16" s="128" t="s">
        <v>155</v>
      </c>
      <c r="G16" s="375"/>
      <c r="H16" s="43">
        <v>1777305.3039583913</v>
      </c>
      <c r="I16" s="43">
        <v>-2.5430877694769842E-4</v>
      </c>
      <c r="J16" s="43">
        <v>6819890.9429975273</v>
      </c>
      <c r="K16" s="44">
        <v>0.26060611801766104</v>
      </c>
      <c r="L16" s="44">
        <v>-1.996610801045099E-11</v>
      </c>
      <c r="M16" s="44">
        <v>3.9743574726508831E-4</v>
      </c>
      <c r="N16" s="44">
        <v>-1.0505203739100726E-11</v>
      </c>
      <c r="O16" s="44">
        <v>-4.8384593020708105E-18</v>
      </c>
      <c r="Q16" s="141"/>
      <c r="R16" s="32"/>
      <c r="S16" s="32"/>
      <c r="T16" s="32"/>
      <c r="U16" s="40"/>
      <c r="V16" s="40"/>
      <c r="W16" s="40"/>
      <c r="X16" s="40"/>
      <c r="Y16" s="40"/>
    </row>
    <row r="17" spans="1:25" ht="14.4" customHeight="1" x14ac:dyDescent="0.3">
      <c r="A17" s="352"/>
      <c r="B17" s="124">
        <v>5469753.7052474078</v>
      </c>
      <c r="C17" s="127">
        <f>(B17/$B$16)*$C$16*0.9</f>
        <v>2584.8327078807038</v>
      </c>
      <c r="D17" s="133">
        <f t="shared" ref="D17:D20" si="0">C17*$C$11</f>
        <v>29803.121121864511</v>
      </c>
      <c r="E17" s="131" t="s">
        <v>154</v>
      </c>
      <c r="G17" s="375"/>
      <c r="H17" s="43">
        <v>1823251.2350824689</v>
      </c>
      <c r="I17" s="43">
        <v>-3.0282901272442656E-4</v>
      </c>
      <c r="J17" s="43">
        <v>6737936.4422849249</v>
      </c>
      <c r="K17" s="44">
        <v>0.27059489959572547</v>
      </c>
      <c r="L17" s="44">
        <v>-3.9677302590789388E-11</v>
      </c>
      <c r="M17" s="44">
        <v>3.1424245758767284E-4</v>
      </c>
      <c r="N17" s="44">
        <v>-3.6303461880772528E-11</v>
      </c>
      <c r="O17" s="44">
        <v>4.357641767838436E-18</v>
      </c>
      <c r="Q17" s="141"/>
      <c r="R17" s="32"/>
      <c r="S17" s="32"/>
      <c r="T17" s="32"/>
      <c r="U17" s="40"/>
      <c r="V17" s="40"/>
      <c r="W17" s="40"/>
      <c r="X17" s="40"/>
      <c r="Y17" s="40"/>
    </row>
    <row r="18" spans="1:25" ht="14.4" customHeight="1" x14ac:dyDescent="0.3">
      <c r="A18" s="352"/>
      <c r="B18" s="124">
        <v>7293004.9403298767</v>
      </c>
      <c r="C18" s="127">
        <f>(B18/$B$16)*$C$16*0.8</f>
        <v>3063.5054315623152</v>
      </c>
      <c r="D18" s="133">
        <f t="shared" si="0"/>
        <v>35322.217625913494</v>
      </c>
      <c r="E18" s="132" t="s">
        <v>151</v>
      </c>
      <c r="G18" s="375"/>
      <c r="H18" s="43">
        <v>3646502.4701649388</v>
      </c>
      <c r="I18" s="43">
        <v>-2.3628419552062618E-4</v>
      </c>
      <c r="J18" s="43">
        <v>10446144.925599892</v>
      </c>
      <c r="K18" s="44">
        <v>0.34907638139584118</v>
      </c>
      <c r="L18" s="44">
        <v>-1.5694067594779597E-11</v>
      </c>
      <c r="M18" s="44">
        <v>2.2531940160529796E-4</v>
      </c>
      <c r="N18" s="44">
        <v>-1.2468234674997381E-11</v>
      </c>
      <c r="O18" s="44">
        <v>2.9500257754524322E-19</v>
      </c>
      <c r="Q18" s="141"/>
      <c r="R18" s="32"/>
      <c r="S18" s="32"/>
      <c r="T18" s="32"/>
      <c r="U18" s="40"/>
      <c r="V18" s="40"/>
      <c r="W18" s="40"/>
      <c r="X18" s="40"/>
      <c r="Y18" s="40"/>
    </row>
    <row r="19" spans="1:25" ht="14.4" customHeight="1" x14ac:dyDescent="0.3">
      <c r="A19" s="352"/>
      <c r="B19" s="124">
        <v>10939507.410494816</v>
      </c>
      <c r="C19" s="127">
        <f>(B19/$B$16)*$C$16*0.65</f>
        <v>3733.647244716572</v>
      </c>
      <c r="D19" s="133">
        <f t="shared" si="0"/>
        <v>43048.952731582074</v>
      </c>
      <c r="E19" s="131" t="s">
        <v>152</v>
      </c>
      <c r="G19" s="375"/>
      <c r="H19" s="43">
        <v>10939507.410494816</v>
      </c>
      <c r="I19" s="43">
        <v>-3.1504559402750277E-4</v>
      </c>
      <c r="J19" s="43">
        <v>27899111.874283336</v>
      </c>
      <c r="K19" s="44">
        <v>0.39210952161450574</v>
      </c>
      <c r="L19" s="44">
        <v>-9.241051791826121E-12</v>
      </c>
      <c r="M19" s="44">
        <v>1.4615643487850776E-4</v>
      </c>
      <c r="N19" s="44">
        <v>-9.241051791826121E-12</v>
      </c>
      <c r="O19" s="44">
        <v>2.8158037484578507E-19</v>
      </c>
      <c r="Q19" s="141"/>
      <c r="R19" s="32"/>
      <c r="S19" s="32"/>
      <c r="T19" s="32"/>
      <c r="U19" s="40"/>
      <c r="V19" s="40"/>
      <c r="W19" s="40"/>
      <c r="X19" s="40"/>
      <c r="Y19" s="40"/>
    </row>
    <row r="20" spans="1:25" ht="15" customHeight="1" thickBot="1" x14ac:dyDescent="0.35">
      <c r="A20" s="353"/>
      <c r="B20" s="134">
        <v>21879014.820989631</v>
      </c>
      <c r="C20" s="135">
        <f>(B20/$B$16)*$C$16*0.4</f>
        <v>4595.258147343473</v>
      </c>
      <c r="D20" s="136">
        <f t="shared" si="0"/>
        <v>52983.326438870237</v>
      </c>
      <c r="E20" s="131" t="s">
        <v>153</v>
      </c>
      <c r="G20" s="376"/>
      <c r="H20" s="45">
        <v>0</v>
      </c>
      <c r="I20" s="45">
        <v>0</v>
      </c>
      <c r="J20" s="45">
        <v>1</v>
      </c>
      <c r="K20" s="46">
        <v>0</v>
      </c>
      <c r="L20" s="46">
        <v>0</v>
      </c>
      <c r="M20" s="46">
        <v>0</v>
      </c>
      <c r="N20" s="46">
        <v>0</v>
      </c>
      <c r="O20" s="46">
        <v>0</v>
      </c>
      <c r="Q20" s="141"/>
      <c r="R20" s="32"/>
      <c r="S20" s="32"/>
      <c r="T20" s="32"/>
      <c r="U20" s="40"/>
      <c r="V20" s="40"/>
      <c r="W20" s="40"/>
      <c r="X20" s="40"/>
      <c r="Y20" s="40"/>
    </row>
    <row r="21" spans="1:25" ht="47.4" customHeight="1" x14ac:dyDescent="0.3">
      <c r="A21" s="377" t="s">
        <v>74</v>
      </c>
      <c r="B21" s="378"/>
      <c r="C21" s="379"/>
      <c r="D21" s="33"/>
      <c r="G21" s="359" t="s">
        <v>75</v>
      </c>
      <c r="H21" s="359"/>
      <c r="I21" s="359"/>
      <c r="J21" s="359"/>
      <c r="K21" s="359"/>
      <c r="L21" s="359"/>
      <c r="M21" s="359"/>
      <c r="N21" s="359"/>
      <c r="O21" s="359"/>
      <c r="Q21" s="143"/>
      <c r="R21" s="143"/>
      <c r="S21" s="143"/>
      <c r="T21" s="143"/>
      <c r="U21" s="143"/>
      <c r="V21" s="143"/>
      <c r="W21" s="143"/>
      <c r="X21" s="143"/>
      <c r="Y21" s="143"/>
    </row>
    <row r="22" spans="1:25" ht="42" customHeight="1" x14ac:dyDescent="0.3">
      <c r="A22" s="380"/>
      <c r="B22" s="381"/>
      <c r="C22" s="382"/>
      <c r="D22" s="33"/>
      <c r="G22" s="359"/>
      <c r="H22" s="359"/>
      <c r="I22" s="359"/>
      <c r="J22" s="359"/>
      <c r="K22" s="359"/>
      <c r="L22" s="359"/>
      <c r="M22" s="359"/>
      <c r="N22" s="359"/>
      <c r="O22" s="359"/>
      <c r="Q22" s="143"/>
      <c r="R22" s="143"/>
      <c r="S22" s="143"/>
      <c r="T22" s="143"/>
      <c r="U22" s="143"/>
      <c r="V22" s="143"/>
      <c r="W22" s="143"/>
      <c r="X22" s="143"/>
      <c r="Y22" s="143"/>
    </row>
    <row r="24" spans="1:25" ht="14.4" thickBot="1" x14ac:dyDescent="0.35"/>
    <row r="25" spans="1:25" ht="16.8" customHeight="1" x14ac:dyDescent="0.3">
      <c r="A25" s="360" t="s">
        <v>34</v>
      </c>
      <c r="B25" s="93" t="s">
        <v>32</v>
      </c>
      <c r="C25" s="93" t="s">
        <v>31</v>
      </c>
      <c r="D25" s="15" t="s">
        <v>33</v>
      </c>
    </row>
    <row r="26" spans="1:25" ht="23.4" customHeight="1" thickBot="1" x14ac:dyDescent="0.35">
      <c r="A26" s="361"/>
      <c r="B26" s="103">
        <v>0</v>
      </c>
      <c r="C26" s="103">
        <v>20000000</v>
      </c>
      <c r="D26" s="26">
        <v>20</v>
      </c>
    </row>
    <row r="28" spans="1:25" x14ac:dyDescent="0.3">
      <c r="A28" s="336" t="s">
        <v>37</v>
      </c>
      <c r="B28" s="336"/>
      <c r="C28" s="336"/>
    </row>
    <row r="29" spans="1:25" x14ac:dyDescent="0.3">
      <c r="A29" s="91" t="s">
        <v>35</v>
      </c>
      <c r="B29" s="91" t="s">
        <v>127</v>
      </c>
      <c r="C29" s="91" t="s">
        <v>156</v>
      </c>
      <c r="D29" s="298" t="s">
        <v>269</v>
      </c>
    </row>
    <row r="30" spans="1:25" x14ac:dyDescent="0.3">
      <c r="A30" s="122">
        <f>B26</f>
        <v>0</v>
      </c>
      <c r="B30" s="116">
        <f>csplinePred($B$14:$B$20,$C$14:$C$20,$H$14:$O$20,A30)*$C$12</f>
        <v>0</v>
      </c>
      <c r="C30" s="116">
        <f t="shared" ref="C30:C50" si="1">B30*$C$11</f>
        <v>0</v>
      </c>
      <c r="D30" s="299">
        <f>B30*$E$12</f>
        <v>0</v>
      </c>
    </row>
    <row r="31" spans="1:25" x14ac:dyDescent="0.3">
      <c r="A31" s="122">
        <f>A30+(($C$26-$B$26)/$D$26)</f>
        <v>1000000</v>
      </c>
      <c r="B31" s="116">
        <f>csplinePred($B$14:$B$20,$C$14:$C$20,$H$14:$O$20,A31)*$C$12</f>
        <v>629.56490051464186</v>
      </c>
      <c r="C31" s="116">
        <f t="shared" si="1"/>
        <v>7258.8833029338202</v>
      </c>
      <c r="D31" s="299">
        <f t="shared" ref="D31:D50" si="2">B31*$E$12</f>
        <v>703853.55877536966</v>
      </c>
    </row>
    <row r="32" spans="1:25" x14ac:dyDescent="0.3">
      <c r="A32" s="122">
        <f t="shared" ref="A32:A50" si="3">A31+(($C$26-$B$26)/$D$26)</f>
        <v>2000000</v>
      </c>
      <c r="B32" s="116">
        <f t="shared" ref="B32:B50" si="4">csplinePred($B$14:$B$20,$C$14:$C$20,$H$14:$O$20,A32)*$C$12</f>
        <v>1192.8250504925284</v>
      </c>
      <c r="C32" s="116">
        <f t="shared" si="1"/>
        <v>13753.272832178851</v>
      </c>
      <c r="D32" s="299">
        <f t="shared" si="2"/>
        <v>1333578.4064506467</v>
      </c>
    </row>
    <row r="33" spans="1:4" x14ac:dyDescent="0.3">
      <c r="A33" s="122">
        <f t="shared" si="3"/>
        <v>3000000</v>
      </c>
      <c r="B33" s="116">
        <f t="shared" si="4"/>
        <v>1655.6123288503752</v>
      </c>
      <c r="C33" s="116">
        <f t="shared" si="1"/>
        <v>19089.210151644824</v>
      </c>
      <c r="D33" s="299">
        <f t="shared" si="2"/>
        <v>1850974.5836547194</v>
      </c>
    </row>
    <row r="34" spans="1:4" x14ac:dyDescent="0.3">
      <c r="A34" s="122">
        <f t="shared" si="3"/>
        <v>4000000</v>
      </c>
      <c r="B34" s="116">
        <f t="shared" si="4"/>
        <v>2059.9135792918387</v>
      </c>
      <c r="C34" s="116">
        <f t="shared" si="1"/>
        <v>23750.8035692349</v>
      </c>
      <c r="D34" s="299">
        <f t="shared" si="2"/>
        <v>2302983.3816482755</v>
      </c>
    </row>
    <row r="35" spans="1:4" x14ac:dyDescent="0.3">
      <c r="A35" s="122">
        <f t="shared" si="3"/>
        <v>5000000</v>
      </c>
      <c r="B35" s="116">
        <f t="shared" si="4"/>
        <v>2429.7066710650297</v>
      </c>
      <c r="C35" s="116">
        <f t="shared" si="1"/>
        <v>28014.517917379791</v>
      </c>
      <c r="D35" s="299">
        <f t="shared" si="2"/>
        <v>2716412.0582507034</v>
      </c>
    </row>
    <row r="36" spans="1:4" x14ac:dyDescent="0.3">
      <c r="A36" s="122">
        <f t="shared" si="3"/>
        <v>6000000</v>
      </c>
      <c r="B36" s="116">
        <f t="shared" si="4"/>
        <v>2741.9011416863686</v>
      </c>
      <c r="C36" s="116">
        <f t="shared" si="1"/>
        <v>31614.120163643827</v>
      </c>
      <c r="D36" s="299">
        <f t="shared" si="2"/>
        <v>3065445.4764053603</v>
      </c>
    </row>
    <row r="37" spans="1:4" x14ac:dyDescent="0.3">
      <c r="A37" s="122">
        <f t="shared" si="3"/>
        <v>7000000</v>
      </c>
      <c r="B37" s="116">
        <f t="shared" si="4"/>
        <v>2996.3056955581837</v>
      </c>
      <c r="C37" s="116">
        <f t="shared" si="1"/>
        <v>34547.404669785858</v>
      </c>
      <c r="D37" s="299">
        <f t="shared" si="2"/>
        <v>3349869.7676340495</v>
      </c>
    </row>
    <row r="38" spans="1:4" x14ac:dyDescent="0.3">
      <c r="A38" s="122">
        <f t="shared" si="3"/>
        <v>8000000</v>
      </c>
      <c r="B38" s="116">
        <f t="shared" si="4"/>
        <v>3216.6772375412847</v>
      </c>
      <c r="C38" s="116">
        <f t="shared" si="1"/>
        <v>37088.288548851007</v>
      </c>
      <c r="D38" s="299">
        <f t="shared" si="2"/>
        <v>3596245.1515711565</v>
      </c>
    </row>
    <row r="39" spans="1:4" x14ac:dyDescent="0.3">
      <c r="A39" s="122">
        <f t="shared" si="3"/>
        <v>9000000</v>
      </c>
      <c r="B39" s="116">
        <f t="shared" si="4"/>
        <v>3413.2615065556502</v>
      </c>
      <c r="C39" s="116">
        <f t="shared" si="1"/>
        <v>39354.905170586644</v>
      </c>
      <c r="D39" s="299">
        <f t="shared" si="2"/>
        <v>3816026.364329217</v>
      </c>
    </row>
    <row r="40" spans="1:4" x14ac:dyDescent="0.3">
      <c r="A40" s="122">
        <f t="shared" si="3"/>
        <v>10000000</v>
      </c>
      <c r="B40" s="116">
        <f t="shared" si="4"/>
        <v>3587.9307138747795</v>
      </c>
      <c r="C40" s="116">
        <f t="shared" si="1"/>
        <v>41368.841130976209</v>
      </c>
      <c r="D40" s="299">
        <f t="shared" si="2"/>
        <v>4011306.5381120034</v>
      </c>
    </row>
    <row r="41" spans="1:4" x14ac:dyDescent="0.3">
      <c r="A41" s="122">
        <f t="shared" si="3"/>
        <v>11000000</v>
      </c>
      <c r="B41" s="116">
        <f t="shared" si="4"/>
        <v>3742.4548719927543</v>
      </c>
      <c r="C41" s="116">
        <f t="shared" si="1"/>
        <v>43150.504674076452</v>
      </c>
      <c r="D41" s="299">
        <f t="shared" si="2"/>
        <v>4184064.5468878993</v>
      </c>
    </row>
    <row r="42" spans="1:4" x14ac:dyDescent="0.3">
      <c r="A42" s="122">
        <f>A41+(($C$26-$B$26)/$D$26)</f>
        <v>12000000</v>
      </c>
      <c r="B42" s="116">
        <f t="shared" si="4"/>
        <v>3878.5879969333819</v>
      </c>
      <c r="C42" s="116">
        <f t="shared" si="1"/>
        <v>44720.119604641892</v>
      </c>
      <c r="D42" s="299">
        <f t="shared" si="2"/>
        <v>4336261.3805715209</v>
      </c>
    </row>
    <row r="43" spans="1:4" x14ac:dyDescent="0.3">
      <c r="A43" s="122">
        <f t="shared" si="3"/>
        <v>13000000</v>
      </c>
      <c r="B43" s="116">
        <f t="shared" si="4"/>
        <v>3998.0307016956012</v>
      </c>
      <c r="C43" s="116">
        <f t="shared" si="1"/>
        <v>46097.293990550279</v>
      </c>
      <c r="D43" s="299">
        <f t="shared" si="2"/>
        <v>4469798.3244956825</v>
      </c>
    </row>
    <row r="44" spans="1:4" x14ac:dyDescent="0.3">
      <c r="A44" s="122">
        <f t="shared" si="3"/>
        <v>14000000</v>
      </c>
      <c r="B44" s="116">
        <f t="shared" si="4"/>
        <v>4102.4724685284873</v>
      </c>
      <c r="C44" s="116">
        <f t="shared" si="1"/>
        <v>47301.507562133454</v>
      </c>
      <c r="D44" s="299">
        <f t="shared" si="2"/>
        <v>4586564.2198148491</v>
      </c>
    </row>
    <row r="45" spans="1:4" x14ac:dyDescent="0.3">
      <c r="A45" s="122">
        <f t="shared" si="3"/>
        <v>15000000</v>
      </c>
      <c r="B45" s="116">
        <f t="shared" si="4"/>
        <v>4193.6027796811159</v>
      </c>
      <c r="C45" s="116">
        <f t="shared" si="1"/>
        <v>48352.240049723267</v>
      </c>
      <c r="D45" s="299">
        <f t="shared" si="2"/>
        <v>4688447.907683488</v>
      </c>
    </row>
    <row r="46" spans="1:4" x14ac:dyDescent="0.3">
      <c r="A46" s="122">
        <f t="shared" si="3"/>
        <v>16000000</v>
      </c>
      <c r="B46" s="116">
        <f t="shared" si="4"/>
        <v>4273.1111174025591</v>
      </c>
      <c r="C46" s="116">
        <f t="shared" si="1"/>
        <v>49268.971183651505</v>
      </c>
      <c r="D46" s="299">
        <f t="shared" si="2"/>
        <v>4777338.2292560609</v>
      </c>
    </row>
    <row r="47" spans="1:4" x14ac:dyDescent="0.3">
      <c r="A47" s="122">
        <f t="shared" si="3"/>
        <v>17000000</v>
      </c>
      <c r="B47" s="116">
        <f t="shared" si="4"/>
        <v>4342.6869639418946</v>
      </c>
      <c r="C47" s="116">
        <f t="shared" si="1"/>
        <v>50071.180694250041</v>
      </c>
      <c r="D47" s="299">
        <f t="shared" si="2"/>
        <v>4855124.025687038</v>
      </c>
    </row>
    <row r="48" spans="1:4" x14ac:dyDescent="0.3">
      <c r="A48" s="122">
        <f t="shared" si="3"/>
        <v>18000000</v>
      </c>
      <c r="B48" s="116">
        <f t="shared" si="4"/>
        <v>4404.0198015481947</v>
      </c>
      <c r="C48" s="116">
        <f t="shared" si="1"/>
        <v>50778.348311850685</v>
      </c>
      <c r="D48" s="299">
        <f t="shared" si="2"/>
        <v>4923694.1381308818</v>
      </c>
    </row>
    <row r="49" spans="1:4" x14ac:dyDescent="0.3">
      <c r="A49" s="122">
        <f>A48+(($C$26-$B$26)/$D$26)</f>
        <v>19000000</v>
      </c>
      <c r="B49" s="116">
        <f t="shared" si="4"/>
        <v>4458.7991124705359</v>
      </c>
      <c r="C49" s="116">
        <f t="shared" si="1"/>
        <v>51409.953766785278</v>
      </c>
      <c r="D49" s="299">
        <f t="shared" si="2"/>
        <v>4984937.4077420589</v>
      </c>
    </row>
    <row r="50" spans="1:4" x14ac:dyDescent="0.3">
      <c r="A50" s="122">
        <f t="shared" si="3"/>
        <v>20000000</v>
      </c>
      <c r="B50" s="116">
        <f t="shared" si="4"/>
        <v>4508.7143789579914</v>
      </c>
      <c r="C50" s="116">
        <f t="shared" si="1"/>
        <v>51985.476789385641</v>
      </c>
      <c r="D50" s="299">
        <f t="shared" si="2"/>
        <v>5040742.6756750345</v>
      </c>
    </row>
  </sheetData>
  <mergeCells count="16">
    <mergeCell ref="M2:S2"/>
    <mergeCell ref="M3:S3"/>
    <mergeCell ref="A7:A9"/>
    <mergeCell ref="B7:C7"/>
    <mergeCell ref="M7:P8"/>
    <mergeCell ref="B4:F4"/>
    <mergeCell ref="A28:C28"/>
    <mergeCell ref="J7:K7"/>
    <mergeCell ref="D7:F7"/>
    <mergeCell ref="G7:I7"/>
    <mergeCell ref="A11:A12"/>
    <mergeCell ref="A13:A20"/>
    <mergeCell ref="G13:G20"/>
    <mergeCell ref="A21:C22"/>
    <mergeCell ref="G21:O22"/>
    <mergeCell ref="A25:A26"/>
  </mergeCells>
  <pageMargins left="0.7" right="0.7" top="0.75" bottom="0.75" header="0.3" footer="0.3"/>
  <pageSetup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4.664062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2.77734375" style="1" customWidth="1"/>
    <col min="15" max="15" width="9.77734375" style="1" bestFit="1" customWidth="1"/>
    <col min="16" max="16" width="8.88671875" style="1"/>
    <col min="17" max="18" width="10.33203125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158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108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87" t="s">
        <v>111</v>
      </c>
      <c r="C4" s="387"/>
      <c r="D4" s="387"/>
      <c r="E4" s="387"/>
      <c r="F4" s="388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351" t="s">
        <v>8</v>
      </c>
      <c r="B7" s="354" t="s">
        <v>9</v>
      </c>
      <c r="C7" s="355"/>
      <c r="D7" s="389" t="s">
        <v>12</v>
      </c>
      <c r="E7" s="390"/>
      <c r="F7" s="391"/>
      <c r="G7" s="354" t="s">
        <v>143</v>
      </c>
      <c r="H7" s="354"/>
      <c r="I7" s="356"/>
      <c r="J7" s="1" t="s">
        <v>144</v>
      </c>
    </row>
    <row r="8" spans="1:18" ht="28.2" customHeight="1" x14ac:dyDescent="0.3">
      <c r="A8" s="352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3"/>
      <c r="B9" s="80">
        <f>JJ_Optim_Scenario!G21</f>
        <v>20658600</v>
      </c>
      <c r="C9" s="80">
        <f>JJ_Optim_Scenario!H21</f>
        <v>59237226.400000006</v>
      </c>
      <c r="D9" s="95">
        <f>JJ_Optim_Scenario!I21</f>
        <v>49152705.988807186</v>
      </c>
      <c r="E9" s="118">
        <f>((($R$12/(1+EXP($P$12+$Q$12*D9)))-1) - ($F$12-$C$12))*$I$12</f>
        <v>254008.86007877532</v>
      </c>
      <c r="F9" s="145">
        <f>E9*$G$12</f>
        <v>2928722.1567082792</v>
      </c>
      <c r="G9" s="152">
        <f>JJ_Optim_Scenario!E21</f>
        <v>22954000</v>
      </c>
      <c r="H9" s="121">
        <f>((($R$12/(1+EXP($P$12+$Q$12*G9)))-1) - ($F$12-$C$12))*$I$12</f>
        <v>138412.14348311909</v>
      </c>
      <c r="I9" s="146">
        <f>H9*$G$12</f>
        <v>1595892.0143603629</v>
      </c>
      <c r="J9" s="123">
        <f>G9/I9</f>
        <v>14.383178682174192</v>
      </c>
      <c r="K9" s="1" t="s">
        <v>142</v>
      </c>
    </row>
    <row r="10" spans="1:18" ht="14.4" thickBot="1" x14ac:dyDescent="0.35"/>
    <row r="11" spans="1:18" ht="51.6" customHeight="1" x14ac:dyDescent="0.3">
      <c r="A11" s="351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360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3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G12" s="148">
        <v>11.53</v>
      </c>
      <c r="H12" s="98">
        <f>C12*G12</f>
        <v>1564613.7259631963</v>
      </c>
      <c r="I12" s="297">
        <f>JJ_Optim_Scenario!D21</f>
        <v>1</v>
      </c>
      <c r="K12" s="361"/>
      <c r="L12" s="98">
        <f>F12-C12</f>
        <v>5029300.6308791675</v>
      </c>
      <c r="M12" s="98">
        <f>L12+E12</f>
        <v>5545800.6308791675</v>
      </c>
      <c r="N12" s="99">
        <f>B12</f>
        <v>22434506</v>
      </c>
      <c r="O12" s="98">
        <f>F12</f>
        <v>5165000</v>
      </c>
      <c r="P12" s="24">
        <f>LN((($M$12+1)/($L$12+1))-1)</f>
        <v>-2.2759611241153297</v>
      </c>
      <c r="Q12" s="100">
        <f>(LN((($M$12+1)/($O$12+1))-1)-$P$12)/$N$12</f>
        <v>-1.4772934666486198E-8</v>
      </c>
      <c r="R12" s="101">
        <f>M12+1</f>
        <v>5545801.6308791675</v>
      </c>
    </row>
    <row r="13" spans="1:18" ht="34.200000000000003" customHeight="1" x14ac:dyDescent="0.3">
      <c r="A13" s="384" t="s">
        <v>119</v>
      </c>
      <c r="B13" s="385"/>
      <c r="C13" s="385"/>
      <c r="D13" s="385"/>
      <c r="E13" s="385"/>
      <c r="F13" s="386"/>
      <c r="G13" s="298" t="s">
        <v>267</v>
      </c>
      <c r="H13" s="298" t="s">
        <v>268</v>
      </c>
      <c r="K13" s="384" t="s">
        <v>120</v>
      </c>
      <c r="L13" s="385"/>
      <c r="M13" s="385"/>
      <c r="N13" s="385"/>
      <c r="O13" s="385"/>
      <c r="P13" s="385"/>
      <c r="Q13" s="385"/>
      <c r="R13" s="386"/>
    </row>
    <row r="14" spans="1:18" ht="33.6" customHeight="1" thickBot="1" x14ac:dyDescent="0.35">
      <c r="A14" s="380"/>
      <c r="B14" s="381"/>
      <c r="C14" s="381"/>
      <c r="D14" s="381"/>
      <c r="E14" s="381"/>
      <c r="F14" s="382"/>
      <c r="G14" s="184">
        <f>JJ_Optim_Scenario!$I$31</f>
        <v>116.39999999999999</v>
      </c>
      <c r="H14" s="184">
        <f>JJ_Optim_Scenario!$F$31</f>
        <v>1118</v>
      </c>
      <c r="K14" s="380"/>
      <c r="L14" s="381"/>
      <c r="M14" s="381"/>
      <c r="N14" s="381"/>
      <c r="O14" s="381"/>
      <c r="P14" s="381"/>
      <c r="Q14" s="381"/>
      <c r="R14" s="382"/>
    </row>
    <row r="16" spans="1:18" ht="14.4" thickBot="1" x14ac:dyDescent="0.35"/>
    <row r="17" spans="1:8" ht="42.6" customHeight="1" x14ac:dyDescent="0.3">
      <c r="A17" s="360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61"/>
      <c r="B18" s="102">
        <v>0</v>
      </c>
      <c r="C18" s="103">
        <v>60000000</v>
      </c>
      <c r="D18" s="26">
        <v>20</v>
      </c>
    </row>
    <row r="20" spans="1:8" x14ac:dyDescent="0.3">
      <c r="A20" s="336" t="s">
        <v>37</v>
      </c>
      <c r="B20" s="336"/>
      <c r="C20" s="336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3000000</v>
      </c>
      <c r="B23" s="106">
        <f t="shared" si="0"/>
        <v>20387.807857017033</v>
      </c>
      <c r="C23" s="106">
        <f t="shared" ref="C23:C42" si="1">B23*$G$12</f>
        <v>235071.42459140636</v>
      </c>
      <c r="D23" s="1">
        <f>(B23-B22)/A23</f>
        <v>6.7959359523390109E-3</v>
      </c>
      <c r="E23" s="299">
        <f t="shared" ref="E23:E42" si="2">B23*$H$14</f>
        <v>22793569.184145041</v>
      </c>
    </row>
    <row r="24" spans="1:8" x14ac:dyDescent="0.3">
      <c r="A24" s="122">
        <f t="shared" ref="A24:A42" si="3">A23+(($C$18-$B$18)/$D$18)</f>
        <v>6000000</v>
      </c>
      <c r="B24" s="106">
        <f t="shared" si="0"/>
        <v>40047.087668891996</v>
      </c>
      <c r="C24" s="106">
        <f t="shared" si="1"/>
        <v>461742.9208223247</v>
      </c>
      <c r="D24" s="1">
        <f t="shared" ref="D24:D42" si="4">(B24-B23)/A24</f>
        <v>3.276546635312494E-3</v>
      </c>
      <c r="E24" s="299">
        <f t="shared" si="2"/>
        <v>44772644.013821252</v>
      </c>
    </row>
    <row r="25" spans="1:8" x14ac:dyDescent="0.3">
      <c r="A25" s="122">
        <f t="shared" si="3"/>
        <v>9000000</v>
      </c>
      <c r="B25" s="106">
        <f t="shared" si="0"/>
        <v>58997.915796743706</v>
      </c>
      <c r="C25" s="106">
        <f t="shared" si="1"/>
        <v>680245.96913645486</v>
      </c>
      <c r="D25" s="1">
        <f t="shared" si="4"/>
        <v>2.1056475697613011E-3</v>
      </c>
      <c r="E25" s="299">
        <f t="shared" si="2"/>
        <v>65959669.860759467</v>
      </c>
    </row>
    <row r="26" spans="1:8" x14ac:dyDescent="0.3">
      <c r="A26" s="122">
        <f t="shared" si="3"/>
        <v>12000000</v>
      </c>
      <c r="B26" s="106">
        <f t="shared" si="0"/>
        <v>77260.28909897618</v>
      </c>
      <c r="C26" s="106">
        <f t="shared" si="1"/>
        <v>890811.1333111953</v>
      </c>
      <c r="D26" s="1">
        <f t="shared" si="4"/>
        <v>1.5218644418527063E-3</v>
      </c>
      <c r="E26" s="299">
        <f t="shared" si="2"/>
        <v>86377003.212655365</v>
      </c>
    </row>
    <row r="27" spans="1:8" x14ac:dyDescent="0.3">
      <c r="A27" s="122">
        <f t="shared" si="3"/>
        <v>15000000</v>
      </c>
      <c r="B27" s="106">
        <f t="shared" si="0"/>
        <v>94854.081059573218</v>
      </c>
      <c r="C27" s="106">
        <f t="shared" si="1"/>
        <v>1093667.5546168792</v>
      </c>
      <c r="D27" s="1">
        <f t="shared" si="4"/>
        <v>1.1729194640398026E-3</v>
      </c>
      <c r="E27" s="299">
        <f t="shared" si="2"/>
        <v>106046862.62460285</v>
      </c>
    </row>
    <row r="28" spans="1:8" x14ac:dyDescent="0.3">
      <c r="A28" s="122">
        <f t="shared" si="3"/>
        <v>18000000</v>
      </c>
      <c r="B28" s="106">
        <f t="shared" si="0"/>
        <v>111799.00184178166</v>
      </c>
      <c r="C28" s="106">
        <f t="shared" si="1"/>
        <v>1289042.4912357426</v>
      </c>
      <c r="D28" s="1">
        <f t="shared" si="4"/>
        <v>9.4138448790046902E-4</v>
      </c>
      <c r="E28" s="299">
        <f t="shared" si="2"/>
        <v>124991284.05911189</v>
      </c>
    </row>
    <row r="29" spans="1:8" x14ac:dyDescent="0.3">
      <c r="A29" s="122">
        <f t="shared" si="3"/>
        <v>21000000</v>
      </c>
      <c r="B29" s="106">
        <f t="shared" si="0"/>
        <v>128114.56210814044</v>
      </c>
      <c r="C29" s="106">
        <f t="shared" si="1"/>
        <v>1477160.9011068591</v>
      </c>
      <c r="D29" s="1">
        <f t="shared" si="4"/>
        <v>7.7693144125517988E-4</v>
      </c>
      <c r="E29" s="299">
        <f t="shared" si="2"/>
        <v>143232080.436901</v>
      </c>
    </row>
    <row r="30" spans="1:8" x14ac:dyDescent="0.3">
      <c r="A30" s="122">
        <f t="shared" si="3"/>
        <v>24000000</v>
      </c>
      <c r="B30" s="106">
        <f t="shared" si="0"/>
        <v>143820.04043962713</v>
      </c>
      <c r="C30" s="106">
        <f t="shared" si="1"/>
        <v>1658245.0662689006</v>
      </c>
      <c r="D30" s="1">
        <f t="shared" si="4"/>
        <v>6.5439493047861222E-4</v>
      </c>
      <c r="E30" s="299">
        <f t="shared" si="2"/>
        <v>160790805.21150315</v>
      </c>
    </row>
    <row r="31" spans="1:8" x14ac:dyDescent="0.3">
      <c r="A31" s="122">
        <f t="shared" si="3"/>
        <v>27000000</v>
      </c>
      <c r="B31" s="106">
        <f t="shared" si="0"/>
        <v>158934.4541807482</v>
      </c>
      <c r="C31" s="106">
        <f t="shared" si="1"/>
        <v>1832514.2567040266</v>
      </c>
      <c r="D31" s="1">
        <f t="shared" si="4"/>
        <v>5.5979310152300251E-4</v>
      </c>
      <c r="E31" s="299">
        <f t="shared" si="2"/>
        <v>177688719.77407649</v>
      </c>
    </row>
    <row r="32" spans="1:8" x14ac:dyDescent="0.3">
      <c r="A32" s="122">
        <f t="shared" si="3"/>
        <v>30000000</v>
      </c>
      <c r="B32" s="106">
        <f t="shared" si="0"/>
        <v>173476.53353370167</v>
      </c>
      <c r="C32" s="106">
        <f t="shared" si="1"/>
        <v>2000184.4316435801</v>
      </c>
      <c r="D32" s="1">
        <f t="shared" si="4"/>
        <v>4.847359784317824E-4</v>
      </c>
      <c r="E32" s="299">
        <f t="shared" si="2"/>
        <v>193946764.49067846</v>
      </c>
    </row>
    <row r="33" spans="1:5" x14ac:dyDescent="0.3">
      <c r="A33" s="122">
        <f t="shared" si="3"/>
        <v>33000000</v>
      </c>
      <c r="B33" s="106">
        <f t="shared" si="0"/>
        <v>187464.69872274343</v>
      </c>
      <c r="C33" s="106">
        <f t="shared" si="1"/>
        <v>2161467.9762732317</v>
      </c>
      <c r="D33" s="1">
        <f t="shared" si="4"/>
        <v>4.2388379360732597E-4</v>
      </c>
      <c r="E33" s="299">
        <f t="shared" si="2"/>
        <v>209585533.17202714</v>
      </c>
    </row>
    <row r="34" spans="1:5" x14ac:dyDescent="0.3">
      <c r="A34" s="122">
        <f>A33+(($C$18-$B$18)/$D$18)</f>
        <v>36000000</v>
      </c>
      <c r="B34" s="106">
        <f t="shared" si="0"/>
        <v>200917.04004970193</v>
      </c>
      <c r="C34" s="106">
        <f t="shared" si="1"/>
        <v>2316573.4717730633</v>
      </c>
      <c r="D34" s="1">
        <f t="shared" si="4"/>
        <v>3.7367614797106946E-4</v>
      </c>
      <c r="E34" s="299">
        <f t="shared" si="2"/>
        <v>224625250.77556676</v>
      </c>
    </row>
    <row r="35" spans="1:5" x14ac:dyDescent="0.3">
      <c r="A35" s="122">
        <f t="shared" si="3"/>
        <v>39000000</v>
      </c>
      <c r="B35" s="106">
        <f t="shared" si="0"/>
        <v>213851.30066273827</v>
      </c>
      <c r="C35" s="106">
        <f t="shared" si="1"/>
        <v>2465705.4966413723</v>
      </c>
      <c r="D35" s="1">
        <f t="shared" si="4"/>
        <v>3.3164770802657288E-4</v>
      </c>
      <c r="E35" s="299">
        <f t="shared" si="2"/>
        <v>239085754.14094138</v>
      </c>
    </row>
    <row r="36" spans="1:5" x14ac:dyDescent="0.3">
      <c r="A36" s="122">
        <f t="shared" si="3"/>
        <v>42000000</v>
      </c>
      <c r="B36" s="106">
        <f t="shared" si="0"/>
        <v>226284.86186285131</v>
      </c>
      <c r="C36" s="106">
        <f t="shared" si="1"/>
        <v>2609064.4572786754</v>
      </c>
      <c r="D36" s="1">
        <f t="shared" si="4"/>
        <v>2.9603717143126277E-4</v>
      </c>
      <c r="E36" s="299">
        <f t="shared" si="2"/>
        <v>252986475.56266776</v>
      </c>
    </row>
    <row r="37" spans="1:5" x14ac:dyDescent="0.3">
      <c r="A37" s="122">
        <f t="shared" si="3"/>
        <v>45000000</v>
      </c>
      <c r="B37" s="106">
        <f t="shared" si="0"/>
        <v>238234.73077614885</v>
      </c>
      <c r="C37" s="106">
        <f t="shared" si="1"/>
        <v>2746846.4458489963</v>
      </c>
      <c r="D37" s="1">
        <f t="shared" si="4"/>
        <v>2.6555264251772312E-4</v>
      </c>
      <c r="E37" s="299">
        <f t="shared" si="2"/>
        <v>266346429.00773442</v>
      </c>
    </row>
    <row r="38" spans="1:5" x14ac:dyDescent="0.3">
      <c r="A38" s="122">
        <f t="shared" si="3"/>
        <v>48000000</v>
      </c>
      <c r="B38" s="106">
        <f t="shared" si="0"/>
        <v>249717.53022422828</v>
      </c>
      <c r="C38" s="106">
        <f t="shared" si="1"/>
        <v>2879243.1234853519</v>
      </c>
      <c r="D38" s="1">
        <f t="shared" si="4"/>
        <v>2.3922498850165478E-4</v>
      </c>
      <c r="E38" s="299">
        <f t="shared" si="2"/>
        <v>279184198.7906872</v>
      </c>
    </row>
    <row r="39" spans="1:5" x14ac:dyDescent="0.3">
      <c r="A39" s="122">
        <f t="shared" si="3"/>
        <v>51000000</v>
      </c>
      <c r="B39" s="106">
        <f t="shared" si="0"/>
        <v>260749.49063010328</v>
      </c>
      <c r="C39" s="106">
        <f t="shared" si="1"/>
        <v>3006441.6269650906</v>
      </c>
      <c r="D39" s="1">
        <f t="shared" si="4"/>
        <v>2.1631294913480387E-4</v>
      </c>
      <c r="E39" s="299">
        <f t="shared" si="2"/>
        <v>291517930.52445549</v>
      </c>
    </row>
    <row r="40" spans="1:5" x14ac:dyDescent="0.3">
      <c r="A40" s="122">
        <f t="shared" si="3"/>
        <v>54000000</v>
      </c>
      <c r="B40" s="106">
        <f t="shared" si="0"/>
        <v>271346.44380283542</v>
      </c>
      <c r="C40" s="106">
        <f t="shared" si="1"/>
        <v>3128624.4970466923</v>
      </c>
      <c r="D40" s="1">
        <f t="shared" si="4"/>
        <v>1.9623987356911379E-4</v>
      </c>
      <c r="E40" s="299">
        <f t="shared" si="2"/>
        <v>303365324.17157</v>
      </c>
    </row>
    <row r="41" spans="1:5" x14ac:dyDescent="0.3">
      <c r="A41" s="122">
        <f>A40+(($C$18-$B$18)/$D$18)</f>
        <v>57000000</v>
      </c>
      <c r="B41" s="106">
        <f t="shared" si="0"/>
        <v>281523.81845008489</v>
      </c>
      <c r="C41" s="106">
        <f t="shared" si="1"/>
        <v>3245969.6267294786</v>
      </c>
      <c r="D41" s="1">
        <f t="shared" si="4"/>
        <v>1.7855043240788541E-4</v>
      </c>
      <c r="E41" s="299">
        <f t="shared" si="2"/>
        <v>314743629.02719492</v>
      </c>
    </row>
    <row r="42" spans="1:5" x14ac:dyDescent="0.3">
      <c r="A42" s="122">
        <f t="shared" si="3"/>
        <v>60000000</v>
      </c>
      <c r="B42" s="106">
        <f t="shared" si="0"/>
        <v>291296.63727436401</v>
      </c>
      <c r="C42" s="106">
        <f t="shared" si="1"/>
        <v>3358650.2277734168</v>
      </c>
      <c r="D42" s="1">
        <f t="shared" si="4"/>
        <v>1.6288031373798537E-4</v>
      </c>
      <c r="E42" s="299">
        <f t="shared" si="2"/>
        <v>325669640.47273898</v>
      </c>
    </row>
  </sheetData>
  <mergeCells count="11">
    <mergeCell ref="A20:C20"/>
    <mergeCell ref="B4:F4"/>
    <mergeCell ref="A7:A9"/>
    <mergeCell ref="B7:C7"/>
    <mergeCell ref="D7:F7"/>
    <mergeCell ref="A11:A12"/>
    <mergeCell ref="G7:I7"/>
    <mergeCell ref="K13:R14"/>
    <mergeCell ref="K11:K12"/>
    <mergeCell ref="A13:F14"/>
    <mergeCell ref="A17:A1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2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3.10937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8" width="11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159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96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87" t="s">
        <v>111</v>
      </c>
      <c r="C4" s="387"/>
      <c r="D4" s="387"/>
      <c r="E4" s="387"/>
      <c r="F4" s="388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2</v>
      </c>
    </row>
    <row r="7" spans="1:18" ht="27.6" customHeight="1" x14ac:dyDescent="0.3">
      <c r="A7" s="351" t="s">
        <v>8</v>
      </c>
      <c r="B7" s="354" t="s">
        <v>9</v>
      </c>
      <c r="C7" s="355"/>
      <c r="D7" s="389" t="s">
        <v>12</v>
      </c>
      <c r="E7" s="390"/>
      <c r="F7" s="391"/>
      <c r="G7" s="354" t="s">
        <v>143</v>
      </c>
      <c r="H7" s="354"/>
      <c r="I7" s="356"/>
      <c r="J7" s="1" t="s">
        <v>144</v>
      </c>
    </row>
    <row r="8" spans="1:18" ht="28.2" customHeight="1" x14ac:dyDescent="0.3">
      <c r="A8" s="352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3"/>
      <c r="B9" s="80">
        <f>JJ_Optim_Scenario!G22</f>
        <v>3114936</v>
      </c>
      <c r="C9" s="80">
        <f>JJ_Optim_Scenario!H22</f>
        <v>8600882.4000000004</v>
      </c>
      <c r="D9" s="95">
        <f>JJ_Optim_Scenario!I22</f>
        <v>8124382.9767209534</v>
      </c>
      <c r="E9" s="118">
        <f>((($R$12/(1+EXP($P$12+$Q$12*D9)))-1) - ($F$12-$C$12))*$I$12</f>
        <v>33941.970592526719</v>
      </c>
      <c r="F9" s="145">
        <f>E9*$G$12</f>
        <v>391350.92093183304</v>
      </c>
      <c r="G9" s="80">
        <f>JJ_Optim_Scenario!E22</f>
        <v>7818984</v>
      </c>
      <c r="H9" s="121">
        <f>((($R$12/(1+EXP($P$12+$Q$12*G9)))-1) - ($F$12-$C$12))*$I$12</f>
        <v>32808.607210343704</v>
      </c>
      <c r="I9" s="146">
        <f>H9*$G$12</f>
        <v>378283.24113526288</v>
      </c>
      <c r="J9" s="123">
        <f>G9/I9</f>
        <v>20.669654771209288</v>
      </c>
      <c r="K9" s="1" t="s">
        <v>142</v>
      </c>
    </row>
    <row r="10" spans="1:18" ht="14.4" thickBot="1" x14ac:dyDescent="0.35"/>
    <row r="11" spans="1:18" ht="51.6" customHeight="1" x14ac:dyDescent="0.3">
      <c r="A11" s="351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360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3"/>
      <c r="B12" s="80">
        <v>7032507</v>
      </c>
      <c r="C12" s="86">
        <v>29842</v>
      </c>
      <c r="D12" s="12">
        <v>0</v>
      </c>
      <c r="E12" s="86">
        <v>154950</v>
      </c>
      <c r="F12" s="97">
        <v>5165000</v>
      </c>
      <c r="G12" s="148">
        <v>11.53</v>
      </c>
      <c r="H12" s="98">
        <f>C12*G12</f>
        <v>344078.26</v>
      </c>
      <c r="I12" s="297">
        <f>JJ_Optim_Scenario!D22</f>
        <v>1</v>
      </c>
      <c r="K12" s="361"/>
      <c r="L12" s="98">
        <f>F12-C12</f>
        <v>5135158</v>
      </c>
      <c r="M12" s="98">
        <f>L12+E12</f>
        <v>5290108</v>
      </c>
      <c r="N12" s="99">
        <f>B12</f>
        <v>7032507</v>
      </c>
      <c r="O12" s="98">
        <f>F12</f>
        <v>5165000</v>
      </c>
      <c r="P12" s="24">
        <f>LN((($M$12+1)/($L$12+1))-1)</f>
        <v>-3.5007636016222654</v>
      </c>
      <c r="Q12" s="100">
        <f>(LN((($M$12+1)/($O$12+1))-1)-$P$12)/$N$12</f>
        <v>-3.124342560528458E-8</v>
      </c>
      <c r="R12" s="101">
        <f>M12+1</f>
        <v>5290109</v>
      </c>
    </row>
    <row r="13" spans="1:18" ht="34.200000000000003" customHeight="1" x14ac:dyDescent="0.3">
      <c r="A13" s="384" t="s">
        <v>119</v>
      </c>
      <c r="B13" s="385"/>
      <c r="C13" s="385"/>
      <c r="D13" s="385"/>
      <c r="E13" s="385"/>
      <c r="F13" s="386"/>
      <c r="G13" s="298" t="s">
        <v>267</v>
      </c>
      <c r="H13" s="298" t="s">
        <v>268</v>
      </c>
      <c r="K13" s="384" t="s">
        <v>120</v>
      </c>
      <c r="L13" s="385"/>
      <c r="M13" s="385"/>
      <c r="N13" s="385"/>
      <c r="O13" s="385"/>
      <c r="P13" s="385"/>
      <c r="Q13" s="385"/>
      <c r="R13" s="386"/>
    </row>
    <row r="14" spans="1:18" ht="33.6" customHeight="1" thickBot="1" x14ac:dyDescent="0.35">
      <c r="A14" s="380"/>
      <c r="B14" s="381"/>
      <c r="C14" s="381"/>
      <c r="D14" s="381"/>
      <c r="E14" s="381"/>
      <c r="F14" s="382"/>
      <c r="G14" s="184">
        <f>JJ_Optim_Scenario!$I$31</f>
        <v>116.39999999999999</v>
      </c>
      <c r="H14" s="184">
        <f>JJ_Optim_Scenario!$F$31</f>
        <v>1118</v>
      </c>
      <c r="K14" s="380"/>
      <c r="L14" s="381"/>
      <c r="M14" s="381"/>
      <c r="N14" s="381"/>
      <c r="O14" s="381"/>
      <c r="P14" s="381"/>
      <c r="Q14" s="381"/>
      <c r="R14" s="382"/>
    </row>
    <row r="16" spans="1:18" ht="14.4" thickBot="1" x14ac:dyDescent="0.35"/>
    <row r="17" spans="1:8" ht="42.6" customHeight="1" x14ac:dyDescent="0.3">
      <c r="A17" s="360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61"/>
      <c r="B18" s="102">
        <v>0</v>
      </c>
      <c r="C18" s="103">
        <v>30000000</v>
      </c>
      <c r="D18" s="26">
        <v>20</v>
      </c>
    </row>
    <row r="20" spans="1:8" x14ac:dyDescent="0.3">
      <c r="A20" s="336" t="s">
        <v>37</v>
      </c>
      <c r="B20" s="336"/>
      <c r="C20" s="336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1500000</v>
      </c>
      <c r="B23" s="106">
        <f t="shared" si="0"/>
        <v>6895.6730519244447</v>
      </c>
      <c r="C23" s="106">
        <f t="shared" ref="C23:C42" si="1">B23*$G$12</f>
        <v>79507.11028868884</v>
      </c>
      <c r="D23" s="1">
        <f>(B23-B22)/A23</f>
        <v>4.5971153679496297E-3</v>
      </c>
      <c r="E23" s="299">
        <f t="shared" ref="E23:E42" si="2">B23*$H$14</f>
        <v>7709362.4720515292</v>
      </c>
    </row>
    <row r="24" spans="1:8" x14ac:dyDescent="0.3">
      <c r="A24" s="122">
        <f t="shared" ref="A24:A42" si="3">A23+(($C$18-$B$18)/$D$18)</f>
        <v>3000000</v>
      </c>
      <c r="B24" s="106">
        <f t="shared" si="0"/>
        <v>13492.924360195175</v>
      </c>
      <c r="C24" s="106">
        <f t="shared" si="1"/>
        <v>155573.41787305035</v>
      </c>
      <c r="D24" s="1">
        <f t="shared" ref="D24:D42" si="4">(B24-B23)/A24</f>
        <v>2.1990837694235766E-3</v>
      </c>
      <c r="E24" s="299">
        <f t="shared" si="2"/>
        <v>15085089.434698205</v>
      </c>
    </row>
    <row r="25" spans="1:8" x14ac:dyDescent="0.3">
      <c r="A25" s="122">
        <f t="shared" si="3"/>
        <v>4500000</v>
      </c>
      <c r="B25" s="106">
        <f t="shared" si="0"/>
        <v>19803.930657913908</v>
      </c>
      <c r="C25" s="106">
        <f t="shared" si="1"/>
        <v>228339.32048574736</v>
      </c>
      <c r="D25" s="1">
        <f t="shared" si="4"/>
        <v>1.4024458439374963E-3</v>
      </c>
      <c r="E25" s="299">
        <f t="shared" si="2"/>
        <v>22140794.47554775</v>
      </c>
    </row>
    <row r="26" spans="1:8" x14ac:dyDescent="0.3">
      <c r="A26" s="122">
        <f t="shared" si="3"/>
        <v>6000000</v>
      </c>
      <c r="B26" s="106">
        <f t="shared" si="0"/>
        <v>25840.436453695409</v>
      </c>
      <c r="C26" s="106">
        <f t="shared" si="1"/>
        <v>297940.23231110803</v>
      </c>
      <c r="D26" s="1">
        <f t="shared" si="4"/>
        <v>1.0060842992969169E-3</v>
      </c>
      <c r="E26" s="299">
        <f t="shared" si="2"/>
        <v>28889607.955231465</v>
      </c>
    </row>
    <row r="27" spans="1:8" x14ac:dyDescent="0.3">
      <c r="A27" s="122">
        <f t="shared" si="3"/>
        <v>7500000</v>
      </c>
      <c r="B27" s="106">
        <f t="shared" si="0"/>
        <v>31613.763577678241</v>
      </c>
      <c r="C27" s="106">
        <f t="shared" si="1"/>
        <v>364506.69405063009</v>
      </c>
      <c r="D27" s="1">
        <f t="shared" si="4"/>
        <v>7.6977694986437759E-4</v>
      </c>
      <c r="E27" s="299">
        <f t="shared" si="2"/>
        <v>35344187.679844275</v>
      </c>
    </row>
    <row r="28" spans="1:8" x14ac:dyDescent="0.3">
      <c r="A28" s="122">
        <f t="shared" si="3"/>
        <v>9000000</v>
      </c>
      <c r="B28" s="106">
        <f t="shared" si="0"/>
        <v>37134.821087535471</v>
      </c>
      <c r="C28" s="106">
        <f t="shared" si="1"/>
        <v>428164.48713928397</v>
      </c>
      <c r="D28" s="1">
        <f t="shared" si="4"/>
        <v>6.1345083442858111E-4</v>
      </c>
      <c r="E28" s="299">
        <f t="shared" si="2"/>
        <v>41516729.975864656</v>
      </c>
    </row>
    <row r="29" spans="1:8" x14ac:dyDescent="0.3">
      <c r="A29" s="122">
        <f t="shared" si="3"/>
        <v>10500000</v>
      </c>
      <c r="B29" s="106">
        <f t="shared" si="0"/>
        <v>42414.115461166948</v>
      </c>
      <c r="C29" s="106">
        <f t="shared" si="1"/>
        <v>489034.75126725488</v>
      </c>
      <c r="D29" s="1">
        <f t="shared" si="4"/>
        <v>5.0278994034585502E-4</v>
      </c>
      <c r="E29" s="299">
        <f t="shared" si="2"/>
        <v>47418981.085584648</v>
      </c>
    </row>
    <row r="30" spans="1:8" x14ac:dyDescent="0.3">
      <c r="A30" s="122">
        <f t="shared" si="3"/>
        <v>12000000</v>
      </c>
      <c r="B30" s="106">
        <f t="shared" si="0"/>
        <v>47461.761009507813</v>
      </c>
      <c r="C30" s="106">
        <f t="shared" si="1"/>
        <v>547234.10443962505</v>
      </c>
      <c r="D30" s="1">
        <f t="shared" si="4"/>
        <v>4.2063712902840538E-4</v>
      </c>
      <c r="E30" s="299">
        <f t="shared" si="2"/>
        <v>53062248.808629736</v>
      </c>
    </row>
    <row r="31" spans="1:8" x14ac:dyDescent="0.3">
      <c r="A31" s="122">
        <f t="shared" si="3"/>
        <v>13500000</v>
      </c>
      <c r="B31" s="106">
        <f t="shared" si="0"/>
        <v>52287.490449133329</v>
      </c>
      <c r="C31" s="106">
        <f t="shared" si="1"/>
        <v>602874.76487850724</v>
      </c>
      <c r="D31" s="1">
        <f t="shared" si="4"/>
        <v>3.574614399722605E-4</v>
      </c>
      <c r="E31" s="299">
        <f t="shared" si="2"/>
        <v>58457414.32213106</v>
      </c>
    </row>
    <row r="32" spans="1:8" x14ac:dyDescent="0.3">
      <c r="A32" s="122">
        <f t="shared" si="3"/>
        <v>15000000</v>
      </c>
      <c r="B32" s="106">
        <f t="shared" si="0"/>
        <v>56900.665580376983</v>
      </c>
      <c r="C32" s="106">
        <f t="shared" si="1"/>
        <v>656064.6741417466</v>
      </c>
      <c r="D32" s="1">
        <f t="shared" si="4"/>
        <v>3.0754500874957691E-4</v>
      </c>
      <c r="E32" s="299">
        <f t="shared" si="2"/>
        <v>63614944.118861467</v>
      </c>
    </row>
    <row r="33" spans="1:5" x14ac:dyDescent="0.3">
      <c r="A33" s="122">
        <f t="shared" si="3"/>
        <v>16500000</v>
      </c>
      <c r="B33" s="106">
        <f t="shared" si="0"/>
        <v>61310.288022032939</v>
      </c>
      <c r="C33" s="106">
        <f t="shared" si="1"/>
        <v>706907.62089403975</v>
      </c>
      <c r="D33" s="1">
        <f t="shared" si="4"/>
        <v>2.6724984494884581E-4</v>
      </c>
      <c r="E33" s="299">
        <f t="shared" si="2"/>
        <v>68544902.008632824</v>
      </c>
    </row>
    <row r="34" spans="1:5" x14ac:dyDescent="0.3">
      <c r="A34" s="122">
        <f>A33+(($C$18-$B$18)/$D$18)</f>
        <v>18000000</v>
      </c>
      <c r="B34" s="106">
        <f t="shared" si="0"/>
        <v>65525.00995898433</v>
      </c>
      <c r="C34" s="106">
        <f t="shared" si="1"/>
        <v>755503.36482708924</v>
      </c>
      <c r="D34" s="1">
        <f t="shared" si="4"/>
        <v>2.3415121871952176E-4</v>
      </c>
      <c r="E34" s="299">
        <f t="shared" si="2"/>
        <v>73256961.134144485</v>
      </c>
    </row>
    <row r="35" spans="1:5" x14ac:dyDescent="0.3">
      <c r="A35" s="122">
        <f t="shared" si="3"/>
        <v>19500000</v>
      </c>
      <c r="B35" s="106">
        <f t="shared" si="0"/>
        <v>69553.144863749854</v>
      </c>
      <c r="C35" s="106">
        <f t="shared" si="1"/>
        <v>801947.76027903578</v>
      </c>
      <c r="D35" s="1">
        <f t="shared" si="4"/>
        <v>2.0657102075720635E-4</v>
      </c>
      <c r="E35" s="299">
        <f t="shared" si="2"/>
        <v>77760415.957672343</v>
      </c>
    </row>
    <row r="36" spans="1:5" x14ac:dyDescent="0.3">
      <c r="A36" s="122">
        <f t="shared" si="3"/>
        <v>21000000</v>
      </c>
      <c r="B36" s="106">
        <f t="shared" si="0"/>
        <v>73402.678157398477</v>
      </c>
      <c r="C36" s="106">
        <f t="shared" si="1"/>
        <v>846332.8791548044</v>
      </c>
      <c r="D36" s="1">
        <f t="shared" si="4"/>
        <v>1.8331110922136299E-4</v>
      </c>
      <c r="E36" s="299">
        <f t="shared" si="2"/>
        <v>82064194.179971501</v>
      </c>
    </row>
    <row r="37" spans="1:5" x14ac:dyDescent="0.3">
      <c r="A37" s="122">
        <f t="shared" si="3"/>
        <v>22500000</v>
      </c>
      <c r="B37" s="106">
        <f t="shared" si="0"/>
        <v>77081.277779318392</v>
      </c>
      <c r="C37" s="106">
        <f t="shared" si="1"/>
        <v>888747.13279554097</v>
      </c>
      <c r="D37" s="1">
        <f t="shared" si="4"/>
        <v>1.63493316529774E-4</v>
      </c>
      <c r="E37" s="299">
        <f t="shared" si="2"/>
        <v>86176868.557277963</v>
      </c>
    </row>
    <row r="38" spans="1:5" x14ac:dyDescent="0.3">
      <c r="A38" s="122">
        <f t="shared" si="3"/>
        <v>24000000</v>
      </c>
      <c r="B38" s="106">
        <f t="shared" si="0"/>
        <v>80596.304639068432</v>
      </c>
      <c r="C38" s="106">
        <f t="shared" si="1"/>
        <v>929275.39248845901</v>
      </c>
      <c r="D38" s="1">
        <f t="shared" si="4"/>
        <v>1.4645945248958499E-4</v>
      </c>
      <c r="E38" s="299">
        <f t="shared" si="2"/>
        <v>90106668.586478502</v>
      </c>
    </row>
    <row r="39" spans="1:5" x14ac:dyDescent="0.3">
      <c r="A39" s="122">
        <f t="shared" si="3"/>
        <v>25500000</v>
      </c>
      <c r="B39" s="106">
        <f t="shared" si="0"/>
        <v>83954.822926981375</v>
      </c>
      <c r="C39" s="106">
        <f t="shared" si="1"/>
        <v>967999.10834809521</v>
      </c>
      <c r="D39" s="1">
        <f t="shared" si="4"/>
        <v>1.3170659952599774E-4</v>
      </c>
      <c r="E39" s="299">
        <f t="shared" si="2"/>
        <v>93861492.032365173</v>
      </c>
    </row>
    <row r="40" spans="1:5" x14ac:dyDescent="0.3">
      <c r="A40" s="122">
        <f t="shared" si="3"/>
        <v>27000000</v>
      </c>
      <c r="B40" s="106">
        <f t="shared" si="0"/>
        <v>87163.610263321549</v>
      </c>
      <c r="C40" s="106">
        <f t="shared" si="1"/>
        <v>1004996.4263360974</v>
      </c>
      <c r="D40" s="1">
        <f t="shared" si="4"/>
        <v>1.1884397542000644E-4</v>
      </c>
      <c r="E40" s="299">
        <f t="shared" si="2"/>
        <v>97448916.274393499</v>
      </c>
    </row>
    <row r="41" spans="1:5" x14ac:dyDescent="0.3">
      <c r="A41" s="122">
        <f>A40+(($C$18-$B$18)/$D$18)</f>
        <v>28500000</v>
      </c>
      <c r="B41" s="106">
        <f t="shared" si="0"/>
        <v>90229.167668692768</v>
      </c>
      <c r="C41" s="106">
        <f t="shared" si="1"/>
        <v>1040342.3032200276</v>
      </c>
      <c r="D41" s="1">
        <f t="shared" si="4"/>
        <v>1.0756341773232348E-4</v>
      </c>
      <c r="E41" s="299">
        <f t="shared" si="2"/>
        <v>100876209.45359851</v>
      </c>
    </row>
    <row r="42" spans="1:5" x14ac:dyDescent="0.3">
      <c r="A42" s="122">
        <f t="shared" si="3"/>
        <v>30000000</v>
      </c>
      <c r="B42" s="106">
        <f t="shared" si="0"/>
        <v>93157.729340983555</v>
      </c>
      <c r="C42" s="106">
        <f t="shared" si="1"/>
        <v>1074108.6193015403</v>
      </c>
      <c r="D42" s="1">
        <f t="shared" si="4"/>
        <v>9.7618722409692897E-5</v>
      </c>
      <c r="E42" s="299">
        <f t="shared" si="2"/>
        <v>104150341.40321961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workbookViewId="0">
      <selection activeCell="B12" sqref="B1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160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28.2" thickBot="1" x14ac:dyDescent="0.35">
      <c r="A3" s="11" t="s">
        <v>3</v>
      </c>
      <c r="B3" s="147" t="s">
        <v>130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87" t="s">
        <v>111</v>
      </c>
      <c r="C4" s="387"/>
      <c r="D4" s="387"/>
      <c r="E4" s="387"/>
      <c r="F4" s="388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351" t="s">
        <v>8</v>
      </c>
      <c r="B7" s="354" t="s">
        <v>9</v>
      </c>
      <c r="C7" s="355"/>
      <c r="D7" s="389" t="s">
        <v>12</v>
      </c>
      <c r="E7" s="390"/>
      <c r="F7" s="391"/>
      <c r="G7" s="354" t="s">
        <v>143</v>
      </c>
      <c r="H7" s="354"/>
      <c r="I7" s="356"/>
      <c r="J7" s="1" t="s">
        <v>144</v>
      </c>
    </row>
    <row r="8" spans="1:18" ht="28.2" customHeight="1" x14ac:dyDescent="0.3">
      <c r="A8" s="352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3"/>
      <c r="B9" s="80">
        <f>JJ_Optim_Scenario!G23</f>
        <v>3182350.5</v>
      </c>
      <c r="C9" s="80">
        <f>JJ_Optim_Scenario!H23</f>
        <v>3889539.5000000005</v>
      </c>
      <c r="D9" s="95">
        <f>JJ_Optim_Scenario!I23</f>
        <v>3182350.5</v>
      </c>
      <c r="E9" s="118">
        <f>((($R$12/(1+EXP($P$12+$Q$12*D9)))-1) - ($F$12-$C$12))*$I$12</f>
        <v>6526.2088026637211</v>
      </c>
      <c r="F9" s="145">
        <f>E9*$G$12</f>
        <v>75247.187494712707</v>
      </c>
      <c r="G9" s="80">
        <f>JJ_Optim_Scenario!E23</f>
        <v>3535945</v>
      </c>
      <c r="H9" s="121">
        <f>((($R$12/(1+EXP($P$12+$Q$12*G9)))-1) - ($F$12-$C$12))*$I$12</f>
        <v>7217</v>
      </c>
      <c r="I9" s="146">
        <f>H9*$G$12</f>
        <v>83212.009999999995</v>
      </c>
      <c r="J9" s="123">
        <f>G9/I9</f>
        <v>42.493205007306038</v>
      </c>
      <c r="K9" s="1" t="s">
        <v>142</v>
      </c>
    </row>
    <row r="10" spans="1:18" ht="14.4" thickBot="1" x14ac:dyDescent="0.35"/>
    <row r="11" spans="1:18" ht="61.8" customHeight="1" x14ac:dyDescent="0.3">
      <c r="A11" s="351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5" t="s">
        <v>134</v>
      </c>
      <c r="K11" s="360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3"/>
      <c r="B12" s="184">
        <v>3535945</v>
      </c>
      <c r="C12" s="86">
        <v>7217</v>
      </c>
      <c r="D12" s="12">
        <v>0</v>
      </c>
      <c r="E12" s="86">
        <v>77475</v>
      </c>
      <c r="F12" s="97">
        <v>5165000</v>
      </c>
      <c r="G12" s="148">
        <v>11.53</v>
      </c>
      <c r="H12" s="98">
        <f>C12*G12</f>
        <v>83212.009999999995</v>
      </c>
      <c r="I12" s="297">
        <f>JJ_Optim_Scenario!D23</f>
        <v>1</v>
      </c>
      <c r="K12" s="361"/>
      <c r="L12" s="98">
        <f>F12-C12</f>
        <v>5157783</v>
      </c>
      <c r="M12" s="98">
        <f>L12+E12</f>
        <v>5235258</v>
      </c>
      <c r="N12" s="99">
        <f>B12</f>
        <v>3535945</v>
      </c>
      <c r="O12" s="98">
        <f>F12</f>
        <v>5165000</v>
      </c>
      <c r="P12" s="24">
        <f>LN((($M$12+1)/($L$12+1))-1)</f>
        <v>-4.1983070051942253</v>
      </c>
      <c r="Q12" s="100">
        <f>(LN((($M$12+1)/($O$12+1))-1)-$P$12)/$N$12</f>
        <v>-2.804890608780665E-8</v>
      </c>
      <c r="R12" s="101">
        <f>M12+1</f>
        <v>5235259</v>
      </c>
    </row>
    <row r="13" spans="1:18" ht="34.200000000000003" customHeight="1" x14ac:dyDescent="0.3">
      <c r="A13" s="384" t="s">
        <v>119</v>
      </c>
      <c r="B13" s="385"/>
      <c r="C13" s="385"/>
      <c r="D13" s="385"/>
      <c r="E13" s="385"/>
      <c r="F13" s="386"/>
      <c r="G13" s="298" t="s">
        <v>267</v>
      </c>
      <c r="H13" s="298" t="s">
        <v>268</v>
      </c>
      <c r="K13" s="384" t="s">
        <v>120</v>
      </c>
      <c r="L13" s="385"/>
      <c r="M13" s="385"/>
      <c r="N13" s="385"/>
      <c r="O13" s="385"/>
      <c r="P13" s="385"/>
      <c r="Q13" s="385"/>
      <c r="R13" s="386"/>
    </row>
    <row r="14" spans="1:18" ht="33.6" customHeight="1" thickBot="1" x14ac:dyDescent="0.35">
      <c r="A14" s="380"/>
      <c r="B14" s="381"/>
      <c r="C14" s="381"/>
      <c r="D14" s="381"/>
      <c r="E14" s="381"/>
      <c r="F14" s="382"/>
      <c r="G14" s="184">
        <f>JJ_Optim_Scenario!$I$31</f>
        <v>116.39999999999999</v>
      </c>
      <c r="H14" s="184">
        <f>JJ_Optim_Scenario!$F$31</f>
        <v>1118</v>
      </c>
      <c r="K14" s="380"/>
      <c r="L14" s="381"/>
      <c r="M14" s="381"/>
      <c r="N14" s="381"/>
      <c r="O14" s="381"/>
      <c r="P14" s="381"/>
      <c r="Q14" s="381"/>
      <c r="R14" s="382"/>
    </row>
    <row r="16" spans="1:18" ht="14.4" thickBot="1" x14ac:dyDescent="0.35"/>
    <row r="17" spans="1:8" ht="42.6" customHeight="1" x14ac:dyDescent="0.3">
      <c r="A17" s="360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61"/>
      <c r="B18" s="102">
        <v>0</v>
      </c>
      <c r="C18" s="103">
        <v>20000000</v>
      </c>
      <c r="D18" s="26">
        <v>20</v>
      </c>
    </row>
    <row r="20" spans="1:8" x14ac:dyDescent="0.3">
      <c r="A20" s="336" t="s">
        <v>37</v>
      </c>
      <c r="B20" s="336"/>
      <c r="C20" s="336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1000000</v>
      </c>
      <c r="B23" s="106">
        <f t="shared" si="0"/>
        <v>2112.0480164308101</v>
      </c>
      <c r="C23" s="106">
        <f t="shared" ref="C23:C42" si="1">B23*$G$12</f>
        <v>24351.913629447237</v>
      </c>
      <c r="D23" s="1">
        <f>(B23-B22)/A23</f>
        <v>2.1120480164308099E-3</v>
      </c>
      <c r="E23" s="299">
        <f t="shared" ref="E23:E42" si="2">B23*$H$14</f>
        <v>2361269.6823696457</v>
      </c>
    </row>
    <row r="24" spans="1:8" x14ac:dyDescent="0.3">
      <c r="A24" s="122">
        <f t="shared" ref="A24:A42" si="3">A23+(($C$18-$B$18)/$D$18)</f>
        <v>2000000</v>
      </c>
      <c r="B24" s="106">
        <f t="shared" si="0"/>
        <v>4167.337773276493</v>
      </c>
      <c r="C24" s="106">
        <f t="shared" si="1"/>
        <v>48049.404525877959</v>
      </c>
      <c r="D24" s="1">
        <f t="shared" ref="D24:D42" si="4">(B24-B23)/A24</f>
        <v>1.0276448784228415E-3</v>
      </c>
      <c r="E24" s="299">
        <f t="shared" si="2"/>
        <v>4659083.6305231191</v>
      </c>
    </row>
    <row r="25" spans="1:8" x14ac:dyDescent="0.3">
      <c r="A25" s="122">
        <f t="shared" si="3"/>
        <v>3000000</v>
      </c>
      <c r="B25" s="106">
        <f t="shared" si="0"/>
        <v>6167.3505148170516</v>
      </c>
      <c r="C25" s="106">
        <f t="shared" si="1"/>
        <v>71109.551435840607</v>
      </c>
      <c r="D25" s="1">
        <f t="shared" si="4"/>
        <v>6.6667091384685286E-4</v>
      </c>
      <c r="E25" s="299">
        <f t="shared" si="2"/>
        <v>6895097.8755654637</v>
      </c>
    </row>
    <row r="26" spans="1:8" x14ac:dyDescent="0.3">
      <c r="A26" s="122">
        <f t="shared" si="3"/>
        <v>4000000</v>
      </c>
      <c r="B26" s="106">
        <f t="shared" si="0"/>
        <v>8113.5312024233863</v>
      </c>
      <c r="C26" s="106">
        <f t="shared" si="1"/>
        <v>93549.014763941639</v>
      </c>
      <c r="D26" s="1">
        <f t="shared" si="4"/>
        <v>4.8654517190158369E-4</v>
      </c>
      <c r="E26" s="299">
        <f t="shared" si="2"/>
        <v>9070927.8843093459</v>
      </c>
    </row>
    <row r="27" spans="1:8" x14ac:dyDescent="0.3">
      <c r="A27" s="122">
        <f t="shared" si="3"/>
        <v>5000000</v>
      </c>
      <c r="B27" s="106">
        <f t="shared" si="0"/>
        <v>10007.289274128154</v>
      </c>
      <c r="C27" s="106">
        <f t="shared" si="1"/>
        <v>115384.04533069761</v>
      </c>
      <c r="D27" s="1">
        <f t="shared" si="4"/>
        <v>3.7875161434095352E-4</v>
      </c>
      <c r="E27" s="299">
        <f t="shared" si="2"/>
        <v>11188149.408475276</v>
      </c>
    </row>
    <row r="28" spans="1:8" x14ac:dyDescent="0.3">
      <c r="A28" s="122">
        <f t="shared" si="3"/>
        <v>6000000</v>
      </c>
      <c r="B28" s="106">
        <f t="shared" si="0"/>
        <v>11849.999395593069</v>
      </c>
      <c r="C28" s="106">
        <f t="shared" si="1"/>
        <v>136630.49303118809</v>
      </c>
      <c r="D28" s="1">
        <f t="shared" si="4"/>
        <v>3.0711835357748592E-4</v>
      </c>
      <c r="E28" s="299">
        <f t="shared" si="2"/>
        <v>13248299.324273052</v>
      </c>
    </row>
    <row r="29" spans="1:8" x14ac:dyDescent="0.3">
      <c r="A29" s="122">
        <f t="shared" si="3"/>
        <v>7000000</v>
      </c>
      <c r="B29" s="106">
        <f t="shared" si="0"/>
        <v>13643.002202072181</v>
      </c>
      <c r="C29" s="106">
        <f t="shared" si="1"/>
        <v>157303.81538989223</v>
      </c>
      <c r="D29" s="1">
        <f t="shared" si="4"/>
        <v>2.5614325806844445E-4</v>
      </c>
      <c r="E29" s="299">
        <f t="shared" si="2"/>
        <v>15252876.461916698</v>
      </c>
    </row>
    <row r="30" spans="1:8" x14ac:dyDescent="0.3">
      <c r="A30" s="122">
        <f t="shared" si="3"/>
        <v>8000000</v>
      </c>
      <c r="B30" s="106">
        <f t="shared" si="0"/>
        <v>15387.605031087063</v>
      </c>
      <c r="C30" s="106">
        <f t="shared" si="1"/>
        <v>177419.08600843383</v>
      </c>
      <c r="D30" s="1">
        <f t="shared" si="4"/>
        <v>2.180753536268603E-4</v>
      </c>
      <c r="E30" s="299">
        <f t="shared" si="2"/>
        <v>17203342.424755335</v>
      </c>
    </row>
    <row r="31" spans="1:8" x14ac:dyDescent="0.3">
      <c r="A31" s="122">
        <f t="shared" si="3"/>
        <v>9000000</v>
      </c>
      <c r="B31" s="106">
        <f t="shared" si="0"/>
        <v>17085.082645485178</v>
      </c>
      <c r="C31" s="106">
        <f t="shared" si="1"/>
        <v>196991.00290244407</v>
      </c>
      <c r="D31" s="1">
        <f t="shared" si="4"/>
        <v>1.886086238220127E-4</v>
      </c>
      <c r="E31" s="299">
        <f t="shared" si="2"/>
        <v>19101122.397652429</v>
      </c>
    </row>
    <row r="32" spans="1:8" x14ac:dyDescent="0.3">
      <c r="A32" s="122">
        <f t="shared" si="3"/>
        <v>10000000</v>
      </c>
      <c r="B32" s="106">
        <f t="shared" si="0"/>
        <v>18736.677946629934</v>
      </c>
      <c r="C32" s="106">
        <f t="shared" si="1"/>
        <v>216033.89672464313</v>
      </c>
      <c r="D32" s="1">
        <f t="shared" si="4"/>
        <v>1.6515953011447563E-4</v>
      </c>
      <c r="E32" s="299">
        <f t="shared" si="2"/>
        <v>20947605.944332264</v>
      </c>
    </row>
    <row r="33" spans="1:5" x14ac:dyDescent="0.3">
      <c r="A33" s="122">
        <f t="shared" si="3"/>
        <v>11000000</v>
      </c>
      <c r="B33" s="106">
        <f t="shared" si="0"/>
        <v>20343.602677509189</v>
      </c>
      <c r="C33" s="106">
        <f t="shared" si="1"/>
        <v>234561.73887168092</v>
      </c>
      <c r="D33" s="1">
        <f t="shared" si="4"/>
        <v>1.460840664435686E-4</v>
      </c>
      <c r="E33" s="299">
        <f t="shared" si="2"/>
        <v>22744147.793455273</v>
      </c>
    </row>
    <row r="34" spans="1:5" x14ac:dyDescent="0.3">
      <c r="A34" s="122">
        <f>A33+(($C$18-$B$18)/$D$18)</f>
        <v>12000000</v>
      </c>
      <c r="B34" s="106">
        <f t="shared" si="0"/>
        <v>21907.038115544245</v>
      </c>
      <c r="C34" s="106">
        <f t="shared" si="1"/>
        <v>252588.14947222514</v>
      </c>
      <c r="D34" s="1">
        <f t="shared" si="4"/>
        <v>1.3028628650292134E-4</v>
      </c>
      <c r="E34" s="299">
        <f t="shared" si="2"/>
        <v>24492068.613178466</v>
      </c>
    </row>
    <row r="35" spans="1:5" x14ac:dyDescent="0.3">
      <c r="A35" s="122">
        <f t="shared" si="3"/>
        <v>13000000</v>
      </c>
      <c r="B35" s="106">
        <f t="shared" si="0"/>
        <v>23428.135754928924</v>
      </c>
      <c r="C35" s="106">
        <f t="shared" si="1"/>
        <v>270126.40525433049</v>
      </c>
      <c r="D35" s="1">
        <f t="shared" si="4"/>
        <v>1.1700751072189842E-4</v>
      </c>
      <c r="E35" s="299">
        <f t="shared" si="2"/>
        <v>26192655.774010539</v>
      </c>
    </row>
    <row r="36" spans="1:5" x14ac:dyDescent="0.3">
      <c r="A36" s="122">
        <f t="shared" si="3"/>
        <v>14000000</v>
      </c>
      <c r="B36" s="106">
        <f t="shared" si="0"/>
        <v>24908.017978378572</v>
      </c>
      <c r="C36" s="106">
        <f t="shared" si="1"/>
        <v>287189.44729070493</v>
      </c>
      <c r="D36" s="1">
        <f t="shared" si="4"/>
        <v>1.0570587310354624E-4</v>
      </c>
      <c r="E36" s="299">
        <f t="shared" si="2"/>
        <v>27847164.099827245</v>
      </c>
    </row>
    <row r="37" spans="1:5" x14ac:dyDescent="0.3">
      <c r="A37" s="122">
        <f t="shared" si="3"/>
        <v>15000000</v>
      </c>
      <c r="B37" s="106">
        <f t="shared" si="0"/>
        <v>26347.778718138114</v>
      </c>
      <c r="C37" s="106">
        <f t="shared" si="1"/>
        <v>303789.88862013241</v>
      </c>
      <c r="D37" s="1">
        <f t="shared" si="4"/>
        <v>9.5984049317302799E-5</v>
      </c>
      <c r="E37" s="299">
        <f t="shared" si="2"/>
        <v>29456816.606878411</v>
      </c>
    </row>
    <row r="38" spans="1:5" x14ac:dyDescent="0.3">
      <c r="A38" s="122">
        <f t="shared" si="3"/>
        <v>16000000</v>
      </c>
      <c r="B38" s="106">
        <f t="shared" si="0"/>
        <v>27748.484106163494</v>
      </c>
      <c r="C38" s="106">
        <f t="shared" si="1"/>
        <v>319940.02174406504</v>
      </c>
      <c r="D38" s="1">
        <f t="shared" si="4"/>
        <v>8.7544086751586289E-5</v>
      </c>
      <c r="E38" s="299">
        <f t="shared" si="2"/>
        <v>31022805.230690785</v>
      </c>
    </row>
    <row r="39" spans="1:5" x14ac:dyDescent="0.3">
      <c r="A39" s="122">
        <f t="shared" si="3"/>
        <v>17000000</v>
      </c>
      <c r="B39" s="106">
        <f t="shared" si="0"/>
        <v>29111.17311341688</v>
      </c>
      <c r="C39" s="106">
        <f t="shared" si="1"/>
        <v>335651.82599769661</v>
      </c>
      <c r="D39" s="1">
        <f t="shared" si="4"/>
        <v>8.0158176897258005E-5</v>
      </c>
      <c r="E39" s="299">
        <f t="shared" si="2"/>
        <v>32546291.540800072</v>
      </c>
    </row>
    <row r="40" spans="1:5" x14ac:dyDescent="0.3">
      <c r="A40" s="122">
        <f t="shared" si="3"/>
        <v>18000000</v>
      </c>
      <c r="B40" s="106">
        <f t="shared" si="0"/>
        <v>30436.858178190887</v>
      </c>
      <c r="C40" s="106">
        <f t="shared" si="1"/>
        <v>350936.9747945409</v>
      </c>
      <c r="D40" s="1">
        <f t="shared" si="4"/>
        <v>7.3649170265222588E-5</v>
      </c>
      <c r="E40" s="299">
        <f t="shared" si="2"/>
        <v>34028407.443217412</v>
      </c>
    </row>
    <row r="41" spans="1:5" x14ac:dyDescent="0.3">
      <c r="A41" s="122">
        <f>A40+(($C$18-$B$18)/$D$18)</f>
        <v>19000000</v>
      </c>
      <c r="B41" s="106">
        <f t="shared" si="0"/>
        <v>31726.525823448785</v>
      </c>
      <c r="C41" s="106">
        <f t="shared" si="1"/>
        <v>365806.84274436446</v>
      </c>
      <c r="D41" s="1">
        <f t="shared" si="4"/>
        <v>6.7877244487257778E-5</v>
      </c>
      <c r="E41" s="299">
        <f t="shared" si="2"/>
        <v>35470255.870615743</v>
      </c>
    </row>
    <row r="42" spans="1:5" x14ac:dyDescent="0.3">
      <c r="A42" s="122">
        <f t="shared" si="3"/>
        <v>20000000</v>
      </c>
      <c r="B42" s="106">
        <f t="shared" si="0"/>
        <v>32981.137263149023</v>
      </c>
      <c r="C42" s="106">
        <f t="shared" si="1"/>
        <v>380272.51264410821</v>
      </c>
      <c r="D42" s="1">
        <f t="shared" si="4"/>
        <v>6.2730571985011917E-5</v>
      </c>
      <c r="E42" s="299">
        <f t="shared" si="2"/>
        <v>36872911.460200608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abSelected="1" workbookViewId="0">
      <selection activeCell="E12" sqref="E1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162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47" t="s">
        <v>161</v>
      </c>
      <c r="C3" s="13" t="s">
        <v>5</v>
      </c>
      <c r="D3" s="12" t="s">
        <v>123</v>
      </c>
      <c r="E3" s="13" t="s">
        <v>109</v>
      </c>
      <c r="F3" s="14" t="s">
        <v>164</v>
      </c>
    </row>
    <row r="4" spans="1:18" ht="15" customHeight="1" thickBot="1" x14ac:dyDescent="0.35">
      <c r="A4" s="107" t="s">
        <v>38</v>
      </c>
      <c r="B4" s="387" t="s">
        <v>111</v>
      </c>
      <c r="C4" s="387"/>
      <c r="D4" s="387"/>
      <c r="E4" s="387"/>
      <c r="F4" s="388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1.5</v>
      </c>
    </row>
    <row r="7" spans="1:18" ht="27.6" customHeight="1" x14ac:dyDescent="0.3">
      <c r="A7" s="351" t="s">
        <v>8</v>
      </c>
      <c r="B7" s="354" t="s">
        <v>9</v>
      </c>
      <c r="C7" s="355"/>
      <c r="D7" s="389" t="s">
        <v>12</v>
      </c>
      <c r="E7" s="390"/>
      <c r="F7" s="391"/>
      <c r="G7" s="354" t="s">
        <v>143</v>
      </c>
      <c r="H7" s="354"/>
      <c r="I7" s="356"/>
      <c r="J7" s="1" t="s">
        <v>144</v>
      </c>
    </row>
    <row r="8" spans="1:18" ht="28.2" customHeight="1" x14ac:dyDescent="0.3">
      <c r="A8" s="352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3"/>
      <c r="B9" s="80">
        <f>JJ_Optim_Scenario!G24</f>
        <v>14130000</v>
      </c>
      <c r="C9" s="184">
        <f>JJ_Optim_Scenario!H24</f>
        <v>17270000</v>
      </c>
      <c r="D9" s="184">
        <f>JJ_Optim_Scenario!I24</f>
        <v>14130000.000000002</v>
      </c>
      <c r="E9" s="118">
        <f>((($R$12/(1+EXP($P$12+$Q$12*D9)))-1) - ($F$12-$C$12))*$I$12</f>
        <v>330538.85608282685</v>
      </c>
      <c r="F9" s="145">
        <f>E9*$G$12</f>
        <v>330538.85608282685</v>
      </c>
      <c r="G9" s="80">
        <f>JJ_Optim_Scenario!E24</f>
        <v>15700000</v>
      </c>
      <c r="H9" s="121">
        <f>((($R$12/(1+EXP($P$12+$Q$12*G9)))-1) - ($F$12-$C$12))*$I$12</f>
        <v>360832.73711340129</v>
      </c>
      <c r="I9" s="146">
        <f>H9*$G$12</f>
        <v>360832.73711340129</v>
      </c>
      <c r="J9" s="123">
        <f>G9/I9</f>
        <v>43.510464503850869</v>
      </c>
      <c r="K9" s="1" t="s">
        <v>142</v>
      </c>
    </row>
    <row r="10" spans="1:18" ht="14.4" thickBot="1" x14ac:dyDescent="0.35"/>
    <row r="11" spans="1:18" ht="61.8" customHeight="1" x14ac:dyDescent="0.3">
      <c r="A11" s="351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150" t="s">
        <v>163</v>
      </c>
      <c r="H11" s="93" t="s">
        <v>126</v>
      </c>
      <c r="I11" s="15" t="s">
        <v>134</v>
      </c>
      <c r="K11" s="360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3"/>
      <c r="B12" s="80">
        <v>15700000</v>
      </c>
      <c r="C12" s="86">
        <v>360832.73711340211</v>
      </c>
      <c r="D12" s="12">
        <v>0</v>
      </c>
      <c r="E12" s="86">
        <v>1098675</v>
      </c>
      <c r="F12" s="97">
        <v>14649000</v>
      </c>
      <c r="G12" s="151">
        <v>1</v>
      </c>
      <c r="H12" s="98">
        <f>C12*G12</f>
        <v>360832.73711340211</v>
      </c>
      <c r="I12" s="297">
        <f>JJ_Optim_Scenario!D24</f>
        <v>1</v>
      </c>
      <c r="K12" s="361"/>
      <c r="L12" s="98">
        <f>F12-C12</f>
        <v>14288167.262886599</v>
      </c>
      <c r="M12" s="98">
        <f>L12+E12</f>
        <v>15386842.262886599</v>
      </c>
      <c r="N12" s="99">
        <f>B12</f>
        <v>15700000</v>
      </c>
      <c r="O12" s="98">
        <f>F12</f>
        <v>14649000</v>
      </c>
      <c r="P12" s="24">
        <f>LN((($M$12+1)/($L$12+1))-1)</f>
        <v>-2.5653268922808143</v>
      </c>
      <c r="Q12" s="100">
        <f>(LN((($M$12+1)/($O$12+1))-1)-$P$12)/$N$12</f>
        <v>-2.6947163240976005E-8</v>
      </c>
      <c r="R12" s="101">
        <f>M12+1</f>
        <v>15386843.262886599</v>
      </c>
    </row>
    <row r="13" spans="1:18" ht="34.200000000000003" customHeight="1" x14ac:dyDescent="0.3">
      <c r="A13" s="384" t="s">
        <v>119</v>
      </c>
      <c r="B13" s="385"/>
      <c r="C13" s="385"/>
      <c r="D13" s="385"/>
      <c r="E13" s="385"/>
      <c r="F13" s="386"/>
      <c r="G13" s="298" t="s">
        <v>267</v>
      </c>
      <c r="H13" s="298" t="s">
        <v>268</v>
      </c>
      <c r="K13" s="384" t="s">
        <v>120</v>
      </c>
      <c r="L13" s="385"/>
      <c r="M13" s="385"/>
      <c r="N13" s="385"/>
      <c r="O13" s="385"/>
      <c r="P13" s="385"/>
      <c r="Q13" s="385"/>
      <c r="R13" s="386"/>
    </row>
    <row r="14" spans="1:18" ht="33.6" customHeight="1" thickBot="1" x14ac:dyDescent="0.35">
      <c r="A14" s="380"/>
      <c r="B14" s="381"/>
      <c r="C14" s="381"/>
      <c r="D14" s="381"/>
      <c r="E14" s="381"/>
      <c r="F14" s="382"/>
      <c r="G14" s="184">
        <f>JJ_Optim_Scenario!$I$31</f>
        <v>116.39999999999999</v>
      </c>
      <c r="H14" s="184">
        <f>JJ_Optim_Scenario!$F$31</f>
        <v>1118</v>
      </c>
      <c r="K14" s="380"/>
      <c r="L14" s="381"/>
      <c r="M14" s="381"/>
      <c r="N14" s="381"/>
      <c r="O14" s="381"/>
      <c r="P14" s="381"/>
      <c r="Q14" s="381"/>
      <c r="R14" s="382"/>
    </row>
    <row r="16" spans="1:18" ht="14.4" thickBot="1" x14ac:dyDescent="0.35"/>
    <row r="17" spans="1:8" ht="42.6" customHeight="1" x14ac:dyDescent="0.3">
      <c r="A17" s="360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61"/>
      <c r="B18" s="102">
        <v>0</v>
      </c>
      <c r="C18" s="103">
        <v>50000000</v>
      </c>
      <c r="D18" s="26">
        <v>20</v>
      </c>
    </row>
    <row r="20" spans="1:8" x14ac:dyDescent="0.3">
      <c r="A20" s="336" t="s">
        <v>37</v>
      </c>
      <c r="B20" s="336"/>
      <c r="C20" s="336"/>
    </row>
    <row r="21" spans="1:8" x14ac:dyDescent="0.3">
      <c r="A21" s="91" t="s">
        <v>35</v>
      </c>
      <c r="B21" s="91" t="s">
        <v>156</v>
      </c>
      <c r="C21" s="91" t="s">
        <v>128</v>
      </c>
      <c r="D21" s="1" t="s">
        <v>129</v>
      </c>
      <c r="E21" s="298" t="s">
        <v>270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1.862645149230957E-9</v>
      </c>
      <c r="C22" s="106">
        <f>B22*$G$12</f>
        <v>1.862645149230957E-9</v>
      </c>
      <c r="E22" s="299">
        <f>B22*$G$14</f>
        <v>2.1681189537048338E-7</v>
      </c>
    </row>
    <row r="23" spans="1:8" x14ac:dyDescent="0.3">
      <c r="A23" s="122">
        <f>A22+(($C$18-$B$18)/$D$18)</f>
        <v>2500000</v>
      </c>
      <c r="B23" s="106">
        <f t="shared" si="0"/>
        <v>66777.120228324085</v>
      </c>
      <c r="C23" s="106">
        <f t="shared" ref="C23:C42" si="1">B23*$G$12</f>
        <v>66777.120228324085</v>
      </c>
      <c r="D23" s="1">
        <f>(B23-B22)/A23</f>
        <v>2.6710848091328888E-2</v>
      </c>
      <c r="E23" s="299">
        <f t="shared" ref="E23:E42" si="2">B23*$G$14</f>
        <v>7772856.7945769234</v>
      </c>
    </row>
    <row r="24" spans="1:8" x14ac:dyDescent="0.3">
      <c r="A24" s="122">
        <f t="shared" ref="A24:A42" si="3">A23+(($C$18-$B$18)/$D$18)</f>
        <v>5000000</v>
      </c>
      <c r="B24" s="106">
        <f t="shared" si="0"/>
        <v>129770.77474719286</v>
      </c>
      <c r="C24" s="106">
        <f t="shared" si="1"/>
        <v>129770.77474719286</v>
      </c>
      <c r="D24" s="1">
        <f t="shared" ref="D24:D42" si="4">(B24-B23)/A24</f>
        <v>1.2598730903773754E-2</v>
      </c>
      <c r="E24" s="299">
        <f t="shared" si="2"/>
        <v>15105318.180573247</v>
      </c>
    </row>
    <row r="25" spans="1:8" x14ac:dyDescent="0.3">
      <c r="A25" s="122">
        <f t="shared" si="3"/>
        <v>7500000</v>
      </c>
      <c r="B25" s="106">
        <f t="shared" si="0"/>
        <v>189162.54184601083</v>
      </c>
      <c r="C25" s="106">
        <f t="shared" si="1"/>
        <v>189162.54184601083</v>
      </c>
      <c r="D25" s="1">
        <f t="shared" si="4"/>
        <v>7.918902279842396E-3</v>
      </c>
      <c r="E25" s="299">
        <f t="shared" si="2"/>
        <v>22018519.87087566</v>
      </c>
    </row>
    <row r="26" spans="1:8" x14ac:dyDescent="0.3">
      <c r="A26" s="122">
        <f t="shared" si="3"/>
        <v>10000000</v>
      </c>
      <c r="B26" s="106">
        <f t="shared" si="0"/>
        <v>245129.24382783286</v>
      </c>
      <c r="C26" s="106">
        <f t="shared" si="1"/>
        <v>245129.24382783286</v>
      </c>
      <c r="D26" s="1">
        <f t="shared" si="4"/>
        <v>5.5966701981822031E-3</v>
      </c>
      <c r="E26" s="299">
        <f t="shared" si="2"/>
        <v>28533043.981559742</v>
      </c>
    </row>
    <row r="27" spans="1:8" x14ac:dyDescent="0.3">
      <c r="A27" s="122">
        <f t="shared" si="3"/>
        <v>12500000</v>
      </c>
      <c r="B27" s="106">
        <f t="shared" si="0"/>
        <v>297842.54778906517</v>
      </c>
      <c r="C27" s="106">
        <f t="shared" si="1"/>
        <v>297842.54778906517</v>
      </c>
      <c r="D27" s="1">
        <f t="shared" si="4"/>
        <v>4.2170643168985842E-3</v>
      </c>
      <c r="E27" s="299">
        <f t="shared" si="2"/>
        <v>34668872.562647186</v>
      </c>
    </row>
    <row r="28" spans="1:8" x14ac:dyDescent="0.3">
      <c r="A28" s="122">
        <f t="shared" si="3"/>
        <v>15000000</v>
      </c>
      <c r="B28" s="106">
        <f t="shared" si="0"/>
        <v>347468.65276842937</v>
      </c>
      <c r="C28" s="106">
        <f t="shared" si="1"/>
        <v>347468.65276842937</v>
      </c>
      <c r="D28" s="1">
        <f t="shared" si="4"/>
        <v>3.3084069986242799E-3</v>
      </c>
      <c r="E28" s="299">
        <f t="shared" si="2"/>
        <v>40445351.182245173</v>
      </c>
    </row>
    <row r="29" spans="1:8" x14ac:dyDescent="0.3">
      <c r="A29" s="122">
        <f t="shared" si="3"/>
        <v>17500000</v>
      </c>
      <c r="B29" s="106">
        <f t="shared" si="0"/>
        <v>394168.05440711975</v>
      </c>
      <c r="C29" s="106">
        <f t="shared" si="1"/>
        <v>394168.05440711975</v>
      </c>
      <c r="D29" s="1">
        <f t="shared" si="4"/>
        <v>2.6685372364965935E-3</v>
      </c>
      <c r="E29" s="299">
        <f t="shared" si="2"/>
        <v>45881161.532988735</v>
      </c>
    </row>
    <row r="30" spans="1:8" x14ac:dyDescent="0.3">
      <c r="A30" s="122">
        <f t="shared" si="3"/>
        <v>20000000</v>
      </c>
      <c r="B30" s="106">
        <f t="shared" si="0"/>
        <v>438095.37863838859</v>
      </c>
      <c r="C30" s="106">
        <f t="shared" si="1"/>
        <v>438095.37863838859</v>
      </c>
      <c r="D30" s="1">
        <f t="shared" si="4"/>
        <v>2.1963662115634421E-3</v>
      </c>
      <c r="E30" s="299">
        <f t="shared" si="2"/>
        <v>50994302.073508427</v>
      </c>
    </row>
    <row r="31" spans="1:8" x14ac:dyDescent="0.3">
      <c r="A31" s="122">
        <f t="shared" si="3"/>
        <v>22500000</v>
      </c>
      <c r="B31" s="106">
        <f t="shared" si="0"/>
        <v>479399.27637467906</v>
      </c>
      <c r="C31" s="106">
        <f t="shared" si="1"/>
        <v>479399.27637467906</v>
      </c>
      <c r="D31" s="1">
        <f t="shared" si="4"/>
        <v>1.8357287882795764E-3</v>
      </c>
      <c r="E31" s="299">
        <f t="shared" si="2"/>
        <v>55802075.770012639</v>
      </c>
    </row>
    <row r="32" spans="1:8" x14ac:dyDescent="0.3">
      <c r="A32" s="122">
        <f t="shared" si="3"/>
        <v>25000000</v>
      </c>
      <c r="B32" s="106">
        <f t="shared" si="0"/>
        <v>518222.37166078761</v>
      </c>
      <c r="C32" s="106">
        <f t="shared" si="1"/>
        <v>518222.37166078761</v>
      </c>
      <c r="D32" s="1">
        <f t="shared" si="4"/>
        <v>1.5529238114443422E-3</v>
      </c>
      <c r="E32" s="299">
        <f t="shared" si="2"/>
        <v>60321084.061315671</v>
      </c>
    </row>
    <row r="33" spans="1:5" x14ac:dyDescent="0.3">
      <c r="A33" s="122">
        <f t="shared" si="3"/>
        <v>27500000</v>
      </c>
      <c r="B33" s="106">
        <f t="shared" si="0"/>
        <v>554701.25629257597</v>
      </c>
      <c r="C33" s="106">
        <f t="shared" si="1"/>
        <v>554701.25629257597</v>
      </c>
      <c r="D33" s="1">
        <f t="shared" si="4"/>
        <v>1.3265048957013948E-3</v>
      </c>
      <c r="E33" s="299">
        <f t="shared" si="2"/>
        <v>64567226.232455835</v>
      </c>
    </row>
    <row r="34" spans="1:5" x14ac:dyDescent="0.3">
      <c r="A34" s="122">
        <f>A33+(($C$18-$B$18)/$D$18)</f>
        <v>30000000</v>
      </c>
      <c r="B34" s="106">
        <f t="shared" si="0"/>
        <v>588966.52444665693</v>
      </c>
      <c r="C34" s="106">
        <f t="shared" si="1"/>
        <v>588966.52444665693</v>
      </c>
      <c r="D34" s="1">
        <f t="shared" si="4"/>
        <v>1.1421756051360318E-3</v>
      </c>
      <c r="E34" s="299">
        <f t="shared" si="2"/>
        <v>68555703.445590869</v>
      </c>
    </row>
    <row r="35" spans="1:5" x14ac:dyDescent="0.3">
      <c r="A35" s="122">
        <f t="shared" si="3"/>
        <v>32500000</v>
      </c>
      <c r="B35" s="106">
        <f t="shared" si="0"/>
        <v>621142.84141393006</v>
      </c>
      <c r="C35" s="106">
        <f t="shared" si="1"/>
        <v>621142.84141393006</v>
      </c>
      <c r="D35" s="1">
        <f t="shared" si="4"/>
        <v>9.9004052206994259E-4</v>
      </c>
      <c r="E35" s="299">
        <f t="shared" si="2"/>
        <v>72301026.740581453</v>
      </c>
    </row>
    <row r="36" spans="1:5" x14ac:dyDescent="0.3">
      <c r="A36" s="122">
        <f t="shared" si="3"/>
        <v>35000000</v>
      </c>
      <c r="B36" s="106">
        <f t="shared" si="0"/>
        <v>651349.04106848314</v>
      </c>
      <c r="C36" s="106">
        <f t="shared" si="1"/>
        <v>651349.04106848314</v>
      </c>
      <c r="D36" s="1">
        <f t="shared" si="4"/>
        <v>8.6303427584437386E-4</v>
      </c>
      <c r="E36" s="299">
        <f t="shared" si="2"/>
        <v>75817028.380371436</v>
      </c>
    </row>
    <row r="37" spans="1:5" x14ac:dyDescent="0.3">
      <c r="A37" s="122">
        <f t="shared" si="3"/>
        <v>37500000</v>
      </c>
      <c r="B37" s="106">
        <f t="shared" si="0"/>
        <v>679698.24722526968</v>
      </c>
      <c r="C37" s="106">
        <f t="shared" si="1"/>
        <v>679698.24722526968</v>
      </c>
      <c r="D37" s="1">
        <f t="shared" si="4"/>
        <v>7.5597883084764083E-4</v>
      </c>
      <c r="E37" s="299">
        <f t="shared" si="2"/>
        <v>79116875.977021381</v>
      </c>
    </row>
    <row r="38" spans="1:5" x14ac:dyDescent="0.3">
      <c r="A38" s="122">
        <f t="shared" si="3"/>
        <v>40000000</v>
      </c>
      <c r="B38" s="106">
        <f t="shared" si="0"/>
        <v>706298.01453892514</v>
      </c>
      <c r="C38" s="106">
        <f t="shared" si="1"/>
        <v>706298.01453892514</v>
      </c>
      <c r="D38" s="1">
        <f t="shared" si="4"/>
        <v>6.6499418284138669E-4</v>
      </c>
      <c r="E38" s="299">
        <f t="shared" si="2"/>
        <v>82213088.892330885</v>
      </c>
    </row>
    <row r="39" spans="1:5" x14ac:dyDescent="0.3">
      <c r="A39" s="122">
        <f t="shared" si="3"/>
        <v>42500000</v>
      </c>
      <c r="B39" s="106">
        <f t="shared" si="0"/>
        <v>731250.48506828956</v>
      </c>
      <c r="C39" s="106">
        <f t="shared" si="1"/>
        <v>731250.48506828956</v>
      </c>
      <c r="D39" s="1">
        <f t="shared" si="4"/>
        <v>5.87116953632104E-4</v>
      </c>
      <c r="E39" s="299">
        <f t="shared" si="2"/>
        <v>85117556.461948901</v>
      </c>
    </row>
    <row r="40" spans="1:5" x14ac:dyDescent="0.3">
      <c r="A40" s="122">
        <f t="shared" si="3"/>
        <v>45000000</v>
      </c>
      <c r="B40" s="106">
        <f t="shared" si="0"/>
        <v>754652.55707320757</v>
      </c>
      <c r="C40" s="106">
        <f t="shared" si="1"/>
        <v>754652.55707320757</v>
      </c>
      <c r="D40" s="1">
        <f t="shared" si="4"/>
        <v>5.2004604455373356E-4</v>
      </c>
      <c r="E40" s="299">
        <f t="shared" si="2"/>
        <v>87841557.64332135</v>
      </c>
    </row>
    <row r="41" spans="1:5" x14ac:dyDescent="0.3">
      <c r="A41" s="122">
        <f>A40+(($C$18-$B$18)/$D$18)</f>
        <v>47500000</v>
      </c>
      <c r="B41" s="106">
        <f t="shared" si="0"/>
        <v>776596.06302100234</v>
      </c>
      <c r="C41" s="106">
        <f t="shared" si="1"/>
        <v>776596.06302100234</v>
      </c>
      <c r="D41" s="1">
        <f t="shared" si="4"/>
        <v>4.619685462693635E-4</v>
      </c>
      <c r="E41" s="299">
        <f t="shared" si="2"/>
        <v>90395781.735644668</v>
      </c>
    </row>
    <row r="42" spans="1:5" x14ac:dyDescent="0.3">
      <c r="A42" s="122">
        <f t="shared" si="3"/>
        <v>50000000</v>
      </c>
      <c r="B42" s="106">
        <f t="shared" si="0"/>
        <v>797167.95415875129</v>
      </c>
      <c r="C42" s="106">
        <f t="shared" si="1"/>
        <v>797167.95415875129</v>
      </c>
      <c r="D42" s="1">
        <f t="shared" si="4"/>
        <v>4.1143782275497912E-4</v>
      </c>
      <c r="E42" s="299">
        <f t="shared" si="2"/>
        <v>92790349.864078641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"/>
  <sheetViews>
    <sheetView workbookViewId="0">
      <selection activeCell="D27" sqref="D27"/>
    </sheetView>
  </sheetViews>
  <sheetFormatPr defaultRowHeight="14.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1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337" t="s">
        <v>105</v>
      </c>
      <c r="G2" s="338"/>
      <c r="H2" s="338"/>
      <c r="I2" s="338"/>
      <c r="J2" s="338"/>
      <c r="K2" s="338"/>
      <c r="L2" s="339"/>
    </row>
    <row r="3" spans="1:12" ht="14.4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340" t="s">
        <v>72</v>
      </c>
      <c r="G3" s="341"/>
      <c r="H3" s="341"/>
      <c r="I3" s="341"/>
      <c r="J3" s="341"/>
      <c r="K3" s="341"/>
      <c r="L3" s="342"/>
    </row>
    <row r="4" spans="1:12" ht="14.4" thickBot="1" x14ac:dyDescent="0.35">
      <c r="A4" s="29" t="s">
        <v>38</v>
      </c>
      <c r="B4" s="392" t="s">
        <v>39</v>
      </c>
      <c r="C4" s="392"/>
      <c r="D4" s="393"/>
    </row>
    <row r="6" spans="1:12" ht="14.4" thickBot="1" x14ac:dyDescent="0.35"/>
    <row r="7" spans="1:12" ht="27.6" customHeight="1" x14ac:dyDescent="0.3">
      <c r="A7" s="351" t="s">
        <v>8</v>
      </c>
      <c r="B7" s="354" t="s">
        <v>9</v>
      </c>
      <c r="C7" s="355"/>
      <c r="D7" s="389" t="s">
        <v>12</v>
      </c>
      <c r="E7" s="391"/>
      <c r="F7" s="390" t="s">
        <v>24</v>
      </c>
      <c r="G7" s="400"/>
    </row>
    <row r="8" spans="1:12" ht="27.6" x14ac:dyDescent="0.3">
      <c r="A8" s="35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353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4.4" thickBot="1" x14ac:dyDescent="0.35"/>
    <row r="11" spans="1:12" x14ac:dyDescent="0.3">
      <c r="A11" s="351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351" t="s">
        <v>25</v>
      </c>
      <c r="H11" s="21" t="s">
        <v>26</v>
      </c>
      <c r="I11" s="21" t="s">
        <v>27</v>
      </c>
      <c r="J11" s="15" t="s">
        <v>28</v>
      </c>
    </row>
    <row r="12" spans="1:12" ht="14.4" thickBot="1" x14ac:dyDescent="0.35">
      <c r="A12" s="353"/>
      <c r="B12" s="12">
        <v>20</v>
      </c>
      <c r="C12" s="12">
        <v>30</v>
      </c>
      <c r="D12" s="12">
        <v>0</v>
      </c>
      <c r="E12" s="14">
        <v>70</v>
      </c>
      <c r="G12" s="353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200000000000003" customHeight="1" x14ac:dyDescent="0.3">
      <c r="A13" s="384" t="s">
        <v>30</v>
      </c>
      <c r="B13" s="385"/>
      <c r="C13" s="385"/>
      <c r="D13" s="385"/>
      <c r="E13" s="386"/>
      <c r="G13" s="394" t="s">
        <v>29</v>
      </c>
      <c r="H13" s="395"/>
      <c r="I13" s="395"/>
      <c r="J13" s="396"/>
    </row>
    <row r="14" spans="1:12" ht="33.6" customHeight="1" x14ac:dyDescent="0.3">
      <c r="A14" s="380"/>
      <c r="B14" s="381"/>
      <c r="C14" s="381"/>
      <c r="D14" s="381"/>
      <c r="E14" s="382"/>
      <c r="G14" s="397"/>
      <c r="H14" s="398"/>
      <c r="I14" s="398"/>
      <c r="J14" s="399"/>
    </row>
    <row r="16" spans="1:12" ht="14.4" thickBot="1" x14ac:dyDescent="0.35"/>
    <row r="17" spans="1:4" ht="16.8" customHeight="1" x14ac:dyDescent="0.3">
      <c r="A17" s="360" t="s">
        <v>34</v>
      </c>
      <c r="B17" s="21" t="s">
        <v>32</v>
      </c>
      <c r="C17" s="21" t="s">
        <v>31</v>
      </c>
      <c r="D17" s="15" t="s">
        <v>33</v>
      </c>
    </row>
    <row r="18" spans="1:4" ht="23.4" customHeight="1" thickBot="1" x14ac:dyDescent="0.35">
      <c r="A18" s="361"/>
      <c r="B18" s="12">
        <v>0</v>
      </c>
      <c r="C18" s="12">
        <v>100</v>
      </c>
      <c r="D18" s="26">
        <v>20</v>
      </c>
    </row>
    <row r="20" spans="1:4" x14ac:dyDescent="0.3">
      <c r="A20" s="336" t="s">
        <v>37</v>
      </c>
      <c r="B20" s="336"/>
    </row>
    <row r="21" spans="1:4" x14ac:dyDescent="0.3">
      <c r="A21" s="3" t="s">
        <v>35</v>
      </c>
      <c r="B21" s="3" t="s">
        <v>36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40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337" t="s">
        <v>105</v>
      </c>
      <c r="G2" s="338"/>
      <c r="H2" s="338"/>
      <c r="I2" s="338"/>
      <c r="J2" s="338"/>
      <c r="K2" s="338"/>
      <c r="L2" s="339"/>
    </row>
    <row r="3" spans="1:12" ht="14.4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340" t="s">
        <v>72</v>
      </c>
      <c r="G3" s="341"/>
      <c r="H3" s="341"/>
      <c r="I3" s="341"/>
      <c r="J3" s="341"/>
      <c r="K3" s="341"/>
      <c r="L3" s="342"/>
    </row>
    <row r="4" spans="1:12" ht="31.8" customHeight="1" thickBot="1" x14ac:dyDescent="0.35">
      <c r="A4" s="29" t="s">
        <v>38</v>
      </c>
      <c r="B4" s="404" t="s">
        <v>41</v>
      </c>
      <c r="C4" s="405"/>
      <c r="D4" s="406"/>
    </row>
    <row r="6" spans="1:12" ht="14.4" thickBot="1" x14ac:dyDescent="0.35"/>
    <row r="7" spans="1:12" ht="27.6" customHeight="1" x14ac:dyDescent="0.3">
      <c r="A7" s="351" t="s">
        <v>8</v>
      </c>
      <c r="B7" s="354" t="s">
        <v>9</v>
      </c>
      <c r="C7" s="355"/>
      <c r="D7" s="389" t="s">
        <v>12</v>
      </c>
      <c r="E7" s="391"/>
      <c r="F7" s="390" t="s">
        <v>24</v>
      </c>
      <c r="G7" s="400"/>
      <c r="H7" s="1" t="s">
        <v>54</v>
      </c>
    </row>
    <row r="8" spans="1:12" ht="27.6" x14ac:dyDescent="0.3">
      <c r="A8" s="35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353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4.4" thickBot="1" x14ac:dyDescent="0.35"/>
    <row r="11" spans="1:12" ht="27.6" customHeight="1" x14ac:dyDescent="0.3">
      <c r="A11" s="351" t="s">
        <v>42</v>
      </c>
      <c r="B11" s="345" t="s">
        <v>47</v>
      </c>
      <c r="C11" s="401" t="s">
        <v>46</v>
      </c>
      <c r="D11" s="390"/>
      <c r="E11" s="390"/>
      <c r="F11" s="3" t="s">
        <v>48</v>
      </c>
      <c r="G11" s="33"/>
      <c r="H11" s="32"/>
      <c r="I11" s="32"/>
      <c r="J11" s="32"/>
    </row>
    <row r="12" spans="1:12" x14ac:dyDescent="0.3">
      <c r="A12" s="402"/>
      <c r="B12" s="346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3">
      <c r="A13" s="403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8" customHeight="1" x14ac:dyDescent="0.3">
      <c r="A14" s="359" t="s">
        <v>52</v>
      </c>
      <c r="B14" s="359"/>
      <c r="C14" s="359"/>
      <c r="D14" s="359"/>
      <c r="E14" s="359"/>
      <c r="F14" s="359"/>
      <c r="G14" s="38"/>
      <c r="H14" s="39"/>
      <c r="I14" s="39"/>
      <c r="J14" s="39"/>
    </row>
    <row r="15" spans="1:12" ht="30.6" customHeight="1" x14ac:dyDescent="0.3">
      <c r="A15" s="359"/>
      <c r="B15" s="359"/>
      <c r="C15" s="359"/>
      <c r="D15" s="359"/>
      <c r="E15" s="359"/>
      <c r="F15" s="359"/>
      <c r="G15" s="38"/>
      <c r="H15" s="39"/>
      <c r="I15" s="39"/>
      <c r="J15" s="39"/>
    </row>
    <row r="17" spans="1:4" ht="14.4" thickBot="1" x14ac:dyDescent="0.35"/>
    <row r="18" spans="1:4" ht="16.8" customHeight="1" x14ac:dyDescent="0.3">
      <c r="A18" s="360" t="s">
        <v>34</v>
      </c>
      <c r="B18" s="21" t="s">
        <v>32</v>
      </c>
      <c r="C18" s="21" t="s">
        <v>31</v>
      </c>
      <c r="D18" s="15" t="s">
        <v>33</v>
      </c>
    </row>
    <row r="19" spans="1:4" ht="23.4" customHeight="1" thickBot="1" x14ac:dyDescent="0.35">
      <c r="A19" s="361"/>
      <c r="B19" s="12">
        <v>0</v>
      </c>
      <c r="C19" s="12">
        <v>20000000</v>
      </c>
      <c r="D19" s="26">
        <v>20</v>
      </c>
    </row>
    <row r="21" spans="1:4" x14ac:dyDescent="0.3">
      <c r="A21" s="336" t="s">
        <v>37</v>
      </c>
      <c r="B21" s="336"/>
    </row>
    <row r="22" spans="1:4" x14ac:dyDescent="0.3">
      <c r="A22" s="3" t="s">
        <v>35</v>
      </c>
      <c r="B22" s="3" t="s">
        <v>36</v>
      </c>
    </row>
    <row r="23" spans="1:4" x14ac:dyDescent="0.3">
      <c r="A23" s="2">
        <f>B19</f>
        <v>0</v>
      </c>
      <c r="B23" s="36">
        <f t="shared" ref="B23:B43" si="0">$C$13*A23</f>
        <v>0</v>
      </c>
    </row>
    <row r="24" spans="1:4" x14ac:dyDescent="0.3">
      <c r="A24" s="2">
        <f>A23+(($C$19-$B$19)/$D$19)</f>
        <v>1000000</v>
      </c>
      <c r="B24" s="36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3">
      <c r="A26" s="2">
        <f t="shared" si="1"/>
        <v>3000000</v>
      </c>
      <c r="B26" s="36">
        <f t="shared" si="0"/>
        <v>30000</v>
      </c>
    </row>
    <row r="27" spans="1:4" x14ac:dyDescent="0.3">
      <c r="A27" s="2">
        <f t="shared" si="1"/>
        <v>4000000</v>
      </c>
      <c r="B27" s="36">
        <f t="shared" si="0"/>
        <v>40000</v>
      </c>
    </row>
    <row r="28" spans="1:4" x14ac:dyDescent="0.3">
      <c r="A28" s="2">
        <f t="shared" si="1"/>
        <v>5000000</v>
      </c>
      <c r="B28" s="36">
        <f t="shared" si="0"/>
        <v>50000</v>
      </c>
    </row>
    <row r="29" spans="1:4" x14ac:dyDescent="0.3">
      <c r="A29" s="2">
        <f t="shared" si="1"/>
        <v>6000000</v>
      </c>
      <c r="B29" s="36">
        <f t="shared" si="0"/>
        <v>60000</v>
      </c>
    </row>
    <row r="30" spans="1:4" x14ac:dyDescent="0.3">
      <c r="A30" s="2">
        <f t="shared" si="1"/>
        <v>7000000</v>
      </c>
      <c r="B30" s="36">
        <f t="shared" si="0"/>
        <v>70000</v>
      </c>
    </row>
    <row r="31" spans="1:4" x14ac:dyDescent="0.3">
      <c r="A31" s="2">
        <f t="shared" si="1"/>
        <v>8000000</v>
      </c>
      <c r="B31" s="36">
        <f t="shared" si="0"/>
        <v>80000</v>
      </c>
    </row>
    <row r="32" spans="1:4" x14ac:dyDescent="0.3">
      <c r="A32" s="2">
        <f t="shared" si="1"/>
        <v>9000000</v>
      </c>
      <c r="B32" s="36">
        <f t="shared" si="0"/>
        <v>90000</v>
      </c>
    </row>
    <row r="33" spans="1:2" x14ac:dyDescent="0.3">
      <c r="A33" s="2">
        <f t="shared" si="1"/>
        <v>10000000</v>
      </c>
      <c r="B33" s="36">
        <f t="shared" si="0"/>
        <v>100000</v>
      </c>
    </row>
    <row r="34" spans="1:2" x14ac:dyDescent="0.3">
      <c r="A34" s="2">
        <f t="shared" si="1"/>
        <v>11000000</v>
      </c>
      <c r="B34" s="36">
        <f t="shared" si="0"/>
        <v>110000</v>
      </c>
    </row>
    <row r="35" spans="1:2" x14ac:dyDescent="0.3">
      <c r="A35" s="2">
        <f>A34+(($C$19-$B$19)/$D$19)</f>
        <v>12000000</v>
      </c>
      <c r="B35" s="36">
        <f t="shared" si="0"/>
        <v>120000</v>
      </c>
    </row>
    <row r="36" spans="1:2" x14ac:dyDescent="0.3">
      <c r="A36" s="2">
        <f t="shared" si="1"/>
        <v>13000000</v>
      </c>
      <c r="B36" s="36">
        <f t="shared" si="0"/>
        <v>130000</v>
      </c>
    </row>
    <row r="37" spans="1:2" x14ac:dyDescent="0.3">
      <c r="A37" s="2">
        <f t="shared" si="1"/>
        <v>14000000</v>
      </c>
      <c r="B37" s="36">
        <f t="shared" si="0"/>
        <v>140000</v>
      </c>
    </row>
    <row r="38" spans="1:2" x14ac:dyDescent="0.3">
      <c r="A38" s="2">
        <f t="shared" si="1"/>
        <v>15000000</v>
      </c>
      <c r="B38" s="36">
        <f t="shared" si="0"/>
        <v>150000</v>
      </c>
    </row>
    <row r="39" spans="1:2" x14ac:dyDescent="0.3">
      <c r="A39" s="2">
        <f t="shared" si="1"/>
        <v>16000000</v>
      </c>
      <c r="B39" s="36">
        <f t="shared" si="0"/>
        <v>160000</v>
      </c>
    </row>
    <row r="40" spans="1:2" x14ac:dyDescent="0.3">
      <c r="A40" s="2">
        <f t="shared" si="1"/>
        <v>17000000</v>
      </c>
      <c r="B40" s="36">
        <f t="shared" si="0"/>
        <v>170000</v>
      </c>
    </row>
    <row r="41" spans="1:2" x14ac:dyDescent="0.3">
      <c r="A41" s="2">
        <f t="shared" si="1"/>
        <v>18000000</v>
      </c>
      <c r="B41" s="36">
        <f t="shared" si="0"/>
        <v>180000</v>
      </c>
    </row>
    <row r="42" spans="1:2" x14ac:dyDescent="0.3">
      <c r="A42" s="2">
        <f>A41+(($C$19-$B$19)/$D$19)</f>
        <v>19000000</v>
      </c>
      <c r="B42" s="36">
        <f t="shared" si="0"/>
        <v>190000</v>
      </c>
    </row>
    <row r="43" spans="1:2" x14ac:dyDescent="0.3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4.8867187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4" ht="14.4" thickBot="1" x14ac:dyDescent="0.35">
      <c r="A1" s="6" t="s">
        <v>0</v>
      </c>
      <c r="B1" s="1" t="s">
        <v>55</v>
      </c>
    </row>
    <row r="2" spans="1:14" x14ac:dyDescent="0.3">
      <c r="A2" s="7" t="s">
        <v>2</v>
      </c>
      <c r="B2" s="8" t="s">
        <v>13</v>
      </c>
      <c r="C2" s="9" t="s">
        <v>4</v>
      </c>
      <c r="D2" s="10" t="s">
        <v>6</v>
      </c>
      <c r="F2" s="337" t="s">
        <v>105</v>
      </c>
      <c r="G2" s="338"/>
      <c r="H2" s="338"/>
      <c r="I2" s="338"/>
      <c r="J2" s="338"/>
      <c r="K2" s="338"/>
      <c r="L2" s="339"/>
    </row>
    <row r="3" spans="1:14" ht="14.4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340" t="s">
        <v>72</v>
      </c>
      <c r="G3" s="341"/>
      <c r="H3" s="341"/>
      <c r="I3" s="341"/>
      <c r="J3" s="341"/>
      <c r="K3" s="341"/>
      <c r="L3" s="342"/>
    </row>
    <row r="4" spans="1:14" ht="14.4" thickBot="1" x14ac:dyDescent="0.35">
      <c r="A4" s="29" t="s">
        <v>38</v>
      </c>
      <c r="B4" s="392" t="s">
        <v>57</v>
      </c>
      <c r="C4" s="392"/>
      <c r="D4" s="393"/>
    </row>
    <row r="6" spans="1:14" ht="14.4" thickBot="1" x14ac:dyDescent="0.35"/>
    <row r="7" spans="1:14" ht="27.6" customHeight="1" x14ac:dyDescent="0.3">
      <c r="A7" s="351" t="s">
        <v>8</v>
      </c>
      <c r="B7" s="354" t="s">
        <v>9</v>
      </c>
      <c r="C7" s="355"/>
      <c r="D7" s="389" t="s">
        <v>12</v>
      </c>
      <c r="E7" s="391"/>
      <c r="F7" s="390" t="s">
        <v>24</v>
      </c>
      <c r="G7" s="400"/>
      <c r="I7" s="383" t="s">
        <v>73</v>
      </c>
      <c r="J7" s="383"/>
      <c r="K7" s="383"/>
      <c r="L7" s="383"/>
      <c r="N7" s="47" t="s">
        <v>58</v>
      </c>
    </row>
    <row r="8" spans="1:14" ht="27.6" x14ac:dyDescent="0.3">
      <c r="A8" s="35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383"/>
      <c r="J8" s="383"/>
      <c r="K8" s="383"/>
      <c r="L8" s="383"/>
      <c r="N8" s="47" t="s">
        <v>59</v>
      </c>
    </row>
    <row r="9" spans="1:14" ht="14.4" thickBot="1" x14ac:dyDescent="0.35">
      <c r="A9" s="353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4.4" thickBot="1" x14ac:dyDescent="0.35"/>
    <row r="11" spans="1:14" ht="13.8" customHeight="1" x14ac:dyDescent="0.3">
      <c r="A11" s="336" t="s">
        <v>60</v>
      </c>
      <c r="B11" s="3" t="s">
        <v>61</v>
      </c>
      <c r="C11" s="3" t="s">
        <v>62</v>
      </c>
      <c r="D11" s="32"/>
      <c r="E11" s="374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" customHeight="1" x14ac:dyDescent="0.3">
      <c r="A12" s="336"/>
      <c r="B12" s="41">
        <v>0</v>
      </c>
      <c r="C12" s="41">
        <v>0</v>
      </c>
      <c r="D12" s="32"/>
      <c r="E12" s="375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" customHeight="1" x14ac:dyDescent="0.3">
      <c r="A13" s="336"/>
      <c r="B13" s="41">
        <v>1</v>
      </c>
      <c r="C13" s="41">
        <v>0.75</v>
      </c>
      <c r="D13" s="32"/>
      <c r="E13" s="375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" customHeight="1" x14ac:dyDescent="0.3">
      <c r="A14" s="336"/>
      <c r="B14" s="41">
        <v>2</v>
      </c>
      <c r="C14" s="41">
        <v>0</v>
      </c>
      <c r="D14" s="32"/>
      <c r="E14" s="375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" customHeight="1" x14ac:dyDescent="0.3">
      <c r="A15" s="336"/>
      <c r="B15" s="41">
        <v>3</v>
      </c>
      <c r="C15" s="41">
        <v>-1</v>
      </c>
      <c r="D15" s="32"/>
      <c r="E15" s="375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" customHeight="1" x14ac:dyDescent="0.3">
      <c r="A16" s="336"/>
      <c r="B16" s="41">
        <v>4</v>
      </c>
      <c r="C16" s="41">
        <v>3</v>
      </c>
      <c r="D16" s="32"/>
      <c r="E16" s="375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3">
      <c r="A17" s="336"/>
      <c r="B17" s="42">
        <v>5</v>
      </c>
      <c r="C17" s="42">
        <v>3</v>
      </c>
      <c r="D17" s="40"/>
      <c r="E17" s="375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" customHeight="1" x14ac:dyDescent="0.3">
      <c r="A18" s="407" t="s">
        <v>74</v>
      </c>
      <c r="B18" s="408"/>
      <c r="C18" s="409"/>
      <c r="D18" s="33"/>
      <c r="E18" s="359" t="s">
        <v>75</v>
      </c>
      <c r="F18" s="359"/>
      <c r="G18" s="359"/>
      <c r="H18" s="359"/>
      <c r="I18" s="359"/>
      <c r="J18" s="359"/>
      <c r="K18" s="359"/>
      <c r="L18" s="359"/>
      <c r="M18" s="359"/>
    </row>
    <row r="19" spans="1:13" ht="35.4" customHeight="1" x14ac:dyDescent="0.3">
      <c r="A19" s="380"/>
      <c r="B19" s="381"/>
      <c r="C19" s="382"/>
      <c r="D19" s="33"/>
      <c r="E19" s="359"/>
      <c r="F19" s="359"/>
      <c r="G19" s="359"/>
      <c r="H19" s="359"/>
      <c r="I19" s="359"/>
      <c r="J19" s="359"/>
      <c r="K19" s="359"/>
      <c r="L19" s="359"/>
      <c r="M19" s="359"/>
    </row>
    <row r="21" spans="1:13" ht="14.4" thickBot="1" x14ac:dyDescent="0.35"/>
    <row r="22" spans="1:13" ht="16.8" customHeight="1" x14ac:dyDescent="0.3">
      <c r="A22" s="360" t="s">
        <v>34</v>
      </c>
      <c r="B22" s="21" t="s">
        <v>32</v>
      </c>
      <c r="C22" s="21" t="s">
        <v>31</v>
      </c>
      <c r="D22" s="15" t="s">
        <v>33</v>
      </c>
    </row>
    <row r="23" spans="1:13" ht="23.4" customHeight="1" thickBot="1" x14ac:dyDescent="0.35">
      <c r="A23" s="361"/>
      <c r="B23" s="12">
        <v>0</v>
      </c>
      <c r="C23" s="12">
        <v>5</v>
      </c>
      <c r="D23" s="26">
        <v>20</v>
      </c>
    </row>
    <row r="25" spans="1:13" x14ac:dyDescent="0.3">
      <c r="A25" s="336" t="s">
        <v>37</v>
      </c>
      <c r="B25" s="336"/>
    </row>
    <row r="26" spans="1:13" x14ac:dyDescent="0.3">
      <c r="A26" s="3" t="s">
        <v>35</v>
      </c>
      <c r="B26" s="3" t="s">
        <v>36</v>
      </c>
    </row>
    <row r="27" spans="1:13" x14ac:dyDescent="0.3">
      <c r="A27" s="2">
        <f>B23</f>
        <v>0</v>
      </c>
      <c r="B27" s="36">
        <f>csplinePred($B$12:$B$17,$C$12:$C$17,$F$12:$M$17,A27)</f>
        <v>0</v>
      </c>
    </row>
    <row r="28" spans="1:13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3">
      <c r="A30" s="2">
        <f t="shared" si="1"/>
        <v>0.75</v>
      </c>
      <c r="B30" s="36">
        <f t="shared" si="0"/>
        <v>0.65081115430622016</v>
      </c>
    </row>
    <row r="31" spans="1:13" x14ac:dyDescent="0.3">
      <c r="A31" s="2">
        <f t="shared" si="1"/>
        <v>1</v>
      </c>
      <c r="B31" s="36">
        <f t="shared" si="0"/>
        <v>0.75</v>
      </c>
    </row>
    <row r="32" spans="1:13" x14ac:dyDescent="0.3">
      <c r="A32" s="2">
        <f t="shared" si="1"/>
        <v>1.25</v>
      </c>
      <c r="B32" s="36">
        <f t="shared" si="0"/>
        <v>0.75005607057416268</v>
      </c>
    </row>
    <row r="33" spans="1:2" x14ac:dyDescent="0.3">
      <c r="A33" s="2">
        <f t="shared" si="1"/>
        <v>1.5</v>
      </c>
      <c r="B33" s="36">
        <f t="shared" si="0"/>
        <v>0.63471889952153115</v>
      </c>
    </row>
    <row r="34" spans="1:2" x14ac:dyDescent="0.3">
      <c r="A34" s="2">
        <f t="shared" si="1"/>
        <v>1.75</v>
      </c>
      <c r="B34" s="36">
        <f t="shared" si="0"/>
        <v>0.389522278708134</v>
      </c>
    </row>
    <row r="35" spans="1:2" x14ac:dyDescent="0.3">
      <c r="A35" s="2">
        <f t="shared" si="1"/>
        <v>2</v>
      </c>
      <c r="B35" s="36">
        <f t="shared" si="0"/>
        <v>0</v>
      </c>
    </row>
    <row r="36" spans="1:2" x14ac:dyDescent="0.3">
      <c r="A36" s="2">
        <f t="shared" si="1"/>
        <v>2.25</v>
      </c>
      <c r="B36" s="36">
        <f t="shared" si="0"/>
        <v>-0.51252242822966498</v>
      </c>
    </row>
    <row r="37" spans="1:2" x14ac:dyDescent="0.3">
      <c r="A37" s="2">
        <f t="shared" si="1"/>
        <v>2.5</v>
      </c>
      <c r="B37" s="36">
        <f t="shared" si="0"/>
        <v>-0.98355263157894723</v>
      </c>
    </row>
    <row r="38" spans="1:2" x14ac:dyDescent="0.3">
      <c r="A38" s="2">
        <f t="shared" si="1"/>
        <v>2.75</v>
      </c>
      <c r="B38" s="36">
        <f t="shared" si="0"/>
        <v>-1.2128065191387558</v>
      </c>
    </row>
    <row r="39" spans="1:2" x14ac:dyDescent="0.3">
      <c r="A39" s="2">
        <f>A38+(($C$23-$B$23)/$D$23)</f>
        <v>3</v>
      </c>
      <c r="B39" s="36">
        <f t="shared" si="0"/>
        <v>-1</v>
      </c>
    </row>
    <row r="40" spans="1:2" x14ac:dyDescent="0.3">
      <c r="A40" s="2">
        <f t="shared" si="1"/>
        <v>3.25</v>
      </c>
      <c r="B40" s="36">
        <f t="shared" si="0"/>
        <v>-0.22731010765550241</v>
      </c>
    </row>
    <row r="41" spans="1:2" x14ac:dyDescent="0.3">
      <c r="A41" s="2">
        <f t="shared" si="1"/>
        <v>3.5</v>
      </c>
      <c r="B41" s="36">
        <f t="shared" si="0"/>
        <v>0.89324162679425823</v>
      </c>
    </row>
    <row r="42" spans="1:2" x14ac:dyDescent="0.3">
      <c r="A42" s="2">
        <f t="shared" si="1"/>
        <v>3.75</v>
      </c>
      <c r="B42" s="36">
        <f t="shared" si="0"/>
        <v>2.0671725478468899</v>
      </c>
    </row>
    <row r="43" spans="1:2" x14ac:dyDescent="0.3">
      <c r="A43" s="2">
        <f t="shared" si="1"/>
        <v>4</v>
      </c>
      <c r="B43" s="36">
        <f t="shared" si="0"/>
        <v>3</v>
      </c>
    </row>
    <row r="44" spans="1:2" x14ac:dyDescent="0.3">
      <c r="A44" s="2">
        <f t="shared" si="1"/>
        <v>4.25</v>
      </c>
      <c r="B44" s="36">
        <f t="shared" si="0"/>
        <v>3.4686378588516744</v>
      </c>
    </row>
    <row r="45" spans="1:2" x14ac:dyDescent="0.3">
      <c r="A45" s="2">
        <f t="shared" si="1"/>
        <v>4.5</v>
      </c>
      <c r="B45" s="36">
        <f t="shared" si="0"/>
        <v>3.535586124401914</v>
      </c>
    </row>
    <row r="46" spans="1:2" x14ac:dyDescent="0.3">
      <c r="A46" s="2">
        <f>A45+(($C$23-$B$23)/$D$23)</f>
        <v>4.75</v>
      </c>
      <c r="B46" s="36">
        <f t="shared" si="0"/>
        <v>3.3347413277511961</v>
      </c>
    </row>
    <row r="47" spans="1:2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O42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384" width="8.88671875" style="1"/>
  </cols>
  <sheetData>
    <row r="1" spans="1:15" ht="14.4" thickBot="1" x14ac:dyDescent="0.35">
      <c r="A1" s="6" t="s">
        <v>0</v>
      </c>
      <c r="B1" s="1" t="s">
        <v>1</v>
      </c>
    </row>
    <row r="2" spans="1:15" x14ac:dyDescent="0.3">
      <c r="A2" s="7" t="s">
        <v>2</v>
      </c>
      <c r="B2" s="8" t="s">
        <v>106</v>
      </c>
      <c r="C2" s="9" t="s">
        <v>4</v>
      </c>
      <c r="D2" s="10" t="s">
        <v>6</v>
      </c>
      <c r="H2" s="68" t="s">
        <v>107</v>
      </c>
      <c r="I2" s="69"/>
      <c r="J2" s="69"/>
      <c r="K2" s="69"/>
      <c r="L2" s="70"/>
    </row>
    <row r="3" spans="1:15" ht="14.4" thickBot="1" x14ac:dyDescent="0.35">
      <c r="A3" s="94" t="s">
        <v>3</v>
      </c>
      <c r="B3" s="27" t="s">
        <v>108</v>
      </c>
      <c r="C3" s="6" t="s">
        <v>5</v>
      </c>
      <c r="D3" s="28" t="s">
        <v>7</v>
      </c>
      <c r="E3" s="6" t="s">
        <v>109</v>
      </c>
      <c r="F3" s="28" t="s">
        <v>110</v>
      </c>
    </row>
    <row r="4" spans="1:15" ht="15" customHeight="1" thickBot="1" x14ac:dyDescent="0.35">
      <c r="A4" s="29" t="s">
        <v>38</v>
      </c>
      <c r="B4" s="410" t="s">
        <v>111</v>
      </c>
      <c r="C4" s="410"/>
      <c r="D4" s="410"/>
      <c r="E4" s="410"/>
      <c r="F4" s="411"/>
      <c r="H4" s="1" t="s">
        <v>112</v>
      </c>
    </row>
    <row r="5" spans="1:15" x14ac:dyDescent="0.3">
      <c r="H5" s="1" t="s">
        <v>113</v>
      </c>
    </row>
    <row r="6" spans="1:15" ht="14.4" thickBot="1" x14ac:dyDescent="0.35">
      <c r="B6" s="78">
        <v>0.6</v>
      </c>
      <c r="C6" s="78">
        <v>1.3</v>
      </c>
    </row>
    <row r="7" spans="1:15" ht="27.6" customHeight="1" x14ac:dyDescent="0.3">
      <c r="A7" s="351" t="s">
        <v>8</v>
      </c>
      <c r="B7" s="354" t="s">
        <v>9</v>
      </c>
      <c r="C7" s="355"/>
      <c r="D7" s="389" t="s">
        <v>12</v>
      </c>
      <c r="E7" s="391"/>
      <c r="F7" s="390" t="s">
        <v>24</v>
      </c>
      <c r="G7" s="400"/>
    </row>
    <row r="8" spans="1:15" ht="27.6" x14ac:dyDescent="0.3">
      <c r="A8" s="352"/>
      <c r="B8" s="71" t="s">
        <v>10</v>
      </c>
      <c r="C8" s="17" t="s">
        <v>11</v>
      </c>
      <c r="D8" s="19" t="s">
        <v>20</v>
      </c>
      <c r="E8" s="17" t="s">
        <v>21</v>
      </c>
      <c r="F8" s="67" t="s">
        <v>22</v>
      </c>
      <c r="G8" s="4" t="s">
        <v>23</v>
      </c>
    </row>
    <row r="9" spans="1:15" ht="14.4" thickBot="1" x14ac:dyDescent="0.35">
      <c r="A9" s="353"/>
      <c r="B9" s="80">
        <f>B6*B12</f>
        <v>13460703.6</v>
      </c>
      <c r="C9" s="80">
        <f>C6*B12</f>
        <v>29164857.800000001</v>
      </c>
      <c r="D9" s="95">
        <f>F9</f>
        <v>22434506</v>
      </c>
      <c r="E9" s="96">
        <f>(($O$12/(1+EXP($M$12+$N$12*D9)))-1) - ($F$12-$C$12)</f>
        <v>135699.36912083253</v>
      </c>
      <c r="F9" s="80">
        <f>B12</f>
        <v>22434506</v>
      </c>
      <c r="G9" s="86">
        <f>C12</f>
        <v>135699.3691208323</v>
      </c>
    </row>
    <row r="10" spans="1:15" ht="14.4" thickBot="1" x14ac:dyDescent="0.35"/>
    <row r="11" spans="1:15" ht="51.6" customHeight="1" x14ac:dyDescent="0.3">
      <c r="A11" s="351" t="s">
        <v>15</v>
      </c>
      <c r="B11" s="72" t="s">
        <v>16</v>
      </c>
      <c r="C11" s="72" t="s">
        <v>17</v>
      </c>
      <c r="D11" s="72" t="s">
        <v>18</v>
      </c>
      <c r="E11" s="72" t="s">
        <v>19</v>
      </c>
      <c r="F11" s="15" t="s">
        <v>114</v>
      </c>
      <c r="H11" s="360" t="s">
        <v>25</v>
      </c>
      <c r="I11" s="72" t="s">
        <v>115</v>
      </c>
      <c r="J11" s="72" t="s">
        <v>116</v>
      </c>
      <c r="K11" s="72" t="s">
        <v>117</v>
      </c>
      <c r="L11" s="72" t="s">
        <v>118</v>
      </c>
      <c r="M11" s="72" t="s">
        <v>26</v>
      </c>
      <c r="N11" s="72" t="s">
        <v>27</v>
      </c>
      <c r="O11" s="15" t="s">
        <v>28</v>
      </c>
    </row>
    <row r="12" spans="1:15" ht="15" customHeight="1" thickBot="1" x14ac:dyDescent="0.35">
      <c r="A12" s="353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H12" s="361"/>
      <c r="I12" s="98">
        <f>F12-C12</f>
        <v>5029300.6308791675</v>
      </c>
      <c r="J12" s="98">
        <f>I12+E12</f>
        <v>5545800.6308791675</v>
      </c>
      <c r="K12" s="99">
        <f>B12</f>
        <v>22434506</v>
      </c>
      <c r="L12" s="98">
        <f>F12</f>
        <v>5165000</v>
      </c>
      <c r="M12" s="24">
        <f>LN((($J$12+1)/($I$12+1))-1)</f>
        <v>-2.2759611241153297</v>
      </c>
      <c r="N12" s="100">
        <f>(LN((($J$12+1)/($L$12+1))-1)-$M$12)/$K$12</f>
        <v>-1.4772934666486198E-8</v>
      </c>
      <c r="O12" s="101">
        <f>J12+1</f>
        <v>5545801.6308791675</v>
      </c>
    </row>
    <row r="13" spans="1:15" ht="34.200000000000003" customHeight="1" x14ac:dyDescent="0.3">
      <c r="A13" s="384" t="s">
        <v>119</v>
      </c>
      <c r="B13" s="385"/>
      <c r="C13" s="385"/>
      <c r="D13" s="385"/>
      <c r="E13" s="385"/>
      <c r="F13" s="386"/>
      <c r="H13" s="384" t="s">
        <v>120</v>
      </c>
      <c r="I13" s="385"/>
      <c r="J13" s="385"/>
      <c r="K13" s="385"/>
      <c r="L13" s="385"/>
      <c r="M13" s="385"/>
      <c r="N13" s="385"/>
      <c r="O13" s="386"/>
    </row>
    <row r="14" spans="1:15" ht="33.6" customHeight="1" x14ac:dyDescent="0.3">
      <c r="A14" s="380"/>
      <c r="B14" s="381"/>
      <c r="C14" s="381"/>
      <c r="D14" s="381"/>
      <c r="E14" s="381"/>
      <c r="F14" s="382"/>
      <c r="H14" s="380"/>
      <c r="I14" s="381"/>
      <c r="J14" s="381"/>
      <c r="K14" s="381"/>
      <c r="L14" s="381"/>
      <c r="M14" s="381"/>
      <c r="N14" s="381"/>
      <c r="O14" s="382"/>
    </row>
    <row r="16" spans="1:15" ht="14.4" thickBot="1" x14ac:dyDescent="0.35"/>
    <row r="17" spans="1:4" ht="16.8" customHeight="1" x14ac:dyDescent="0.3">
      <c r="A17" s="360" t="s">
        <v>34</v>
      </c>
      <c r="B17" s="72" t="s">
        <v>32</v>
      </c>
      <c r="C17" s="72" t="s">
        <v>31</v>
      </c>
      <c r="D17" s="15" t="s">
        <v>33</v>
      </c>
    </row>
    <row r="18" spans="1:4" ht="23.4" customHeight="1" thickBot="1" x14ac:dyDescent="0.35">
      <c r="A18" s="361"/>
      <c r="B18" s="102">
        <v>0</v>
      </c>
      <c r="C18" s="103">
        <v>200000000</v>
      </c>
      <c r="D18" s="26">
        <v>20</v>
      </c>
    </row>
    <row r="20" spans="1:4" x14ac:dyDescent="0.3">
      <c r="A20" s="336" t="s">
        <v>37</v>
      </c>
      <c r="B20" s="336"/>
    </row>
    <row r="21" spans="1:4" x14ac:dyDescent="0.3">
      <c r="A21" s="71" t="s">
        <v>35</v>
      </c>
      <c r="B21" s="71" t="s">
        <v>36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104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104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104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104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104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104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104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104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104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104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104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104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104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104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104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104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104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104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104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104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Charts - Idvl</vt:lpstr>
      <vt:lpstr>Charts - Idvl IRev</vt:lpstr>
      <vt:lpstr>Chart - Combined</vt:lpstr>
      <vt:lpstr>JJ_Notes_1</vt:lpstr>
      <vt:lpstr>Case Notes</vt:lpstr>
      <vt:lpstr>JJ_Optim_Scenario</vt:lpstr>
      <vt:lpstr>JANSample</vt:lpstr>
      <vt:lpstr>JMTSample</vt:lpstr>
      <vt:lpstr>TOTSample</vt:lpstr>
      <vt:lpstr>JJVCH</vt:lpstr>
      <vt:lpstr>JJMMF</vt:lpstr>
      <vt:lpstr>JJHCC</vt:lpstr>
      <vt:lpstr>JJMCM</vt:lpstr>
      <vt:lpstr>JJHCC_ACQ</vt:lpstr>
      <vt:lpstr>JJHCC_ADH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Merck &amp; Co., Inc.</cp:lastModifiedBy>
  <dcterms:created xsi:type="dcterms:W3CDTF">2013-03-17T16:17:06Z</dcterms:created>
  <dcterms:modified xsi:type="dcterms:W3CDTF">2013-05-11T17:36:18Z</dcterms:modified>
</cp:coreProperties>
</file>