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2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JJ_Notes_2" sheetId="39" r:id="rId5"/>
    <sheet name="Case Notes" sheetId="37" r:id="rId6"/>
    <sheet name="JJ_Optim_Scenario" sheetId="23" r:id="rId7"/>
    <sheet name="JANSample" sheetId="25" r:id="rId8"/>
    <sheet name="JMTSample" sheetId="26" r:id="rId9"/>
    <sheet name="TOTSample" sheetId="27" r:id="rId10"/>
    <sheet name="JJVCH" sheetId="29" r:id="rId11"/>
    <sheet name="JJMMF" sheetId="30" r:id="rId12"/>
    <sheet name="JJHCC" sheetId="31" r:id="rId13"/>
    <sheet name="JJMCM" sheetId="32" r:id="rId14"/>
    <sheet name="JJHCC_ACQ" sheetId="33" r:id="rId15"/>
    <sheet name="JJHCC_ADH" sheetId="34" r:id="rId16"/>
    <sheet name="Fn.Templates ==&gt;" sheetId="3" r:id="rId17"/>
    <sheet name="FT_SCurveEst" sheetId="2" r:id="rId18"/>
    <sheet name="FT_Equation" sheetId="4" r:id="rId19"/>
    <sheet name="FT_Interpolate" sheetId="5" r:id="rId20"/>
    <sheet name="FT_SCurve3Est" sheetId="13" r:id="rId21"/>
  </sheets>
  <functionGroups builtInGroupCount="17"/>
  <externalReferences>
    <externalReference r:id="rId22"/>
  </externalReferences>
  <definedNames>
    <definedName name="_xlnm.Print_Area" localSheetId="3">JJ_Notes_1!$A$70:$J$75</definedName>
    <definedName name="solver_adj" localSheetId="6" hidden="1">JJ_Optim_Scenario!$I$17:$I$24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JJ_Optim_Scenario!$I$17:$I$24</definedName>
    <definedName name="solver_lhs2" localSheetId="6" hidden="1">JJ_Optim_Scenario!$I$17:$I$24</definedName>
    <definedName name="solver_lhs3" localSheetId="6" hidden="1">JJ_Optim_Scenario!$I$25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nwt" localSheetId="6" hidden="1">1</definedName>
    <definedName name="solver_opt" localSheetId="6" hidden="1">JJ_Optim_Scenario!$B$9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2" localSheetId="6" hidden="1">3</definedName>
    <definedName name="solver_rel3" localSheetId="6" hidden="1">2</definedName>
    <definedName name="solver_rhs1" localSheetId="6" hidden="1">JJ_Optim_Scenario!$H$17:$H$24</definedName>
    <definedName name="solver_rhs2" localSheetId="6" hidden="1">JJ_Optim_Scenario!$G$17:$G$24</definedName>
    <definedName name="solver_rhs3" localSheetId="6" hidden="1">JJ_Optim_Scenario!$B$12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E19" i="37" l="1"/>
  <c r="D19" i="37"/>
  <c r="E18" i="37"/>
  <c r="E17" i="37"/>
  <c r="D17" i="37"/>
  <c r="D18" i="37"/>
  <c r="G12" i="39"/>
  <c r="F12" i="39"/>
  <c r="E12" i="39"/>
  <c r="G8" i="39"/>
  <c r="F8" i="39"/>
  <c r="E8" i="39"/>
  <c r="D11" i="39"/>
  <c r="C11" i="39"/>
  <c r="B11" i="39"/>
  <c r="F6" i="39"/>
  <c r="G6" i="39"/>
  <c r="E6" i="39"/>
  <c r="D22" i="37" l="1"/>
  <c r="E22" i="37"/>
  <c r="D21" i="37"/>
  <c r="D20" i="37"/>
  <c r="C19" i="37"/>
  <c r="C20" i="37"/>
  <c r="E20" i="37" s="1"/>
  <c r="G74" i="24"/>
  <c r="G75" i="24"/>
  <c r="G73" i="24"/>
  <c r="D74" i="24"/>
  <c r="D75" i="24"/>
  <c r="D73" i="24"/>
  <c r="G13" i="37"/>
  <c r="C24" i="37" l="1"/>
  <c r="C23" i="37"/>
  <c r="C22" i="37"/>
  <c r="C21" i="37"/>
  <c r="E21" i="37" s="1"/>
  <c r="B25" i="37"/>
  <c r="C25" i="37"/>
  <c r="G54" i="24"/>
  <c r="C26" i="37" l="1"/>
  <c r="C27" i="37"/>
  <c r="D25" i="37"/>
  <c r="E25" i="37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K40" i="23" l="1"/>
  <c r="M40" i="23" s="1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4" i="33"/>
  <c r="E34" i="33" s="1"/>
  <c r="B30" i="33"/>
  <c r="E30" i="33" s="1"/>
  <c r="B26" i="33"/>
  <c r="E26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B38" i="33"/>
  <c r="E38" i="33" s="1"/>
  <c r="B22" i="33"/>
  <c r="E22" i="3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1" i="30"/>
  <c r="B30" i="30"/>
  <c r="B32" i="30"/>
  <c r="H9" i="30"/>
  <c r="E9" i="30"/>
  <c r="C22" i="34" l="1"/>
  <c r="E22" i="34"/>
  <c r="F23" i="23"/>
  <c r="F40" i="23" s="1"/>
  <c r="G40" i="23" s="1"/>
  <c r="J9" i="33"/>
  <c r="D32" i="30"/>
  <c r="D30" i="30"/>
  <c r="D31" i="30"/>
  <c r="L21" i="23"/>
  <c r="N21" i="23" s="1"/>
  <c r="I40" i="23"/>
  <c r="J40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3" i="23" l="1"/>
  <c r="N23" i="23" s="1"/>
  <c r="L40" i="23"/>
  <c r="N40" i="23" s="1"/>
  <c r="D33" i="30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D34" i="30" l="1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1" i="5"/>
  <c r="B40" i="5"/>
  <c r="B29" i="5"/>
  <c r="B35" i="5"/>
  <c r="B27" i="5"/>
  <c r="B38" i="5"/>
  <c r="B44" i="5"/>
  <c r="E9" i="5"/>
  <c r="B36" i="5"/>
  <c r="B28" i="5"/>
  <c r="B41" i="5"/>
  <c r="B45" i="5"/>
  <c r="B43" i="5"/>
  <c r="B42" i="5"/>
  <c r="B37" i="5"/>
  <c r="B39" i="5"/>
  <c r="B46" i="5"/>
  <c r="B47" i="5"/>
  <c r="B34" i="5"/>
  <c r="B39" i="30"/>
  <c r="B33" i="5"/>
  <c r="B30" i="5"/>
  <c r="B32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<sst xmlns="http://schemas.openxmlformats.org/spreadsheetml/2006/main" count="1124" uniqueCount="322">
  <si>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</si>
  <si>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</si>
  <si>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</si>
  <si>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</si>
  <si>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</si>
  <si>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</si>
  <si>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</si>
  <si>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</si>
  <si>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</si>
  <si>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</si>
  <si>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</si>
  <si>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</si>
  <si>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</si>
  <si>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</si>
  <si>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</si>
  <si>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</si>
  <si>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</si>
  <si>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</si>
  <si>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</si>
  <si>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</si>
  <si>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</si>
  <si>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</si>
  <si>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</si>
  <si>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</si>
  <si>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</si>
  <si>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</si>
  <si>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</si>
  <si>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</si>
  <si>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</si>
  <si>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</si>
  <si>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</si>
  <si>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</si>
  <si>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</si>
  <si>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</si>
  <si>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</si>
  <si>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</si>
  <si>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</si>
  <si>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</si>
  <si>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</si>
  <si>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</si>
  <si>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</si>
  <si>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</si>
  <si>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</si>
  <si>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</si>
  <si>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</si>
  <si>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</si>
  <si>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</si>
  <si>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</si>
  <si>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</si>
  <si>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</si>
  <si>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</si>
  <si>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</si>
  <si>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</si>
  <si>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</si>
  <si>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</si>
  <si>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</si>
  <si>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</si>
  <si>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</si>
  <si>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</si>
  <si>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</si>
  <si>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</si>
  <si>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</si>
  <si>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</si>
  <si>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</si>
  <si>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</si>
  <si>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</si>
  <si>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</si>
  <si>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</si>
  <si>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</si>
  <si>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</si>
  <si>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</si>
  <si>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</si>
  <si>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</si>
  <si>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</si>
  <si>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</si>
  <si>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</si>
  <si>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</si>
  <si>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</si>
  <si>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</si>
  <si>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</si>
  <si>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</si>
  <si>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</si>
  <si>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</si>
  <si>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</si>
  <si>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</si>
  <si>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</si>
  <si>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</si>
  <si>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</si>
  <si>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</si>
  <si>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</si>
  <si>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</si>
  <si>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</si>
  <si>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</si>
  <si>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</si>
  <si>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</si>
  <si>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</si>
  <si>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</si>
  <si>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</si>
  <si>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</si>
  <si>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</si>
  <si>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</si>
  <si>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</si>
  <si>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</si>
  <si>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</si>
  <si>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</si>
  <si>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</si>
  <si>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</si>
  <si>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</si>
  <si>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</si>
  <si>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</si>
  <si>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</si>
  <si>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</si>
  <si>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</si>
  <si>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</si>
  <si>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</si>
  <si>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</si>
  <si>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</si>
  <si>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</si>
  <si>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</si>
  <si>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</si>
  <si>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</si>
  <si>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</si>
  <si>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</si>
  <si>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</si>
  <si>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</si>
  <si>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</si>
  <si>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</si>
  <si>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</si>
  <si>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</si>
  <si>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</si>
  <si>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</si>
  <si>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</si>
  <si>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</si>
  <si>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</si>
  <si>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</si>
  <si>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</si>
  <si>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</si>
  <si>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</si>
  <si>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</si>
  <si>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</si>
  <si>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</si>
  <si>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</si>
  <si>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</si>
  <si>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</si>
  <si>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</si>
  <si>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</si>
  <si>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</si>
  <si>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</si>
  <si>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</si>
  <si>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</si>
  <si>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</si>
  <si>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</si>
  <si>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</si>
  <si>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</si>
  <si>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</si>
  <si>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</si>
  <si>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</si>
  <si>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</si>
  <si>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</si>
  <si>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</si>
  <si>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</si>
  <si>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</si>
  <si>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</si>
  <si>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</si>
  <si>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</si>
  <si>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</si>
  <si>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</si>
  <si>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</si>
  <si>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</si>
  <si>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</si>
  <si>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</si>
  <si>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</si>
  <si>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</si>
  <si>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</si>
  <si>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</si>
  <si>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</si>
  <si>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</si>
  <si>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</si>
  <si>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</si>
  <si>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</si>
  <si>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</si>
  <si>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</si>
  <si>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</si>
  <si>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</si>
  <si>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</si>
  <si>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</si>
  <si>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</si>
  <si>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</si>
  <si>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</si>
  <si>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</si>
  <si>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</si>
  <si>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</si>
  <si>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</si>
  <si>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</si>
  <si>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</si>
  <si>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</si>
  <si>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</si>
  <si>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</si>
  <si>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</si>
  <si>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</si>
  <si>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</si>
  <si>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</si>
  <si>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</si>
  <si>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</si>
  <si>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</si>
  <si>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</si>
  <si>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</si>
  <si>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</si>
  <si>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</si>
  <si>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</si>
  <si>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</si>
  <si>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</si>
  <si>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</si>
  <si>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</si>
  <si>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</si>
  <si>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</si>
  <si>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</si>
  <si>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</si>
  <si>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</si>
  <si>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</si>
  <si>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</si>
  <si>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</si>
  <si>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Spend Category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</si>
  <si>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</si>
  <si>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</si>
  <si>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</si>
  <si>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</si>
  <si>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</si>
  <si>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</si>
  <si>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</si>
  <si>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</si>
  <si>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</si>
  <si>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</si>
  <si>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</si>
  <si>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</si>
  <si>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</si>
  <si>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</si>
  <si>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</si>
  <si>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</si>
  <si>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</si>
  <si>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</si>
  <si>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</si>
  <si>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</si>
  <si>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</si>
  <si>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</si>
  <si>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</si>
  <si>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</si>
  <si>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</si>
  <si>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</si>
  <si>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</si>
  <si>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</si>
  <si>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</si>
  <si>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</si>
  <si>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</si>
  <si>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</si>
  <si>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</si>
  <si>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</si>
  <si>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</si>
  <si>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</si>
  <si>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</si>
  <si>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</si>
  <si>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</si>
  <si>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</si>
  <si>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</si>
  <si>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</si>
  <si>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</si>
  <si>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</si>
  <si>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</si>
  <si>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</si>
  <si>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</si>
  <si>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</si>
  <si>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</si>
  <si>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</si>
  <si>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</si>
  <si>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</si>
  <si>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</si>
  <si>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Reference: Annualized 2011 S2 Spend (Growth period in terms of NRx)</t>
  </si>
  <si>
    <t>Yearly projection based on 2011-S2  vs. 2013</t>
  </si>
  <si>
    <t>2011_S2</t>
  </si>
  <si>
    <t>Yearly spend based on 2011 S2 spend levels</t>
  </si>
  <si>
    <t>Comparison of samples across various years</t>
  </si>
  <si>
    <t>Change ('12 vs '13)</t>
  </si>
  <si>
    <t>Change ('11 vs '12)</t>
  </si>
  <si>
    <t>Compared to 2011</t>
  </si>
  <si>
    <t>2013 JAN samples increased by ~25% to 30%</t>
  </si>
  <si>
    <t>2013 JMT samples decreased by ~15%</t>
  </si>
  <si>
    <t>Overall sample UNITS increased by ~10%</t>
  </si>
  <si>
    <t>Janumet + XR (no XR in 2011)</t>
  </si>
  <si>
    <r>
      <rPr>
        <b/>
        <u/>
        <sz val="11"/>
        <color theme="1"/>
        <rFont val="Calibri"/>
        <family val="2"/>
        <scheme val="minor"/>
      </rPr>
      <t>Sample 7 DOT</t>
    </r>
    <r>
      <rPr>
        <sz val="11"/>
        <color theme="1"/>
        <rFont val="Calibri"/>
        <family val="2"/>
        <scheme val="minor"/>
      </rPr>
      <t xml:space="preserve"> from Grail</t>
    </r>
  </si>
  <si>
    <r>
      <rPr>
        <b/>
        <u/>
        <sz val="11"/>
        <color theme="1"/>
        <rFont val="Calibri"/>
        <family val="2"/>
        <scheme val="minor"/>
      </rPr>
      <t>Sample UNITS</t>
    </r>
    <r>
      <rPr>
        <sz val="11"/>
        <color theme="1"/>
        <rFont val="Calibri"/>
        <family val="2"/>
        <scheme val="minor"/>
      </rPr>
      <t xml:space="preserve"> from Forecast (Gail Boyden)</t>
    </r>
  </si>
  <si>
    <t>Equivalent 2011-S2 Projected level.</t>
  </si>
  <si>
    <t>S2-11 level is less than curr level. MIN is 80% of curr. MAX is 10% more than curr.</t>
  </si>
  <si>
    <t>7DOT Samples</t>
  </si>
  <si>
    <t>Sample Units</t>
  </si>
  <si>
    <t>Budget ($)</t>
  </si>
  <si>
    <t>2013 Forecast</t>
  </si>
  <si>
    <t>Janumet XR</t>
  </si>
  <si>
    <t>Janumet Total</t>
  </si>
  <si>
    <t>NONE</t>
  </si>
  <si>
    <t>Difference (in %) ==&gt;</t>
  </si>
  <si>
    <t>Comment</t>
  </si>
  <si>
    <t>An overall MAX constraint of 20% would increase budget by $3MM which would support doubling Janumet IR.</t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</si>
  <si>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Small change in budgets. Units increased. DOT decreased. Hence, probably +20% MAX constraint is ok.</t>
    </r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</si>
  <si>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JMT budget reduced. Could be increased by 175% (~$2MM). Same with Units and DOT.</t>
    </r>
  </si>
  <si>
    <t>Janumet XR not launched in 2011.</t>
  </si>
  <si>
    <r>
      <t>In 2011-S2 based yearly projection, to produce 3,576,000 total JMT 7DOT samples with similar 2013 JMT / JMT XR split, the 2011 projected budget would be approximately (3,576,000 / 4,305,000) *$15,610,435 =</t>
    </r>
    <r>
      <rPr>
        <b/>
        <sz val="11"/>
        <color rgb="FFC00000"/>
        <rFont val="Calibri"/>
        <family val="2"/>
        <scheme val="minor"/>
      </rPr>
      <t xml:space="preserve"> $13 MM.</t>
    </r>
  </si>
  <si>
    <r>
      <t>Janumet IR</t>
    </r>
    <r>
      <rPr>
        <b/>
        <sz val="11"/>
        <color rgb="FF0000FF"/>
        <rFont val="Calibri"/>
        <family val="2"/>
        <scheme val="minor"/>
      </rPr>
      <t>*</t>
    </r>
  </si>
  <si>
    <t>Other notes,</t>
  </si>
  <si>
    <t>In calculating DOT of samples for Januvia in 2013, their sample pack changes from 28 tabs to 14 tabs from Feb 2013 onwards is considered.</t>
  </si>
  <si>
    <t>In 2013, Janmet IR has sample units with both 28 DOT and 14 DOT supplies. DOT of samples computation takes into acoount of this.</t>
  </si>
  <si>
    <t>In 2013, Janumet XR has only 14 DOT sample units.</t>
  </si>
  <si>
    <t xml:space="preserve"> * For numbers in blue,  actual values are multiplied by 1.5 as Nov/Dec 2011 had 0 samples and samples shipped in previous months would have been distributed throughout 2011-S2.</t>
  </si>
  <si>
    <r>
      <t>2011-S2 Projected to Yearly levels
[</t>
    </r>
    <r>
      <rPr>
        <sz val="11"/>
        <color theme="1"/>
        <rFont val="Calibri"/>
        <family val="2"/>
        <scheme val="minor"/>
      </rPr>
      <t>Jul/2011 to Dec/2011 numbers are aggregated and then doubled to compute the yearly level</t>
    </r>
    <r>
      <rPr>
        <b/>
        <sz val="11"/>
        <color theme="1"/>
        <rFont val="Calibri"/>
        <family val="2"/>
        <scheme val="minor"/>
      </rPr>
      <t>]</t>
    </r>
  </si>
  <si>
    <t>Considered same as current spend. Min and Max as specified by Marketing lead Chris Yothers</t>
  </si>
  <si>
    <t>Change --&gt;</t>
  </si>
  <si>
    <t>% Change  --&gt;</t>
  </si>
  <si>
    <t>S2-11 is similar to curr. Budget. MIN and MAX are curr. -20% and curr. +20% respectively.</t>
  </si>
  <si>
    <t>Equivalent S2-11 budget is slightly less than current to produce the total 2011-S2 projected DOT of samples. MIN and MAX are curr. -20% and curr. +20%. This may also support doubling of Janumet IR during 2013-S2.</t>
  </si>
  <si>
    <t>Assumed same level as current for S2-11. MIN and MAX are curr.-10% and curr.+10%.</t>
  </si>
  <si>
    <t>2011eq MMF spends are approximate. MIN is same as curr. Max is same as 2011-S2 (since it is much higher than curr)</t>
  </si>
  <si>
    <t>Assume S2-11 lvl of $36 MM represents consumer HCC only. MIN is same as curr. MAX is same as 2011-S2 (as it is much higher than current).</t>
  </si>
  <si>
    <r>
      <t xml:space="preserve">Total Spend Increases by about </t>
    </r>
    <r>
      <rPr>
        <b/>
        <sz val="11"/>
        <color theme="1"/>
        <rFont val="Calibri"/>
        <family val="2"/>
        <scheme val="minor"/>
      </rPr>
      <t>$9.89MM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</si>
</sst>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8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164" fontId="0" fillId="0" borderId="0" xfId="0" applyNumberFormat="1"/>
    <xf numFmtId="9" fontId="0" fillId="0" borderId="0" xfId="0" applyNumberFormat="1"/>
    <xf numFmtId="9" fontId="0" fillId="0" borderId="0" xfId="3" applyFont="1"/>
    <xf numFmtId="164" fontId="5" fillId="5" borderId="2" xfId="0" applyNumberFormat="1" applyFont="1" applyFill="1" applyBorder="1"/>
    <xf numFmtId="9" fontId="1" fillId="0" borderId="0" xfId="3" applyFont="1"/>
    <xf numFmtId="0" fontId="28" fillId="0" borderId="0" xfId="0" applyFont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0" fontId="38" fillId="0" borderId="0" xfId="0" applyFont="1"/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165" fontId="0" fillId="0" borderId="2" xfId="2" applyNumberFormat="1" applyFont="1" applyBorder="1"/>
    <xf numFmtId="0" fontId="0" fillId="9" borderId="12" xfId="0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 wrapText="1"/>
    </xf>
    <xf numFmtId="9" fontId="0" fillId="0" borderId="16" xfId="3" applyNumberFormat="1" applyFont="1" applyBorder="1"/>
    <xf numFmtId="0" fontId="0" fillId="9" borderId="86" xfId="0" applyFill="1" applyBorder="1" applyAlignment="1">
      <alignment horizontal="center" vertical="center"/>
    </xf>
    <xf numFmtId="165" fontId="0" fillId="0" borderId="22" xfId="2" applyNumberFormat="1" applyFont="1" applyBorder="1"/>
    <xf numFmtId="0" fontId="0" fillId="0" borderId="0" xfId="0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2" xfId="2" applyNumberFormat="1" applyFont="1" applyBorder="1" applyAlignment="1">
      <alignment vertical="center"/>
    </xf>
    <xf numFmtId="9" fontId="0" fillId="48" borderId="2" xfId="3" applyFont="1" applyFill="1" applyBorder="1"/>
    <xf numFmtId="0" fontId="28" fillId="9" borderId="16" xfId="0" applyFont="1" applyFill="1" applyBorder="1" applyAlignment="1">
      <alignment horizontal="center" vertical="center" wrapText="1"/>
    </xf>
    <xf numFmtId="164" fontId="0" fillId="0" borderId="16" xfId="4" applyNumberFormat="1" applyFont="1" applyBorder="1" applyAlignment="1">
      <alignment vertical="center"/>
    </xf>
    <xf numFmtId="0" fontId="28" fillId="9" borderId="22" xfId="0" applyFont="1" applyFill="1" applyBorder="1" applyAlignment="1">
      <alignment horizontal="center" vertical="center" wrapText="1"/>
    </xf>
    <xf numFmtId="165" fontId="0" fillId="0" borderId="22" xfId="2" applyNumberFormat="1" applyFont="1" applyBorder="1" applyAlignment="1">
      <alignment vertical="center"/>
    </xf>
    <xf numFmtId="9" fontId="0" fillId="48" borderId="22" xfId="3" applyFont="1" applyFill="1" applyBorder="1"/>
    <xf numFmtId="9" fontId="0" fillId="48" borderId="16" xfId="3" applyFont="1" applyFill="1" applyBorder="1"/>
    <xf numFmtId="165" fontId="51" fillId="0" borderId="22" xfId="2" applyNumberFormat="1" applyFont="1" applyBorder="1" applyAlignment="1">
      <alignment vertical="center"/>
    </xf>
    <xf numFmtId="165" fontId="51" fillId="0" borderId="2" xfId="2" applyNumberFormat="1" applyFont="1" applyBorder="1" applyAlignment="1">
      <alignment vertical="center"/>
    </xf>
    <xf numFmtId="164" fontId="51" fillId="0" borderId="16" xfId="4" applyNumberFormat="1" applyFont="1" applyBorder="1" applyAlignment="1">
      <alignment vertical="center"/>
    </xf>
    <xf numFmtId="0" fontId="51" fillId="0" borderId="0" xfId="0" applyFont="1"/>
    <xf numFmtId="0" fontId="28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8" fillId="42" borderId="2" xfId="0" applyFont="1" applyFill="1" applyBorder="1" applyAlignment="1">
      <alignment vertical="center"/>
    </xf>
    <xf numFmtId="0" fontId="0" fillId="0" borderId="0" xfId="0" applyAlignment="1"/>
    <xf numFmtId="164" fontId="28" fillId="42" borderId="2" xfId="0" applyNumberFormat="1" applyFont="1" applyFill="1" applyBorder="1" applyAlignment="1">
      <alignment vertical="center"/>
    </xf>
    <xf numFmtId="164" fontId="28" fillId="47" borderId="2" xfId="0" applyNumberFormat="1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2" xfId="0" applyBorder="1" applyAlignment="1">
      <alignment vertical="center" wrapText="1"/>
    </xf>
    <xf numFmtId="164" fontId="1" fillId="0" borderId="2" xfId="4" applyNumberFormat="1" applyFont="1" applyFill="1" applyBorder="1" applyAlignment="1">
      <alignment vertical="center"/>
    </xf>
    <xf numFmtId="164" fontId="54" fillId="0" borderId="2" xfId="4" applyNumberFormat="1" applyFont="1" applyBorder="1" applyAlignment="1">
      <alignment vertical="center"/>
    </xf>
    <xf numFmtId="164" fontId="0" fillId="0" borderId="2" xfId="0" applyNumberFormat="1" applyBorder="1" applyAlignment="1">
      <alignment vertical="center"/>
    </xf>
    <xf numFmtId="164" fontId="0" fillId="0" borderId="2" xfId="4" applyNumberFormat="1" applyFont="1" applyBorder="1" applyAlignment="1">
      <alignment vertical="center"/>
    </xf>
    <xf numFmtId="0" fontId="0" fillId="0" borderId="2" xfId="0" applyFont="1" applyBorder="1" applyAlignment="1">
      <alignment vertical="center" wrapText="1"/>
    </xf>
    <xf numFmtId="164" fontId="39" fillId="0" borderId="2" xfId="4" applyNumberFormat="1" applyFont="1" applyBorder="1" applyAlignment="1">
      <alignment vertical="center"/>
    </xf>
    <xf numFmtId="164" fontId="39" fillId="0" borderId="2" xfId="0" applyNumberFormat="1" applyFont="1" applyBorder="1" applyAlignment="1">
      <alignment vertical="center"/>
    </xf>
    <xf numFmtId="164" fontId="51" fillId="0" borderId="2" xfId="4" applyNumberFormat="1" applyFont="1" applyBorder="1" applyAlignment="1">
      <alignment vertical="center"/>
    </xf>
    <xf numFmtId="164" fontId="51" fillId="0" borderId="2" xfId="0" applyNumberFormat="1" applyFont="1" applyBorder="1" applyAlignment="1">
      <alignment vertical="center"/>
    </xf>
    <xf numFmtId="0" fontId="51" fillId="0" borderId="87" xfId="0" applyFont="1" applyBorder="1" applyAlignment="1">
      <alignment horizontal="left" vertical="center" wrapText="1"/>
    </xf>
    <xf numFmtId="0" fontId="51" fillId="0" borderId="42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44" borderId="1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0" fillId="9" borderId="1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34" fillId="48" borderId="2" xfId="0" applyFont="1" applyFill="1" applyBorder="1" applyAlignment="1">
      <alignment horizontal="right" vertical="center"/>
    </xf>
    <xf numFmtId="0" fontId="34" fillId="48" borderId="16" xfId="0" applyFont="1" applyFill="1" applyBorder="1" applyAlignment="1">
      <alignment horizontal="right" vertical="center"/>
    </xf>
    <xf numFmtId="0" fontId="0" fillId="48" borderId="2" xfId="0" applyFill="1" applyBorder="1" applyAlignment="1">
      <alignment horizontal="right" vertical="center"/>
    </xf>
    <xf numFmtId="0" fontId="0" fillId="48" borderId="16" xfId="0" applyFill="1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wrapText="1"/>
    </xf>
    <xf numFmtId="0" fontId="0" fillId="0" borderId="4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28" fillId="9" borderId="49" xfId="0" applyFont="1" applyFill="1" applyBorder="1" applyAlignment="1">
      <alignment horizontal="center" vertical="center" wrapText="1"/>
    </xf>
    <xf numFmtId="0" fontId="28" fillId="9" borderId="27" xfId="0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28" fillId="9" borderId="22" xfId="0" applyFont="1" applyFill="1" applyBorder="1" applyAlignment="1">
      <alignment horizontal="center" vertical="center" wrapText="1"/>
    </xf>
    <xf numFmtId="0" fontId="28" fillId="9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 wrapText="1"/>
    </xf>
    <xf numFmtId="0" fontId="0" fillId="42" borderId="2" xfId="0" applyFill="1" applyBorder="1" applyAlignment="1">
      <alignment horizontal="left" wrapText="1"/>
    </xf>
    <xf numFmtId="0" fontId="0" fillId="0" borderId="48" xfId="0" applyBorder="1" applyAlignment="1">
      <alignment horizontal="center"/>
    </xf>
    <xf numFmtId="0" fontId="0" fillId="0" borderId="0" xfId="0" applyBorder="1" applyAlignment="1">
      <alignment horizontal="center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86496"/>
        <c:axId val="339005440"/>
      </c:scatterChart>
      <c:valAx>
        <c:axId val="338986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005440"/>
        <c:crosses val="autoZero"/>
        <c:crossBetween val="midCat"/>
        <c:dispUnits>
          <c:builtInUnit val="thousands"/>
        </c:dispUnits>
      </c:valAx>
      <c:valAx>
        <c:axId val="339005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89864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204800"/>
        <c:axId val="342207104"/>
      </c:scatterChart>
      <c:valAx>
        <c:axId val="34220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2207104"/>
        <c:crosses val="autoZero"/>
        <c:crossBetween val="midCat"/>
        <c:dispUnits>
          <c:builtInUnit val="thousands"/>
        </c:dispUnits>
      </c:valAx>
      <c:valAx>
        <c:axId val="342207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204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14688"/>
        <c:axId val="342521344"/>
      </c:scatterChart>
      <c:valAx>
        <c:axId val="342514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2521344"/>
        <c:crosses val="autoZero"/>
        <c:crossBetween val="midCat"/>
        <c:dispUnits>
          <c:builtInUnit val="thousands"/>
        </c:dispUnits>
      </c:valAx>
      <c:valAx>
        <c:axId val="342521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514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56032"/>
        <c:axId val="342574976"/>
      </c:scatterChart>
      <c:valAx>
        <c:axId val="342556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2574976"/>
        <c:crosses val="autoZero"/>
        <c:crossBetween val="midCat"/>
        <c:dispUnits>
          <c:builtInUnit val="thousands"/>
        </c:dispUnits>
      </c:valAx>
      <c:valAx>
        <c:axId val="342574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5560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41280"/>
        <c:axId val="342656128"/>
      </c:scatterChart>
      <c:valAx>
        <c:axId val="342641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656128"/>
        <c:crosses val="autoZero"/>
        <c:crossBetween val="midCat"/>
        <c:dispUnits>
          <c:builtInUnit val="thousands"/>
        </c:dispUnits>
      </c:valAx>
      <c:valAx>
        <c:axId val="34265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6412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04256"/>
        <c:axId val="342315008"/>
      </c:scatterChart>
      <c:valAx>
        <c:axId val="342304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315008"/>
        <c:crosses val="autoZero"/>
        <c:crossBetween val="midCat"/>
        <c:dispUnits>
          <c:builtInUnit val="thousands"/>
        </c:dispUnits>
      </c:valAx>
      <c:valAx>
        <c:axId val="34231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3042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64544"/>
        <c:axId val="342366848"/>
      </c:scatterChart>
      <c:valAx>
        <c:axId val="342364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366848"/>
        <c:crosses val="autoZero"/>
        <c:crossBetween val="midCat"/>
        <c:dispUnits>
          <c:builtInUnit val="thousands"/>
        </c:dispUnits>
      </c:valAx>
      <c:valAx>
        <c:axId val="342366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364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47616"/>
        <c:axId val="342458368"/>
      </c:scatterChart>
      <c:valAx>
        <c:axId val="3424476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458368"/>
        <c:crosses val="autoZero"/>
        <c:crossBetween val="midCat"/>
        <c:dispUnits>
          <c:builtInUnit val="thousands"/>
        </c:dispUnits>
      </c:valAx>
      <c:valAx>
        <c:axId val="34245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4476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12448"/>
        <c:axId val="340314368"/>
      </c:scatterChart>
      <c:valAx>
        <c:axId val="340312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0314368"/>
        <c:crosses val="autoZero"/>
        <c:crossBetween val="midCat"/>
        <c:dispUnits>
          <c:builtInUnit val="millions"/>
        </c:dispUnits>
      </c:valAx>
      <c:valAx>
        <c:axId val="3403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03124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80288"/>
        <c:axId val="340386944"/>
      </c:scatterChart>
      <c:valAx>
        <c:axId val="340380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0386944"/>
        <c:crosses val="autoZero"/>
        <c:crossBetween val="midCat"/>
        <c:dispUnits>
          <c:builtInUnit val="millions"/>
        </c:dispUnits>
      </c:valAx>
      <c:valAx>
        <c:axId val="340386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03802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93376"/>
        <c:axId val="342695936"/>
      </c:scatterChart>
      <c:valAx>
        <c:axId val="342693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2695936"/>
        <c:crosses val="autoZero"/>
        <c:crossBetween val="midCat"/>
        <c:dispUnits>
          <c:builtInUnit val="millions"/>
        </c:dispUnits>
      </c:valAx>
      <c:valAx>
        <c:axId val="34269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26933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745472"/>
        <c:axId val="342747776"/>
      </c:scatterChart>
      <c:valAx>
        <c:axId val="342745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2747776"/>
        <c:crosses val="autoZero"/>
        <c:crossBetween val="midCat"/>
        <c:dispUnits>
          <c:builtInUnit val="millions"/>
        </c:dispUnits>
      </c:valAx>
      <c:valAx>
        <c:axId val="342747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3427454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215515016.48603612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780928"/>
        <c:axId val="342795776"/>
      </c:scatterChart>
      <c:valAx>
        <c:axId val="3427809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2795776"/>
        <c:crosses val="autoZero"/>
        <c:crossBetween val="midCat"/>
        <c:dispUnits>
          <c:builtInUnit val="millions"/>
        </c:dispUnits>
      </c:valAx>
      <c:valAx>
        <c:axId val="34279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27809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160128"/>
        <c:axId val="344179072"/>
      </c:scatterChart>
      <c:valAx>
        <c:axId val="344160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4179072"/>
        <c:crosses val="autoZero"/>
        <c:crossBetween val="midCat"/>
        <c:dispUnits>
          <c:builtInUnit val="millions"/>
        </c:dispUnits>
      </c:valAx>
      <c:valAx>
        <c:axId val="34417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41601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674496"/>
        <c:axId val="345676800"/>
      </c:scatterChart>
      <c:valAx>
        <c:axId val="345674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5676800"/>
        <c:crosses val="autoZero"/>
        <c:crossBetween val="midCat"/>
        <c:dispUnits>
          <c:builtInUnit val="millions"/>
        </c:dispUnits>
      </c:valAx>
      <c:valAx>
        <c:axId val="345676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56744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87776"/>
        <c:axId val="345806720"/>
      </c:scatterChart>
      <c:valAx>
        <c:axId val="345787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5806720"/>
        <c:crosses val="autoZero"/>
        <c:crossBetween val="midCat"/>
        <c:dispUnits>
          <c:builtInUnit val="millions"/>
        </c:dispUnits>
      </c:valAx>
      <c:valAx>
        <c:axId val="34580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57877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7.2115384615384609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 Media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496960"/>
        <c:axId val="345504000"/>
      </c:scatterChart>
      <c:valAx>
        <c:axId val="345496960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Pre-tax Promotion Type Spend (in MM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5504000"/>
        <c:crosses val="autoZero"/>
        <c:crossBetween val="midCat"/>
        <c:dispUnits>
          <c:builtInUnit val="millions"/>
        </c:dispUnits>
      </c:valAx>
      <c:valAx>
        <c:axId val="34550400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45496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31840"/>
        <c:axId val="346142976"/>
      </c:scatterChart>
      <c:valAx>
        <c:axId val="346131840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346142976"/>
        <c:crosses val="autoZero"/>
        <c:crossBetween val="midCat"/>
        <c:dispUnits>
          <c:builtInUnit val="thousands"/>
        </c:dispUnits>
      </c:valAx>
      <c:valAx>
        <c:axId val="34614297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461318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215515016.48603612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585536"/>
        <c:axId val="347341568"/>
      </c:scatterChart>
      <c:valAx>
        <c:axId val="347585536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7341568"/>
        <c:crosses val="autoZero"/>
        <c:crossBetween val="midCat"/>
        <c:dispUnits>
          <c:builtInUnit val="millions"/>
        </c:dispUnits>
      </c:valAx>
      <c:valAx>
        <c:axId val="347341568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758553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215515016.48603612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86848"/>
        <c:axId val="347493888"/>
      </c:scatterChart>
      <c:valAx>
        <c:axId val="347486848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7493888"/>
        <c:crosses val="autoZero"/>
        <c:crossBetween val="midCat"/>
        <c:dispUnits>
          <c:builtInUnit val="millions"/>
        </c:dispUnits>
      </c:valAx>
      <c:valAx>
        <c:axId val="347493888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74868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608960"/>
        <c:axId val="347619712"/>
      </c:scatterChart>
      <c:valAx>
        <c:axId val="347608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7619712"/>
        <c:crosses val="autoZero"/>
        <c:crossBetween val="midCat"/>
        <c:dispUnits>
          <c:builtInUnit val="thousands"/>
        </c:dispUnits>
      </c:valAx>
      <c:valAx>
        <c:axId val="347619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608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665920"/>
        <c:axId val="347680768"/>
      </c:scatterChart>
      <c:valAx>
        <c:axId val="34766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7680768"/>
        <c:crosses val="autoZero"/>
        <c:crossBetween val="midCat"/>
        <c:dispUnits>
          <c:builtInUnit val="thousands"/>
        </c:dispUnits>
      </c:valAx>
      <c:valAx>
        <c:axId val="34768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665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00480"/>
        <c:axId val="348115328"/>
      </c:scatterChart>
      <c:valAx>
        <c:axId val="348100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115328"/>
        <c:crosses val="autoZero"/>
        <c:crossBetween val="midCat"/>
        <c:dispUnits>
          <c:builtInUnit val="thousands"/>
        </c:dispUnits>
      </c:valAx>
      <c:valAx>
        <c:axId val="34811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1004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65632"/>
        <c:axId val="348172288"/>
      </c:scatterChart>
      <c:valAx>
        <c:axId val="348165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172288"/>
        <c:crosses val="autoZero"/>
        <c:crossBetween val="midCat"/>
        <c:dispUnits>
          <c:builtInUnit val="thousands"/>
        </c:dispUnits>
      </c:valAx>
      <c:valAx>
        <c:axId val="348172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1656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42432"/>
        <c:axId val="347861376"/>
      </c:scatterChart>
      <c:valAx>
        <c:axId val="3478424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7861376"/>
        <c:crosses val="autoZero"/>
        <c:crossBetween val="midCat"/>
        <c:dispUnits>
          <c:builtInUnit val="thousands"/>
        </c:dispUnits>
      </c:valAx>
      <c:valAx>
        <c:axId val="347861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8424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973120"/>
        <c:axId val="347983872"/>
      </c:scatterChart>
      <c:valAx>
        <c:axId val="347973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7983872"/>
        <c:crosses val="autoZero"/>
        <c:crossBetween val="midCat"/>
        <c:dispUnits>
          <c:builtInUnit val="thousands"/>
        </c:dispUnits>
      </c:valAx>
      <c:valAx>
        <c:axId val="347983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973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211072"/>
        <c:axId val="348238208"/>
      </c:scatterChart>
      <c:valAx>
        <c:axId val="3482110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238208"/>
        <c:crosses val="autoZero"/>
        <c:crossBetween val="midCat"/>
        <c:dispUnits>
          <c:builtInUnit val="thousands"/>
        </c:dispUnits>
      </c:valAx>
      <c:valAx>
        <c:axId val="34823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2110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20288"/>
        <c:axId val="348631040"/>
      </c:scatterChart>
      <c:valAx>
        <c:axId val="348620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631040"/>
        <c:crosses val="autoZero"/>
        <c:crossBetween val="midCat"/>
        <c:dispUnits>
          <c:builtInUnit val="thousands"/>
        </c:dispUnits>
      </c:valAx>
      <c:valAx>
        <c:axId val="348631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6202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366720"/>
        <c:axId val="348373376"/>
      </c:scatterChart>
      <c:valAx>
        <c:axId val="348366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373376"/>
        <c:crosses val="autoZero"/>
        <c:crossBetween val="midCat"/>
        <c:dispUnits>
          <c:builtInUnit val="thousands"/>
        </c:dispUnits>
      </c:valAx>
      <c:valAx>
        <c:axId val="348373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366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571136"/>
        <c:axId val="348577792"/>
      </c:scatterChart>
      <c:valAx>
        <c:axId val="348571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577792"/>
        <c:crosses val="autoZero"/>
        <c:crossBetween val="midCat"/>
        <c:dispUnits>
          <c:builtInUnit val="thousands"/>
        </c:dispUnits>
      </c:valAx>
      <c:valAx>
        <c:axId val="348577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5711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2222619.0877316603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086848"/>
        <c:axId val="349089152"/>
      </c:scatterChart>
      <c:valAx>
        <c:axId val="349086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089152"/>
        <c:crosses val="autoZero"/>
        <c:crossBetween val="midCat"/>
        <c:dispUnits>
          <c:builtInUnit val="thousands"/>
        </c:dispUnits>
      </c:valAx>
      <c:valAx>
        <c:axId val="349089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086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34168776.158782162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192768.3510608552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147904"/>
        <c:axId val="349150208"/>
      </c:scatterChart>
      <c:valAx>
        <c:axId val="349147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150208"/>
        <c:crosses val="autoZero"/>
        <c:crossBetween val="midCat"/>
        <c:dispUnits>
          <c:builtInUnit val="thousands"/>
        </c:dispUnits>
      </c:valAx>
      <c:valAx>
        <c:axId val="34915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147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278976"/>
        <c:axId val="349281280"/>
      </c:scatterChart>
      <c:valAx>
        <c:axId val="349278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281280"/>
        <c:crosses val="autoZero"/>
        <c:crossBetween val="midCat"/>
        <c:dispUnits>
          <c:builtInUnit val="thousands"/>
        </c:dispUnits>
      </c:valAx>
      <c:valAx>
        <c:axId val="349281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278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815744"/>
        <c:axId val="348818048"/>
      </c:scatterChart>
      <c:valAx>
        <c:axId val="348815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8818048"/>
        <c:crosses val="autoZero"/>
        <c:crossBetween val="midCat"/>
        <c:dispUnits>
          <c:builtInUnit val="thousands"/>
        </c:dispUnits>
      </c:valAx>
      <c:valAx>
        <c:axId val="34881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815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008256"/>
        <c:axId val="349010560"/>
      </c:scatterChart>
      <c:valAx>
        <c:axId val="349008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010560"/>
        <c:crosses val="autoZero"/>
        <c:crossBetween val="midCat"/>
        <c:dispUnits>
          <c:builtInUnit val="thousands"/>
        </c:dispUnits>
      </c:valAx>
      <c:valAx>
        <c:axId val="349010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0082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343744"/>
        <c:axId val="349346048"/>
      </c:scatterChart>
      <c:valAx>
        <c:axId val="349343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346048"/>
        <c:crosses val="autoZero"/>
        <c:crossBetween val="midCat"/>
        <c:dispUnits>
          <c:builtInUnit val="thousands"/>
        </c:dispUnits>
      </c:valAx>
      <c:valAx>
        <c:axId val="34934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343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75520"/>
        <c:axId val="349677824"/>
      </c:scatterChart>
      <c:valAx>
        <c:axId val="349675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9677824"/>
        <c:crosses val="autoZero"/>
        <c:crossBetween val="midCat"/>
        <c:dispUnits>
          <c:builtInUnit val="thousands"/>
        </c:dispUnits>
      </c:valAx>
      <c:valAx>
        <c:axId val="349677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675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24736"/>
        <c:axId val="349526656"/>
      </c:scatterChart>
      <c:valAx>
        <c:axId val="349524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526656"/>
        <c:crosses val="autoZero"/>
        <c:crossBetween val="midCat"/>
      </c:valAx>
      <c:valAx>
        <c:axId val="34952665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5247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30848"/>
        <c:axId val="349632768"/>
      </c:scatterChart>
      <c:valAx>
        <c:axId val="349630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632768"/>
        <c:crosses val="autoZero"/>
        <c:crossBetween val="midCat"/>
      </c:valAx>
      <c:valAx>
        <c:axId val="34963276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630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66336"/>
        <c:axId val="349968256"/>
      </c:scatterChart>
      <c:valAx>
        <c:axId val="349966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968256"/>
        <c:crosses val="autoZero"/>
        <c:crossBetween val="midCat"/>
      </c:valAx>
      <c:valAx>
        <c:axId val="34996825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9663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121984"/>
        <c:axId val="350124288"/>
      </c:scatterChart>
      <c:valAx>
        <c:axId val="350121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124288"/>
        <c:crosses val="autoZero"/>
        <c:crossBetween val="midCat"/>
        <c:dispUnits>
          <c:builtInUnit val="millions"/>
        </c:dispUnits>
      </c:valAx>
      <c:valAx>
        <c:axId val="35012428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1219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topLeftCell="A13" workbookViewId="0">
      <selection activeCell="L27" sqref="L27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2:AL76"/>
  <sheetViews>
    <sheetView topLeftCell="A70" workbookViewId="0">
      <selection activeCell="A53" sqref="A53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6" max="6" width="12.5546875" bestFit="1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74" t="s">
        <v>191</v>
      </c>
      <c r="E6" s="374"/>
      <c r="F6" s="374" t="s">
        <v>183</v>
      </c>
      <c r="G6" s="374"/>
      <c r="H6" s="374"/>
      <c r="I6" s="374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70" t="s">
        <v>194</v>
      </c>
      <c r="D20" s="370"/>
      <c r="E20" s="370"/>
      <c r="F20" s="370" t="s">
        <v>195</v>
      </c>
      <c r="G20" s="370"/>
      <c r="H20" s="370"/>
      <c r="I20" s="370" t="s">
        <v>196</v>
      </c>
      <c r="J20" s="370"/>
      <c r="K20" s="192" t="s">
        <v>197</v>
      </c>
      <c r="L20" s="187"/>
      <c r="M20" s="189" t="s">
        <v>198</v>
      </c>
      <c r="N20" s="187"/>
      <c r="O20" s="370" t="s">
        <v>194</v>
      </c>
      <c r="P20" s="370"/>
      <c r="Q20" s="370"/>
      <c r="R20" s="370" t="s">
        <v>195</v>
      </c>
      <c r="S20" s="370"/>
      <c r="T20" s="370"/>
      <c r="U20" s="370" t="s">
        <v>196</v>
      </c>
      <c r="V20" s="370"/>
      <c r="W20" s="192" t="s">
        <v>197</v>
      </c>
      <c r="X20" s="187"/>
      <c r="Y20" s="189" t="s">
        <v>199</v>
      </c>
      <c r="Z20" s="187"/>
      <c r="AA20" s="360" t="s">
        <v>200</v>
      </c>
      <c r="AB20" s="361"/>
      <c r="AC20" s="362"/>
      <c r="AD20" s="360" t="s">
        <v>201</v>
      </c>
      <c r="AE20" s="362"/>
      <c r="AF20" s="212"/>
      <c r="AG20" s="363" t="s">
        <v>202</v>
      </c>
      <c r="AH20" s="364"/>
      <c r="AI20" s="364"/>
      <c r="AJ20" s="364"/>
      <c r="AK20" s="364"/>
      <c r="AL20" s="365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66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67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67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67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67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67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67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67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68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69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67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67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67"/>
      <c r="Z34" s="255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67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67"/>
      <c r="Z36" s="255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67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67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68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276</v>
      </c>
    </row>
    <row r="43" spans="1:38" x14ac:dyDescent="0.3">
      <c r="A43" s="302" t="s">
        <v>277</v>
      </c>
      <c r="B43" s="300"/>
      <c r="C43" s="300"/>
      <c r="D43" s="300"/>
      <c r="E43" s="300"/>
      <c r="F43" s="300"/>
    </row>
    <row r="44" spans="1:38" ht="41.4" x14ac:dyDescent="0.3">
      <c r="A44" s="301" t="s">
        <v>222</v>
      </c>
      <c r="B44" s="301" t="s">
        <v>278</v>
      </c>
      <c r="C44" s="301" t="s">
        <v>279</v>
      </c>
      <c r="D44" s="301" t="s">
        <v>223</v>
      </c>
      <c r="E44" s="301" t="s">
        <v>224</v>
      </c>
      <c r="F44" s="301" t="s">
        <v>225</v>
      </c>
    </row>
    <row r="45" spans="1:38" x14ac:dyDescent="0.3">
      <c r="A45" s="251" t="s">
        <v>226</v>
      </c>
      <c r="B45" s="303">
        <v>3501577</v>
      </c>
      <c r="C45" s="303">
        <v>7003154</v>
      </c>
      <c r="D45" s="303">
        <v>5111928</v>
      </c>
      <c r="E45" s="303">
        <v>-1891226</v>
      </c>
      <c r="F45" s="305">
        <v>-0.27</v>
      </c>
    </row>
    <row r="46" spans="1:38" x14ac:dyDescent="0.3">
      <c r="A46" s="251" t="s">
        <v>227</v>
      </c>
      <c r="B46" s="303">
        <v>18052530</v>
      </c>
      <c r="C46" s="303">
        <v>36105060</v>
      </c>
      <c r="D46" s="303">
        <v>40058044</v>
      </c>
      <c r="E46" s="303">
        <v>3952984</v>
      </c>
      <c r="F46" s="305">
        <v>0.11</v>
      </c>
    </row>
    <row r="47" spans="1:38" x14ac:dyDescent="0.3">
      <c r="A47" s="254" t="s">
        <v>228</v>
      </c>
      <c r="B47" s="303">
        <v>18405848</v>
      </c>
      <c r="C47" s="303">
        <v>36811696</v>
      </c>
      <c r="D47" s="303">
        <v>25228000</v>
      </c>
      <c r="E47" s="303">
        <v>-11583696</v>
      </c>
      <c r="F47" s="305">
        <v>-0.31</v>
      </c>
      <c r="G47" t="s">
        <v>108</v>
      </c>
    </row>
    <row r="48" spans="1:38" x14ac:dyDescent="0.3">
      <c r="A48" s="254" t="s">
        <v>229</v>
      </c>
      <c r="B48" s="303">
        <v>2247994</v>
      </c>
      <c r="C48" s="303">
        <v>4495988</v>
      </c>
      <c r="D48" s="303">
        <v>7242494</v>
      </c>
      <c r="E48" s="303">
        <v>2746506</v>
      </c>
      <c r="F48" s="305">
        <v>0.61</v>
      </c>
      <c r="G48" t="s">
        <v>96</v>
      </c>
    </row>
    <row r="49" spans="1:7" x14ac:dyDescent="0.3">
      <c r="A49" s="251" t="s">
        <v>230</v>
      </c>
      <c r="B49" s="303">
        <v>0</v>
      </c>
      <c r="C49" s="303">
        <v>0</v>
      </c>
      <c r="D49" s="303">
        <v>0</v>
      </c>
      <c r="E49" s="303">
        <v>0</v>
      </c>
      <c r="F49" s="305"/>
    </row>
    <row r="50" spans="1:7" x14ac:dyDescent="0.3">
      <c r="A50" s="254" t="s">
        <v>231</v>
      </c>
      <c r="B50" s="303">
        <v>3630286</v>
      </c>
      <c r="C50" s="303">
        <v>7260572</v>
      </c>
      <c r="D50" s="303">
        <v>5155000</v>
      </c>
      <c r="E50" s="303">
        <v>-2105572</v>
      </c>
      <c r="F50" s="305">
        <v>-0.28999999999999998</v>
      </c>
      <c r="G50" t="s">
        <v>94</v>
      </c>
    </row>
    <row r="51" spans="1:7" x14ac:dyDescent="0.3">
      <c r="A51" s="254" t="s">
        <v>232</v>
      </c>
      <c r="B51" s="303">
        <v>2397883</v>
      </c>
      <c r="C51" s="303">
        <v>4795766</v>
      </c>
      <c r="D51" s="303">
        <v>7077000</v>
      </c>
      <c r="E51" s="303">
        <v>2281234</v>
      </c>
      <c r="F51" s="305">
        <v>0.48</v>
      </c>
      <c r="G51" t="s">
        <v>95</v>
      </c>
    </row>
    <row r="52" spans="1:7" x14ac:dyDescent="0.3">
      <c r="A52" s="254" t="s">
        <v>233</v>
      </c>
      <c r="B52" s="303">
        <v>5291870</v>
      </c>
      <c r="C52" s="303">
        <v>10583740</v>
      </c>
      <c r="D52" s="303">
        <v>21601934</v>
      </c>
      <c r="E52" s="303">
        <v>11018194</v>
      </c>
      <c r="F52" s="305">
        <v>1.04</v>
      </c>
      <c r="G52" t="s">
        <v>93</v>
      </c>
    </row>
    <row r="53" spans="1:7" x14ac:dyDescent="0.3">
      <c r="A53" s="251" t="s">
        <v>234</v>
      </c>
      <c r="B53" s="303">
        <v>2027584</v>
      </c>
      <c r="C53" s="303">
        <v>4055168</v>
      </c>
      <c r="D53" s="303">
        <v>0</v>
      </c>
      <c r="E53" s="303">
        <v>-4055168</v>
      </c>
      <c r="F53" s="305">
        <v>-1</v>
      </c>
    </row>
    <row r="54" spans="1:7" ht="15" thickBot="1" x14ac:dyDescent="0.35">
      <c r="A54" s="252" t="s">
        <v>103</v>
      </c>
      <c r="B54" s="304">
        <v>55555572</v>
      </c>
      <c r="C54" s="306">
        <v>111111144</v>
      </c>
      <c r="D54" s="306">
        <v>111474400</v>
      </c>
      <c r="E54" s="306">
        <v>363256</v>
      </c>
      <c r="F54" s="307">
        <v>0</v>
      </c>
      <c r="G54" s="293">
        <f>C47+C48+C50+C51+C52</f>
        <v>63947762</v>
      </c>
    </row>
    <row r="55" spans="1:7" ht="15" thickTop="1" x14ac:dyDescent="0.3">
      <c r="A55" s="253"/>
      <c r="B55" s="248"/>
      <c r="C55" s="248"/>
      <c r="D55" s="248"/>
      <c r="E55" s="248"/>
      <c r="F55" s="248"/>
    </row>
    <row r="56" spans="1:7" ht="41.4" x14ac:dyDescent="0.3">
      <c r="A56" s="250" t="s">
        <v>222</v>
      </c>
      <c r="B56" s="309" t="s">
        <v>278</v>
      </c>
      <c r="C56" s="309" t="s">
        <v>279</v>
      </c>
      <c r="D56" s="309" t="s">
        <v>223</v>
      </c>
      <c r="E56" s="309" t="s">
        <v>224</v>
      </c>
      <c r="F56" s="309" t="s">
        <v>225</v>
      </c>
    </row>
    <row r="57" spans="1:7" x14ac:dyDescent="0.3">
      <c r="A57" s="251" t="s">
        <v>226</v>
      </c>
      <c r="B57" s="310">
        <v>1386967</v>
      </c>
      <c r="C57" s="312">
        <v>0.06</v>
      </c>
      <c r="D57" s="312">
        <v>0.05</v>
      </c>
      <c r="E57" s="312">
        <v>-0.02</v>
      </c>
      <c r="F57" s="312">
        <v>-0.27</v>
      </c>
    </row>
    <row r="58" spans="1:7" x14ac:dyDescent="0.3">
      <c r="A58" s="251" t="s">
        <v>227</v>
      </c>
      <c r="B58" s="310">
        <v>9543371</v>
      </c>
      <c r="C58" s="312">
        <v>0.32</v>
      </c>
      <c r="D58" s="312">
        <v>0.36</v>
      </c>
      <c r="E58" s="312">
        <v>0.03</v>
      </c>
      <c r="F58" s="312">
        <v>0.11</v>
      </c>
    </row>
    <row r="59" spans="1:7" x14ac:dyDescent="0.3">
      <c r="A59" s="254" t="s">
        <v>228</v>
      </c>
      <c r="B59" s="310">
        <v>10381561</v>
      </c>
      <c r="C59" s="312">
        <v>0.33</v>
      </c>
      <c r="D59" s="312">
        <v>0.23</v>
      </c>
      <c r="E59" s="312">
        <v>-0.1</v>
      </c>
      <c r="F59" s="312">
        <v>-0.32</v>
      </c>
      <c r="G59" s="248" t="s">
        <v>108</v>
      </c>
    </row>
    <row r="60" spans="1:7" x14ac:dyDescent="0.3">
      <c r="A60" s="254" t="s">
        <v>229</v>
      </c>
      <c r="B60" s="310">
        <v>783123</v>
      </c>
      <c r="C60" s="312">
        <v>0.04</v>
      </c>
      <c r="D60" s="312">
        <v>0.06</v>
      </c>
      <c r="E60" s="312">
        <v>0.02</v>
      </c>
      <c r="F60" s="312">
        <v>0.61</v>
      </c>
      <c r="G60" s="248" t="s">
        <v>96</v>
      </c>
    </row>
    <row r="61" spans="1:7" x14ac:dyDescent="0.3">
      <c r="A61" s="251" t="s">
        <v>230</v>
      </c>
      <c r="B61" s="310">
        <v>0</v>
      </c>
      <c r="C61" s="312">
        <v>0</v>
      </c>
      <c r="D61" s="312">
        <v>0</v>
      </c>
      <c r="E61" s="312">
        <v>0</v>
      </c>
      <c r="F61" s="312"/>
      <c r="G61" s="248"/>
    </row>
    <row r="62" spans="1:7" x14ac:dyDescent="0.3">
      <c r="A62" s="254" t="s">
        <v>231</v>
      </c>
      <c r="B62" s="310">
        <v>1589760</v>
      </c>
      <c r="C62" s="312">
        <v>7.0000000000000007E-2</v>
      </c>
      <c r="D62" s="312">
        <v>0.05</v>
      </c>
      <c r="E62" s="312">
        <v>-0.02</v>
      </c>
      <c r="F62" s="312">
        <v>-0.28999999999999998</v>
      </c>
      <c r="G62" s="248" t="s">
        <v>94</v>
      </c>
    </row>
    <row r="63" spans="1:7" x14ac:dyDescent="0.3">
      <c r="A63" s="254" t="s">
        <v>232</v>
      </c>
      <c r="B63" s="310">
        <v>856192</v>
      </c>
      <c r="C63" s="312">
        <v>0.04</v>
      </c>
      <c r="D63" s="312">
        <v>0.06</v>
      </c>
      <c r="E63" s="312">
        <v>0.02</v>
      </c>
      <c r="F63" s="312">
        <v>0.47</v>
      </c>
      <c r="G63" s="248" t="s">
        <v>95</v>
      </c>
    </row>
    <row r="64" spans="1:7" x14ac:dyDescent="0.3">
      <c r="A64" s="254" t="s">
        <v>233</v>
      </c>
      <c r="B64" s="310">
        <v>2856402</v>
      </c>
      <c r="C64" s="312">
        <v>0.1</v>
      </c>
      <c r="D64" s="312">
        <v>0.19</v>
      </c>
      <c r="E64" s="312">
        <v>0.1</v>
      </c>
      <c r="F64" s="312">
        <v>1.03</v>
      </c>
      <c r="G64" s="248" t="s">
        <v>93</v>
      </c>
    </row>
    <row r="65" spans="1:10" x14ac:dyDescent="0.3">
      <c r="A65" s="251" t="s">
        <v>234</v>
      </c>
      <c r="B65" s="310">
        <v>0</v>
      </c>
      <c r="C65" s="312">
        <v>0.04</v>
      </c>
      <c r="D65" s="312">
        <v>0</v>
      </c>
      <c r="E65" s="312">
        <v>-0.04</v>
      </c>
      <c r="F65" s="312">
        <v>-1</v>
      </c>
    </row>
    <row r="66" spans="1:10" ht="15" thickBot="1" x14ac:dyDescent="0.35">
      <c r="A66" s="252" t="s">
        <v>103</v>
      </c>
      <c r="B66" s="311">
        <v>27397376</v>
      </c>
      <c r="C66" s="315">
        <v>1</v>
      </c>
      <c r="D66" s="315">
        <v>1</v>
      </c>
      <c r="E66" s="315">
        <v>0</v>
      </c>
      <c r="F66" s="315">
        <v>0</v>
      </c>
    </row>
    <row r="67" spans="1:10" ht="15" thickTop="1" x14ac:dyDescent="0.3"/>
    <row r="70" spans="1:10" x14ac:dyDescent="0.3">
      <c r="A70" t="s">
        <v>280</v>
      </c>
    </row>
    <row r="71" spans="1:10" ht="28.8" customHeight="1" x14ac:dyDescent="0.3">
      <c r="B71" s="371" t="s">
        <v>288</v>
      </c>
      <c r="C71" s="371"/>
      <c r="D71" s="372"/>
      <c r="E71" s="373" t="s">
        <v>289</v>
      </c>
      <c r="F71" s="371"/>
      <c r="G71" s="372"/>
      <c r="H71" s="375" t="s">
        <v>283</v>
      </c>
      <c r="I71" s="376"/>
      <c r="J71" s="376"/>
    </row>
    <row r="72" spans="1:10" ht="28.8" x14ac:dyDescent="0.3">
      <c r="B72" s="317">
        <v>2011</v>
      </c>
      <c r="C72" s="317">
        <v>2012</v>
      </c>
      <c r="D72" s="318" t="s">
        <v>282</v>
      </c>
      <c r="E72" s="320">
        <v>2012</v>
      </c>
      <c r="F72" s="317">
        <v>2013</v>
      </c>
      <c r="G72" s="318" t="s">
        <v>281</v>
      </c>
      <c r="H72" s="375"/>
      <c r="I72" s="376"/>
      <c r="J72" s="376"/>
    </row>
    <row r="73" spans="1:10" ht="28.8" customHeight="1" x14ac:dyDescent="0.3">
      <c r="A73" s="323" t="s">
        <v>13</v>
      </c>
      <c r="B73" s="316">
        <v>5972840</v>
      </c>
      <c r="C73" s="316">
        <v>6268473</v>
      </c>
      <c r="D73" s="319">
        <f>(C73-B73)/B73</f>
        <v>4.949621955384708E-2</v>
      </c>
      <c r="E73" s="321">
        <v>1566423</v>
      </c>
      <c r="F73" s="316">
        <v>1929356</v>
      </c>
      <c r="G73" s="319">
        <f>(F73-E73)/E73</f>
        <v>0.23169539773100881</v>
      </c>
      <c r="H73" s="354" t="s">
        <v>284</v>
      </c>
      <c r="I73" s="355"/>
      <c r="J73" s="356"/>
    </row>
    <row r="74" spans="1:10" ht="28.2" customHeight="1" x14ac:dyDescent="0.3">
      <c r="A74" s="323" t="s">
        <v>287</v>
      </c>
      <c r="B74" s="316">
        <v>3835934</v>
      </c>
      <c r="C74" s="316">
        <v>3192410</v>
      </c>
      <c r="D74" s="319">
        <f t="shared" ref="D74:D75" si="0">(C74-B74)/B74</f>
        <v>-0.16776201050383036</v>
      </c>
      <c r="E74" s="321">
        <v>1606286</v>
      </c>
      <c r="F74" s="316">
        <v>1643700</v>
      </c>
      <c r="G74" s="319">
        <f t="shared" ref="G74:G75" si="1">(F74-E74)/E74</f>
        <v>2.3292240609704622E-2</v>
      </c>
      <c r="H74" s="356" t="s">
        <v>285</v>
      </c>
      <c r="I74" s="357"/>
      <c r="J74" s="357"/>
    </row>
    <row r="75" spans="1:10" ht="26.4" customHeight="1" x14ac:dyDescent="0.3">
      <c r="A75" s="323" t="s">
        <v>106</v>
      </c>
      <c r="B75" s="316">
        <v>9961079</v>
      </c>
      <c r="C75" s="316">
        <v>9750539</v>
      </c>
      <c r="D75" s="319">
        <f t="shared" si="0"/>
        <v>-2.1136264454884857E-2</v>
      </c>
      <c r="E75" s="321">
        <v>3172709</v>
      </c>
      <c r="F75" s="316">
        <v>3573056</v>
      </c>
      <c r="G75" s="319">
        <f t="shared" si="1"/>
        <v>0.12618459493133471</v>
      </c>
      <c r="H75" s="358" t="s">
        <v>286</v>
      </c>
      <c r="I75" s="359"/>
      <c r="J75" s="359"/>
    </row>
    <row r="76" spans="1:10" x14ac:dyDescent="0.3">
      <c r="A76" s="324"/>
    </row>
  </sheetData>
  <mergeCells count="19">
    <mergeCell ref="B71:D71"/>
    <mergeCell ref="E71:G71"/>
    <mergeCell ref="D6:E6"/>
    <mergeCell ref="F6:I6"/>
    <mergeCell ref="H71:J72"/>
    <mergeCell ref="AG20:AL20"/>
    <mergeCell ref="Y22:Y30"/>
    <mergeCell ref="Y31:Y39"/>
    <mergeCell ref="U20:V20"/>
    <mergeCell ref="C20:E20"/>
    <mergeCell ref="F20:H20"/>
    <mergeCell ref="I20:J20"/>
    <mergeCell ref="O20:Q20"/>
    <mergeCell ref="R20:T20"/>
    <mergeCell ref="H73:J73"/>
    <mergeCell ref="H74:J74"/>
    <mergeCell ref="H75:J75"/>
    <mergeCell ref="AA20:AC20"/>
    <mergeCell ref="AD20:AE20"/>
  </mergeCells>
  <pageMargins left="0.7" right="0.7" top="0.75" bottom="0.75" header="0.3" footer="0.3"/>
  <pageSetup scale="8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H21"/>
  <sheetViews>
    <sheetView workbookViewId="0">
      <selection activeCell="J5" sqref="J5"/>
    </sheetView>
  </sheetViews>
  <sheetFormatPr defaultRowHeight="14.4" x14ac:dyDescent="0.3"/>
  <cols>
    <col min="1" max="1" width="17.33203125" customWidth="1"/>
    <col min="2" max="2" width="11.6640625" customWidth="1"/>
    <col min="3" max="3" width="10.77734375" customWidth="1"/>
    <col min="4" max="4" width="13.77734375" customWidth="1"/>
    <col min="5" max="5" width="11.44140625" customWidth="1"/>
    <col min="6" max="6" width="11.109375" customWidth="1"/>
    <col min="7" max="7" width="13.21875" customWidth="1"/>
    <col min="8" max="8" width="38" customWidth="1"/>
  </cols>
  <sheetData>
    <row r="3" spans="1:8" ht="66" customHeight="1" x14ac:dyDescent="0.3">
      <c r="A3" s="382"/>
      <c r="B3" s="389" t="s">
        <v>295</v>
      </c>
      <c r="C3" s="389"/>
      <c r="D3" s="397"/>
      <c r="E3" s="396" t="s">
        <v>312</v>
      </c>
      <c r="F3" s="389"/>
      <c r="G3" s="397"/>
      <c r="H3" s="387" t="s">
        <v>300</v>
      </c>
    </row>
    <row r="4" spans="1:8" ht="28.8" x14ac:dyDescent="0.3">
      <c r="A4" s="382"/>
      <c r="B4" s="156" t="s">
        <v>292</v>
      </c>
      <c r="C4" s="156" t="s">
        <v>293</v>
      </c>
      <c r="D4" s="327" t="s">
        <v>294</v>
      </c>
      <c r="E4" s="329" t="s">
        <v>292</v>
      </c>
      <c r="F4" s="156" t="s">
        <v>293</v>
      </c>
      <c r="G4" s="327" t="s">
        <v>294</v>
      </c>
      <c r="H4" s="388"/>
    </row>
    <row r="5" spans="1:8" ht="31.8" customHeight="1" x14ac:dyDescent="0.3">
      <c r="A5" s="389" t="s">
        <v>13</v>
      </c>
      <c r="B5" s="325">
        <v>4173938</v>
      </c>
      <c r="C5" s="325">
        <v>1929356</v>
      </c>
      <c r="D5" s="328">
        <v>5991499</v>
      </c>
      <c r="E5" s="330">
        <v>5880000</v>
      </c>
      <c r="F5" s="325">
        <v>1470000</v>
      </c>
      <c r="G5" s="328">
        <v>6144600</v>
      </c>
      <c r="H5" s="384" t="s">
        <v>302</v>
      </c>
    </row>
    <row r="6" spans="1:8" x14ac:dyDescent="0.3">
      <c r="A6" s="389"/>
      <c r="B6" s="377" t="s">
        <v>299</v>
      </c>
      <c r="C6" s="377"/>
      <c r="D6" s="378"/>
      <c r="E6" s="331">
        <f>E5/B5</f>
        <v>1.4087415768993214</v>
      </c>
      <c r="F6" s="326">
        <f t="shared" ref="F6:G6" si="0">F5/C5</f>
        <v>0.7619122650252208</v>
      </c>
      <c r="G6" s="332">
        <f t="shared" si="0"/>
        <v>1.0255530377289557</v>
      </c>
      <c r="H6" s="384"/>
    </row>
    <row r="7" spans="1:8" ht="28.2" customHeight="1" x14ac:dyDescent="0.3">
      <c r="A7" s="389" t="s">
        <v>306</v>
      </c>
      <c r="B7" s="325">
        <v>2035200</v>
      </c>
      <c r="C7" s="325">
        <v>508800</v>
      </c>
      <c r="D7" s="328">
        <v>3787906</v>
      </c>
      <c r="E7" s="333">
        <v>3576000</v>
      </c>
      <c r="F7" s="334">
        <v>894000</v>
      </c>
      <c r="G7" s="335">
        <v>6547140</v>
      </c>
      <c r="H7" s="383" t="s">
        <v>303</v>
      </c>
    </row>
    <row r="8" spans="1:8" x14ac:dyDescent="0.3">
      <c r="A8" s="389"/>
      <c r="B8" s="377" t="s">
        <v>299</v>
      </c>
      <c r="C8" s="377"/>
      <c r="D8" s="378"/>
      <c r="E8" s="331">
        <f>E7/B7</f>
        <v>1.7570754716981132</v>
      </c>
      <c r="F8" s="326">
        <f t="shared" ref="F8" si="1">F7/C7</f>
        <v>1.7570754716981132</v>
      </c>
      <c r="G8" s="332">
        <f t="shared" ref="G8" si="2">G7/D7</f>
        <v>1.7284325429406115</v>
      </c>
      <c r="H8" s="383"/>
    </row>
    <row r="9" spans="1:8" ht="25.2" customHeight="1" x14ac:dyDescent="0.3">
      <c r="A9" s="389" t="s">
        <v>296</v>
      </c>
      <c r="B9" s="325">
        <v>2269800</v>
      </c>
      <c r="C9" s="325">
        <v>1134900</v>
      </c>
      <c r="D9" s="328">
        <v>11822529</v>
      </c>
      <c r="E9" s="390" t="s">
        <v>298</v>
      </c>
      <c r="F9" s="391"/>
      <c r="G9" s="392"/>
      <c r="H9" s="385" t="s">
        <v>304</v>
      </c>
    </row>
    <row r="10" spans="1:8" x14ac:dyDescent="0.3">
      <c r="A10" s="389"/>
      <c r="B10" s="379"/>
      <c r="C10" s="379"/>
      <c r="D10" s="380"/>
      <c r="E10" s="393"/>
      <c r="F10" s="394"/>
      <c r="G10" s="395"/>
      <c r="H10" s="386"/>
    </row>
    <row r="11" spans="1:8" ht="28.8" customHeight="1" x14ac:dyDescent="0.3">
      <c r="A11" s="389" t="s">
        <v>297</v>
      </c>
      <c r="B11" s="325">
        <f>SUM(B7,B9)</f>
        <v>4305000</v>
      </c>
      <c r="C11" s="325">
        <f>SUM(C7,C9)</f>
        <v>1643700</v>
      </c>
      <c r="D11" s="328">
        <f>SUM(D7,D9)</f>
        <v>15610435</v>
      </c>
      <c r="E11" s="330">
        <v>3576000</v>
      </c>
      <c r="F11" s="325">
        <v>894000</v>
      </c>
      <c r="G11" s="328">
        <v>6547140</v>
      </c>
      <c r="H11" s="383" t="s">
        <v>301</v>
      </c>
    </row>
    <row r="12" spans="1:8" x14ac:dyDescent="0.3">
      <c r="A12" s="389"/>
      <c r="B12" s="377" t="s">
        <v>299</v>
      </c>
      <c r="C12" s="377"/>
      <c r="D12" s="378"/>
      <c r="E12" s="331">
        <f>E11/B11</f>
        <v>0.83066202090592334</v>
      </c>
      <c r="F12" s="326">
        <f t="shared" ref="F12" si="3">F11/C11</f>
        <v>0.54389487132688452</v>
      </c>
      <c r="G12" s="332">
        <f t="shared" ref="G12" si="4">G11/D11</f>
        <v>0.41940791528230958</v>
      </c>
      <c r="H12" s="383"/>
    </row>
    <row r="13" spans="1:8" x14ac:dyDescent="0.3">
      <c r="A13" s="336" t="s">
        <v>311</v>
      </c>
    </row>
    <row r="15" spans="1:8" ht="16.8" customHeight="1" x14ac:dyDescent="0.3">
      <c r="A15" s="381" t="s">
        <v>305</v>
      </c>
      <c r="B15" s="381"/>
      <c r="C15" s="381"/>
      <c r="D15" s="381"/>
      <c r="E15" s="381"/>
      <c r="F15" s="381"/>
      <c r="G15" s="381"/>
      <c r="H15" s="381"/>
    </row>
    <row r="16" spans="1:8" x14ac:dyDescent="0.3">
      <c r="A16" s="381"/>
      <c r="B16" s="381"/>
      <c r="C16" s="381"/>
      <c r="D16" s="381"/>
      <c r="E16" s="381"/>
      <c r="F16" s="381"/>
      <c r="G16" s="381"/>
      <c r="H16" s="381"/>
    </row>
    <row r="18" spans="1:1" x14ac:dyDescent="0.3">
      <c r="A18" t="s">
        <v>307</v>
      </c>
    </row>
    <row r="19" spans="1:1" x14ac:dyDescent="0.3">
      <c r="A19" t="s">
        <v>308</v>
      </c>
    </row>
    <row r="20" spans="1:1" x14ac:dyDescent="0.3">
      <c r="A20" t="s">
        <v>309</v>
      </c>
    </row>
    <row r="21" spans="1:1" x14ac:dyDescent="0.3">
      <c r="A21" t="s">
        <v>310</v>
      </c>
    </row>
  </sheetData>
  <mergeCells count="18">
    <mergeCell ref="B3:D3"/>
    <mergeCell ref="B6:D6"/>
    <mergeCell ref="B8:D8"/>
    <mergeCell ref="B10:D10"/>
    <mergeCell ref="A15:H16"/>
    <mergeCell ref="A3:A4"/>
    <mergeCell ref="H7:H8"/>
    <mergeCell ref="H5:H6"/>
    <mergeCell ref="H9:H10"/>
    <mergeCell ref="H11:H12"/>
    <mergeCell ref="H3:H4"/>
    <mergeCell ref="B12:D12"/>
    <mergeCell ref="A5:A6"/>
    <mergeCell ref="A7:A8"/>
    <mergeCell ref="A9:A10"/>
    <mergeCell ref="A11:A12"/>
    <mergeCell ref="E9:G10"/>
    <mergeCell ref="E3:G3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1:P27"/>
  <sheetViews>
    <sheetView topLeftCell="A19" workbookViewId="0">
      <selection activeCell="D34" sqref="D34"/>
    </sheetView>
  </sheetViews>
  <sheetFormatPr defaultRowHeight="14.4" x14ac:dyDescent="0.3"/>
  <cols>
    <col min="1" max="1" width="9.88671875" customWidth="1"/>
    <col min="2" max="2" width="12.44140625" customWidth="1"/>
    <col min="3" max="3" width="14.109375" customWidth="1"/>
    <col min="4" max="4" width="13.33203125" customWidth="1"/>
    <col min="5" max="5" width="13.88671875" customWidth="1"/>
    <col min="7" max="7" width="11.88671875" customWidth="1"/>
    <col min="9" max="9" width="10.33203125" customWidth="1"/>
  </cols>
  <sheetData>
    <row r="1" spans="1:9" x14ac:dyDescent="0.3">
      <c r="A1" s="159" t="s">
        <v>276</v>
      </c>
      <c r="B1" s="308"/>
      <c r="C1" s="308"/>
      <c r="D1" s="308"/>
      <c r="E1" s="308"/>
      <c r="F1" s="308"/>
      <c r="G1" s="308"/>
    </row>
    <row r="2" spans="1:9" x14ac:dyDescent="0.3">
      <c r="A2" s="313" t="s">
        <v>277</v>
      </c>
      <c r="B2" s="308"/>
      <c r="C2" s="308"/>
      <c r="D2" s="308"/>
      <c r="E2" s="308"/>
      <c r="F2" s="308"/>
      <c r="G2" s="308"/>
    </row>
    <row r="3" spans="1:9" ht="41.4" x14ac:dyDescent="0.3">
      <c r="A3" s="309" t="s">
        <v>222</v>
      </c>
      <c r="B3" s="309" t="s">
        <v>278</v>
      </c>
      <c r="C3" s="309" t="s">
        <v>279</v>
      </c>
      <c r="D3" s="309" t="s">
        <v>223</v>
      </c>
      <c r="E3" s="309" t="s">
        <v>224</v>
      </c>
      <c r="F3" s="309" t="s">
        <v>225</v>
      </c>
      <c r="G3" s="308"/>
    </row>
    <row r="4" spans="1:9" x14ac:dyDescent="0.3">
      <c r="A4" s="251" t="s">
        <v>226</v>
      </c>
      <c r="B4" s="310">
        <v>3501577</v>
      </c>
      <c r="C4" s="310">
        <v>7003154</v>
      </c>
      <c r="D4" s="310">
        <v>5111928</v>
      </c>
      <c r="E4" s="310">
        <v>-1891226</v>
      </c>
      <c r="F4" s="312">
        <v>-0.27</v>
      </c>
      <c r="G4" s="308"/>
    </row>
    <row r="5" spans="1:9" ht="20.399999999999999" x14ac:dyDescent="0.3">
      <c r="A5" s="251" t="s">
        <v>227</v>
      </c>
      <c r="B5" s="310">
        <v>18052530</v>
      </c>
      <c r="C5" s="310">
        <v>36105060</v>
      </c>
      <c r="D5" s="310">
        <v>40058044</v>
      </c>
      <c r="E5" s="310">
        <v>3952984</v>
      </c>
      <c r="F5" s="312">
        <v>0.11</v>
      </c>
      <c r="G5" s="308"/>
    </row>
    <row r="6" spans="1:9" x14ac:dyDescent="0.3">
      <c r="A6" s="254" t="s">
        <v>228</v>
      </c>
      <c r="B6" s="310">
        <v>18405848</v>
      </c>
      <c r="C6" s="310">
        <v>36811696</v>
      </c>
      <c r="D6" s="310">
        <v>25228000</v>
      </c>
      <c r="E6" s="310">
        <v>-11583696</v>
      </c>
      <c r="F6" s="312">
        <v>-0.31</v>
      </c>
      <c r="G6" s="299" t="s">
        <v>108</v>
      </c>
    </row>
    <row r="7" spans="1:9" x14ac:dyDescent="0.3">
      <c r="A7" s="254" t="s">
        <v>229</v>
      </c>
      <c r="B7" s="310">
        <v>2247994</v>
      </c>
      <c r="C7" s="310">
        <v>4495988</v>
      </c>
      <c r="D7" s="310">
        <v>7242494</v>
      </c>
      <c r="E7" s="310">
        <v>2746506</v>
      </c>
      <c r="F7" s="312">
        <v>0.61</v>
      </c>
      <c r="G7" s="299" t="s">
        <v>96</v>
      </c>
    </row>
    <row r="8" spans="1:9" x14ac:dyDescent="0.3">
      <c r="A8" s="251" t="s">
        <v>230</v>
      </c>
      <c r="B8" s="310">
        <v>0</v>
      </c>
      <c r="C8" s="310">
        <v>0</v>
      </c>
      <c r="D8" s="310">
        <v>0</v>
      </c>
      <c r="E8" s="310">
        <v>0</v>
      </c>
      <c r="F8" s="312"/>
      <c r="G8" s="308"/>
    </row>
    <row r="9" spans="1:9" x14ac:dyDescent="0.3">
      <c r="A9" s="254" t="s">
        <v>231</v>
      </c>
      <c r="B9" s="310">
        <v>3630286</v>
      </c>
      <c r="C9" s="310">
        <v>7260572</v>
      </c>
      <c r="D9" s="310">
        <v>5155000</v>
      </c>
      <c r="E9" s="310">
        <v>-2105572</v>
      </c>
      <c r="F9" s="312">
        <v>-0.28999999999999998</v>
      </c>
      <c r="G9" s="299" t="s">
        <v>94</v>
      </c>
    </row>
    <row r="10" spans="1:9" x14ac:dyDescent="0.3">
      <c r="A10" s="254" t="s">
        <v>232</v>
      </c>
      <c r="B10" s="310">
        <v>2397883</v>
      </c>
      <c r="C10" s="310">
        <v>4795766</v>
      </c>
      <c r="D10" s="310">
        <v>7077000</v>
      </c>
      <c r="E10" s="310">
        <v>2281234</v>
      </c>
      <c r="F10" s="312">
        <v>0.48</v>
      </c>
      <c r="G10" s="308" t="s">
        <v>95</v>
      </c>
    </row>
    <row r="11" spans="1:9" x14ac:dyDescent="0.3">
      <c r="A11" s="254" t="s">
        <v>233</v>
      </c>
      <c r="B11" s="310">
        <v>5291870</v>
      </c>
      <c r="C11" s="310">
        <v>10583740</v>
      </c>
      <c r="D11" s="310">
        <v>21601934</v>
      </c>
      <c r="E11" s="310">
        <v>11018194</v>
      </c>
      <c r="F11" s="312">
        <v>1.04</v>
      </c>
      <c r="G11" s="308" t="s">
        <v>93</v>
      </c>
    </row>
    <row r="12" spans="1:9" x14ac:dyDescent="0.3">
      <c r="A12" s="251" t="s">
        <v>234</v>
      </c>
      <c r="B12" s="310">
        <v>2027584</v>
      </c>
      <c r="C12" s="310">
        <v>4055168</v>
      </c>
      <c r="D12" s="310">
        <v>0</v>
      </c>
      <c r="E12" s="310">
        <v>-4055168</v>
      </c>
      <c r="F12" s="312">
        <v>-1</v>
      </c>
      <c r="G12" s="308"/>
    </row>
    <row r="13" spans="1:9" ht="15" thickBot="1" x14ac:dyDescent="0.35">
      <c r="A13" s="252" t="s">
        <v>103</v>
      </c>
      <c r="B13" s="311">
        <v>55555572</v>
      </c>
      <c r="C13" s="314">
        <v>111111144</v>
      </c>
      <c r="D13" s="314">
        <v>111474400</v>
      </c>
      <c r="E13" s="314">
        <v>363256</v>
      </c>
      <c r="F13" s="315">
        <v>0</v>
      </c>
      <c r="G13" s="293">
        <f>C6+C7+C9+C10+C11</f>
        <v>63947762</v>
      </c>
    </row>
    <row r="14" spans="1:9" ht="15" thickTop="1" x14ac:dyDescent="0.3"/>
    <row r="15" spans="1:9" x14ac:dyDescent="0.3">
      <c r="D15" s="295">
        <v>0.9</v>
      </c>
      <c r="E15" s="295">
        <v>1.1000000000000001</v>
      </c>
    </row>
    <row r="16" spans="1:9" ht="43.2" x14ac:dyDescent="0.3">
      <c r="A16" s="337" t="s">
        <v>3</v>
      </c>
      <c r="B16" s="337" t="s">
        <v>267</v>
      </c>
      <c r="C16" s="337" t="s">
        <v>290</v>
      </c>
      <c r="D16" s="337" t="s">
        <v>268</v>
      </c>
      <c r="E16" s="337" t="s">
        <v>269</v>
      </c>
      <c r="F16" s="389" t="s">
        <v>272</v>
      </c>
      <c r="G16" s="389"/>
      <c r="H16" s="389"/>
      <c r="I16" s="389"/>
    </row>
    <row r="17" spans="1:16" ht="40.200000000000003" customHeight="1" x14ac:dyDescent="0.3">
      <c r="A17" s="344" t="s">
        <v>270</v>
      </c>
      <c r="B17" s="345">
        <v>5991499</v>
      </c>
      <c r="C17" s="346">
        <v>6144600</v>
      </c>
      <c r="D17" s="347">
        <f>B17*0.8</f>
        <v>4793199.2</v>
      </c>
      <c r="E17" s="348">
        <f>B17*1.2</f>
        <v>7189798.7999999998</v>
      </c>
      <c r="F17" s="359" t="s">
        <v>316</v>
      </c>
      <c r="G17" s="359"/>
      <c r="H17" s="359"/>
      <c r="I17" s="359"/>
      <c r="J17" s="322"/>
      <c r="K17" s="322"/>
      <c r="L17" s="322"/>
      <c r="M17" s="322"/>
      <c r="N17" s="322"/>
      <c r="O17" s="322"/>
      <c r="P17" s="322"/>
    </row>
    <row r="18" spans="1:16" ht="74.400000000000006" customHeight="1" x14ac:dyDescent="0.3">
      <c r="A18" s="349" t="s">
        <v>271</v>
      </c>
      <c r="B18" s="345">
        <v>15610435</v>
      </c>
      <c r="C18" s="346">
        <v>13000000</v>
      </c>
      <c r="D18" s="347">
        <f>B18*0.8</f>
        <v>12488348</v>
      </c>
      <c r="E18" s="348">
        <f>B18*1.2</f>
        <v>18732522</v>
      </c>
      <c r="F18" s="359" t="s">
        <v>317</v>
      </c>
      <c r="G18" s="359"/>
      <c r="H18" s="359"/>
      <c r="I18" s="359"/>
      <c r="J18" s="322"/>
      <c r="K18" s="322"/>
      <c r="L18" s="322"/>
      <c r="M18" s="322"/>
      <c r="N18" s="322"/>
      <c r="O18" s="322"/>
      <c r="P18" s="322"/>
    </row>
    <row r="19" spans="1:16" ht="36" customHeight="1" x14ac:dyDescent="0.3">
      <c r="A19" s="344" t="s">
        <v>95</v>
      </c>
      <c r="B19" s="345">
        <v>3804716</v>
      </c>
      <c r="C19" s="346">
        <f>B19</f>
        <v>3804716</v>
      </c>
      <c r="D19" s="347">
        <f>B19*0.9</f>
        <v>3424244.4</v>
      </c>
      <c r="E19" s="348">
        <f>B19*1.1</f>
        <v>4185187.6000000006</v>
      </c>
      <c r="F19" s="359" t="s">
        <v>318</v>
      </c>
      <c r="G19" s="359"/>
      <c r="H19" s="359"/>
      <c r="I19" s="359"/>
      <c r="J19" s="322"/>
      <c r="K19" s="322"/>
      <c r="L19" s="322"/>
      <c r="M19" s="322"/>
      <c r="N19" s="322"/>
      <c r="O19" s="322"/>
      <c r="P19" s="322"/>
    </row>
    <row r="20" spans="1:16" ht="45" customHeight="1" x14ac:dyDescent="0.3">
      <c r="A20" s="349" t="s">
        <v>94</v>
      </c>
      <c r="B20" s="345">
        <v>4440000</v>
      </c>
      <c r="C20" s="350">
        <f>(C9/D9)*B20</f>
        <v>6253528.5509214355</v>
      </c>
      <c r="D20" s="351">
        <f>B20</f>
        <v>4440000</v>
      </c>
      <c r="E20" s="350">
        <f>C20</f>
        <v>6253528.5509214355</v>
      </c>
      <c r="F20" s="399" t="s">
        <v>319</v>
      </c>
      <c r="G20" s="399"/>
      <c r="H20" s="399"/>
      <c r="I20" s="399"/>
      <c r="J20" s="340"/>
      <c r="K20" s="340"/>
      <c r="L20" s="340"/>
      <c r="M20" s="340"/>
      <c r="N20" s="340"/>
      <c r="O20" s="340"/>
      <c r="P20" s="340"/>
    </row>
    <row r="21" spans="1:16" ht="57" customHeight="1" x14ac:dyDescent="0.3">
      <c r="A21" s="349" t="s">
        <v>108</v>
      </c>
      <c r="B21" s="345">
        <v>22954000</v>
      </c>
      <c r="C21" s="348">
        <f>C6</f>
        <v>36811696</v>
      </c>
      <c r="D21" s="347">
        <f>B21</f>
        <v>22954000</v>
      </c>
      <c r="E21" s="348">
        <f>C21</f>
        <v>36811696</v>
      </c>
      <c r="F21" s="399" t="s">
        <v>320</v>
      </c>
      <c r="G21" s="399"/>
      <c r="H21" s="399"/>
      <c r="I21" s="399"/>
      <c r="J21" s="343"/>
      <c r="K21" s="343"/>
      <c r="L21" s="343"/>
      <c r="M21" s="343"/>
      <c r="N21" s="343"/>
      <c r="O21" s="343"/>
      <c r="P21" s="343"/>
    </row>
    <row r="22" spans="1:16" ht="26.4" customHeight="1" x14ac:dyDescent="0.3">
      <c r="A22" s="344" t="s">
        <v>96</v>
      </c>
      <c r="B22" s="345">
        <v>7818984</v>
      </c>
      <c r="C22" s="352">
        <f>C7</f>
        <v>4495988</v>
      </c>
      <c r="D22" s="353">
        <f>B22*0.8</f>
        <v>6255187.2000000002</v>
      </c>
      <c r="E22" s="353">
        <f>B22*1.1</f>
        <v>8600882.4000000004</v>
      </c>
      <c r="F22" s="359" t="s">
        <v>291</v>
      </c>
      <c r="G22" s="359"/>
      <c r="H22" s="359"/>
      <c r="I22" s="359"/>
      <c r="J22" s="322"/>
      <c r="K22" s="322"/>
      <c r="L22" s="322"/>
      <c r="M22" s="322"/>
      <c r="N22" s="322"/>
      <c r="O22" s="322"/>
      <c r="P22" s="322"/>
    </row>
    <row r="23" spans="1:16" ht="32.4" customHeight="1" x14ac:dyDescent="0.3">
      <c r="A23" s="344" t="s">
        <v>177</v>
      </c>
      <c r="B23" s="345">
        <v>3535945</v>
      </c>
      <c r="C23" s="347">
        <f>B23</f>
        <v>3535945</v>
      </c>
      <c r="D23" s="347">
        <v>3535945</v>
      </c>
      <c r="E23" s="347">
        <v>5000000</v>
      </c>
      <c r="F23" s="359" t="s">
        <v>313</v>
      </c>
      <c r="G23" s="359"/>
      <c r="H23" s="359"/>
      <c r="I23" s="359"/>
      <c r="J23" s="322"/>
      <c r="K23" s="322"/>
      <c r="L23" s="322"/>
      <c r="M23" s="322"/>
      <c r="N23" s="322"/>
      <c r="O23" s="322"/>
      <c r="P23" s="322"/>
    </row>
    <row r="24" spans="1:16" ht="26.4" customHeight="1" x14ac:dyDescent="0.3">
      <c r="A24" s="344" t="s">
        <v>172</v>
      </c>
      <c r="B24" s="345">
        <v>15700000</v>
      </c>
      <c r="C24" s="347">
        <f>B24</f>
        <v>15700000</v>
      </c>
      <c r="D24" s="347">
        <v>12000000</v>
      </c>
      <c r="E24" s="347">
        <v>16500000</v>
      </c>
      <c r="F24" s="359" t="s">
        <v>313</v>
      </c>
      <c r="G24" s="359"/>
      <c r="H24" s="359"/>
      <c r="I24" s="359"/>
      <c r="J24" s="322"/>
      <c r="K24" s="322"/>
      <c r="L24" s="322"/>
      <c r="M24" s="322"/>
      <c r="N24" s="322"/>
      <c r="O24" s="322"/>
      <c r="P24" s="322"/>
    </row>
    <row r="25" spans="1:16" x14ac:dyDescent="0.3">
      <c r="A25" s="339" t="s">
        <v>103</v>
      </c>
      <c r="B25" s="341">
        <f>SUM(B17:B24)</f>
        <v>79855579</v>
      </c>
      <c r="C25" s="342">
        <f t="shared" ref="C25:E25" si="0">SUM(C17:C24)</f>
        <v>89746473.55092144</v>
      </c>
      <c r="D25" s="341">
        <f t="shared" si="0"/>
        <v>69890923.799999997</v>
      </c>
      <c r="E25" s="341">
        <f t="shared" si="0"/>
        <v>103273615.35092145</v>
      </c>
      <c r="F25" s="400" t="s">
        <v>321</v>
      </c>
      <c r="G25" s="400"/>
      <c r="H25" s="400"/>
      <c r="I25" s="400"/>
    </row>
    <row r="26" spans="1:16" x14ac:dyDescent="0.3">
      <c r="A26" s="398"/>
      <c r="B26" s="338" t="s">
        <v>315</v>
      </c>
      <c r="C26" s="296">
        <f>C25/B25</f>
        <v>1.123859781304966</v>
      </c>
      <c r="D26" s="401"/>
      <c r="E26" s="401"/>
      <c r="F26" s="401"/>
      <c r="G26" s="401"/>
      <c r="H26" s="401"/>
      <c r="I26" s="401"/>
    </row>
    <row r="27" spans="1:16" x14ac:dyDescent="0.3">
      <c r="A27" s="398"/>
      <c r="B27" s="338" t="s">
        <v>314</v>
      </c>
      <c r="C27" s="294">
        <f>C25-B25</f>
        <v>9890894.5509214401</v>
      </c>
      <c r="D27" s="402"/>
      <c r="E27" s="402"/>
      <c r="F27" s="402"/>
      <c r="G27" s="402"/>
      <c r="H27" s="402"/>
      <c r="I27" s="402"/>
    </row>
  </sheetData>
  <mergeCells count="12">
    <mergeCell ref="A26:A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D26:I27"/>
  </mergeCells>
  <pageMargins left="0.7" right="0.7" top="0.75" bottom="0.75" header="0.3" footer="0.3"/>
  <pageSetup scale="94" fitToWidth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C7" sqref="C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403" t="s">
        <v>275</v>
      </c>
      <c r="C4" s="404"/>
      <c r="D4" s="404"/>
      <c r="E4" s="404"/>
      <c r="F4" s="404"/>
      <c r="G4" s="404"/>
      <c r="H4" s="404"/>
      <c r="I4" s="404"/>
    </row>
    <row r="5" spans="1:14" x14ac:dyDescent="0.3">
      <c r="A5" s="48" t="s">
        <v>79</v>
      </c>
      <c r="B5" s="1" t="s">
        <v>167</v>
      </c>
      <c r="E5" s="415" t="s">
        <v>50</v>
      </c>
      <c r="F5" s="416"/>
      <c r="G5" s="416"/>
      <c r="H5" s="416"/>
      <c r="I5" s="417"/>
    </row>
    <row r="6" spans="1:14" x14ac:dyDescent="0.3">
      <c r="A6" s="48" t="s">
        <v>80</v>
      </c>
      <c r="B6" s="1" t="s">
        <v>168</v>
      </c>
      <c r="E6" s="418" t="s">
        <v>51</v>
      </c>
      <c r="F6" s="419"/>
      <c r="G6" s="419"/>
      <c r="H6" s="419"/>
      <c r="I6" s="420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9025432.4272286259</v>
      </c>
    </row>
    <row r="10" spans="1:14" ht="14.4" thickBot="1" x14ac:dyDescent="0.35">
      <c r="A10" s="50"/>
    </row>
    <row r="11" spans="1:14" ht="27.6" x14ac:dyDescent="0.3">
      <c r="A11" s="421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422"/>
      <c r="B12" s="80">
        <v>89746473.55092144</v>
      </c>
      <c r="C12" s="81">
        <f>1*B12 - 1</f>
        <v>89746472.55092144</v>
      </c>
      <c r="D12" s="82">
        <f>1*B12 + 1</f>
        <v>89746474.55092144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56">
        <v>0.9</v>
      </c>
      <c r="H14" s="256">
        <v>1.1000000000000001</v>
      </c>
      <c r="I14" s="63" t="s">
        <v>98</v>
      </c>
      <c r="J14" s="63" t="s">
        <v>99</v>
      </c>
    </row>
    <row r="15" spans="1:14" ht="27.6" customHeight="1" x14ac:dyDescent="0.3">
      <c r="A15" s="423" t="s">
        <v>2</v>
      </c>
      <c r="B15" s="413" t="s">
        <v>3</v>
      </c>
      <c r="C15" s="413" t="s">
        <v>38</v>
      </c>
      <c r="D15" s="413" t="s">
        <v>169</v>
      </c>
      <c r="E15" s="405" t="s">
        <v>86</v>
      </c>
      <c r="F15" s="407"/>
      <c r="G15" s="424" t="s">
        <v>237</v>
      </c>
      <c r="H15" s="425"/>
      <c r="I15" s="424" t="s">
        <v>89</v>
      </c>
      <c r="J15" s="425"/>
      <c r="K15" s="405" t="s">
        <v>90</v>
      </c>
      <c r="L15" s="406"/>
      <c r="M15" s="406"/>
      <c r="N15" s="407"/>
    </row>
    <row r="16" spans="1:14" ht="27.6" x14ac:dyDescent="0.3">
      <c r="A16" s="412"/>
      <c r="B16" s="412"/>
      <c r="C16" s="412"/>
      <c r="D16" s="412"/>
      <c r="E16" s="105" t="s">
        <v>261</v>
      </c>
      <c r="F16" s="105" t="s">
        <v>262</v>
      </c>
      <c r="G16" s="105" t="s">
        <v>87</v>
      </c>
      <c r="H16" s="105" t="s">
        <v>88</v>
      </c>
      <c r="I16" s="62" t="s">
        <v>259</v>
      </c>
      <c r="J16" s="62" t="s">
        <v>260</v>
      </c>
      <c r="K16" s="105" t="s">
        <v>235</v>
      </c>
      <c r="L16" s="105" t="s">
        <v>236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Notes'!D17</f>
        <v>4793199.2</v>
      </c>
      <c r="H17" s="73">
        <f>'Case Notes'!E17</f>
        <v>7189798.7999999998</v>
      </c>
      <c r="I17" s="266">
        <v>7189798.7999999998</v>
      </c>
      <c r="J17" s="64">
        <f>JANSample!F9</f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Notes'!D18</f>
        <v>12488348</v>
      </c>
      <c r="H18" s="74">
        <f>'Case Notes'!E18</f>
        <v>18732522</v>
      </c>
      <c r="I18" s="267">
        <v>18732522</v>
      </c>
      <c r="J18" s="65">
        <f>JMTSample!F9</f>
        <v>3195832.4397713416</v>
      </c>
      <c r="K18" s="60">
        <f t="shared" ref="K18:L22" si="0">I18-E18</f>
        <v>3122087</v>
      </c>
      <c r="L18" s="60">
        <f t="shared" si="0"/>
        <v>533167.59135928797</v>
      </c>
      <c r="M18" s="61">
        <f t="shared" ref="M18:N25" si="1">K18/E18</f>
        <v>0.2</v>
      </c>
      <c r="N18" s="61">
        <f t="shared" si="1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Notes'!D19</f>
        <v>3424244.4</v>
      </c>
      <c r="H19" s="74">
        <f>'Case Notes'!E19</f>
        <v>4185187.6000000006</v>
      </c>
      <c r="I19" s="267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Notes'!D20</f>
        <v>4440000</v>
      </c>
      <c r="H20" s="74">
        <f>'Case Notes'!E20</f>
        <v>6253528.5509214355</v>
      </c>
      <c r="I20" s="267">
        <v>4440000</v>
      </c>
      <c r="J20" s="65">
        <f>JJMMF!F9</f>
        <v>25689.160192131658</v>
      </c>
      <c r="K20" s="60">
        <f t="shared" si="0"/>
        <v>0</v>
      </c>
      <c r="L20" s="60">
        <f t="shared" si="0"/>
        <v>0</v>
      </c>
      <c r="M20" s="61">
        <f t="shared" si="1"/>
        <v>0</v>
      </c>
      <c r="N20" s="61">
        <f t="shared" si="1"/>
        <v>0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Notes'!D21</f>
        <v>22954000</v>
      </c>
      <c r="H21" s="74">
        <f>'Case Notes'!E21</f>
        <v>36811696</v>
      </c>
      <c r="I21" s="267">
        <v>34168776.158782162</v>
      </c>
      <c r="J21" s="65">
        <f>JJHCC!F9</f>
        <v>2222619.0877316603</v>
      </c>
      <c r="K21" s="60">
        <f t="shared" si="0"/>
        <v>11214776.158782162</v>
      </c>
      <c r="L21" s="60">
        <f t="shared" si="0"/>
        <v>626727.07337129745</v>
      </c>
      <c r="M21" s="61">
        <f t="shared" si="1"/>
        <v>0.48857611565662462</v>
      </c>
      <c r="N21" s="61">
        <f t="shared" si="1"/>
        <v>0.39271270720813217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Notes'!D22</f>
        <v>6255187.2000000002</v>
      </c>
      <c r="H22" s="74">
        <f>'Case Notes'!E22</f>
        <v>8600882.4000000004</v>
      </c>
      <c r="I22" s="267">
        <v>6255187.2000000002</v>
      </c>
      <c r="J22" s="65">
        <f>JJMCM!F9</f>
        <v>309475.52118794719</v>
      </c>
      <c r="K22" s="60">
        <f t="shared" si="0"/>
        <v>-1563796.7999999998</v>
      </c>
      <c r="L22" s="60">
        <f t="shared" si="0"/>
        <v>-68807.719947315694</v>
      </c>
      <c r="M22" s="61">
        <f t="shared" si="1"/>
        <v>-0.19999999999999998</v>
      </c>
      <c r="N22" s="61">
        <f t="shared" si="1"/>
        <v>-0.18189470868658464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>'Case Notes'!D23</f>
        <v>3535945</v>
      </c>
      <c r="H23" s="74">
        <f>'Case Notes'!E23</f>
        <v>5000000</v>
      </c>
      <c r="I23" s="267">
        <v>3535945</v>
      </c>
      <c r="J23" s="65">
        <f>JJHCC_ACQ!F9</f>
        <v>83212.009999999995</v>
      </c>
      <c r="K23" s="60">
        <f t="shared" ref="K23:K24" si="2">I23-E23</f>
        <v>0</v>
      </c>
      <c r="L23" s="60">
        <f t="shared" ref="L23:L24" si="3">J23-F23</f>
        <v>0</v>
      </c>
      <c r="M23" s="61">
        <f t="shared" ref="M23:M24" si="4">K23/E23</f>
        <v>0</v>
      </c>
      <c r="N23" s="61">
        <f t="shared" ref="N23:N24" si="5">L23/F23</f>
        <v>0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Notes'!D24</f>
        <v>12000000</v>
      </c>
      <c r="H24" s="74">
        <f>'Case Notes'!E24</f>
        <v>16500000</v>
      </c>
      <c r="I24" s="267">
        <v>12000000</v>
      </c>
      <c r="J24" s="65">
        <f>JJHCC_ADH!F9</f>
        <v>287552.10043149628</v>
      </c>
      <c r="K24" s="60">
        <f t="shared" si="2"/>
        <v>-3700000</v>
      </c>
      <c r="L24" s="60">
        <f t="shared" si="3"/>
        <v>-73280.636681905016</v>
      </c>
      <c r="M24" s="61">
        <f t="shared" si="4"/>
        <v>-0.2356687898089172</v>
      </c>
      <c r="N24" s="61">
        <f t="shared" si="5"/>
        <v>-0.20308755039284207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79855579</v>
      </c>
      <c r="F25" s="77">
        <f t="shared" si="6"/>
        <v>7567899.9910694035</v>
      </c>
      <c r="G25" s="76">
        <f t="shared" si="6"/>
        <v>69890923.799999997</v>
      </c>
      <c r="H25" s="76">
        <f t="shared" si="6"/>
        <v>103273615.35092145</v>
      </c>
      <c r="I25" s="83">
        <f t="shared" si="6"/>
        <v>89746473.558782175</v>
      </c>
      <c r="J25" s="268">
        <f t="shared" si="6"/>
        <v>9025432.4272286259</v>
      </c>
      <c r="K25" s="76">
        <f>SUM(K17:K24)</f>
        <v>9890894.5587821603</v>
      </c>
      <c r="L25" s="268">
        <f>SUM(L17:L24)</f>
        <v>1457532.4361592217</v>
      </c>
      <c r="M25" s="79">
        <f>K25/E25</f>
        <v>0.12385978140340276</v>
      </c>
      <c r="N25" s="79">
        <f t="shared" si="1"/>
        <v>0.19259404033869387</v>
      </c>
    </row>
    <row r="29" spans="1:14" s="249" customFormat="1" x14ac:dyDescent="0.3"/>
    <row r="30" spans="1:14" ht="55.2" x14ac:dyDescent="0.3">
      <c r="A30" s="414" t="s">
        <v>238</v>
      </c>
      <c r="D30" s="284" t="s">
        <v>149</v>
      </c>
      <c r="E30" s="284" t="s">
        <v>252</v>
      </c>
      <c r="F30" s="284" t="s">
        <v>256</v>
      </c>
      <c r="G30" s="284" t="s">
        <v>253</v>
      </c>
      <c r="H30" s="284" t="s">
        <v>254</v>
      </c>
      <c r="I30" s="284" t="s">
        <v>255</v>
      </c>
    </row>
    <row r="31" spans="1:14" x14ac:dyDescent="0.3">
      <c r="A31" s="414"/>
      <c r="D31" s="285">
        <v>11.53</v>
      </c>
      <c r="E31" s="286">
        <v>1876</v>
      </c>
      <c r="F31" s="286">
        <v>1118</v>
      </c>
      <c r="G31" s="287">
        <v>194</v>
      </c>
      <c r="H31" s="288">
        <v>0.4</v>
      </c>
      <c r="I31" s="287">
        <f>(1-H31)*G31</f>
        <v>116.39999999999999</v>
      </c>
    </row>
    <row r="32" spans="1:14" ht="13.8" customHeight="1" x14ac:dyDescent="0.3">
      <c r="A32" s="411" t="s">
        <v>2</v>
      </c>
      <c r="B32" s="413" t="s">
        <v>3</v>
      </c>
      <c r="C32" s="413" t="str">
        <f t="shared" ref="C32:C42" si="7">D15</f>
        <v>Response Scaling Factor for Sensitivity Analysis</v>
      </c>
      <c r="D32" s="408" t="s">
        <v>86</v>
      </c>
      <c r="E32" s="409"/>
      <c r="F32" s="409"/>
      <c r="G32" s="410"/>
      <c r="H32" s="426" t="s">
        <v>89</v>
      </c>
      <c r="I32" s="427"/>
      <c r="J32" s="427"/>
      <c r="K32" s="408" t="s">
        <v>247</v>
      </c>
      <c r="L32" s="409"/>
      <c r="M32" s="409"/>
      <c r="N32" s="410"/>
    </row>
    <row r="33" spans="1:14" ht="74.400000000000006" customHeight="1" x14ac:dyDescent="0.3">
      <c r="A33" s="412"/>
      <c r="B33" s="412"/>
      <c r="C33" s="412">
        <f t="shared" si="7"/>
        <v>0</v>
      </c>
      <c r="D33" s="182" t="s">
        <v>240</v>
      </c>
      <c r="E33" s="182" t="s">
        <v>239</v>
      </c>
      <c r="F33" s="182" t="s">
        <v>241</v>
      </c>
      <c r="G33" s="182" t="s">
        <v>257</v>
      </c>
      <c r="H33" s="62" t="s">
        <v>245</v>
      </c>
      <c r="I33" s="62" t="s">
        <v>246</v>
      </c>
      <c r="J33" s="62" t="s">
        <v>258</v>
      </c>
      <c r="K33" s="182" t="s">
        <v>248</v>
      </c>
      <c r="L33" s="182" t="s">
        <v>249</v>
      </c>
      <c r="M33" s="182" t="s">
        <v>250</v>
      </c>
      <c r="N33" s="182" t="s">
        <v>251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59">
        <f t="shared" ref="D34:D41" si="8">E17</f>
        <v>5991499</v>
      </c>
      <c r="E34" s="257" t="s">
        <v>185</v>
      </c>
      <c r="F34" s="261">
        <f>F17/$D$31</f>
        <v>200413.29391107525</v>
      </c>
      <c r="G34" s="263">
        <f>F34*$F$31</f>
        <v>224062062.59258214</v>
      </c>
      <c r="H34" s="269">
        <f t="shared" ref="H34:H41" si="9">I17</f>
        <v>7189798.7999999998</v>
      </c>
      <c r="I34" s="261">
        <f>J17/$D$31</f>
        <v>239856.72092273779</v>
      </c>
      <c r="J34" s="272">
        <f>I34*$F$31</f>
        <v>268159813.99162084</v>
      </c>
      <c r="K34" s="259">
        <f>H34-D34</f>
        <v>1198299.7999999998</v>
      </c>
      <c r="L34" s="259">
        <f>J34-G34</f>
        <v>44097751.399038702</v>
      </c>
      <c r="M34" s="275">
        <f>K34/D34</f>
        <v>0.19999999999999996</v>
      </c>
      <c r="N34" s="276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0">
        <f t="shared" si="8"/>
        <v>15610435</v>
      </c>
      <c r="E35" s="258" t="s">
        <v>185</v>
      </c>
      <c r="F35" s="262">
        <f t="shared" ref="F35:F40" si="10">F18/$D$31</f>
        <v>230933.63819705584</v>
      </c>
      <c r="G35" s="264">
        <f t="shared" ref="G35:G40" si="11">F35*$F$31</f>
        <v>258183807.50430843</v>
      </c>
      <c r="H35" s="270">
        <f t="shared" si="9"/>
        <v>18732522</v>
      </c>
      <c r="I35" s="262">
        <f t="shared" ref="I35:I40" si="12">J18/$D$31</f>
        <v>277175.40674512938</v>
      </c>
      <c r="J35" s="273">
        <f t="shared" ref="J35:J40" si="13">I35*$F$31</f>
        <v>309882104.74105465</v>
      </c>
      <c r="K35" s="260">
        <f t="shared" ref="K35:K42" si="14">H35-D35</f>
        <v>3122087</v>
      </c>
      <c r="L35" s="260">
        <f t="shared" ref="L35:L42" si="15">J35-G35</f>
        <v>51698297.236746222</v>
      </c>
      <c r="M35" s="277">
        <f t="shared" ref="M35:M42" si="16">K35/D35</f>
        <v>0.2</v>
      </c>
      <c r="N35" s="278">
        <f t="shared" ref="N35:N42" si="17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0">
        <f t="shared" si="8"/>
        <v>3804716</v>
      </c>
      <c r="E36" s="258" t="s">
        <v>185</v>
      </c>
      <c r="F36" s="262">
        <f t="shared" si="10"/>
        <v>13058.170083390574</v>
      </c>
      <c r="G36" s="264">
        <f t="shared" si="11"/>
        <v>14599034.153230662</v>
      </c>
      <c r="H36" s="270">
        <f t="shared" si="9"/>
        <v>3424244.4</v>
      </c>
      <c r="I36" s="262">
        <f t="shared" si="12"/>
        <v>11752.308384638445</v>
      </c>
      <c r="J36" s="273">
        <f t="shared" si="13"/>
        <v>13139080.774025781</v>
      </c>
      <c r="K36" s="260">
        <f t="shared" si="14"/>
        <v>-380471.60000000009</v>
      </c>
      <c r="L36" s="260">
        <f t="shared" si="15"/>
        <v>-1459953.3792048804</v>
      </c>
      <c r="M36" s="277">
        <f t="shared" si="16"/>
        <v>-0.10000000000000002</v>
      </c>
      <c r="N36" s="278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0">
        <f t="shared" si="8"/>
        <v>4440000</v>
      </c>
      <c r="E37" s="258" t="s">
        <v>185</v>
      </c>
      <c r="F37" s="262">
        <f t="shared" si="10"/>
        <v>2228.0277703496668</v>
      </c>
      <c r="G37" s="264">
        <f t="shared" si="11"/>
        <v>2490935.0472509274</v>
      </c>
      <c r="H37" s="270">
        <f t="shared" si="9"/>
        <v>4440000</v>
      </c>
      <c r="I37" s="262">
        <f t="shared" si="12"/>
        <v>2228.0277703496668</v>
      </c>
      <c r="J37" s="273">
        <f t="shared" si="13"/>
        <v>2490935.0472509274</v>
      </c>
      <c r="K37" s="260">
        <f t="shared" si="14"/>
        <v>0</v>
      </c>
      <c r="L37" s="260">
        <f t="shared" si="15"/>
        <v>0</v>
      </c>
      <c r="M37" s="277">
        <f t="shared" si="16"/>
        <v>0</v>
      </c>
      <c r="N37" s="278">
        <f t="shared" si="17"/>
        <v>0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0">
        <f t="shared" si="8"/>
        <v>22954000</v>
      </c>
      <c r="E38" s="258" t="s">
        <v>185</v>
      </c>
      <c r="F38" s="262">
        <f t="shared" si="10"/>
        <v>138412.14348311909</v>
      </c>
      <c r="G38" s="264">
        <f t="shared" si="11"/>
        <v>154744776.41412714</v>
      </c>
      <c r="H38" s="270">
        <f t="shared" si="9"/>
        <v>34168776.158782162</v>
      </c>
      <c r="I38" s="262">
        <f t="shared" si="12"/>
        <v>192768.3510608552</v>
      </c>
      <c r="J38" s="273">
        <f t="shared" si="13"/>
        <v>215515016.48603612</v>
      </c>
      <c r="K38" s="260">
        <f t="shared" si="14"/>
        <v>11214776.158782162</v>
      </c>
      <c r="L38" s="260">
        <f t="shared" si="15"/>
        <v>60770240.071908981</v>
      </c>
      <c r="M38" s="277">
        <f t="shared" si="16"/>
        <v>0.48857611565662462</v>
      </c>
      <c r="N38" s="278">
        <f t="shared" si="17"/>
        <v>0.39271270720813212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0">
        <f t="shared" si="8"/>
        <v>7818984</v>
      </c>
      <c r="E39" s="258" t="s">
        <v>185</v>
      </c>
      <c r="F39" s="262">
        <f t="shared" si="10"/>
        <v>32808.607210343704</v>
      </c>
      <c r="G39" s="264">
        <f t="shared" si="11"/>
        <v>36680022.861164257</v>
      </c>
      <c r="H39" s="270">
        <f t="shared" si="9"/>
        <v>6255187.2000000002</v>
      </c>
      <c r="I39" s="262">
        <f t="shared" si="12"/>
        <v>26840.895159405656</v>
      </c>
      <c r="J39" s="273">
        <f t="shared" si="13"/>
        <v>30008120.788215525</v>
      </c>
      <c r="K39" s="260">
        <f t="shared" si="14"/>
        <v>-1563796.7999999998</v>
      </c>
      <c r="L39" s="260">
        <f t="shared" si="15"/>
        <v>-6671902.0729487315</v>
      </c>
      <c r="M39" s="277">
        <f t="shared" si="16"/>
        <v>-0.19999999999999998</v>
      </c>
      <c r="N39" s="278">
        <f t="shared" si="17"/>
        <v>-0.18189470868658447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0">
        <f t="shared" si="8"/>
        <v>3535945</v>
      </c>
      <c r="E40" s="258" t="s">
        <v>185</v>
      </c>
      <c r="F40" s="262">
        <f t="shared" si="10"/>
        <v>7217</v>
      </c>
      <c r="G40" s="264">
        <f t="shared" si="11"/>
        <v>8068606</v>
      </c>
      <c r="H40" s="270">
        <f t="shared" si="9"/>
        <v>3535945</v>
      </c>
      <c r="I40" s="262">
        <f t="shared" si="12"/>
        <v>7217</v>
      </c>
      <c r="J40" s="273">
        <f t="shared" si="13"/>
        <v>8068606</v>
      </c>
      <c r="K40" s="260">
        <f t="shared" si="14"/>
        <v>0</v>
      </c>
      <c r="L40" s="260">
        <f t="shared" si="15"/>
        <v>0</v>
      </c>
      <c r="M40" s="277">
        <f t="shared" si="16"/>
        <v>0</v>
      </c>
      <c r="N40" s="278">
        <f t="shared" si="17"/>
        <v>0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0">
        <f t="shared" si="8"/>
        <v>15700000</v>
      </c>
      <c r="E41" s="280" t="s">
        <v>184</v>
      </c>
      <c r="F41" s="262">
        <f t="shared" ref="F41" si="18">F24</f>
        <v>360832.73711340129</v>
      </c>
      <c r="G41" s="264">
        <f>F41*$I$31</f>
        <v>42000930.599999905</v>
      </c>
      <c r="H41" s="270">
        <f t="shared" si="9"/>
        <v>12000000</v>
      </c>
      <c r="I41" s="262">
        <f>J24</f>
        <v>287552.10043149628</v>
      </c>
      <c r="J41" s="273">
        <f>I41*$I$31</f>
        <v>33471064.490226164</v>
      </c>
      <c r="K41" s="260">
        <f t="shared" si="14"/>
        <v>-3700000</v>
      </c>
      <c r="L41" s="260">
        <f t="shared" si="15"/>
        <v>-8529866.1097737402</v>
      </c>
      <c r="M41" s="277">
        <f t="shared" si="16"/>
        <v>-0.2356687898089172</v>
      </c>
      <c r="N41" s="278">
        <f t="shared" si="17"/>
        <v>-0.20308755039284199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79855579</v>
      </c>
      <c r="E42" s="77"/>
      <c r="F42" s="77"/>
      <c r="G42" s="265">
        <f>SUM(G34:G41)</f>
        <v>740830175.17266345</v>
      </c>
      <c r="H42" s="271">
        <f>SUM(H34:H41)</f>
        <v>89746473.558782175</v>
      </c>
      <c r="I42" s="77"/>
      <c r="J42" s="274">
        <f>SUM(J34:J41)</f>
        <v>880734742.31843019</v>
      </c>
      <c r="K42" s="76">
        <f t="shared" si="14"/>
        <v>9890894.5587821752</v>
      </c>
      <c r="L42" s="297">
        <f t="shared" si="15"/>
        <v>139904567.14576674</v>
      </c>
      <c r="M42" s="79">
        <f t="shared" si="16"/>
        <v>0.12385978140340295</v>
      </c>
      <c r="N42" s="279">
        <f t="shared" si="17"/>
        <v>0.18884836475938568</v>
      </c>
    </row>
    <row r="43" spans="1:14" x14ac:dyDescent="0.3">
      <c r="D43" s="281">
        <v>0.54</v>
      </c>
      <c r="E43" s="281">
        <v>0.34</v>
      </c>
      <c r="F43" s="185" t="s">
        <v>242</v>
      </c>
      <c r="G43" s="282">
        <f>SUM(G34:G40)*$E$43 + (G41*$D$43)</f>
        <v>260282445.67870557</v>
      </c>
      <c r="H43" s="249"/>
      <c r="I43" s="183"/>
      <c r="J43" s="282">
        <f>SUM(J34:J40)*$E$43 + (J41*$D$43)</f>
        <v>306144025.28631151</v>
      </c>
      <c r="K43" s="249"/>
      <c r="L43" s="282">
        <f>SUM(L34:L40)*$E$43 + (L41*$D$43)</f>
        <v>45861579.607605882</v>
      </c>
      <c r="M43" s="298">
        <f>L43/L42</f>
        <v>0.3278061648968375</v>
      </c>
      <c r="N43" s="283">
        <f>N42*(L43/L42)</f>
        <v>6.1905658198813301E-2</v>
      </c>
    </row>
    <row r="44" spans="1:14" x14ac:dyDescent="0.3">
      <c r="D44" s="281">
        <v>0.46</v>
      </c>
      <c r="E44" s="281">
        <v>0.39</v>
      </c>
      <c r="F44" s="185" t="s">
        <v>243</v>
      </c>
      <c r="G44" s="282">
        <f>SUM(G34:G40)*$E$44 + (G41*$D$44)</f>
        <v>291863833.45933878</v>
      </c>
      <c r="H44" s="249"/>
      <c r="I44" s="183"/>
      <c r="J44" s="282">
        <f>SUM(J34:J40)*$E$44 + (J41*$D$44)</f>
        <v>345829524.01850361</v>
      </c>
      <c r="K44" s="249"/>
      <c r="L44" s="282">
        <f>SUM(L34:L40)*$E$44 + (L41*$D$44)</f>
        <v>53965690.559164792</v>
      </c>
      <c r="M44" s="298">
        <f>L44/L42</f>
        <v>0.38573215771389274</v>
      </c>
      <c r="N44" s="283">
        <f>N42*(L44/L42)</f>
        <v>7.2844887219378096E-2</v>
      </c>
    </row>
    <row r="45" spans="1:14" x14ac:dyDescent="0.3">
      <c r="D45" s="281">
        <v>0</v>
      </c>
      <c r="E45" s="281">
        <v>0.27</v>
      </c>
      <c r="F45" s="185" t="s">
        <v>244</v>
      </c>
      <c r="G45" s="282">
        <f>SUM(G34:G40)*$E$45 + (G41*$D$45)</f>
        <v>188683896.03461918</v>
      </c>
      <c r="H45" s="249"/>
      <c r="I45" s="183"/>
      <c r="J45" s="282">
        <f>SUM(J34:J40)*$E$45 + (J41*$D$45)</f>
        <v>228761193.0136151</v>
      </c>
      <c r="K45" s="249"/>
      <c r="L45" s="282">
        <f>SUM(L34:L40)*$E$45 + (L41*$D$45)</f>
        <v>40077296.978995882</v>
      </c>
      <c r="M45" s="298">
        <f>L45/L42</f>
        <v>0.28646167738926848</v>
      </c>
      <c r="N45" s="283">
        <f>N42*(L45/L42)</f>
        <v>5.4097819341194037E-2</v>
      </c>
    </row>
    <row r="46" spans="1:14" x14ac:dyDescent="0.3">
      <c r="D46" s="249" t="s">
        <v>184</v>
      </c>
      <c r="E46" s="249" t="s">
        <v>273</v>
      </c>
      <c r="F46" s="249"/>
      <c r="G46" s="249"/>
      <c r="H46" s="249"/>
      <c r="I46" s="249"/>
      <c r="J46" s="249"/>
      <c r="K46" s="249"/>
      <c r="L46" s="249"/>
      <c r="M46" s="249"/>
      <c r="N46" s="249"/>
    </row>
    <row r="47" spans="1:14" ht="27.6" x14ac:dyDescent="0.3">
      <c r="D47" s="186" t="s">
        <v>274</v>
      </c>
      <c r="E47" s="249"/>
      <c r="F47" s="249"/>
      <c r="G47" s="249"/>
      <c r="H47" s="249"/>
      <c r="I47" s="249"/>
      <c r="J47" s="249"/>
      <c r="K47" s="249"/>
      <c r="L47" s="249"/>
      <c r="M47" s="249"/>
      <c r="N47" s="249"/>
    </row>
  </sheetData>
  <mergeCells count="19">
    <mergeCell ref="C32:C33"/>
    <mergeCell ref="D32:G32"/>
    <mergeCell ref="H32:J32"/>
    <mergeCell ref="B4:I4"/>
    <mergeCell ref="K15:N15"/>
    <mergeCell ref="K32:N32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E9" sqref="E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439" t="s">
        <v>105</v>
      </c>
      <c r="I2" s="440"/>
      <c r="J2" s="440"/>
      <c r="K2" s="440"/>
      <c r="L2" s="440"/>
      <c r="M2" s="440"/>
      <c r="N2" s="441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2" t="s">
        <v>136</v>
      </c>
      <c r="I3" s="443"/>
      <c r="J3" s="443"/>
      <c r="K3" s="443"/>
      <c r="L3" s="443"/>
      <c r="M3" s="443"/>
      <c r="N3" s="444"/>
    </row>
    <row r="4" spans="1:14" ht="18.600000000000001" customHeight="1" thickBot="1" x14ac:dyDescent="0.35">
      <c r="A4" s="29" t="s">
        <v>38</v>
      </c>
      <c r="B4" s="445" t="s">
        <v>131</v>
      </c>
      <c r="C4" s="446"/>
      <c r="D4" s="446"/>
      <c r="E4" s="446"/>
      <c r="F4" s="447"/>
    </row>
    <row r="6" spans="1:14" ht="14.4" thickBot="1" x14ac:dyDescent="0.35"/>
    <row r="7" spans="1:14" ht="27.6" customHeight="1" x14ac:dyDescent="0.3">
      <c r="A7" s="428" t="s">
        <v>8</v>
      </c>
      <c r="B7" s="431" t="s">
        <v>9</v>
      </c>
      <c r="C7" s="432"/>
      <c r="D7" s="448" t="s">
        <v>12</v>
      </c>
      <c r="E7" s="431"/>
      <c r="F7" s="432"/>
      <c r="G7" s="448" t="s">
        <v>143</v>
      </c>
      <c r="H7" s="431"/>
      <c r="I7" s="433"/>
      <c r="J7" s="1" t="s">
        <v>144</v>
      </c>
    </row>
    <row r="8" spans="1:14" ht="27.6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0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$B$13*D9+$C$13*D9*D9</f>
        <v>239856.72092273776</v>
      </c>
      <c r="F9" s="85">
        <f>$E$13*D9+$F$13*D9*D9</f>
        <v>2765547.9922391665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428" t="s">
        <v>42</v>
      </c>
      <c r="B11" s="431" t="s">
        <v>138</v>
      </c>
      <c r="C11" s="431"/>
      <c r="D11" s="431" t="s">
        <v>125</v>
      </c>
      <c r="E11" s="431" t="s">
        <v>137</v>
      </c>
      <c r="F11" s="431"/>
      <c r="G11" s="433" t="s">
        <v>134</v>
      </c>
      <c r="I11" s="141"/>
      <c r="J11" s="32"/>
    </row>
    <row r="12" spans="1:14" ht="24.6" customHeight="1" x14ac:dyDescent="0.3">
      <c r="A12" s="429"/>
      <c r="B12" s="91" t="s">
        <v>43</v>
      </c>
      <c r="C12" s="91" t="s">
        <v>44</v>
      </c>
      <c r="D12" s="414"/>
      <c r="E12" s="91" t="s">
        <v>132</v>
      </c>
      <c r="F12" s="91" t="s">
        <v>133</v>
      </c>
      <c r="G12" s="434"/>
      <c r="H12" s="291" t="s">
        <v>263</v>
      </c>
      <c r="I12" s="291" t="s">
        <v>264</v>
      </c>
      <c r="J12" s="32"/>
    </row>
    <row r="13" spans="1:14" ht="14.4" thickBot="1" x14ac:dyDescent="0.35">
      <c r="A13" s="430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89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5" t="s">
        <v>135</v>
      </c>
      <c r="B14" s="435"/>
      <c r="C14" s="435"/>
      <c r="D14" s="435"/>
      <c r="E14" s="435"/>
      <c r="F14" s="435"/>
      <c r="G14" s="435"/>
      <c r="H14" s="39"/>
      <c r="I14" s="39"/>
      <c r="J14" s="39"/>
    </row>
    <row r="15" spans="1:14" ht="30.6" customHeight="1" x14ac:dyDescent="0.3">
      <c r="A15" s="436"/>
      <c r="B15" s="436"/>
      <c r="C15" s="436"/>
      <c r="D15" s="436"/>
      <c r="E15" s="436"/>
      <c r="F15" s="436"/>
      <c r="G15" s="436"/>
      <c r="H15" s="39"/>
      <c r="I15" s="39"/>
      <c r="J15" s="39"/>
    </row>
    <row r="17" spans="1:4" ht="14.4" thickBot="1" x14ac:dyDescent="0.35"/>
    <row r="18" spans="1:4" ht="16.8" customHeight="1" x14ac:dyDescent="0.3">
      <c r="A18" s="43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8"/>
      <c r="B19" s="103">
        <v>0</v>
      </c>
      <c r="C19" s="103">
        <v>15000000</v>
      </c>
      <c r="D19" s="26">
        <v>20</v>
      </c>
    </row>
    <row r="21" spans="1:4" x14ac:dyDescent="0.3">
      <c r="A21" s="414" t="s">
        <v>37</v>
      </c>
      <c r="B21" s="414"/>
      <c r="C21" s="41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2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2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2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2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2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2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2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2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2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2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2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2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2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2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2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2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2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2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2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2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439" t="s">
        <v>105</v>
      </c>
      <c r="I2" s="440"/>
      <c r="J2" s="440"/>
      <c r="K2" s="440"/>
      <c r="L2" s="440"/>
      <c r="M2" s="440"/>
      <c r="N2" s="441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2" t="s">
        <v>136</v>
      </c>
      <c r="I3" s="443"/>
      <c r="J3" s="443"/>
      <c r="K3" s="443"/>
      <c r="L3" s="443"/>
      <c r="M3" s="443"/>
      <c r="N3" s="444"/>
    </row>
    <row r="4" spans="1:14" ht="18.600000000000001" customHeight="1" thickBot="1" x14ac:dyDescent="0.35">
      <c r="A4" s="29" t="s">
        <v>38</v>
      </c>
      <c r="B4" s="445" t="s">
        <v>131</v>
      </c>
      <c r="C4" s="446"/>
      <c r="D4" s="446"/>
      <c r="E4" s="446"/>
      <c r="F4" s="447"/>
    </row>
    <row r="6" spans="1:14" ht="14.4" thickBot="1" x14ac:dyDescent="0.35"/>
    <row r="7" spans="1:14" ht="27.6" customHeight="1" x14ac:dyDescent="0.3">
      <c r="A7" s="428" t="s">
        <v>8</v>
      </c>
      <c r="B7" s="431" t="s">
        <v>9</v>
      </c>
      <c r="C7" s="432"/>
      <c r="D7" s="448" t="s">
        <v>12</v>
      </c>
      <c r="E7" s="431"/>
      <c r="F7" s="432"/>
      <c r="G7" s="448" t="s">
        <v>143</v>
      </c>
      <c r="H7" s="431"/>
      <c r="I7" s="433"/>
      <c r="J7" s="1" t="s">
        <v>144</v>
      </c>
    </row>
    <row r="8" spans="1:14" ht="27.6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0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$B$13*D9+$C$13*D9*D9</f>
        <v>277175.40674512938</v>
      </c>
      <c r="F9" s="85">
        <f>$E$13*D9+$F$13*D9*D9</f>
        <v>3195832.4397713416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428" t="s">
        <v>42</v>
      </c>
      <c r="B11" s="431" t="s">
        <v>138</v>
      </c>
      <c r="C11" s="431"/>
      <c r="D11" s="431" t="s">
        <v>125</v>
      </c>
      <c r="E11" s="431" t="s">
        <v>137</v>
      </c>
      <c r="F11" s="431"/>
      <c r="G11" s="433" t="s">
        <v>134</v>
      </c>
      <c r="J11" s="32"/>
    </row>
    <row r="12" spans="1:14" ht="24.6" customHeight="1" x14ac:dyDescent="0.3">
      <c r="A12" s="429"/>
      <c r="B12" s="91" t="s">
        <v>43</v>
      </c>
      <c r="C12" s="91" t="s">
        <v>44</v>
      </c>
      <c r="D12" s="414"/>
      <c r="E12" s="91" t="s">
        <v>132</v>
      </c>
      <c r="F12" s="91" t="s">
        <v>133</v>
      </c>
      <c r="G12" s="434"/>
      <c r="H12" s="291" t="s">
        <v>263</v>
      </c>
      <c r="I12" s="291" t="s">
        <v>264</v>
      </c>
      <c r="J12" s="32"/>
    </row>
    <row r="13" spans="1:14" ht="14.4" thickBot="1" x14ac:dyDescent="0.35">
      <c r="A13" s="430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89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5" t="s">
        <v>135</v>
      </c>
      <c r="B14" s="435"/>
      <c r="C14" s="435"/>
      <c r="D14" s="435"/>
      <c r="E14" s="435"/>
      <c r="F14" s="435"/>
      <c r="G14" s="435"/>
      <c r="H14" s="39"/>
      <c r="I14" s="39"/>
      <c r="J14" s="39"/>
    </row>
    <row r="15" spans="1:14" ht="30.6" customHeight="1" x14ac:dyDescent="0.3">
      <c r="A15" s="436"/>
      <c r="B15" s="436"/>
      <c r="C15" s="436"/>
      <c r="D15" s="436"/>
      <c r="E15" s="436"/>
      <c r="F15" s="436"/>
      <c r="G15" s="436"/>
      <c r="H15" s="39"/>
      <c r="I15" s="39"/>
      <c r="J15" s="39"/>
    </row>
    <row r="17" spans="1:4" ht="14.4" thickBot="1" x14ac:dyDescent="0.35"/>
    <row r="18" spans="1:4" ht="16.8" customHeight="1" x14ac:dyDescent="0.3">
      <c r="A18" s="43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8"/>
      <c r="B19" s="103">
        <v>0</v>
      </c>
      <c r="C19" s="103">
        <v>40000000</v>
      </c>
      <c r="D19" s="26">
        <v>20</v>
      </c>
    </row>
    <row r="21" spans="1:4" x14ac:dyDescent="0.3">
      <c r="A21" s="414" t="s">
        <v>37</v>
      </c>
      <c r="B21" s="414"/>
      <c r="C21" s="41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2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2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2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2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2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2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2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2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2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2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2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2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2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2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2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2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2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2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2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2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39" t="s">
        <v>105</v>
      </c>
      <c r="I2" s="440"/>
      <c r="J2" s="440"/>
      <c r="K2" s="440"/>
      <c r="L2" s="440"/>
      <c r="M2" s="440"/>
      <c r="N2" s="441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2" t="s">
        <v>136</v>
      </c>
      <c r="I3" s="443"/>
      <c r="J3" s="443"/>
      <c r="K3" s="443"/>
      <c r="L3" s="443"/>
      <c r="M3" s="443"/>
      <c r="N3" s="444"/>
    </row>
    <row r="4" spans="1:14" ht="18.600000000000001" customHeight="1" thickBot="1" x14ac:dyDescent="0.35">
      <c r="A4" s="29" t="s">
        <v>38</v>
      </c>
      <c r="B4" s="445" t="s">
        <v>131</v>
      </c>
      <c r="C4" s="446"/>
      <c r="D4" s="446"/>
      <c r="E4" s="446"/>
      <c r="F4" s="447"/>
    </row>
    <row r="6" spans="1:14" ht="14.4" thickBot="1" x14ac:dyDescent="0.35"/>
    <row r="7" spans="1:14" ht="27.6" customHeight="1" x14ac:dyDescent="0.3">
      <c r="A7" s="428" t="s">
        <v>8</v>
      </c>
      <c r="B7" s="431" t="s">
        <v>9</v>
      </c>
      <c r="C7" s="432"/>
      <c r="D7" s="448" t="s">
        <v>12</v>
      </c>
      <c r="E7" s="431"/>
      <c r="F7" s="432"/>
      <c r="G7" s="448" t="s">
        <v>143</v>
      </c>
      <c r="H7" s="431"/>
      <c r="I7" s="433"/>
      <c r="J7" s="1" t="s">
        <v>144</v>
      </c>
    </row>
    <row r="8" spans="1:14" ht="27.6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0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428" t="s">
        <v>42</v>
      </c>
      <c r="B11" s="431" t="s">
        <v>138</v>
      </c>
      <c r="C11" s="431"/>
      <c r="D11" s="431" t="s">
        <v>125</v>
      </c>
      <c r="E11" s="431" t="s">
        <v>137</v>
      </c>
      <c r="F11" s="431"/>
      <c r="G11" s="433" t="s">
        <v>134</v>
      </c>
      <c r="J11" s="32"/>
    </row>
    <row r="12" spans="1:14" ht="24.6" customHeight="1" x14ac:dyDescent="0.3">
      <c r="A12" s="429"/>
      <c r="B12" s="91" t="s">
        <v>43</v>
      </c>
      <c r="C12" s="91" t="s">
        <v>44</v>
      </c>
      <c r="D12" s="414"/>
      <c r="E12" s="91" t="s">
        <v>132</v>
      </c>
      <c r="F12" s="91" t="s">
        <v>133</v>
      </c>
      <c r="G12" s="434"/>
      <c r="H12" s="291" t="s">
        <v>263</v>
      </c>
      <c r="I12" s="291" t="s">
        <v>264</v>
      </c>
      <c r="J12" s="32"/>
    </row>
    <row r="13" spans="1:14" ht="14.4" thickBot="1" x14ac:dyDescent="0.35">
      <c r="A13" s="430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5" t="s">
        <v>135</v>
      </c>
      <c r="B14" s="435"/>
      <c r="C14" s="435"/>
      <c r="D14" s="435"/>
      <c r="E14" s="435"/>
      <c r="F14" s="435"/>
      <c r="G14" s="435"/>
      <c r="H14" s="39"/>
      <c r="I14" s="39"/>
      <c r="J14" s="39"/>
    </row>
    <row r="15" spans="1:14" ht="30.6" customHeight="1" x14ac:dyDescent="0.3">
      <c r="A15" s="436"/>
      <c r="B15" s="436"/>
      <c r="C15" s="436"/>
      <c r="D15" s="436"/>
      <c r="E15" s="436"/>
      <c r="F15" s="436"/>
      <c r="G15" s="436"/>
      <c r="H15" s="39"/>
      <c r="I15" s="39"/>
      <c r="J15" s="39"/>
    </row>
    <row r="17" spans="1:4" ht="14.4" thickBot="1" x14ac:dyDescent="0.35"/>
    <row r="18" spans="1:4" ht="16.8" customHeight="1" x14ac:dyDescent="0.3">
      <c r="A18" s="43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8"/>
      <c r="B19" s="103">
        <v>0</v>
      </c>
      <c r="C19" s="103">
        <v>60000000</v>
      </c>
      <c r="D19" s="26">
        <v>20</v>
      </c>
    </row>
    <row r="21" spans="1:4" x14ac:dyDescent="0.3">
      <c r="A21" s="414" t="s">
        <v>37</v>
      </c>
      <c r="B21" s="414"/>
      <c r="C21" s="41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2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2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2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2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2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2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2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2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2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2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2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2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2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2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2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2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2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2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2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2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39" t="s">
        <v>105</v>
      </c>
      <c r="I2" s="440"/>
      <c r="J2" s="440"/>
      <c r="K2" s="440"/>
      <c r="L2" s="440"/>
      <c r="M2" s="440"/>
      <c r="N2" s="441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442" t="s">
        <v>136</v>
      </c>
      <c r="I3" s="443"/>
      <c r="J3" s="443"/>
      <c r="K3" s="443"/>
      <c r="L3" s="443"/>
      <c r="M3" s="443"/>
      <c r="N3" s="444"/>
    </row>
    <row r="4" spans="1:14" ht="18.600000000000001" customHeight="1" thickBot="1" x14ac:dyDescent="0.35">
      <c r="A4" s="29" t="s">
        <v>38</v>
      </c>
      <c r="B4" s="445" t="s">
        <v>131</v>
      </c>
      <c r="C4" s="446"/>
      <c r="D4" s="446"/>
      <c r="E4" s="446"/>
      <c r="F4" s="447"/>
    </row>
    <row r="6" spans="1:14" ht="14.4" thickBot="1" x14ac:dyDescent="0.35"/>
    <row r="7" spans="1:14" ht="27.6" customHeight="1" x14ac:dyDescent="0.3">
      <c r="A7" s="428" t="s">
        <v>8</v>
      </c>
      <c r="B7" s="431" t="s">
        <v>9</v>
      </c>
      <c r="C7" s="432"/>
      <c r="D7" s="448" t="s">
        <v>12</v>
      </c>
      <c r="E7" s="431"/>
      <c r="F7" s="432"/>
      <c r="G7" s="448" t="s">
        <v>143</v>
      </c>
      <c r="H7" s="431"/>
      <c r="I7" s="433"/>
      <c r="J7" s="1" t="s">
        <v>144</v>
      </c>
    </row>
    <row r="8" spans="1:14" ht="27.6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0"/>
      <c r="B9" s="112">
        <f>JJ_Optim_Scenario!E19</f>
        <v>3804716</v>
      </c>
      <c r="C9" s="113">
        <f>JJ_Optim_Scenario!H19</f>
        <v>4185187.6000000006</v>
      </c>
      <c r="D9" s="114">
        <f>JJ_Optim_Scenario!I19</f>
        <v>3424244.4</v>
      </c>
      <c r="E9" s="119">
        <f>$B$13*D9+$C$13*D9*D9</f>
        <v>11752.308384638445</v>
      </c>
      <c r="F9" s="85">
        <f>$E$13*D9+$F$13*D9*D9</f>
        <v>135504.11567488126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428" t="s">
        <v>42</v>
      </c>
      <c r="B11" s="431" t="s">
        <v>138</v>
      </c>
      <c r="C11" s="431"/>
      <c r="D11" s="431" t="s">
        <v>125</v>
      </c>
      <c r="E11" s="431" t="s">
        <v>137</v>
      </c>
      <c r="F11" s="431"/>
      <c r="G11" s="433" t="s">
        <v>134</v>
      </c>
      <c r="J11" s="32"/>
    </row>
    <row r="12" spans="1:14" ht="24.6" customHeight="1" x14ac:dyDescent="0.3">
      <c r="A12" s="429"/>
      <c r="B12" s="91" t="s">
        <v>43</v>
      </c>
      <c r="C12" s="91" t="s">
        <v>44</v>
      </c>
      <c r="D12" s="414"/>
      <c r="E12" s="91" t="s">
        <v>132</v>
      </c>
      <c r="F12" s="91" t="s">
        <v>133</v>
      </c>
      <c r="G12" s="434"/>
      <c r="H12" s="291" t="s">
        <v>263</v>
      </c>
      <c r="I12" s="291" t="s">
        <v>264</v>
      </c>
      <c r="J12" s="32"/>
    </row>
    <row r="13" spans="1:14" ht="14.4" thickBot="1" x14ac:dyDescent="0.35">
      <c r="A13" s="430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89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5" t="s">
        <v>135</v>
      </c>
      <c r="B14" s="435"/>
      <c r="C14" s="435"/>
      <c r="D14" s="435"/>
      <c r="E14" s="435"/>
      <c r="F14" s="435"/>
      <c r="G14" s="435"/>
      <c r="H14" s="39"/>
      <c r="I14" s="39"/>
      <c r="J14" s="39"/>
    </row>
    <row r="15" spans="1:14" ht="30.6" customHeight="1" x14ac:dyDescent="0.3">
      <c r="A15" s="436"/>
      <c r="B15" s="436"/>
      <c r="C15" s="436"/>
      <c r="D15" s="436"/>
      <c r="E15" s="436"/>
      <c r="F15" s="436"/>
      <c r="G15" s="436"/>
      <c r="H15" s="39"/>
      <c r="I15" s="39"/>
      <c r="J15" s="39"/>
    </row>
    <row r="17" spans="1:4" ht="14.4" thickBot="1" x14ac:dyDescent="0.35"/>
    <row r="18" spans="1:4" ht="16.8" customHeight="1" x14ac:dyDescent="0.3">
      <c r="A18" s="43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8"/>
      <c r="B19" s="103">
        <v>0</v>
      </c>
      <c r="C19" s="103">
        <v>10000000</v>
      </c>
      <c r="D19" s="26">
        <v>20</v>
      </c>
    </row>
    <row r="21" spans="1:4" x14ac:dyDescent="0.3">
      <c r="A21" s="414" t="s">
        <v>37</v>
      </c>
      <c r="B21" s="414"/>
      <c r="C21" s="41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2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2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2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2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2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2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2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2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2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2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2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2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2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2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2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2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2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2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2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2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2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415" t="s">
        <v>105</v>
      </c>
      <c r="N2" s="416"/>
      <c r="O2" s="416"/>
      <c r="P2" s="416"/>
      <c r="Q2" s="416"/>
      <c r="R2" s="416"/>
      <c r="S2" s="417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418" t="s">
        <v>72</v>
      </c>
      <c r="N3" s="419"/>
      <c r="O3" s="419"/>
      <c r="P3" s="419"/>
      <c r="Q3" s="419"/>
      <c r="R3" s="419"/>
      <c r="S3" s="420"/>
    </row>
    <row r="4" spans="1:25" ht="15" customHeight="1" thickBot="1" x14ac:dyDescent="0.35">
      <c r="A4" s="29" t="s">
        <v>38</v>
      </c>
      <c r="B4" s="445" t="s">
        <v>57</v>
      </c>
      <c r="C4" s="446"/>
      <c r="D4" s="446"/>
      <c r="E4" s="446"/>
      <c r="F4" s="447"/>
    </row>
    <row r="6" spans="1:25" ht="14.4" thickBot="1" x14ac:dyDescent="0.35"/>
    <row r="7" spans="1:25" ht="27.6" customHeight="1" x14ac:dyDescent="0.3">
      <c r="A7" s="428" t="s">
        <v>8</v>
      </c>
      <c r="B7" s="431" t="s">
        <v>9</v>
      </c>
      <c r="C7" s="431"/>
      <c r="D7" s="431" t="s">
        <v>12</v>
      </c>
      <c r="E7" s="431"/>
      <c r="F7" s="431"/>
      <c r="G7" s="431" t="s">
        <v>143</v>
      </c>
      <c r="H7" s="431"/>
      <c r="I7" s="433"/>
      <c r="J7" s="449" t="s">
        <v>144</v>
      </c>
      <c r="K7" s="450"/>
      <c r="M7" s="460" t="s">
        <v>73</v>
      </c>
      <c r="N7" s="460"/>
      <c r="O7" s="460"/>
      <c r="P7" s="460"/>
      <c r="R7" s="47" t="s">
        <v>58</v>
      </c>
    </row>
    <row r="8" spans="1:25" ht="27.6" x14ac:dyDescent="0.3">
      <c r="A8" s="429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460"/>
      <c r="N8" s="460"/>
      <c r="O8" s="460"/>
      <c r="P8" s="460"/>
      <c r="R8" s="47" t="s">
        <v>59</v>
      </c>
    </row>
    <row r="9" spans="1:25" ht="14.4" thickBot="1" x14ac:dyDescent="0.35">
      <c r="A9" s="430"/>
      <c r="B9" s="112">
        <f>JJ_Optim_Scenario!G20</f>
        <v>4440000</v>
      </c>
      <c r="C9" s="112">
        <f>JJ_Optim_Scenario!H20</f>
        <v>6253528.5509214355</v>
      </c>
      <c r="D9" s="117">
        <f>JJ_Optim_Scenario!I20</f>
        <v>4440000</v>
      </c>
      <c r="E9" s="118">
        <f>csplinePred($B$14:$B$20,$C$14:$C$20,$H$14:$O$20,D9)*$C$12</f>
        <v>2228.0277703496668</v>
      </c>
      <c r="F9" s="118">
        <f>E9*$C$11</f>
        <v>25689.160192131658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428" t="s">
        <v>148</v>
      </c>
      <c r="B11" s="93" t="s">
        <v>149</v>
      </c>
      <c r="C11" s="10">
        <v>11.53</v>
      </c>
      <c r="D11" s="291" t="s">
        <v>263</v>
      </c>
      <c r="E11" s="291" t="s">
        <v>264</v>
      </c>
    </row>
    <row r="12" spans="1:25" ht="38.4" customHeight="1" thickBot="1" x14ac:dyDescent="0.35">
      <c r="A12" s="430"/>
      <c r="B12" s="137" t="s">
        <v>134</v>
      </c>
      <c r="C12" s="289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428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451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429"/>
      <c r="B14" s="125">
        <v>0</v>
      </c>
      <c r="C14" s="127">
        <v>0</v>
      </c>
      <c r="D14" s="133">
        <f>C14*$C$11</f>
        <v>0</v>
      </c>
      <c r="E14" s="130"/>
      <c r="G14" s="452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429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452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429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452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429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452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429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452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429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452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430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453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454" t="s">
        <v>74</v>
      </c>
      <c r="B21" s="455"/>
      <c r="C21" s="456"/>
      <c r="D21" s="33"/>
      <c r="G21" s="436" t="s">
        <v>75</v>
      </c>
      <c r="H21" s="436"/>
      <c r="I21" s="436"/>
      <c r="J21" s="436"/>
      <c r="K21" s="436"/>
      <c r="L21" s="436"/>
      <c r="M21" s="436"/>
      <c r="N21" s="436"/>
      <c r="O21" s="436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457"/>
      <c r="B22" s="458"/>
      <c r="C22" s="459"/>
      <c r="D22" s="33"/>
      <c r="G22" s="436"/>
      <c r="H22" s="436"/>
      <c r="I22" s="436"/>
      <c r="J22" s="436"/>
      <c r="K22" s="436"/>
      <c r="L22" s="436"/>
      <c r="M22" s="436"/>
      <c r="N22" s="436"/>
      <c r="O22" s="436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437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438"/>
      <c r="B26" s="103">
        <v>0</v>
      </c>
      <c r="C26" s="103">
        <v>20000000</v>
      </c>
      <c r="D26" s="26">
        <v>20</v>
      </c>
    </row>
    <row r="28" spans="1:25" x14ac:dyDescent="0.3">
      <c r="A28" s="414" t="s">
        <v>37</v>
      </c>
      <c r="B28" s="414"/>
      <c r="C28" s="414"/>
    </row>
    <row r="29" spans="1:25" x14ac:dyDescent="0.3">
      <c r="A29" s="91" t="s">
        <v>35</v>
      </c>
      <c r="B29" s="91" t="s">
        <v>127</v>
      </c>
      <c r="C29" s="91" t="s">
        <v>156</v>
      </c>
      <c r="D29" s="291" t="s">
        <v>265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2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2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2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2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2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2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2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2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2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2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2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2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2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2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2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2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2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2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2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2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2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4" t="s">
        <v>111</v>
      </c>
      <c r="C4" s="464"/>
      <c r="D4" s="464"/>
      <c r="E4" s="464"/>
      <c r="F4" s="46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28" t="s">
        <v>8</v>
      </c>
      <c r="B7" s="431" t="s">
        <v>9</v>
      </c>
      <c r="C7" s="432"/>
      <c r="D7" s="466" t="s">
        <v>12</v>
      </c>
      <c r="E7" s="467"/>
      <c r="F7" s="468"/>
      <c r="G7" s="431" t="s">
        <v>143</v>
      </c>
      <c r="H7" s="431"/>
      <c r="I7" s="433"/>
      <c r="J7" s="1" t="s">
        <v>144</v>
      </c>
    </row>
    <row r="8" spans="1:18" ht="28.2" customHeight="1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0"/>
      <c r="B9" s="80">
        <f>JJ_Optim_Scenario!G21</f>
        <v>22954000</v>
      </c>
      <c r="C9" s="80">
        <f>JJ_Optim_Scenario!H21</f>
        <v>36811696</v>
      </c>
      <c r="D9" s="95">
        <f>JJ_Optim_Scenario!I21</f>
        <v>34168776.158782162</v>
      </c>
      <c r="E9" s="118">
        <f>((($R$12/(1+EXP($P$12+$Q$12*D9)))-1) - ($F$12-$C$12))*$I$12</f>
        <v>192768.3510608552</v>
      </c>
      <c r="F9" s="145">
        <f>E9*$G$12</f>
        <v>2222619.0877316603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42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0">
        <f>JJ_Optim_Scenario!D21</f>
        <v>1</v>
      </c>
      <c r="K12" s="438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461" t="s">
        <v>119</v>
      </c>
      <c r="B13" s="462"/>
      <c r="C13" s="462"/>
      <c r="D13" s="462"/>
      <c r="E13" s="462"/>
      <c r="F13" s="463"/>
      <c r="G13" s="291" t="s">
        <v>263</v>
      </c>
      <c r="H13" s="291" t="s">
        <v>264</v>
      </c>
      <c r="K13" s="461" t="s">
        <v>120</v>
      </c>
      <c r="L13" s="462"/>
      <c r="M13" s="462"/>
      <c r="N13" s="462"/>
      <c r="O13" s="462"/>
      <c r="P13" s="462"/>
      <c r="Q13" s="462"/>
      <c r="R13" s="463"/>
    </row>
    <row r="14" spans="1:18" ht="33.6" customHeight="1" thickBot="1" x14ac:dyDescent="0.35">
      <c r="A14" s="457"/>
      <c r="B14" s="458"/>
      <c r="C14" s="458"/>
      <c r="D14" s="458"/>
      <c r="E14" s="458"/>
      <c r="F14" s="459"/>
      <c r="G14" s="184">
        <f>JJ_Optim_Scenario!$I$31</f>
        <v>116.39999999999999</v>
      </c>
      <c r="H14" s="184">
        <f>JJ_Optim_Scenario!$F$31</f>
        <v>1118</v>
      </c>
      <c r="K14" s="457"/>
      <c r="L14" s="458"/>
      <c r="M14" s="458"/>
      <c r="N14" s="458"/>
      <c r="O14" s="458"/>
      <c r="P14" s="458"/>
      <c r="Q14" s="458"/>
      <c r="R14" s="459"/>
    </row>
    <row r="16" spans="1:18" ht="14.4" thickBot="1" x14ac:dyDescent="0.35"/>
    <row r="17" spans="1:8" ht="42.6" customHeight="1" x14ac:dyDescent="0.3">
      <c r="A17" s="43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8"/>
      <c r="B18" s="102">
        <v>0</v>
      </c>
      <c r="C18" s="103">
        <v>60000000</v>
      </c>
      <c r="D18" s="26">
        <v>20</v>
      </c>
    </row>
    <row r="20" spans="1:8" x14ac:dyDescent="0.3">
      <c r="A20" s="414" t="s">
        <v>37</v>
      </c>
      <c r="B20" s="414"/>
      <c r="C20" s="41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2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2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2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2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2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2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2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2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2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2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2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2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2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2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2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2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2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2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2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2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4" t="s">
        <v>111</v>
      </c>
      <c r="C4" s="464"/>
      <c r="D4" s="464"/>
      <c r="E4" s="464"/>
      <c r="F4" s="46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428" t="s">
        <v>8</v>
      </c>
      <c r="B7" s="431" t="s">
        <v>9</v>
      </c>
      <c r="C7" s="432"/>
      <c r="D7" s="466" t="s">
        <v>12</v>
      </c>
      <c r="E7" s="467"/>
      <c r="F7" s="468"/>
      <c r="G7" s="431" t="s">
        <v>143</v>
      </c>
      <c r="H7" s="431"/>
      <c r="I7" s="433"/>
      <c r="J7" s="1" t="s">
        <v>144</v>
      </c>
    </row>
    <row r="8" spans="1:18" ht="28.2" customHeight="1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0"/>
      <c r="B9" s="80">
        <f>JJ_Optim_Scenario!G22</f>
        <v>6255187.2000000002</v>
      </c>
      <c r="C9" s="80">
        <f>JJ_Optim_Scenario!H22</f>
        <v>8600882.4000000004</v>
      </c>
      <c r="D9" s="95">
        <f>JJ_Optim_Scenario!I22</f>
        <v>6255187.2000000002</v>
      </c>
      <c r="E9" s="118">
        <f>((($R$12/(1+EXP($P$12+$Q$12*D9)))-1) - ($F$12-$C$12))*$I$12</f>
        <v>26840.895159405656</v>
      </c>
      <c r="F9" s="145">
        <f>E9*$G$12</f>
        <v>309475.52118794719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42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0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0">
        <f>JJ_Optim_Scenario!D22</f>
        <v>1</v>
      </c>
      <c r="K12" s="438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461" t="s">
        <v>119</v>
      </c>
      <c r="B13" s="462"/>
      <c r="C13" s="462"/>
      <c r="D13" s="462"/>
      <c r="E13" s="462"/>
      <c r="F13" s="463"/>
      <c r="G13" s="291" t="s">
        <v>263</v>
      </c>
      <c r="H13" s="291" t="s">
        <v>264</v>
      </c>
      <c r="K13" s="461" t="s">
        <v>120</v>
      </c>
      <c r="L13" s="462"/>
      <c r="M13" s="462"/>
      <c r="N13" s="462"/>
      <c r="O13" s="462"/>
      <c r="P13" s="462"/>
      <c r="Q13" s="462"/>
      <c r="R13" s="463"/>
    </row>
    <row r="14" spans="1:18" ht="33.6" customHeight="1" thickBot="1" x14ac:dyDescent="0.35">
      <c r="A14" s="457"/>
      <c r="B14" s="458"/>
      <c r="C14" s="458"/>
      <c r="D14" s="458"/>
      <c r="E14" s="458"/>
      <c r="F14" s="459"/>
      <c r="G14" s="184">
        <f>JJ_Optim_Scenario!$I$31</f>
        <v>116.39999999999999</v>
      </c>
      <c r="H14" s="184">
        <f>JJ_Optim_Scenario!$F$31</f>
        <v>1118</v>
      </c>
      <c r="K14" s="457"/>
      <c r="L14" s="458"/>
      <c r="M14" s="458"/>
      <c r="N14" s="458"/>
      <c r="O14" s="458"/>
      <c r="P14" s="458"/>
      <c r="Q14" s="458"/>
      <c r="R14" s="459"/>
    </row>
    <row r="16" spans="1:18" ht="14.4" thickBot="1" x14ac:dyDescent="0.35"/>
    <row r="17" spans="1:8" ht="42.6" customHeight="1" x14ac:dyDescent="0.3">
      <c r="A17" s="43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8"/>
      <c r="B18" s="102">
        <v>0</v>
      </c>
      <c r="C18" s="103">
        <v>30000000</v>
      </c>
      <c r="D18" s="26">
        <v>20</v>
      </c>
    </row>
    <row r="20" spans="1:8" x14ac:dyDescent="0.3">
      <c r="A20" s="414" t="s">
        <v>37</v>
      </c>
      <c r="B20" s="414"/>
      <c r="C20" s="41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2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2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2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2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2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2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2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2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2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2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2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2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2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2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2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2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2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2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2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2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4" t="s">
        <v>111</v>
      </c>
      <c r="C4" s="464"/>
      <c r="D4" s="464"/>
      <c r="E4" s="464"/>
      <c r="F4" s="46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28" t="s">
        <v>8</v>
      </c>
      <c r="B7" s="431" t="s">
        <v>9</v>
      </c>
      <c r="C7" s="432"/>
      <c r="D7" s="466" t="s">
        <v>12</v>
      </c>
      <c r="E7" s="467"/>
      <c r="F7" s="468"/>
      <c r="G7" s="431" t="s">
        <v>143</v>
      </c>
      <c r="H7" s="431"/>
      <c r="I7" s="433"/>
      <c r="J7" s="1" t="s">
        <v>144</v>
      </c>
    </row>
    <row r="8" spans="1:18" ht="28.2" customHeight="1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0"/>
      <c r="B9" s="80">
        <f>JJ_Optim_Scenario!G23</f>
        <v>3535945</v>
      </c>
      <c r="C9" s="80">
        <f>JJ_Optim_Scenario!H23</f>
        <v>5000000</v>
      </c>
      <c r="D9" s="95">
        <f>JJ_Optim_Scenario!I23</f>
        <v>3535945</v>
      </c>
      <c r="E9" s="118">
        <f>((($R$12/(1+EXP($P$12+$Q$12*D9)))-1) - ($F$12-$C$12))*$I$12</f>
        <v>7217</v>
      </c>
      <c r="F9" s="145">
        <f>E9*$G$12</f>
        <v>83212.009999999995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42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43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0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0">
        <f>JJ_Optim_Scenario!D23</f>
        <v>1</v>
      </c>
      <c r="K12" s="438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461" t="s">
        <v>119</v>
      </c>
      <c r="B13" s="462"/>
      <c r="C13" s="462"/>
      <c r="D13" s="462"/>
      <c r="E13" s="462"/>
      <c r="F13" s="463"/>
      <c r="G13" s="291" t="s">
        <v>263</v>
      </c>
      <c r="H13" s="291" t="s">
        <v>264</v>
      </c>
      <c r="K13" s="461" t="s">
        <v>120</v>
      </c>
      <c r="L13" s="462"/>
      <c r="M13" s="462"/>
      <c r="N13" s="462"/>
      <c r="O13" s="462"/>
      <c r="P13" s="462"/>
      <c r="Q13" s="462"/>
      <c r="R13" s="463"/>
    </row>
    <row r="14" spans="1:18" ht="33.6" customHeight="1" thickBot="1" x14ac:dyDescent="0.35">
      <c r="A14" s="457"/>
      <c r="B14" s="458"/>
      <c r="C14" s="458"/>
      <c r="D14" s="458"/>
      <c r="E14" s="458"/>
      <c r="F14" s="459"/>
      <c r="G14" s="184">
        <f>JJ_Optim_Scenario!$I$31</f>
        <v>116.39999999999999</v>
      </c>
      <c r="H14" s="184">
        <f>JJ_Optim_Scenario!$F$31</f>
        <v>1118</v>
      </c>
      <c r="K14" s="457"/>
      <c r="L14" s="458"/>
      <c r="M14" s="458"/>
      <c r="N14" s="458"/>
      <c r="O14" s="458"/>
      <c r="P14" s="458"/>
      <c r="Q14" s="458"/>
      <c r="R14" s="459"/>
    </row>
    <row r="16" spans="1:18" ht="14.4" thickBot="1" x14ac:dyDescent="0.35"/>
    <row r="17" spans="1:8" ht="42.6" customHeight="1" x14ac:dyDescent="0.3">
      <c r="A17" s="43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8"/>
      <c r="B18" s="102">
        <v>0</v>
      </c>
      <c r="C18" s="103">
        <v>20000000</v>
      </c>
      <c r="D18" s="26">
        <v>20</v>
      </c>
    </row>
    <row r="20" spans="1:8" x14ac:dyDescent="0.3">
      <c r="A20" s="414" t="s">
        <v>37</v>
      </c>
      <c r="B20" s="414"/>
      <c r="C20" s="41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2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2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2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2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2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2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2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2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2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2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2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2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2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2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2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2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2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2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2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2">
        <f t="shared" si="2"/>
        <v>36872911.460200608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3" workbookViewId="0">
      <selection activeCell="E16" sqref="E16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464" t="s">
        <v>111</v>
      </c>
      <c r="C4" s="464"/>
      <c r="D4" s="464"/>
      <c r="E4" s="464"/>
      <c r="F4" s="46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428" t="s">
        <v>8</v>
      </c>
      <c r="B7" s="431" t="s">
        <v>9</v>
      </c>
      <c r="C7" s="432"/>
      <c r="D7" s="466" t="s">
        <v>12</v>
      </c>
      <c r="E7" s="467"/>
      <c r="F7" s="468"/>
      <c r="G7" s="431" t="s">
        <v>143</v>
      </c>
      <c r="H7" s="431"/>
      <c r="I7" s="433"/>
      <c r="J7" s="1" t="s">
        <v>144</v>
      </c>
    </row>
    <row r="8" spans="1:18" ht="28.2" customHeight="1" x14ac:dyDescent="0.3">
      <c r="A8" s="42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0"/>
      <c r="B9" s="80">
        <f>JJ_Optim_Scenario!G24</f>
        <v>12000000</v>
      </c>
      <c r="C9" s="184">
        <f>JJ_Optim_Scenario!H24</f>
        <v>16500000</v>
      </c>
      <c r="D9" s="184">
        <f>JJ_Optim_Scenario!I24</f>
        <v>12000000</v>
      </c>
      <c r="E9" s="118">
        <f>((($R$12/(1+EXP($P$12+$Q$12*D9)))-1) - ($F$12-$C$12))*$I$12</f>
        <v>287552.10043149628</v>
      </c>
      <c r="F9" s="145">
        <f>E9*$G$12</f>
        <v>287552.10043149628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42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43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0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0">
        <f>JJ_Optim_Scenario!D24</f>
        <v>1</v>
      </c>
      <c r="K12" s="438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461" t="s">
        <v>119</v>
      </c>
      <c r="B13" s="462"/>
      <c r="C13" s="462"/>
      <c r="D13" s="462"/>
      <c r="E13" s="462"/>
      <c r="F13" s="463"/>
      <c r="G13" s="291" t="s">
        <v>263</v>
      </c>
      <c r="H13" s="291" t="s">
        <v>264</v>
      </c>
      <c r="K13" s="461" t="s">
        <v>120</v>
      </c>
      <c r="L13" s="462"/>
      <c r="M13" s="462"/>
      <c r="N13" s="462"/>
      <c r="O13" s="462"/>
      <c r="P13" s="462"/>
      <c r="Q13" s="462"/>
      <c r="R13" s="463"/>
    </row>
    <row r="14" spans="1:18" ht="33.6" customHeight="1" thickBot="1" x14ac:dyDescent="0.35">
      <c r="A14" s="457"/>
      <c r="B14" s="458"/>
      <c r="C14" s="458"/>
      <c r="D14" s="458"/>
      <c r="E14" s="458"/>
      <c r="F14" s="459"/>
      <c r="G14" s="184">
        <f>JJ_Optim_Scenario!$I$31</f>
        <v>116.39999999999999</v>
      </c>
      <c r="H14" s="184">
        <f>JJ_Optim_Scenario!$F$31</f>
        <v>1118</v>
      </c>
      <c r="K14" s="457"/>
      <c r="L14" s="458"/>
      <c r="M14" s="458"/>
      <c r="N14" s="458"/>
      <c r="O14" s="458"/>
      <c r="P14" s="458"/>
      <c r="Q14" s="458"/>
      <c r="R14" s="459"/>
    </row>
    <row r="16" spans="1:18" ht="14.4" thickBot="1" x14ac:dyDescent="0.35"/>
    <row r="17" spans="1:8" ht="42.6" customHeight="1" x14ac:dyDescent="0.3">
      <c r="A17" s="43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8"/>
      <c r="B18" s="102">
        <v>0</v>
      </c>
      <c r="C18" s="103">
        <v>50000000</v>
      </c>
      <c r="D18" s="26">
        <v>20</v>
      </c>
    </row>
    <row r="20" spans="1:8" x14ac:dyDescent="0.3">
      <c r="A20" s="414" t="s">
        <v>37</v>
      </c>
      <c r="B20" s="414"/>
      <c r="C20" s="414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1" t="s">
        <v>266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2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2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2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2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2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2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2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2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2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2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2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2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2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2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2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2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2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2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2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2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2">
        <f t="shared" si="2"/>
        <v>92790349.864078641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5" t="s">
        <v>105</v>
      </c>
      <c r="G2" s="416"/>
      <c r="H2" s="416"/>
      <c r="I2" s="416"/>
      <c r="J2" s="416"/>
      <c r="K2" s="416"/>
      <c r="L2" s="417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18" t="s">
        <v>72</v>
      </c>
      <c r="G3" s="419"/>
      <c r="H3" s="419"/>
      <c r="I3" s="419"/>
      <c r="J3" s="419"/>
      <c r="K3" s="419"/>
      <c r="L3" s="420"/>
    </row>
    <row r="4" spans="1:12" ht="14.4" thickBot="1" x14ac:dyDescent="0.35">
      <c r="A4" s="29" t="s">
        <v>38</v>
      </c>
      <c r="B4" s="469" t="s">
        <v>39</v>
      </c>
      <c r="C4" s="469"/>
      <c r="D4" s="470"/>
    </row>
    <row r="6" spans="1:12" ht="14.4" thickBot="1" x14ac:dyDescent="0.35"/>
    <row r="7" spans="1:12" ht="27.6" customHeight="1" x14ac:dyDescent="0.3">
      <c r="A7" s="428" t="s">
        <v>8</v>
      </c>
      <c r="B7" s="431" t="s">
        <v>9</v>
      </c>
      <c r="C7" s="432"/>
      <c r="D7" s="466" t="s">
        <v>12</v>
      </c>
      <c r="E7" s="468"/>
      <c r="F7" s="467" t="s">
        <v>24</v>
      </c>
      <c r="G7" s="477"/>
    </row>
    <row r="8" spans="1:12" ht="27.6" x14ac:dyDescent="0.3">
      <c r="A8" s="42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42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28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430"/>
      <c r="B12" s="12">
        <v>20</v>
      </c>
      <c r="C12" s="12">
        <v>30</v>
      </c>
      <c r="D12" s="12">
        <v>0</v>
      </c>
      <c r="E12" s="14">
        <v>70</v>
      </c>
      <c r="G12" s="43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461" t="s">
        <v>30</v>
      </c>
      <c r="B13" s="462"/>
      <c r="C13" s="462"/>
      <c r="D13" s="462"/>
      <c r="E13" s="463"/>
      <c r="G13" s="471" t="s">
        <v>29</v>
      </c>
      <c r="H13" s="472"/>
      <c r="I13" s="472"/>
      <c r="J13" s="473"/>
    </row>
    <row r="14" spans="1:12" ht="33.6" customHeight="1" x14ac:dyDescent="0.3">
      <c r="A14" s="457"/>
      <c r="B14" s="458"/>
      <c r="C14" s="458"/>
      <c r="D14" s="458"/>
      <c r="E14" s="459"/>
      <c r="G14" s="474"/>
      <c r="H14" s="475"/>
      <c r="I14" s="475"/>
      <c r="J14" s="476"/>
    </row>
    <row r="16" spans="1:12" ht="14.4" thickBot="1" x14ac:dyDescent="0.35"/>
    <row r="17" spans="1:4" ht="16.8" customHeight="1" x14ac:dyDescent="0.3">
      <c r="A17" s="437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438"/>
      <c r="B18" s="12">
        <v>0</v>
      </c>
      <c r="C18" s="12">
        <v>100</v>
      </c>
      <c r="D18" s="26">
        <v>20</v>
      </c>
    </row>
    <row r="20" spans="1:4" x14ac:dyDescent="0.3">
      <c r="A20" s="414" t="s">
        <v>37</v>
      </c>
      <c r="B20" s="414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5" t="s">
        <v>105</v>
      </c>
      <c r="G2" s="416"/>
      <c r="H2" s="416"/>
      <c r="I2" s="416"/>
      <c r="J2" s="416"/>
      <c r="K2" s="416"/>
      <c r="L2" s="417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18" t="s">
        <v>72</v>
      </c>
      <c r="G3" s="419"/>
      <c r="H3" s="419"/>
      <c r="I3" s="419"/>
      <c r="J3" s="419"/>
      <c r="K3" s="419"/>
      <c r="L3" s="420"/>
    </row>
    <row r="4" spans="1:12" ht="31.8" customHeight="1" thickBot="1" x14ac:dyDescent="0.35">
      <c r="A4" s="29" t="s">
        <v>38</v>
      </c>
      <c r="B4" s="481" t="s">
        <v>41</v>
      </c>
      <c r="C4" s="482"/>
      <c r="D4" s="483"/>
    </row>
    <row r="6" spans="1:12" ht="14.4" thickBot="1" x14ac:dyDescent="0.35"/>
    <row r="7" spans="1:12" ht="27.6" customHeight="1" x14ac:dyDescent="0.3">
      <c r="A7" s="428" t="s">
        <v>8</v>
      </c>
      <c r="B7" s="431" t="s">
        <v>9</v>
      </c>
      <c r="C7" s="432"/>
      <c r="D7" s="466" t="s">
        <v>12</v>
      </c>
      <c r="E7" s="468"/>
      <c r="F7" s="467" t="s">
        <v>24</v>
      </c>
      <c r="G7" s="477"/>
      <c r="H7" s="1" t="s">
        <v>54</v>
      </c>
    </row>
    <row r="8" spans="1:12" ht="27.6" x14ac:dyDescent="0.3">
      <c r="A8" s="42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428" t="s">
        <v>42</v>
      </c>
      <c r="B11" s="423" t="s">
        <v>47</v>
      </c>
      <c r="C11" s="478" t="s">
        <v>46</v>
      </c>
      <c r="D11" s="467"/>
      <c r="E11" s="467"/>
      <c r="F11" s="3" t="s">
        <v>48</v>
      </c>
      <c r="G11" s="33"/>
      <c r="H11" s="32"/>
      <c r="I11" s="32"/>
      <c r="J11" s="32"/>
    </row>
    <row r="12" spans="1:12" x14ac:dyDescent="0.3">
      <c r="A12" s="479"/>
      <c r="B12" s="41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8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436" t="s">
        <v>52</v>
      </c>
      <c r="B14" s="436"/>
      <c r="C14" s="436"/>
      <c r="D14" s="436"/>
      <c r="E14" s="436"/>
      <c r="F14" s="436"/>
      <c r="G14" s="38"/>
      <c r="H14" s="39"/>
      <c r="I14" s="39"/>
      <c r="J14" s="39"/>
    </row>
    <row r="15" spans="1:12" ht="30.6" customHeight="1" x14ac:dyDescent="0.3">
      <c r="A15" s="436"/>
      <c r="B15" s="436"/>
      <c r="C15" s="436"/>
      <c r="D15" s="436"/>
      <c r="E15" s="436"/>
      <c r="F15" s="436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437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438"/>
      <c r="B19" s="12">
        <v>0</v>
      </c>
      <c r="C19" s="12">
        <v>20000000</v>
      </c>
      <c r="D19" s="26">
        <v>20</v>
      </c>
    </row>
    <row r="21" spans="1:4" x14ac:dyDescent="0.3">
      <c r="A21" s="414" t="s">
        <v>37</v>
      </c>
      <c r="B21" s="414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15" t="s">
        <v>105</v>
      </c>
      <c r="G2" s="416"/>
      <c r="H2" s="416"/>
      <c r="I2" s="416"/>
      <c r="J2" s="416"/>
      <c r="K2" s="416"/>
      <c r="L2" s="417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18" t="s">
        <v>72</v>
      </c>
      <c r="G3" s="419"/>
      <c r="H3" s="419"/>
      <c r="I3" s="419"/>
      <c r="J3" s="419"/>
      <c r="K3" s="419"/>
      <c r="L3" s="420"/>
    </row>
    <row r="4" spans="1:14" ht="14.4" thickBot="1" x14ac:dyDescent="0.35">
      <c r="A4" s="29" t="s">
        <v>38</v>
      </c>
      <c r="B4" s="469" t="s">
        <v>57</v>
      </c>
      <c r="C4" s="469"/>
      <c r="D4" s="470"/>
    </row>
    <row r="6" spans="1:14" ht="14.4" thickBot="1" x14ac:dyDescent="0.35"/>
    <row r="7" spans="1:14" ht="27.6" customHeight="1" x14ac:dyDescent="0.3">
      <c r="A7" s="428" t="s">
        <v>8</v>
      </c>
      <c r="B7" s="431" t="s">
        <v>9</v>
      </c>
      <c r="C7" s="432"/>
      <c r="D7" s="466" t="s">
        <v>12</v>
      </c>
      <c r="E7" s="468"/>
      <c r="F7" s="467" t="s">
        <v>24</v>
      </c>
      <c r="G7" s="477"/>
      <c r="I7" s="460" t="s">
        <v>73</v>
      </c>
      <c r="J7" s="460"/>
      <c r="K7" s="460"/>
      <c r="L7" s="460"/>
      <c r="N7" s="47" t="s">
        <v>58</v>
      </c>
    </row>
    <row r="8" spans="1:14" ht="27.6" x14ac:dyDescent="0.3">
      <c r="A8" s="42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60"/>
      <c r="J8" s="460"/>
      <c r="K8" s="460"/>
      <c r="L8" s="460"/>
      <c r="N8" s="47" t="s">
        <v>59</v>
      </c>
    </row>
    <row r="9" spans="1:14" ht="14.4" thickBot="1" x14ac:dyDescent="0.35">
      <c r="A9" s="43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414" t="s">
        <v>60</v>
      </c>
      <c r="B11" s="3" t="s">
        <v>61</v>
      </c>
      <c r="C11" s="3" t="s">
        <v>62</v>
      </c>
      <c r="D11" s="32"/>
      <c r="E11" s="45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414"/>
      <c r="B12" s="41">
        <v>0</v>
      </c>
      <c r="C12" s="41">
        <v>0</v>
      </c>
      <c r="D12" s="32"/>
      <c r="E12" s="45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414"/>
      <c r="B13" s="41">
        <v>1</v>
      </c>
      <c r="C13" s="41">
        <v>0.75</v>
      </c>
      <c r="D13" s="32"/>
      <c r="E13" s="45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414"/>
      <c r="B14" s="41">
        <v>2</v>
      </c>
      <c r="C14" s="41">
        <v>0</v>
      </c>
      <c r="D14" s="32"/>
      <c r="E14" s="45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414"/>
      <c r="B15" s="41">
        <v>3</v>
      </c>
      <c r="C15" s="41">
        <v>-1</v>
      </c>
      <c r="D15" s="32"/>
      <c r="E15" s="45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414"/>
      <c r="B16" s="41">
        <v>4</v>
      </c>
      <c r="C16" s="41">
        <v>3</v>
      </c>
      <c r="D16" s="32"/>
      <c r="E16" s="45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14"/>
      <c r="B17" s="42">
        <v>5</v>
      </c>
      <c r="C17" s="42">
        <v>3</v>
      </c>
      <c r="D17" s="40"/>
      <c r="E17" s="45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84" t="s">
        <v>74</v>
      </c>
      <c r="B18" s="485"/>
      <c r="C18" s="486"/>
      <c r="D18" s="33"/>
      <c r="E18" s="436" t="s">
        <v>75</v>
      </c>
      <c r="F18" s="436"/>
      <c r="G18" s="436"/>
      <c r="H18" s="436"/>
      <c r="I18" s="436"/>
      <c r="J18" s="436"/>
      <c r="K18" s="436"/>
      <c r="L18" s="436"/>
      <c r="M18" s="436"/>
    </row>
    <row r="19" spans="1:13" ht="35.4" customHeight="1" x14ac:dyDescent="0.3">
      <c r="A19" s="457"/>
      <c r="B19" s="458"/>
      <c r="C19" s="459"/>
      <c r="D19" s="33"/>
      <c r="E19" s="436"/>
      <c r="F19" s="436"/>
      <c r="G19" s="436"/>
      <c r="H19" s="436"/>
      <c r="I19" s="436"/>
      <c r="J19" s="436"/>
      <c r="K19" s="436"/>
      <c r="L19" s="436"/>
      <c r="M19" s="436"/>
    </row>
    <row r="21" spans="1:13" ht="14.4" thickBot="1" x14ac:dyDescent="0.35"/>
    <row r="22" spans="1:13" ht="16.8" customHeight="1" x14ac:dyDescent="0.3">
      <c r="A22" s="437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438"/>
      <c r="B23" s="12">
        <v>0</v>
      </c>
      <c r="C23" s="12">
        <v>5</v>
      </c>
      <c r="D23" s="26">
        <v>20</v>
      </c>
    </row>
    <row r="25" spans="1:13" x14ac:dyDescent="0.3">
      <c r="A25" s="414" t="s">
        <v>37</v>
      </c>
      <c r="B25" s="414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87" t="s">
        <v>111</v>
      </c>
      <c r="C4" s="487"/>
      <c r="D4" s="487"/>
      <c r="E4" s="487"/>
      <c r="F4" s="488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428" t="s">
        <v>8</v>
      </c>
      <c r="B7" s="431" t="s">
        <v>9</v>
      </c>
      <c r="C7" s="432"/>
      <c r="D7" s="466" t="s">
        <v>12</v>
      </c>
      <c r="E7" s="468"/>
      <c r="F7" s="467" t="s">
        <v>24</v>
      </c>
      <c r="G7" s="477"/>
    </row>
    <row r="8" spans="1:15" ht="27.6" x14ac:dyDescent="0.3">
      <c r="A8" s="429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430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428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437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43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438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461" t="s">
        <v>119</v>
      </c>
      <c r="B13" s="462"/>
      <c r="C13" s="462"/>
      <c r="D13" s="462"/>
      <c r="E13" s="462"/>
      <c r="F13" s="463"/>
      <c r="H13" s="461" t="s">
        <v>120</v>
      </c>
      <c r="I13" s="462"/>
      <c r="J13" s="462"/>
      <c r="K13" s="462"/>
      <c r="L13" s="462"/>
      <c r="M13" s="462"/>
      <c r="N13" s="462"/>
      <c r="O13" s="463"/>
    </row>
    <row r="14" spans="1:15" ht="33.6" customHeight="1" x14ac:dyDescent="0.3">
      <c r="A14" s="457"/>
      <c r="B14" s="458"/>
      <c r="C14" s="458"/>
      <c r="D14" s="458"/>
      <c r="E14" s="458"/>
      <c r="F14" s="459"/>
      <c r="H14" s="457"/>
      <c r="I14" s="458"/>
      <c r="J14" s="458"/>
      <c r="K14" s="458"/>
      <c r="L14" s="458"/>
      <c r="M14" s="458"/>
      <c r="N14" s="458"/>
      <c r="O14" s="459"/>
    </row>
    <row r="16" spans="1:15" ht="14.4" thickBot="1" x14ac:dyDescent="0.35"/>
    <row r="17" spans="1:4" ht="16.8" customHeight="1" x14ac:dyDescent="0.3">
      <c r="A17" s="437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438"/>
      <c r="B18" s="102">
        <v>0</v>
      </c>
      <c r="C18" s="103">
        <v>200000000</v>
      </c>
      <c r="D18" s="26">
        <v>20</v>
      </c>
    </row>
    <row r="20" spans="1:4" x14ac:dyDescent="0.3">
      <c r="A20" s="414" t="s">
        <v>37</v>
      </c>
      <c r="B20" s="414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Charts - Idvl</vt:lpstr>
      <vt:lpstr>Charts - Idvl IRev</vt:lpstr>
      <vt:lpstr>Chart - Combined</vt:lpstr>
      <vt:lpstr>JJ_Notes_1</vt:lpstr>
      <vt:lpstr>JJ_Notes_2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  <vt:lpstr>JJ_Notes_1!Print_Area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cp:lastPrinted>2013-05-08T17:24:00Z</cp:lastPrinted>
  <dcterms:created xsi:type="dcterms:W3CDTF">2013-03-17T16:17:06Z</dcterms:created>
  <dcterms:modified xsi:type="dcterms:W3CDTF">2013-05-17T20:50:31Z</dcterms:modified>
</cp:coreProperties>
</file>