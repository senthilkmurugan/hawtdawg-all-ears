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2.xml" ContentType="application/vnd.openxmlformats-officedocument.drawing+xml"/>
  <Override PartName="/xl/charts/chart37.xml" ContentType="application/vnd.openxmlformats-officedocument.drawingml.chart+xml"/>
  <Override PartName="/xl/drawings/drawing13.xml" ContentType="application/vnd.openxmlformats-officedocument.drawing+xml"/>
  <Override PartName="/xl/charts/chart38.xml" ContentType="application/vnd.openxmlformats-officedocument.drawingml.chart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firstSheet="2" activeTab="10"/>
  </bookViews>
  <sheets>
    <sheet name="Charts - Idvl" sheetId="35" r:id="rId1"/>
    <sheet name="Charts - Idvl IRev" sheetId="38" r:id="rId2"/>
    <sheet name="Chart - Combined" sheetId="36" r:id="rId3"/>
    <sheet name="Case Notes" sheetId="37" r:id="rId4"/>
    <sheet name="STD20 (-15)" sheetId="39" r:id="rId5"/>
    <sheet name="STD20 (-10)" sheetId="40" r:id="rId6"/>
    <sheet name="STD20 (-5)" sheetId="41" r:id="rId7"/>
    <sheet name="STD20 (+0)" sheetId="42" r:id="rId8"/>
    <sheet name="STD20 (+5)" sheetId="43" r:id="rId9"/>
    <sheet name="STD20 (+10)" sheetId="44" r:id="rId10"/>
    <sheet name="STD20 (+15)" sheetId="45" r:id="rId11"/>
    <sheet name="JJ_Optim_Scenario" sheetId="23" r:id="rId12"/>
    <sheet name="JANSample" sheetId="25" r:id="rId13"/>
    <sheet name="JMTSample" sheetId="26" r:id="rId14"/>
    <sheet name="TOTSample" sheetId="27" r:id="rId15"/>
    <sheet name="JJVCH" sheetId="29" r:id="rId16"/>
    <sheet name="JJMMF" sheetId="30" r:id="rId17"/>
    <sheet name="JJHCC" sheetId="31" r:id="rId18"/>
    <sheet name="JJMCM" sheetId="32" r:id="rId19"/>
    <sheet name="JJHCC_ACQ" sheetId="33" r:id="rId20"/>
    <sheet name="JJHCC_ADH" sheetId="34" r:id="rId21"/>
    <sheet name="Fn.Templates ==&gt;" sheetId="3" r:id="rId22"/>
    <sheet name="FT_SCurveEst" sheetId="2" r:id="rId23"/>
    <sheet name="FT_Equation" sheetId="4" r:id="rId24"/>
    <sheet name="FT_Interpolate" sheetId="5" r:id="rId25"/>
    <sheet name="FT_SCurve3Est" sheetId="13" r:id="rId26"/>
  </sheets>
  <functionGroups builtInGroupCount="17"/>
  <definedNames>
    <definedName name="solver_adj" localSheetId="11" hidden="1">JJ_Optim_Scenario!$I$17:$I$24</definedName>
    <definedName name="solver_adj" localSheetId="7" hidden="1">'STD20 (+0)'!$I$17:$I$24</definedName>
    <definedName name="solver_adj" localSheetId="9" hidden="1">'STD20 (+10)'!$I$17:$I$24</definedName>
    <definedName name="solver_adj" localSheetId="10" hidden="1">'STD20 (+15)'!$I$17:$I$24</definedName>
    <definedName name="solver_adj" localSheetId="8" hidden="1">'STD20 (+5)'!$I$17:$I$24</definedName>
    <definedName name="solver_adj" localSheetId="5" hidden="1">'STD20 (-10)'!$I$17:$I$24</definedName>
    <definedName name="solver_adj" localSheetId="4" hidden="1">'STD20 (-15)'!$I$17:$I$24</definedName>
    <definedName name="solver_adj" localSheetId="6" hidden="1">'STD20 (-5)'!$I$17:$I$24</definedName>
    <definedName name="solver_cvg" localSheetId="11" hidden="1">0.000001</definedName>
    <definedName name="solver_cvg" localSheetId="7" hidden="1">0.0001</definedName>
    <definedName name="solver_cvg" localSheetId="9" hidden="1">0.00001</definedName>
    <definedName name="solver_cvg" localSheetId="10" hidden="1">0.00001</definedName>
    <definedName name="solver_cvg" localSheetId="8" hidden="1">0.00001</definedName>
    <definedName name="solver_cvg" localSheetId="5" hidden="1">0.0001</definedName>
    <definedName name="solver_cvg" localSheetId="4" hidden="1">0.0001</definedName>
    <definedName name="solver_cvg" localSheetId="6" hidden="1">0.0001</definedName>
    <definedName name="solver_drv" localSheetId="11" hidden="1">1</definedName>
    <definedName name="solver_drv" localSheetId="7" hidden="1">1</definedName>
    <definedName name="solver_drv" localSheetId="9" hidden="1">1</definedName>
    <definedName name="solver_drv" localSheetId="10" hidden="1">1</definedName>
    <definedName name="solver_drv" localSheetId="8" hidden="1">1</definedName>
    <definedName name="solver_drv" localSheetId="5" hidden="1">1</definedName>
    <definedName name="solver_drv" localSheetId="4" hidden="1">1</definedName>
    <definedName name="solver_drv" localSheetId="6" hidden="1">1</definedName>
    <definedName name="solver_eng" localSheetId="11" hidden="1">1</definedName>
    <definedName name="solver_eng" localSheetId="7" hidden="1">1</definedName>
    <definedName name="solver_eng" localSheetId="9" hidden="1">1</definedName>
    <definedName name="solver_eng" localSheetId="10" hidden="1">1</definedName>
    <definedName name="solver_eng" localSheetId="8" hidden="1">1</definedName>
    <definedName name="solver_eng" localSheetId="5" hidden="1">1</definedName>
    <definedName name="solver_eng" localSheetId="4" hidden="1">1</definedName>
    <definedName name="solver_eng" localSheetId="6" hidden="1">1</definedName>
    <definedName name="solver_est" localSheetId="11" hidden="1">1</definedName>
    <definedName name="solver_est" localSheetId="7" hidden="1">1</definedName>
    <definedName name="solver_est" localSheetId="9" hidden="1">1</definedName>
    <definedName name="solver_est" localSheetId="10" hidden="1">1</definedName>
    <definedName name="solver_est" localSheetId="8" hidden="1">1</definedName>
    <definedName name="solver_est" localSheetId="5" hidden="1">1</definedName>
    <definedName name="solver_est" localSheetId="4" hidden="1">1</definedName>
    <definedName name="solver_est" localSheetId="6" hidden="1">1</definedName>
    <definedName name="solver_itr" localSheetId="11" hidden="1">2147483647</definedName>
    <definedName name="solver_itr" localSheetId="7" hidden="1">2147483647</definedName>
    <definedName name="solver_itr" localSheetId="9" hidden="1">2147483647</definedName>
    <definedName name="solver_itr" localSheetId="10" hidden="1">2147483647</definedName>
    <definedName name="solver_itr" localSheetId="8" hidden="1">2147483647</definedName>
    <definedName name="solver_itr" localSheetId="5" hidden="1">2147483647</definedName>
    <definedName name="solver_itr" localSheetId="4" hidden="1">2147483647</definedName>
    <definedName name="solver_itr" localSheetId="6" hidden="1">2147483647</definedName>
    <definedName name="solver_lhs1" localSheetId="11" hidden="1">JJ_Optim_Scenario!$I$17:$I$24</definedName>
    <definedName name="solver_lhs1" localSheetId="7" hidden="1">'STD20 (+0)'!$I$17:$I$24</definedName>
    <definedName name="solver_lhs1" localSheetId="9" hidden="1">'STD20 (+10)'!$I$17:$I$24</definedName>
    <definedName name="solver_lhs1" localSheetId="10" hidden="1">'STD20 (+15)'!$I$17:$I$24</definedName>
    <definedName name="solver_lhs1" localSheetId="8" hidden="1">'STD20 (+5)'!$I$17:$I$24</definedName>
    <definedName name="solver_lhs1" localSheetId="5" hidden="1">'STD20 (-10)'!$I$17:$I$24</definedName>
    <definedName name="solver_lhs1" localSheetId="4" hidden="1">'STD20 (-15)'!$I$17:$I$24</definedName>
    <definedName name="solver_lhs1" localSheetId="6" hidden="1">'STD20 (-5)'!$I$17:$I$24</definedName>
    <definedName name="solver_lhs2" localSheetId="11" hidden="1">JJ_Optim_Scenario!$I$17:$I$24</definedName>
    <definedName name="solver_lhs2" localSheetId="7" hidden="1">'STD20 (+0)'!$I$17:$I$24</definedName>
    <definedName name="solver_lhs2" localSheetId="9" hidden="1">'STD20 (+10)'!$I$17:$I$24</definedName>
    <definedName name="solver_lhs2" localSheetId="10" hidden="1">'STD20 (+15)'!$I$17:$I$24</definedName>
    <definedName name="solver_lhs2" localSheetId="8" hidden="1">'STD20 (+5)'!$I$17:$I$24</definedName>
    <definedName name="solver_lhs2" localSheetId="5" hidden="1">'STD20 (-10)'!$I$17:$I$24</definedName>
    <definedName name="solver_lhs2" localSheetId="4" hidden="1">'STD20 (-15)'!$I$17:$I$24</definedName>
    <definedName name="solver_lhs2" localSheetId="6" hidden="1">'STD20 (-5)'!$I$17:$I$24</definedName>
    <definedName name="solver_lhs3" localSheetId="11" hidden="1">JJ_Optim_Scenario!$I$25</definedName>
    <definedName name="solver_lhs3" localSheetId="7" hidden="1">'STD20 (+0)'!$I$25</definedName>
    <definedName name="solver_lhs3" localSheetId="9" hidden="1">'STD20 (+10)'!$I$25</definedName>
    <definedName name="solver_lhs3" localSheetId="10" hidden="1">'STD20 (+15)'!$I$25</definedName>
    <definedName name="solver_lhs3" localSheetId="8" hidden="1">'STD20 (+5)'!$I$25</definedName>
    <definedName name="solver_lhs3" localSheetId="5" hidden="1">'STD20 (-10)'!$I$25</definedName>
    <definedName name="solver_lhs3" localSheetId="4" hidden="1">'STD20 (-15)'!$I$25</definedName>
    <definedName name="solver_lhs3" localSheetId="6" hidden="1">'STD20 (-5)'!$I$25</definedName>
    <definedName name="solver_mip" localSheetId="11" hidden="1">2147483647</definedName>
    <definedName name="solver_mip" localSheetId="7" hidden="1">2147483647</definedName>
    <definedName name="solver_mip" localSheetId="9" hidden="1">2147483647</definedName>
    <definedName name="solver_mip" localSheetId="10" hidden="1">2147483647</definedName>
    <definedName name="solver_mip" localSheetId="8" hidden="1">2147483647</definedName>
    <definedName name="solver_mip" localSheetId="5" hidden="1">2147483647</definedName>
    <definedName name="solver_mip" localSheetId="4" hidden="1">2147483647</definedName>
    <definedName name="solver_mip" localSheetId="6" hidden="1">2147483647</definedName>
    <definedName name="solver_mni" localSheetId="11" hidden="1">30</definedName>
    <definedName name="solver_mni" localSheetId="7" hidden="1">30</definedName>
    <definedName name="solver_mni" localSheetId="9" hidden="1">30</definedName>
    <definedName name="solver_mni" localSheetId="10" hidden="1">30</definedName>
    <definedName name="solver_mni" localSheetId="8" hidden="1">30</definedName>
    <definedName name="solver_mni" localSheetId="5" hidden="1">30</definedName>
    <definedName name="solver_mni" localSheetId="4" hidden="1">30</definedName>
    <definedName name="solver_mni" localSheetId="6" hidden="1">30</definedName>
    <definedName name="solver_mrt" localSheetId="11" hidden="1">0.075</definedName>
    <definedName name="solver_mrt" localSheetId="7" hidden="1">0.075</definedName>
    <definedName name="solver_mrt" localSheetId="9" hidden="1">0.075</definedName>
    <definedName name="solver_mrt" localSheetId="10" hidden="1">0.075</definedName>
    <definedName name="solver_mrt" localSheetId="8" hidden="1">0.075</definedName>
    <definedName name="solver_mrt" localSheetId="5" hidden="1">0.075</definedName>
    <definedName name="solver_mrt" localSheetId="4" hidden="1">0.075</definedName>
    <definedName name="solver_mrt" localSheetId="6" hidden="1">0.075</definedName>
    <definedName name="solver_msl" localSheetId="11" hidden="1">2</definedName>
    <definedName name="solver_msl" localSheetId="7" hidden="1">2</definedName>
    <definedName name="solver_msl" localSheetId="9" hidden="1">2</definedName>
    <definedName name="solver_msl" localSheetId="10" hidden="1">2</definedName>
    <definedName name="solver_msl" localSheetId="8" hidden="1">2</definedName>
    <definedName name="solver_msl" localSheetId="5" hidden="1">2</definedName>
    <definedName name="solver_msl" localSheetId="4" hidden="1">2</definedName>
    <definedName name="solver_msl" localSheetId="6" hidden="1">2</definedName>
    <definedName name="solver_neg" localSheetId="11" hidden="1">1</definedName>
    <definedName name="solver_neg" localSheetId="7" hidden="1">1</definedName>
    <definedName name="solver_neg" localSheetId="9" hidden="1">1</definedName>
    <definedName name="solver_neg" localSheetId="10" hidden="1">1</definedName>
    <definedName name="solver_neg" localSheetId="8" hidden="1">1</definedName>
    <definedName name="solver_neg" localSheetId="5" hidden="1">1</definedName>
    <definedName name="solver_neg" localSheetId="4" hidden="1">1</definedName>
    <definedName name="solver_neg" localSheetId="6" hidden="1">1</definedName>
    <definedName name="solver_nod" localSheetId="11" hidden="1">2147483647</definedName>
    <definedName name="solver_nod" localSheetId="7" hidden="1">2147483647</definedName>
    <definedName name="solver_nod" localSheetId="9" hidden="1">2147483647</definedName>
    <definedName name="solver_nod" localSheetId="10" hidden="1">2147483647</definedName>
    <definedName name="solver_nod" localSheetId="8" hidden="1">2147483647</definedName>
    <definedName name="solver_nod" localSheetId="5" hidden="1">2147483647</definedName>
    <definedName name="solver_nod" localSheetId="4" hidden="1">2147483647</definedName>
    <definedName name="solver_nod" localSheetId="6" hidden="1">2147483647</definedName>
    <definedName name="solver_num" localSheetId="11" hidden="1">3</definedName>
    <definedName name="solver_num" localSheetId="7" hidden="1">3</definedName>
    <definedName name="solver_num" localSheetId="9" hidden="1">3</definedName>
    <definedName name="solver_num" localSheetId="10" hidden="1">3</definedName>
    <definedName name="solver_num" localSheetId="8" hidden="1">3</definedName>
    <definedName name="solver_num" localSheetId="5" hidden="1">3</definedName>
    <definedName name="solver_num" localSheetId="4" hidden="1">3</definedName>
    <definedName name="solver_num" localSheetId="6" hidden="1">3</definedName>
    <definedName name="solver_nwt" localSheetId="11" hidden="1">1</definedName>
    <definedName name="solver_nwt" localSheetId="7" hidden="1">1</definedName>
    <definedName name="solver_nwt" localSheetId="9" hidden="1">1</definedName>
    <definedName name="solver_nwt" localSheetId="10" hidden="1">1</definedName>
    <definedName name="solver_nwt" localSheetId="8" hidden="1">1</definedName>
    <definedName name="solver_nwt" localSheetId="5" hidden="1">1</definedName>
    <definedName name="solver_nwt" localSheetId="4" hidden="1">1</definedName>
    <definedName name="solver_nwt" localSheetId="6" hidden="1">1</definedName>
    <definedName name="solver_opt" localSheetId="11" hidden="1">JJ_Optim_Scenario!$B$9</definedName>
    <definedName name="solver_opt" localSheetId="7" hidden="1">'STD20 (+0)'!$B$9</definedName>
    <definedName name="solver_opt" localSheetId="9" hidden="1">'STD20 (+10)'!$B$9</definedName>
    <definedName name="solver_opt" localSheetId="10" hidden="1">'STD20 (+15)'!$B$9</definedName>
    <definedName name="solver_opt" localSheetId="8" hidden="1">'STD20 (+5)'!$B$9</definedName>
    <definedName name="solver_opt" localSheetId="5" hidden="1">'STD20 (-10)'!$B$9</definedName>
    <definedName name="solver_opt" localSheetId="4" hidden="1">'STD20 (-15)'!$B$9</definedName>
    <definedName name="solver_opt" localSheetId="6" hidden="1">'STD20 (-5)'!$B$9</definedName>
    <definedName name="solver_pre" localSheetId="11" hidden="1">0.000001</definedName>
    <definedName name="solver_pre" localSheetId="7" hidden="1">0.000001</definedName>
    <definedName name="solver_pre" localSheetId="9" hidden="1">0.000001</definedName>
    <definedName name="solver_pre" localSheetId="10" hidden="1">0.000001</definedName>
    <definedName name="solver_pre" localSheetId="8" hidden="1">0.000001</definedName>
    <definedName name="solver_pre" localSheetId="5" hidden="1">0.000001</definedName>
    <definedName name="solver_pre" localSheetId="4" hidden="1">0.000001</definedName>
    <definedName name="solver_pre" localSheetId="6" hidden="1">0.000001</definedName>
    <definedName name="solver_rbv" localSheetId="11" hidden="1">1</definedName>
    <definedName name="solver_rbv" localSheetId="7" hidden="1">1</definedName>
    <definedName name="solver_rbv" localSheetId="9" hidden="1">1</definedName>
    <definedName name="solver_rbv" localSheetId="10" hidden="1">1</definedName>
    <definedName name="solver_rbv" localSheetId="8" hidden="1">1</definedName>
    <definedName name="solver_rbv" localSheetId="5" hidden="1">1</definedName>
    <definedName name="solver_rbv" localSheetId="4" hidden="1">1</definedName>
    <definedName name="solver_rbv" localSheetId="6" hidden="1">1</definedName>
    <definedName name="solver_rel1" localSheetId="11" hidden="1">1</definedName>
    <definedName name="solver_rel1" localSheetId="7" hidden="1">1</definedName>
    <definedName name="solver_rel1" localSheetId="9" hidden="1">1</definedName>
    <definedName name="solver_rel1" localSheetId="10" hidden="1">1</definedName>
    <definedName name="solver_rel1" localSheetId="8" hidden="1">1</definedName>
    <definedName name="solver_rel1" localSheetId="5" hidden="1">1</definedName>
    <definedName name="solver_rel1" localSheetId="4" hidden="1">1</definedName>
    <definedName name="solver_rel1" localSheetId="6" hidden="1">1</definedName>
    <definedName name="solver_rel2" localSheetId="11" hidden="1">3</definedName>
    <definedName name="solver_rel2" localSheetId="7" hidden="1">3</definedName>
    <definedName name="solver_rel2" localSheetId="9" hidden="1">3</definedName>
    <definedName name="solver_rel2" localSheetId="10" hidden="1">3</definedName>
    <definedName name="solver_rel2" localSheetId="8" hidden="1">3</definedName>
    <definedName name="solver_rel2" localSheetId="5" hidden="1">3</definedName>
    <definedName name="solver_rel2" localSheetId="4" hidden="1">3</definedName>
    <definedName name="solver_rel2" localSheetId="6" hidden="1">3</definedName>
    <definedName name="solver_rel3" localSheetId="11" hidden="1">2</definedName>
    <definedName name="solver_rel3" localSheetId="7" hidden="1">2</definedName>
    <definedName name="solver_rel3" localSheetId="9" hidden="1">2</definedName>
    <definedName name="solver_rel3" localSheetId="10" hidden="1">2</definedName>
    <definedName name="solver_rel3" localSheetId="8" hidden="1">2</definedName>
    <definedName name="solver_rel3" localSheetId="5" hidden="1">2</definedName>
    <definedName name="solver_rel3" localSheetId="4" hidden="1">2</definedName>
    <definedName name="solver_rel3" localSheetId="6" hidden="1">2</definedName>
    <definedName name="solver_rhs1" localSheetId="11" hidden="1">JJ_Optim_Scenario!$H$17:$H$24</definedName>
    <definedName name="solver_rhs1" localSheetId="7" hidden="1">'STD20 (+0)'!$H$17:$H$24</definedName>
    <definedName name="solver_rhs1" localSheetId="9" hidden="1">'STD20 (+10)'!$H$17:$H$24</definedName>
    <definedName name="solver_rhs1" localSheetId="10" hidden="1">'STD20 (+15)'!$H$17:$H$24</definedName>
    <definedName name="solver_rhs1" localSheetId="8" hidden="1">'STD20 (+5)'!$H$17:$H$24</definedName>
    <definedName name="solver_rhs1" localSheetId="5" hidden="1">'STD20 (-10)'!$H$17:$H$24</definedName>
    <definedName name="solver_rhs1" localSheetId="4" hidden="1">'STD20 (-15)'!$H$17:$H$24</definedName>
    <definedName name="solver_rhs1" localSheetId="6" hidden="1">'STD20 (-5)'!$H$17:$H$24</definedName>
    <definedName name="solver_rhs2" localSheetId="11" hidden="1">JJ_Optim_Scenario!$G$17:$G$24</definedName>
    <definedName name="solver_rhs2" localSheetId="7" hidden="1">'STD20 (+0)'!$G$17:$G$24</definedName>
    <definedName name="solver_rhs2" localSheetId="9" hidden="1">'STD20 (+10)'!$G$17:$G$24</definedName>
    <definedName name="solver_rhs2" localSheetId="10" hidden="1">'STD20 (+15)'!$G$17:$G$24</definedName>
    <definedName name="solver_rhs2" localSheetId="8" hidden="1">'STD20 (+5)'!$G$17:$G$24</definedName>
    <definedName name="solver_rhs2" localSheetId="5" hidden="1">'STD20 (-10)'!$G$17:$G$24</definedName>
    <definedName name="solver_rhs2" localSheetId="4" hidden="1">'STD20 (-15)'!$G$17:$G$24</definedName>
    <definedName name="solver_rhs2" localSheetId="6" hidden="1">'STD20 (-5)'!$G$17:$G$24</definedName>
    <definedName name="solver_rhs3" localSheetId="11" hidden="1">JJ_Optim_Scenario!$B$12</definedName>
    <definedName name="solver_rhs3" localSheetId="7" hidden="1">'STD20 (+0)'!$B$12</definedName>
    <definedName name="solver_rhs3" localSheetId="9" hidden="1">'STD20 (+10)'!$B$12</definedName>
    <definedName name="solver_rhs3" localSheetId="10" hidden="1">'STD20 (+15)'!$B$12</definedName>
    <definedName name="solver_rhs3" localSheetId="8" hidden="1">'STD20 (+5)'!$B$12</definedName>
    <definedName name="solver_rhs3" localSheetId="5" hidden="1">'STD20 (-10)'!$B$12</definedName>
    <definedName name="solver_rhs3" localSheetId="4" hidden="1">'STD20 (-15)'!$B$12</definedName>
    <definedName name="solver_rhs3" localSheetId="6" hidden="1">'STD20 (-5)'!$B$12</definedName>
    <definedName name="solver_rlx" localSheetId="11" hidden="1">2</definedName>
    <definedName name="solver_rlx" localSheetId="7" hidden="1">2</definedName>
    <definedName name="solver_rlx" localSheetId="9" hidden="1">2</definedName>
    <definedName name="solver_rlx" localSheetId="10" hidden="1">2</definedName>
    <definedName name="solver_rlx" localSheetId="8" hidden="1">2</definedName>
    <definedName name="solver_rlx" localSheetId="5" hidden="1">2</definedName>
    <definedName name="solver_rlx" localSheetId="4" hidden="1">2</definedName>
    <definedName name="solver_rlx" localSheetId="6" hidden="1">2</definedName>
    <definedName name="solver_rsd" localSheetId="11" hidden="1">0</definedName>
    <definedName name="solver_rsd" localSheetId="7" hidden="1">0</definedName>
    <definedName name="solver_rsd" localSheetId="9" hidden="1">0</definedName>
    <definedName name="solver_rsd" localSheetId="10" hidden="1">0</definedName>
    <definedName name="solver_rsd" localSheetId="8" hidden="1">0</definedName>
    <definedName name="solver_rsd" localSheetId="5" hidden="1">0</definedName>
    <definedName name="solver_rsd" localSheetId="4" hidden="1">0</definedName>
    <definedName name="solver_rsd" localSheetId="6" hidden="1">0</definedName>
    <definedName name="solver_scl" localSheetId="11" hidden="1">1</definedName>
    <definedName name="solver_scl" localSheetId="7" hidden="1">1</definedName>
    <definedName name="solver_scl" localSheetId="9" hidden="1">1</definedName>
    <definedName name="solver_scl" localSheetId="10" hidden="1">1</definedName>
    <definedName name="solver_scl" localSheetId="8" hidden="1">1</definedName>
    <definedName name="solver_scl" localSheetId="5" hidden="1">1</definedName>
    <definedName name="solver_scl" localSheetId="4" hidden="1">1</definedName>
    <definedName name="solver_scl" localSheetId="6" hidden="1">1</definedName>
    <definedName name="solver_sho" localSheetId="11" hidden="1">2</definedName>
    <definedName name="solver_sho" localSheetId="7" hidden="1">2</definedName>
    <definedName name="solver_sho" localSheetId="9" hidden="1">2</definedName>
    <definedName name="solver_sho" localSheetId="10" hidden="1">2</definedName>
    <definedName name="solver_sho" localSheetId="8" hidden="1">2</definedName>
    <definedName name="solver_sho" localSheetId="5" hidden="1">2</definedName>
    <definedName name="solver_sho" localSheetId="4" hidden="1">2</definedName>
    <definedName name="solver_sho" localSheetId="6" hidden="1">2</definedName>
    <definedName name="solver_ssz" localSheetId="11" hidden="1">100</definedName>
    <definedName name="solver_ssz" localSheetId="7" hidden="1">100</definedName>
    <definedName name="solver_ssz" localSheetId="9" hidden="1">100</definedName>
    <definedName name="solver_ssz" localSheetId="10" hidden="1">100</definedName>
    <definedName name="solver_ssz" localSheetId="8" hidden="1">100</definedName>
    <definedName name="solver_ssz" localSheetId="5" hidden="1">100</definedName>
    <definedName name="solver_ssz" localSheetId="4" hidden="1">100</definedName>
    <definedName name="solver_ssz" localSheetId="6" hidden="1">100</definedName>
    <definedName name="solver_tim" localSheetId="11" hidden="1">2147483647</definedName>
    <definedName name="solver_tim" localSheetId="7" hidden="1">2147483647</definedName>
    <definedName name="solver_tim" localSheetId="9" hidden="1">2147483647</definedName>
    <definedName name="solver_tim" localSheetId="10" hidden="1">2147483647</definedName>
    <definedName name="solver_tim" localSheetId="8" hidden="1">2147483647</definedName>
    <definedName name="solver_tim" localSheetId="5" hidden="1">2147483647</definedName>
    <definedName name="solver_tim" localSheetId="4" hidden="1">2147483647</definedName>
    <definedName name="solver_tim" localSheetId="6" hidden="1">2147483647</definedName>
    <definedName name="solver_tol" localSheetId="11" hidden="1">0.01</definedName>
    <definedName name="solver_tol" localSheetId="7" hidden="1">0.01</definedName>
    <definedName name="solver_tol" localSheetId="9" hidden="1">0.01</definedName>
    <definedName name="solver_tol" localSheetId="10" hidden="1">0.01</definedName>
    <definedName name="solver_tol" localSheetId="8" hidden="1">0.01</definedName>
    <definedName name="solver_tol" localSheetId="5" hidden="1">0.01</definedName>
    <definedName name="solver_tol" localSheetId="4" hidden="1">0.01</definedName>
    <definedName name="solver_tol" localSheetId="6" hidden="1">0.01</definedName>
    <definedName name="solver_typ" localSheetId="11" hidden="1">1</definedName>
    <definedName name="solver_typ" localSheetId="7" hidden="1">1</definedName>
    <definedName name="solver_typ" localSheetId="9" hidden="1">1</definedName>
    <definedName name="solver_typ" localSheetId="10" hidden="1">1</definedName>
    <definedName name="solver_typ" localSheetId="8" hidden="1">1</definedName>
    <definedName name="solver_typ" localSheetId="5" hidden="1">1</definedName>
    <definedName name="solver_typ" localSheetId="4" hidden="1">1</definedName>
    <definedName name="solver_typ" localSheetId="6" hidden="1">1</definedName>
    <definedName name="solver_val" localSheetId="11" hidden="1">0</definedName>
    <definedName name="solver_val" localSheetId="7" hidden="1">0</definedName>
    <definedName name="solver_val" localSheetId="9" hidden="1">0</definedName>
    <definedName name="solver_val" localSheetId="10" hidden="1">0</definedName>
    <definedName name="solver_val" localSheetId="8" hidden="1">0</definedName>
    <definedName name="solver_val" localSheetId="5" hidden="1">0</definedName>
    <definedName name="solver_val" localSheetId="4" hidden="1">0</definedName>
    <definedName name="solver_val" localSheetId="6" hidden="1">0</definedName>
    <definedName name="solver_ver" localSheetId="11" hidden="1">3</definedName>
    <definedName name="solver_ver" localSheetId="7" hidden="1">3</definedName>
    <definedName name="solver_ver" localSheetId="9" hidden="1">3</definedName>
    <definedName name="solver_ver" localSheetId="10" hidden="1">3</definedName>
    <definedName name="solver_ver" localSheetId="8" hidden="1">3</definedName>
    <definedName name="solver_ver" localSheetId="5" hidden="1">3</definedName>
    <definedName name="solver_ver" localSheetId="4" hidden="1">3</definedName>
    <definedName name="solver_ver" localSheetId="6" hidden="1">3</definedName>
  </definedNames>
  <calcPr calcId="145621"/>
</workbook>
</file>

<file path=xl/calcChain.xml><?xml version="1.0" encoding="utf-8"?>
<calcChain xmlns="http://schemas.openxmlformats.org/spreadsheetml/2006/main">
  <c r="B12" i="23" l="1"/>
  <c r="B12" i="45" l="1"/>
  <c r="B12" i="44"/>
  <c r="B12" i="43"/>
  <c r="B12" i="42"/>
  <c r="B12" i="41"/>
  <c r="B12" i="40"/>
  <c r="B12" i="39"/>
  <c r="D12" i="45" l="1"/>
  <c r="C42" i="45"/>
  <c r="I41" i="45"/>
  <c r="J41" i="45" s="1"/>
  <c r="H41" i="45"/>
  <c r="K41" i="45" s="1"/>
  <c r="M41" i="45" s="1"/>
  <c r="F41" i="45"/>
  <c r="G41" i="45" s="1"/>
  <c r="D41" i="45"/>
  <c r="C41" i="45"/>
  <c r="I40" i="45"/>
  <c r="J40" i="45" s="1"/>
  <c r="H40" i="45"/>
  <c r="F40" i="45"/>
  <c r="G40" i="45" s="1"/>
  <c r="D40" i="45"/>
  <c r="C40" i="45"/>
  <c r="I39" i="45"/>
  <c r="J39" i="45" s="1"/>
  <c r="H39" i="45"/>
  <c r="K39" i="45" s="1"/>
  <c r="M39" i="45" s="1"/>
  <c r="G39" i="45"/>
  <c r="F39" i="45"/>
  <c r="D39" i="45"/>
  <c r="C39" i="45"/>
  <c r="K38" i="45"/>
  <c r="M38" i="45" s="1"/>
  <c r="I38" i="45"/>
  <c r="J38" i="45" s="1"/>
  <c r="H38" i="45"/>
  <c r="F38" i="45"/>
  <c r="G38" i="45" s="1"/>
  <c r="D38" i="45"/>
  <c r="C38" i="45"/>
  <c r="I37" i="45"/>
  <c r="J37" i="45" s="1"/>
  <c r="L37" i="45" s="1"/>
  <c r="N37" i="45" s="1"/>
  <c r="H37" i="45"/>
  <c r="K37" i="45" s="1"/>
  <c r="M37" i="45" s="1"/>
  <c r="F37" i="45"/>
  <c r="G37" i="45" s="1"/>
  <c r="D37" i="45"/>
  <c r="C37" i="45"/>
  <c r="I36" i="45"/>
  <c r="J36" i="45" s="1"/>
  <c r="L36" i="45" s="1"/>
  <c r="N36" i="45" s="1"/>
  <c r="H36" i="45"/>
  <c r="K36" i="45" s="1"/>
  <c r="M36" i="45" s="1"/>
  <c r="G36" i="45"/>
  <c r="F36" i="45"/>
  <c r="D36" i="45"/>
  <c r="C36" i="45"/>
  <c r="I35" i="45"/>
  <c r="J35" i="45" s="1"/>
  <c r="H35" i="45"/>
  <c r="K35" i="45" s="1"/>
  <c r="M35" i="45" s="1"/>
  <c r="G35" i="45"/>
  <c r="F35" i="45"/>
  <c r="D35" i="45"/>
  <c r="C35" i="45"/>
  <c r="K34" i="45"/>
  <c r="M34" i="45" s="1"/>
  <c r="I34" i="45"/>
  <c r="J34" i="45" s="1"/>
  <c r="H34" i="45"/>
  <c r="F34" i="45"/>
  <c r="G34" i="45" s="1"/>
  <c r="D34" i="45"/>
  <c r="D42" i="45" s="1"/>
  <c r="C34" i="45"/>
  <c r="C33" i="45"/>
  <c r="C32" i="45"/>
  <c r="I31" i="45"/>
  <c r="J25" i="45"/>
  <c r="I25" i="45"/>
  <c r="F25" i="45"/>
  <c r="E25" i="45"/>
  <c r="L24" i="45"/>
  <c r="N24" i="45" s="1"/>
  <c r="K24" i="45"/>
  <c r="M24" i="45" s="1"/>
  <c r="H24" i="45"/>
  <c r="G24" i="45"/>
  <c r="L23" i="45"/>
  <c r="N23" i="45" s="1"/>
  <c r="K23" i="45"/>
  <c r="M23" i="45" s="1"/>
  <c r="H23" i="45"/>
  <c r="G23" i="45"/>
  <c r="L22" i="45"/>
  <c r="N22" i="45" s="1"/>
  <c r="K22" i="45"/>
  <c r="M22" i="45" s="1"/>
  <c r="H22" i="45"/>
  <c r="G22" i="45"/>
  <c r="M21" i="45"/>
  <c r="L21" i="45"/>
  <c r="N21" i="45" s="1"/>
  <c r="K21" i="45"/>
  <c r="H21" i="45"/>
  <c r="G21" i="45"/>
  <c r="N20" i="45"/>
  <c r="L20" i="45"/>
  <c r="K20" i="45"/>
  <c r="M20" i="45" s="1"/>
  <c r="H20" i="45"/>
  <c r="G20" i="45"/>
  <c r="L19" i="45"/>
  <c r="N19" i="45" s="1"/>
  <c r="K19" i="45"/>
  <c r="M19" i="45" s="1"/>
  <c r="H19" i="45"/>
  <c r="G19" i="45"/>
  <c r="L18" i="45"/>
  <c r="N18" i="45" s="1"/>
  <c r="K18" i="45"/>
  <c r="M18" i="45" s="1"/>
  <c r="H18" i="45"/>
  <c r="H25" i="45" s="1"/>
  <c r="G18" i="45"/>
  <c r="L17" i="45"/>
  <c r="N17" i="45" s="1"/>
  <c r="K17" i="45"/>
  <c r="M17" i="45" s="1"/>
  <c r="H17" i="45"/>
  <c r="G17" i="45"/>
  <c r="C12" i="45"/>
  <c r="B9" i="45"/>
  <c r="C42" i="44"/>
  <c r="I41" i="44"/>
  <c r="J41" i="44" s="1"/>
  <c r="H41" i="44"/>
  <c r="K41" i="44" s="1"/>
  <c r="M41" i="44" s="1"/>
  <c r="F41" i="44"/>
  <c r="D41" i="44"/>
  <c r="C41" i="44"/>
  <c r="I40" i="44"/>
  <c r="J40" i="44" s="1"/>
  <c r="H40" i="44"/>
  <c r="F40" i="44"/>
  <c r="G40" i="44" s="1"/>
  <c r="D40" i="44"/>
  <c r="C40" i="44"/>
  <c r="K39" i="44"/>
  <c r="M39" i="44" s="1"/>
  <c r="I39" i="44"/>
  <c r="J39" i="44" s="1"/>
  <c r="H39" i="44"/>
  <c r="F39" i="44"/>
  <c r="G39" i="44" s="1"/>
  <c r="D39" i="44"/>
  <c r="C39" i="44"/>
  <c r="I38" i="44"/>
  <c r="J38" i="44" s="1"/>
  <c r="L38" i="44" s="1"/>
  <c r="N38" i="44" s="1"/>
  <c r="H38" i="44"/>
  <c r="K38" i="44" s="1"/>
  <c r="M38" i="44" s="1"/>
  <c r="F38" i="44"/>
  <c r="G38" i="44" s="1"/>
  <c r="D38" i="44"/>
  <c r="C38" i="44"/>
  <c r="I37" i="44"/>
  <c r="J37" i="44" s="1"/>
  <c r="L37" i="44" s="1"/>
  <c r="N37" i="44" s="1"/>
  <c r="H37" i="44"/>
  <c r="K37" i="44" s="1"/>
  <c r="M37" i="44" s="1"/>
  <c r="G37" i="44"/>
  <c r="F37" i="44"/>
  <c r="D37" i="44"/>
  <c r="C37" i="44"/>
  <c r="I36" i="44"/>
  <c r="J36" i="44" s="1"/>
  <c r="H36" i="44"/>
  <c r="K36" i="44" s="1"/>
  <c r="M36" i="44" s="1"/>
  <c r="G36" i="44"/>
  <c r="F36" i="44"/>
  <c r="D36" i="44"/>
  <c r="C36" i="44"/>
  <c r="K35" i="44"/>
  <c r="M35" i="44" s="1"/>
  <c r="I35" i="44"/>
  <c r="J35" i="44" s="1"/>
  <c r="L35" i="44" s="1"/>
  <c r="N35" i="44" s="1"/>
  <c r="H35" i="44"/>
  <c r="F35" i="44"/>
  <c r="G35" i="44" s="1"/>
  <c r="D35" i="44"/>
  <c r="C35" i="44"/>
  <c r="I34" i="44"/>
  <c r="J34" i="44" s="1"/>
  <c r="H34" i="44"/>
  <c r="F34" i="44"/>
  <c r="G34" i="44" s="1"/>
  <c r="D34" i="44"/>
  <c r="C34" i="44"/>
  <c r="C33" i="44"/>
  <c r="C32" i="44"/>
  <c r="I31" i="44"/>
  <c r="G41" i="44" s="1"/>
  <c r="J25" i="44"/>
  <c r="I25" i="44"/>
  <c r="F25" i="44"/>
  <c r="E25" i="44"/>
  <c r="M24" i="44"/>
  <c r="L24" i="44"/>
  <c r="N24" i="44" s="1"/>
  <c r="K24" i="44"/>
  <c r="H24" i="44"/>
  <c r="G24" i="44"/>
  <c r="L23" i="44"/>
  <c r="N23" i="44" s="1"/>
  <c r="K23" i="44"/>
  <c r="M23" i="44" s="1"/>
  <c r="H23" i="44"/>
  <c r="G23" i="44"/>
  <c r="L22" i="44"/>
  <c r="N22" i="44" s="1"/>
  <c r="K22" i="44"/>
  <c r="M22" i="44" s="1"/>
  <c r="H22" i="44"/>
  <c r="G22" i="44"/>
  <c r="L21" i="44"/>
  <c r="N21" i="44" s="1"/>
  <c r="K21" i="44"/>
  <c r="M21" i="44" s="1"/>
  <c r="H21" i="44"/>
  <c r="G21" i="44"/>
  <c r="N20" i="44"/>
  <c r="L20" i="44"/>
  <c r="K20" i="44"/>
  <c r="M20" i="44" s="1"/>
  <c r="H20" i="44"/>
  <c r="G20" i="44"/>
  <c r="L19" i="44"/>
  <c r="N19" i="44" s="1"/>
  <c r="K19" i="44"/>
  <c r="M19" i="44" s="1"/>
  <c r="H19" i="44"/>
  <c r="G19" i="44"/>
  <c r="L18" i="44"/>
  <c r="N18" i="44" s="1"/>
  <c r="K18" i="44"/>
  <c r="M18" i="44" s="1"/>
  <c r="H18" i="44"/>
  <c r="G18" i="44"/>
  <c r="L17" i="44"/>
  <c r="N17" i="44" s="1"/>
  <c r="K17" i="44"/>
  <c r="M17" i="44" s="1"/>
  <c r="H17" i="44"/>
  <c r="G17" i="44"/>
  <c r="D12" i="44"/>
  <c r="C12" i="44"/>
  <c r="B9" i="44"/>
  <c r="C42" i="43"/>
  <c r="H41" i="43"/>
  <c r="K41" i="43" s="1"/>
  <c r="M41" i="43" s="1"/>
  <c r="D41" i="43"/>
  <c r="C41" i="43"/>
  <c r="H40" i="43"/>
  <c r="D40" i="43"/>
  <c r="K40" i="43" s="1"/>
  <c r="M40" i="43" s="1"/>
  <c r="C40" i="43"/>
  <c r="K39" i="43"/>
  <c r="M39" i="43" s="1"/>
  <c r="H39" i="43"/>
  <c r="F39" i="43"/>
  <c r="G39" i="43" s="1"/>
  <c r="D39" i="43"/>
  <c r="C39" i="43"/>
  <c r="I38" i="43"/>
  <c r="J38" i="43" s="1"/>
  <c r="H38" i="43"/>
  <c r="K38" i="43" s="1"/>
  <c r="M38" i="43" s="1"/>
  <c r="F38" i="43"/>
  <c r="G38" i="43" s="1"/>
  <c r="D38" i="43"/>
  <c r="C38" i="43"/>
  <c r="H37" i="43"/>
  <c r="K37" i="43" s="1"/>
  <c r="M37" i="43" s="1"/>
  <c r="D37" i="43"/>
  <c r="C37" i="43"/>
  <c r="H36" i="43"/>
  <c r="K36" i="43" s="1"/>
  <c r="M36" i="43" s="1"/>
  <c r="D36" i="43"/>
  <c r="C36" i="43"/>
  <c r="H35" i="43"/>
  <c r="K35" i="43" s="1"/>
  <c r="M35" i="43" s="1"/>
  <c r="F35" i="43"/>
  <c r="G35" i="43" s="1"/>
  <c r="D35" i="43"/>
  <c r="C35" i="43"/>
  <c r="I34" i="43"/>
  <c r="J34" i="43" s="1"/>
  <c r="H34" i="43"/>
  <c r="H42" i="43" s="1"/>
  <c r="F34" i="43"/>
  <c r="G34" i="43" s="1"/>
  <c r="D34" i="43"/>
  <c r="C34" i="43"/>
  <c r="C33" i="43"/>
  <c r="C32" i="43"/>
  <c r="I31" i="43"/>
  <c r="I25" i="43"/>
  <c r="E25" i="43"/>
  <c r="K24" i="43"/>
  <c r="M24" i="43" s="1"/>
  <c r="I41" i="43"/>
  <c r="J41" i="43" s="1"/>
  <c r="H24" i="43"/>
  <c r="G24" i="43"/>
  <c r="F41" i="43"/>
  <c r="G41" i="43" s="1"/>
  <c r="K23" i="43"/>
  <c r="M23" i="43" s="1"/>
  <c r="I40" i="43"/>
  <c r="J40" i="43" s="1"/>
  <c r="L40" i="43" s="1"/>
  <c r="N40" i="43" s="1"/>
  <c r="H23" i="43"/>
  <c r="G23" i="43"/>
  <c r="G25" i="43" s="1"/>
  <c r="F40" i="43"/>
  <c r="G40" i="43" s="1"/>
  <c r="M22" i="43"/>
  <c r="K22" i="43"/>
  <c r="I39" i="43"/>
  <c r="J39" i="43" s="1"/>
  <c r="H22" i="43"/>
  <c r="G22" i="43"/>
  <c r="K21" i="43"/>
  <c r="M21" i="43" s="1"/>
  <c r="L21" i="43"/>
  <c r="N21" i="43" s="1"/>
  <c r="H21" i="43"/>
  <c r="G21" i="43"/>
  <c r="K20" i="43"/>
  <c r="M20" i="43" s="1"/>
  <c r="H20" i="43"/>
  <c r="G20" i="43"/>
  <c r="K19" i="43"/>
  <c r="M19" i="43" s="1"/>
  <c r="I36" i="43"/>
  <c r="J36" i="43" s="1"/>
  <c r="L36" i="43" s="1"/>
  <c r="N36" i="43" s="1"/>
  <c r="H19" i="43"/>
  <c r="G19" i="43"/>
  <c r="F36" i="43"/>
  <c r="G36" i="43" s="1"/>
  <c r="M18" i="43"/>
  <c r="K18" i="43"/>
  <c r="I35" i="43"/>
  <c r="J35" i="43" s="1"/>
  <c r="H18" i="43"/>
  <c r="G18" i="43"/>
  <c r="K17" i="43"/>
  <c r="K25" i="43" s="1"/>
  <c r="M25" i="43" s="1"/>
  <c r="H17" i="43"/>
  <c r="H25" i="43" s="1"/>
  <c r="G17" i="43"/>
  <c r="D12" i="43"/>
  <c r="C12" i="43"/>
  <c r="C42" i="42"/>
  <c r="H41" i="42"/>
  <c r="K41" i="42" s="1"/>
  <c r="M41" i="42" s="1"/>
  <c r="D41" i="42"/>
  <c r="C41" i="42"/>
  <c r="H40" i="42"/>
  <c r="K40" i="42" s="1"/>
  <c r="M40" i="42" s="1"/>
  <c r="F40" i="42"/>
  <c r="G40" i="42" s="1"/>
  <c r="D40" i="42"/>
  <c r="C40" i="42"/>
  <c r="I39" i="42"/>
  <c r="J39" i="42" s="1"/>
  <c r="L39" i="42" s="1"/>
  <c r="N39" i="42" s="1"/>
  <c r="H39" i="42"/>
  <c r="F39" i="42"/>
  <c r="G39" i="42" s="1"/>
  <c r="D39" i="42"/>
  <c r="C39" i="42"/>
  <c r="I38" i="42"/>
  <c r="J38" i="42" s="1"/>
  <c r="L38" i="42" s="1"/>
  <c r="N38" i="42" s="1"/>
  <c r="H38" i="42"/>
  <c r="K38" i="42" s="1"/>
  <c r="M38" i="42" s="1"/>
  <c r="D38" i="42"/>
  <c r="C38" i="42"/>
  <c r="K37" i="42"/>
  <c r="M37" i="42" s="1"/>
  <c r="H37" i="42"/>
  <c r="D37" i="42"/>
  <c r="C37" i="42"/>
  <c r="K36" i="42"/>
  <c r="M36" i="42" s="1"/>
  <c r="H36" i="42"/>
  <c r="F36" i="42"/>
  <c r="G36" i="42" s="1"/>
  <c r="D36" i="42"/>
  <c r="C36" i="42"/>
  <c r="I35" i="42"/>
  <c r="J35" i="42" s="1"/>
  <c r="H35" i="42"/>
  <c r="K35" i="42" s="1"/>
  <c r="M35" i="42" s="1"/>
  <c r="F35" i="42"/>
  <c r="G35" i="42" s="1"/>
  <c r="D35" i="42"/>
  <c r="C35" i="42"/>
  <c r="I34" i="42"/>
  <c r="J34" i="42" s="1"/>
  <c r="H34" i="42"/>
  <c r="D34" i="42"/>
  <c r="D42" i="42" s="1"/>
  <c r="C34" i="42"/>
  <c r="C33" i="42"/>
  <c r="C32" i="42"/>
  <c r="I31" i="42"/>
  <c r="I25" i="42"/>
  <c r="E25" i="42"/>
  <c r="M24" i="42"/>
  <c r="L24" i="42"/>
  <c r="N24" i="42" s="1"/>
  <c r="K24" i="42"/>
  <c r="I41" i="42"/>
  <c r="J41" i="42" s="1"/>
  <c r="H24" i="42"/>
  <c r="G24" i="42"/>
  <c r="F41" i="42"/>
  <c r="G41" i="42" s="1"/>
  <c r="L23" i="42"/>
  <c r="N23" i="42" s="1"/>
  <c r="K23" i="42"/>
  <c r="M23" i="42" s="1"/>
  <c r="I40" i="42"/>
  <c r="J40" i="42" s="1"/>
  <c r="H23" i="42"/>
  <c r="G23" i="42"/>
  <c r="L22" i="42"/>
  <c r="N22" i="42" s="1"/>
  <c r="K22" i="42"/>
  <c r="M22" i="42" s="1"/>
  <c r="H22" i="42"/>
  <c r="G22" i="42"/>
  <c r="L21" i="42"/>
  <c r="N21" i="42" s="1"/>
  <c r="K21" i="42"/>
  <c r="M21" i="42" s="1"/>
  <c r="H21" i="42"/>
  <c r="G21" i="42"/>
  <c r="F38" i="42"/>
  <c r="G38" i="42" s="1"/>
  <c r="M20" i="42"/>
  <c r="K20" i="42"/>
  <c r="H20" i="42"/>
  <c r="G20" i="42"/>
  <c r="M19" i="42"/>
  <c r="L19" i="42"/>
  <c r="N19" i="42" s="1"/>
  <c r="K19" i="42"/>
  <c r="I36" i="42"/>
  <c r="J36" i="42" s="1"/>
  <c r="H19" i="42"/>
  <c r="G19" i="42"/>
  <c r="L18" i="42"/>
  <c r="N18" i="42" s="1"/>
  <c r="K18" i="42"/>
  <c r="M18" i="42" s="1"/>
  <c r="H18" i="42"/>
  <c r="G18" i="42"/>
  <c r="L17" i="42"/>
  <c r="K17" i="42"/>
  <c r="M17" i="42" s="1"/>
  <c r="H17" i="42"/>
  <c r="H25" i="42" s="1"/>
  <c r="G17" i="42"/>
  <c r="G25" i="42" s="1"/>
  <c r="F34" i="42"/>
  <c r="G34" i="42" s="1"/>
  <c r="D12" i="42"/>
  <c r="C42" i="41"/>
  <c r="H41" i="41"/>
  <c r="K41" i="41" s="1"/>
  <c r="M41" i="41" s="1"/>
  <c r="D41" i="41"/>
  <c r="C41" i="41"/>
  <c r="H40" i="41"/>
  <c r="K40" i="41" s="1"/>
  <c r="M40" i="41" s="1"/>
  <c r="F40" i="41"/>
  <c r="G40" i="41" s="1"/>
  <c r="D40" i="41"/>
  <c r="C40" i="41"/>
  <c r="I39" i="41"/>
  <c r="J39" i="41" s="1"/>
  <c r="L39" i="41" s="1"/>
  <c r="N39" i="41" s="1"/>
  <c r="H39" i="41"/>
  <c r="F39" i="41"/>
  <c r="G39" i="41" s="1"/>
  <c r="D39" i="41"/>
  <c r="K39" i="41" s="1"/>
  <c r="M39" i="41" s="1"/>
  <c r="C39" i="41"/>
  <c r="I38" i="41"/>
  <c r="J38" i="41" s="1"/>
  <c r="H38" i="41"/>
  <c r="K38" i="41" s="1"/>
  <c r="M38" i="41" s="1"/>
  <c r="F38" i="41"/>
  <c r="G38" i="41" s="1"/>
  <c r="D38" i="41"/>
  <c r="C38" i="41"/>
  <c r="K37" i="41"/>
  <c r="M37" i="41" s="1"/>
  <c r="H37" i="41"/>
  <c r="D37" i="41"/>
  <c r="C37" i="41"/>
  <c r="K36" i="41"/>
  <c r="M36" i="41" s="1"/>
  <c r="H36" i="41"/>
  <c r="F36" i="41"/>
  <c r="G36" i="41" s="1"/>
  <c r="D36" i="41"/>
  <c r="C36" i="41"/>
  <c r="I35" i="41"/>
  <c r="J35" i="41" s="1"/>
  <c r="H35" i="41"/>
  <c r="F35" i="41"/>
  <c r="G35" i="41" s="1"/>
  <c r="D35" i="41"/>
  <c r="C35" i="41"/>
  <c r="I34" i="41"/>
  <c r="J34" i="41" s="1"/>
  <c r="H34" i="41"/>
  <c r="F34" i="41"/>
  <c r="G34" i="41" s="1"/>
  <c r="D34" i="41"/>
  <c r="D42" i="41" s="1"/>
  <c r="C34" i="41"/>
  <c r="C33" i="41"/>
  <c r="C32" i="41"/>
  <c r="I31" i="41"/>
  <c r="I25" i="41"/>
  <c r="E25" i="41"/>
  <c r="L24" i="41"/>
  <c r="N24" i="41" s="1"/>
  <c r="K24" i="41"/>
  <c r="M24" i="41" s="1"/>
  <c r="I41" i="41"/>
  <c r="J41" i="41" s="1"/>
  <c r="H24" i="41"/>
  <c r="G24" i="41"/>
  <c r="F41" i="41"/>
  <c r="G41" i="41" s="1"/>
  <c r="L23" i="41"/>
  <c r="N23" i="41" s="1"/>
  <c r="K23" i="41"/>
  <c r="M23" i="41" s="1"/>
  <c r="I40" i="41"/>
  <c r="J40" i="41" s="1"/>
  <c r="H23" i="41"/>
  <c r="G23" i="41"/>
  <c r="M22" i="41"/>
  <c r="L22" i="41"/>
  <c r="N22" i="41" s="1"/>
  <c r="K22" i="41"/>
  <c r="H22" i="41"/>
  <c r="G22" i="41"/>
  <c r="M21" i="41"/>
  <c r="L21" i="41"/>
  <c r="N21" i="41" s="1"/>
  <c r="K21" i="41"/>
  <c r="H21" i="41"/>
  <c r="G21" i="41"/>
  <c r="K20" i="41"/>
  <c r="M20" i="41" s="1"/>
  <c r="H20" i="41"/>
  <c r="G20" i="41"/>
  <c r="L19" i="41"/>
  <c r="N19" i="41" s="1"/>
  <c r="K19" i="41"/>
  <c r="M19" i="41" s="1"/>
  <c r="I36" i="41"/>
  <c r="J36" i="41" s="1"/>
  <c r="H19" i="41"/>
  <c r="G19" i="41"/>
  <c r="M18" i="41"/>
  <c r="L18" i="41"/>
  <c r="N18" i="41" s="1"/>
  <c r="K18" i="41"/>
  <c r="H18" i="41"/>
  <c r="G18" i="41"/>
  <c r="M17" i="41"/>
  <c r="L17" i="41"/>
  <c r="K17" i="41"/>
  <c r="H17" i="41"/>
  <c r="G17" i="41"/>
  <c r="C42" i="40"/>
  <c r="H41" i="40"/>
  <c r="K41" i="40" s="1"/>
  <c r="M41" i="40" s="1"/>
  <c r="D41" i="40"/>
  <c r="C41" i="40"/>
  <c r="H40" i="40"/>
  <c r="D40" i="40"/>
  <c r="K40" i="40" s="1"/>
  <c r="M40" i="40" s="1"/>
  <c r="C40" i="40"/>
  <c r="H39" i="40"/>
  <c r="K39" i="40" s="1"/>
  <c r="M39" i="40" s="1"/>
  <c r="F39" i="40"/>
  <c r="G39" i="40" s="1"/>
  <c r="D39" i="40"/>
  <c r="C39" i="40"/>
  <c r="I38" i="40"/>
  <c r="J38" i="40" s="1"/>
  <c r="H38" i="40"/>
  <c r="K38" i="40" s="1"/>
  <c r="M38" i="40" s="1"/>
  <c r="F38" i="40"/>
  <c r="G38" i="40" s="1"/>
  <c r="D38" i="40"/>
  <c r="C38" i="40"/>
  <c r="H37" i="40"/>
  <c r="K37" i="40" s="1"/>
  <c r="M37" i="40" s="1"/>
  <c r="D37" i="40"/>
  <c r="C37" i="40"/>
  <c r="H36" i="40"/>
  <c r="K36" i="40" s="1"/>
  <c r="M36" i="40" s="1"/>
  <c r="D36" i="40"/>
  <c r="C36" i="40"/>
  <c r="H35" i="40"/>
  <c r="K35" i="40" s="1"/>
  <c r="M35" i="40" s="1"/>
  <c r="F35" i="40"/>
  <c r="G35" i="40" s="1"/>
  <c r="D35" i="40"/>
  <c r="C35" i="40"/>
  <c r="I34" i="40"/>
  <c r="J34" i="40" s="1"/>
  <c r="H34" i="40"/>
  <c r="F34" i="40"/>
  <c r="G34" i="40" s="1"/>
  <c r="D34" i="40"/>
  <c r="C34" i="40"/>
  <c r="C33" i="40"/>
  <c r="C32" i="40"/>
  <c r="I31" i="40"/>
  <c r="I25" i="40"/>
  <c r="E25" i="40"/>
  <c r="K24" i="40"/>
  <c r="M24" i="40" s="1"/>
  <c r="I41" i="40"/>
  <c r="J41" i="40" s="1"/>
  <c r="H24" i="40"/>
  <c r="G24" i="40"/>
  <c r="F41" i="40"/>
  <c r="G41" i="40" s="1"/>
  <c r="K23" i="40"/>
  <c r="M23" i="40" s="1"/>
  <c r="I40" i="40"/>
  <c r="J40" i="40" s="1"/>
  <c r="H23" i="40"/>
  <c r="G23" i="40"/>
  <c r="G25" i="40" s="1"/>
  <c r="F40" i="40"/>
  <c r="G40" i="40" s="1"/>
  <c r="K22" i="40"/>
  <c r="M22" i="40" s="1"/>
  <c r="I39" i="40"/>
  <c r="J39" i="40" s="1"/>
  <c r="H22" i="40"/>
  <c r="G22" i="40"/>
  <c r="K21" i="40"/>
  <c r="M21" i="40" s="1"/>
  <c r="L21" i="40"/>
  <c r="N21" i="40" s="1"/>
  <c r="H21" i="40"/>
  <c r="G21" i="40"/>
  <c r="M20" i="40"/>
  <c r="K20" i="40"/>
  <c r="H20" i="40"/>
  <c r="G20" i="40"/>
  <c r="M19" i="40"/>
  <c r="K19" i="40"/>
  <c r="I36" i="40"/>
  <c r="J36" i="40" s="1"/>
  <c r="H19" i="40"/>
  <c r="G19" i="40"/>
  <c r="F36" i="40"/>
  <c r="G36" i="40" s="1"/>
  <c r="K18" i="40"/>
  <c r="M18" i="40" s="1"/>
  <c r="I35" i="40"/>
  <c r="J35" i="40" s="1"/>
  <c r="H18" i="40"/>
  <c r="G18" i="40"/>
  <c r="K17" i="40"/>
  <c r="M17" i="40" s="1"/>
  <c r="H17" i="40"/>
  <c r="H25" i="40" s="1"/>
  <c r="G17" i="40"/>
  <c r="D12" i="40"/>
  <c r="C12" i="40"/>
  <c r="C42" i="39"/>
  <c r="H41" i="39"/>
  <c r="K41" i="39" s="1"/>
  <c r="M41" i="39" s="1"/>
  <c r="D41" i="39"/>
  <c r="C41" i="39"/>
  <c r="H40" i="39"/>
  <c r="K40" i="39" s="1"/>
  <c r="M40" i="39" s="1"/>
  <c r="D40" i="39"/>
  <c r="C40" i="39"/>
  <c r="H39" i="39"/>
  <c r="K39" i="39" s="1"/>
  <c r="M39" i="39" s="1"/>
  <c r="F39" i="39"/>
  <c r="G39" i="39" s="1"/>
  <c r="D39" i="39"/>
  <c r="C39" i="39"/>
  <c r="H38" i="39"/>
  <c r="K38" i="39" s="1"/>
  <c r="M38" i="39" s="1"/>
  <c r="F38" i="39"/>
  <c r="G38" i="39" s="1"/>
  <c r="D38" i="39"/>
  <c r="C38" i="39"/>
  <c r="H37" i="39"/>
  <c r="K37" i="39" s="1"/>
  <c r="M37" i="39" s="1"/>
  <c r="D37" i="39"/>
  <c r="C37" i="39"/>
  <c r="H36" i="39"/>
  <c r="K36" i="39" s="1"/>
  <c r="M36" i="39" s="1"/>
  <c r="D36" i="39"/>
  <c r="C36" i="39"/>
  <c r="H35" i="39"/>
  <c r="K35" i="39" s="1"/>
  <c r="M35" i="39" s="1"/>
  <c r="F35" i="39"/>
  <c r="G35" i="39" s="1"/>
  <c r="D35" i="39"/>
  <c r="C35" i="39"/>
  <c r="H34" i="39"/>
  <c r="H42" i="39" s="1"/>
  <c r="F34" i="39"/>
  <c r="G34" i="39" s="1"/>
  <c r="D34" i="39"/>
  <c r="D42" i="39" s="1"/>
  <c r="C34" i="39"/>
  <c r="C33" i="39"/>
  <c r="C32" i="39"/>
  <c r="I31" i="39"/>
  <c r="I25" i="39"/>
  <c r="E25" i="39"/>
  <c r="M24" i="39"/>
  <c r="K24" i="39"/>
  <c r="H24" i="39"/>
  <c r="G24" i="39"/>
  <c r="F41" i="39"/>
  <c r="G41" i="39" s="1"/>
  <c r="K23" i="39"/>
  <c r="M23" i="39" s="1"/>
  <c r="H23" i="39"/>
  <c r="G23" i="39"/>
  <c r="G25" i="39" s="1"/>
  <c r="F40" i="39"/>
  <c r="G40" i="39" s="1"/>
  <c r="K22" i="39"/>
  <c r="M22" i="39" s="1"/>
  <c r="H22" i="39"/>
  <c r="G22" i="39"/>
  <c r="K21" i="39"/>
  <c r="M21" i="39" s="1"/>
  <c r="H21" i="39"/>
  <c r="G21" i="39"/>
  <c r="K20" i="39"/>
  <c r="M20" i="39" s="1"/>
  <c r="H20" i="39"/>
  <c r="G20" i="39"/>
  <c r="K19" i="39"/>
  <c r="M19" i="39" s="1"/>
  <c r="H19" i="39"/>
  <c r="G19" i="39"/>
  <c r="F36" i="39"/>
  <c r="G36" i="39" s="1"/>
  <c r="K18" i="39"/>
  <c r="M18" i="39" s="1"/>
  <c r="H18" i="39"/>
  <c r="G18" i="39"/>
  <c r="K17" i="39"/>
  <c r="K25" i="39" s="1"/>
  <c r="M25" i="39" s="1"/>
  <c r="H17" i="39"/>
  <c r="H25" i="39" s="1"/>
  <c r="G17" i="39"/>
  <c r="D12" i="39"/>
  <c r="C12" i="39"/>
  <c r="H24" i="23"/>
  <c r="G24" i="23"/>
  <c r="H23" i="23"/>
  <c r="G23" i="23"/>
  <c r="H22" i="23"/>
  <c r="G22" i="23"/>
  <c r="H21" i="23"/>
  <c r="G21" i="23"/>
  <c r="H20" i="23"/>
  <c r="G20" i="23"/>
  <c r="H19" i="23"/>
  <c r="G19" i="23"/>
  <c r="H18" i="23"/>
  <c r="G18" i="23"/>
  <c r="K35" i="41" l="1"/>
  <c r="M35" i="41" s="1"/>
  <c r="K25" i="41"/>
  <c r="M25" i="41" s="1"/>
  <c r="M17" i="43"/>
  <c r="K40" i="44"/>
  <c r="M40" i="44" s="1"/>
  <c r="H42" i="44"/>
  <c r="K25" i="40"/>
  <c r="M25" i="40" s="1"/>
  <c r="H42" i="40"/>
  <c r="K42" i="40" s="1"/>
  <c r="M42" i="40" s="1"/>
  <c r="M17" i="39"/>
  <c r="L40" i="45"/>
  <c r="N40" i="45" s="1"/>
  <c r="G25" i="45"/>
  <c r="K40" i="45"/>
  <c r="M40" i="45" s="1"/>
  <c r="G25" i="44"/>
  <c r="D42" i="44"/>
  <c r="H25" i="44"/>
  <c r="D42" i="43"/>
  <c r="K25" i="42"/>
  <c r="M25" i="42" s="1"/>
  <c r="H25" i="41"/>
  <c r="D42" i="40"/>
  <c r="J42" i="45"/>
  <c r="L42" i="45" s="1"/>
  <c r="N42" i="45" s="1"/>
  <c r="L39" i="45"/>
  <c r="N39" i="45" s="1"/>
  <c r="K25" i="45"/>
  <c r="M25" i="45" s="1"/>
  <c r="H42" i="45"/>
  <c r="L35" i="45"/>
  <c r="N35" i="45" s="1"/>
  <c r="G42" i="45"/>
  <c r="K42" i="45"/>
  <c r="M42" i="45" s="1"/>
  <c r="L38" i="45"/>
  <c r="N38" i="45" s="1"/>
  <c r="L41" i="45"/>
  <c r="N41" i="45" s="1"/>
  <c r="J45" i="45"/>
  <c r="J44" i="45"/>
  <c r="J43" i="45"/>
  <c r="G43" i="45"/>
  <c r="G45" i="45"/>
  <c r="G44" i="45"/>
  <c r="L25" i="45"/>
  <c r="N25" i="45" s="1"/>
  <c r="L34" i="45"/>
  <c r="N34" i="45" s="1"/>
  <c r="L36" i="44"/>
  <c r="N36" i="44" s="1"/>
  <c r="L40" i="44"/>
  <c r="N40" i="44" s="1"/>
  <c r="G42" i="44"/>
  <c r="J44" i="44"/>
  <c r="J45" i="44"/>
  <c r="J43" i="44"/>
  <c r="L41" i="44"/>
  <c r="J42" i="44"/>
  <c r="L42" i="44" s="1"/>
  <c r="N42" i="44" s="1"/>
  <c r="L34" i="44"/>
  <c r="N34" i="44" s="1"/>
  <c r="L39" i="44"/>
  <c r="N39" i="44" s="1"/>
  <c r="G45" i="44"/>
  <c r="G44" i="44"/>
  <c r="G43" i="44"/>
  <c r="K42" i="44"/>
  <c r="M42" i="44" s="1"/>
  <c r="L25" i="44"/>
  <c r="N25" i="44" s="1"/>
  <c r="K25" i="44"/>
  <c r="M25" i="44" s="1"/>
  <c r="K34" i="44"/>
  <c r="M34" i="44" s="1"/>
  <c r="H42" i="42"/>
  <c r="K39" i="42"/>
  <c r="M39" i="42" s="1"/>
  <c r="L38" i="43"/>
  <c r="N38" i="43" s="1"/>
  <c r="L35" i="43"/>
  <c r="N35" i="43" s="1"/>
  <c r="L34" i="43"/>
  <c r="N34" i="43" s="1"/>
  <c r="L41" i="43"/>
  <c r="K42" i="43"/>
  <c r="M42" i="43" s="1"/>
  <c r="L39" i="43"/>
  <c r="N39" i="43" s="1"/>
  <c r="L17" i="43"/>
  <c r="L18" i="43"/>
  <c r="N18" i="43" s="1"/>
  <c r="L19" i="43"/>
  <c r="N19" i="43" s="1"/>
  <c r="L22" i="43"/>
  <c r="N22" i="43" s="1"/>
  <c r="L23" i="43"/>
  <c r="N23" i="43" s="1"/>
  <c r="L24" i="43"/>
  <c r="N24" i="43" s="1"/>
  <c r="K34" i="43"/>
  <c r="M34" i="43" s="1"/>
  <c r="L36" i="42"/>
  <c r="N36" i="42" s="1"/>
  <c r="K42" i="42"/>
  <c r="M42" i="42" s="1"/>
  <c r="L40" i="42"/>
  <c r="N40" i="42" s="1"/>
  <c r="L34" i="42"/>
  <c r="N34" i="42" s="1"/>
  <c r="L41" i="42"/>
  <c r="L35" i="42"/>
  <c r="N35" i="42" s="1"/>
  <c r="C12" i="42"/>
  <c r="N17" i="42"/>
  <c r="K34" i="42"/>
  <c r="M34" i="42" s="1"/>
  <c r="L38" i="41"/>
  <c r="N38" i="41" s="1"/>
  <c r="L36" i="41"/>
  <c r="N36" i="41" s="1"/>
  <c r="L40" i="41"/>
  <c r="N40" i="41" s="1"/>
  <c r="D12" i="41"/>
  <c r="C12" i="41"/>
  <c r="L34" i="41"/>
  <c r="N34" i="41" s="1"/>
  <c r="G25" i="41"/>
  <c r="N17" i="41"/>
  <c r="L35" i="41"/>
  <c r="N35" i="41" s="1"/>
  <c r="L41" i="41"/>
  <c r="H42" i="41"/>
  <c r="K42" i="41" s="1"/>
  <c r="M42" i="41" s="1"/>
  <c r="K34" i="41"/>
  <c r="M34" i="41" s="1"/>
  <c r="L36" i="40"/>
  <c r="N36" i="40" s="1"/>
  <c r="L40" i="40"/>
  <c r="N40" i="40" s="1"/>
  <c r="L38" i="40"/>
  <c r="N38" i="40" s="1"/>
  <c r="L35" i="40"/>
  <c r="N35" i="40" s="1"/>
  <c r="L39" i="40"/>
  <c r="N39" i="40" s="1"/>
  <c r="L34" i="40"/>
  <c r="N34" i="40" s="1"/>
  <c r="L41" i="40"/>
  <c r="L17" i="40"/>
  <c r="L18" i="40"/>
  <c r="N18" i="40" s="1"/>
  <c r="L19" i="40"/>
  <c r="N19" i="40" s="1"/>
  <c r="L22" i="40"/>
  <c r="N22" i="40" s="1"/>
  <c r="L23" i="40"/>
  <c r="N23" i="40" s="1"/>
  <c r="L24" i="40"/>
  <c r="N24" i="40" s="1"/>
  <c r="K34" i="40"/>
  <c r="M34" i="40" s="1"/>
  <c r="K42" i="39"/>
  <c r="M42" i="39" s="1"/>
  <c r="K34" i="39"/>
  <c r="M34" i="39" s="1"/>
  <c r="H17" i="23"/>
  <c r="G17" i="23"/>
  <c r="N44" i="45" l="1"/>
  <c r="N43" i="45"/>
  <c r="L45" i="45"/>
  <c r="M45" i="45" s="1"/>
  <c r="L43" i="45"/>
  <c r="M43" i="45" s="1"/>
  <c r="L44" i="45"/>
  <c r="M44" i="45" s="1"/>
  <c r="L43" i="44"/>
  <c r="M43" i="44" s="1"/>
  <c r="N41" i="44"/>
  <c r="L44" i="44"/>
  <c r="M44" i="44" s="1"/>
  <c r="L45" i="44"/>
  <c r="M45" i="44" s="1"/>
  <c r="N41" i="43"/>
  <c r="N17" i="43"/>
  <c r="N41" i="42"/>
  <c r="N41" i="41"/>
  <c r="N17" i="40"/>
  <c r="N41" i="40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22" i="32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22" i="31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23" i="29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23" i="26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I13" i="25"/>
  <c r="H13" i="25"/>
  <c r="N45" i="45" l="1"/>
  <c r="N43" i="44"/>
  <c r="N44" i="44"/>
  <c r="N45" i="44"/>
  <c r="D9" i="34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B9" i="29"/>
  <c r="D9" i="26"/>
  <c r="C9" i="26"/>
  <c r="B9" i="26"/>
  <c r="D9" i="25"/>
  <c r="C9" i="25"/>
  <c r="B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F17" i="23"/>
  <c r="G9" i="25"/>
  <c r="F34" i="23"/>
  <c r="G34" i="23" s="1"/>
  <c r="I31" i="23"/>
  <c r="H41" i="23"/>
  <c r="K41" i="23" s="1"/>
  <c r="M41" i="23" s="1"/>
  <c r="H40" i="23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D12" i="23"/>
  <c r="C12" i="23"/>
  <c r="E25" i="23"/>
  <c r="K40" i="23" l="1"/>
  <c r="M40" i="23" s="1"/>
  <c r="H42" i="23"/>
  <c r="K34" i="23"/>
  <c r="M34" i="23" s="1"/>
  <c r="D42" i="23"/>
  <c r="K35" i="23"/>
  <c r="M35" i="23" s="1"/>
  <c r="K42" i="23" l="1"/>
  <c r="M42" i="23" s="1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B23" i="29"/>
  <c r="A23" i="29"/>
  <c r="C23" i="29" s="1"/>
  <c r="I9" i="29"/>
  <c r="F19" i="23" s="1"/>
  <c r="F36" i="23" s="1"/>
  <c r="G36" i="23" s="1"/>
  <c r="H9" i="29"/>
  <c r="F9" i="29"/>
  <c r="E9" i="29"/>
  <c r="A24" i="27"/>
  <c r="A25" i="27" s="1"/>
  <c r="B23" i="27"/>
  <c r="A23" i="27"/>
  <c r="C23" i="27" s="1"/>
  <c r="I9" i="27"/>
  <c r="H9" i="27"/>
  <c r="F9" i="27"/>
  <c r="E9" i="27"/>
  <c r="A23" i="26"/>
  <c r="B23" i="26" s="1"/>
  <c r="I9" i="26"/>
  <c r="F18" i="23" s="1"/>
  <c r="H9" i="26"/>
  <c r="F9" i="26"/>
  <c r="E9" i="26"/>
  <c r="B24" i="25"/>
  <c r="C24" i="25"/>
  <c r="B25" i="25"/>
  <c r="C25" i="25"/>
  <c r="B26" i="25"/>
  <c r="C26" i="25"/>
  <c r="B27" i="25"/>
  <c r="C27" i="25"/>
  <c r="B28" i="25"/>
  <c r="C28" i="25"/>
  <c r="B29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B42" i="25"/>
  <c r="C42" i="25"/>
  <c r="B43" i="25"/>
  <c r="C43" i="25"/>
  <c r="C23" i="25"/>
  <c r="B23" i="25"/>
  <c r="I9" i="25"/>
  <c r="J9" i="25" s="1"/>
  <c r="H9" i="25"/>
  <c r="F9" i="25"/>
  <c r="E9" i="25"/>
  <c r="A24" i="25"/>
  <c r="A25" i="25" s="1"/>
  <c r="A23" i="25"/>
  <c r="K22" i="23"/>
  <c r="K21" i="23"/>
  <c r="K20" i="23"/>
  <c r="K19" i="23"/>
  <c r="K18" i="23"/>
  <c r="K17" i="23"/>
  <c r="H14" i="30" a="1"/>
  <c r="B41" i="33" l="1"/>
  <c r="E41" i="33" s="1"/>
  <c r="B37" i="33"/>
  <c r="E37" i="33" s="1"/>
  <c r="B33" i="33"/>
  <c r="E33" i="33" s="1"/>
  <c r="B29" i="33"/>
  <c r="E29" i="33" s="1"/>
  <c r="B25" i="33"/>
  <c r="E25" i="33" s="1"/>
  <c r="H9" i="33"/>
  <c r="I9" i="33" s="1"/>
  <c r="B35" i="33"/>
  <c r="E35" i="33" s="1"/>
  <c r="B31" i="33"/>
  <c r="E31" i="33" s="1"/>
  <c r="B23" i="33"/>
  <c r="E23" i="33" s="1"/>
  <c r="B40" i="33"/>
  <c r="E40" i="33" s="1"/>
  <c r="B36" i="33"/>
  <c r="E36" i="33" s="1"/>
  <c r="B32" i="33"/>
  <c r="E32" i="33" s="1"/>
  <c r="B28" i="33"/>
  <c r="E28" i="33" s="1"/>
  <c r="B24" i="33"/>
  <c r="E24" i="33" s="1"/>
  <c r="E9" i="33"/>
  <c r="F9" i="33" s="1"/>
  <c r="B42" i="33"/>
  <c r="E42" i="33" s="1"/>
  <c r="B38" i="33"/>
  <c r="E38" i="33" s="1"/>
  <c r="B34" i="33"/>
  <c r="E34" i="33" s="1"/>
  <c r="B30" i="33"/>
  <c r="E30" i="33" s="1"/>
  <c r="B26" i="33"/>
  <c r="E26" i="33" s="1"/>
  <c r="B22" i="33"/>
  <c r="E22" i="33" s="1"/>
  <c r="B39" i="33"/>
  <c r="E39" i="33" s="1"/>
  <c r="B27" i="33"/>
  <c r="E27" i="33" s="1"/>
  <c r="J18" i="23"/>
  <c r="I35" i="23" s="1"/>
  <c r="J35" i="23" s="1"/>
  <c r="J19" i="23"/>
  <c r="I36" i="23" s="1"/>
  <c r="J36" i="23" s="1"/>
  <c r="L36" i="23" s="1"/>
  <c r="N36" i="23" s="1"/>
  <c r="J17" i="23"/>
  <c r="I34" i="23" s="1"/>
  <c r="J34" i="23" s="1"/>
  <c r="K25" i="23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B42" i="32"/>
  <c r="B38" i="32"/>
  <c r="B34" i="32"/>
  <c r="B30" i="32"/>
  <c r="B26" i="32"/>
  <c r="B22" i="32"/>
  <c r="C22" i="32" s="1"/>
  <c r="F35" i="23"/>
  <c r="G35" i="23" s="1"/>
  <c r="J9" i="26"/>
  <c r="G25" i="23"/>
  <c r="H25" i="23"/>
  <c r="M18" i="23"/>
  <c r="M20" i="23"/>
  <c r="M21" i="23"/>
  <c r="M22" i="23"/>
  <c r="M19" i="23"/>
  <c r="M17" i="23"/>
  <c r="B42" i="34"/>
  <c r="E42" i="34" s="1"/>
  <c r="B41" i="34"/>
  <c r="E41" i="34" s="1"/>
  <c r="B40" i="34"/>
  <c r="E40" i="34" s="1"/>
  <c r="B39" i="34"/>
  <c r="E39" i="34" s="1"/>
  <c r="B38" i="34"/>
  <c r="E38" i="34" s="1"/>
  <c r="B37" i="34"/>
  <c r="E37" i="34" s="1"/>
  <c r="B36" i="34"/>
  <c r="E36" i="34" s="1"/>
  <c r="B35" i="34"/>
  <c r="E35" i="34" s="1"/>
  <c r="B34" i="34"/>
  <c r="E34" i="34" s="1"/>
  <c r="B33" i="34"/>
  <c r="E33" i="34" s="1"/>
  <c r="B32" i="34"/>
  <c r="E32" i="34" s="1"/>
  <c r="B31" i="34"/>
  <c r="E31" i="34" s="1"/>
  <c r="B30" i="34"/>
  <c r="E30" i="34" s="1"/>
  <c r="B29" i="34"/>
  <c r="E29" i="34" s="1"/>
  <c r="B28" i="34"/>
  <c r="E28" i="34" s="1"/>
  <c r="B27" i="34"/>
  <c r="E27" i="34" s="1"/>
  <c r="B26" i="34"/>
  <c r="E26" i="34" s="1"/>
  <c r="B25" i="34"/>
  <c r="E25" i="34" s="1"/>
  <c r="B24" i="34"/>
  <c r="E24" i="34" s="1"/>
  <c r="B23" i="34"/>
  <c r="E23" i="34" s="1"/>
  <c r="B22" i="34"/>
  <c r="E9" i="34"/>
  <c r="F9" i="34" s="1"/>
  <c r="H9" i="34"/>
  <c r="I9" i="34" s="1"/>
  <c r="C22" i="31"/>
  <c r="F9" i="3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C24" i="29"/>
  <c r="A26" i="29"/>
  <c r="C25" i="29"/>
  <c r="B25" i="29"/>
  <c r="B24" i="29"/>
  <c r="C24" i="27"/>
  <c r="A26" i="27"/>
  <c r="C25" i="27"/>
  <c r="B25" i="27"/>
  <c r="B24" i="27"/>
  <c r="C23" i="26"/>
  <c r="A24" i="26"/>
  <c r="A26" i="25"/>
  <c r="H9" i="30"/>
  <c r="B32" i="30"/>
  <c r="B31" i="30"/>
  <c r="B30" i="30"/>
  <c r="E9" i="30"/>
  <c r="C22" i="34" l="1"/>
  <c r="E22" i="34"/>
  <c r="C22" i="33"/>
  <c r="F23" i="23"/>
  <c r="F40" i="23" s="1"/>
  <c r="G40" i="23" s="1"/>
  <c r="J9" i="33"/>
  <c r="L19" i="23"/>
  <c r="N19" i="23" s="1"/>
  <c r="J24" i="23"/>
  <c r="I41" i="23" s="1"/>
  <c r="J41" i="23" s="1"/>
  <c r="J22" i="23"/>
  <c r="I39" i="23" s="1"/>
  <c r="J39" i="23" s="1"/>
  <c r="I36" i="39"/>
  <c r="J36" i="39" s="1"/>
  <c r="L36" i="39" s="1"/>
  <c r="N36" i="39" s="1"/>
  <c r="L19" i="39"/>
  <c r="N19" i="39" s="1"/>
  <c r="J23" i="23"/>
  <c r="I34" i="39"/>
  <c r="J34" i="39" s="1"/>
  <c r="L34" i="39" s="1"/>
  <c r="N34" i="39" s="1"/>
  <c r="L17" i="39"/>
  <c r="N17" i="39" s="1"/>
  <c r="I35" i="39"/>
  <c r="J35" i="39" s="1"/>
  <c r="L35" i="39" s="1"/>
  <c r="N35" i="39" s="1"/>
  <c r="L18" i="39"/>
  <c r="N18" i="39" s="1"/>
  <c r="J21" i="23"/>
  <c r="I38" i="23" s="1"/>
  <c r="J38" i="23" s="1"/>
  <c r="L38" i="23" s="1"/>
  <c r="N38" i="23" s="1"/>
  <c r="D32" i="30"/>
  <c r="D30" i="30"/>
  <c r="D31" i="30"/>
  <c r="F22" i="23"/>
  <c r="J9" i="32"/>
  <c r="J9" i="34"/>
  <c r="F24" i="23"/>
  <c r="L35" i="23"/>
  <c r="N35" i="23" s="1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B26" i="29"/>
  <c r="A27" i="29"/>
  <c r="C26" i="29"/>
  <c r="B26" i="27"/>
  <c r="A27" i="27"/>
  <c r="C26" i="27"/>
  <c r="C24" i="26"/>
  <c r="B24" i="26"/>
  <c r="A25" i="26"/>
  <c r="A27" i="25"/>
  <c r="B33" i="30"/>
  <c r="L23" i="23" l="1"/>
  <c r="N23" i="23" s="1"/>
  <c r="L20" i="43"/>
  <c r="I37" i="43"/>
  <c r="J37" i="43" s="1"/>
  <c r="B9" i="43"/>
  <c r="J25" i="43"/>
  <c r="F37" i="43"/>
  <c r="G37" i="43" s="1"/>
  <c r="F25" i="43"/>
  <c r="F37" i="42"/>
  <c r="G37" i="42" s="1"/>
  <c r="F25" i="42"/>
  <c r="B9" i="42"/>
  <c r="J25" i="42"/>
  <c r="I37" i="42"/>
  <c r="J37" i="42" s="1"/>
  <c r="L20" i="42"/>
  <c r="I37" i="41"/>
  <c r="J37" i="41" s="1"/>
  <c r="J25" i="41"/>
  <c r="L20" i="41"/>
  <c r="B9" i="41"/>
  <c r="F37" i="41"/>
  <c r="G37" i="41" s="1"/>
  <c r="F25" i="41"/>
  <c r="I37" i="40"/>
  <c r="J37" i="40" s="1"/>
  <c r="B9" i="40"/>
  <c r="J25" i="40"/>
  <c r="F25" i="39"/>
  <c r="I40" i="23"/>
  <c r="J40" i="23" s="1"/>
  <c r="L40" i="23" s="1"/>
  <c r="N40" i="23" s="1"/>
  <c r="I40" i="39"/>
  <c r="J40" i="39" s="1"/>
  <c r="L40" i="39" s="1"/>
  <c r="N40" i="39" s="1"/>
  <c r="L23" i="39"/>
  <c r="N23" i="39" s="1"/>
  <c r="I39" i="39"/>
  <c r="J39" i="39" s="1"/>
  <c r="L39" i="39" s="1"/>
  <c r="N39" i="39" s="1"/>
  <c r="L22" i="39"/>
  <c r="N22" i="39" s="1"/>
  <c r="L21" i="23"/>
  <c r="N21" i="23" s="1"/>
  <c r="L21" i="39"/>
  <c r="N21" i="39" s="1"/>
  <c r="I38" i="39"/>
  <c r="J38" i="39" s="1"/>
  <c r="L38" i="39" s="1"/>
  <c r="N38" i="39" s="1"/>
  <c r="I41" i="39"/>
  <c r="J41" i="39" s="1"/>
  <c r="L41" i="39" s="1"/>
  <c r="N41" i="39" s="1"/>
  <c r="L24" i="39"/>
  <c r="N24" i="39" s="1"/>
  <c r="J20" i="23"/>
  <c r="I37" i="23" s="1"/>
  <c r="J37" i="23" s="1"/>
  <c r="F37" i="39"/>
  <c r="G37" i="39" s="1"/>
  <c r="D33" i="30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C33" i="30"/>
  <c r="A34" i="30"/>
  <c r="C27" i="29"/>
  <c r="B27" i="29"/>
  <c r="A28" i="29"/>
  <c r="C27" i="27"/>
  <c r="B27" i="27"/>
  <c r="A28" i="27"/>
  <c r="A26" i="26"/>
  <c r="C25" i="26"/>
  <c r="B25" i="26"/>
  <c r="A28" i="25"/>
  <c r="B34" i="30"/>
  <c r="G43" i="43" l="1"/>
  <c r="G45" i="43"/>
  <c r="G44" i="43"/>
  <c r="G42" i="43"/>
  <c r="N20" i="43"/>
  <c r="L25" i="43"/>
  <c r="N25" i="43" s="1"/>
  <c r="L37" i="43"/>
  <c r="J42" i="43"/>
  <c r="L42" i="43" s="1"/>
  <c r="N42" i="43" s="1"/>
  <c r="J44" i="43"/>
  <c r="J45" i="43"/>
  <c r="J43" i="43"/>
  <c r="N20" i="42"/>
  <c r="L25" i="42"/>
  <c r="N25" i="42" s="1"/>
  <c r="L37" i="42"/>
  <c r="J45" i="42"/>
  <c r="J42" i="42"/>
  <c r="J44" i="42"/>
  <c r="J43" i="42"/>
  <c r="G43" i="42"/>
  <c r="G42" i="42"/>
  <c r="G45" i="42"/>
  <c r="G44" i="42"/>
  <c r="N20" i="41"/>
  <c r="L25" i="41"/>
  <c r="N25" i="41" s="1"/>
  <c r="G44" i="41"/>
  <c r="G43" i="41"/>
  <c r="G45" i="41"/>
  <c r="G42" i="41"/>
  <c r="L37" i="41"/>
  <c r="J45" i="41"/>
  <c r="J44" i="41"/>
  <c r="J42" i="41"/>
  <c r="L42" i="41" s="1"/>
  <c r="N42" i="41" s="1"/>
  <c r="J43" i="41"/>
  <c r="J42" i="40"/>
  <c r="J45" i="40"/>
  <c r="J43" i="40"/>
  <c r="J44" i="40"/>
  <c r="F37" i="40"/>
  <c r="G37" i="40" s="1"/>
  <c r="F25" i="40"/>
  <c r="L20" i="40"/>
  <c r="J45" i="23"/>
  <c r="J43" i="23"/>
  <c r="J42" i="23"/>
  <c r="J44" i="23"/>
  <c r="G42" i="39"/>
  <c r="G44" i="39"/>
  <c r="G43" i="39"/>
  <c r="G45" i="39"/>
  <c r="L20" i="39"/>
  <c r="I37" i="39"/>
  <c r="J37" i="39" s="1"/>
  <c r="J25" i="39"/>
  <c r="B9" i="39"/>
  <c r="D34" i="30"/>
  <c r="F37" i="23"/>
  <c r="G37" i="23" s="1"/>
  <c r="F25" i="23"/>
  <c r="L20" i="23"/>
  <c r="C34" i="30"/>
  <c r="A35" i="30"/>
  <c r="A29" i="29"/>
  <c r="C28" i="29"/>
  <c r="B28" i="29"/>
  <c r="A29" i="27"/>
  <c r="C28" i="27"/>
  <c r="B28" i="27"/>
  <c r="A27" i="26"/>
  <c r="C26" i="26"/>
  <c r="B26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N37" i="43" l="1"/>
  <c r="L43" i="43"/>
  <c r="M43" i="43" s="1"/>
  <c r="L45" i="43"/>
  <c r="M45" i="43" s="1"/>
  <c r="L44" i="43"/>
  <c r="M44" i="43" s="1"/>
  <c r="N37" i="42"/>
  <c r="L43" i="42"/>
  <c r="L45" i="42"/>
  <c r="M45" i="42" s="1"/>
  <c r="L44" i="42"/>
  <c r="L42" i="42"/>
  <c r="N42" i="42" s="1"/>
  <c r="N37" i="41"/>
  <c r="L43" i="41"/>
  <c r="M43" i="41" s="1"/>
  <c r="L45" i="41"/>
  <c r="M45" i="41" s="1"/>
  <c r="L44" i="41"/>
  <c r="M44" i="41" s="1"/>
  <c r="N20" i="40"/>
  <c r="L25" i="40"/>
  <c r="N25" i="40" s="1"/>
  <c r="G44" i="40"/>
  <c r="G43" i="40"/>
  <c r="G42" i="40"/>
  <c r="L42" i="40" s="1"/>
  <c r="N42" i="40" s="1"/>
  <c r="G45" i="40"/>
  <c r="L37" i="40"/>
  <c r="L37" i="39"/>
  <c r="J42" i="39"/>
  <c r="L42" i="39" s="1"/>
  <c r="N42" i="39" s="1"/>
  <c r="J44" i="39"/>
  <c r="J45" i="39"/>
  <c r="J43" i="39"/>
  <c r="N20" i="39"/>
  <c r="L25" i="39"/>
  <c r="N25" i="39" s="1"/>
  <c r="D35" i="30"/>
  <c r="G44" i="23"/>
  <c r="G45" i="23"/>
  <c r="G43" i="23"/>
  <c r="N20" i="23"/>
  <c r="L37" i="23"/>
  <c r="G42" i="23"/>
  <c r="C35" i="30"/>
  <c r="A36" i="30"/>
  <c r="A30" i="29"/>
  <c r="C29" i="29"/>
  <c r="B29" i="29"/>
  <c r="A30" i="27"/>
  <c r="C29" i="27"/>
  <c r="B29" i="27"/>
  <c r="B27" i="26"/>
  <c r="A28" i="26"/>
  <c r="C27" i="26"/>
  <c r="A30" i="25"/>
  <c r="N12" i="13"/>
  <c r="O12" i="13"/>
  <c r="B36" i="30"/>
  <c r="M43" i="42" l="1"/>
  <c r="M44" i="42"/>
  <c r="N45" i="43"/>
  <c r="N43" i="43"/>
  <c r="N44" i="43"/>
  <c r="N45" i="42"/>
  <c r="N44" i="42"/>
  <c r="N43" i="42"/>
  <c r="N43" i="41"/>
  <c r="N44" i="41"/>
  <c r="N45" i="41"/>
  <c r="N37" i="40"/>
  <c r="L45" i="40"/>
  <c r="M45" i="40" s="1"/>
  <c r="L43" i="40"/>
  <c r="M43" i="40" s="1"/>
  <c r="L44" i="40"/>
  <c r="M44" i="40" s="1"/>
  <c r="N37" i="39"/>
  <c r="L44" i="39"/>
  <c r="M44" i="39" s="1"/>
  <c r="L43" i="39"/>
  <c r="M43" i="39" s="1"/>
  <c r="L45" i="39"/>
  <c r="M45" i="39" s="1"/>
  <c r="D36" i="30"/>
  <c r="N37" i="23"/>
  <c r="L43" i="23"/>
  <c r="L45" i="23"/>
  <c r="L44" i="23"/>
  <c r="L42" i="23"/>
  <c r="C36" i="30"/>
  <c r="A37" i="30"/>
  <c r="B30" i="29"/>
  <c r="A31" i="29"/>
  <c r="C30" i="29"/>
  <c r="B30" i="27"/>
  <c r="A31" i="27"/>
  <c r="C30" i="27"/>
  <c r="C28" i="26"/>
  <c r="B28" i="26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N44" i="40" l="1"/>
  <c r="N43" i="40"/>
  <c r="N45" i="40"/>
  <c r="N43" i="39"/>
  <c r="N44" i="39"/>
  <c r="N45" i="39"/>
  <c r="D37" i="30"/>
  <c r="M45" i="23"/>
  <c r="M44" i="23"/>
  <c r="M43" i="23"/>
  <c r="N42" i="23"/>
  <c r="N44" i="23" s="1"/>
  <c r="C37" i="30"/>
  <c r="A38" i="30"/>
  <c r="C31" i="29"/>
  <c r="B31" i="29"/>
  <c r="A32" i="29"/>
  <c r="C31" i="27"/>
  <c r="B31" i="27"/>
  <c r="A32" i="27"/>
  <c r="A30" i="26"/>
  <c r="C29" i="26"/>
  <c r="B29" i="26"/>
  <c r="A32" i="25"/>
  <c r="C33" i="13"/>
  <c r="C28" i="13"/>
  <c r="C23" i="13"/>
  <c r="C38" i="13"/>
  <c r="C29" i="13"/>
  <c r="C37" i="13"/>
  <c r="C34" i="13"/>
  <c r="C25" i="13"/>
  <c r="C41" i="13"/>
  <c r="F12" i="5" a="1"/>
  <c r="B38" i="30"/>
  <c r="N45" i="23" l="1"/>
  <c r="N43" i="23"/>
  <c r="D38" i="30"/>
  <c r="B9" i="23"/>
  <c r="J25" i="23"/>
  <c r="L18" i="23"/>
  <c r="N18" i="23" s="1"/>
  <c r="C38" i="30"/>
  <c r="A39" i="30"/>
  <c r="A33" i="29"/>
  <c r="C32" i="29"/>
  <c r="B32" i="29"/>
  <c r="A33" i="27"/>
  <c r="C32" i="27"/>
  <c r="B32" i="27"/>
  <c r="A31" i="26"/>
  <c r="C30" i="26"/>
  <c r="B30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35" i="5"/>
  <c r="E9" i="5"/>
  <c r="B45" i="5"/>
  <c r="B39" i="5"/>
  <c r="B39" i="30"/>
  <c r="B31" i="5"/>
  <c r="B36" i="5"/>
  <c r="B46" i="5"/>
  <c r="B38" i="5"/>
  <c r="B42" i="5"/>
  <c r="B30" i="5"/>
  <c r="B29" i="5"/>
  <c r="B44" i="5"/>
  <c r="B41" i="5"/>
  <c r="B37" i="5"/>
  <c r="B34" i="5"/>
  <c r="B32" i="5"/>
  <c r="B27" i="5"/>
  <c r="B43" i="5"/>
  <c r="B33" i="5"/>
  <c r="B40" i="5"/>
  <c r="B28" i="5"/>
  <c r="B47" i="5"/>
  <c r="D39" i="30" l="1"/>
  <c r="L25" i="23"/>
  <c r="N25" i="23" s="1"/>
  <c r="C39" i="30"/>
  <c r="A40" i="30"/>
  <c r="A34" i="29"/>
  <c r="C33" i="29"/>
  <c r="B33" i="29"/>
  <c r="A34" i="27"/>
  <c r="C33" i="27"/>
  <c r="B33" i="27"/>
  <c r="B31" i="26"/>
  <c r="A32" i="26"/>
  <c r="C31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D40" i="30" l="1"/>
  <c r="C40" i="30"/>
  <c r="A41" i="30"/>
  <c r="B34" i="29"/>
  <c r="A35" i="29"/>
  <c r="C34" i="29"/>
  <c r="B34" i="27"/>
  <c r="A35" i="27"/>
  <c r="C34" i="27"/>
  <c r="C32" i="26"/>
  <c r="B32" i="26"/>
  <c r="A33" i="26"/>
  <c r="A35" i="25"/>
  <c r="B41" i="30"/>
  <c r="D41" i="30" l="1"/>
  <c r="C41" i="30"/>
  <c r="A42" i="30"/>
  <c r="C35" i="29"/>
  <c r="B35" i="29"/>
  <c r="A36" i="29"/>
  <c r="C35" i="27"/>
  <c r="B35" i="27"/>
  <c r="A36" i="27"/>
  <c r="A34" i="26"/>
  <c r="C33" i="26"/>
  <c r="B33" i="26"/>
  <c r="A36" i="25"/>
  <c r="B42" i="30"/>
  <c r="D42" i="30" l="1"/>
  <c r="C42" i="30"/>
  <c r="A43" i="30"/>
  <c r="A37" i="29"/>
  <c r="C36" i="29"/>
  <c r="B36" i="29"/>
  <c r="A37" i="27"/>
  <c r="C36" i="27"/>
  <c r="B36" i="27"/>
  <c r="A35" i="26"/>
  <c r="C34" i="26"/>
  <c r="B34" i="26"/>
  <c r="A37" i="25"/>
  <c r="B43" i="30"/>
  <c r="D43" i="30" l="1"/>
  <c r="C43" i="30"/>
  <c r="A44" i="30"/>
  <c r="A38" i="29"/>
  <c r="C37" i="29"/>
  <c r="B37" i="29"/>
  <c r="A38" i="27"/>
  <c r="C37" i="27"/>
  <c r="B37" i="27"/>
  <c r="B35" i="26"/>
  <c r="A36" i="26"/>
  <c r="C35" i="26"/>
  <c r="A38" i="25"/>
  <c r="B44" i="30"/>
  <c r="D44" i="30" l="1"/>
  <c r="C44" i="30"/>
  <c r="A45" i="30"/>
  <c r="B38" i="29"/>
  <c r="A39" i="29"/>
  <c r="C38" i="29"/>
  <c r="B38" i="27"/>
  <c r="A39" i="27"/>
  <c r="C38" i="27"/>
  <c r="C36" i="26"/>
  <c r="B36" i="26"/>
  <c r="A37" i="26"/>
  <c r="A39" i="25"/>
  <c r="B45" i="30"/>
  <c r="D45" i="30" l="1"/>
  <c r="C45" i="30"/>
  <c r="A46" i="30"/>
  <c r="C39" i="29"/>
  <c r="B39" i="29"/>
  <c r="A40" i="29"/>
  <c r="C39" i="27"/>
  <c r="B39" i="27"/>
  <c r="A40" i="27"/>
  <c r="A38" i="26"/>
  <c r="C37" i="26"/>
  <c r="B37" i="26"/>
  <c r="A40" i="25"/>
  <c r="B46" i="30"/>
  <c r="D46" i="30" l="1"/>
  <c r="C46" i="30"/>
  <c r="A47" i="30"/>
  <c r="A41" i="29"/>
  <c r="C40" i="29"/>
  <c r="B40" i="29"/>
  <c r="A41" i="27"/>
  <c r="C40" i="27"/>
  <c r="B40" i="27"/>
  <c r="A39" i="26"/>
  <c r="C38" i="26"/>
  <c r="B38" i="26"/>
  <c r="A41" i="25"/>
  <c r="B47" i="30"/>
  <c r="D47" i="30" l="1"/>
  <c r="C47" i="30"/>
  <c r="A48" i="30"/>
  <c r="A42" i="29"/>
  <c r="C41" i="29"/>
  <c r="B41" i="29"/>
  <c r="A42" i="27"/>
  <c r="C41" i="27"/>
  <c r="B41" i="27"/>
  <c r="B39" i="26"/>
  <c r="A40" i="26"/>
  <c r="C39" i="26"/>
  <c r="A42" i="25"/>
  <c r="B48" i="30"/>
  <c r="D48" i="30" l="1"/>
  <c r="C48" i="30"/>
  <c r="A49" i="30"/>
  <c r="B42" i="29"/>
  <c r="A43" i="29"/>
  <c r="C42" i="29"/>
  <c r="B42" i="27"/>
  <c r="A43" i="27"/>
  <c r="C42" i="27"/>
  <c r="C40" i="26"/>
  <c r="B40" i="26"/>
  <c r="A41" i="26"/>
  <c r="A43" i="25"/>
  <c r="B49" i="30"/>
  <c r="D49" i="30" l="1"/>
  <c r="C49" i="30"/>
  <c r="A50" i="30"/>
  <c r="C43" i="29"/>
  <c r="B43" i="29"/>
  <c r="C43" i="27"/>
  <c r="B43" i="27"/>
  <c r="A42" i="26"/>
  <c r="C41" i="26"/>
  <c r="B41" i="26"/>
  <c r="B50" i="30"/>
  <c r="D50" i="30" l="1"/>
  <c r="C50" i="30"/>
  <c r="A43" i="26"/>
  <c r="C42" i="26"/>
  <c r="B42" i="26"/>
  <c r="B43" i="26" l="1"/>
  <c r="C43" i="26"/>
</calcChain>
</file>

<file path=xl/sharedStrings.xml><?xml version="1.0" encoding="utf-8"?>
<sst xmlns="http://schemas.openxmlformats.org/spreadsheetml/2006/main" count="1733" uniqueCount="222">
  <si>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</si>
  <si>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</si>
  <si>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</si>
  <si>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</si>
  <si>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</si>
  <si>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</si>
  <si>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</si>
  <si>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</si>
  <si>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</si>
  <si>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</si>
  <si>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</si>
  <si>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</si>
  <si>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</si>
  <si>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</si>
  <si>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</si>
  <si>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</si>
  <si>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</si>
  <si>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</si>
  <si>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</si>
  <si>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</si>
  <si>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</si>
  <si>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</si>
  <si>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</si>
  <si>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</si>
  <si>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</si>
  <si>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</si>
  <si>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</si>
  <si>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</si>
  <si>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</si>
  <si>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</si>
  <si>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</si>
  <si>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</si>
  <si>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</si>
  <si>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</si>
  <si>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</si>
  <si>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</si>
  <si>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</si>
  <si>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</si>
  <si>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</si>
  <si>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</si>
  <si>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</si>
  <si>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</si>
  <si>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</si>
  <si>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</si>
  <si>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</si>
  <si>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</si>
  <si>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</si>
  <si>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</si>
  <si>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</si>
  <si>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</si>
  <si>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</si>
  <si>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</si>
  <si>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</si>
  <si>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</si>
  <si>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</si>
  <si>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</si>
  <si>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</si>
  <si>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</si>
  <si>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</si>
  <si>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</si>
  <si>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</si>
  <si>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</si>
  <si>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</si>
  <si>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</si>
  <si>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</si>
  <si>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</si>
  <si>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</si>
  <si>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</si>
  <si>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</si>
  <si>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</si>
  <si>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</si>
  <si>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</si>
  <si>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</si>
  <si>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</si>
  <si>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</si>
  <si>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</si>
  <si>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</si>
  <si>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</si>
  <si>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</si>
  <si>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</si>
  <si>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</si>
  <si>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</si>
  <si>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</si>
  <si>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</si>
  <si>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</si>
  <si>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</si>
  <si>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</si>
  <si>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</si>
  <si>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</si>
  <si>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</si>
  <si>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</si>
  <si>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</si>
  <si>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</si>
  <si>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</si>
  <si>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</si>
  <si>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</si>
  <si>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</si>
  <si>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</si>
  <si>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</si>
  <si>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</si>
  <si>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</si>
  <si>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</si>
  <si>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</si>
  <si>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</si>
  <si>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</si>
  <si>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</si>
  <si>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</si>
  <si>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</si>
  <si>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</si>
  <si>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</si>
  <si>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</si>
  <si>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</si>
  <si>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</si>
  <si>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</si>
  <si>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</si>
  <si>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</si>
  <si>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</si>
  <si>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</si>
  <si>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</si>
  <si>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</si>
  <si>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</si>
  <si>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</si>
  <si>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</si>
  <si>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</si>
  <si>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</si>
  <si>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</si>
  <si>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</si>
  <si>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</si>
  <si>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</si>
  <si>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</si>
  <si>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</si>
  <si>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</si>
  <si>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</si>
  <si>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</si>
  <si>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</si>
  <si>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</si>
  <si>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</si>
  <si>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</si>
  <si>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</si>
  <si>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</si>
  <si>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</si>
  <si>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</si>
  <si>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</si>
  <si>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</si>
  <si>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</si>
  <si>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</si>
  <si>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</si>
  <si>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</si>
  <si>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</si>
  <si>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</si>
  <si>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</si>
  <si>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</si>
  <si>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</si>
  <si>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</si>
  <si>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</si>
  <si>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</si>
  <si>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</si>
  <si>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</si>
  <si>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</si>
  <si>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</si>
  <si>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</si>
  <si>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</si>
  <si>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</si>
  <si>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</si>
  <si>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</si>
  <si>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</si>
  <si>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</si>
  <si>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</si>
  <si>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</si>
  <si>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</si>
  <si>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</si>
  <si>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Adherence</t>
  </si>
  <si>
    <t>Scurve Est. [Base Adjusted]</t>
  </si>
  <si>
    <t>Spline [Assumed Response Decays]</t>
  </si>
  <si>
    <t>Phar. Acquisition</t>
  </si>
  <si>
    <t>TRx</t>
  </si>
  <si>
    <t>NRx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</si>
  <si>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</si>
  <si>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</si>
  <si>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</si>
  <si>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</si>
  <si>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</si>
  <si>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</si>
  <si>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</si>
  <si>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</si>
  <si>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</si>
  <si>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</si>
  <si>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</si>
  <si>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</si>
  <si>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</si>
  <si>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</si>
  <si>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</si>
  <si>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</si>
  <si>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</si>
  <si>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</si>
  <si>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</si>
  <si>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</si>
  <si>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</si>
  <si>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</si>
  <si>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</si>
  <si>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</si>
  <si>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</si>
  <si>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</si>
  <si>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</si>
  <si>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</si>
  <si>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</si>
  <si>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</si>
  <si>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</si>
  <si>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</si>
  <si>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New Patient</t>
  </si>
  <si>
    <t>Equal Impact Distribution</t>
  </si>
  <si>
    <t>STANDARD 20% SCENARIOS</t>
  </si>
  <si>
    <t>Considered budgets are:</t>
  </si>
  <si>
    <t>Current Total - $15MM</t>
  </si>
  <si>
    <t>Current Total - $10MM</t>
  </si>
  <si>
    <t>Current Total - $5MM</t>
  </si>
  <si>
    <t>Current Total</t>
  </si>
  <si>
    <t>Current Total + $5MM</t>
  </si>
  <si>
    <t>Current Total + $10MM</t>
  </si>
  <si>
    <t>Current Total + $15MM</t>
  </si>
  <si>
    <r>
      <t xml:space="preserve">In here, we build set of scenarios with budget increments of + or - $5MM. </t>
    </r>
    <r>
      <rPr>
        <b/>
        <sz val="11"/>
        <color theme="1"/>
        <rFont val="Calibri"/>
        <family val="2"/>
        <scheme val="minor"/>
      </rPr>
      <t>All scenarios have + or - 20% local constraints.</t>
    </r>
  </si>
  <si>
    <r>
      <t xml:space="preserve">CASE 5: </t>
    </r>
    <r>
      <rPr>
        <sz val="10"/>
        <color rgb="FF0000FF"/>
        <rFont val="Calibri"/>
        <family val="2"/>
        <scheme val="minor"/>
      </rPr>
      <t>Standard cases with budget increments of $5MM and local constrints of + or - 20%.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</si>
</sst>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4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7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8" fillId="0" borderId="0"/>
    <xf numFmtId="0" fontId="38" fillId="0" borderId="0"/>
    <xf numFmtId="43" fontId="38" fillId="0" borderId="0" applyFont="0" applyFill="0" applyBorder="0" applyAlignment="0" applyProtection="0"/>
    <xf numFmtId="0" fontId="38" fillId="0" borderId="0"/>
  </cellStyleXfs>
  <cellXfs count="293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37" fillId="0" borderId="0" xfId="0" applyFont="1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3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164" fontId="5" fillId="5" borderId="2" xfId="0" applyNumberFormat="1" applyFont="1" applyFill="1" applyBorder="1"/>
    <xf numFmtId="9" fontId="1" fillId="0" borderId="0" xfId="3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41" fillId="0" borderId="0" xfId="0" applyFont="1"/>
    <xf numFmtId="0" fontId="28" fillId="0" borderId="0" xfId="0" applyFont="1"/>
    <xf numFmtId="0" fontId="40" fillId="0" borderId="40" xfId="0" applyFont="1" applyBorder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71264"/>
        <c:axId val="69773568"/>
      </c:scatterChart>
      <c:valAx>
        <c:axId val="697712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69773568"/>
        <c:crosses val="autoZero"/>
        <c:crossBetween val="midCat"/>
        <c:dispUnits>
          <c:builtInUnit val="thousands"/>
        </c:dispUnits>
      </c:valAx>
      <c:valAx>
        <c:axId val="69773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697712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81152"/>
        <c:axId val="70108288"/>
      </c:scatterChart>
      <c:valAx>
        <c:axId val="70081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0108288"/>
        <c:crosses val="autoZero"/>
        <c:crossBetween val="midCat"/>
        <c:dispUnits>
          <c:builtInUnit val="thousands"/>
        </c:dispUnits>
      </c:valAx>
      <c:valAx>
        <c:axId val="70108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00811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1.4367816091954023E-2"/>
                  <c:y val="-6.9300069300069298E-3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839080459770114E-3"/>
                  <c:y val="3.118503118503118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4565658.3038922334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180674.17989224856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06272"/>
        <c:axId val="70041600"/>
      </c:scatterChart>
      <c:valAx>
        <c:axId val="700062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0041600"/>
        <c:crosses val="autoZero"/>
        <c:crossBetween val="midCat"/>
        <c:dispUnits>
          <c:builtInUnit val="thousands"/>
        </c:dispUnits>
      </c:valAx>
      <c:valAx>
        <c:axId val="70041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00062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5328000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4356885.0975510776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25329.44781086858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72064"/>
        <c:axId val="70474368"/>
      </c:scatterChart>
      <c:valAx>
        <c:axId val="704720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0474368"/>
        <c:crosses val="autoZero"/>
        <c:crossBetween val="midCat"/>
        <c:dispUnits>
          <c:builtInUnit val="thousands"/>
        </c:dispUnits>
      </c:valAx>
      <c:valAx>
        <c:axId val="70474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04720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18363200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27544800.000000004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1863447.2728889734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1024"/>
        <c:axId val="70415872"/>
      </c:scatterChart>
      <c:valAx>
        <c:axId val="704010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70415872"/>
        <c:crosses val="autoZero"/>
        <c:crossBetween val="midCat"/>
        <c:dispUnits>
          <c:builtInUnit val="thousands"/>
        </c:dispUnits>
      </c:valAx>
      <c:valAx>
        <c:axId val="70415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04010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0"/>
                  <c:y val="2.1097046413502109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1.1887779362814982E-2"/>
                  <c:y val="-2.46132208157524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443957.99322214938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22752"/>
        <c:axId val="70537600"/>
      </c:scatterChart>
      <c:valAx>
        <c:axId val="705227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70537600"/>
        <c:crosses val="autoZero"/>
        <c:crossBetween val="midCat"/>
        <c:dispUnits>
          <c:builtInUnit val="thousands"/>
        </c:dispUnits>
      </c:valAx>
      <c:valAx>
        <c:axId val="70537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05227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946360153256703E-3"/>
                  <c:y val="2.552881108679795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98912.855944764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19904"/>
        <c:axId val="70622208"/>
      </c:scatterChart>
      <c:valAx>
        <c:axId val="706199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70622208"/>
        <c:crosses val="autoZero"/>
        <c:crossBetween val="midCat"/>
        <c:dispUnits>
          <c:builtInUnit val="thousands"/>
        </c:dispUnits>
      </c:valAx>
      <c:valAx>
        <c:axId val="70622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06199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12560000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024591386303982E-3"/>
                  <c:y val="6.1594202898550728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418048.20913736708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96608"/>
        <c:axId val="70203264"/>
      </c:scatterChart>
      <c:valAx>
        <c:axId val="701966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70203264"/>
        <c:crosses val="autoZero"/>
        <c:crossBetween val="midCat"/>
        <c:dispUnits>
          <c:builtInUnit val="thousands"/>
        </c:dispUnits>
      </c:valAx>
      <c:valAx>
        <c:axId val="70203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01966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3-year </a:t>
            </a:r>
            <a:r>
              <a:rPr lang="en-US" sz="1200">
                <a:solidFill>
                  <a:sysClr val="windowText" lastClr="000000"/>
                </a:solidFill>
              </a:rPr>
              <a:t>Incr. Revenue </a:t>
            </a:r>
            <a:r>
              <a:rPr lang="en-US" sz="1200"/>
              <a:t>from Samples</a:t>
            </a:r>
          </a:p>
        </c:rich>
      </c:tx>
      <c:overlay val="0"/>
      <c:spPr>
        <a:solidFill>
          <a:sysClr val="window" lastClr="FFFFFF"/>
        </a:solidFill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268159813.99162084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97120"/>
        <c:axId val="69403776"/>
      </c:scatterChart>
      <c:valAx>
        <c:axId val="693971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69403776"/>
        <c:crosses val="autoZero"/>
        <c:crossBetween val="midCat"/>
        <c:dispUnits>
          <c:builtInUnit val="millions"/>
        </c:dispUnits>
      </c:valAx>
      <c:valAx>
        <c:axId val="69403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3-year Incr. Revenue (in MM $)</a:t>
                </a: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6939712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>
                <a:solidFill>
                  <a:srgbClr val="0000FF"/>
                </a:solidFill>
              </a:rPr>
              <a:t> </a:t>
            </a:r>
            <a:r>
              <a:rPr lang="en-US" sz="1200"/>
              <a:t>from Samples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309882104.74105465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73792"/>
        <c:axId val="69484544"/>
      </c:scatterChart>
      <c:valAx>
        <c:axId val="694737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69484544"/>
        <c:crosses val="autoZero"/>
        <c:crossBetween val="midCat"/>
        <c:dispUnits>
          <c:builtInUnit val="millions"/>
        </c:dispUnits>
      </c:valAx>
      <c:valAx>
        <c:axId val="69484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3-year Incr. Revenue (in MM $)</a:t>
                </a:r>
                <a:endParaRPr lang="en-US" sz="1000"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6947379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4565658.3038922334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17518970.782266602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534080"/>
        <c:axId val="69536384"/>
      </c:scatterChart>
      <c:valAx>
        <c:axId val="695340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69536384"/>
        <c:crosses val="autoZero"/>
        <c:crossBetween val="midCat"/>
        <c:dispUnits>
          <c:builtInUnit val="millions"/>
        </c:dispUnits>
      </c:valAx>
      <c:valAx>
        <c:axId val="69536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solidFill>
                      <a:sysClr val="windowText" lastClr="000000"/>
                    </a:solidFill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6953408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 b="1" i="0" baseline="0">
                <a:effectLst/>
              </a:rPr>
              <a:t> from MMF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5328000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4356885.0975510776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2456055.7374285404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585920"/>
        <c:axId val="69592576"/>
      </c:scatterChart>
      <c:valAx>
        <c:axId val="695859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69592576"/>
        <c:crosses val="autoZero"/>
        <c:crossBetween val="midCat"/>
        <c:dispUnits>
          <c:builtInUnit val="millions"/>
        </c:dispUnits>
      </c:valAx>
      <c:valAx>
        <c:axId val="69592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.0_);_(&quot;$&quot;* \(#,##0.0\);_(&quot;$&quot;* &quot;-&quot;?_);_(@_)" sourceLinked="0"/>
        <c:majorTickMark val="out"/>
        <c:minorTickMark val="none"/>
        <c:tickLblPos val="nextTo"/>
        <c:crossAx val="6958592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HCC Programs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18363200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27544800.000000004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180688122.38420403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297472"/>
        <c:axId val="70316416"/>
      </c:scatterChart>
      <c:valAx>
        <c:axId val="70297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70316416"/>
        <c:crosses val="autoZero"/>
        <c:crossBetween val="midCat"/>
        <c:dispUnits>
          <c:builtInUnit val="millions"/>
        </c:dispUnits>
      </c:valAx>
      <c:valAx>
        <c:axId val="70316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7029747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MCM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1887779362815026E-2"/>
                  <c:y val="3.867791842475387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4.7551117451260106E-3"/>
                  <c:y val="-2.76864126161445E-7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43048138.458140768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209728"/>
        <c:axId val="71212032"/>
      </c:scatterChart>
      <c:valAx>
        <c:axId val="712097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71212032"/>
        <c:crosses val="autoZero"/>
        <c:crossBetween val="midCat"/>
        <c:dispUnits>
          <c:builtInUnit val="millions"/>
        </c:dispUnits>
      </c:valAx>
      <c:valAx>
        <c:axId val="71212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7120972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Pharmacy Acquisition Programs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9.5785440613026813E-3"/>
                  <c:y val="3.6469730123997082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9591029.7438201346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273856"/>
        <c:axId val="71292800"/>
      </c:scatterChart>
      <c:valAx>
        <c:axId val="712738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71292800"/>
        <c:crosses val="autoZero"/>
        <c:crossBetween val="midCat"/>
        <c:dispUnits>
          <c:builtInUnit val="millions"/>
        </c:dispUnits>
      </c:valAx>
      <c:valAx>
        <c:axId val="71292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7127385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 </a:t>
            </a:r>
            <a:r>
              <a:rPr lang="en-US" sz="1200"/>
              <a:t>from Adherence</a:t>
            </a:r>
            <a:r>
              <a:rPr lang="en-US" sz="1200" baseline="0"/>
              <a:t> Programs</a:t>
            </a:r>
            <a:endParaRPr lang="en-US" sz="12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12560000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674242424242859E-3"/>
                  <c:y val="3.623188405797101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48660811.543589525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38240"/>
        <c:axId val="71365376"/>
      </c:scatterChart>
      <c:valAx>
        <c:axId val="713382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71365376"/>
        <c:crosses val="autoZero"/>
        <c:crossBetween val="midCat"/>
        <c:dispUnits>
          <c:builtInUnit val="millions"/>
        </c:dispUnits>
      </c:valAx>
      <c:valAx>
        <c:axId val="71365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7133824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4565658.3038922334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180674.17989224856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4356885.0975510776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25329.44781086858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27544800.000000004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1863447.2728889734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443957.99322214938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98912.855944764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418048.20913736708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4565658.3038922334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180674.17989224856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4356885.0975510776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25329.44781086858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27544800.000000004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1863447.2728889734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443957.99322214938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98912.855944764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418048.20913736708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440640"/>
        <c:axId val="71464064"/>
      </c:scatterChart>
      <c:valAx>
        <c:axId val="71440640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1464064"/>
        <c:crosses val="autoZero"/>
        <c:crossBetween val="midCat"/>
        <c:dispUnits>
          <c:builtInUnit val="millions"/>
        </c:dispUnits>
      </c:valAx>
      <c:valAx>
        <c:axId val="71464064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14406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4565658.3038922334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180674.17989224856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4356885.0975510776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25329.44781086858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27544800.000000004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1863447.2728889734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443957.99322214938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98912.855944764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418048.20913736708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4565658.3038922334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180674.17989224856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4356885.0975510776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25329.44781086858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27544800.000000004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1863447.2728889734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443957.99322214938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98912.855944764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418048.20913736708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39648"/>
        <c:axId val="71758976"/>
      </c:scatterChart>
      <c:valAx>
        <c:axId val="71739648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layout>
            <c:manualLayout>
              <c:xMode val="edge"/>
              <c:yMode val="edge"/>
              <c:x val="0.38775126817080557"/>
              <c:y val="0.91738754325259508"/>
            </c:manualLayout>
          </c:layout>
          <c:overlay val="0"/>
        </c:title>
        <c:numFmt formatCode="&quot;$&quot;#,##0" sourceLinked="1"/>
        <c:majorTickMark val="out"/>
        <c:minorTickMark val="none"/>
        <c:tickLblPos val="nextTo"/>
        <c:crossAx val="71758976"/>
        <c:crosses val="autoZero"/>
        <c:crossBetween val="midCat"/>
        <c:dispUnits>
          <c:builtInUnit val="thousands"/>
        </c:dispUnits>
      </c:valAx>
      <c:valAx>
        <c:axId val="71758976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17396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268159813.99162084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309882104.74105465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4565658.3038922334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17518970.782266602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4356885.0975510776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2456055.7374285404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27544800.000000004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180688122.38420403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43048138.458140768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9591029.7438201346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48660811.543589525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4832"/>
        <c:axId val="72027520"/>
      </c:scatterChart>
      <c:valAx>
        <c:axId val="72024832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2027520"/>
        <c:crosses val="autoZero"/>
        <c:crossBetween val="midCat"/>
        <c:dispUnits>
          <c:builtInUnit val="millions"/>
        </c:dispUnits>
      </c:valAx>
      <c:valAx>
        <c:axId val="72027520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7202483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268159813.99162084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309882104.74105465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4565658.3038922334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17518970.782266602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4356885.0975510776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2456055.7374285404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27544800.000000004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180688122.38420403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43048138.458140768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9591029.7438201346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48660811.543589525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68960"/>
        <c:axId val="72204672"/>
      </c:scatterChart>
      <c:valAx>
        <c:axId val="72168960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2204672"/>
        <c:crosses val="autoZero"/>
        <c:crossBetween val="midCat"/>
        <c:dispUnits>
          <c:builtInUnit val="millions"/>
        </c:dispUnits>
      </c:valAx>
      <c:valAx>
        <c:axId val="72204672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7216896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50816"/>
        <c:axId val="72453120"/>
      </c:scatterChart>
      <c:valAx>
        <c:axId val="724508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2453120"/>
        <c:crosses val="autoZero"/>
        <c:crossBetween val="midCat"/>
        <c:dispUnits>
          <c:builtInUnit val="thousands"/>
        </c:dispUnits>
      </c:valAx>
      <c:valAx>
        <c:axId val="72453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24508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239856.72092273776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74016"/>
        <c:axId val="72776320"/>
      </c:scatterChart>
      <c:valAx>
        <c:axId val="727740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2776320"/>
        <c:crosses val="autoZero"/>
        <c:crossBetween val="midCat"/>
        <c:dispUnits>
          <c:builtInUnit val="thousands"/>
        </c:dispUnits>
      </c:valAx>
      <c:valAx>
        <c:axId val="72776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27740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53216"/>
        <c:axId val="72555520"/>
      </c:scatterChart>
      <c:valAx>
        <c:axId val="725532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2555520"/>
        <c:crosses val="autoZero"/>
        <c:crossBetween val="midCat"/>
        <c:dispUnits>
          <c:builtInUnit val="thousands"/>
        </c:dispUnits>
      </c:valAx>
      <c:valAx>
        <c:axId val="72555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25532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277175.40674512938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92096"/>
        <c:axId val="72694400"/>
      </c:scatterChart>
      <c:valAx>
        <c:axId val="726920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2694400"/>
        <c:crosses val="autoZero"/>
        <c:crossBetween val="midCat"/>
        <c:dispUnits>
          <c:builtInUnit val="thousands"/>
        </c:dispUnits>
      </c:valAx>
      <c:valAx>
        <c:axId val="72694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26920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155328"/>
        <c:axId val="73157632"/>
      </c:scatterChart>
      <c:valAx>
        <c:axId val="731553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3157632"/>
        <c:crosses val="autoZero"/>
        <c:crossBetween val="midCat"/>
        <c:dispUnits>
          <c:builtInUnit val="thousands"/>
        </c:dispUnits>
      </c:valAx>
      <c:valAx>
        <c:axId val="7315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31553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28672"/>
        <c:axId val="73230976"/>
      </c:scatterChart>
      <c:valAx>
        <c:axId val="732286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3230976"/>
        <c:crosses val="autoZero"/>
        <c:crossBetween val="midCat"/>
        <c:dispUnits>
          <c:builtInUnit val="thousands"/>
        </c:dispUnits>
      </c:valAx>
      <c:valAx>
        <c:axId val="73230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32286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4565658.3038922334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180674.17989224856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58720"/>
        <c:axId val="72961024"/>
      </c:scatterChart>
      <c:valAx>
        <c:axId val="729587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2961024"/>
        <c:crosses val="autoZero"/>
        <c:crossBetween val="midCat"/>
        <c:dispUnits>
          <c:builtInUnit val="thousands"/>
        </c:dispUnits>
      </c:valAx>
      <c:valAx>
        <c:axId val="72961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29587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4565658.3038922334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15669.920198807336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15680"/>
        <c:axId val="73017984"/>
      </c:scatterChart>
      <c:valAx>
        <c:axId val="730156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3017984"/>
        <c:crosses val="autoZero"/>
        <c:crossBetween val="midCat"/>
        <c:dispUnits>
          <c:builtInUnit val="thousands"/>
        </c:dispUnits>
      </c:valAx>
      <c:valAx>
        <c:axId val="73017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30156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5328000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4356885.0975510776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25329.44781086858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14080"/>
        <c:axId val="73616384"/>
      </c:scatterChart>
      <c:valAx>
        <c:axId val="736140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3616384"/>
        <c:crosses val="autoZero"/>
        <c:crossBetween val="midCat"/>
        <c:dispUnits>
          <c:builtInUnit val="thousands"/>
        </c:dispUnits>
      </c:valAx>
      <c:valAx>
        <c:axId val="73616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36140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5328000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4356885.0975510776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2196.8298188090703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94208"/>
        <c:axId val="73296512"/>
      </c:scatterChart>
      <c:valAx>
        <c:axId val="732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73296512"/>
        <c:crosses val="autoZero"/>
        <c:crossBetween val="midCat"/>
        <c:dispUnits>
          <c:builtInUnit val="thousands"/>
        </c:dispUnits>
      </c:valAx>
      <c:valAx>
        <c:axId val="73296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32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18363200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27544800.000000004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1863447.2728889734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474048"/>
        <c:axId val="73476352"/>
      </c:scatterChart>
      <c:valAx>
        <c:axId val="734740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73476352"/>
        <c:crosses val="autoZero"/>
        <c:crossBetween val="midCat"/>
        <c:dispUnits>
          <c:builtInUnit val="thousands"/>
        </c:dispUnits>
      </c:valAx>
      <c:valAx>
        <c:axId val="73476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34740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18363200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27544800.000000004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161617.28299123794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14368"/>
        <c:axId val="73729920"/>
      </c:scatterChart>
      <c:valAx>
        <c:axId val="735143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73729920"/>
        <c:crosses val="autoZero"/>
        <c:crossBetween val="midCat"/>
        <c:dispUnits>
          <c:builtInUnit val="thousands"/>
        </c:dispUnits>
      </c:valAx>
      <c:valAx>
        <c:axId val="73729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351436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443957.99322214938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96992"/>
        <c:axId val="73811840"/>
      </c:scatterChart>
      <c:valAx>
        <c:axId val="737969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73811840"/>
        <c:crosses val="autoZero"/>
        <c:crossBetween val="midCat"/>
        <c:dispUnits>
          <c:builtInUnit val="thousands"/>
        </c:dispUnits>
      </c:valAx>
      <c:valAx>
        <c:axId val="73811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37969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38504.59611640498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67456"/>
        <c:axId val="270870016"/>
      </c:scatterChart>
      <c:valAx>
        <c:axId val="2708674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0870016"/>
        <c:crosses val="autoZero"/>
        <c:crossBetween val="midCat"/>
        <c:dispUnits>
          <c:builtInUnit val="thousands"/>
        </c:dispUnits>
      </c:valAx>
      <c:valAx>
        <c:axId val="270870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8674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98912.855944764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42528"/>
        <c:axId val="73254400"/>
      </c:scatterChart>
      <c:valAx>
        <c:axId val="723425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73254400"/>
        <c:crosses val="autoZero"/>
        <c:crossBetween val="midCat"/>
        <c:dispUnits>
          <c:builtInUnit val="thousands"/>
        </c:dispUnits>
      </c:valAx>
      <c:valAx>
        <c:axId val="73254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23425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7217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2112.0480164308101</c:v>
                </c:pt>
                <c:pt idx="2">
                  <c:v>4167.337773276493</c:v>
                </c:pt>
                <c:pt idx="3">
                  <c:v>6167.3505148170516</c:v>
                </c:pt>
                <c:pt idx="4">
                  <c:v>8113.5312024233863</c:v>
                </c:pt>
                <c:pt idx="5">
                  <c:v>10007.289274128154</c:v>
                </c:pt>
                <c:pt idx="6">
                  <c:v>11849.999395593069</c:v>
                </c:pt>
                <c:pt idx="7">
                  <c:v>13643.002202072181</c:v>
                </c:pt>
                <c:pt idx="8">
                  <c:v>15387.605031087063</c:v>
                </c:pt>
                <c:pt idx="9">
                  <c:v>17085.082645485178</c:v>
                </c:pt>
                <c:pt idx="10">
                  <c:v>18736.677946629934</c:v>
                </c:pt>
                <c:pt idx="11">
                  <c:v>20343.602677509189</c:v>
                </c:pt>
                <c:pt idx="12">
                  <c:v>21907.038115544245</c:v>
                </c:pt>
                <c:pt idx="13">
                  <c:v>23428.135754928924</c:v>
                </c:pt>
                <c:pt idx="14">
                  <c:v>24908.017978378572</c:v>
                </c:pt>
                <c:pt idx="15">
                  <c:v>26347.778718138114</c:v>
                </c:pt>
                <c:pt idx="16">
                  <c:v>27748.484106163494</c:v>
                </c:pt>
                <c:pt idx="17">
                  <c:v>29111.17311341688</c:v>
                </c:pt>
                <c:pt idx="18">
                  <c:v>30436.858178190887</c:v>
                </c:pt>
                <c:pt idx="19">
                  <c:v>31726.525823448785</c:v>
                </c:pt>
                <c:pt idx="20">
                  <c:v>32981.137263149023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8578.7385901790112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080064"/>
        <c:axId val="271099008"/>
      </c:scatterChart>
      <c:valAx>
        <c:axId val="2710800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1099008"/>
        <c:crosses val="autoZero"/>
        <c:crossBetween val="midCat"/>
        <c:dispUnits>
          <c:builtInUnit val="thousands"/>
        </c:dispUnits>
      </c:valAx>
      <c:valAx>
        <c:axId val="271099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10800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12560000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418048.20913736708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792768"/>
        <c:axId val="271803520"/>
      </c:scatterChart>
      <c:valAx>
        <c:axId val="2717927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1803520"/>
        <c:crosses val="autoZero"/>
        <c:crossBetween val="midCat"/>
        <c:dispUnits>
          <c:builtInUnit val="thousands"/>
        </c:dispUnits>
      </c:valAx>
      <c:valAx>
        <c:axId val="271803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179276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568256"/>
        <c:axId val="271574528"/>
      </c:scatterChart>
      <c:valAx>
        <c:axId val="2715682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574528"/>
        <c:crosses val="autoZero"/>
        <c:crossBetween val="midCat"/>
      </c:valAx>
      <c:valAx>
        <c:axId val="2715745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56825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744000"/>
        <c:axId val="271758464"/>
      </c:scatterChart>
      <c:valAx>
        <c:axId val="2717440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758464"/>
        <c:crosses val="autoZero"/>
        <c:crossBetween val="midCat"/>
      </c:valAx>
      <c:valAx>
        <c:axId val="27175846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74400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669888"/>
        <c:axId val="271680256"/>
      </c:scatterChart>
      <c:valAx>
        <c:axId val="2716698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680256"/>
        <c:crosses val="autoZero"/>
        <c:crossBetween val="midCat"/>
      </c:valAx>
      <c:valAx>
        <c:axId val="27168025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6698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90688"/>
        <c:axId val="271909632"/>
      </c:scatterChart>
      <c:valAx>
        <c:axId val="2718906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1909632"/>
        <c:crosses val="autoZero"/>
        <c:crossBetween val="midCat"/>
        <c:dispUnits>
          <c:builtInUnit val="millions"/>
        </c:dispUnits>
      </c:valAx>
      <c:valAx>
        <c:axId val="27190963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18906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53340</xdr:colOff>
      <xdr:row>61</xdr:row>
      <xdr:rowOff>38100</xdr:rowOff>
    </xdr:from>
    <xdr:to>
      <xdr:col>8</xdr:col>
      <xdr:colOff>480060</xdr:colOff>
      <xdr:row>80</xdr:row>
      <xdr:rowOff>45720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502920</xdr:colOff>
      <xdr:row>61</xdr:row>
      <xdr:rowOff>53340</xdr:rowOff>
    </xdr:from>
    <xdr:to>
      <xdr:col>17</xdr:col>
      <xdr:colOff>381000</xdr:colOff>
      <xdr:row>80</xdr:row>
      <xdr:rowOff>83820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68580</xdr:colOff>
      <xdr:row>61</xdr:row>
      <xdr:rowOff>30480</xdr:rowOff>
    </xdr:from>
    <xdr:to>
      <xdr:col>8</xdr:col>
      <xdr:colOff>495300</xdr:colOff>
      <xdr:row>80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518160</xdr:colOff>
      <xdr:row>61</xdr:row>
      <xdr:rowOff>30480</xdr:rowOff>
    </xdr:from>
    <xdr:to>
      <xdr:col>17</xdr:col>
      <xdr:colOff>396240</xdr:colOff>
      <xdr:row>80</xdr:row>
      <xdr:rowOff>60960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G46" workbookViewId="0">
      <selection activeCell="V61" sqref="V6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A4" workbookViewId="0">
      <selection activeCell="I30" sqref="I30"/>
    </sheetView>
  </sheetViews>
  <sheetFormatPr defaultRowHeight="14.4" x14ac:dyDescent="0.3"/>
  <cols>
    <col min="1" max="16384" width="8.88671875" style="16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/>
  </sheetViews>
  <sheetFormatPr defaultRowHeight="14.4" x14ac:dyDescent="0.3"/>
  <cols>
    <col min="1" max="16384" width="8.88671875" style="16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1:G11"/>
  <sheetViews>
    <sheetView workbookViewId="0">
      <selection activeCell="A4" sqref="A4"/>
    </sheetView>
  </sheetViews>
  <sheetFormatPr defaultRowHeight="14.4" x14ac:dyDescent="0.3"/>
  <cols>
    <col min="1" max="1" width="23.109375" customWidth="1"/>
    <col min="2" max="2" width="15.44140625" customWidth="1"/>
    <col min="3" max="3" width="14.109375" customWidth="1"/>
    <col min="4" max="4" width="13.6640625" customWidth="1"/>
    <col min="5" max="5" width="14.44140625" customWidth="1"/>
    <col min="7" max="7" width="11.88671875" customWidth="1"/>
  </cols>
  <sheetData>
    <row r="1" spans="1:7" x14ac:dyDescent="0.3">
      <c r="A1" s="155" t="s">
        <v>211</v>
      </c>
    </row>
    <row r="2" spans="1:7" x14ac:dyDescent="0.3">
      <c r="A2" t="s">
        <v>220</v>
      </c>
    </row>
    <row r="3" spans="1:7" x14ac:dyDescent="0.3">
      <c r="A3" s="206" t="s">
        <v>212</v>
      </c>
      <c r="B3" s="161"/>
      <c r="C3" s="161"/>
      <c r="D3" s="161"/>
      <c r="E3" s="161"/>
      <c r="F3" s="161"/>
      <c r="G3" s="161"/>
    </row>
    <row r="4" spans="1:7" x14ac:dyDescent="0.3">
      <c r="A4" t="s">
        <v>213</v>
      </c>
    </row>
    <row r="5" spans="1:7" x14ac:dyDescent="0.3">
      <c r="A5" s="161" t="s">
        <v>214</v>
      </c>
    </row>
    <row r="6" spans="1:7" x14ac:dyDescent="0.3">
      <c r="A6" s="161" t="s">
        <v>215</v>
      </c>
    </row>
    <row r="7" spans="1:7" x14ac:dyDescent="0.3">
      <c r="A7" s="205" t="s">
        <v>216</v>
      </c>
    </row>
    <row r="8" spans="1:7" x14ac:dyDescent="0.3">
      <c r="A8" s="161" t="s">
        <v>217</v>
      </c>
    </row>
    <row r="9" spans="1:7" x14ac:dyDescent="0.3">
      <c r="A9" s="161" t="s">
        <v>218</v>
      </c>
    </row>
    <row r="10" spans="1:7" x14ac:dyDescent="0.3">
      <c r="A10" s="161" t="s">
        <v>219</v>
      </c>
    </row>
    <row r="11" spans="1:7" x14ac:dyDescent="0.3">
      <c r="A11" s="161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D28" workbookViewId="0">
      <selection activeCell="I17" sqref="I17:J2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07" t="s">
        <v>221</v>
      </c>
      <c r="C4" s="208"/>
      <c r="D4" s="208"/>
      <c r="E4" s="208"/>
      <c r="F4" s="208"/>
      <c r="G4" s="208"/>
      <c r="H4" s="208"/>
      <c r="I4" s="208"/>
    </row>
    <row r="5" spans="1:14" x14ac:dyDescent="0.3">
      <c r="A5" s="48" t="s">
        <v>79</v>
      </c>
      <c r="B5" s="162" t="s">
        <v>167</v>
      </c>
      <c r="E5" s="209" t="s">
        <v>50</v>
      </c>
      <c r="F5" s="210"/>
      <c r="G5" s="210"/>
      <c r="H5" s="210"/>
      <c r="I5" s="211"/>
    </row>
    <row r="6" spans="1:14" x14ac:dyDescent="0.3">
      <c r="A6" s="48" t="s">
        <v>80</v>
      </c>
      <c r="B6" s="162" t="s">
        <v>168</v>
      </c>
      <c r="E6" s="212" t="s">
        <v>51</v>
      </c>
      <c r="F6" s="213"/>
      <c r="G6" s="213"/>
      <c r="H6" s="213"/>
      <c r="I6" s="214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6484080.0725034103</v>
      </c>
    </row>
    <row r="10" spans="1:14" ht="14.4" thickBot="1" x14ac:dyDescent="0.35">
      <c r="A10" s="50"/>
    </row>
    <row r="11" spans="1:14" ht="27.6" x14ac:dyDescent="0.3">
      <c r="A11" s="215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16"/>
      <c r="B12" s="158">
        <f>79855579 - 15000000</f>
        <v>64855579</v>
      </c>
      <c r="C12" s="81">
        <f>1*B12 - 1</f>
        <v>64855578</v>
      </c>
      <c r="D12" s="82">
        <f>1*B12 + 1</f>
        <v>64855580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17" t="s">
        <v>2</v>
      </c>
      <c r="B15" s="219" t="s">
        <v>3</v>
      </c>
      <c r="C15" s="219" t="s">
        <v>38</v>
      </c>
      <c r="D15" s="219" t="s">
        <v>169</v>
      </c>
      <c r="E15" s="220" t="s">
        <v>86</v>
      </c>
      <c r="F15" s="221"/>
      <c r="G15" s="222" t="s">
        <v>179</v>
      </c>
      <c r="H15" s="223"/>
      <c r="I15" s="222" t="s">
        <v>89</v>
      </c>
      <c r="J15" s="223"/>
      <c r="K15" s="220" t="s">
        <v>90</v>
      </c>
      <c r="L15" s="224"/>
      <c r="M15" s="224"/>
      <c r="N15" s="221"/>
    </row>
    <row r="16" spans="1:14" ht="27.6" x14ac:dyDescent="0.3">
      <c r="A16" s="218"/>
      <c r="B16" s="218"/>
      <c r="C16" s="218"/>
      <c r="D16" s="218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4793199.2</v>
      </c>
      <c r="H17" s="73">
        <f>E17*$H$14</f>
        <v>7189798.7999999998</v>
      </c>
      <c r="I17" s="173">
        <v>5764315.0113185393</v>
      </c>
      <c r="J17" s="64">
        <v>2224266.6162209143</v>
      </c>
      <c r="K17" s="58">
        <f>I17-E17</f>
        <v>-227183.98868146073</v>
      </c>
      <c r="L17" s="58">
        <f>J17-F17</f>
        <v>-86498.662573783193</v>
      </c>
      <c r="M17" s="59">
        <f>K17/E17</f>
        <v>-3.7917721204903936E-2</v>
      </c>
      <c r="N17" s="59">
        <f>L17/F17</f>
        <v>-3.7432907343536499E-2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12488348</v>
      </c>
      <c r="J18" s="65">
        <v>2129708.7976117251</v>
      </c>
      <c r="K18" s="60">
        <f t="shared" ref="K18:L24" si="2">I18-E18</f>
        <v>-3122087</v>
      </c>
      <c r="L18" s="60">
        <f t="shared" si="2"/>
        <v>-532956.05080032861</v>
      </c>
      <c r="M18" s="61">
        <f t="shared" ref="M18:N25" si="3">K18/E18</f>
        <v>-0.2</v>
      </c>
      <c r="N18" s="61">
        <f t="shared" si="3"/>
        <v>-0.2001588938683628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3043772.8000000003</v>
      </c>
      <c r="H19" s="74">
        <f t="shared" si="1"/>
        <v>4565659.2</v>
      </c>
      <c r="I19" s="174">
        <v>3043772.8000000003</v>
      </c>
      <c r="J19" s="65">
        <v>120447.64479503871</v>
      </c>
      <c r="K19" s="60">
        <f t="shared" si="2"/>
        <v>-760943.19999999972</v>
      </c>
      <c r="L19" s="60">
        <f t="shared" si="2"/>
        <v>-30113.056266454601</v>
      </c>
      <c r="M19" s="61">
        <f t="shared" si="3"/>
        <v>-0.19999999999999993</v>
      </c>
      <c r="N19" s="61">
        <f t="shared" si="3"/>
        <v>-0.20000608428460734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3552000</v>
      </c>
      <c r="H20" s="74">
        <f t="shared" si="1"/>
        <v>5328000</v>
      </c>
      <c r="I20" s="174">
        <v>3552000</v>
      </c>
      <c r="J20" s="65">
        <v>21708.278592683026</v>
      </c>
      <c r="K20" s="60">
        <f t="shared" si="2"/>
        <v>-888000</v>
      </c>
      <c r="L20" s="60">
        <f t="shared" si="2"/>
        <v>-3980.8815994486322</v>
      </c>
      <c r="M20" s="61">
        <f t="shared" si="3"/>
        <v>-0.2</v>
      </c>
      <c r="N20" s="61">
        <f t="shared" si="3"/>
        <v>-0.15496347757868464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18363200</v>
      </c>
      <c r="H21" s="74">
        <f t="shared" si="1"/>
        <v>27544800</v>
      </c>
      <c r="I21" s="174">
        <v>18363200</v>
      </c>
      <c r="J21" s="65">
        <v>1312198.9960396814</v>
      </c>
      <c r="K21" s="60">
        <f t="shared" si="2"/>
        <v>-4590800</v>
      </c>
      <c r="L21" s="60">
        <f t="shared" si="2"/>
        <v>-283693.01832068153</v>
      </c>
      <c r="M21" s="61">
        <f t="shared" si="3"/>
        <v>-0.2</v>
      </c>
      <c r="N21" s="61">
        <f t="shared" si="3"/>
        <v>-0.17776454532507097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6255187.2000000002</v>
      </c>
      <c r="H22" s="74">
        <f t="shared" si="1"/>
        <v>9382780.7999999989</v>
      </c>
      <c r="I22" s="174">
        <v>6255187.2000000002</v>
      </c>
      <c r="J22" s="65">
        <v>309475.52118794719</v>
      </c>
      <c r="K22" s="60">
        <f t="shared" si="2"/>
        <v>-1563796.7999999998</v>
      </c>
      <c r="L22" s="60">
        <f t="shared" si="2"/>
        <v>-68807.719947315694</v>
      </c>
      <c r="M22" s="61">
        <f t="shared" si="3"/>
        <v>-0.19999999999999998</v>
      </c>
      <c r="N22" s="61">
        <f t="shared" si="3"/>
        <v>-0.18189470868658464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83212.009999999995</v>
      </c>
      <c r="G23" s="74">
        <f t="shared" si="0"/>
        <v>2828756</v>
      </c>
      <c r="H23" s="74">
        <f t="shared" si="1"/>
        <v>4243134</v>
      </c>
      <c r="I23" s="174">
        <v>2828756</v>
      </c>
      <c r="J23" s="65">
        <v>67205.139507486048</v>
      </c>
      <c r="K23" s="60">
        <f t="shared" si="2"/>
        <v>-707189</v>
      </c>
      <c r="L23" s="60">
        <f t="shared" si="2"/>
        <v>-16006.870492513946</v>
      </c>
      <c r="M23" s="61">
        <f t="shared" si="3"/>
        <v>-0.2</v>
      </c>
      <c r="N23" s="61">
        <f t="shared" si="3"/>
        <v>-0.19236250263049706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12560000</v>
      </c>
      <c r="H24" s="74">
        <f t="shared" si="1"/>
        <v>18840000</v>
      </c>
      <c r="I24" s="174">
        <v>12560000</v>
      </c>
      <c r="J24" s="65">
        <v>299069.07854793407</v>
      </c>
      <c r="K24" s="60">
        <f t="shared" si="2"/>
        <v>-3140000</v>
      </c>
      <c r="L24" s="60">
        <f t="shared" si="2"/>
        <v>-61763.658565467224</v>
      </c>
      <c r="M24" s="61">
        <f t="shared" si="3"/>
        <v>-0.2</v>
      </c>
      <c r="N24" s="61">
        <f t="shared" si="3"/>
        <v>-0.17116977539112907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79855579</v>
      </c>
      <c r="F25" s="77">
        <f t="shared" si="4"/>
        <v>7567899.9910694035</v>
      </c>
      <c r="G25" s="76">
        <f t="shared" si="4"/>
        <v>63884463.200000003</v>
      </c>
      <c r="H25" s="76">
        <f t="shared" si="4"/>
        <v>95826694.799999997</v>
      </c>
      <c r="I25" s="83">
        <f t="shared" si="4"/>
        <v>64855579.011318542</v>
      </c>
      <c r="J25" s="175">
        <f t="shared" si="4"/>
        <v>6484080.0725034103</v>
      </c>
      <c r="K25" s="76">
        <f>SUM(K17:K24)</f>
        <v>-14999999.988681462</v>
      </c>
      <c r="L25" s="175">
        <f>SUM(L17:L24)</f>
        <v>-1083819.9185659934</v>
      </c>
      <c r="M25" s="79">
        <f>K25/E25</f>
        <v>-0.18783909873950649</v>
      </c>
      <c r="N25" s="79">
        <f t="shared" si="3"/>
        <v>-0.14321276970427316</v>
      </c>
    </row>
    <row r="30" spans="1:14" ht="55.2" x14ac:dyDescent="0.3">
      <c r="A30" s="225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25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26" t="s">
        <v>2</v>
      </c>
      <c r="B32" s="219" t="s">
        <v>3</v>
      </c>
      <c r="C32" s="219" t="str">
        <f t="shared" ref="C32:D42" si="5">D15</f>
        <v>Response Scaling Factor for Sensitivity Analysis</v>
      </c>
      <c r="D32" s="227" t="s">
        <v>86</v>
      </c>
      <c r="E32" s="228"/>
      <c r="F32" s="228"/>
      <c r="G32" s="229"/>
      <c r="H32" s="230" t="s">
        <v>89</v>
      </c>
      <c r="I32" s="231"/>
      <c r="J32" s="231"/>
      <c r="K32" s="227" t="s">
        <v>189</v>
      </c>
      <c r="L32" s="228"/>
      <c r="M32" s="228"/>
      <c r="N32" s="229"/>
    </row>
    <row r="33" spans="1:14" ht="74.400000000000006" customHeight="1" x14ac:dyDescent="0.3">
      <c r="A33" s="218"/>
      <c r="B33" s="218"/>
      <c r="C33" s="218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5764315.0113185393</v>
      </c>
      <c r="I34" s="168">
        <f>J17/$D$31</f>
        <v>192911.24164968901</v>
      </c>
      <c r="J34" s="179">
        <f>I34*$F$31</f>
        <v>215674768.1643523</v>
      </c>
      <c r="K34" s="166">
        <f>H34-D34</f>
        <v>-227183.98868146073</v>
      </c>
      <c r="L34" s="166">
        <f>J34-G34</f>
        <v>-8387294.4282298386</v>
      </c>
      <c r="M34" s="182">
        <f>K34/D34</f>
        <v>-3.7917721204903936E-2</v>
      </c>
      <c r="N34" s="183">
        <f>L34/G34</f>
        <v>-3.7432907343536659E-2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12488348</v>
      </c>
      <c r="I35" s="169">
        <f t="shared" ref="I35:I40" si="9">J18/$D$31</f>
        <v>184710.21661853645</v>
      </c>
      <c r="J35" s="180">
        <f t="shared" ref="J35:J40" si="10">I35*$F$31</f>
        <v>206506022.17952374</v>
      </c>
      <c r="K35" s="167">
        <f t="shared" ref="K35:K42" si="11">H35-D35</f>
        <v>-3122087</v>
      </c>
      <c r="L35" s="167">
        <f t="shared" ref="L35:L42" si="12">J35-G35</f>
        <v>-51677785.324784696</v>
      </c>
      <c r="M35" s="184">
        <f t="shared" ref="M35:M42" si="13">K35/D35</f>
        <v>-0.2</v>
      </c>
      <c r="N35" s="185">
        <f t="shared" ref="N35:N42" si="14">L35/G35</f>
        <v>-0.20015889386836286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3043772.8000000003</v>
      </c>
      <c r="I36" s="169">
        <f t="shared" si="9"/>
        <v>10446.456617089221</v>
      </c>
      <c r="J36" s="180">
        <f t="shared" si="10"/>
        <v>11679138.49790575</v>
      </c>
      <c r="K36" s="167">
        <f t="shared" si="11"/>
        <v>-760943.19999999972</v>
      </c>
      <c r="L36" s="167">
        <f t="shared" si="12"/>
        <v>-2919895.6553249117</v>
      </c>
      <c r="M36" s="184">
        <f t="shared" si="13"/>
        <v>-0.19999999999999993</v>
      </c>
      <c r="N36" s="185">
        <f t="shared" si="14"/>
        <v>-0.20000608428460726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3552000</v>
      </c>
      <c r="I37" s="169">
        <f t="shared" si="9"/>
        <v>1882.7648389143997</v>
      </c>
      <c r="J37" s="180">
        <f t="shared" si="10"/>
        <v>2104931.089906299</v>
      </c>
      <c r="K37" s="167">
        <f t="shared" si="11"/>
        <v>-888000</v>
      </c>
      <c r="L37" s="167">
        <f t="shared" si="12"/>
        <v>-386003.9573446284</v>
      </c>
      <c r="M37" s="184">
        <f t="shared" si="13"/>
        <v>-0.2</v>
      </c>
      <c r="N37" s="185">
        <f t="shared" si="14"/>
        <v>-0.15496347757868445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18363200</v>
      </c>
      <c r="I38" s="169">
        <f t="shared" si="9"/>
        <v>113807.37172937393</v>
      </c>
      <c r="J38" s="180">
        <f t="shared" si="10"/>
        <v>127236641.59344006</v>
      </c>
      <c r="K38" s="167">
        <f t="shared" si="11"/>
        <v>-4590800</v>
      </c>
      <c r="L38" s="167">
        <f t="shared" si="12"/>
        <v>-27508134.820687085</v>
      </c>
      <c r="M38" s="184">
        <f t="shared" si="13"/>
        <v>-0.2</v>
      </c>
      <c r="N38" s="185">
        <f t="shared" si="14"/>
        <v>-0.17776454532507102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6255187.2000000002</v>
      </c>
      <c r="I39" s="169">
        <f t="shared" si="9"/>
        <v>26840.895159405656</v>
      </c>
      <c r="J39" s="180">
        <f t="shared" si="10"/>
        <v>30008120.788215525</v>
      </c>
      <c r="K39" s="167">
        <f t="shared" si="11"/>
        <v>-1563796.7999999998</v>
      </c>
      <c r="L39" s="167">
        <f t="shared" si="12"/>
        <v>-6671902.0729487315</v>
      </c>
      <c r="M39" s="184">
        <f t="shared" si="13"/>
        <v>-0.19999999999999998</v>
      </c>
      <c r="N39" s="185">
        <f t="shared" si="14"/>
        <v>-0.18189470868658447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7"/>
        <v>7217</v>
      </c>
      <c r="G40" s="171">
        <f t="shared" si="8"/>
        <v>8068606</v>
      </c>
      <c r="H40" s="177">
        <f t="shared" si="6"/>
        <v>2828756</v>
      </c>
      <c r="I40" s="169">
        <f t="shared" si="9"/>
        <v>5828.7198185157031</v>
      </c>
      <c r="J40" s="180">
        <f t="shared" si="10"/>
        <v>6516508.757100556</v>
      </c>
      <c r="K40" s="167">
        <f t="shared" si="11"/>
        <v>-707189</v>
      </c>
      <c r="L40" s="167">
        <f t="shared" si="12"/>
        <v>-1552097.242899444</v>
      </c>
      <c r="M40" s="184">
        <f t="shared" si="13"/>
        <v>-0.2</v>
      </c>
      <c r="N40" s="185">
        <f t="shared" si="14"/>
        <v>-0.19236250263049701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12560000</v>
      </c>
      <c r="I41" s="169">
        <f>J24</f>
        <v>299069.07854793407</v>
      </c>
      <c r="J41" s="180">
        <f>I41*$I$31</f>
        <v>34811640.742979527</v>
      </c>
      <c r="K41" s="167">
        <f t="shared" si="11"/>
        <v>-3140000</v>
      </c>
      <c r="L41" s="167">
        <f t="shared" si="12"/>
        <v>-7189289.8570203781</v>
      </c>
      <c r="M41" s="184">
        <f t="shared" si="13"/>
        <v>-0.2</v>
      </c>
      <c r="N41" s="185">
        <f t="shared" si="14"/>
        <v>-0.17116977539112893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79855579</v>
      </c>
      <c r="E42" s="77"/>
      <c r="F42" s="77"/>
      <c r="G42" s="172">
        <f>SUM(G34:G41)</f>
        <v>740830175.17266345</v>
      </c>
      <c r="H42" s="178">
        <f>SUM(H34:H41)</f>
        <v>64855579.011318542</v>
      </c>
      <c r="I42" s="77"/>
      <c r="J42" s="181">
        <f>SUM(J34:J41)</f>
        <v>634537771.81342375</v>
      </c>
      <c r="K42" s="76">
        <f t="shared" si="11"/>
        <v>-14999999.988681458</v>
      </c>
      <c r="L42" s="200">
        <f t="shared" si="12"/>
        <v>-106292403.3592397</v>
      </c>
      <c r="M42" s="79">
        <f t="shared" si="13"/>
        <v>-0.18783909873950647</v>
      </c>
      <c r="N42" s="186">
        <f t="shared" si="14"/>
        <v>-0.14347742157568891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260282445.67870557</v>
      </c>
      <c r="I43" s="157"/>
      <c r="J43" s="189">
        <f>SUM(J34:J40)*$E$43 + (J41*$D$43)</f>
        <v>222705170.56515998</v>
      </c>
      <c r="L43" s="189">
        <f>SUM(L34:L40)*$E$43 + (L41*$D$43)</f>
        <v>-37577275.113545589</v>
      </c>
      <c r="M43" s="201">
        <f>L43/L42</f>
        <v>0.35352738225839642</v>
      </c>
      <c r="N43" s="190">
        <f>N42*(L43/L42)</f>
        <v>-5.0723197262837666E-2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291863833.45933878</v>
      </c>
      <c r="I44" s="157"/>
      <c r="J44" s="189">
        <f>SUM(J34:J40)*$E$44 + (J41*$D$44)</f>
        <v>249906545.85924384</v>
      </c>
      <c r="L44" s="189">
        <f>SUM(L34:L40)*$E$44 + (L41*$D$44)</f>
        <v>-41957287.600094922</v>
      </c>
      <c r="M44" s="201">
        <f>L44/L42</f>
        <v>0.3947345837904388</v>
      </c>
      <c r="N44" s="190">
        <f>N42*(L44/L42)</f>
        <v>-5.6635500289004881E-2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188683896.03461918</v>
      </c>
      <c r="I45" s="157"/>
      <c r="J45" s="189">
        <f>SUM(J34:J40)*$E$45 + (J41*$D$45)</f>
        <v>161926055.38901997</v>
      </c>
      <c r="L45" s="189">
        <f>SUM(L34:L40)*$E$45 + (L41*$D$45)</f>
        <v>-26757840.645599227</v>
      </c>
      <c r="M45" s="201">
        <f>L45/L42</f>
        <v>0.25173803395116517</v>
      </c>
      <c r="N45" s="190">
        <f>N42*(L45/L42)</f>
        <v>-3.6118724023846416E-2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K15:N15"/>
    <mergeCell ref="A30:A31"/>
    <mergeCell ref="A32:A33"/>
    <mergeCell ref="B32:B33"/>
    <mergeCell ref="C32:C33"/>
    <mergeCell ref="D32:G32"/>
    <mergeCell ref="H32:J32"/>
    <mergeCell ref="K32:N32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D28" workbookViewId="0">
      <selection activeCell="I17" sqref="I17:J2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9.4" customHeight="1" x14ac:dyDescent="0.3">
      <c r="A4" s="49" t="s">
        <v>78</v>
      </c>
      <c r="B4" s="207" t="s">
        <v>221</v>
      </c>
      <c r="C4" s="208"/>
      <c r="D4" s="208"/>
      <c r="E4" s="208"/>
      <c r="F4" s="208"/>
      <c r="G4" s="208"/>
      <c r="H4" s="208"/>
      <c r="I4" s="208"/>
    </row>
    <row r="5" spans="1:14" x14ac:dyDescent="0.3">
      <c r="A5" s="48" t="s">
        <v>79</v>
      </c>
      <c r="B5" s="162" t="s">
        <v>167</v>
      </c>
      <c r="E5" s="209" t="s">
        <v>50</v>
      </c>
      <c r="F5" s="210"/>
      <c r="G5" s="210"/>
      <c r="H5" s="210"/>
      <c r="I5" s="211"/>
    </row>
    <row r="6" spans="1:14" x14ac:dyDescent="0.3">
      <c r="A6" s="48" t="s">
        <v>80</v>
      </c>
      <c r="B6" s="162" t="s">
        <v>168</v>
      </c>
      <c r="E6" s="212" t="s">
        <v>51</v>
      </c>
      <c r="F6" s="213"/>
      <c r="G6" s="213"/>
      <c r="H6" s="213"/>
      <c r="I6" s="214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7635566.9892228013</v>
      </c>
    </row>
    <row r="10" spans="1:14" ht="14.4" thickBot="1" x14ac:dyDescent="0.35">
      <c r="A10" s="50"/>
    </row>
    <row r="11" spans="1:14" ht="27.6" x14ac:dyDescent="0.3">
      <c r="A11" s="215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16"/>
      <c r="B12" s="158">
        <f>79855579 - 10000000</f>
        <v>69855579</v>
      </c>
      <c r="C12" s="81">
        <f>1*B12 - 1</f>
        <v>69855578</v>
      </c>
      <c r="D12" s="82">
        <f>1*B12 + 1</f>
        <v>69855580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17" t="s">
        <v>2</v>
      </c>
      <c r="B15" s="219" t="s">
        <v>3</v>
      </c>
      <c r="C15" s="219" t="s">
        <v>38</v>
      </c>
      <c r="D15" s="219" t="s">
        <v>169</v>
      </c>
      <c r="E15" s="220" t="s">
        <v>86</v>
      </c>
      <c r="F15" s="221"/>
      <c r="G15" s="222" t="s">
        <v>179</v>
      </c>
      <c r="H15" s="223"/>
      <c r="I15" s="222" t="s">
        <v>89</v>
      </c>
      <c r="J15" s="223"/>
      <c r="K15" s="220" t="s">
        <v>90</v>
      </c>
      <c r="L15" s="224"/>
      <c r="M15" s="224"/>
      <c r="N15" s="221"/>
    </row>
    <row r="16" spans="1:14" ht="27.6" x14ac:dyDescent="0.3">
      <c r="A16" s="218"/>
      <c r="B16" s="218"/>
      <c r="C16" s="218"/>
      <c r="D16" s="218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4793199.2</v>
      </c>
      <c r="H17" s="73">
        <f>E17*$H$14</f>
        <v>7189798.7999999998</v>
      </c>
      <c r="I17" s="173">
        <v>7189798.7999999998</v>
      </c>
      <c r="J17" s="64">
        <v>2765547.9922391665</v>
      </c>
      <c r="K17" s="58">
        <f>I17-E17</f>
        <v>1198299.7999999998</v>
      </c>
      <c r="L17" s="58">
        <f>J17-F17</f>
        <v>454782.71344446903</v>
      </c>
      <c r="M17" s="59">
        <f>K17/E17</f>
        <v>0.19999999999999996</v>
      </c>
      <c r="N17" s="59">
        <f>L17/F17</f>
        <v>0.19681043229180123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16062864.125600886</v>
      </c>
      <c r="J18" s="65">
        <v>2739914.3383128634</v>
      </c>
      <c r="K18" s="60">
        <f t="shared" ref="K18:L24" si="2">I18-E18</f>
        <v>452429.1256008856</v>
      </c>
      <c r="L18" s="60">
        <f t="shared" si="2"/>
        <v>77249.489900809713</v>
      </c>
      <c r="M18" s="61">
        <f t="shared" ref="M18:N25" si="3">K18/E18</f>
        <v>2.8982480347337251E-2</v>
      </c>
      <c r="N18" s="61">
        <f t="shared" si="3"/>
        <v>2.9012096639529892E-2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3043772.8000000003</v>
      </c>
      <c r="H19" s="74">
        <f t="shared" si="1"/>
        <v>4565659.2</v>
      </c>
      <c r="I19" s="174">
        <v>3043772.8000000003</v>
      </c>
      <c r="J19" s="65">
        <v>120447.64479503871</v>
      </c>
      <c r="K19" s="60">
        <f t="shared" si="2"/>
        <v>-760943.19999999972</v>
      </c>
      <c r="L19" s="60">
        <f t="shared" si="2"/>
        <v>-30113.056266454601</v>
      </c>
      <c r="M19" s="61">
        <f t="shared" si="3"/>
        <v>-0.19999999999999993</v>
      </c>
      <c r="N19" s="61">
        <f t="shared" si="3"/>
        <v>-0.20000608428460734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3552000</v>
      </c>
      <c r="H20" s="74">
        <f t="shared" si="1"/>
        <v>5328000</v>
      </c>
      <c r="I20" s="174">
        <v>3552000</v>
      </c>
      <c r="J20" s="65">
        <v>21708.278592683026</v>
      </c>
      <c r="K20" s="60">
        <f t="shared" si="2"/>
        <v>-888000</v>
      </c>
      <c r="L20" s="60">
        <f t="shared" si="2"/>
        <v>-3980.8815994486322</v>
      </c>
      <c r="M20" s="61">
        <f t="shared" si="3"/>
        <v>-0.2</v>
      </c>
      <c r="N20" s="61">
        <f t="shared" si="3"/>
        <v>-0.15496347757868464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18363200</v>
      </c>
      <c r="H21" s="74">
        <f t="shared" si="1"/>
        <v>27544800</v>
      </c>
      <c r="I21" s="174">
        <v>18363200</v>
      </c>
      <c r="J21" s="65">
        <v>1312198.9960396814</v>
      </c>
      <c r="K21" s="60">
        <f t="shared" si="2"/>
        <v>-4590800</v>
      </c>
      <c r="L21" s="60">
        <f t="shared" si="2"/>
        <v>-283693.01832068153</v>
      </c>
      <c r="M21" s="61">
        <f t="shared" si="3"/>
        <v>-0.2</v>
      </c>
      <c r="N21" s="61">
        <f t="shared" si="3"/>
        <v>-0.17776454532507097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6255187.2000000002</v>
      </c>
      <c r="H22" s="74">
        <f t="shared" si="1"/>
        <v>9382780.7999999989</v>
      </c>
      <c r="I22" s="174">
        <v>6255187.2000000002</v>
      </c>
      <c r="J22" s="65">
        <v>309475.52118794719</v>
      </c>
      <c r="K22" s="60">
        <f t="shared" si="2"/>
        <v>-1563796.7999999998</v>
      </c>
      <c r="L22" s="60">
        <f t="shared" si="2"/>
        <v>-68807.719947315694</v>
      </c>
      <c r="M22" s="61">
        <f t="shared" si="3"/>
        <v>-0.19999999999999998</v>
      </c>
      <c r="N22" s="61">
        <f t="shared" si="3"/>
        <v>-0.18189470868658464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83212.009999999995</v>
      </c>
      <c r="G23" s="74">
        <f t="shared" si="0"/>
        <v>2828756</v>
      </c>
      <c r="H23" s="74">
        <f t="shared" si="1"/>
        <v>4243134</v>
      </c>
      <c r="I23" s="174">
        <v>2828756</v>
      </c>
      <c r="J23" s="65">
        <v>67205.139507486048</v>
      </c>
      <c r="K23" s="60">
        <f t="shared" si="2"/>
        <v>-707189</v>
      </c>
      <c r="L23" s="60">
        <f t="shared" si="2"/>
        <v>-16006.870492513946</v>
      </c>
      <c r="M23" s="61">
        <f t="shared" si="3"/>
        <v>-0.2</v>
      </c>
      <c r="N23" s="61">
        <f t="shared" si="3"/>
        <v>-0.19236250263049706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12560000</v>
      </c>
      <c r="H24" s="74">
        <f t="shared" si="1"/>
        <v>18840000</v>
      </c>
      <c r="I24" s="174">
        <v>12560000</v>
      </c>
      <c r="J24" s="65">
        <v>299069.07854793407</v>
      </c>
      <c r="K24" s="60">
        <f t="shared" si="2"/>
        <v>-3140000</v>
      </c>
      <c r="L24" s="60">
        <f t="shared" si="2"/>
        <v>-61763.658565467224</v>
      </c>
      <c r="M24" s="61">
        <f t="shared" si="3"/>
        <v>-0.2</v>
      </c>
      <c r="N24" s="61">
        <f t="shared" si="3"/>
        <v>-0.17116977539112907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79855579</v>
      </c>
      <c r="F25" s="77">
        <f t="shared" si="4"/>
        <v>7567899.9910694035</v>
      </c>
      <c r="G25" s="76">
        <f t="shared" si="4"/>
        <v>63884463.200000003</v>
      </c>
      <c r="H25" s="76">
        <f t="shared" si="4"/>
        <v>95826694.799999997</v>
      </c>
      <c r="I25" s="83">
        <f t="shared" si="4"/>
        <v>69855578.925600886</v>
      </c>
      <c r="J25" s="175">
        <f t="shared" si="4"/>
        <v>7635566.9892228013</v>
      </c>
      <c r="K25" s="76">
        <f>SUM(K17:K24)</f>
        <v>-10000000.074399114</v>
      </c>
      <c r="L25" s="175">
        <f>SUM(L17:L24)</f>
        <v>67666.9981533971</v>
      </c>
      <c r="M25" s="79">
        <f>K25/E25</f>
        <v>-0.12522606685250023</v>
      </c>
      <c r="N25" s="79">
        <f t="shared" si="3"/>
        <v>8.9413177015087945E-3</v>
      </c>
    </row>
    <row r="30" spans="1:14" ht="55.2" x14ac:dyDescent="0.3">
      <c r="A30" s="225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25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26" t="s">
        <v>2</v>
      </c>
      <c r="B32" s="219" t="s">
        <v>3</v>
      </c>
      <c r="C32" s="219" t="str">
        <f t="shared" ref="C32:D42" si="5">D15</f>
        <v>Response Scaling Factor for Sensitivity Analysis</v>
      </c>
      <c r="D32" s="227" t="s">
        <v>86</v>
      </c>
      <c r="E32" s="228"/>
      <c r="F32" s="228"/>
      <c r="G32" s="229"/>
      <c r="H32" s="230" t="s">
        <v>89</v>
      </c>
      <c r="I32" s="231"/>
      <c r="J32" s="231"/>
      <c r="K32" s="227" t="s">
        <v>189</v>
      </c>
      <c r="L32" s="228"/>
      <c r="M32" s="228"/>
      <c r="N32" s="229"/>
    </row>
    <row r="33" spans="1:14" ht="74.400000000000006" customHeight="1" x14ac:dyDescent="0.3">
      <c r="A33" s="218"/>
      <c r="B33" s="218"/>
      <c r="C33" s="218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7189798.7999999998</v>
      </c>
      <c r="I34" s="168">
        <f>J17/$D$31</f>
        <v>239856.72092273779</v>
      </c>
      <c r="J34" s="179">
        <f>I34*$F$31</f>
        <v>268159813.99162084</v>
      </c>
      <c r="K34" s="166">
        <f>H34-D34</f>
        <v>1198299.7999999998</v>
      </c>
      <c r="L34" s="166">
        <f>J34-G34</f>
        <v>44097751.399038702</v>
      </c>
      <c r="M34" s="182">
        <f>K34/D34</f>
        <v>0.19999999999999996</v>
      </c>
      <c r="N34" s="183">
        <f>L34/G34</f>
        <v>0.19681043229180117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16062864.125600886</v>
      </c>
      <c r="I35" s="169">
        <f t="shared" ref="I35:I40" si="9">J18/$D$31</f>
        <v>237633.50722574705</v>
      </c>
      <c r="J35" s="180">
        <f t="shared" ref="J35:J40" si="10">I35*$F$31</f>
        <v>265674261.0783852</v>
      </c>
      <c r="K35" s="167">
        <f t="shared" ref="K35:K42" si="11">H35-D35</f>
        <v>452429.1256008856</v>
      </c>
      <c r="L35" s="167">
        <f t="shared" ref="L35:L42" si="12">J35-G35</f>
        <v>7490453.5740767717</v>
      </c>
      <c r="M35" s="184">
        <f t="shared" ref="M35:M42" si="13">K35/D35</f>
        <v>2.8982480347337251E-2</v>
      </c>
      <c r="N35" s="185">
        <f t="shared" ref="N35:N42" si="14">L35/G35</f>
        <v>2.9012096639529864E-2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3043772.8000000003</v>
      </c>
      <c r="I36" s="169">
        <f t="shared" si="9"/>
        <v>10446.456617089221</v>
      </c>
      <c r="J36" s="180">
        <f t="shared" si="10"/>
        <v>11679138.49790575</v>
      </c>
      <c r="K36" s="167">
        <f t="shared" si="11"/>
        <v>-760943.19999999972</v>
      </c>
      <c r="L36" s="167">
        <f t="shared" si="12"/>
        <v>-2919895.6553249117</v>
      </c>
      <c r="M36" s="184">
        <f t="shared" si="13"/>
        <v>-0.19999999999999993</v>
      </c>
      <c r="N36" s="185">
        <f t="shared" si="14"/>
        <v>-0.20000608428460726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3552000</v>
      </c>
      <c r="I37" s="169">
        <f t="shared" si="9"/>
        <v>1882.7648389143997</v>
      </c>
      <c r="J37" s="180">
        <f t="shared" si="10"/>
        <v>2104931.089906299</v>
      </c>
      <c r="K37" s="167">
        <f t="shared" si="11"/>
        <v>-888000</v>
      </c>
      <c r="L37" s="167">
        <f t="shared" si="12"/>
        <v>-386003.9573446284</v>
      </c>
      <c r="M37" s="184">
        <f t="shared" si="13"/>
        <v>-0.2</v>
      </c>
      <c r="N37" s="185">
        <f t="shared" si="14"/>
        <v>-0.15496347757868445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18363200</v>
      </c>
      <c r="I38" s="169">
        <f t="shared" si="9"/>
        <v>113807.37172937393</v>
      </c>
      <c r="J38" s="180">
        <f t="shared" si="10"/>
        <v>127236641.59344006</v>
      </c>
      <c r="K38" s="167">
        <f t="shared" si="11"/>
        <v>-4590800</v>
      </c>
      <c r="L38" s="167">
        <f t="shared" si="12"/>
        <v>-27508134.820687085</v>
      </c>
      <c r="M38" s="184">
        <f t="shared" si="13"/>
        <v>-0.2</v>
      </c>
      <c r="N38" s="185">
        <f t="shared" si="14"/>
        <v>-0.17776454532507102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6255187.2000000002</v>
      </c>
      <c r="I39" s="169">
        <f t="shared" si="9"/>
        <v>26840.895159405656</v>
      </c>
      <c r="J39" s="180">
        <f t="shared" si="10"/>
        <v>30008120.788215525</v>
      </c>
      <c r="K39" s="167">
        <f t="shared" si="11"/>
        <v>-1563796.7999999998</v>
      </c>
      <c r="L39" s="167">
        <f t="shared" si="12"/>
        <v>-6671902.0729487315</v>
      </c>
      <c r="M39" s="184">
        <f t="shared" si="13"/>
        <v>-0.19999999999999998</v>
      </c>
      <c r="N39" s="185">
        <f t="shared" si="14"/>
        <v>-0.18189470868658447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7"/>
        <v>7217</v>
      </c>
      <c r="G40" s="171">
        <f t="shared" si="8"/>
        <v>8068606</v>
      </c>
      <c r="H40" s="177">
        <f t="shared" si="6"/>
        <v>2828756</v>
      </c>
      <c r="I40" s="169">
        <f t="shared" si="9"/>
        <v>5828.7198185157031</v>
      </c>
      <c r="J40" s="180">
        <f t="shared" si="10"/>
        <v>6516508.757100556</v>
      </c>
      <c r="K40" s="167">
        <f t="shared" si="11"/>
        <v>-707189</v>
      </c>
      <c r="L40" s="167">
        <f t="shared" si="12"/>
        <v>-1552097.242899444</v>
      </c>
      <c r="M40" s="184">
        <f t="shared" si="13"/>
        <v>-0.2</v>
      </c>
      <c r="N40" s="185">
        <f t="shared" si="14"/>
        <v>-0.19236250263049701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12560000</v>
      </c>
      <c r="I41" s="169">
        <f>J24</f>
        <v>299069.07854793407</v>
      </c>
      <c r="J41" s="180">
        <f>I41*$I$31</f>
        <v>34811640.742979527</v>
      </c>
      <c r="K41" s="167">
        <f t="shared" si="11"/>
        <v>-3140000</v>
      </c>
      <c r="L41" s="167">
        <f t="shared" si="12"/>
        <v>-7189289.8570203781</v>
      </c>
      <c r="M41" s="184">
        <f t="shared" si="13"/>
        <v>-0.2</v>
      </c>
      <c r="N41" s="185">
        <f t="shared" si="14"/>
        <v>-0.17116977539112893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79855579</v>
      </c>
      <c r="E42" s="77"/>
      <c r="F42" s="77"/>
      <c r="G42" s="172">
        <f>SUM(G34:G41)</f>
        <v>740830175.17266345</v>
      </c>
      <c r="H42" s="178">
        <f>SUM(H34:H41)</f>
        <v>69855578.925600886</v>
      </c>
      <c r="I42" s="77"/>
      <c r="J42" s="181">
        <f>SUM(J34:J41)</f>
        <v>746191056.53955376</v>
      </c>
      <c r="K42" s="76">
        <f t="shared" si="11"/>
        <v>-10000000.074399114</v>
      </c>
      <c r="L42" s="200">
        <f t="shared" si="12"/>
        <v>5360881.3668903112</v>
      </c>
      <c r="M42" s="79">
        <f t="shared" si="13"/>
        <v>-0.12522606685250023</v>
      </c>
      <c r="N42" s="186">
        <f t="shared" si="14"/>
        <v>7.2363161579384423E-3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260282445.67870557</v>
      </c>
      <c r="I43" s="157"/>
      <c r="J43" s="189">
        <f>SUM(J34:J40)*$E$43 + (J41*$D$43)</f>
        <v>260667287.37204421</v>
      </c>
      <c r="L43" s="189">
        <f>SUM(L34:L40)*$E$43 + (L41*$D$43)</f>
        <v>384841.69333862374</v>
      </c>
      <c r="M43" s="201">
        <f>L43/L42</f>
        <v>7.1787019148655221E-2</v>
      </c>
      <c r="N43" s="190">
        <f>N42*(L43/L42)</f>
        <v>5.1947356659565018E-4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291863833.45933878</v>
      </c>
      <c r="I44" s="157"/>
      <c r="J44" s="189">
        <f>SUM(J34:J40)*$E$44 + (J41*$D$44)</f>
        <v>293451326.90243453</v>
      </c>
      <c r="L44" s="189">
        <f>SUM(L34:L40)*$E$44 + (L41*$D$44)</f>
        <v>1587493.4430957874</v>
      </c>
      <c r="M44" s="201">
        <f>L44/L42</f>
        <v>0.29612545670202833</v>
      </c>
      <c r="N44" s="190">
        <f>N42*(L44/L42)</f>
        <v>2.1428574271097883E-3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188683896.03461918</v>
      </c>
      <c r="I45" s="157"/>
      <c r="J45" s="189">
        <f>SUM(J34:J40)*$E$45 + (J41*$D$45)</f>
        <v>192072442.26507506</v>
      </c>
      <c r="L45" s="189">
        <f>SUM(L34:L40)*$E$45 + (L41*$D$45)</f>
        <v>3388546.2304558815</v>
      </c>
      <c r="M45" s="201">
        <f>L45/L42</f>
        <v>0.63208752414931291</v>
      </c>
      <c r="N45" s="190">
        <f>N42*(L45/L42)</f>
        <v>4.5739851642329779E-3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K15:N15"/>
    <mergeCell ref="A30:A31"/>
    <mergeCell ref="A32:A33"/>
    <mergeCell ref="B32:B33"/>
    <mergeCell ref="C32:C33"/>
    <mergeCell ref="D32:G32"/>
    <mergeCell ref="H32:J32"/>
    <mergeCell ref="K32:N32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</mergeCell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D34" workbookViewId="0">
      <selection activeCell="I17" sqref="I17:J2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07" t="s">
        <v>221</v>
      </c>
      <c r="C4" s="208"/>
      <c r="D4" s="208"/>
      <c r="E4" s="208"/>
      <c r="F4" s="208"/>
      <c r="G4" s="208"/>
      <c r="H4" s="208"/>
      <c r="I4" s="208"/>
    </row>
    <row r="5" spans="1:14" x14ac:dyDescent="0.3">
      <c r="A5" s="48" t="s">
        <v>79</v>
      </c>
      <c r="B5" s="162" t="s">
        <v>167</v>
      </c>
      <c r="E5" s="209" t="s">
        <v>50</v>
      </c>
      <c r="F5" s="210"/>
      <c r="G5" s="210"/>
      <c r="H5" s="210"/>
      <c r="I5" s="211"/>
    </row>
    <row r="6" spans="1:14" x14ac:dyDescent="0.3">
      <c r="A6" s="48" t="s">
        <v>80</v>
      </c>
      <c r="B6" s="162" t="s">
        <v>168</v>
      </c>
      <c r="E6" s="212" t="s">
        <v>51</v>
      </c>
      <c r="F6" s="213"/>
      <c r="G6" s="213"/>
      <c r="H6" s="213"/>
      <c r="I6" s="214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8237556.5178173138</v>
      </c>
    </row>
    <row r="10" spans="1:14" ht="14.4" thickBot="1" x14ac:dyDescent="0.35">
      <c r="A10" s="50"/>
    </row>
    <row r="11" spans="1:14" ht="27.6" x14ac:dyDescent="0.3">
      <c r="A11" s="215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16"/>
      <c r="B12" s="158">
        <f>79855579 - 5000000</f>
        <v>74855579</v>
      </c>
      <c r="C12" s="81">
        <f>1*B12 - 1</f>
        <v>74855578</v>
      </c>
      <c r="D12" s="82">
        <f>1*B12 + 1</f>
        <v>74855580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17" t="s">
        <v>2</v>
      </c>
      <c r="B15" s="219" t="s">
        <v>3</v>
      </c>
      <c r="C15" s="219" t="s">
        <v>38</v>
      </c>
      <c r="D15" s="219" t="s">
        <v>169</v>
      </c>
      <c r="E15" s="220" t="s">
        <v>86</v>
      </c>
      <c r="F15" s="221"/>
      <c r="G15" s="222" t="s">
        <v>179</v>
      </c>
      <c r="H15" s="223"/>
      <c r="I15" s="222" t="s">
        <v>89</v>
      </c>
      <c r="J15" s="223"/>
      <c r="K15" s="220" t="s">
        <v>90</v>
      </c>
      <c r="L15" s="224"/>
      <c r="M15" s="224"/>
      <c r="N15" s="221"/>
    </row>
    <row r="16" spans="1:14" ht="27.6" x14ac:dyDescent="0.3">
      <c r="A16" s="218"/>
      <c r="B16" s="218"/>
      <c r="C16" s="218"/>
      <c r="D16" s="218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4793199.2</v>
      </c>
      <c r="H17" s="73">
        <f>E17*$H$14</f>
        <v>7189798.7999999998</v>
      </c>
      <c r="I17" s="173">
        <v>7189798.7999999998</v>
      </c>
      <c r="J17" s="64">
        <v>2765547.9922391665</v>
      </c>
      <c r="K17" s="58">
        <f>I17-E17</f>
        <v>1198299.7999999998</v>
      </c>
      <c r="L17" s="58">
        <f>J17-F17</f>
        <v>454782.71344446903</v>
      </c>
      <c r="M17" s="59">
        <f>K17/E17</f>
        <v>0.19999999999999996</v>
      </c>
      <c r="N17" s="59">
        <f>L17/F17</f>
        <v>0.19681043229180123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v>3195832.4397713416</v>
      </c>
      <c r="K18" s="60">
        <f t="shared" ref="K18:L24" si="2">I18-E18</f>
        <v>3122087</v>
      </c>
      <c r="L18" s="60">
        <f t="shared" si="2"/>
        <v>533167.59135928797</v>
      </c>
      <c r="M18" s="61">
        <f t="shared" ref="M18:N25" si="3">K18/E18</f>
        <v>0.2</v>
      </c>
      <c r="N18" s="61">
        <f t="shared" si="3"/>
        <v>0.20023834080254438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3043772.8000000003</v>
      </c>
      <c r="H19" s="74">
        <f t="shared" si="1"/>
        <v>4565659.2</v>
      </c>
      <c r="I19" s="174">
        <v>3043772.8000000003</v>
      </c>
      <c r="J19" s="65">
        <v>120447.64479503871</v>
      </c>
      <c r="K19" s="60">
        <f t="shared" si="2"/>
        <v>-760943.19999999972</v>
      </c>
      <c r="L19" s="60">
        <f t="shared" si="2"/>
        <v>-30113.056266454601</v>
      </c>
      <c r="M19" s="61">
        <f t="shared" si="3"/>
        <v>-0.19999999999999993</v>
      </c>
      <c r="N19" s="61">
        <f t="shared" si="3"/>
        <v>-0.20000608428460734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3552000</v>
      </c>
      <c r="H20" s="74">
        <f t="shared" si="1"/>
        <v>5328000</v>
      </c>
      <c r="I20" s="174">
        <v>3552000</v>
      </c>
      <c r="J20" s="65">
        <v>21708.278592683026</v>
      </c>
      <c r="K20" s="60">
        <f t="shared" si="2"/>
        <v>-888000</v>
      </c>
      <c r="L20" s="60">
        <f t="shared" si="2"/>
        <v>-3980.8815994486322</v>
      </c>
      <c r="M20" s="61">
        <f t="shared" si="3"/>
        <v>-0.2</v>
      </c>
      <c r="N20" s="61">
        <f t="shared" si="3"/>
        <v>-0.15496347757868464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18363200</v>
      </c>
      <c r="H21" s="74">
        <f t="shared" si="1"/>
        <v>27544800</v>
      </c>
      <c r="I21" s="174">
        <v>20693542.253712822</v>
      </c>
      <c r="J21" s="65">
        <v>1458270.4231757156</v>
      </c>
      <c r="K21" s="60">
        <f t="shared" si="2"/>
        <v>-2260457.7462871782</v>
      </c>
      <c r="L21" s="60">
        <f t="shared" si="2"/>
        <v>-137621.59118464729</v>
      </c>
      <c r="M21" s="61">
        <f t="shared" si="3"/>
        <v>-9.8477727031766937E-2</v>
      </c>
      <c r="N21" s="61">
        <f t="shared" si="3"/>
        <v>-8.623490182686723E-2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6255187.2000000002</v>
      </c>
      <c r="H22" s="74">
        <f t="shared" si="1"/>
        <v>9382780.7999999989</v>
      </c>
      <c r="I22" s="174">
        <v>6255187.2000000002</v>
      </c>
      <c r="J22" s="65">
        <v>309475.52118794719</v>
      </c>
      <c r="K22" s="60">
        <f t="shared" si="2"/>
        <v>-1563796.7999999998</v>
      </c>
      <c r="L22" s="60">
        <f t="shared" si="2"/>
        <v>-68807.719947315694</v>
      </c>
      <c r="M22" s="61">
        <f t="shared" si="3"/>
        <v>-0.19999999999999998</v>
      </c>
      <c r="N22" s="61">
        <f t="shared" si="3"/>
        <v>-0.18189470868658464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83212.009999999995</v>
      </c>
      <c r="G23" s="74">
        <f t="shared" si="0"/>
        <v>2828756</v>
      </c>
      <c r="H23" s="74">
        <f t="shared" si="1"/>
        <v>4243134</v>
      </c>
      <c r="I23" s="174">
        <v>2828756</v>
      </c>
      <c r="J23" s="65">
        <v>67205.139507486048</v>
      </c>
      <c r="K23" s="60">
        <f t="shared" si="2"/>
        <v>-707189</v>
      </c>
      <c r="L23" s="60">
        <f t="shared" si="2"/>
        <v>-16006.870492513946</v>
      </c>
      <c r="M23" s="61">
        <f t="shared" si="3"/>
        <v>-0.2</v>
      </c>
      <c r="N23" s="61">
        <f t="shared" si="3"/>
        <v>-0.19236250263049706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12560000</v>
      </c>
      <c r="H24" s="74">
        <f t="shared" si="1"/>
        <v>18840000</v>
      </c>
      <c r="I24" s="174">
        <v>12560000</v>
      </c>
      <c r="J24" s="65">
        <v>299069.07854793407</v>
      </c>
      <c r="K24" s="60">
        <f t="shared" si="2"/>
        <v>-3140000</v>
      </c>
      <c r="L24" s="60">
        <f t="shared" si="2"/>
        <v>-61763.658565467224</v>
      </c>
      <c r="M24" s="61">
        <f t="shared" si="3"/>
        <v>-0.2</v>
      </c>
      <c r="N24" s="61">
        <f t="shared" si="3"/>
        <v>-0.17116977539112907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79855579</v>
      </c>
      <c r="F25" s="77">
        <f t="shared" si="4"/>
        <v>7567899.9910694035</v>
      </c>
      <c r="G25" s="76">
        <f t="shared" si="4"/>
        <v>63884463.200000003</v>
      </c>
      <c r="H25" s="76">
        <f t="shared" si="4"/>
        <v>95826694.799999997</v>
      </c>
      <c r="I25" s="83">
        <f t="shared" si="4"/>
        <v>74855579.05371283</v>
      </c>
      <c r="J25" s="175">
        <f t="shared" si="4"/>
        <v>8237556.5178173138</v>
      </c>
      <c r="K25" s="76">
        <f>SUM(K17:K24)</f>
        <v>-4999999.9462871775</v>
      </c>
      <c r="L25" s="175">
        <f>SUM(L17:L24)</f>
        <v>669656.52674790961</v>
      </c>
      <c r="M25" s="79">
        <f>K25/E25</f>
        <v>-6.2613032287790152E-2</v>
      </c>
      <c r="N25" s="79">
        <f t="shared" si="3"/>
        <v>8.8486439770365133E-2</v>
      </c>
    </row>
    <row r="30" spans="1:14" ht="55.2" x14ac:dyDescent="0.3">
      <c r="A30" s="225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25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26" t="s">
        <v>2</v>
      </c>
      <c r="B32" s="219" t="s">
        <v>3</v>
      </c>
      <c r="C32" s="219" t="str">
        <f t="shared" ref="C32:D42" si="5">D15</f>
        <v>Response Scaling Factor for Sensitivity Analysis</v>
      </c>
      <c r="D32" s="227" t="s">
        <v>86</v>
      </c>
      <c r="E32" s="228"/>
      <c r="F32" s="228"/>
      <c r="G32" s="229"/>
      <c r="H32" s="230" t="s">
        <v>89</v>
      </c>
      <c r="I32" s="231"/>
      <c r="J32" s="231"/>
      <c r="K32" s="227" t="s">
        <v>189</v>
      </c>
      <c r="L32" s="228"/>
      <c r="M32" s="228"/>
      <c r="N32" s="229"/>
    </row>
    <row r="33" spans="1:14" ht="74.400000000000006" customHeight="1" x14ac:dyDescent="0.3">
      <c r="A33" s="218"/>
      <c r="B33" s="218"/>
      <c r="C33" s="218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7189798.7999999998</v>
      </c>
      <c r="I34" s="168">
        <f>J17/$D$31</f>
        <v>239856.72092273779</v>
      </c>
      <c r="J34" s="179">
        <f>I34*$F$31</f>
        <v>268159813.99162084</v>
      </c>
      <c r="K34" s="166">
        <f>H34-D34</f>
        <v>1198299.7999999998</v>
      </c>
      <c r="L34" s="166">
        <f>J34-G34</f>
        <v>44097751.399038702</v>
      </c>
      <c r="M34" s="182">
        <f>K34/D34</f>
        <v>0.19999999999999996</v>
      </c>
      <c r="N34" s="183">
        <f>L34/G34</f>
        <v>0.19681043229180117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18732522</v>
      </c>
      <c r="I35" s="169">
        <f t="shared" ref="I35:I40" si="9">J18/$D$31</f>
        <v>277175.40674512938</v>
      </c>
      <c r="J35" s="180">
        <f t="shared" ref="J35:J40" si="10">I35*$F$31</f>
        <v>309882104.74105465</v>
      </c>
      <c r="K35" s="167">
        <f t="shared" ref="K35:K42" si="11">H35-D35</f>
        <v>3122087</v>
      </c>
      <c r="L35" s="167">
        <f t="shared" ref="L35:L42" si="12">J35-G35</f>
        <v>51698297.236746222</v>
      </c>
      <c r="M35" s="184">
        <f t="shared" ref="M35:M42" si="13">K35/D35</f>
        <v>0.2</v>
      </c>
      <c r="N35" s="185">
        <f t="shared" ref="N35:N42" si="14">L35/G35</f>
        <v>0.20023834080254435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3043772.8000000003</v>
      </c>
      <c r="I36" s="169">
        <f t="shared" si="9"/>
        <v>10446.456617089221</v>
      </c>
      <c r="J36" s="180">
        <f t="shared" si="10"/>
        <v>11679138.49790575</v>
      </c>
      <c r="K36" s="167">
        <f t="shared" si="11"/>
        <v>-760943.19999999972</v>
      </c>
      <c r="L36" s="167">
        <f t="shared" si="12"/>
        <v>-2919895.6553249117</v>
      </c>
      <c r="M36" s="184">
        <f t="shared" si="13"/>
        <v>-0.19999999999999993</v>
      </c>
      <c r="N36" s="185">
        <f t="shared" si="14"/>
        <v>-0.20000608428460726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3552000</v>
      </c>
      <c r="I37" s="169">
        <f t="shared" si="9"/>
        <v>1882.7648389143997</v>
      </c>
      <c r="J37" s="180">
        <f t="shared" si="10"/>
        <v>2104931.089906299</v>
      </c>
      <c r="K37" s="167">
        <f t="shared" si="11"/>
        <v>-888000</v>
      </c>
      <c r="L37" s="167">
        <f t="shared" si="12"/>
        <v>-386003.9573446284</v>
      </c>
      <c r="M37" s="184">
        <f t="shared" si="13"/>
        <v>-0.2</v>
      </c>
      <c r="N37" s="185">
        <f t="shared" si="14"/>
        <v>-0.15496347757868445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20693542.253712822</v>
      </c>
      <c r="I38" s="169">
        <f t="shared" si="9"/>
        <v>126476.18587820604</v>
      </c>
      <c r="J38" s="180">
        <f t="shared" si="10"/>
        <v>141400375.81183437</v>
      </c>
      <c r="K38" s="167">
        <f t="shared" si="11"/>
        <v>-2260457.7462871782</v>
      </c>
      <c r="L38" s="167">
        <f t="shared" si="12"/>
        <v>-13344400.602292776</v>
      </c>
      <c r="M38" s="184">
        <f t="shared" si="13"/>
        <v>-9.8477727031766937E-2</v>
      </c>
      <c r="N38" s="185">
        <f t="shared" si="14"/>
        <v>-8.6234901826867244E-2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6255187.2000000002</v>
      </c>
      <c r="I39" s="169">
        <f t="shared" si="9"/>
        <v>26840.895159405656</v>
      </c>
      <c r="J39" s="180">
        <f t="shared" si="10"/>
        <v>30008120.788215525</v>
      </c>
      <c r="K39" s="167">
        <f t="shared" si="11"/>
        <v>-1563796.7999999998</v>
      </c>
      <c r="L39" s="167">
        <f t="shared" si="12"/>
        <v>-6671902.0729487315</v>
      </c>
      <c r="M39" s="184">
        <f t="shared" si="13"/>
        <v>-0.19999999999999998</v>
      </c>
      <c r="N39" s="185">
        <f t="shared" si="14"/>
        <v>-0.18189470868658447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7"/>
        <v>7217</v>
      </c>
      <c r="G40" s="171">
        <f t="shared" si="8"/>
        <v>8068606</v>
      </c>
      <c r="H40" s="177">
        <f t="shared" si="6"/>
        <v>2828756</v>
      </c>
      <c r="I40" s="169">
        <f t="shared" si="9"/>
        <v>5828.7198185157031</v>
      </c>
      <c r="J40" s="180">
        <f t="shared" si="10"/>
        <v>6516508.757100556</v>
      </c>
      <c r="K40" s="167">
        <f t="shared" si="11"/>
        <v>-707189</v>
      </c>
      <c r="L40" s="167">
        <f t="shared" si="12"/>
        <v>-1552097.242899444</v>
      </c>
      <c r="M40" s="184">
        <f t="shared" si="13"/>
        <v>-0.2</v>
      </c>
      <c r="N40" s="185">
        <f t="shared" si="14"/>
        <v>-0.19236250263049701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12560000</v>
      </c>
      <c r="I41" s="169">
        <f>J24</f>
        <v>299069.07854793407</v>
      </c>
      <c r="J41" s="180">
        <f>I41*$I$31</f>
        <v>34811640.742979527</v>
      </c>
      <c r="K41" s="167">
        <f t="shared" si="11"/>
        <v>-3140000</v>
      </c>
      <c r="L41" s="167">
        <f t="shared" si="12"/>
        <v>-7189289.8570203781</v>
      </c>
      <c r="M41" s="184">
        <f t="shared" si="13"/>
        <v>-0.2</v>
      </c>
      <c r="N41" s="185">
        <f t="shared" si="14"/>
        <v>-0.17116977539112893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79855579</v>
      </c>
      <c r="E42" s="77"/>
      <c r="F42" s="77"/>
      <c r="G42" s="172">
        <f>SUM(G34:G41)</f>
        <v>740830175.17266345</v>
      </c>
      <c r="H42" s="178">
        <f>SUM(H34:H41)</f>
        <v>74855579.05371283</v>
      </c>
      <c r="I42" s="77"/>
      <c r="J42" s="181">
        <f>SUM(J34:J41)</f>
        <v>804562634.42061758</v>
      </c>
      <c r="K42" s="76">
        <f t="shared" si="11"/>
        <v>-4999999.9462871701</v>
      </c>
      <c r="L42" s="200">
        <f t="shared" si="12"/>
        <v>63732459.24795413</v>
      </c>
      <c r="M42" s="79">
        <f t="shared" si="13"/>
        <v>-6.2613032287790069E-2</v>
      </c>
      <c r="N42" s="186">
        <f t="shared" si="14"/>
        <v>8.6028433214265551E-2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260282445.67870557</v>
      </c>
      <c r="I43" s="157"/>
      <c r="J43" s="189">
        <f>SUM(J34:J40)*$E$43 + (J41*$D$43)</f>
        <v>280513623.85160589</v>
      </c>
      <c r="L43" s="189">
        <f>SUM(L34:L40)*$E$43 + (L41*$D$43)</f>
        <v>20231178.172900308</v>
      </c>
      <c r="M43" s="201">
        <f>L43/L42</f>
        <v>0.31743915756004265</v>
      </c>
      <c r="N43" s="190">
        <f>N42*(L43/L42)</f>
        <v>2.7308793365746847E-2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291863833.45933878</v>
      </c>
      <c r="I44" s="157"/>
      <c r="J44" s="189">
        <f>SUM(J34:J40)*$E$44 + (J41*$D$44)</f>
        <v>316216242.27604944</v>
      </c>
      <c r="L44" s="189">
        <f>SUM(L34:L40)*$E$44 + (L41*$D$44)</f>
        <v>24352408.816710658</v>
      </c>
      <c r="M44" s="201">
        <f>L44/L42</f>
        <v>0.38210370514601461</v>
      </c>
      <c r="N44" s="190">
        <f>N42*(L44/L42)</f>
        <v>3.2871783079077337E-2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188683896.03461918</v>
      </c>
      <c r="I45" s="157"/>
      <c r="J45" s="189">
        <f>SUM(J34:J40)*$E$45 + (J41*$D$45)</f>
        <v>207832768.29296228</v>
      </c>
      <c r="L45" s="189">
        <f>SUM(L34:L40)*$E$45 + (L41*$D$45)</f>
        <v>19148872.258343101</v>
      </c>
      <c r="M45" s="201">
        <f>L45/L42</f>
        <v>0.30045713729394175</v>
      </c>
      <c r="N45" s="190">
        <f>N42*(L45/L42)</f>
        <v>2.5847856769441284E-2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K15:N15"/>
    <mergeCell ref="A30:A31"/>
    <mergeCell ref="A32:A33"/>
    <mergeCell ref="B32:B33"/>
    <mergeCell ref="C32:C33"/>
    <mergeCell ref="D32:G32"/>
    <mergeCell ref="H32:J32"/>
    <mergeCell ref="K32:N32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D34" workbookViewId="0">
      <selection activeCell="I17" sqref="I17:J2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07" t="s">
        <v>221</v>
      </c>
      <c r="C4" s="208"/>
      <c r="D4" s="208"/>
      <c r="E4" s="208"/>
      <c r="F4" s="208"/>
      <c r="G4" s="208"/>
      <c r="H4" s="208"/>
      <c r="I4" s="208"/>
    </row>
    <row r="5" spans="1:14" x14ac:dyDescent="0.3">
      <c r="A5" s="48" t="s">
        <v>79</v>
      </c>
      <c r="B5" s="162" t="s">
        <v>167</v>
      </c>
      <c r="E5" s="209" t="s">
        <v>50</v>
      </c>
      <c r="F5" s="210"/>
      <c r="G5" s="210"/>
      <c r="H5" s="210"/>
      <c r="I5" s="211"/>
    </row>
    <row r="6" spans="1:14" x14ac:dyDescent="0.3">
      <c r="A6" s="48" t="s">
        <v>80</v>
      </c>
      <c r="B6" s="162" t="s">
        <v>168</v>
      </c>
      <c r="E6" s="212" t="s">
        <v>51</v>
      </c>
      <c r="F6" s="213"/>
      <c r="G6" s="213"/>
      <c r="H6" s="213"/>
      <c r="I6" s="214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8536732.3369676471</v>
      </c>
    </row>
    <row r="10" spans="1:14" ht="14.4" thickBot="1" x14ac:dyDescent="0.35">
      <c r="A10" s="50"/>
    </row>
    <row r="11" spans="1:14" ht="27.6" x14ac:dyDescent="0.3">
      <c r="A11" s="215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16"/>
      <c r="B12" s="158">
        <f>79855579 - 0</f>
        <v>79855579</v>
      </c>
      <c r="C12" s="81">
        <f>1*B12 - 1</f>
        <v>79855578</v>
      </c>
      <c r="D12" s="82">
        <f>1*B12 + 1</f>
        <v>79855580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17" t="s">
        <v>2</v>
      </c>
      <c r="B15" s="219" t="s">
        <v>3</v>
      </c>
      <c r="C15" s="219" t="s">
        <v>38</v>
      </c>
      <c r="D15" s="219" t="s">
        <v>169</v>
      </c>
      <c r="E15" s="220" t="s">
        <v>86</v>
      </c>
      <c r="F15" s="221"/>
      <c r="G15" s="222" t="s">
        <v>179</v>
      </c>
      <c r="H15" s="223"/>
      <c r="I15" s="222" t="s">
        <v>89</v>
      </c>
      <c r="J15" s="223"/>
      <c r="K15" s="220" t="s">
        <v>90</v>
      </c>
      <c r="L15" s="224"/>
      <c r="M15" s="224"/>
      <c r="N15" s="221"/>
    </row>
    <row r="16" spans="1:14" ht="27.6" x14ac:dyDescent="0.3">
      <c r="A16" s="218"/>
      <c r="B16" s="218"/>
      <c r="C16" s="218"/>
      <c r="D16" s="218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4793199.2</v>
      </c>
      <c r="H17" s="73">
        <f>E17*$H$14</f>
        <v>7189798.7999999998</v>
      </c>
      <c r="I17" s="173">
        <v>7189798.7999999998</v>
      </c>
      <c r="J17" s="64">
        <v>2765547.9922391665</v>
      </c>
      <c r="K17" s="58">
        <f>I17-E17</f>
        <v>1198299.7999999998</v>
      </c>
      <c r="L17" s="58">
        <f>J17-F17</f>
        <v>454782.71344446903</v>
      </c>
      <c r="M17" s="59">
        <f>K17/E17</f>
        <v>0.19999999999999996</v>
      </c>
      <c r="N17" s="59">
        <f>L17/F17</f>
        <v>0.19681043229180123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v>3195832.4397713416</v>
      </c>
      <c r="K18" s="60">
        <f t="shared" ref="K18:L24" si="2">I18-E18</f>
        <v>3122087</v>
      </c>
      <c r="L18" s="60">
        <f t="shared" si="2"/>
        <v>533167.59135928797</v>
      </c>
      <c r="M18" s="61">
        <f t="shared" ref="M18:N25" si="3">K18/E18</f>
        <v>0.2</v>
      </c>
      <c r="N18" s="61">
        <f t="shared" si="3"/>
        <v>0.20023834080254438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3043772.8000000003</v>
      </c>
      <c r="H19" s="74">
        <f t="shared" si="1"/>
        <v>4565659.2</v>
      </c>
      <c r="I19" s="174">
        <v>3043772.8000000003</v>
      </c>
      <c r="J19" s="65">
        <v>120447.64479503871</v>
      </c>
      <c r="K19" s="60">
        <f t="shared" si="2"/>
        <v>-760943.19999999972</v>
      </c>
      <c r="L19" s="60">
        <f t="shared" si="2"/>
        <v>-30113.056266454601</v>
      </c>
      <c r="M19" s="61">
        <f t="shared" si="3"/>
        <v>-0.19999999999999993</v>
      </c>
      <c r="N19" s="61">
        <f t="shared" si="3"/>
        <v>-0.20000608428460734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3552000</v>
      </c>
      <c r="H20" s="74">
        <f t="shared" si="1"/>
        <v>5328000</v>
      </c>
      <c r="I20" s="174">
        <v>3552000</v>
      </c>
      <c r="J20" s="65">
        <v>21708.278592683026</v>
      </c>
      <c r="K20" s="60">
        <f t="shared" si="2"/>
        <v>-888000</v>
      </c>
      <c r="L20" s="60">
        <f t="shared" si="2"/>
        <v>-3980.8815994486322</v>
      </c>
      <c r="M20" s="61">
        <f t="shared" si="3"/>
        <v>-0.2</v>
      </c>
      <c r="N20" s="61">
        <f t="shared" si="3"/>
        <v>-0.15496347757868464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18363200</v>
      </c>
      <c r="H21" s="74">
        <f t="shared" si="1"/>
        <v>27544800</v>
      </c>
      <c r="I21" s="174">
        <v>25693542.200715207</v>
      </c>
      <c r="J21" s="65">
        <v>1757446.2423260482</v>
      </c>
      <c r="K21" s="60">
        <f t="shared" si="2"/>
        <v>2739542.2007152066</v>
      </c>
      <c r="L21" s="60">
        <f t="shared" si="2"/>
        <v>161554.22796568531</v>
      </c>
      <c r="M21" s="61">
        <f t="shared" si="3"/>
        <v>0.119349228923726</v>
      </c>
      <c r="N21" s="61">
        <f t="shared" si="3"/>
        <v>0.10123130294027857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6255187.2000000002</v>
      </c>
      <c r="H22" s="74">
        <f t="shared" si="1"/>
        <v>9382780.7999999989</v>
      </c>
      <c r="I22" s="174">
        <v>6255187.2000000002</v>
      </c>
      <c r="J22" s="65">
        <v>309475.52118794719</v>
      </c>
      <c r="K22" s="60">
        <f t="shared" si="2"/>
        <v>-1563796.7999999998</v>
      </c>
      <c r="L22" s="60">
        <f t="shared" si="2"/>
        <v>-68807.719947315694</v>
      </c>
      <c r="M22" s="61">
        <f t="shared" si="3"/>
        <v>-0.19999999999999998</v>
      </c>
      <c r="N22" s="61">
        <f t="shared" si="3"/>
        <v>-0.18189470868658464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83212.009999999995</v>
      </c>
      <c r="G23" s="74">
        <f t="shared" si="0"/>
        <v>2828756</v>
      </c>
      <c r="H23" s="74">
        <f t="shared" si="1"/>
        <v>4243134</v>
      </c>
      <c r="I23" s="174">
        <v>2828756</v>
      </c>
      <c r="J23" s="65">
        <v>67205.139507486048</v>
      </c>
      <c r="K23" s="60">
        <f t="shared" si="2"/>
        <v>-707189</v>
      </c>
      <c r="L23" s="60">
        <f t="shared" si="2"/>
        <v>-16006.870492513946</v>
      </c>
      <c r="M23" s="61">
        <f t="shared" si="3"/>
        <v>-0.2</v>
      </c>
      <c r="N23" s="61">
        <f t="shared" si="3"/>
        <v>-0.19236250263049706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12560000</v>
      </c>
      <c r="H24" s="74">
        <f t="shared" si="1"/>
        <v>18840000</v>
      </c>
      <c r="I24" s="174">
        <v>12560000</v>
      </c>
      <c r="J24" s="65">
        <v>299069.07854793407</v>
      </c>
      <c r="K24" s="60">
        <f t="shared" si="2"/>
        <v>-3140000</v>
      </c>
      <c r="L24" s="60">
        <f t="shared" si="2"/>
        <v>-61763.658565467224</v>
      </c>
      <c r="M24" s="61">
        <f t="shared" si="3"/>
        <v>-0.2</v>
      </c>
      <c r="N24" s="61">
        <f t="shared" si="3"/>
        <v>-0.17116977539112907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79855579</v>
      </c>
      <c r="F25" s="77">
        <f t="shared" si="4"/>
        <v>7567899.9910694035</v>
      </c>
      <c r="G25" s="76">
        <f t="shared" si="4"/>
        <v>63884463.200000003</v>
      </c>
      <c r="H25" s="76">
        <f t="shared" si="4"/>
        <v>95826694.799999997</v>
      </c>
      <c r="I25" s="83">
        <f t="shared" si="4"/>
        <v>79855579.000715211</v>
      </c>
      <c r="J25" s="175">
        <f t="shared" si="4"/>
        <v>8536732.3369676471</v>
      </c>
      <c r="K25" s="76">
        <f>SUM(K17:K24)</f>
        <v>7.1520637720823288E-4</v>
      </c>
      <c r="L25" s="175">
        <f>SUM(L17:L24)</f>
        <v>968832.34589824197</v>
      </c>
      <c r="M25" s="79">
        <f>K25/E25</f>
        <v>8.9562480939275747E-12</v>
      </c>
      <c r="N25" s="79">
        <f t="shared" si="3"/>
        <v>0.12801865075404337</v>
      </c>
    </row>
    <row r="30" spans="1:14" ht="55.2" x14ac:dyDescent="0.3">
      <c r="A30" s="225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25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26" t="s">
        <v>2</v>
      </c>
      <c r="B32" s="219" t="s">
        <v>3</v>
      </c>
      <c r="C32" s="219" t="str">
        <f t="shared" ref="C32:D42" si="5">D15</f>
        <v>Response Scaling Factor for Sensitivity Analysis</v>
      </c>
      <c r="D32" s="227" t="s">
        <v>86</v>
      </c>
      <c r="E32" s="228"/>
      <c r="F32" s="228"/>
      <c r="G32" s="229"/>
      <c r="H32" s="230" t="s">
        <v>89</v>
      </c>
      <c r="I32" s="231"/>
      <c r="J32" s="231"/>
      <c r="K32" s="227" t="s">
        <v>189</v>
      </c>
      <c r="L32" s="228"/>
      <c r="M32" s="228"/>
      <c r="N32" s="229"/>
    </row>
    <row r="33" spans="1:14" ht="74.400000000000006" customHeight="1" x14ac:dyDescent="0.3">
      <c r="A33" s="218"/>
      <c r="B33" s="218"/>
      <c r="C33" s="218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7189798.7999999998</v>
      </c>
      <c r="I34" s="168">
        <f>J17/$D$31</f>
        <v>239856.72092273779</v>
      </c>
      <c r="J34" s="179">
        <f>I34*$F$31</f>
        <v>268159813.99162084</v>
      </c>
      <c r="K34" s="166">
        <f>H34-D34</f>
        <v>1198299.7999999998</v>
      </c>
      <c r="L34" s="166">
        <f>J34-G34</f>
        <v>44097751.399038702</v>
      </c>
      <c r="M34" s="182">
        <f>K34/D34</f>
        <v>0.19999999999999996</v>
      </c>
      <c r="N34" s="183">
        <f>L34/G34</f>
        <v>0.19681043229180117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18732522</v>
      </c>
      <c r="I35" s="169">
        <f t="shared" ref="I35:I40" si="9">J18/$D$31</f>
        <v>277175.40674512938</v>
      </c>
      <c r="J35" s="180">
        <f t="shared" ref="J35:J40" si="10">I35*$F$31</f>
        <v>309882104.74105465</v>
      </c>
      <c r="K35" s="167">
        <f t="shared" ref="K35:K42" si="11">H35-D35</f>
        <v>3122087</v>
      </c>
      <c r="L35" s="167">
        <f t="shared" ref="L35:L42" si="12">J35-G35</f>
        <v>51698297.236746222</v>
      </c>
      <c r="M35" s="184">
        <f t="shared" ref="M35:M42" si="13">K35/D35</f>
        <v>0.2</v>
      </c>
      <c r="N35" s="185">
        <f t="shared" ref="N35:N42" si="14">L35/G35</f>
        <v>0.20023834080254435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3043772.8000000003</v>
      </c>
      <c r="I36" s="169">
        <f t="shared" si="9"/>
        <v>10446.456617089221</v>
      </c>
      <c r="J36" s="180">
        <f t="shared" si="10"/>
        <v>11679138.49790575</v>
      </c>
      <c r="K36" s="167">
        <f t="shared" si="11"/>
        <v>-760943.19999999972</v>
      </c>
      <c r="L36" s="167">
        <f t="shared" si="12"/>
        <v>-2919895.6553249117</v>
      </c>
      <c r="M36" s="184">
        <f t="shared" si="13"/>
        <v>-0.19999999999999993</v>
      </c>
      <c r="N36" s="185">
        <f t="shared" si="14"/>
        <v>-0.20000608428460726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3552000</v>
      </c>
      <c r="I37" s="169">
        <f t="shared" si="9"/>
        <v>1882.7648389143997</v>
      </c>
      <c r="J37" s="180">
        <f t="shared" si="10"/>
        <v>2104931.089906299</v>
      </c>
      <c r="K37" s="167">
        <f t="shared" si="11"/>
        <v>-888000</v>
      </c>
      <c r="L37" s="167">
        <f t="shared" si="12"/>
        <v>-386003.9573446284</v>
      </c>
      <c r="M37" s="184">
        <f t="shared" si="13"/>
        <v>-0.2</v>
      </c>
      <c r="N37" s="185">
        <f t="shared" si="14"/>
        <v>-0.15496347757868445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25693542.200715207</v>
      </c>
      <c r="I38" s="169">
        <f t="shared" si="9"/>
        <v>152423.785110672</v>
      </c>
      <c r="J38" s="180">
        <f t="shared" si="10"/>
        <v>170409791.75373131</v>
      </c>
      <c r="K38" s="167">
        <f t="shared" si="11"/>
        <v>2739542.2007152066</v>
      </c>
      <c r="L38" s="167">
        <f t="shared" si="12"/>
        <v>15665015.339604169</v>
      </c>
      <c r="M38" s="184">
        <f t="shared" si="13"/>
        <v>0.119349228923726</v>
      </c>
      <c r="N38" s="185">
        <f t="shared" si="14"/>
        <v>0.1012313029402785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6255187.2000000002</v>
      </c>
      <c r="I39" s="169">
        <f t="shared" si="9"/>
        <v>26840.895159405656</v>
      </c>
      <c r="J39" s="180">
        <f t="shared" si="10"/>
        <v>30008120.788215525</v>
      </c>
      <c r="K39" s="167">
        <f t="shared" si="11"/>
        <v>-1563796.7999999998</v>
      </c>
      <c r="L39" s="167">
        <f t="shared" si="12"/>
        <v>-6671902.0729487315</v>
      </c>
      <c r="M39" s="184">
        <f t="shared" si="13"/>
        <v>-0.19999999999999998</v>
      </c>
      <c r="N39" s="185">
        <f t="shared" si="14"/>
        <v>-0.18189470868658447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7"/>
        <v>7217</v>
      </c>
      <c r="G40" s="171">
        <f t="shared" si="8"/>
        <v>8068606</v>
      </c>
      <c r="H40" s="177">
        <f t="shared" si="6"/>
        <v>2828756</v>
      </c>
      <c r="I40" s="169">
        <f t="shared" si="9"/>
        <v>5828.7198185157031</v>
      </c>
      <c r="J40" s="180">
        <f t="shared" si="10"/>
        <v>6516508.757100556</v>
      </c>
      <c r="K40" s="167">
        <f t="shared" si="11"/>
        <v>-707189</v>
      </c>
      <c r="L40" s="167">
        <f t="shared" si="12"/>
        <v>-1552097.242899444</v>
      </c>
      <c r="M40" s="184">
        <f t="shared" si="13"/>
        <v>-0.2</v>
      </c>
      <c r="N40" s="185">
        <f t="shared" si="14"/>
        <v>-0.19236250263049701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12560000</v>
      </c>
      <c r="I41" s="169">
        <f>J24</f>
        <v>299069.07854793407</v>
      </c>
      <c r="J41" s="180">
        <f>I41*$I$31</f>
        <v>34811640.742979527</v>
      </c>
      <c r="K41" s="167">
        <f t="shared" si="11"/>
        <v>-3140000</v>
      </c>
      <c r="L41" s="167">
        <f t="shared" si="12"/>
        <v>-7189289.8570203781</v>
      </c>
      <c r="M41" s="184">
        <f t="shared" si="13"/>
        <v>-0.2</v>
      </c>
      <c r="N41" s="185">
        <f t="shared" si="14"/>
        <v>-0.17116977539112893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79855579</v>
      </c>
      <c r="E42" s="77"/>
      <c r="F42" s="77"/>
      <c r="G42" s="172">
        <f>SUM(G34:G41)</f>
        <v>740830175.17266345</v>
      </c>
      <c r="H42" s="178">
        <f>SUM(H34:H41)</f>
        <v>79855579.000715211</v>
      </c>
      <c r="I42" s="77"/>
      <c r="J42" s="181">
        <f>SUM(J34:J41)</f>
        <v>833572050.36251462</v>
      </c>
      <c r="K42" s="76">
        <f t="shared" si="11"/>
        <v>7.1521103382110596E-4</v>
      </c>
      <c r="L42" s="200">
        <f t="shared" si="12"/>
        <v>92741875.189851165</v>
      </c>
      <c r="M42" s="79">
        <f t="shared" si="13"/>
        <v>8.9563064068586369E-12</v>
      </c>
      <c r="N42" s="186">
        <f t="shared" si="14"/>
        <v>0.12518641693858656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260282445.67870557</v>
      </c>
      <c r="I43" s="157"/>
      <c r="J43" s="189">
        <f>SUM(J34:J40)*$E$43 + (J41*$D$43)</f>
        <v>290376825.27185088</v>
      </c>
      <c r="L43" s="189">
        <f>SUM(L34:L40)*$E$43 + (L41*$D$43)</f>
        <v>30094379.593145274</v>
      </c>
      <c r="M43" s="201">
        <f>L43/L42</f>
        <v>0.32449613005494343</v>
      </c>
      <c r="N43" s="190">
        <f>N42*(L43/L42)</f>
        <v>4.0622507832015958E-2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291863833.45933878</v>
      </c>
      <c r="I44" s="157"/>
      <c r="J44" s="189">
        <f>SUM(J34:J40)*$E$44 + (J41*$D$44)</f>
        <v>327529914.49338925</v>
      </c>
      <c r="L44" s="189">
        <f>SUM(L34:L40)*$E$44 + (L41*$D$44)</f>
        <v>35666081.034050472</v>
      </c>
      <c r="M44" s="201">
        <f>L44/L42</f>
        <v>0.38457364551922979</v>
      </c>
      <c r="N44" s="190">
        <f>N42*(L44/L42)</f>
        <v>4.8143396731562496E-2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188683896.03461918</v>
      </c>
      <c r="I45" s="157"/>
      <c r="J45" s="189">
        <f>SUM(J34:J40)*$E$45 + (J41*$D$45)</f>
        <v>215665310.59727448</v>
      </c>
      <c r="L45" s="189">
        <f>SUM(L34:L40)*$E$45 + (L41*$D$45)</f>
        <v>26981414.562655278</v>
      </c>
      <c r="M45" s="201">
        <f>L45/L42</f>
        <v>0.29093022442582528</v>
      </c>
      <c r="N45" s="190">
        <f>N42*(L45/L42)</f>
        <v>3.6420512375007923E-2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K15:N15"/>
    <mergeCell ref="A30:A31"/>
    <mergeCell ref="A32:A33"/>
    <mergeCell ref="B32:B33"/>
    <mergeCell ref="C32:C33"/>
    <mergeCell ref="D32:G32"/>
    <mergeCell ref="H32:J32"/>
    <mergeCell ref="K32:N32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D37" workbookViewId="0">
      <selection activeCell="I17" sqref="I17:J2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07" t="s">
        <v>221</v>
      </c>
      <c r="C4" s="208"/>
      <c r="D4" s="208"/>
      <c r="E4" s="208"/>
      <c r="F4" s="208"/>
      <c r="G4" s="208"/>
      <c r="H4" s="208"/>
      <c r="I4" s="208"/>
    </row>
    <row r="5" spans="1:14" x14ac:dyDescent="0.3">
      <c r="A5" s="48" t="s">
        <v>79</v>
      </c>
      <c r="B5" s="162" t="s">
        <v>167</v>
      </c>
      <c r="E5" s="209" t="s">
        <v>50</v>
      </c>
      <c r="F5" s="210"/>
      <c r="G5" s="210"/>
      <c r="H5" s="210"/>
      <c r="I5" s="211"/>
    </row>
    <row r="6" spans="1:14" x14ac:dyDescent="0.3">
      <c r="A6" s="48" t="s">
        <v>80</v>
      </c>
      <c r="B6" s="162" t="s">
        <v>168</v>
      </c>
      <c r="E6" s="212" t="s">
        <v>51</v>
      </c>
      <c r="F6" s="213"/>
      <c r="G6" s="213"/>
      <c r="H6" s="213"/>
      <c r="I6" s="214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8778052.7579346187</v>
      </c>
    </row>
    <row r="10" spans="1:14" ht="14.4" thickBot="1" x14ac:dyDescent="0.35">
      <c r="A10" s="50"/>
    </row>
    <row r="11" spans="1:14" ht="27.6" x14ac:dyDescent="0.3">
      <c r="A11" s="215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16"/>
      <c r="B12" s="158">
        <f>79855579 + 5000000</f>
        <v>84855579</v>
      </c>
      <c r="C12" s="81">
        <f>1*B12 - 1</f>
        <v>84855578</v>
      </c>
      <c r="D12" s="82">
        <f>1*B12 + 1</f>
        <v>84855580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17" t="s">
        <v>2</v>
      </c>
      <c r="B15" s="219" t="s">
        <v>3</v>
      </c>
      <c r="C15" s="219" t="s">
        <v>38</v>
      </c>
      <c r="D15" s="219" t="s">
        <v>169</v>
      </c>
      <c r="E15" s="220" t="s">
        <v>86</v>
      </c>
      <c r="F15" s="221"/>
      <c r="G15" s="222" t="s">
        <v>179</v>
      </c>
      <c r="H15" s="223"/>
      <c r="I15" s="222" t="s">
        <v>89</v>
      </c>
      <c r="J15" s="223"/>
      <c r="K15" s="220" t="s">
        <v>90</v>
      </c>
      <c r="L15" s="224"/>
      <c r="M15" s="224"/>
      <c r="N15" s="221"/>
    </row>
    <row r="16" spans="1:14" ht="27.6" x14ac:dyDescent="0.3">
      <c r="A16" s="218"/>
      <c r="B16" s="218"/>
      <c r="C16" s="218"/>
      <c r="D16" s="218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4793199.2</v>
      </c>
      <c r="H17" s="73">
        <f>E17*$H$14</f>
        <v>7189798.7999999998</v>
      </c>
      <c r="I17" s="173">
        <v>7189798.7999999998</v>
      </c>
      <c r="J17" s="64">
        <v>2765547.9922391665</v>
      </c>
      <c r="K17" s="58">
        <f>I17-E17</f>
        <v>1198299.7999999998</v>
      </c>
      <c r="L17" s="58">
        <f>J17-F17</f>
        <v>454782.71344446903</v>
      </c>
      <c r="M17" s="59">
        <f>K17/E17</f>
        <v>0.19999999999999996</v>
      </c>
      <c r="N17" s="59">
        <f>L17/F17</f>
        <v>0.19681043229180123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v>3195832.4397713416</v>
      </c>
      <c r="K18" s="60">
        <f t="shared" ref="K18:L24" si="2">I18-E18</f>
        <v>3122087</v>
      </c>
      <c r="L18" s="60">
        <f t="shared" si="2"/>
        <v>533167.59135928797</v>
      </c>
      <c r="M18" s="61">
        <f t="shared" ref="M18:N25" si="3">K18/E18</f>
        <v>0.2</v>
      </c>
      <c r="N18" s="61">
        <f t="shared" si="3"/>
        <v>0.20023834080254438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3043772.8000000003</v>
      </c>
      <c r="H19" s="74">
        <f t="shared" si="1"/>
        <v>4565659.2</v>
      </c>
      <c r="I19" s="174">
        <v>3064921.5019312915</v>
      </c>
      <c r="J19" s="65">
        <v>121284.56316488559</v>
      </c>
      <c r="K19" s="60">
        <f t="shared" si="2"/>
        <v>-739794.49806870846</v>
      </c>
      <c r="L19" s="60">
        <f t="shared" si="2"/>
        <v>-29276.137896607717</v>
      </c>
      <c r="M19" s="61">
        <f t="shared" si="3"/>
        <v>-0.19444145057573509</v>
      </c>
      <c r="N19" s="61">
        <f t="shared" si="3"/>
        <v>-0.19444740686117357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3552000</v>
      </c>
      <c r="H20" s="74">
        <f t="shared" si="1"/>
        <v>5328000</v>
      </c>
      <c r="I20" s="174">
        <v>3552000</v>
      </c>
      <c r="J20" s="65">
        <v>21708.278592683026</v>
      </c>
      <c r="K20" s="60">
        <f t="shared" si="2"/>
        <v>-888000</v>
      </c>
      <c r="L20" s="60">
        <f t="shared" si="2"/>
        <v>-3980.8815994486322</v>
      </c>
      <c r="M20" s="61">
        <f t="shared" si="3"/>
        <v>-0.2</v>
      </c>
      <c r="N20" s="61">
        <f t="shared" si="3"/>
        <v>-0.15496347757868464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18363200</v>
      </c>
      <c r="H21" s="74">
        <f t="shared" si="1"/>
        <v>27544800</v>
      </c>
      <c r="I21" s="174">
        <v>27544800</v>
      </c>
      <c r="J21" s="65">
        <v>1863447.2728889734</v>
      </c>
      <c r="K21" s="60">
        <f t="shared" si="2"/>
        <v>4590800</v>
      </c>
      <c r="L21" s="60">
        <f t="shared" si="2"/>
        <v>267555.25852861046</v>
      </c>
      <c r="M21" s="61">
        <f t="shared" si="3"/>
        <v>0.2</v>
      </c>
      <c r="N21" s="61">
        <f t="shared" si="3"/>
        <v>0.16765248282531647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6255187.2000000002</v>
      </c>
      <c r="H22" s="74">
        <f t="shared" si="1"/>
        <v>9382780.7999999989</v>
      </c>
      <c r="I22" s="174">
        <v>9382780.7999999989</v>
      </c>
      <c r="J22" s="65">
        <v>443957.99322214938</v>
      </c>
      <c r="K22" s="60">
        <f t="shared" si="2"/>
        <v>1563796.7999999989</v>
      </c>
      <c r="L22" s="60">
        <f t="shared" si="2"/>
        <v>65674.752086886496</v>
      </c>
      <c r="M22" s="61">
        <f t="shared" si="3"/>
        <v>0.19999999999999984</v>
      </c>
      <c r="N22" s="61">
        <f t="shared" si="3"/>
        <v>0.17361263980341954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83212.009999999995</v>
      </c>
      <c r="G23" s="74">
        <f t="shared" si="0"/>
        <v>2828756</v>
      </c>
      <c r="H23" s="74">
        <f t="shared" si="1"/>
        <v>4243134</v>
      </c>
      <c r="I23" s="174">
        <v>2828756</v>
      </c>
      <c r="J23" s="65">
        <v>67205.139507486048</v>
      </c>
      <c r="K23" s="60">
        <f t="shared" si="2"/>
        <v>-707189</v>
      </c>
      <c r="L23" s="60">
        <f t="shared" si="2"/>
        <v>-16006.870492513946</v>
      </c>
      <c r="M23" s="61">
        <f t="shared" si="3"/>
        <v>-0.2</v>
      </c>
      <c r="N23" s="61">
        <f t="shared" si="3"/>
        <v>-0.19236250263049706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12560000</v>
      </c>
      <c r="H24" s="74">
        <f t="shared" si="1"/>
        <v>18840000</v>
      </c>
      <c r="I24" s="174">
        <v>12560000</v>
      </c>
      <c r="J24" s="65">
        <v>299069.07854793407</v>
      </c>
      <c r="K24" s="60">
        <f t="shared" si="2"/>
        <v>-3140000</v>
      </c>
      <c r="L24" s="60">
        <f t="shared" si="2"/>
        <v>-61763.658565467224</v>
      </c>
      <c r="M24" s="61">
        <f t="shared" si="3"/>
        <v>-0.2</v>
      </c>
      <c r="N24" s="61">
        <f t="shared" si="3"/>
        <v>-0.17116977539112907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79855579</v>
      </c>
      <c r="F25" s="77">
        <f t="shared" si="4"/>
        <v>7567899.9910694035</v>
      </c>
      <c r="G25" s="76">
        <f t="shared" si="4"/>
        <v>63884463.200000003</v>
      </c>
      <c r="H25" s="76">
        <f t="shared" si="4"/>
        <v>95826694.799999997</v>
      </c>
      <c r="I25" s="83">
        <f t="shared" si="4"/>
        <v>84855579.101931289</v>
      </c>
      <c r="J25" s="175">
        <f t="shared" si="4"/>
        <v>8778052.7579346187</v>
      </c>
      <c r="K25" s="76">
        <f>SUM(K17:K24)</f>
        <v>5000000.1019312907</v>
      </c>
      <c r="L25" s="175">
        <f>SUM(L17:L24)</f>
        <v>1210152.7668652162</v>
      </c>
      <c r="M25" s="79">
        <f>K25/E25</f>
        <v>6.2613034236860154E-2</v>
      </c>
      <c r="N25" s="79">
        <f t="shared" si="3"/>
        <v>0.15990601993859227</v>
      </c>
    </row>
    <row r="30" spans="1:14" ht="55.2" x14ac:dyDescent="0.3">
      <c r="A30" s="225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25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26" t="s">
        <v>2</v>
      </c>
      <c r="B32" s="219" t="s">
        <v>3</v>
      </c>
      <c r="C32" s="219" t="str">
        <f t="shared" ref="C32:D42" si="5">D15</f>
        <v>Response Scaling Factor for Sensitivity Analysis</v>
      </c>
      <c r="D32" s="227" t="s">
        <v>86</v>
      </c>
      <c r="E32" s="228"/>
      <c r="F32" s="228"/>
      <c r="G32" s="229"/>
      <c r="H32" s="230" t="s">
        <v>89</v>
      </c>
      <c r="I32" s="231"/>
      <c r="J32" s="231"/>
      <c r="K32" s="227" t="s">
        <v>189</v>
      </c>
      <c r="L32" s="228"/>
      <c r="M32" s="228"/>
      <c r="N32" s="229"/>
    </row>
    <row r="33" spans="1:14" ht="74.400000000000006" customHeight="1" x14ac:dyDescent="0.3">
      <c r="A33" s="218"/>
      <c r="B33" s="218"/>
      <c r="C33" s="218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7189798.7999999998</v>
      </c>
      <c r="I34" s="168">
        <f>J17/$D$31</f>
        <v>239856.72092273779</v>
      </c>
      <c r="J34" s="179">
        <f>I34*$F$31</f>
        <v>268159813.99162084</v>
      </c>
      <c r="K34" s="166">
        <f>H34-D34</f>
        <v>1198299.7999999998</v>
      </c>
      <c r="L34" s="166">
        <f>J34-G34</f>
        <v>44097751.399038702</v>
      </c>
      <c r="M34" s="182">
        <f>K34/D34</f>
        <v>0.19999999999999996</v>
      </c>
      <c r="N34" s="183">
        <f>L34/G34</f>
        <v>0.19681043229180117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18732522</v>
      </c>
      <c r="I35" s="169">
        <f t="shared" ref="I35:I40" si="9">J18/$D$31</f>
        <v>277175.40674512938</v>
      </c>
      <c r="J35" s="180">
        <f t="shared" ref="J35:J40" si="10">I35*$F$31</f>
        <v>309882104.74105465</v>
      </c>
      <c r="K35" s="167">
        <f t="shared" ref="K35:K42" si="11">H35-D35</f>
        <v>3122087</v>
      </c>
      <c r="L35" s="167">
        <f t="shared" ref="L35:L42" si="12">J35-G35</f>
        <v>51698297.236746222</v>
      </c>
      <c r="M35" s="184">
        <f t="shared" ref="M35:M42" si="13">K35/D35</f>
        <v>0.2</v>
      </c>
      <c r="N35" s="185">
        <f t="shared" ref="N35:N42" si="14">L35/G35</f>
        <v>0.20023834080254435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3064921.5019312915</v>
      </c>
      <c r="I36" s="169">
        <f t="shared" si="9"/>
        <v>10519.042772323122</v>
      </c>
      <c r="J36" s="180">
        <f t="shared" si="10"/>
        <v>11760289.819457252</v>
      </c>
      <c r="K36" s="167">
        <f t="shared" si="11"/>
        <v>-739794.49806870846</v>
      </c>
      <c r="L36" s="167">
        <f t="shared" si="12"/>
        <v>-2838744.3337734099</v>
      </c>
      <c r="M36" s="184">
        <f t="shared" si="13"/>
        <v>-0.19444145057573509</v>
      </c>
      <c r="N36" s="185">
        <f t="shared" si="14"/>
        <v>-0.19444740686117351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3552000</v>
      </c>
      <c r="I37" s="169">
        <f t="shared" si="9"/>
        <v>1882.7648389143997</v>
      </c>
      <c r="J37" s="180">
        <f t="shared" si="10"/>
        <v>2104931.089906299</v>
      </c>
      <c r="K37" s="167">
        <f t="shared" si="11"/>
        <v>-888000</v>
      </c>
      <c r="L37" s="167">
        <f t="shared" si="12"/>
        <v>-386003.9573446284</v>
      </c>
      <c r="M37" s="184">
        <f t="shared" si="13"/>
        <v>-0.2</v>
      </c>
      <c r="N37" s="185">
        <f t="shared" si="14"/>
        <v>-0.15496347757868445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27544800</v>
      </c>
      <c r="I38" s="169">
        <f t="shared" si="9"/>
        <v>161617.28299123794</v>
      </c>
      <c r="J38" s="180">
        <f t="shared" si="10"/>
        <v>180688122.38420403</v>
      </c>
      <c r="K38" s="167">
        <f t="shared" si="11"/>
        <v>4590800</v>
      </c>
      <c r="L38" s="167">
        <f t="shared" si="12"/>
        <v>25943345.970076889</v>
      </c>
      <c r="M38" s="184">
        <f t="shared" si="13"/>
        <v>0.2</v>
      </c>
      <c r="N38" s="185">
        <f t="shared" si="14"/>
        <v>0.16765248282531647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9382780.7999999989</v>
      </c>
      <c r="I39" s="169">
        <f t="shared" si="9"/>
        <v>38504.59611640498</v>
      </c>
      <c r="J39" s="180">
        <f t="shared" si="10"/>
        <v>43048138.458140768</v>
      </c>
      <c r="K39" s="167">
        <f t="shared" si="11"/>
        <v>1563796.7999999989</v>
      </c>
      <c r="L39" s="167">
        <f t="shared" si="12"/>
        <v>6368115.5969765112</v>
      </c>
      <c r="M39" s="184">
        <f t="shared" si="13"/>
        <v>0.19999999999999984</v>
      </c>
      <c r="N39" s="185">
        <f t="shared" si="14"/>
        <v>0.17361263980341973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7"/>
        <v>7217</v>
      </c>
      <c r="G40" s="171">
        <f t="shared" si="8"/>
        <v>8068606</v>
      </c>
      <c r="H40" s="177">
        <f t="shared" si="6"/>
        <v>2828756</v>
      </c>
      <c r="I40" s="169">
        <f t="shared" si="9"/>
        <v>5828.7198185157031</v>
      </c>
      <c r="J40" s="180">
        <f t="shared" si="10"/>
        <v>6516508.757100556</v>
      </c>
      <c r="K40" s="167">
        <f t="shared" si="11"/>
        <v>-707189</v>
      </c>
      <c r="L40" s="167">
        <f t="shared" si="12"/>
        <v>-1552097.242899444</v>
      </c>
      <c r="M40" s="184">
        <f t="shared" si="13"/>
        <v>-0.2</v>
      </c>
      <c r="N40" s="185">
        <f t="shared" si="14"/>
        <v>-0.19236250263049701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12560000</v>
      </c>
      <c r="I41" s="169">
        <f>J24</f>
        <v>299069.07854793407</v>
      </c>
      <c r="J41" s="180">
        <f>I41*$I$31</f>
        <v>34811640.742979527</v>
      </c>
      <c r="K41" s="167">
        <f t="shared" si="11"/>
        <v>-3140000</v>
      </c>
      <c r="L41" s="167">
        <f t="shared" si="12"/>
        <v>-7189289.8570203781</v>
      </c>
      <c r="M41" s="184">
        <f t="shared" si="13"/>
        <v>-0.2</v>
      </c>
      <c r="N41" s="185">
        <f t="shared" si="14"/>
        <v>-0.17116977539112893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79855579</v>
      </c>
      <c r="E42" s="77"/>
      <c r="F42" s="77"/>
      <c r="G42" s="172">
        <f>SUM(G34:G41)</f>
        <v>740830175.17266345</v>
      </c>
      <c r="H42" s="178">
        <f>SUM(H34:H41)</f>
        <v>84855579.101931289</v>
      </c>
      <c r="I42" s="77"/>
      <c r="J42" s="181">
        <f>SUM(J34:J41)</f>
        <v>856971549.98446405</v>
      </c>
      <c r="K42" s="76">
        <f t="shared" si="11"/>
        <v>5000000.1019312888</v>
      </c>
      <c r="L42" s="200">
        <f t="shared" si="12"/>
        <v>116141374.8118006</v>
      </c>
      <c r="M42" s="79">
        <f t="shared" si="13"/>
        <v>6.2613034236860127E-2</v>
      </c>
      <c r="N42" s="186">
        <f t="shared" si="14"/>
        <v>0.15677192790470748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260282445.67870557</v>
      </c>
      <c r="I43" s="157"/>
      <c r="J43" s="189">
        <f>SUM(J34:J40)*$E$43 + (J41*$D$43)</f>
        <v>298332655.14331371</v>
      </c>
      <c r="L43" s="189">
        <f>SUM(L34:L40)*$E$43 + (L41*$D$43)</f>
        <v>38050209.464608088</v>
      </c>
      <c r="M43" s="201">
        <f>L43/L42</f>
        <v>0.32761976105643603</v>
      </c>
      <c r="N43" s="190">
        <f>N42*(L43/L42)</f>
        <v>5.1361581560497083E-2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291863833.45933878</v>
      </c>
      <c r="I44" s="157"/>
      <c r="J44" s="189">
        <f>SUM(J34:J40)*$E$44 + (J41*$D$44)</f>
        <v>336655719.34594953</v>
      </c>
      <c r="L44" s="189">
        <f>SUM(L34:L40)*$E$44 + (L41*$D$44)</f>
        <v>44791885.886610761</v>
      </c>
      <c r="M44" s="201">
        <f>L44/L42</f>
        <v>0.38566691636975231</v>
      </c>
      <c r="N44" s="190">
        <f>N42*(L44/L42)</f>
        <v>6.0461746008349658E-2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188683896.03461918</v>
      </c>
      <c r="I45" s="157"/>
      <c r="J45" s="189">
        <f>SUM(J34:J40)*$E$45 + (J41*$D$45)</f>
        <v>221983175.49520084</v>
      </c>
      <c r="L45" s="189">
        <f>SUM(L34:L40)*$E$45 + (L41*$D$45)</f>
        <v>33299279.460581634</v>
      </c>
      <c r="M45" s="201">
        <f>L45/L42</f>
        <v>0.28671332257381066</v>
      </c>
      <c r="N45" s="190">
        <f>N42*(L45/L42)</f>
        <v>4.4948600335860588E-2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K15:N15"/>
    <mergeCell ref="A30:A31"/>
    <mergeCell ref="A32:A33"/>
    <mergeCell ref="B32:B33"/>
    <mergeCell ref="C32:C33"/>
    <mergeCell ref="D32:G32"/>
    <mergeCell ref="H32:J32"/>
    <mergeCell ref="K32:N32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D31" workbookViewId="0">
      <selection activeCell="H11" sqref="H11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07" t="s">
        <v>221</v>
      </c>
      <c r="C4" s="208"/>
      <c r="D4" s="208"/>
      <c r="E4" s="208"/>
      <c r="F4" s="208"/>
      <c r="G4" s="208"/>
      <c r="H4" s="208"/>
      <c r="I4" s="208"/>
    </row>
    <row r="5" spans="1:14" x14ac:dyDescent="0.3">
      <c r="A5" s="48" t="s">
        <v>79</v>
      </c>
      <c r="B5" s="162" t="s">
        <v>167</v>
      </c>
      <c r="E5" s="209" t="s">
        <v>50</v>
      </c>
      <c r="F5" s="210"/>
      <c r="G5" s="210"/>
      <c r="H5" s="210"/>
      <c r="I5" s="211"/>
    </row>
    <row r="6" spans="1:14" x14ac:dyDescent="0.3">
      <c r="A6" s="48" t="s">
        <v>80</v>
      </c>
      <c r="B6" s="162" t="s">
        <v>168</v>
      </c>
      <c r="E6" s="212" t="s">
        <v>51</v>
      </c>
      <c r="F6" s="213"/>
      <c r="G6" s="213"/>
      <c r="H6" s="213"/>
      <c r="I6" s="214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8910682.4928800389</v>
      </c>
    </row>
    <row r="10" spans="1:14" ht="14.4" thickBot="1" x14ac:dyDescent="0.35">
      <c r="A10" s="50"/>
    </row>
    <row r="11" spans="1:14" ht="27.6" x14ac:dyDescent="0.3">
      <c r="A11" s="215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16"/>
      <c r="B12" s="158">
        <f>79855579 + 10000000</f>
        <v>89855579</v>
      </c>
      <c r="C12" s="81">
        <f>1*B12 - 1</f>
        <v>89855578</v>
      </c>
      <c r="D12" s="82">
        <f>1*B12 + 1</f>
        <v>89855580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17" t="s">
        <v>2</v>
      </c>
      <c r="B15" s="219" t="s">
        <v>3</v>
      </c>
      <c r="C15" s="219" t="s">
        <v>38</v>
      </c>
      <c r="D15" s="219" t="s">
        <v>169</v>
      </c>
      <c r="E15" s="220" t="s">
        <v>86</v>
      </c>
      <c r="F15" s="221"/>
      <c r="G15" s="222" t="s">
        <v>179</v>
      </c>
      <c r="H15" s="223"/>
      <c r="I15" s="222" t="s">
        <v>89</v>
      </c>
      <c r="J15" s="223"/>
      <c r="K15" s="220" t="s">
        <v>90</v>
      </c>
      <c r="L15" s="224"/>
      <c r="M15" s="224"/>
      <c r="N15" s="221"/>
    </row>
    <row r="16" spans="1:14" ht="27.6" x14ac:dyDescent="0.3">
      <c r="A16" s="218"/>
      <c r="B16" s="218"/>
      <c r="C16" s="218"/>
      <c r="D16" s="218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4793199.2</v>
      </c>
      <c r="H17" s="73">
        <f>E17*$H$14</f>
        <v>7189798.7999999998</v>
      </c>
      <c r="I17" s="173">
        <v>7189798.7999999998</v>
      </c>
      <c r="J17" s="64">
        <v>2765547.9922391665</v>
      </c>
      <c r="K17" s="58">
        <f>I17-E17</f>
        <v>1198299.7999999998</v>
      </c>
      <c r="L17" s="58">
        <f>J17-F17</f>
        <v>454782.71344446903</v>
      </c>
      <c r="M17" s="59">
        <f>K17/E17</f>
        <v>0.19999999999999996</v>
      </c>
      <c r="N17" s="59">
        <f>L17/F17</f>
        <v>0.19681043229180123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v>3195832.4397713416</v>
      </c>
      <c r="K18" s="60">
        <f t="shared" ref="K18:L24" si="2">I18-E18</f>
        <v>3122087</v>
      </c>
      <c r="L18" s="60">
        <f t="shared" si="2"/>
        <v>533167.59135928797</v>
      </c>
      <c r="M18" s="61">
        <f t="shared" ref="M18:N25" si="3">K18/E18</f>
        <v>0.2</v>
      </c>
      <c r="N18" s="61">
        <f t="shared" si="3"/>
        <v>0.20023834080254438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3043772.8000000003</v>
      </c>
      <c r="H19" s="74">
        <f t="shared" si="1"/>
        <v>4565659.2</v>
      </c>
      <c r="I19" s="174">
        <v>4565659.2</v>
      </c>
      <c r="J19" s="65">
        <v>180674.2153550259</v>
      </c>
      <c r="K19" s="60">
        <f t="shared" si="2"/>
        <v>760943.20000000019</v>
      </c>
      <c r="L19" s="60">
        <f t="shared" si="2"/>
        <v>30113.514293532586</v>
      </c>
      <c r="M19" s="61">
        <f t="shared" si="3"/>
        <v>0.20000000000000004</v>
      </c>
      <c r="N19" s="61">
        <f t="shared" si="3"/>
        <v>0.20000912642691113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3552000</v>
      </c>
      <c r="H20" s="74">
        <f t="shared" si="1"/>
        <v>5328000</v>
      </c>
      <c r="I20" s="174">
        <v>3552000</v>
      </c>
      <c r="J20" s="65">
        <v>21708.278592683026</v>
      </c>
      <c r="K20" s="60">
        <f t="shared" si="2"/>
        <v>-888000</v>
      </c>
      <c r="L20" s="60">
        <f t="shared" si="2"/>
        <v>-3980.8815994486322</v>
      </c>
      <c r="M20" s="61">
        <f t="shared" si="3"/>
        <v>-0.2</v>
      </c>
      <c r="N20" s="61">
        <f t="shared" si="3"/>
        <v>-0.15496347757868464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18363200</v>
      </c>
      <c r="H21" s="74">
        <f t="shared" si="1"/>
        <v>27544800</v>
      </c>
      <c r="I21" s="174">
        <v>27544800</v>
      </c>
      <c r="J21" s="65">
        <v>1863447.2728889734</v>
      </c>
      <c r="K21" s="60">
        <f t="shared" si="2"/>
        <v>4590800</v>
      </c>
      <c r="L21" s="60">
        <f t="shared" si="2"/>
        <v>267555.25852861046</v>
      </c>
      <c r="M21" s="61">
        <f t="shared" si="3"/>
        <v>0.2</v>
      </c>
      <c r="N21" s="61">
        <f t="shared" si="3"/>
        <v>0.16765248282531647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6255187.2000000002</v>
      </c>
      <c r="H22" s="74">
        <f t="shared" si="1"/>
        <v>9382780.7999999989</v>
      </c>
      <c r="I22" s="174">
        <v>9382780.7999999989</v>
      </c>
      <c r="J22" s="65">
        <v>443957.99322214938</v>
      </c>
      <c r="K22" s="60">
        <f t="shared" si="2"/>
        <v>1563796.7999999989</v>
      </c>
      <c r="L22" s="60">
        <f t="shared" si="2"/>
        <v>65674.752086886496</v>
      </c>
      <c r="M22" s="61">
        <f t="shared" si="3"/>
        <v>0.19999999999999984</v>
      </c>
      <c r="N22" s="61">
        <f t="shared" si="3"/>
        <v>0.17361263980341954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83212.009999999995</v>
      </c>
      <c r="G23" s="74">
        <f t="shared" si="0"/>
        <v>2828756</v>
      </c>
      <c r="H23" s="74">
        <f t="shared" si="1"/>
        <v>4243134</v>
      </c>
      <c r="I23" s="174">
        <v>4243134</v>
      </c>
      <c r="J23" s="65">
        <v>98912.855944764</v>
      </c>
      <c r="K23" s="60">
        <f t="shared" si="2"/>
        <v>707189</v>
      </c>
      <c r="L23" s="60">
        <f t="shared" si="2"/>
        <v>15700.845944764005</v>
      </c>
      <c r="M23" s="61">
        <f t="shared" si="3"/>
        <v>0.2</v>
      </c>
      <c r="N23" s="61">
        <f t="shared" si="3"/>
        <v>0.18868485384217984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12560000</v>
      </c>
      <c r="H24" s="74">
        <f t="shared" si="1"/>
        <v>18840000</v>
      </c>
      <c r="I24" s="174">
        <v>14644884.194358401</v>
      </c>
      <c r="J24" s="65">
        <v>340601.44486593455</v>
      </c>
      <c r="K24" s="60">
        <f t="shared" si="2"/>
        <v>-1055115.805641599</v>
      </c>
      <c r="L24" s="60">
        <f t="shared" si="2"/>
        <v>-20231.292247466743</v>
      </c>
      <c r="M24" s="61">
        <f t="shared" si="3"/>
        <v>-6.7204828384815229E-2</v>
      </c>
      <c r="N24" s="61">
        <f t="shared" si="3"/>
        <v>-5.6068339057352548E-2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79855579</v>
      </c>
      <c r="F25" s="77">
        <f t="shared" si="4"/>
        <v>7567899.9910694035</v>
      </c>
      <c r="G25" s="76">
        <f t="shared" si="4"/>
        <v>63884463.200000003</v>
      </c>
      <c r="H25" s="76">
        <f t="shared" si="4"/>
        <v>95826694.799999997</v>
      </c>
      <c r="I25" s="83">
        <f t="shared" si="4"/>
        <v>89855578.994358391</v>
      </c>
      <c r="J25" s="175">
        <f t="shared" si="4"/>
        <v>8910682.4928800389</v>
      </c>
      <c r="K25" s="76">
        <f>SUM(K17:K24)</f>
        <v>9999999.9943583999</v>
      </c>
      <c r="L25" s="175">
        <f>SUM(L17:L24)</f>
        <v>1342782.5018106352</v>
      </c>
      <c r="M25" s="79">
        <f>K25/E25</f>
        <v>0.12522606585018187</v>
      </c>
      <c r="N25" s="79">
        <f t="shared" si="3"/>
        <v>0.17743132221556876</v>
      </c>
    </row>
    <row r="30" spans="1:14" ht="55.2" x14ac:dyDescent="0.3">
      <c r="A30" s="225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25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26" t="s">
        <v>2</v>
      </c>
      <c r="B32" s="219" t="s">
        <v>3</v>
      </c>
      <c r="C32" s="219" t="str">
        <f t="shared" ref="C32:D42" si="5">D15</f>
        <v>Response Scaling Factor for Sensitivity Analysis</v>
      </c>
      <c r="D32" s="227" t="s">
        <v>86</v>
      </c>
      <c r="E32" s="228"/>
      <c r="F32" s="228"/>
      <c r="G32" s="229"/>
      <c r="H32" s="230" t="s">
        <v>89</v>
      </c>
      <c r="I32" s="231"/>
      <c r="J32" s="231"/>
      <c r="K32" s="227" t="s">
        <v>189</v>
      </c>
      <c r="L32" s="228"/>
      <c r="M32" s="228"/>
      <c r="N32" s="229"/>
    </row>
    <row r="33" spans="1:14" ht="74.400000000000006" customHeight="1" x14ac:dyDescent="0.3">
      <c r="A33" s="218"/>
      <c r="B33" s="218"/>
      <c r="C33" s="218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7189798.7999999998</v>
      </c>
      <c r="I34" s="168">
        <f>J17/$D$31</f>
        <v>239856.72092273779</v>
      </c>
      <c r="J34" s="179">
        <f>I34*$F$31</f>
        <v>268159813.99162084</v>
      </c>
      <c r="K34" s="166">
        <f>H34-D34</f>
        <v>1198299.7999999998</v>
      </c>
      <c r="L34" s="166">
        <f>J34-G34</f>
        <v>44097751.399038702</v>
      </c>
      <c r="M34" s="182">
        <f>K34/D34</f>
        <v>0.19999999999999996</v>
      </c>
      <c r="N34" s="183">
        <f>L34/G34</f>
        <v>0.19681043229180117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18732522</v>
      </c>
      <c r="I35" s="169">
        <f t="shared" ref="I35:I40" si="9">J18/$D$31</f>
        <v>277175.40674512938</v>
      </c>
      <c r="J35" s="180">
        <f t="shared" ref="J35:J40" si="10">I35*$F$31</f>
        <v>309882104.74105465</v>
      </c>
      <c r="K35" s="167">
        <f t="shared" ref="K35:K42" si="11">H35-D35</f>
        <v>3122087</v>
      </c>
      <c r="L35" s="167">
        <f t="shared" ref="L35:L42" si="12">J35-G35</f>
        <v>51698297.236746222</v>
      </c>
      <c r="M35" s="184">
        <f t="shared" ref="M35:M42" si="13">K35/D35</f>
        <v>0.2</v>
      </c>
      <c r="N35" s="185">
        <f t="shared" ref="N35:N42" si="14">L35/G35</f>
        <v>0.20023834080254435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4565659.2</v>
      </c>
      <c r="I36" s="169">
        <f t="shared" si="9"/>
        <v>15669.923274503548</v>
      </c>
      <c r="J36" s="180">
        <f t="shared" si="10"/>
        <v>17518974.220894966</v>
      </c>
      <c r="K36" s="167">
        <f t="shared" si="11"/>
        <v>760943.20000000019</v>
      </c>
      <c r="L36" s="167">
        <f t="shared" si="12"/>
        <v>2919940.0676643047</v>
      </c>
      <c r="M36" s="184">
        <f t="shared" si="13"/>
        <v>0.20000000000000004</v>
      </c>
      <c r="N36" s="185">
        <f t="shared" si="14"/>
        <v>0.20000912642691113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3552000</v>
      </c>
      <c r="I37" s="169">
        <f t="shared" si="9"/>
        <v>1882.7648389143997</v>
      </c>
      <c r="J37" s="180">
        <f t="shared" si="10"/>
        <v>2104931.089906299</v>
      </c>
      <c r="K37" s="167">
        <f t="shared" si="11"/>
        <v>-888000</v>
      </c>
      <c r="L37" s="167">
        <f t="shared" si="12"/>
        <v>-386003.9573446284</v>
      </c>
      <c r="M37" s="184">
        <f t="shared" si="13"/>
        <v>-0.2</v>
      </c>
      <c r="N37" s="185">
        <f t="shared" si="14"/>
        <v>-0.15496347757868445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27544800</v>
      </c>
      <c r="I38" s="169">
        <f t="shared" si="9"/>
        <v>161617.28299123794</v>
      </c>
      <c r="J38" s="180">
        <f t="shared" si="10"/>
        <v>180688122.38420403</v>
      </c>
      <c r="K38" s="167">
        <f t="shared" si="11"/>
        <v>4590800</v>
      </c>
      <c r="L38" s="167">
        <f t="shared" si="12"/>
        <v>25943345.970076889</v>
      </c>
      <c r="M38" s="184">
        <f t="shared" si="13"/>
        <v>0.2</v>
      </c>
      <c r="N38" s="185">
        <f t="shared" si="14"/>
        <v>0.16765248282531647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9382780.7999999989</v>
      </c>
      <c r="I39" s="169">
        <f t="shared" si="9"/>
        <v>38504.59611640498</v>
      </c>
      <c r="J39" s="180">
        <f t="shared" si="10"/>
        <v>43048138.458140768</v>
      </c>
      <c r="K39" s="167">
        <f t="shared" si="11"/>
        <v>1563796.7999999989</v>
      </c>
      <c r="L39" s="167">
        <f t="shared" si="12"/>
        <v>6368115.5969765112</v>
      </c>
      <c r="M39" s="184">
        <f t="shared" si="13"/>
        <v>0.19999999999999984</v>
      </c>
      <c r="N39" s="185">
        <f t="shared" si="14"/>
        <v>0.17361263980341973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7"/>
        <v>7217</v>
      </c>
      <c r="G40" s="171">
        <f t="shared" si="8"/>
        <v>8068606</v>
      </c>
      <c r="H40" s="177">
        <f t="shared" si="6"/>
        <v>4243134</v>
      </c>
      <c r="I40" s="169">
        <f t="shared" si="9"/>
        <v>8578.7385901790112</v>
      </c>
      <c r="J40" s="180">
        <f t="shared" si="10"/>
        <v>9591029.7438201346</v>
      </c>
      <c r="K40" s="167">
        <f t="shared" si="11"/>
        <v>707189</v>
      </c>
      <c r="L40" s="167">
        <f t="shared" si="12"/>
        <v>1522423.7438201346</v>
      </c>
      <c r="M40" s="184">
        <f t="shared" si="13"/>
        <v>0.2</v>
      </c>
      <c r="N40" s="185">
        <f t="shared" si="14"/>
        <v>0.18868485384217976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14644884.194358401</v>
      </c>
      <c r="I41" s="169">
        <f>J24</f>
        <v>340601.44486593455</v>
      </c>
      <c r="J41" s="180">
        <f>I41*$I$31</f>
        <v>39646008.18239478</v>
      </c>
      <c r="K41" s="167">
        <f t="shared" si="11"/>
        <v>-1055115.805641599</v>
      </c>
      <c r="L41" s="167">
        <f t="shared" si="12"/>
        <v>-2354922.4176051244</v>
      </c>
      <c r="M41" s="184">
        <f t="shared" si="13"/>
        <v>-6.7204828384815229E-2</v>
      </c>
      <c r="N41" s="185">
        <f t="shared" si="14"/>
        <v>-5.6068339057352451E-2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79855579</v>
      </c>
      <c r="E42" s="77"/>
      <c r="F42" s="77"/>
      <c r="G42" s="172">
        <f>SUM(G34:G41)</f>
        <v>740830175.17266345</v>
      </c>
      <c r="H42" s="178">
        <f>SUM(H34:H41)</f>
        <v>89855578.994358391</v>
      </c>
      <c r="I42" s="77"/>
      <c r="J42" s="181">
        <f>SUM(J34:J41)</f>
        <v>870639122.81203651</v>
      </c>
      <c r="K42" s="76">
        <f t="shared" si="11"/>
        <v>9999999.9943583906</v>
      </c>
      <c r="L42" s="200">
        <f t="shared" si="12"/>
        <v>129808947.63937306</v>
      </c>
      <c r="M42" s="79">
        <f t="shared" si="13"/>
        <v>0.12522606585018176</v>
      </c>
      <c r="N42" s="186">
        <f t="shared" si="14"/>
        <v>0.17522092375505469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260282445.67870557</v>
      </c>
      <c r="I43" s="157"/>
      <c r="J43" s="189">
        <f>SUM(J34:J40)*$E$43 + (J41*$D$43)</f>
        <v>303946503.39257145</v>
      </c>
      <c r="L43" s="189">
        <f>SUM(L34:L40)*$E$43 + (L41*$D$43)</f>
        <v>43664057.713865802</v>
      </c>
      <c r="M43" s="201">
        <f>L43/L42</f>
        <v>0.33637171017802642</v>
      </c>
      <c r="N43" s="190">
        <f>N42*(L43/L42)</f>
        <v>5.8939361782461321E-2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291863833.45933878</v>
      </c>
      <c r="I44" s="157"/>
      <c r="J44" s="189">
        <f>SUM(J34:J40)*$E$44 + (J41*$D$44)</f>
        <v>342324478.46946192</v>
      </c>
      <c r="L44" s="189">
        <f>SUM(L34:L40)*$E$44 + (L41*$D$44)</f>
        <v>50460645.010123119</v>
      </c>
      <c r="M44" s="201">
        <f>L44/L42</f>
        <v>0.38873009856230917</v>
      </c>
      <c r="N44" s="190">
        <f>N42*(L44/L42)</f>
        <v>6.811364696148127E-2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188683896.03461918</v>
      </c>
      <c r="I45" s="157"/>
      <c r="J45" s="189">
        <f>SUM(J34:J40)*$E$45 + (J41*$D$45)</f>
        <v>224368140.9500033</v>
      </c>
      <c r="L45" s="189">
        <f>SUM(L34:L40)*$E$45 + (L41*$D$45)</f>
        <v>35684244.915384099</v>
      </c>
      <c r="M45" s="201">
        <f>L45/L42</f>
        <v>0.27489819125966408</v>
      </c>
      <c r="N45" s="190">
        <f>N42*(L45/L42)</f>
        <v>4.816791501111204E-2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K15:N15"/>
    <mergeCell ref="A30:A31"/>
    <mergeCell ref="A32:A33"/>
    <mergeCell ref="B32:B33"/>
    <mergeCell ref="C32:C33"/>
    <mergeCell ref="D32:G32"/>
    <mergeCell ref="H32:J32"/>
    <mergeCell ref="K32:N32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abSelected="1" zoomScaleNormal="100" workbookViewId="0">
      <selection activeCell="B14" sqref="B1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07" t="s">
        <v>221</v>
      </c>
      <c r="C4" s="208"/>
      <c r="D4" s="208"/>
      <c r="E4" s="208"/>
      <c r="F4" s="208"/>
      <c r="G4" s="208"/>
      <c r="H4" s="208"/>
      <c r="I4" s="208"/>
    </row>
    <row r="5" spans="1:14" x14ac:dyDescent="0.3">
      <c r="A5" s="48" t="s">
        <v>79</v>
      </c>
      <c r="B5" s="162" t="s">
        <v>167</v>
      </c>
      <c r="E5" s="209" t="s">
        <v>50</v>
      </c>
      <c r="F5" s="210"/>
      <c r="G5" s="210"/>
      <c r="H5" s="210"/>
      <c r="I5" s="211"/>
    </row>
    <row r="6" spans="1:14" x14ac:dyDescent="0.3">
      <c r="A6" s="48" t="s">
        <v>80</v>
      </c>
      <c r="B6" s="162" t="s">
        <v>168</v>
      </c>
      <c r="E6" s="212" t="s">
        <v>51</v>
      </c>
      <c r="F6" s="213"/>
      <c r="G6" s="213"/>
      <c r="H6" s="213"/>
      <c r="I6" s="214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8991750.4224672616</v>
      </c>
    </row>
    <row r="10" spans="1:14" ht="14.4" thickBot="1" x14ac:dyDescent="0.35">
      <c r="A10" s="50"/>
    </row>
    <row r="11" spans="1:14" ht="27.6" x14ac:dyDescent="0.3">
      <c r="A11" s="215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16"/>
      <c r="B12" s="158">
        <f>79855579 + 15000000</f>
        <v>94855579</v>
      </c>
      <c r="C12" s="81">
        <f>1*B12 - 1</f>
        <v>94855578</v>
      </c>
      <c r="D12" s="82">
        <f>1*B12 + 1</f>
        <v>94855580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17" t="s">
        <v>2</v>
      </c>
      <c r="B15" s="219" t="s">
        <v>3</v>
      </c>
      <c r="C15" s="219" t="s">
        <v>38</v>
      </c>
      <c r="D15" s="219" t="s">
        <v>169</v>
      </c>
      <c r="E15" s="220" t="s">
        <v>86</v>
      </c>
      <c r="F15" s="221"/>
      <c r="G15" s="222" t="s">
        <v>179</v>
      </c>
      <c r="H15" s="223"/>
      <c r="I15" s="222" t="s">
        <v>89</v>
      </c>
      <c r="J15" s="223"/>
      <c r="K15" s="220" t="s">
        <v>90</v>
      </c>
      <c r="L15" s="224"/>
      <c r="M15" s="224"/>
      <c r="N15" s="221"/>
    </row>
    <row r="16" spans="1:14" ht="27.6" x14ac:dyDescent="0.3">
      <c r="A16" s="218"/>
      <c r="B16" s="218"/>
      <c r="C16" s="218"/>
      <c r="D16" s="218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4793199.2</v>
      </c>
      <c r="H17" s="73">
        <f>E17*$H$14</f>
        <v>7189798.7999999998</v>
      </c>
      <c r="I17" s="173">
        <v>7189798.7999999998</v>
      </c>
      <c r="J17" s="64">
        <v>2765547.9922391665</v>
      </c>
      <c r="K17" s="58">
        <f>I17-E17</f>
        <v>1198299.7999999998</v>
      </c>
      <c r="L17" s="58">
        <f>J17-F17</f>
        <v>454782.71344446903</v>
      </c>
      <c r="M17" s="59">
        <f>K17/E17</f>
        <v>0.19999999999999996</v>
      </c>
      <c r="N17" s="59">
        <f>L17/F17</f>
        <v>0.19681043229180123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v>3195832.4397713416</v>
      </c>
      <c r="K18" s="60">
        <f t="shared" ref="K18:L24" si="2">I18-E18</f>
        <v>3122087</v>
      </c>
      <c r="L18" s="60">
        <f t="shared" si="2"/>
        <v>533167.59135928797</v>
      </c>
      <c r="M18" s="61">
        <f t="shared" ref="M18:N25" si="3">K18/E18</f>
        <v>0.2</v>
      </c>
      <c r="N18" s="61">
        <f t="shared" si="3"/>
        <v>0.20023834080254438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3043772.8000000003</v>
      </c>
      <c r="H19" s="74">
        <f t="shared" si="1"/>
        <v>4565659.2</v>
      </c>
      <c r="I19" s="174">
        <v>4565659.2</v>
      </c>
      <c r="J19" s="65">
        <v>180674.2153550259</v>
      </c>
      <c r="K19" s="60">
        <f t="shared" si="2"/>
        <v>760943.20000000019</v>
      </c>
      <c r="L19" s="60">
        <f t="shared" si="2"/>
        <v>30113.514293532586</v>
      </c>
      <c r="M19" s="61">
        <f t="shared" si="3"/>
        <v>0.20000000000000004</v>
      </c>
      <c r="N19" s="61">
        <f t="shared" si="3"/>
        <v>0.20000912642691113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3552000</v>
      </c>
      <c r="H20" s="74">
        <f t="shared" si="1"/>
        <v>5328000</v>
      </c>
      <c r="I20" s="174">
        <v>4356884.1999986833</v>
      </c>
      <c r="J20" s="65">
        <v>25329.443908473484</v>
      </c>
      <c r="K20" s="60">
        <f t="shared" si="2"/>
        <v>-83115.800001316704</v>
      </c>
      <c r="L20" s="60">
        <f t="shared" si="2"/>
        <v>-359.71628365817378</v>
      </c>
      <c r="M20" s="61">
        <f t="shared" si="3"/>
        <v>-1.8719774775071328E-2</v>
      </c>
      <c r="N20" s="61">
        <f t="shared" si="3"/>
        <v>-1.400264862563905E-2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18363200</v>
      </c>
      <c r="H21" s="74">
        <f t="shared" si="1"/>
        <v>27544800</v>
      </c>
      <c r="I21" s="174">
        <v>27544800</v>
      </c>
      <c r="J21" s="65">
        <v>1863447.2728889734</v>
      </c>
      <c r="K21" s="60">
        <f t="shared" si="2"/>
        <v>4590800</v>
      </c>
      <c r="L21" s="60">
        <f t="shared" si="2"/>
        <v>267555.25852861046</v>
      </c>
      <c r="M21" s="61">
        <f t="shared" si="3"/>
        <v>0.2</v>
      </c>
      <c r="N21" s="61">
        <f t="shared" si="3"/>
        <v>0.16765248282531647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6255187.2000000002</v>
      </c>
      <c r="H22" s="74">
        <f t="shared" si="1"/>
        <v>9382780.7999999989</v>
      </c>
      <c r="I22" s="174">
        <v>9382780.7999999989</v>
      </c>
      <c r="J22" s="65">
        <v>443957.99322214938</v>
      </c>
      <c r="K22" s="60">
        <f t="shared" si="2"/>
        <v>1563796.7999999989</v>
      </c>
      <c r="L22" s="60">
        <f t="shared" si="2"/>
        <v>65674.752086886496</v>
      </c>
      <c r="M22" s="61">
        <f t="shared" si="3"/>
        <v>0.19999999999999984</v>
      </c>
      <c r="N22" s="61">
        <f t="shared" si="3"/>
        <v>0.17361263980341954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83212.009999999995</v>
      </c>
      <c r="G23" s="74">
        <f t="shared" si="0"/>
        <v>2828756</v>
      </c>
      <c r="H23" s="74">
        <f t="shared" si="1"/>
        <v>4243134</v>
      </c>
      <c r="I23" s="174">
        <v>4243134</v>
      </c>
      <c r="J23" s="65">
        <v>98912.855944764</v>
      </c>
      <c r="K23" s="60">
        <f t="shared" si="2"/>
        <v>707189</v>
      </c>
      <c r="L23" s="60">
        <f t="shared" si="2"/>
        <v>15700.845944764005</v>
      </c>
      <c r="M23" s="61">
        <f t="shared" si="3"/>
        <v>0.2</v>
      </c>
      <c r="N23" s="61">
        <f t="shared" si="3"/>
        <v>0.18868485384217984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12560000</v>
      </c>
      <c r="H24" s="74">
        <f t="shared" si="1"/>
        <v>18840000</v>
      </c>
      <c r="I24" s="174">
        <v>18840000</v>
      </c>
      <c r="J24" s="65">
        <v>418048.20913736708</v>
      </c>
      <c r="K24" s="60">
        <f t="shared" si="2"/>
        <v>3140000</v>
      </c>
      <c r="L24" s="60">
        <f t="shared" si="2"/>
        <v>57215.472023965791</v>
      </c>
      <c r="M24" s="61">
        <f t="shared" si="3"/>
        <v>0.2</v>
      </c>
      <c r="N24" s="61">
        <f t="shared" si="3"/>
        <v>0.15856508054584945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79855579</v>
      </c>
      <c r="F25" s="77">
        <f t="shared" si="4"/>
        <v>7567899.9910694035</v>
      </c>
      <c r="G25" s="76">
        <f t="shared" si="4"/>
        <v>63884463.200000003</v>
      </c>
      <c r="H25" s="76">
        <f t="shared" si="4"/>
        <v>95826694.799999997</v>
      </c>
      <c r="I25" s="83">
        <f t="shared" si="4"/>
        <v>94855578.999998689</v>
      </c>
      <c r="J25" s="175">
        <f t="shared" si="4"/>
        <v>8991750.4224672616</v>
      </c>
      <c r="K25" s="76">
        <f>SUM(K17:K24)</f>
        <v>14999999.999998683</v>
      </c>
      <c r="L25" s="175">
        <f>SUM(L17:L24)</f>
        <v>1423850.4313978583</v>
      </c>
      <c r="M25" s="79">
        <f>K25/E25</f>
        <v>0.1878390988812276</v>
      </c>
      <c r="N25" s="79">
        <f t="shared" si="3"/>
        <v>0.1881433995002697</v>
      </c>
    </row>
    <row r="30" spans="1:14" ht="55.2" x14ac:dyDescent="0.3">
      <c r="A30" s="225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25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26" t="s">
        <v>2</v>
      </c>
      <c r="B32" s="219" t="s">
        <v>3</v>
      </c>
      <c r="C32" s="219" t="str">
        <f t="shared" ref="C32:D42" si="5">D15</f>
        <v>Response Scaling Factor for Sensitivity Analysis</v>
      </c>
      <c r="D32" s="227" t="s">
        <v>86</v>
      </c>
      <c r="E32" s="228"/>
      <c r="F32" s="228"/>
      <c r="G32" s="229"/>
      <c r="H32" s="230" t="s">
        <v>89</v>
      </c>
      <c r="I32" s="231"/>
      <c r="J32" s="231"/>
      <c r="K32" s="227" t="s">
        <v>189</v>
      </c>
      <c r="L32" s="228"/>
      <c r="M32" s="228"/>
      <c r="N32" s="229"/>
    </row>
    <row r="33" spans="1:14" ht="74.400000000000006" customHeight="1" x14ac:dyDescent="0.3">
      <c r="A33" s="218"/>
      <c r="B33" s="218"/>
      <c r="C33" s="218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7189798.7999999998</v>
      </c>
      <c r="I34" s="168">
        <f>J17/$D$31</f>
        <v>239856.72092273779</v>
      </c>
      <c r="J34" s="179">
        <f>I34*$F$31</f>
        <v>268159813.99162084</v>
      </c>
      <c r="K34" s="166">
        <f>H34-D34</f>
        <v>1198299.7999999998</v>
      </c>
      <c r="L34" s="166">
        <f>J34-G34</f>
        <v>44097751.399038702</v>
      </c>
      <c r="M34" s="182">
        <f>K34/D34</f>
        <v>0.19999999999999996</v>
      </c>
      <c r="N34" s="183">
        <f>L34/G34</f>
        <v>0.19681043229180117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18732522</v>
      </c>
      <c r="I35" s="169">
        <f t="shared" ref="I35:I40" si="9">J18/$D$31</f>
        <v>277175.40674512938</v>
      </c>
      <c r="J35" s="180">
        <f t="shared" ref="J35:J40" si="10">I35*$F$31</f>
        <v>309882104.74105465</v>
      </c>
      <c r="K35" s="167">
        <f t="shared" ref="K35:K42" si="11">H35-D35</f>
        <v>3122087</v>
      </c>
      <c r="L35" s="167">
        <f t="shared" ref="L35:L42" si="12">J35-G35</f>
        <v>51698297.236746222</v>
      </c>
      <c r="M35" s="184">
        <f t="shared" ref="M35:M42" si="13">K35/D35</f>
        <v>0.2</v>
      </c>
      <c r="N35" s="185">
        <f t="shared" ref="N35:N42" si="14">L35/G35</f>
        <v>0.20023834080254435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4565659.2</v>
      </c>
      <c r="I36" s="169">
        <f t="shared" si="9"/>
        <v>15669.923274503548</v>
      </c>
      <c r="J36" s="180">
        <f t="shared" si="10"/>
        <v>17518974.220894966</v>
      </c>
      <c r="K36" s="167">
        <f t="shared" si="11"/>
        <v>760943.20000000019</v>
      </c>
      <c r="L36" s="167">
        <f t="shared" si="12"/>
        <v>2919940.0676643047</v>
      </c>
      <c r="M36" s="184">
        <f t="shared" si="13"/>
        <v>0.20000000000000004</v>
      </c>
      <c r="N36" s="185">
        <f t="shared" si="14"/>
        <v>0.20000912642691113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4356884.1999986833</v>
      </c>
      <c r="I37" s="169">
        <f t="shared" si="9"/>
        <v>2196.8294803532945</v>
      </c>
      <c r="J37" s="180">
        <f t="shared" si="10"/>
        <v>2456055.359034983</v>
      </c>
      <c r="K37" s="167">
        <f t="shared" si="11"/>
        <v>-83115.800001316704</v>
      </c>
      <c r="L37" s="167">
        <f t="shared" si="12"/>
        <v>-34879.68821594445</v>
      </c>
      <c r="M37" s="184">
        <f t="shared" si="13"/>
        <v>-1.8719774775071328E-2</v>
      </c>
      <c r="N37" s="185">
        <f t="shared" si="14"/>
        <v>-1.4002648625639094E-2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27544800</v>
      </c>
      <c r="I38" s="169">
        <f t="shared" si="9"/>
        <v>161617.28299123794</v>
      </c>
      <c r="J38" s="180">
        <f t="shared" si="10"/>
        <v>180688122.38420403</v>
      </c>
      <c r="K38" s="167">
        <f t="shared" si="11"/>
        <v>4590800</v>
      </c>
      <c r="L38" s="167">
        <f t="shared" si="12"/>
        <v>25943345.970076889</v>
      </c>
      <c r="M38" s="184">
        <f t="shared" si="13"/>
        <v>0.2</v>
      </c>
      <c r="N38" s="185">
        <f t="shared" si="14"/>
        <v>0.16765248282531647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9382780.7999999989</v>
      </c>
      <c r="I39" s="169">
        <f t="shared" si="9"/>
        <v>38504.59611640498</v>
      </c>
      <c r="J39" s="180">
        <f t="shared" si="10"/>
        <v>43048138.458140768</v>
      </c>
      <c r="K39" s="167">
        <f t="shared" si="11"/>
        <v>1563796.7999999989</v>
      </c>
      <c r="L39" s="167">
        <f t="shared" si="12"/>
        <v>6368115.5969765112</v>
      </c>
      <c r="M39" s="184">
        <f t="shared" si="13"/>
        <v>0.19999999999999984</v>
      </c>
      <c r="N39" s="185">
        <f t="shared" si="14"/>
        <v>0.17361263980341973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7"/>
        <v>7217</v>
      </c>
      <c r="G40" s="171">
        <f t="shared" si="8"/>
        <v>8068606</v>
      </c>
      <c r="H40" s="177">
        <f t="shared" si="6"/>
        <v>4243134</v>
      </c>
      <c r="I40" s="169">
        <f t="shared" si="9"/>
        <v>8578.7385901790112</v>
      </c>
      <c r="J40" s="180">
        <f t="shared" si="10"/>
        <v>9591029.7438201346</v>
      </c>
      <c r="K40" s="167">
        <f t="shared" si="11"/>
        <v>707189</v>
      </c>
      <c r="L40" s="167">
        <f t="shared" si="12"/>
        <v>1522423.7438201346</v>
      </c>
      <c r="M40" s="184">
        <f t="shared" si="13"/>
        <v>0.2</v>
      </c>
      <c r="N40" s="185">
        <f t="shared" si="14"/>
        <v>0.18868485384217976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18840000</v>
      </c>
      <c r="I41" s="169">
        <f>J24</f>
        <v>418048.20913736708</v>
      </c>
      <c r="J41" s="180">
        <f>I41*$I$31</f>
        <v>48660811.543589525</v>
      </c>
      <c r="K41" s="167">
        <f t="shared" si="11"/>
        <v>3140000</v>
      </c>
      <c r="L41" s="167">
        <f t="shared" si="12"/>
        <v>6659880.9435896203</v>
      </c>
      <c r="M41" s="184">
        <f t="shared" si="13"/>
        <v>0.2</v>
      </c>
      <c r="N41" s="185">
        <f t="shared" si="14"/>
        <v>0.1585650805458495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79855579</v>
      </c>
      <c r="E42" s="77"/>
      <c r="F42" s="77"/>
      <c r="G42" s="172">
        <f>SUM(G34:G41)</f>
        <v>740830175.17266345</v>
      </c>
      <c r="H42" s="178">
        <f>SUM(H34:H41)</f>
        <v>94855578.999998689</v>
      </c>
      <c r="I42" s="77"/>
      <c r="J42" s="181">
        <f>SUM(J34:J41)</f>
        <v>880005050.44235992</v>
      </c>
      <c r="K42" s="76">
        <f t="shared" si="11"/>
        <v>14999999.999998689</v>
      </c>
      <c r="L42" s="200">
        <f t="shared" si="12"/>
        <v>139174875.26969647</v>
      </c>
      <c r="M42" s="79">
        <f t="shared" si="13"/>
        <v>0.18783909888122768</v>
      </c>
      <c r="N42" s="186">
        <f t="shared" si="14"/>
        <v>0.18786339964791435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260282445.67870557</v>
      </c>
      <c r="I43" s="157"/>
      <c r="J43" s="189">
        <f>SUM(J34:J40)*$E$43 + (J41*$D$43)</f>
        <v>308933879.45912033</v>
      </c>
      <c r="L43" s="189">
        <f>SUM(L34:L40)*$E$43 + (L41*$D$43)</f>
        <v>48651433.780414715</v>
      </c>
      <c r="M43" s="201">
        <f>L43/L42</f>
        <v>0.34957052187858462</v>
      </c>
      <c r="N43" s="190">
        <f>N42*(L43/L42)</f>
        <v>6.567150665680653E-2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291863833.45933878</v>
      </c>
      <c r="I44" s="157"/>
      <c r="J44" s="189">
        <f>SUM(J34:J40)*$E$44 + (J41*$D$44)</f>
        <v>346608226.48057169</v>
      </c>
      <c r="L44" s="189">
        <f>SUM(L34:L40)*$E$44 + (L41*$D$44)</f>
        <v>54744393.021232888</v>
      </c>
      <c r="M44" s="201">
        <f>L44/L42</f>
        <v>0.39334968265750458</v>
      </c>
      <c r="N44" s="190">
        <f>N42*(L44/L42)</f>
        <v>7.3896008634467061E-2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188683896.03461918</v>
      </c>
      <c r="I45" s="157"/>
      <c r="J45" s="189">
        <f>SUM(J34:J40)*$E$45 + (J41*$D$45)</f>
        <v>224462944.50266802</v>
      </c>
      <c r="L45" s="189">
        <f>SUM(L34:L40)*$E$45 + (L41*$D$45)</f>
        <v>35779048.468048841</v>
      </c>
      <c r="M45" s="201">
        <f>L45/L42</f>
        <v>0.25707979546391063</v>
      </c>
      <c r="N45" s="190">
        <f>N42*(L45/L42)</f>
        <v>4.8295884356640721E-2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K15:N15"/>
    <mergeCell ref="A30:A31"/>
    <mergeCell ref="A32:A33"/>
    <mergeCell ref="B32:B33"/>
    <mergeCell ref="C32:C33"/>
    <mergeCell ref="D32:G32"/>
    <mergeCell ref="H32:J32"/>
    <mergeCell ref="K32:N32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47"/>
  <sheetViews>
    <sheetView topLeftCell="A8" workbookViewId="0">
      <selection activeCell="B12" sqref="B12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23.4" customHeight="1" x14ac:dyDescent="0.3">
      <c r="A4" s="49" t="s">
        <v>78</v>
      </c>
      <c r="B4" s="207" t="s">
        <v>221</v>
      </c>
      <c r="C4" s="208"/>
      <c r="D4" s="208"/>
      <c r="E4" s="208"/>
      <c r="F4" s="208"/>
      <c r="G4" s="208"/>
      <c r="H4" s="208"/>
      <c r="I4" s="208"/>
    </row>
    <row r="5" spans="1:14" x14ac:dyDescent="0.3">
      <c r="A5" s="48" t="s">
        <v>79</v>
      </c>
      <c r="B5" s="1" t="s">
        <v>167</v>
      </c>
      <c r="E5" s="209" t="s">
        <v>50</v>
      </c>
      <c r="F5" s="210"/>
      <c r="G5" s="210"/>
      <c r="H5" s="210"/>
      <c r="I5" s="211"/>
    </row>
    <row r="6" spans="1:14" x14ac:dyDescent="0.3">
      <c r="A6" s="48" t="s">
        <v>80</v>
      </c>
      <c r="B6" s="1" t="s">
        <v>168</v>
      </c>
      <c r="E6" s="212" t="s">
        <v>51</v>
      </c>
      <c r="F6" s="213"/>
      <c r="G6" s="213"/>
      <c r="H6" s="213"/>
      <c r="I6" s="214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8991750.3909068797</v>
      </c>
    </row>
    <row r="10" spans="1:14" ht="14.4" thickBot="1" x14ac:dyDescent="0.35">
      <c r="A10" s="50"/>
    </row>
    <row r="11" spans="1:14" ht="27.6" x14ac:dyDescent="0.3">
      <c r="A11" s="215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216"/>
      <c r="B12" s="80">
        <f>79855579 + 15000000</f>
        <v>94855579</v>
      </c>
      <c r="C12" s="81">
        <f>1*B12 - 1</f>
        <v>94855578</v>
      </c>
      <c r="D12" s="82">
        <f>1*B12 + 1</f>
        <v>94855580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63" t="s">
        <v>98</v>
      </c>
      <c r="J14" s="63" t="s">
        <v>99</v>
      </c>
    </row>
    <row r="15" spans="1:14" ht="27.6" customHeight="1" x14ac:dyDescent="0.3">
      <c r="A15" s="217" t="s">
        <v>2</v>
      </c>
      <c r="B15" s="219" t="s">
        <v>3</v>
      </c>
      <c r="C15" s="219" t="s">
        <v>38</v>
      </c>
      <c r="D15" s="219" t="s">
        <v>169</v>
      </c>
      <c r="E15" s="220" t="s">
        <v>86</v>
      </c>
      <c r="F15" s="221"/>
      <c r="G15" s="222" t="s">
        <v>179</v>
      </c>
      <c r="H15" s="223"/>
      <c r="I15" s="222" t="s">
        <v>89</v>
      </c>
      <c r="J15" s="223"/>
      <c r="K15" s="220" t="s">
        <v>90</v>
      </c>
      <c r="L15" s="224"/>
      <c r="M15" s="224"/>
      <c r="N15" s="221"/>
    </row>
    <row r="16" spans="1:14" ht="27.6" x14ac:dyDescent="0.3">
      <c r="A16" s="218"/>
      <c r="B16" s="218"/>
      <c r="C16" s="218"/>
      <c r="D16" s="218"/>
      <c r="E16" s="105" t="s">
        <v>203</v>
      </c>
      <c r="F16" s="105" t="s">
        <v>204</v>
      </c>
      <c r="G16" s="105" t="s">
        <v>87</v>
      </c>
      <c r="H16" s="105" t="s">
        <v>88</v>
      </c>
      <c r="I16" s="62" t="s">
        <v>201</v>
      </c>
      <c r="J16" s="62" t="s">
        <v>202</v>
      </c>
      <c r="K16" s="105" t="s">
        <v>177</v>
      </c>
      <c r="L16" s="105" t="s">
        <v>178</v>
      </c>
      <c r="M16" s="105" t="s">
        <v>91</v>
      </c>
      <c r="N16" s="105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f>E17*$G$14</f>
        <v>4793199.2</v>
      </c>
      <c r="H17" s="73">
        <f>E17*$H$14</f>
        <v>7189798.7999999998</v>
      </c>
      <c r="I17" s="173">
        <v>7189798.7999999998</v>
      </c>
      <c r="J17" s="64">
        <f>JANSample!F9</f>
        <v>2765547.9922391665</v>
      </c>
      <c r="K17" s="58">
        <f>I17-E17</f>
        <v>1198299.7999999998</v>
      </c>
      <c r="L17" s="58">
        <f>J17-F17</f>
        <v>454782.71344446903</v>
      </c>
      <c r="M17" s="59">
        <f>K17/E17</f>
        <v>0.19999999999999996</v>
      </c>
      <c r="N17" s="59">
        <f>L17/F17</f>
        <v>0.19681043229180123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f>JMTSample!F9</f>
        <v>3195832.4397713416</v>
      </c>
      <c r="K18" s="60">
        <f t="shared" ref="K18:L22" si="2">I18-E18</f>
        <v>3122087</v>
      </c>
      <c r="L18" s="60">
        <f t="shared" si="2"/>
        <v>533167.59135928797</v>
      </c>
      <c r="M18" s="61">
        <f t="shared" ref="M18:N25" si="3">K18/E18</f>
        <v>0.2</v>
      </c>
      <c r="N18" s="61">
        <f t="shared" si="3"/>
        <v>0.20023834080254438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f t="shared" si="0"/>
        <v>3043772.8000000003</v>
      </c>
      <c r="H19" s="74">
        <f t="shared" si="1"/>
        <v>4565659.2</v>
      </c>
      <c r="I19" s="174">
        <v>4565658.3038922334</v>
      </c>
      <c r="J19" s="65">
        <f>JJVCH!F9</f>
        <v>180674.17989224856</v>
      </c>
      <c r="K19" s="60">
        <f t="shared" si="2"/>
        <v>760942.30389223341</v>
      </c>
      <c r="L19" s="60">
        <f t="shared" si="2"/>
        <v>30113.478830755252</v>
      </c>
      <c r="M19" s="61">
        <f t="shared" si="3"/>
        <v>0.19999976447446627</v>
      </c>
      <c r="N19" s="61">
        <f t="shared" si="3"/>
        <v>0.20000889088883853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f>JJMMF!I9</f>
        <v>25689.160192131658</v>
      </c>
      <c r="G20" s="74">
        <f t="shared" si="0"/>
        <v>3552000</v>
      </c>
      <c r="H20" s="74">
        <f t="shared" si="1"/>
        <v>5328000</v>
      </c>
      <c r="I20" s="174">
        <v>4356885.0975510776</v>
      </c>
      <c r="J20" s="65">
        <f>JJMMF!F9</f>
        <v>25329.44781086858</v>
      </c>
      <c r="K20" s="60">
        <f t="shared" si="2"/>
        <v>-83114.902448922396</v>
      </c>
      <c r="L20" s="60">
        <f t="shared" si="2"/>
        <v>-359.71238126307799</v>
      </c>
      <c r="M20" s="61">
        <f t="shared" si="3"/>
        <v>-1.8719572623631171E-2</v>
      </c>
      <c r="N20" s="61">
        <f t="shared" si="3"/>
        <v>-1.4002496717399678E-2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f>JJHCC!I9</f>
        <v>1595892.0143603629</v>
      </c>
      <c r="G21" s="74">
        <f t="shared" si="0"/>
        <v>18363200</v>
      </c>
      <c r="H21" s="74">
        <f t="shared" si="1"/>
        <v>27544800</v>
      </c>
      <c r="I21" s="174">
        <v>27544800.000000004</v>
      </c>
      <c r="J21" s="65">
        <f>JJHCC!F9</f>
        <v>1863447.2728889734</v>
      </c>
      <c r="K21" s="60">
        <f t="shared" si="2"/>
        <v>4590800.0000000037</v>
      </c>
      <c r="L21" s="60">
        <f t="shared" si="2"/>
        <v>267555.25852861046</v>
      </c>
      <c r="M21" s="61">
        <f t="shared" si="3"/>
        <v>0.20000000000000015</v>
      </c>
      <c r="N21" s="61">
        <f t="shared" si="3"/>
        <v>0.16765248282531647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f>JJMCM!I9</f>
        <v>378283.24113526288</v>
      </c>
      <c r="G22" s="74">
        <f t="shared" si="0"/>
        <v>6255187.2000000002</v>
      </c>
      <c r="H22" s="74">
        <f t="shared" si="1"/>
        <v>9382780.7999999989</v>
      </c>
      <c r="I22" s="174">
        <v>9382780.7999999989</v>
      </c>
      <c r="J22" s="65">
        <f>JJMCM!F9</f>
        <v>443957.99322214938</v>
      </c>
      <c r="K22" s="60">
        <f t="shared" si="2"/>
        <v>1563796.7999999989</v>
      </c>
      <c r="L22" s="60">
        <f t="shared" si="2"/>
        <v>65674.752086886496</v>
      </c>
      <c r="M22" s="61">
        <f t="shared" si="3"/>
        <v>0.19999999999999984</v>
      </c>
      <c r="N22" s="61">
        <f t="shared" si="3"/>
        <v>0.17361263980341954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f>JJHCC_ACQ!I9</f>
        <v>83212.009999999995</v>
      </c>
      <c r="G23" s="74">
        <f t="shared" si="0"/>
        <v>2828756</v>
      </c>
      <c r="H23" s="74">
        <f t="shared" si="1"/>
        <v>4243134</v>
      </c>
      <c r="I23" s="174">
        <v>4243134</v>
      </c>
      <c r="J23" s="65">
        <f>JJHCC_ACQ!F9</f>
        <v>98912.855944764</v>
      </c>
      <c r="K23" s="60">
        <f t="shared" ref="K23:K24" si="4">I23-E23</f>
        <v>707189</v>
      </c>
      <c r="L23" s="60">
        <f t="shared" ref="L23:L24" si="5">J23-F23</f>
        <v>15700.845944764005</v>
      </c>
      <c r="M23" s="61">
        <f t="shared" ref="M23:M24" si="6">K23/E23</f>
        <v>0.2</v>
      </c>
      <c r="N23" s="61">
        <f t="shared" ref="N23:N24" si="7">L23/F23</f>
        <v>0.18868485384217984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f>JJHCC_ADH!I9</f>
        <v>360832.73711340129</v>
      </c>
      <c r="G24" s="74">
        <f t="shared" si="0"/>
        <v>12560000</v>
      </c>
      <c r="H24" s="74">
        <f t="shared" si="1"/>
        <v>18840000</v>
      </c>
      <c r="I24" s="174">
        <v>18840000</v>
      </c>
      <c r="J24" s="65">
        <f>JJHCC_ADH!F9</f>
        <v>418048.20913736708</v>
      </c>
      <c r="K24" s="60">
        <f t="shared" si="4"/>
        <v>3140000</v>
      </c>
      <c r="L24" s="60">
        <f t="shared" si="5"/>
        <v>57215.472023965791</v>
      </c>
      <c r="M24" s="61">
        <f t="shared" si="6"/>
        <v>0.2</v>
      </c>
      <c r="N24" s="61">
        <f t="shared" si="7"/>
        <v>0.15856508054584945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8">SUM(E17:E24)</f>
        <v>79855579</v>
      </c>
      <c r="F25" s="77">
        <f t="shared" si="8"/>
        <v>7567899.9910694035</v>
      </c>
      <c r="G25" s="76">
        <f t="shared" si="8"/>
        <v>63884463.200000003</v>
      </c>
      <c r="H25" s="76">
        <f t="shared" si="8"/>
        <v>95826694.799999997</v>
      </c>
      <c r="I25" s="83">
        <f t="shared" si="8"/>
        <v>94855579.001443312</v>
      </c>
      <c r="J25" s="175">
        <f t="shared" si="8"/>
        <v>8991750.3909068797</v>
      </c>
      <c r="K25" s="76">
        <f>SUM(K17:K24)</f>
        <v>15000000.001443313</v>
      </c>
      <c r="L25" s="175">
        <f>SUM(L17:L24)</f>
        <v>1423850.399837476</v>
      </c>
      <c r="M25" s="79">
        <f>K25/E25</f>
        <v>0.18783909889931816</v>
      </c>
      <c r="N25" s="79">
        <f t="shared" si="3"/>
        <v>0.18814339532997379</v>
      </c>
    </row>
    <row r="29" spans="1:14" s="162" customFormat="1" x14ac:dyDescent="0.3"/>
    <row r="30" spans="1:14" ht="55.2" x14ac:dyDescent="0.3">
      <c r="A30" s="225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25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26" t="s">
        <v>2</v>
      </c>
      <c r="B32" s="219" t="s">
        <v>3</v>
      </c>
      <c r="C32" s="219" t="str">
        <f t="shared" ref="C32:C42" si="9">D15</f>
        <v>Response Scaling Factor for Sensitivity Analysis</v>
      </c>
      <c r="D32" s="227" t="s">
        <v>86</v>
      </c>
      <c r="E32" s="228"/>
      <c r="F32" s="228"/>
      <c r="G32" s="229"/>
      <c r="H32" s="230" t="s">
        <v>89</v>
      </c>
      <c r="I32" s="231"/>
      <c r="J32" s="231"/>
      <c r="K32" s="227" t="s">
        <v>189</v>
      </c>
      <c r="L32" s="228"/>
      <c r="M32" s="228"/>
      <c r="N32" s="229"/>
    </row>
    <row r="33" spans="1:14" ht="74.400000000000006" customHeight="1" x14ac:dyDescent="0.3">
      <c r="A33" s="218"/>
      <c r="B33" s="218"/>
      <c r="C33" s="218">
        <f t="shared" si="9"/>
        <v>0</v>
      </c>
      <c r="D33" s="156" t="s">
        <v>182</v>
      </c>
      <c r="E33" s="156" t="s">
        <v>181</v>
      </c>
      <c r="F33" s="156" t="s">
        <v>183</v>
      </c>
      <c r="G33" s="156" t="s">
        <v>199</v>
      </c>
      <c r="H33" s="62" t="s">
        <v>187</v>
      </c>
      <c r="I33" s="62" t="s">
        <v>188</v>
      </c>
      <c r="J33" s="62" t="s">
        <v>200</v>
      </c>
      <c r="K33" s="156" t="s">
        <v>190</v>
      </c>
      <c r="L33" s="156" t="s">
        <v>191</v>
      </c>
      <c r="M33" s="156" t="s">
        <v>192</v>
      </c>
      <c r="N33" s="156" t="s">
        <v>193</v>
      </c>
    </row>
    <row r="34" spans="1:14" x14ac:dyDescent="0.3">
      <c r="A34" s="54" t="s">
        <v>13</v>
      </c>
      <c r="B34" s="54" t="s">
        <v>93</v>
      </c>
      <c r="C34" s="153">
        <f t="shared" si="9"/>
        <v>1</v>
      </c>
      <c r="D34" s="166">
        <f t="shared" ref="D34:D41" si="10">E17</f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11">I17</f>
        <v>7189798.7999999998</v>
      </c>
      <c r="I34" s="168">
        <f>J17/$D$31</f>
        <v>239856.72092273779</v>
      </c>
      <c r="J34" s="179">
        <f>I34*$F$31</f>
        <v>268159813.99162084</v>
      </c>
      <c r="K34" s="166">
        <f>H34-D34</f>
        <v>1198299.7999999998</v>
      </c>
      <c r="L34" s="166">
        <f>J34-G34</f>
        <v>44097751.399038702</v>
      </c>
      <c r="M34" s="182">
        <f>K34/D34</f>
        <v>0.19999999999999996</v>
      </c>
      <c r="N34" s="183">
        <f>L34/G34</f>
        <v>0.19681043229180117</v>
      </c>
    </row>
    <row r="35" spans="1:14" x14ac:dyDescent="0.3">
      <c r="A35" s="55" t="s">
        <v>170</v>
      </c>
      <c r="B35" s="55" t="s">
        <v>93</v>
      </c>
      <c r="C35" s="154">
        <f t="shared" si="9"/>
        <v>1</v>
      </c>
      <c r="D35" s="167">
        <f t="shared" si="10"/>
        <v>15610435</v>
      </c>
      <c r="E35" s="165" t="s">
        <v>176</v>
      </c>
      <c r="F35" s="169">
        <f t="shared" ref="F35:F40" si="12">F18/$D$31</f>
        <v>230933.63819705584</v>
      </c>
      <c r="G35" s="171">
        <f t="shared" ref="G35:G40" si="13">F35*$F$31</f>
        <v>258183807.50430843</v>
      </c>
      <c r="H35" s="177">
        <f t="shared" si="11"/>
        <v>18732522</v>
      </c>
      <c r="I35" s="169">
        <f t="shared" ref="I35:I40" si="14">J18/$D$31</f>
        <v>277175.40674512938</v>
      </c>
      <c r="J35" s="180">
        <f t="shared" ref="J35:J40" si="15">I35*$F$31</f>
        <v>309882104.74105465</v>
      </c>
      <c r="K35" s="167">
        <f t="shared" ref="K35:K42" si="16">H35-D35</f>
        <v>3122087</v>
      </c>
      <c r="L35" s="167">
        <f t="shared" ref="L35:L42" si="17">J35-G35</f>
        <v>51698297.236746222</v>
      </c>
      <c r="M35" s="184">
        <f t="shared" ref="M35:M42" si="18">K35/D35</f>
        <v>0.2</v>
      </c>
      <c r="N35" s="185">
        <f t="shared" ref="N35:N42" si="19">L35/G35</f>
        <v>0.20023834080254435</v>
      </c>
    </row>
    <row r="36" spans="1:14" x14ac:dyDescent="0.3">
      <c r="A36" s="55" t="s">
        <v>104</v>
      </c>
      <c r="B36" s="55" t="s">
        <v>95</v>
      </c>
      <c r="C36" s="154">
        <f t="shared" si="9"/>
        <v>1</v>
      </c>
      <c r="D36" s="167">
        <f t="shared" si="10"/>
        <v>3804716</v>
      </c>
      <c r="E36" s="165" t="s">
        <v>176</v>
      </c>
      <c r="F36" s="169">
        <f t="shared" si="12"/>
        <v>13058.170083390574</v>
      </c>
      <c r="G36" s="171">
        <f t="shared" si="13"/>
        <v>14599034.153230662</v>
      </c>
      <c r="H36" s="177">
        <f t="shared" si="11"/>
        <v>4565658.3038922334</v>
      </c>
      <c r="I36" s="169">
        <f t="shared" si="14"/>
        <v>15669.920198807335</v>
      </c>
      <c r="J36" s="180">
        <f t="shared" si="15"/>
        <v>17518970.782266602</v>
      </c>
      <c r="K36" s="167">
        <f t="shared" si="16"/>
        <v>760942.30389223341</v>
      </c>
      <c r="L36" s="167">
        <f t="shared" si="17"/>
        <v>2919936.6290359404</v>
      </c>
      <c r="M36" s="184">
        <f t="shared" si="18"/>
        <v>0.19999976447446627</v>
      </c>
      <c r="N36" s="185">
        <f t="shared" si="19"/>
        <v>0.20000889088883866</v>
      </c>
    </row>
    <row r="37" spans="1:14" x14ac:dyDescent="0.3">
      <c r="A37" s="55" t="s">
        <v>104</v>
      </c>
      <c r="B37" s="55" t="s">
        <v>94</v>
      </c>
      <c r="C37" s="154">
        <f t="shared" si="9"/>
        <v>1</v>
      </c>
      <c r="D37" s="167">
        <f t="shared" si="10"/>
        <v>4440000</v>
      </c>
      <c r="E37" s="165" t="s">
        <v>176</v>
      </c>
      <c r="F37" s="169">
        <f t="shared" si="12"/>
        <v>2228.0277703496668</v>
      </c>
      <c r="G37" s="171">
        <f t="shared" si="13"/>
        <v>2490935.0472509274</v>
      </c>
      <c r="H37" s="177">
        <f t="shared" si="11"/>
        <v>4356885.0975510776</v>
      </c>
      <c r="I37" s="169">
        <f t="shared" si="14"/>
        <v>2196.8298188090703</v>
      </c>
      <c r="J37" s="180">
        <f t="shared" si="15"/>
        <v>2456055.7374285404</v>
      </c>
      <c r="K37" s="167">
        <f t="shared" si="16"/>
        <v>-83114.902448922396</v>
      </c>
      <c r="L37" s="167">
        <f t="shared" si="17"/>
        <v>-34879.309822387062</v>
      </c>
      <c r="M37" s="184">
        <f t="shared" si="18"/>
        <v>-1.8719572623631171E-2</v>
      </c>
      <c r="N37" s="185">
        <f t="shared" si="19"/>
        <v>-1.4002496717399733E-2</v>
      </c>
    </row>
    <row r="38" spans="1:14" x14ac:dyDescent="0.3">
      <c r="A38" s="55" t="s">
        <v>104</v>
      </c>
      <c r="B38" s="55" t="s">
        <v>108</v>
      </c>
      <c r="C38" s="154">
        <f t="shared" si="9"/>
        <v>1</v>
      </c>
      <c r="D38" s="167">
        <f t="shared" si="10"/>
        <v>22954000</v>
      </c>
      <c r="E38" s="165" t="s">
        <v>176</v>
      </c>
      <c r="F38" s="169">
        <f t="shared" si="12"/>
        <v>138412.14348311909</v>
      </c>
      <c r="G38" s="171">
        <f t="shared" si="13"/>
        <v>154744776.41412714</v>
      </c>
      <c r="H38" s="177">
        <f t="shared" si="11"/>
        <v>27544800.000000004</v>
      </c>
      <c r="I38" s="169">
        <f t="shared" si="14"/>
        <v>161617.28299123794</v>
      </c>
      <c r="J38" s="180">
        <f t="shared" si="15"/>
        <v>180688122.38420403</v>
      </c>
      <c r="K38" s="167">
        <f t="shared" si="16"/>
        <v>4590800.0000000037</v>
      </c>
      <c r="L38" s="167">
        <f t="shared" si="17"/>
        <v>25943345.970076889</v>
      </c>
      <c r="M38" s="184">
        <f t="shared" si="18"/>
        <v>0.20000000000000015</v>
      </c>
      <c r="N38" s="185">
        <f t="shared" si="19"/>
        <v>0.16765248282531647</v>
      </c>
    </row>
    <row r="39" spans="1:14" x14ac:dyDescent="0.3">
      <c r="A39" s="55" t="s">
        <v>104</v>
      </c>
      <c r="B39" s="55" t="s">
        <v>96</v>
      </c>
      <c r="C39" s="154">
        <f t="shared" si="9"/>
        <v>1</v>
      </c>
      <c r="D39" s="167">
        <f t="shared" si="10"/>
        <v>7818984</v>
      </c>
      <c r="E39" s="165" t="s">
        <v>176</v>
      </c>
      <c r="F39" s="169">
        <f t="shared" si="12"/>
        <v>32808.607210343704</v>
      </c>
      <c r="G39" s="171">
        <f t="shared" si="13"/>
        <v>36680022.861164257</v>
      </c>
      <c r="H39" s="177">
        <f t="shared" si="11"/>
        <v>9382780.7999999989</v>
      </c>
      <c r="I39" s="169">
        <f t="shared" si="14"/>
        <v>38504.59611640498</v>
      </c>
      <c r="J39" s="180">
        <f t="shared" si="15"/>
        <v>43048138.458140768</v>
      </c>
      <c r="K39" s="167">
        <f t="shared" si="16"/>
        <v>1563796.7999999989</v>
      </c>
      <c r="L39" s="167">
        <f t="shared" si="17"/>
        <v>6368115.5969765112</v>
      </c>
      <c r="M39" s="184">
        <f t="shared" si="18"/>
        <v>0.19999999999999984</v>
      </c>
      <c r="N39" s="185">
        <f t="shared" si="19"/>
        <v>0.17361263980341973</v>
      </c>
    </row>
    <row r="40" spans="1:14" x14ac:dyDescent="0.3">
      <c r="A40" s="55" t="s">
        <v>104</v>
      </c>
      <c r="B40" s="55" t="s">
        <v>174</v>
      </c>
      <c r="C40" s="154">
        <f t="shared" si="9"/>
        <v>1</v>
      </c>
      <c r="D40" s="167">
        <f t="shared" si="10"/>
        <v>3535945</v>
      </c>
      <c r="E40" s="165" t="s">
        <v>176</v>
      </c>
      <c r="F40" s="169">
        <f t="shared" si="12"/>
        <v>7217</v>
      </c>
      <c r="G40" s="171">
        <f t="shared" si="13"/>
        <v>8068606</v>
      </c>
      <c r="H40" s="177">
        <f t="shared" si="11"/>
        <v>4243134</v>
      </c>
      <c r="I40" s="169">
        <f t="shared" si="14"/>
        <v>8578.7385901790112</v>
      </c>
      <c r="J40" s="180">
        <f t="shared" si="15"/>
        <v>9591029.7438201346</v>
      </c>
      <c r="K40" s="167">
        <f t="shared" si="16"/>
        <v>707189</v>
      </c>
      <c r="L40" s="167">
        <f t="shared" si="17"/>
        <v>1522423.7438201346</v>
      </c>
      <c r="M40" s="184">
        <f t="shared" si="18"/>
        <v>0.2</v>
      </c>
      <c r="N40" s="185">
        <f t="shared" si="19"/>
        <v>0.18868485384217976</v>
      </c>
    </row>
    <row r="41" spans="1:14" x14ac:dyDescent="0.3">
      <c r="A41" s="55" t="s">
        <v>104</v>
      </c>
      <c r="B41" s="55" t="s">
        <v>171</v>
      </c>
      <c r="C41" s="154">
        <f t="shared" si="9"/>
        <v>1</v>
      </c>
      <c r="D41" s="167">
        <f t="shared" si="10"/>
        <v>15700000</v>
      </c>
      <c r="E41" s="187" t="s">
        <v>175</v>
      </c>
      <c r="F41" s="169">
        <f t="shared" ref="F41" si="20">F24</f>
        <v>360832.73711340129</v>
      </c>
      <c r="G41" s="171">
        <f>F41*$I$31</f>
        <v>42000930.599999905</v>
      </c>
      <c r="H41" s="177">
        <f t="shared" si="11"/>
        <v>18840000</v>
      </c>
      <c r="I41" s="169">
        <f>J24</f>
        <v>418048.20913736708</v>
      </c>
      <c r="J41" s="180">
        <f>I41*$I$31</f>
        <v>48660811.543589525</v>
      </c>
      <c r="K41" s="167">
        <f t="shared" si="16"/>
        <v>3140000</v>
      </c>
      <c r="L41" s="167">
        <f t="shared" si="17"/>
        <v>6659880.9435896203</v>
      </c>
      <c r="M41" s="184">
        <f t="shared" si="18"/>
        <v>0.2</v>
      </c>
      <c r="N41" s="185">
        <f t="shared" si="19"/>
        <v>0.1585650805458495</v>
      </c>
    </row>
    <row r="42" spans="1:14" x14ac:dyDescent="0.3">
      <c r="A42" s="75" t="s">
        <v>104</v>
      </c>
      <c r="B42" s="75" t="s">
        <v>103</v>
      </c>
      <c r="C42" s="75">
        <f t="shared" si="9"/>
        <v>0</v>
      </c>
      <c r="D42" s="76">
        <f>SUM(D34:D41)</f>
        <v>79855579</v>
      </c>
      <c r="E42" s="77"/>
      <c r="F42" s="77"/>
      <c r="G42" s="172">
        <f>SUM(G34:G41)</f>
        <v>740830175.17266345</v>
      </c>
      <c r="H42" s="178">
        <f>SUM(H34:H41)</f>
        <v>94855579.001443312</v>
      </c>
      <c r="I42" s="77"/>
      <c r="J42" s="181">
        <f>SUM(J34:J41)</f>
        <v>880005047.38212514</v>
      </c>
      <c r="K42" s="76">
        <f t="shared" si="16"/>
        <v>15000000.001443312</v>
      </c>
      <c r="L42" s="200">
        <f t="shared" si="17"/>
        <v>139174872.20946169</v>
      </c>
      <c r="M42" s="79">
        <f t="shared" si="18"/>
        <v>0.18783909889931813</v>
      </c>
      <c r="N42" s="186">
        <f t="shared" si="19"/>
        <v>0.18786339551709613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260282445.67870557</v>
      </c>
      <c r="H43" s="162"/>
      <c r="I43" s="157"/>
      <c r="J43" s="189">
        <f>SUM(J34:J40)*$E$43 + (J41*$D$43)</f>
        <v>308933878.41864049</v>
      </c>
      <c r="K43" s="162"/>
      <c r="L43" s="189">
        <f>SUM(L34:L40)*$E$43 + (L41*$D$43)</f>
        <v>48651432.739934877</v>
      </c>
      <c r="M43" s="201">
        <f>L43/L42</f>
        <v>0.34957052208902512</v>
      </c>
      <c r="N43" s="190">
        <f>N42*(L43/L42)</f>
        <v>6.5671505252328316E-2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291863833.45933878</v>
      </c>
      <c r="H44" s="162"/>
      <c r="I44" s="157"/>
      <c r="J44" s="189">
        <f>SUM(J34:J40)*$E$44 + (J41*$D$44)</f>
        <v>346608225.28708011</v>
      </c>
      <c r="K44" s="162"/>
      <c r="L44" s="189">
        <f>SUM(L34:L40)*$E$44 + (L41*$D$44)</f>
        <v>54744391.82774131</v>
      </c>
      <c r="M44" s="201">
        <f>L44/L42</f>
        <v>0.39334968273115867</v>
      </c>
      <c r="N44" s="190">
        <f>N42*(L44/L42)</f>
        <v>7.3896007023447938E-2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188683896.03461918</v>
      </c>
      <c r="H45" s="162"/>
      <c r="I45" s="157"/>
      <c r="J45" s="189">
        <f>SUM(J34:J40)*$E$45 + (J41*$D$45)</f>
        <v>224462943.67640465</v>
      </c>
      <c r="K45" s="162"/>
      <c r="L45" s="189">
        <f>SUM(L34:L40)*$E$45 + (L41*$D$45)</f>
        <v>35779047.641785443</v>
      </c>
      <c r="M45" s="201">
        <f>L45/L42</f>
        <v>0.25707979517981577</v>
      </c>
      <c r="N45" s="190">
        <f>N42*(L45/L42)</f>
        <v>4.8295883241319795E-2</v>
      </c>
    </row>
    <row r="46" spans="1:14" x14ac:dyDescent="0.3">
      <c r="D46" s="162" t="s">
        <v>175</v>
      </c>
      <c r="E46" s="162" t="s">
        <v>209</v>
      </c>
      <c r="F46" s="162"/>
      <c r="G46" s="162"/>
      <c r="H46" s="162"/>
      <c r="I46" s="162"/>
      <c r="J46" s="162"/>
      <c r="K46" s="162"/>
      <c r="L46" s="162"/>
      <c r="M46" s="162"/>
      <c r="N46" s="162"/>
    </row>
    <row r="47" spans="1:14" ht="27.6" x14ac:dyDescent="0.3">
      <c r="D47" s="160" t="s">
        <v>210</v>
      </c>
      <c r="E47" s="162"/>
      <c r="F47" s="162"/>
      <c r="G47" s="162"/>
      <c r="H47" s="162"/>
      <c r="I47" s="162"/>
      <c r="J47" s="162"/>
      <c r="K47" s="162"/>
      <c r="L47" s="162"/>
      <c r="M47" s="162"/>
      <c r="N47" s="162"/>
    </row>
  </sheetData>
  <mergeCells count="19">
    <mergeCell ref="A32:A33"/>
    <mergeCell ref="B32:B33"/>
    <mergeCell ref="A30:A31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C32:C33"/>
    <mergeCell ref="D32:G32"/>
    <mergeCell ref="H32:J32"/>
    <mergeCell ref="B4:I4"/>
    <mergeCell ref="K15:N15"/>
    <mergeCell ref="K32:N32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topLeftCell="C1" workbookViewId="0">
      <selection activeCell="M14" sqref="M14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232" t="s">
        <v>105</v>
      </c>
      <c r="I2" s="233"/>
      <c r="J2" s="233"/>
      <c r="K2" s="233"/>
      <c r="L2" s="233"/>
      <c r="M2" s="233"/>
      <c r="N2" s="234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35" t="s">
        <v>136</v>
      </c>
      <c r="I3" s="236"/>
      <c r="J3" s="236"/>
      <c r="K3" s="236"/>
      <c r="L3" s="236"/>
      <c r="M3" s="236"/>
      <c r="N3" s="237"/>
    </row>
    <row r="4" spans="1:14" ht="18.600000000000001" customHeight="1" thickBot="1" x14ac:dyDescent="0.35">
      <c r="A4" s="29" t="s">
        <v>38</v>
      </c>
      <c r="B4" s="238" t="s">
        <v>131</v>
      </c>
      <c r="C4" s="239"/>
      <c r="D4" s="239"/>
      <c r="E4" s="239"/>
      <c r="F4" s="240"/>
    </row>
    <row r="6" spans="1:14" ht="14.4" thickBot="1" x14ac:dyDescent="0.35"/>
    <row r="7" spans="1:14" ht="27.6" customHeight="1" x14ac:dyDescent="0.3">
      <c r="A7" s="248" t="s">
        <v>8</v>
      </c>
      <c r="B7" s="242" t="s">
        <v>9</v>
      </c>
      <c r="C7" s="243"/>
      <c r="D7" s="241" t="s">
        <v>12</v>
      </c>
      <c r="E7" s="242"/>
      <c r="F7" s="243"/>
      <c r="G7" s="241" t="s">
        <v>143</v>
      </c>
      <c r="H7" s="242"/>
      <c r="I7" s="244"/>
      <c r="J7" s="1" t="s">
        <v>144</v>
      </c>
    </row>
    <row r="8" spans="1:14" ht="27.6" x14ac:dyDescent="0.3">
      <c r="A8" s="249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50"/>
      <c r="B9" s="112">
        <f>JJ_Optim_Scenario!G17</f>
        <v>4793199.2</v>
      </c>
      <c r="C9" s="113">
        <f>JJ_Optim_Scenario!H17</f>
        <v>7189798.7999999998</v>
      </c>
      <c r="D9" s="114">
        <f>JJ_Optim_Scenario!I17</f>
        <v>7189798.7999999998</v>
      </c>
      <c r="E9" s="119">
        <f>$B$13*D9+$C$13*D9*D9</f>
        <v>239856.72092273776</v>
      </c>
      <c r="F9" s="85">
        <f>$E$13*D9+$F$13*D9*D9</f>
        <v>2765547.9922391665</v>
      </c>
      <c r="G9" s="120">
        <f>JJ_Optim_Scenario!E17</f>
        <v>5991499</v>
      </c>
      <c r="H9" s="121">
        <f>$B$13*G9+$C$13*G9*G9</f>
        <v>200413.29391107528</v>
      </c>
      <c r="I9" s="115">
        <f>$E$13*G9+$F$13*G9*G9</f>
        <v>2310765.2787946975</v>
      </c>
      <c r="J9" s="123">
        <f>G9/I9</f>
        <v>2.5928635223068546</v>
      </c>
      <c r="K9" s="1" t="s">
        <v>142</v>
      </c>
    </row>
    <row r="10" spans="1:14" ht="14.4" thickBot="1" x14ac:dyDescent="0.35"/>
    <row r="11" spans="1:14" ht="50.4" customHeight="1" x14ac:dyDescent="0.3">
      <c r="A11" s="248" t="s">
        <v>42</v>
      </c>
      <c r="B11" s="242" t="s">
        <v>138</v>
      </c>
      <c r="C11" s="242"/>
      <c r="D11" s="242" t="s">
        <v>125</v>
      </c>
      <c r="E11" s="242" t="s">
        <v>137</v>
      </c>
      <c r="F11" s="242"/>
      <c r="G11" s="244" t="s">
        <v>134</v>
      </c>
      <c r="I11" s="141"/>
      <c r="J11" s="32"/>
    </row>
    <row r="12" spans="1:14" ht="24.6" customHeight="1" x14ac:dyDescent="0.3">
      <c r="A12" s="249"/>
      <c r="B12" s="91" t="s">
        <v>43</v>
      </c>
      <c r="C12" s="91" t="s">
        <v>44</v>
      </c>
      <c r="D12" s="225"/>
      <c r="E12" s="91" t="s">
        <v>132</v>
      </c>
      <c r="F12" s="91" t="s">
        <v>133</v>
      </c>
      <c r="G12" s="245"/>
      <c r="H12" s="198" t="s">
        <v>205</v>
      </c>
      <c r="I12" s="198" t="s">
        <v>206</v>
      </c>
      <c r="J12" s="32"/>
    </row>
    <row r="13" spans="1:14" ht="14.4" thickBot="1" x14ac:dyDescent="0.35">
      <c r="A13" s="250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196">
        <f>JJ_Optim_Scenario!D17</f>
        <v>1</v>
      </c>
      <c r="H13" s="158">
        <f>JJ_Optim_Scenario!$I$31</f>
        <v>116.39999999999999</v>
      </c>
      <c r="I13" s="158">
        <f>JJ_Optim_Scenario!$F$31</f>
        <v>1118</v>
      </c>
      <c r="J13" s="32"/>
    </row>
    <row r="14" spans="1:14" ht="31.8" customHeight="1" x14ac:dyDescent="0.3">
      <c r="A14" s="246" t="s">
        <v>135</v>
      </c>
      <c r="B14" s="246"/>
      <c r="C14" s="246"/>
      <c r="D14" s="246"/>
      <c r="E14" s="246"/>
      <c r="F14" s="246"/>
      <c r="G14" s="246"/>
      <c r="H14" s="39"/>
      <c r="I14" s="39"/>
      <c r="J14" s="39"/>
    </row>
    <row r="15" spans="1:14" ht="30.6" customHeight="1" x14ac:dyDescent="0.3">
      <c r="A15" s="247"/>
      <c r="B15" s="247"/>
      <c r="C15" s="247"/>
      <c r="D15" s="247"/>
      <c r="E15" s="247"/>
      <c r="F15" s="247"/>
      <c r="G15" s="247"/>
      <c r="H15" s="39"/>
      <c r="I15" s="39"/>
      <c r="J15" s="39"/>
    </row>
    <row r="17" spans="1:4" ht="14.4" thickBot="1" x14ac:dyDescent="0.35"/>
    <row r="18" spans="1:4" ht="16.8" customHeight="1" x14ac:dyDescent="0.3">
      <c r="A18" s="251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52"/>
      <c r="B19" s="103">
        <v>0</v>
      </c>
      <c r="C19" s="103">
        <v>15000000</v>
      </c>
      <c r="D19" s="26">
        <v>20</v>
      </c>
    </row>
    <row r="21" spans="1:4" x14ac:dyDescent="0.3">
      <c r="A21" s="225" t="s">
        <v>37</v>
      </c>
      <c r="B21" s="225"/>
      <c r="C21" s="225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199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$B$13*A24+$C$13*A24*A24</f>
        <v>25378.876892208733</v>
      </c>
      <c r="C24" s="116">
        <f t="shared" ref="C24:C43" si="1">$E$13*A24+$F$13*A24*A24</f>
        <v>292618.45056716667</v>
      </c>
      <c r="D24" s="199">
        <f t="shared" ref="D24:D43" si="2">B24*$I$13</f>
        <v>28373584.365489364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199">
        <f t="shared" si="2"/>
        <v>56653849.649874195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199">
        <f t="shared" si="2"/>
        <v>84840795.85315448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199">
        <f t="shared" si="2"/>
        <v>112934422.97533022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199">
        <f t="shared" si="2"/>
        <v>140934731.01640144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199">
        <f t="shared" si="2"/>
        <v>168841719.9763681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199">
        <f t="shared" si="2"/>
        <v>196655389.85523024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199">
        <f t="shared" si="2"/>
        <v>224375740.65298784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199">
        <f t="shared" si="2"/>
        <v>252002772.36964089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199">
        <f t="shared" si="2"/>
        <v>279536485.00518936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199">
        <f t="shared" si="2"/>
        <v>306976878.55963331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199">
        <f t="shared" si="2"/>
        <v>334323953.03297281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199">
        <f t="shared" si="2"/>
        <v>361577708.42520767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199">
        <f t="shared" si="2"/>
        <v>388738144.73633808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199">
        <f t="shared" si="2"/>
        <v>415805261.96636391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199">
        <f t="shared" si="2"/>
        <v>442779060.11528516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199">
        <f t="shared" si="2"/>
        <v>469659539.18310189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199">
        <f t="shared" si="2"/>
        <v>496446699.16981411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199">
        <f t="shared" si="2"/>
        <v>523140540.07542175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199">
        <f t="shared" si="2"/>
        <v>549741061.89992487</v>
      </c>
    </row>
  </sheetData>
  <mergeCells count="15">
    <mergeCell ref="A7:A9"/>
    <mergeCell ref="B7:C7"/>
    <mergeCell ref="A21:C21"/>
    <mergeCell ref="B11:C11"/>
    <mergeCell ref="D11:D12"/>
    <mergeCell ref="E11:F11"/>
    <mergeCell ref="G11:G12"/>
    <mergeCell ref="A14:G15"/>
    <mergeCell ref="A11:A13"/>
    <mergeCell ref="A18:A19"/>
    <mergeCell ref="H2:N2"/>
    <mergeCell ref="H3:N3"/>
    <mergeCell ref="B4:F4"/>
    <mergeCell ref="D7:F7"/>
    <mergeCell ref="G7:I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topLeftCell="A22" workbookViewId="0">
      <selection activeCell="D9" sqref="D9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232" t="s">
        <v>105</v>
      </c>
      <c r="I2" s="233"/>
      <c r="J2" s="233"/>
      <c r="K2" s="233"/>
      <c r="L2" s="233"/>
      <c r="M2" s="233"/>
      <c r="N2" s="234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35" t="s">
        <v>136</v>
      </c>
      <c r="I3" s="236"/>
      <c r="J3" s="236"/>
      <c r="K3" s="236"/>
      <c r="L3" s="236"/>
      <c r="M3" s="236"/>
      <c r="N3" s="237"/>
    </row>
    <row r="4" spans="1:14" ht="18.600000000000001" customHeight="1" thickBot="1" x14ac:dyDescent="0.35">
      <c r="A4" s="29" t="s">
        <v>38</v>
      </c>
      <c r="B4" s="238" t="s">
        <v>131</v>
      </c>
      <c r="C4" s="239"/>
      <c r="D4" s="239"/>
      <c r="E4" s="239"/>
      <c r="F4" s="240"/>
    </row>
    <row r="6" spans="1:14" ht="14.4" thickBot="1" x14ac:dyDescent="0.35"/>
    <row r="7" spans="1:14" ht="27.6" customHeight="1" x14ac:dyDescent="0.3">
      <c r="A7" s="248" t="s">
        <v>8</v>
      </c>
      <c r="B7" s="242" t="s">
        <v>9</v>
      </c>
      <c r="C7" s="243"/>
      <c r="D7" s="241" t="s">
        <v>12</v>
      </c>
      <c r="E7" s="242"/>
      <c r="F7" s="243"/>
      <c r="G7" s="241" t="s">
        <v>143</v>
      </c>
      <c r="H7" s="242"/>
      <c r="I7" s="244"/>
      <c r="J7" s="1" t="s">
        <v>144</v>
      </c>
    </row>
    <row r="8" spans="1:14" ht="27.6" x14ac:dyDescent="0.3">
      <c r="A8" s="249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50"/>
      <c r="B9" s="112">
        <f>JJ_Optim_Scenario!G18</f>
        <v>12488348</v>
      </c>
      <c r="C9" s="113">
        <f>JJ_Optim_Scenario!H18</f>
        <v>18732522</v>
      </c>
      <c r="D9" s="114">
        <f>JJ_Optim_Scenario!I18</f>
        <v>18732522</v>
      </c>
      <c r="E9" s="119">
        <f>$B$13*D9+$C$13*D9*D9</f>
        <v>277175.40674512938</v>
      </c>
      <c r="F9" s="85">
        <f>$E$13*D9+$F$13*D9*D9</f>
        <v>3195832.4397713416</v>
      </c>
      <c r="G9" s="120">
        <f>JJ_Optim_Scenario!E18</f>
        <v>15610435</v>
      </c>
      <c r="H9" s="121">
        <f>$B$13*G9+$C$13*G9*G9</f>
        <v>230933.63819705584</v>
      </c>
      <c r="I9" s="115">
        <f>$E$13*G9+$F$13*G9*G9</f>
        <v>2662664.8484120537</v>
      </c>
      <c r="J9" s="123">
        <f>G9/I9</f>
        <v>5.862711189246995</v>
      </c>
      <c r="K9" s="1" t="s">
        <v>142</v>
      </c>
    </row>
    <row r="10" spans="1:14" ht="14.4" thickBot="1" x14ac:dyDescent="0.35"/>
    <row r="11" spans="1:14" ht="50.4" customHeight="1" x14ac:dyDescent="0.3">
      <c r="A11" s="248" t="s">
        <v>42</v>
      </c>
      <c r="B11" s="242" t="s">
        <v>138</v>
      </c>
      <c r="C11" s="242"/>
      <c r="D11" s="242" t="s">
        <v>125</v>
      </c>
      <c r="E11" s="242" t="s">
        <v>137</v>
      </c>
      <c r="F11" s="242"/>
      <c r="G11" s="244" t="s">
        <v>134</v>
      </c>
      <c r="J11" s="32"/>
    </row>
    <row r="12" spans="1:14" ht="24.6" customHeight="1" x14ac:dyDescent="0.3">
      <c r="A12" s="249"/>
      <c r="B12" s="91" t="s">
        <v>43</v>
      </c>
      <c r="C12" s="91" t="s">
        <v>44</v>
      </c>
      <c r="D12" s="225"/>
      <c r="E12" s="91" t="s">
        <v>132</v>
      </c>
      <c r="F12" s="91" t="s">
        <v>133</v>
      </c>
      <c r="G12" s="245"/>
      <c r="H12" s="198" t="s">
        <v>205</v>
      </c>
      <c r="I12" s="198" t="s">
        <v>206</v>
      </c>
      <c r="J12" s="32"/>
    </row>
    <row r="13" spans="1:14" ht="14.4" thickBot="1" x14ac:dyDescent="0.35">
      <c r="A13" s="250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196">
        <f>JJ_Optim_Scenario!D18</f>
        <v>1</v>
      </c>
      <c r="H13" s="158">
        <f>JJ_Optim_Scenario!$I$31</f>
        <v>116.39999999999999</v>
      </c>
      <c r="I13" s="158">
        <f>JJ_Optim_Scenario!$F$31</f>
        <v>1118</v>
      </c>
      <c r="J13" s="32"/>
    </row>
    <row r="14" spans="1:14" ht="31.8" customHeight="1" x14ac:dyDescent="0.3">
      <c r="A14" s="246" t="s">
        <v>135</v>
      </c>
      <c r="B14" s="246"/>
      <c r="C14" s="246"/>
      <c r="D14" s="246"/>
      <c r="E14" s="246"/>
      <c r="F14" s="246"/>
      <c r="G14" s="246"/>
      <c r="H14" s="39"/>
      <c r="I14" s="39"/>
      <c r="J14" s="39"/>
    </row>
    <row r="15" spans="1:14" ht="30.6" customHeight="1" x14ac:dyDescent="0.3">
      <c r="A15" s="247"/>
      <c r="B15" s="247"/>
      <c r="C15" s="247"/>
      <c r="D15" s="247"/>
      <c r="E15" s="247"/>
      <c r="F15" s="247"/>
      <c r="G15" s="247"/>
      <c r="H15" s="39"/>
      <c r="I15" s="39"/>
      <c r="J15" s="39"/>
    </row>
    <row r="17" spans="1:4" ht="14.4" thickBot="1" x14ac:dyDescent="0.35"/>
    <row r="18" spans="1:4" ht="16.8" customHeight="1" x14ac:dyDescent="0.3">
      <c r="A18" s="251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52"/>
      <c r="B19" s="103">
        <v>0</v>
      </c>
      <c r="C19" s="103">
        <v>40000000</v>
      </c>
      <c r="D19" s="26">
        <v>20</v>
      </c>
    </row>
    <row r="21" spans="1:4" x14ac:dyDescent="0.3">
      <c r="A21" s="225" t="s">
        <v>37</v>
      </c>
      <c r="B21" s="225"/>
      <c r="C21" s="225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199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$B$13*A24+$C$13*A24*A24</f>
        <v>29561.46752068662</v>
      </c>
      <c r="C24" s="116">
        <f t="shared" ref="C24:C43" si="1">$E$13*A24+$F$13*A24*A24</f>
        <v>340843.72051351675</v>
      </c>
      <c r="D24" s="199">
        <f t="shared" ref="D24:D43" si="2">B24*$I$13</f>
        <v>33049720.688127641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199">
        <f t="shared" si="2"/>
        <v>66107858.740741633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199">
        <f t="shared" si="2"/>
        <v>99174414.15784201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199">
        <f t="shared" si="2"/>
        <v>132249386.93942873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199">
        <f t="shared" si="2"/>
        <v>165332777.08550182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199">
        <f t="shared" si="2"/>
        <v>198424584.59606126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199">
        <f t="shared" si="2"/>
        <v>231524809.47110707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199">
        <f t="shared" si="2"/>
        <v>264633451.71063921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199">
        <f t="shared" si="2"/>
        <v>297750511.31465775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199">
        <f t="shared" si="2"/>
        <v>330875988.28316259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199">
        <f t="shared" si="2"/>
        <v>364009882.61615384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199">
        <f t="shared" si="2"/>
        <v>397152194.31363147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199">
        <f t="shared" si="2"/>
        <v>430302923.37559539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199">
        <f t="shared" si="2"/>
        <v>463462069.8020457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199">
        <f t="shared" si="2"/>
        <v>496629633.59298241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199">
        <f t="shared" si="2"/>
        <v>529805614.74840552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199">
        <f t="shared" si="2"/>
        <v>562990013.26831484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199">
        <f t="shared" si="2"/>
        <v>596182829.15271056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199">
        <f t="shared" si="2"/>
        <v>629384062.40159273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199">
        <f t="shared" si="2"/>
        <v>662593713.01496136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topLeftCell="A16" workbookViewId="0">
      <selection activeCell="D23" sqref="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232" t="s">
        <v>105</v>
      </c>
      <c r="I2" s="233"/>
      <c r="J2" s="233"/>
      <c r="K2" s="233"/>
      <c r="L2" s="233"/>
      <c r="M2" s="233"/>
      <c r="N2" s="234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35" t="s">
        <v>136</v>
      </c>
      <c r="I3" s="236"/>
      <c r="J3" s="236"/>
      <c r="K3" s="236"/>
      <c r="L3" s="236"/>
      <c r="M3" s="236"/>
      <c r="N3" s="237"/>
    </row>
    <row r="4" spans="1:14" ht="18.600000000000001" customHeight="1" thickBot="1" x14ac:dyDescent="0.35">
      <c r="A4" s="29" t="s">
        <v>38</v>
      </c>
      <c r="B4" s="238" t="s">
        <v>131</v>
      </c>
      <c r="C4" s="239"/>
      <c r="D4" s="239"/>
      <c r="E4" s="239"/>
      <c r="F4" s="240"/>
    </row>
    <row r="6" spans="1:14" ht="14.4" thickBot="1" x14ac:dyDescent="0.35"/>
    <row r="7" spans="1:14" ht="27.6" customHeight="1" x14ac:dyDescent="0.3">
      <c r="A7" s="248" t="s">
        <v>8</v>
      </c>
      <c r="B7" s="242" t="s">
        <v>9</v>
      </c>
      <c r="C7" s="243"/>
      <c r="D7" s="241" t="s">
        <v>12</v>
      </c>
      <c r="E7" s="242"/>
      <c r="F7" s="243"/>
      <c r="G7" s="241" t="s">
        <v>143</v>
      </c>
      <c r="H7" s="242"/>
      <c r="I7" s="244"/>
      <c r="J7" s="1" t="s">
        <v>144</v>
      </c>
    </row>
    <row r="8" spans="1:14" ht="27.6" x14ac:dyDescent="0.3">
      <c r="A8" s="249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50"/>
      <c r="B9" s="112">
        <v>0</v>
      </c>
      <c r="C9" s="113">
        <v>50000000</v>
      </c>
      <c r="D9" s="114">
        <v>21601934</v>
      </c>
      <c r="E9" s="119">
        <f>$B$13*D9+$C$13*D9*D9</f>
        <v>402592.96987355122</v>
      </c>
      <c r="F9" s="85">
        <f>$E$13*D9+$F$13*D9*D9</f>
        <v>4641896.9426420452</v>
      </c>
      <c r="G9" s="120">
        <v>21601934</v>
      </c>
      <c r="H9" s="121">
        <f>$B$13*G9+$C$13*G9*G9</f>
        <v>402592.96987355122</v>
      </c>
      <c r="I9" s="115">
        <f>$E$13*G9+$F$13*G9*G9</f>
        <v>4641896.9426420452</v>
      </c>
      <c r="J9" s="123">
        <f>G9/I9</f>
        <v>4.6536866860522652</v>
      </c>
      <c r="K9" s="1" t="s">
        <v>142</v>
      </c>
    </row>
    <row r="10" spans="1:14" ht="14.4" thickBot="1" x14ac:dyDescent="0.35"/>
    <row r="11" spans="1:14" ht="50.4" customHeight="1" x14ac:dyDescent="0.3">
      <c r="A11" s="248" t="s">
        <v>42</v>
      </c>
      <c r="B11" s="242" t="s">
        <v>138</v>
      </c>
      <c r="C11" s="242"/>
      <c r="D11" s="242" t="s">
        <v>125</v>
      </c>
      <c r="E11" s="242" t="s">
        <v>137</v>
      </c>
      <c r="F11" s="242"/>
      <c r="G11" s="244" t="s">
        <v>134</v>
      </c>
      <c r="J11" s="32"/>
    </row>
    <row r="12" spans="1:14" ht="24.6" customHeight="1" x14ac:dyDescent="0.3">
      <c r="A12" s="249"/>
      <c r="B12" s="91" t="s">
        <v>43</v>
      </c>
      <c r="C12" s="91" t="s">
        <v>44</v>
      </c>
      <c r="D12" s="225"/>
      <c r="E12" s="91" t="s">
        <v>132</v>
      </c>
      <c r="F12" s="91" t="s">
        <v>133</v>
      </c>
      <c r="G12" s="245"/>
      <c r="H12" s="198" t="s">
        <v>205</v>
      </c>
      <c r="I12" s="198" t="s">
        <v>206</v>
      </c>
      <c r="J12" s="32"/>
    </row>
    <row r="13" spans="1:14" ht="14.4" thickBot="1" x14ac:dyDescent="0.35">
      <c r="A13" s="250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14">
        <v>1</v>
      </c>
      <c r="H13" s="158">
        <f>JJ_Optim_Scenario!$I$31</f>
        <v>116.39999999999999</v>
      </c>
      <c r="I13" s="158">
        <f>JJ_Optim_Scenario!$F$31</f>
        <v>1118</v>
      </c>
      <c r="J13" s="32"/>
    </row>
    <row r="14" spans="1:14" ht="31.8" customHeight="1" x14ac:dyDescent="0.3">
      <c r="A14" s="246" t="s">
        <v>135</v>
      </c>
      <c r="B14" s="246"/>
      <c r="C14" s="246"/>
      <c r="D14" s="246"/>
      <c r="E14" s="246"/>
      <c r="F14" s="246"/>
      <c r="G14" s="246"/>
      <c r="H14" s="39"/>
      <c r="I14" s="39"/>
      <c r="J14" s="39"/>
    </row>
    <row r="15" spans="1:14" ht="30.6" customHeight="1" x14ac:dyDescent="0.3">
      <c r="A15" s="247"/>
      <c r="B15" s="247"/>
      <c r="C15" s="247"/>
      <c r="D15" s="247"/>
      <c r="E15" s="247"/>
      <c r="F15" s="247"/>
      <c r="G15" s="247"/>
      <c r="H15" s="39"/>
      <c r="I15" s="39"/>
      <c r="J15" s="39"/>
    </row>
    <row r="17" spans="1:4" ht="14.4" thickBot="1" x14ac:dyDescent="0.35"/>
    <row r="18" spans="1:4" ht="16.8" customHeight="1" x14ac:dyDescent="0.3">
      <c r="A18" s="251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52"/>
      <c r="B19" s="103">
        <v>0</v>
      </c>
      <c r="C19" s="103">
        <v>60000000</v>
      </c>
      <c r="D19" s="26">
        <v>20</v>
      </c>
    </row>
    <row r="21" spans="1:4" x14ac:dyDescent="0.3">
      <c r="A21" s="225" t="s">
        <v>37</v>
      </c>
      <c r="B21" s="225"/>
      <c r="C21" s="225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199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$B$13*A24+$C$13*A24*A24</f>
        <v>55854.365811933487</v>
      </c>
      <c r="C24" s="116">
        <f t="shared" ref="C24:C43" si="1">$E$13*A24+$F$13*A24*A24</f>
        <v>644000.83781159297</v>
      </c>
      <c r="D24" s="199">
        <f t="shared" ref="D24:D43" si="2">B24*$I$13</f>
        <v>62445180.977741636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199">
        <f t="shared" si="2"/>
        <v>124910670.79189546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199">
        <f t="shared" si="2"/>
        <v>187396469.44246146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199">
        <f t="shared" si="2"/>
        <v>249902576.92943963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199">
        <f t="shared" si="2"/>
        <v>312428993.25282997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199">
        <f t="shared" si="2"/>
        <v>374975718.41263252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199">
        <f t="shared" si="2"/>
        <v>437542752.40884727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199">
        <f t="shared" si="2"/>
        <v>500130095.24147415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199">
        <f t="shared" si="2"/>
        <v>562737746.91051328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199">
        <f t="shared" si="2"/>
        <v>625365707.4159646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199">
        <f t="shared" si="2"/>
        <v>688013976.757828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199">
        <f t="shared" si="2"/>
        <v>750682554.9361037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199">
        <f t="shared" si="2"/>
        <v>813371441.95079136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199">
        <f t="shared" si="2"/>
        <v>876080637.80189145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199">
        <f t="shared" si="2"/>
        <v>938810142.48940361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199">
        <f t="shared" si="2"/>
        <v>1001559956.013328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199">
        <f t="shared" si="2"/>
        <v>1064330078.3736646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199">
        <f t="shared" si="2"/>
        <v>1127120509.5704134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199">
        <f t="shared" si="2"/>
        <v>1189931249.6035743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199">
        <f t="shared" si="2"/>
        <v>1252762298.4731474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232" t="s">
        <v>105</v>
      </c>
      <c r="I2" s="233"/>
      <c r="J2" s="233"/>
      <c r="K2" s="233"/>
      <c r="L2" s="233"/>
      <c r="M2" s="233"/>
      <c r="N2" s="234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235" t="s">
        <v>136</v>
      </c>
      <c r="I3" s="236"/>
      <c r="J3" s="236"/>
      <c r="K3" s="236"/>
      <c r="L3" s="236"/>
      <c r="M3" s="236"/>
      <c r="N3" s="237"/>
    </row>
    <row r="4" spans="1:14" ht="18.600000000000001" customHeight="1" thickBot="1" x14ac:dyDescent="0.35">
      <c r="A4" s="29" t="s">
        <v>38</v>
      </c>
      <c r="B4" s="238" t="s">
        <v>131</v>
      </c>
      <c r="C4" s="239"/>
      <c r="D4" s="239"/>
      <c r="E4" s="239"/>
      <c r="F4" s="240"/>
    </row>
    <row r="6" spans="1:14" ht="14.4" thickBot="1" x14ac:dyDescent="0.35"/>
    <row r="7" spans="1:14" ht="27.6" customHeight="1" x14ac:dyDescent="0.3">
      <c r="A7" s="248" t="s">
        <v>8</v>
      </c>
      <c r="B7" s="242" t="s">
        <v>9</v>
      </c>
      <c r="C7" s="243"/>
      <c r="D7" s="241" t="s">
        <v>12</v>
      </c>
      <c r="E7" s="242"/>
      <c r="F7" s="243"/>
      <c r="G7" s="241" t="s">
        <v>143</v>
      </c>
      <c r="H7" s="242"/>
      <c r="I7" s="244"/>
      <c r="J7" s="1" t="s">
        <v>144</v>
      </c>
    </row>
    <row r="8" spans="1:14" ht="27.6" x14ac:dyDescent="0.3">
      <c r="A8" s="249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50"/>
      <c r="B9" s="112">
        <f>JJ_Optim_Scenario!E19</f>
        <v>3804716</v>
      </c>
      <c r="C9" s="113">
        <f>JJ_Optim_Scenario!H19</f>
        <v>4565659.2</v>
      </c>
      <c r="D9" s="114">
        <f>JJ_Optim_Scenario!I19</f>
        <v>4565658.3038922334</v>
      </c>
      <c r="E9" s="119">
        <f>$B$13*D9+$C$13*D9*D9</f>
        <v>15669.920198807336</v>
      </c>
      <c r="F9" s="85">
        <f>$E$13*D9+$F$13*D9*D9</f>
        <v>180674.17989224856</v>
      </c>
      <c r="G9" s="120">
        <f>JJ_Optim_Scenario!E19</f>
        <v>3804716</v>
      </c>
      <c r="H9" s="121">
        <f>$B$13*G9+$C$13*G9*G9</f>
        <v>13058.170083390574</v>
      </c>
      <c r="I9" s="115">
        <f>$E$13*G9+$F$13*G9*G9</f>
        <v>150560.70106149331</v>
      </c>
      <c r="J9" s="123">
        <f>G9/I9</f>
        <v>25.270312725536826</v>
      </c>
      <c r="K9" s="1" t="s">
        <v>142</v>
      </c>
    </row>
    <row r="10" spans="1:14" ht="14.4" thickBot="1" x14ac:dyDescent="0.35"/>
    <row r="11" spans="1:14" ht="50.4" customHeight="1" x14ac:dyDescent="0.3">
      <c r="A11" s="248" t="s">
        <v>42</v>
      </c>
      <c r="B11" s="242" t="s">
        <v>138</v>
      </c>
      <c r="C11" s="242"/>
      <c r="D11" s="242" t="s">
        <v>125</v>
      </c>
      <c r="E11" s="242" t="s">
        <v>137</v>
      </c>
      <c r="F11" s="242"/>
      <c r="G11" s="244" t="s">
        <v>134</v>
      </c>
      <c r="J11" s="32"/>
    </row>
    <row r="12" spans="1:14" ht="24.6" customHeight="1" x14ac:dyDescent="0.3">
      <c r="A12" s="249"/>
      <c r="B12" s="91" t="s">
        <v>43</v>
      </c>
      <c r="C12" s="91" t="s">
        <v>44</v>
      </c>
      <c r="D12" s="225"/>
      <c r="E12" s="91" t="s">
        <v>132</v>
      </c>
      <c r="F12" s="91" t="s">
        <v>133</v>
      </c>
      <c r="G12" s="245"/>
      <c r="H12" s="198" t="s">
        <v>205</v>
      </c>
      <c r="I12" s="198" t="s">
        <v>206</v>
      </c>
      <c r="J12" s="32"/>
    </row>
    <row r="13" spans="1:14" ht="14.4" thickBot="1" x14ac:dyDescent="0.35">
      <c r="A13" s="250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196">
        <f>JJ_Optim_Scenario!D19</f>
        <v>1</v>
      </c>
      <c r="H13" s="158">
        <f>JJ_Optim_Scenario!$I$31</f>
        <v>116.39999999999999</v>
      </c>
      <c r="I13" s="158">
        <f>JJ_Optim_Scenario!$F$31</f>
        <v>1118</v>
      </c>
      <c r="J13" s="32"/>
    </row>
    <row r="14" spans="1:14" ht="31.8" customHeight="1" x14ac:dyDescent="0.3">
      <c r="A14" s="246" t="s">
        <v>135</v>
      </c>
      <c r="B14" s="246"/>
      <c r="C14" s="246"/>
      <c r="D14" s="246"/>
      <c r="E14" s="246"/>
      <c r="F14" s="246"/>
      <c r="G14" s="246"/>
      <c r="H14" s="39"/>
      <c r="I14" s="39"/>
      <c r="J14" s="39"/>
    </row>
    <row r="15" spans="1:14" ht="30.6" customHeight="1" x14ac:dyDescent="0.3">
      <c r="A15" s="247"/>
      <c r="B15" s="247"/>
      <c r="C15" s="247"/>
      <c r="D15" s="247"/>
      <c r="E15" s="247"/>
      <c r="F15" s="247"/>
      <c r="G15" s="247"/>
      <c r="H15" s="39"/>
      <c r="I15" s="39"/>
      <c r="J15" s="39"/>
    </row>
    <row r="17" spans="1:4" ht="14.4" thickBot="1" x14ac:dyDescent="0.35"/>
    <row r="18" spans="1:4" ht="16.8" customHeight="1" x14ac:dyDescent="0.3">
      <c r="A18" s="251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52"/>
      <c r="B19" s="103">
        <v>0</v>
      </c>
      <c r="C19" s="103">
        <v>10000000</v>
      </c>
      <c r="D19" s="26">
        <v>20</v>
      </c>
    </row>
    <row r="21" spans="1:4" x14ac:dyDescent="0.3">
      <c r="A21" s="225" t="s">
        <v>37</v>
      </c>
      <c r="B21" s="225"/>
      <c r="C21" s="225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199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$B$13*A24+$C$13*A24*A24</f>
        <v>1715.9938848419392</v>
      </c>
      <c r="C24" s="116">
        <f t="shared" ref="C24:C43" si="1">$E$13*A24+$F$13*A24*A24</f>
        <v>19785.409492227558</v>
      </c>
      <c r="D24" s="199">
        <f t="shared" ref="D24:D43" si="2">B24*$I$13</f>
        <v>1918481.163253288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199">
        <f t="shared" si="2"/>
        <v>3836981.5016745832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199">
        <f t="shared" si="2"/>
        <v>5755501.0152638862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199">
        <f t="shared" si="2"/>
        <v>7674039.7040211959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199">
        <f t="shared" si="2"/>
        <v>9592597.5679465123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199">
        <f t="shared" si="2"/>
        <v>11511174.607039837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199">
        <f t="shared" si="2"/>
        <v>13429770.821301168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199">
        <f t="shared" si="2"/>
        <v>15348386.210730504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199">
        <f t="shared" si="2"/>
        <v>17267020.775327854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199">
        <f t="shared" si="2"/>
        <v>19185674.515093207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199">
        <f t="shared" si="2"/>
        <v>21104347.430026565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199">
        <f t="shared" si="2"/>
        <v>23023039.520127933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199">
        <f t="shared" si="2"/>
        <v>24941750.785397302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199">
        <f t="shared" si="2"/>
        <v>26860481.22583469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199">
        <f t="shared" si="2"/>
        <v>28779230.841440078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199">
        <f t="shared" si="2"/>
        <v>30697999.63221347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199">
        <f t="shared" si="2"/>
        <v>32616787.598154876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199">
        <f t="shared" si="2"/>
        <v>34535594.739264287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199">
        <f t="shared" si="2"/>
        <v>36454421.055541702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199">
        <f t="shared" si="2"/>
        <v>38373266.546987124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A9" workbookViewId="0">
      <selection activeCell="E41" sqref="E41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209" t="s">
        <v>105</v>
      </c>
      <c r="N2" s="210"/>
      <c r="O2" s="210"/>
      <c r="P2" s="210"/>
      <c r="Q2" s="210"/>
      <c r="R2" s="210"/>
      <c r="S2" s="211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212" t="s">
        <v>72</v>
      </c>
      <c r="N3" s="213"/>
      <c r="O3" s="213"/>
      <c r="P3" s="213"/>
      <c r="Q3" s="213"/>
      <c r="R3" s="213"/>
      <c r="S3" s="214"/>
    </row>
    <row r="4" spans="1:25" ht="15" customHeight="1" thickBot="1" x14ac:dyDescent="0.35">
      <c r="A4" s="29" t="s">
        <v>38</v>
      </c>
      <c r="B4" s="238" t="s">
        <v>57</v>
      </c>
      <c r="C4" s="239"/>
      <c r="D4" s="239"/>
      <c r="E4" s="239"/>
      <c r="F4" s="240"/>
    </row>
    <row r="6" spans="1:25" ht="14.4" thickBot="1" x14ac:dyDescent="0.35"/>
    <row r="7" spans="1:25" ht="27.6" customHeight="1" x14ac:dyDescent="0.3">
      <c r="A7" s="248" t="s">
        <v>8</v>
      </c>
      <c r="B7" s="242" t="s">
        <v>9</v>
      </c>
      <c r="C7" s="242"/>
      <c r="D7" s="242" t="s">
        <v>12</v>
      </c>
      <c r="E7" s="242"/>
      <c r="F7" s="242"/>
      <c r="G7" s="242" t="s">
        <v>143</v>
      </c>
      <c r="H7" s="242"/>
      <c r="I7" s="244"/>
      <c r="J7" s="254" t="s">
        <v>144</v>
      </c>
      <c r="K7" s="255"/>
      <c r="M7" s="253" t="s">
        <v>73</v>
      </c>
      <c r="N7" s="253"/>
      <c r="O7" s="253"/>
      <c r="P7" s="253"/>
      <c r="R7" s="47" t="s">
        <v>58</v>
      </c>
    </row>
    <row r="8" spans="1:25" ht="27.6" x14ac:dyDescent="0.3">
      <c r="A8" s="249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253"/>
      <c r="N8" s="253"/>
      <c r="O8" s="253"/>
      <c r="P8" s="253"/>
      <c r="R8" s="47" t="s">
        <v>59</v>
      </c>
    </row>
    <row r="9" spans="1:25" ht="14.4" thickBot="1" x14ac:dyDescent="0.35">
      <c r="A9" s="250"/>
      <c r="B9" s="112">
        <f>JJ_Optim_Scenario!G20</f>
        <v>3552000</v>
      </c>
      <c r="C9" s="112">
        <f>JJ_Optim_Scenario!H20</f>
        <v>5328000</v>
      </c>
      <c r="D9" s="117">
        <f>JJ_Optim_Scenario!I20</f>
        <v>4356885.0975510776</v>
      </c>
      <c r="E9" s="118">
        <f>csplinePred($B$14:$B$20,$C$14:$C$20,$H$14:$O$20,D9)*$C$12</f>
        <v>2196.8298188090703</v>
      </c>
      <c r="F9" s="118">
        <f>E9*$C$11</f>
        <v>25329.44781086858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" thickBot="1" x14ac:dyDescent="0.35"/>
    <row r="11" spans="1:25" ht="27.6" customHeight="1" x14ac:dyDescent="0.3">
      <c r="A11" s="248" t="s">
        <v>148</v>
      </c>
      <c r="B11" s="93" t="s">
        <v>149</v>
      </c>
      <c r="C11" s="10">
        <v>11.53</v>
      </c>
      <c r="D11" s="198" t="s">
        <v>205</v>
      </c>
      <c r="E11" s="198" t="s">
        <v>206</v>
      </c>
    </row>
    <row r="12" spans="1:25" ht="38.4" customHeight="1" thickBot="1" x14ac:dyDescent="0.35">
      <c r="A12" s="250"/>
      <c r="B12" s="137" t="s">
        <v>134</v>
      </c>
      <c r="C12" s="196">
        <f>JJ_Optim_Scenario!D20</f>
        <v>1</v>
      </c>
      <c r="D12" s="158">
        <f>JJ_Optim_Scenario!$I$31</f>
        <v>116.39999999999999</v>
      </c>
      <c r="E12" s="158">
        <f>JJ_Optim_Scenario!$F$31</f>
        <v>1118</v>
      </c>
    </row>
    <row r="13" spans="1:25" ht="13.8" customHeight="1" x14ac:dyDescent="0.3">
      <c r="A13" s="248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256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249"/>
      <c r="B14" s="125">
        <v>0</v>
      </c>
      <c r="C14" s="127">
        <v>0</v>
      </c>
      <c r="D14" s="133">
        <f>C14*$C$11</f>
        <v>0</v>
      </c>
      <c r="E14" s="130"/>
      <c r="G14" s="257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249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257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249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257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249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257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249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257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249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257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250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258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259" t="s">
        <v>74</v>
      </c>
      <c r="B21" s="260"/>
      <c r="C21" s="261"/>
      <c r="D21" s="33"/>
      <c r="G21" s="247" t="s">
        <v>75</v>
      </c>
      <c r="H21" s="247"/>
      <c r="I21" s="247"/>
      <c r="J21" s="247"/>
      <c r="K21" s="247"/>
      <c r="L21" s="247"/>
      <c r="M21" s="247"/>
      <c r="N21" s="247"/>
      <c r="O21" s="247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262"/>
      <c r="B22" s="263"/>
      <c r="C22" s="264"/>
      <c r="D22" s="33"/>
      <c r="G22" s="247"/>
      <c r="H22" s="247"/>
      <c r="I22" s="247"/>
      <c r="J22" s="247"/>
      <c r="K22" s="247"/>
      <c r="L22" s="247"/>
      <c r="M22" s="247"/>
      <c r="N22" s="247"/>
      <c r="O22" s="247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251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252"/>
      <c r="B26" s="103">
        <v>0</v>
      </c>
      <c r="C26" s="103">
        <v>20000000</v>
      </c>
      <c r="D26" s="26">
        <v>20</v>
      </c>
    </row>
    <row r="28" spans="1:25" x14ac:dyDescent="0.3">
      <c r="A28" s="225" t="s">
        <v>37</v>
      </c>
      <c r="B28" s="225"/>
      <c r="C28" s="225"/>
    </row>
    <row r="29" spans="1:25" x14ac:dyDescent="0.3">
      <c r="A29" s="91" t="s">
        <v>35</v>
      </c>
      <c r="B29" s="91" t="s">
        <v>127</v>
      </c>
      <c r="C29" s="91" t="s">
        <v>156</v>
      </c>
      <c r="D29" s="198" t="s">
        <v>207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199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199">
        <f t="shared" ref="D31:D50" si="2">B31*$E$12</f>
        <v>703853.55877536966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199">
        <f t="shared" si="2"/>
        <v>1333578.4064506467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199">
        <f t="shared" si="2"/>
        <v>1850974.5836547194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199">
        <f t="shared" si="2"/>
        <v>2302983.3816482755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199">
        <f t="shared" si="2"/>
        <v>2716412.0582507034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199">
        <f t="shared" si="2"/>
        <v>3065445.4764053603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199">
        <f t="shared" si="2"/>
        <v>3349869.7676340495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199">
        <f t="shared" si="2"/>
        <v>3596245.1515711565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199">
        <f t="shared" si="2"/>
        <v>3816026.364329217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199">
        <f t="shared" si="2"/>
        <v>4011306.5381120034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199">
        <f t="shared" si="2"/>
        <v>4184064.5468878993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199">
        <f t="shared" si="2"/>
        <v>4336261.3805715209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199">
        <f t="shared" si="2"/>
        <v>4469798.3244956825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199">
        <f t="shared" si="2"/>
        <v>4586564.2198148491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199">
        <f t="shared" si="2"/>
        <v>4688447.907683488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199">
        <f t="shared" si="2"/>
        <v>4777338.2292560609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199">
        <f t="shared" si="2"/>
        <v>4855124.025687038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199">
        <f t="shared" si="2"/>
        <v>4923694.1381308818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199">
        <f t="shared" si="2"/>
        <v>4984937.4077420589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199">
        <f t="shared" si="2"/>
        <v>5040742.6756750345</v>
      </c>
    </row>
  </sheetData>
  <mergeCells count="16"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  <mergeCell ref="M2:S2"/>
    <mergeCell ref="M3:S3"/>
    <mergeCell ref="A7:A9"/>
    <mergeCell ref="B7:C7"/>
    <mergeCell ref="M7:P8"/>
    <mergeCell ref="B4:F4"/>
  </mergeCells>
  <pageMargins left="0.7" right="0.7" top="0.75" bottom="0.75" header="0.3" footer="0.3"/>
  <pageSetup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65" t="s">
        <v>111</v>
      </c>
      <c r="C4" s="265"/>
      <c r="D4" s="265"/>
      <c r="E4" s="265"/>
      <c r="F4" s="266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248" t="s">
        <v>8</v>
      </c>
      <c r="B7" s="242" t="s">
        <v>9</v>
      </c>
      <c r="C7" s="243"/>
      <c r="D7" s="267" t="s">
        <v>12</v>
      </c>
      <c r="E7" s="268"/>
      <c r="F7" s="269"/>
      <c r="G7" s="242" t="s">
        <v>143</v>
      </c>
      <c r="H7" s="242"/>
      <c r="I7" s="244"/>
      <c r="J7" s="1" t="s">
        <v>144</v>
      </c>
    </row>
    <row r="8" spans="1:18" ht="28.2" customHeight="1" x14ac:dyDescent="0.3">
      <c r="A8" s="249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50"/>
      <c r="B9" s="80">
        <f>JJ_Optim_Scenario!G21</f>
        <v>18363200</v>
      </c>
      <c r="C9" s="80">
        <f>JJ_Optim_Scenario!H21</f>
        <v>27544800</v>
      </c>
      <c r="D9" s="95">
        <f>JJ_Optim_Scenario!I21</f>
        <v>27544800.000000004</v>
      </c>
      <c r="E9" s="118">
        <f>((($R$12/(1+EXP($P$12+$Q$12*D9)))-1) - ($F$12-$C$12))*$I$12</f>
        <v>161617.28299123794</v>
      </c>
      <c r="F9" s="145">
        <f>E9*$G$12</f>
        <v>1863447.2728889734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" thickBot="1" x14ac:dyDescent="0.35"/>
    <row r="11" spans="1:18" ht="51.6" customHeight="1" x14ac:dyDescent="0.3">
      <c r="A11" s="248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251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50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197">
        <f>JJ_Optim_Scenario!D21</f>
        <v>1</v>
      </c>
      <c r="K12" s="252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270" t="s">
        <v>119</v>
      </c>
      <c r="B13" s="271"/>
      <c r="C13" s="271"/>
      <c r="D13" s="271"/>
      <c r="E13" s="271"/>
      <c r="F13" s="272"/>
      <c r="G13" s="198" t="s">
        <v>205</v>
      </c>
      <c r="H13" s="198" t="s">
        <v>206</v>
      </c>
      <c r="K13" s="270" t="s">
        <v>120</v>
      </c>
      <c r="L13" s="271"/>
      <c r="M13" s="271"/>
      <c r="N13" s="271"/>
      <c r="O13" s="271"/>
      <c r="P13" s="271"/>
      <c r="Q13" s="271"/>
      <c r="R13" s="272"/>
    </row>
    <row r="14" spans="1:18" ht="33.6" customHeight="1" thickBot="1" x14ac:dyDescent="0.35">
      <c r="A14" s="262"/>
      <c r="B14" s="263"/>
      <c r="C14" s="263"/>
      <c r="D14" s="263"/>
      <c r="E14" s="263"/>
      <c r="F14" s="264"/>
      <c r="G14" s="158">
        <f>JJ_Optim_Scenario!$I$31</f>
        <v>116.39999999999999</v>
      </c>
      <c r="H14" s="158">
        <f>JJ_Optim_Scenario!$F$31</f>
        <v>1118</v>
      </c>
      <c r="K14" s="262"/>
      <c r="L14" s="263"/>
      <c r="M14" s="263"/>
      <c r="N14" s="263"/>
      <c r="O14" s="263"/>
      <c r="P14" s="263"/>
      <c r="Q14" s="263"/>
      <c r="R14" s="264"/>
    </row>
    <row r="16" spans="1:18" ht="14.4" thickBot="1" x14ac:dyDescent="0.35"/>
    <row r="17" spans="1:8" ht="42.6" customHeight="1" x14ac:dyDescent="0.3">
      <c r="A17" s="251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52"/>
      <c r="B18" s="102">
        <v>0</v>
      </c>
      <c r="C18" s="103">
        <v>60000000</v>
      </c>
      <c r="D18" s="26">
        <v>20</v>
      </c>
    </row>
    <row r="20" spans="1:8" x14ac:dyDescent="0.3">
      <c r="A20" s="225" t="s">
        <v>37</v>
      </c>
      <c r="B20" s="225"/>
      <c r="C20" s="225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199">
        <f t="shared" ref="E23:E42" si="2">B23*$H$14</f>
        <v>22793569.184145041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199">
        <f t="shared" si="2"/>
        <v>44772644.013821252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199">
        <f t="shared" si="2"/>
        <v>65959669.860759467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199">
        <f t="shared" si="2"/>
        <v>86377003.212655365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199">
        <f t="shared" si="2"/>
        <v>106046862.62460285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199">
        <f t="shared" si="2"/>
        <v>124991284.05911189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199">
        <f t="shared" si="2"/>
        <v>143232080.436901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199">
        <f t="shared" si="2"/>
        <v>160790805.21150315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199">
        <f t="shared" si="2"/>
        <v>177688719.77407649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199">
        <f t="shared" si="2"/>
        <v>193946764.49067846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199">
        <f t="shared" si="2"/>
        <v>209585533.17202714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199">
        <f t="shared" si="2"/>
        <v>224625250.77556676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199">
        <f t="shared" si="2"/>
        <v>239085754.14094138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199">
        <f t="shared" si="2"/>
        <v>252986475.56266776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199">
        <f t="shared" si="2"/>
        <v>266346429.00773442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199">
        <f t="shared" si="2"/>
        <v>279184198.7906872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199">
        <f t="shared" si="2"/>
        <v>291517930.52445549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199">
        <f t="shared" si="2"/>
        <v>303365324.17157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199">
        <f t="shared" si="2"/>
        <v>314743629.02719492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199">
        <f t="shared" si="2"/>
        <v>325669640.47273898</v>
      </c>
    </row>
  </sheetData>
  <mergeCells count="11">
    <mergeCell ref="G7:I7"/>
    <mergeCell ref="K13:R14"/>
    <mergeCell ref="K11:K12"/>
    <mergeCell ref="A13:F14"/>
    <mergeCell ref="A17:A18"/>
    <mergeCell ref="A20:C20"/>
    <mergeCell ref="B4:F4"/>
    <mergeCell ref="A7:A9"/>
    <mergeCell ref="B7:C7"/>
    <mergeCell ref="D7:F7"/>
    <mergeCell ref="A11:A12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2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65" t="s">
        <v>111</v>
      </c>
      <c r="C4" s="265"/>
      <c r="D4" s="265"/>
      <c r="E4" s="265"/>
      <c r="F4" s="266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248" t="s">
        <v>8</v>
      </c>
      <c r="B7" s="242" t="s">
        <v>9</v>
      </c>
      <c r="C7" s="243"/>
      <c r="D7" s="267" t="s">
        <v>12</v>
      </c>
      <c r="E7" s="268"/>
      <c r="F7" s="269"/>
      <c r="G7" s="242" t="s">
        <v>143</v>
      </c>
      <c r="H7" s="242"/>
      <c r="I7" s="244"/>
      <c r="J7" s="1" t="s">
        <v>144</v>
      </c>
    </row>
    <row r="8" spans="1:18" ht="28.2" customHeight="1" x14ac:dyDescent="0.3">
      <c r="A8" s="249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50"/>
      <c r="B9" s="80">
        <f>JJ_Optim_Scenario!G22</f>
        <v>6255187.2000000002</v>
      </c>
      <c r="C9" s="80">
        <f>JJ_Optim_Scenario!H22</f>
        <v>9382780.7999999989</v>
      </c>
      <c r="D9" s="95">
        <f>JJ_Optim_Scenario!I22</f>
        <v>9382780.7999999989</v>
      </c>
      <c r="E9" s="118">
        <f>((($R$12/(1+EXP($P$12+$Q$12*D9)))-1) - ($F$12-$C$12))*$I$12</f>
        <v>38504.59611640498</v>
      </c>
      <c r="F9" s="145">
        <f>E9*$G$12</f>
        <v>443957.99322214938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" thickBot="1" x14ac:dyDescent="0.35"/>
    <row r="11" spans="1:18" ht="51.6" customHeight="1" x14ac:dyDescent="0.3">
      <c r="A11" s="248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251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50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197">
        <f>JJ_Optim_Scenario!D22</f>
        <v>1</v>
      </c>
      <c r="K12" s="252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270" t="s">
        <v>119</v>
      </c>
      <c r="B13" s="271"/>
      <c r="C13" s="271"/>
      <c r="D13" s="271"/>
      <c r="E13" s="271"/>
      <c r="F13" s="272"/>
      <c r="G13" s="198" t="s">
        <v>205</v>
      </c>
      <c r="H13" s="198" t="s">
        <v>206</v>
      </c>
      <c r="K13" s="270" t="s">
        <v>120</v>
      </c>
      <c r="L13" s="271"/>
      <c r="M13" s="271"/>
      <c r="N13" s="271"/>
      <c r="O13" s="271"/>
      <c r="P13" s="271"/>
      <c r="Q13" s="271"/>
      <c r="R13" s="272"/>
    </row>
    <row r="14" spans="1:18" ht="33.6" customHeight="1" thickBot="1" x14ac:dyDescent="0.35">
      <c r="A14" s="262"/>
      <c r="B14" s="263"/>
      <c r="C14" s="263"/>
      <c r="D14" s="263"/>
      <c r="E14" s="263"/>
      <c r="F14" s="264"/>
      <c r="G14" s="158">
        <f>JJ_Optim_Scenario!$I$31</f>
        <v>116.39999999999999</v>
      </c>
      <c r="H14" s="158">
        <f>JJ_Optim_Scenario!$F$31</f>
        <v>1118</v>
      </c>
      <c r="K14" s="262"/>
      <c r="L14" s="263"/>
      <c r="M14" s="263"/>
      <c r="N14" s="263"/>
      <c r="O14" s="263"/>
      <c r="P14" s="263"/>
      <c r="Q14" s="263"/>
      <c r="R14" s="264"/>
    </row>
    <row r="16" spans="1:18" ht="14.4" thickBot="1" x14ac:dyDescent="0.35"/>
    <row r="17" spans="1:8" ht="42.6" customHeight="1" x14ac:dyDescent="0.3">
      <c r="A17" s="251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52"/>
      <c r="B18" s="102">
        <v>0</v>
      </c>
      <c r="C18" s="103">
        <v>30000000</v>
      </c>
      <c r="D18" s="26">
        <v>20</v>
      </c>
    </row>
    <row r="20" spans="1:8" x14ac:dyDescent="0.3">
      <c r="A20" s="225" t="s">
        <v>37</v>
      </c>
      <c r="B20" s="225"/>
      <c r="C20" s="225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199">
        <f t="shared" ref="E23:E42" si="2">B23*$H$14</f>
        <v>7709362.4720515292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199">
        <f t="shared" si="2"/>
        <v>15085089.434698205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199">
        <f t="shared" si="2"/>
        <v>22140794.47554775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199">
        <f t="shared" si="2"/>
        <v>28889607.955231465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199">
        <f t="shared" si="2"/>
        <v>35344187.679844275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199">
        <f t="shared" si="2"/>
        <v>41516729.975864656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199">
        <f t="shared" si="2"/>
        <v>47418981.085584648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199">
        <f t="shared" si="2"/>
        <v>53062248.808629736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199">
        <f t="shared" si="2"/>
        <v>58457414.32213106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199">
        <f t="shared" si="2"/>
        <v>63614944.118861467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199">
        <f t="shared" si="2"/>
        <v>68544902.008632824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199">
        <f t="shared" si="2"/>
        <v>73256961.134144485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199">
        <f t="shared" si="2"/>
        <v>77760415.957672343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199">
        <f t="shared" si="2"/>
        <v>82064194.179971501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199">
        <f t="shared" si="2"/>
        <v>86176868.557277963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199">
        <f t="shared" si="2"/>
        <v>90106668.586478502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199">
        <f t="shared" si="2"/>
        <v>93861492.032365173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199">
        <f t="shared" si="2"/>
        <v>97448916.274393499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199">
        <f t="shared" si="2"/>
        <v>100876209.45359851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199">
        <f t="shared" si="2"/>
        <v>104150341.40321961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2" workbookViewId="0">
      <selection activeCell="B12" sqref="B1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65" t="s">
        <v>111</v>
      </c>
      <c r="C4" s="265"/>
      <c r="D4" s="265"/>
      <c r="E4" s="265"/>
      <c r="F4" s="266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248" t="s">
        <v>8</v>
      </c>
      <c r="B7" s="242" t="s">
        <v>9</v>
      </c>
      <c r="C7" s="243"/>
      <c r="D7" s="267" t="s">
        <v>12</v>
      </c>
      <c r="E7" s="268"/>
      <c r="F7" s="269"/>
      <c r="G7" s="242" t="s">
        <v>143</v>
      </c>
      <c r="H7" s="242"/>
      <c r="I7" s="244"/>
      <c r="J7" s="1" t="s">
        <v>144</v>
      </c>
    </row>
    <row r="8" spans="1:18" ht="28.2" customHeight="1" x14ac:dyDescent="0.3">
      <c r="A8" s="249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50"/>
      <c r="B9" s="80">
        <f>JJ_Optim_Scenario!G23</f>
        <v>2828756</v>
      </c>
      <c r="C9" s="80">
        <f>JJ_Optim_Scenario!H23</f>
        <v>4243134</v>
      </c>
      <c r="D9" s="95">
        <f>JJ_Optim_Scenario!I23</f>
        <v>4243134</v>
      </c>
      <c r="E9" s="118">
        <f>((($R$12/(1+EXP($P$12+$Q$12*D9)))-1) - ($F$12-$C$12))*$I$12</f>
        <v>8578.7385901790112</v>
      </c>
      <c r="F9" s="145">
        <f>E9*$G$12</f>
        <v>98912.855944764</v>
      </c>
      <c r="G9" s="80">
        <f>JJ_Optim_Scenario!E23</f>
        <v>3535945</v>
      </c>
      <c r="H9" s="121">
        <f>((($R$12/(1+EXP($P$12+$Q$12*G9)))-1) - ($F$12-$C$12))*$I$12</f>
        <v>7217</v>
      </c>
      <c r="I9" s="146">
        <f>H9*$G$12</f>
        <v>83212.009999999995</v>
      </c>
      <c r="J9" s="123">
        <f>G9/I9</f>
        <v>42.493205007306038</v>
      </c>
      <c r="K9" s="1" t="s">
        <v>142</v>
      </c>
    </row>
    <row r="10" spans="1:18" ht="14.4" thickBot="1" x14ac:dyDescent="0.35"/>
    <row r="11" spans="1:18" ht="61.8" customHeight="1" x14ac:dyDescent="0.3">
      <c r="A11" s="248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251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50"/>
      <c r="B12" s="158">
        <v>3535945</v>
      </c>
      <c r="C12" s="86">
        <v>7217</v>
      </c>
      <c r="D12" s="12">
        <v>0</v>
      </c>
      <c r="E12" s="86">
        <v>77475</v>
      </c>
      <c r="F12" s="97">
        <v>5165000</v>
      </c>
      <c r="G12" s="148">
        <v>11.53</v>
      </c>
      <c r="H12" s="98">
        <f>C12*G12</f>
        <v>83212.009999999995</v>
      </c>
      <c r="I12" s="197">
        <f>JJ_Optim_Scenario!D23</f>
        <v>1</v>
      </c>
      <c r="K12" s="252"/>
      <c r="L12" s="98">
        <f>F12-C12</f>
        <v>5157783</v>
      </c>
      <c r="M12" s="98">
        <f>L12+E12</f>
        <v>5235258</v>
      </c>
      <c r="N12" s="99">
        <f>B12</f>
        <v>3535945</v>
      </c>
      <c r="O12" s="98">
        <f>F12</f>
        <v>5165000</v>
      </c>
      <c r="P12" s="24">
        <f>LN((($M$12+1)/($L$12+1))-1)</f>
        <v>-4.1983070051942253</v>
      </c>
      <c r="Q12" s="100">
        <f>(LN((($M$12+1)/($O$12+1))-1)-$P$12)/$N$12</f>
        <v>-2.804890608780665E-8</v>
      </c>
      <c r="R12" s="101">
        <f>M12+1</f>
        <v>5235259</v>
      </c>
    </row>
    <row r="13" spans="1:18" ht="34.200000000000003" customHeight="1" x14ac:dyDescent="0.3">
      <c r="A13" s="270" t="s">
        <v>119</v>
      </c>
      <c r="B13" s="271"/>
      <c r="C13" s="271"/>
      <c r="D13" s="271"/>
      <c r="E13" s="271"/>
      <c r="F13" s="272"/>
      <c r="G13" s="198" t="s">
        <v>205</v>
      </c>
      <c r="H13" s="198" t="s">
        <v>206</v>
      </c>
      <c r="K13" s="270" t="s">
        <v>120</v>
      </c>
      <c r="L13" s="271"/>
      <c r="M13" s="271"/>
      <c r="N13" s="271"/>
      <c r="O13" s="271"/>
      <c r="P13" s="271"/>
      <c r="Q13" s="271"/>
      <c r="R13" s="272"/>
    </row>
    <row r="14" spans="1:18" ht="33.6" customHeight="1" thickBot="1" x14ac:dyDescent="0.35">
      <c r="A14" s="262"/>
      <c r="B14" s="263"/>
      <c r="C14" s="263"/>
      <c r="D14" s="263"/>
      <c r="E14" s="263"/>
      <c r="F14" s="264"/>
      <c r="G14" s="158">
        <f>JJ_Optim_Scenario!$I$31</f>
        <v>116.39999999999999</v>
      </c>
      <c r="H14" s="158">
        <f>JJ_Optim_Scenario!$F$31</f>
        <v>1118</v>
      </c>
      <c r="K14" s="262"/>
      <c r="L14" s="263"/>
      <c r="M14" s="263"/>
      <c r="N14" s="263"/>
      <c r="O14" s="263"/>
      <c r="P14" s="263"/>
      <c r="Q14" s="263"/>
      <c r="R14" s="264"/>
    </row>
    <row r="16" spans="1:18" ht="14.4" thickBot="1" x14ac:dyDescent="0.35"/>
    <row r="17" spans="1:8" ht="42.6" customHeight="1" x14ac:dyDescent="0.3">
      <c r="A17" s="251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52"/>
      <c r="B18" s="102">
        <v>0</v>
      </c>
      <c r="C18" s="103">
        <v>20000000</v>
      </c>
      <c r="D18" s="26">
        <v>20</v>
      </c>
    </row>
    <row r="20" spans="1:8" x14ac:dyDescent="0.3">
      <c r="A20" s="225" t="s">
        <v>37</v>
      </c>
      <c r="B20" s="225"/>
      <c r="C20" s="225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2112.0480164308101</v>
      </c>
      <c r="C23" s="106">
        <f t="shared" ref="C23:C42" si="1">B23*$G$12</f>
        <v>24351.913629447237</v>
      </c>
      <c r="D23" s="1">
        <f>(B23-B22)/A23</f>
        <v>2.1120480164308099E-3</v>
      </c>
      <c r="E23" s="199">
        <f t="shared" ref="E23:E42" si="2">B23*$H$14</f>
        <v>2361269.6823696457</v>
      </c>
    </row>
    <row r="24" spans="1:8" x14ac:dyDescent="0.3">
      <c r="A24" s="122">
        <f t="shared" ref="A24:A42" si="3">A23+(($C$18-$B$18)/$D$18)</f>
        <v>2000000</v>
      </c>
      <c r="B24" s="106">
        <f t="shared" si="0"/>
        <v>4167.337773276493</v>
      </c>
      <c r="C24" s="106">
        <f t="shared" si="1"/>
        <v>48049.404525877959</v>
      </c>
      <c r="D24" s="1">
        <f t="shared" ref="D24:D42" si="4">(B24-B23)/A24</f>
        <v>1.0276448784228415E-3</v>
      </c>
      <c r="E24" s="199">
        <f t="shared" si="2"/>
        <v>4659083.6305231191</v>
      </c>
    </row>
    <row r="25" spans="1:8" x14ac:dyDescent="0.3">
      <c r="A25" s="122">
        <f t="shared" si="3"/>
        <v>3000000</v>
      </c>
      <c r="B25" s="106">
        <f t="shared" si="0"/>
        <v>6167.3505148170516</v>
      </c>
      <c r="C25" s="106">
        <f t="shared" si="1"/>
        <v>71109.551435840607</v>
      </c>
      <c r="D25" s="1">
        <f t="shared" si="4"/>
        <v>6.6667091384685286E-4</v>
      </c>
      <c r="E25" s="199">
        <f t="shared" si="2"/>
        <v>6895097.8755654637</v>
      </c>
    </row>
    <row r="26" spans="1:8" x14ac:dyDescent="0.3">
      <c r="A26" s="122">
        <f t="shared" si="3"/>
        <v>4000000</v>
      </c>
      <c r="B26" s="106">
        <f t="shared" si="0"/>
        <v>8113.5312024233863</v>
      </c>
      <c r="C26" s="106">
        <f t="shared" si="1"/>
        <v>93549.014763941639</v>
      </c>
      <c r="D26" s="1">
        <f t="shared" si="4"/>
        <v>4.8654517190158369E-4</v>
      </c>
      <c r="E26" s="199">
        <f t="shared" si="2"/>
        <v>9070927.8843093459</v>
      </c>
    </row>
    <row r="27" spans="1:8" x14ac:dyDescent="0.3">
      <c r="A27" s="122">
        <f t="shared" si="3"/>
        <v>5000000</v>
      </c>
      <c r="B27" s="106">
        <f t="shared" si="0"/>
        <v>10007.289274128154</v>
      </c>
      <c r="C27" s="106">
        <f t="shared" si="1"/>
        <v>115384.04533069761</v>
      </c>
      <c r="D27" s="1">
        <f t="shared" si="4"/>
        <v>3.7875161434095352E-4</v>
      </c>
      <c r="E27" s="199">
        <f t="shared" si="2"/>
        <v>11188149.408475276</v>
      </c>
    </row>
    <row r="28" spans="1:8" x14ac:dyDescent="0.3">
      <c r="A28" s="122">
        <f t="shared" si="3"/>
        <v>6000000</v>
      </c>
      <c r="B28" s="106">
        <f t="shared" si="0"/>
        <v>11849.999395593069</v>
      </c>
      <c r="C28" s="106">
        <f t="shared" si="1"/>
        <v>136630.49303118809</v>
      </c>
      <c r="D28" s="1">
        <f t="shared" si="4"/>
        <v>3.0711835357748592E-4</v>
      </c>
      <c r="E28" s="199">
        <f t="shared" si="2"/>
        <v>13248299.324273052</v>
      </c>
    </row>
    <row r="29" spans="1:8" x14ac:dyDescent="0.3">
      <c r="A29" s="122">
        <f t="shared" si="3"/>
        <v>7000000</v>
      </c>
      <c r="B29" s="106">
        <f t="shared" si="0"/>
        <v>13643.002202072181</v>
      </c>
      <c r="C29" s="106">
        <f t="shared" si="1"/>
        <v>157303.81538989223</v>
      </c>
      <c r="D29" s="1">
        <f t="shared" si="4"/>
        <v>2.5614325806844445E-4</v>
      </c>
      <c r="E29" s="199">
        <f t="shared" si="2"/>
        <v>15252876.461916698</v>
      </c>
    </row>
    <row r="30" spans="1:8" x14ac:dyDescent="0.3">
      <c r="A30" s="122">
        <f t="shared" si="3"/>
        <v>8000000</v>
      </c>
      <c r="B30" s="106">
        <f t="shared" si="0"/>
        <v>15387.605031087063</v>
      </c>
      <c r="C30" s="106">
        <f t="shared" si="1"/>
        <v>177419.08600843383</v>
      </c>
      <c r="D30" s="1">
        <f t="shared" si="4"/>
        <v>2.180753536268603E-4</v>
      </c>
      <c r="E30" s="199">
        <f t="shared" si="2"/>
        <v>17203342.424755335</v>
      </c>
    </row>
    <row r="31" spans="1:8" x14ac:dyDescent="0.3">
      <c r="A31" s="122">
        <f t="shared" si="3"/>
        <v>9000000</v>
      </c>
      <c r="B31" s="106">
        <f t="shared" si="0"/>
        <v>17085.082645485178</v>
      </c>
      <c r="C31" s="106">
        <f t="shared" si="1"/>
        <v>196991.00290244407</v>
      </c>
      <c r="D31" s="1">
        <f t="shared" si="4"/>
        <v>1.886086238220127E-4</v>
      </c>
      <c r="E31" s="199">
        <f t="shared" si="2"/>
        <v>19101122.397652429</v>
      </c>
    </row>
    <row r="32" spans="1:8" x14ac:dyDescent="0.3">
      <c r="A32" s="122">
        <f t="shared" si="3"/>
        <v>10000000</v>
      </c>
      <c r="B32" s="106">
        <f t="shared" si="0"/>
        <v>18736.677946629934</v>
      </c>
      <c r="C32" s="106">
        <f t="shared" si="1"/>
        <v>216033.89672464313</v>
      </c>
      <c r="D32" s="1">
        <f t="shared" si="4"/>
        <v>1.6515953011447563E-4</v>
      </c>
      <c r="E32" s="199">
        <f t="shared" si="2"/>
        <v>20947605.944332264</v>
      </c>
    </row>
    <row r="33" spans="1:5" x14ac:dyDescent="0.3">
      <c r="A33" s="122">
        <f t="shared" si="3"/>
        <v>11000000</v>
      </c>
      <c r="B33" s="106">
        <f t="shared" si="0"/>
        <v>20343.602677509189</v>
      </c>
      <c r="C33" s="106">
        <f t="shared" si="1"/>
        <v>234561.73887168092</v>
      </c>
      <c r="D33" s="1">
        <f t="shared" si="4"/>
        <v>1.460840664435686E-4</v>
      </c>
      <c r="E33" s="199">
        <f t="shared" si="2"/>
        <v>22744147.793455273</v>
      </c>
    </row>
    <row r="34" spans="1:5" x14ac:dyDescent="0.3">
      <c r="A34" s="122">
        <f>A33+(($C$18-$B$18)/$D$18)</f>
        <v>12000000</v>
      </c>
      <c r="B34" s="106">
        <f t="shared" si="0"/>
        <v>21907.038115544245</v>
      </c>
      <c r="C34" s="106">
        <f t="shared" si="1"/>
        <v>252588.14947222514</v>
      </c>
      <c r="D34" s="1">
        <f t="shared" si="4"/>
        <v>1.3028628650292134E-4</v>
      </c>
      <c r="E34" s="199">
        <f t="shared" si="2"/>
        <v>24492068.613178466</v>
      </c>
    </row>
    <row r="35" spans="1:5" x14ac:dyDescent="0.3">
      <c r="A35" s="122">
        <f t="shared" si="3"/>
        <v>13000000</v>
      </c>
      <c r="B35" s="106">
        <f t="shared" si="0"/>
        <v>23428.135754928924</v>
      </c>
      <c r="C35" s="106">
        <f t="shared" si="1"/>
        <v>270126.40525433049</v>
      </c>
      <c r="D35" s="1">
        <f t="shared" si="4"/>
        <v>1.1700751072189842E-4</v>
      </c>
      <c r="E35" s="199">
        <f t="shared" si="2"/>
        <v>26192655.774010539</v>
      </c>
    </row>
    <row r="36" spans="1:5" x14ac:dyDescent="0.3">
      <c r="A36" s="122">
        <f t="shared" si="3"/>
        <v>14000000</v>
      </c>
      <c r="B36" s="106">
        <f t="shared" si="0"/>
        <v>24908.017978378572</v>
      </c>
      <c r="C36" s="106">
        <f t="shared" si="1"/>
        <v>287189.44729070493</v>
      </c>
      <c r="D36" s="1">
        <f t="shared" si="4"/>
        <v>1.0570587310354624E-4</v>
      </c>
      <c r="E36" s="199">
        <f t="shared" si="2"/>
        <v>27847164.099827245</v>
      </c>
    </row>
    <row r="37" spans="1:5" x14ac:dyDescent="0.3">
      <c r="A37" s="122">
        <f t="shared" si="3"/>
        <v>15000000</v>
      </c>
      <c r="B37" s="106">
        <f t="shared" si="0"/>
        <v>26347.778718138114</v>
      </c>
      <c r="C37" s="106">
        <f t="shared" si="1"/>
        <v>303789.88862013241</v>
      </c>
      <c r="D37" s="1">
        <f t="shared" si="4"/>
        <v>9.5984049317302799E-5</v>
      </c>
      <c r="E37" s="199">
        <f t="shared" si="2"/>
        <v>29456816.606878411</v>
      </c>
    </row>
    <row r="38" spans="1:5" x14ac:dyDescent="0.3">
      <c r="A38" s="122">
        <f t="shared" si="3"/>
        <v>16000000</v>
      </c>
      <c r="B38" s="106">
        <f t="shared" si="0"/>
        <v>27748.484106163494</v>
      </c>
      <c r="C38" s="106">
        <f t="shared" si="1"/>
        <v>319940.02174406504</v>
      </c>
      <c r="D38" s="1">
        <f t="shared" si="4"/>
        <v>8.7544086751586289E-5</v>
      </c>
      <c r="E38" s="199">
        <f t="shared" si="2"/>
        <v>31022805.230690785</v>
      </c>
    </row>
    <row r="39" spans="1:5" x14ac:dyDescent="0.3">
      <c r="A39" s="122">
        <f t="shared" si="3"/>
        <v>17000000</v>
      </c>
      <c r="B39" s="106">
        <f t="shared" si="0"/>
        <v>29111.17311341688</v>
      </c>
      <c r="C39" s="106">
        <f t="shared" si="1"/>
        <v>335651.82599769661</v>
      </c>
      <c r="D39" s="1">
        <f t="shared" si="4"/>
        <v>8.0158176897258005E-5</v>
      </c>
      <c r="E39" s="199">
        <f t="shared" si="2"/>
        <v>32546291.540800072</v>
      </c>
    </row>
    <row r="40" spans="1:5" x14ac:dyDescent="0.3">
      <c r="A40" s="122">
        <f t="shared" si="3"/>
        <v>18000000</v>
      </c>
      <c r="B40" s="106">
        <f t="shared" si="0"/>
        <v>30436.858178190887</v>
      </c>
      <c r="C40" s="106">
        <f t="shared" si="1"/>
        <v>350936.9747945409</v>
      </c>
      <c r="D40" s="1">
        <f t="shared" si="4"/>
        <v>7.3649170265222588E-5</v>
      </c>
      <c r="E40" s="199">
        <f t="shared" si="2"/>
        <v>34028407.443217412</v>
      </c>
    </row>
    <row r="41" spans="1:5" x14ac:dyDescent="0.3">
      <c r="A41" s="122">
        <f>A40+(($C$18-$B$18)/$D$18)</f>
        <v>19000000</v>
      </c>
      <c r="B41" s="106">
        <f t="shared" si="0"/>
        <v>31726.525823448785</v>
      </c>
      <c r="C41" s="106">
        <f t="shared" si="1"/>
        <v>365806.84274436446</v>
      </c>
      <c r="D41" s="1">
        <f t="shared" si="4"/>
        <v>6.7877244487257778E-5</v>
      </c>
      <c r="E41" s="199">
        <f t="shared" si="2"/>
        <v>35470255.870615743</v>
      </c>
    </row>
    <row r="42" spans="1:5" x14ac:dyDescent="0.3">
      <c r="A42" s="122">
        <f t="shared" si="3"/>
        <v>20000000</v>
      </c>
      <c r="B42" s="106">
        <f t="shared" si="0"/>
        <v>32981.137263149023</v>
      </c>
      <c r="C42" s="106">
        <f t="shared" si="1"/>
        <v>380272.51264410821</v>
      </c>
      <c r="D42" s="1">
        <f t="shared" si="4"/>
        <v>6.2730571985011917E-5</v>
      </c>
      <c r="E42" s="199">
        <f t="shared" si="2"/>
        <v>36872911.460200608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15" sqref="E1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265" t="s">
        <v>111</v>
      </c>
      <c r="C4" s="265"/>
      <c r="D4" s="265"/>
      <c r="E4" s="265"/>
      <c r="F4" s="266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248" t="s">
        <v>8</v>
      </c>
      <c r="B7" s="242" t="s">
        <v>9</v>
      </c>
      <c r="C7" s="243"/>
      <c r="D7" s="267" t="s">
        <v>12</v>
      </c>
      <c r="E7" s="268"/>
      <c r="F7" s="269"/>
      <c r="G7" s="242" t="s">
        <v>143</v>
      </c>
      <c r="H7" s="242"/>
      <c r="I7" s="244"/>
      <c r="J7" s="1" t="s">
        <v>144</v>
      </c>
    </row>
    <row r="8" spans="1:18" ht="28.2" customHeight="1" x14ac:dyDescent="0.3">
      <c r="A8" s="249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50"/>
      <c r="B9" s="80">
        <f>JJ_Optim_Scenario!G24</f>
        <v>12560000</v>
      </c>
      <c r="C9" s="158">
        <f>JJ_Optim_Scenario!H24</f>
        <v>18840000</v>
      </c>
      <c r="D9" s="158">
        <f>JJ_Optim_Scenario!I24</f>
        <v>18840000</v>
      </c>
      <c r="E9" s="118">
        <f>((($R$12/(1+EXP($P$12+$Q$12*D9)))-1) - ($F$12-$C$12))*$I$12</f>
        <v>418048.20913736708</v>
      </c>
      <c r="F9" s="145">
        <f>E9*$G$12</f>
        <v>418048.20913736708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" thickBot="1" x14ac:dyDescent="0.35"/>
    <row r="11" spans="1:18" ht="61.8" customHeight="1" x14ac:dyDescent="0.3">
      <c r="A11" s="248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251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50"/>
      <c r="B12" s="80">
        <v>15700000</v>
      </c>
      <c r="C12" s="86">
        <v>360832.73711340211</v>
      </c>
      <c r="D12" s="12">
        <v>0</v>
      </c>
      <c r="E12" s="86">
        <v>1098675</v>
      </c>
      <c r="F12" s="97">
        <v>14649000</v>
      </c>
      <c r="G12" s="151">
        <v>1</v>
      </c>
      <c r="H12" s="98">
        <f>C12*G12</f>
        <v>360832.73711340211</v>
      </c>
      <c r="I12" s="197">
        <f>JJ_Optim_Scenario!D24</f>
        <v>1</v>
      </c>
      <c r="K12" s="252"/>
      <c r="L12" s="98">
        <f>F12-C12</f>
        <v>14288167.262886599</v>
      </c>
      <c r="M12" s="98">
        <f>L12+E12</f>
        <v>15386842.262886599</v>
      </c>
      <c r="N12" s="99">
        <f>B12</f>
        <v>15700000</v>
      </c>
      <c r="O12" s="98">
        <f>F12</f>
        <v>14649000</v>
      </c>
      <c r="P12" s="24">
        <f>LN((($M$12+1)/($L$12+1))-1)</f>
        <v>-2.5653268922808143</v>
      </c>
      <c r="Q12" s="100">
        <f>(LN((($M$12+1)/($O$12+1))-1)-$P$12)/$N$12</f>
        <v>-2.6947163240976005E-8</v>
      </c>
      <c r="R12" s="101">
        <f>M12+1</f>
        <v>15386843.262886599</v>
      </c>
    </row>
    <row r="13" spans="1:18" ht="34.200000000000003" customHeight="1" x14ac:dyDescent="0.3">
      <c r="A13" s="270" t="s">
        <v>119</v>
      </c>
      <c r="B13" s="271"/>
      <c r="C13" s="271"/>
      <c r="D13" s="271"/>
      <c r="E13" s="271"/>
      <c r="F13" s="272"/>
      <c r="G13" s="198" t="s">
        <v>205</v>
      </c>
      <c r="H13" s="198" t="s">
        <v>206</v>
      </c>
      <c r="K13" s="270" t="s">
        <v>120</v>
      </c>
      <c r="L13" s="271"/>
      <c r="M13" s="271"/>
      <c r="N13" s="271"/>
      <c r="O13" s="271"/>
      <c r="P13" s="271"/>
      <c r="Q13" s="271"/>
      <c r="R13" s="272"/>
    </row>
    <row r="14" spans="1:18" ht="33.6" customHeight="1" thickBot="1" x14ac:dyDescent="0.35">
      <c r="A14" s="262"/>
      <c r="B14" s="263"/>
      <c r="C14" s="263"/>
      <c r="D14" s="263"/>
      <c r="E14" s="263"/>
      <c r="F14" s="264"/>
      <c r="G14" s="158">
        <f>JJ_Optim_Scenario!$I$31</f>
        <v>116.39999999999999</v>
      </c>
      <c r="H14" s="158">
        <f>JJ_Optim_Scenario!$F$31</f>
        <v>1118</v>
      </c>
      <c r="K14" s="262"/>
      <c r="L14" s="263"/>
      <c r="M14" s="263"/>
      <c r="N14" s="263"/>
      <c r="O14" s="263"/>
      <c r="P14" s="263"/>
      <c r="Q14" s="263"/>
      <c r="R14" s="264"/>
    </row>
    <row r="16" spans="1:18" ht="14.4" thickBot="1" x14ac:dyDescent="0.35"/>
    <row r="17" spans="1:8" ht="42.6" customHeight="1" x14ac:dyDescent="0.3">
      <c r="A17" s="251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52"/>
      <c r="B18" s="102">
        <v>0</v>
      </c>
      <c r="C18" s="103">
        <v>50000000</v>
      </c>
      <c r="D18" s="26">
        <v>20</v>
      </c>
    </row>
    <row r="20" spans="1:8" x14ac:dyDescent="0.3">
      <c r="A20" s="225" t="s">
        <v>37</v>
      </c>
      <c r="B20" s="225"/>
      <c r="C20" s="225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198" t="s">
        <v>208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1.862645149230957E-9</v>
      </c>
      <c r="C22" s="106">
        <f>B22*$G$12</f>
        <v>1.862645149230957E-9</v>
      </c>
      <c r="E22" s="199">
        <f>B22*$G$14</f>
        <v>2.1681189537048338E-7</v>
      </c>
    </row>
    <row r="23" spans="1:8" x14ac:dyDescent="0.3">
      <c r="A23" s="122">
        <f>A22+(($C$18-$B$18)/$D$18)</f>
        <v>2500000</v>
      </c>
      <c r="B23" s="106">
        <f t="shared" si="0"/>
        <v>66777.120228324085</v>
      </c>
      <c r="C23" s="106">
        <f t="shared" ref="C23:C42" si="1">B23*$G$12</f>
        <v>66777.120228324085</v>
      </c>
      <c r="D23" s="1">
        <f>(B23-B22)/A23</f>
        <v>2.6710848091328888E-2</v>
      </c>
      <c r="E23" s="199">
        <f t="shared" ref="E23:E42" si="2">B23*$G$14</f>
        <v>7772856.7945769234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129770.77474719286</v>
      </c>
      <c r="C24" s="106">
        <f t="shared" si="1"/>
        <v>129770.77474719286</v>
      </c>
      <c r="D24" s="1">
        <f t="shared" ref="D24:D42" si="4">(B24-B23)/A24</f>
        <v>1.2598730903773754E-2</v>
      </c>
      <c r="E24" s="199">
        <f t="shared" si="2"/>
        <v>15105318.180573247</v>
      </c>
    </row>
    <row r="25" spans="1:8" x14ac:dyDescent="0.3">
      <c r="A25" s="122">
        <f t="shared" si="3"/>
        <v>7500000</v>
      </c>
      <c r="B25" s="106">
        <f t="shared" si="0"/>
        <v>189162.54184601083</v>
      </c>
      <c r="C25" s="106">
        <f t="shared" si="1"/>
        <v>189162.54184601083</v>
      </c>
      <c r="D25" s="1">
        <f t="shared" si="4"/>
        <v>7.918902279842396E-3</v>
      </c>
      <c r="E25" s="199">
        <f t="shared" si="2"/>
        <v>22018519.87087566</v>
      </c>
    </row>
    <row r="26" spans="1:8" x14ac:dyDescent="0.3">
      <c r="A26" s="122">
        <f t="shared" si="3"/>
        <v>10000000</v>
      </c>
      <c r="B26" s="106">
        <f t="shared" si="0"/>
        <v>245129.24382783286</v>
      </c>
      <c r="C26" s="106">
        <f t="shared" si="1"/>
        <v>245129.24382783286</v>
      </c>
      <c r="D26" s="1">
        <f t="shared" si="4"/>
        <v>5.5966701981822031E-3</v>
      </c>
      <c r="E26" s="199">
        <f t="shared" si="2"/>
        <v>28533043.981559742</v>
      </c>
    </row>
    <row r="27" spans="1:8" x14ac:dyDescent="0.3">
      <c r="A27" s="122">
        <f t="shared" si="3"/>
        <v>12500000</v>
      </c>
      <c r="B27" s="106">
        <f t="shared" si="0"/>
        <v>297842.54778906517</v>
      </c>
      <c r="C27" s="106">
        <f t="shared" si="1"/>
        <v>297842.54778906517</v>
      </c>
      <c r="D27" s="1">
        <f t="shared" si="4"/>
        <v>4.2170643168985842E-3</v>
      </c>
      <c r="E27" s="199">
        <f t="shared" si="2"/>
        <v>34668872.562647186</v>
      </c>
    </row>
    <row r="28" spans="1:8" x14ac:dyDescent="0.3">
      <c r="A28" s="122">
        <f t="shared" si="3"/>
        <v>15000000</v>
      </c>
      <c r="B28" s="106">
        <f t="shared" si="0"/>
        <v>347468.65276842937</v>
      </c>
      <c r="C28" s="106">
        <f t="shared" si="1"/>
        <v>347468.65276842937</v>
      </c>
      <c r="D28" s="1">
        <f t="shared" si="4"/>
        <v>3.3084069986242799E-3</v>
      </c>
      <c r="E28" s="199">
        <f t="shared" si="2"/>
        <v>40445351.182245173</v>
      </c>
    </row>
    <row r="29" spans="1:8" x14ac:dyDescent="0.3">
      <c r="A29" s="122">
        <f t="shared" si="3"/>
        <v>17500000</v>
      </c>
      <c r="B29" s="106">
        <f t="shared" si="0"/>
        <v>394168.05440711975</v>
      </c>
      <c r="C29" s="106">
        <f t="shared" si="1"/>
        <v>394168.05440711975</v>
      </c>
      <c r="D29" s="1">
        <f t="shared" si="4"/>
        <v>2.6685372364965935E-3</v>
      </c>
      <c r="E29" s="199">
        <f t="shared" si="2"/>
        <v>45881161.532988735</v>
      </c>
    </row>
    <row r="30" spans="1:8" x14ac:dyDescent="0.3">
      <c r="A30" s="122">
        <f t="shared" si="3"/>
        <v>20000000</v>
      </c>
      <c r="B30" s="106">
        <f t="shared" si="0"/>
        <v>438095.37863838859</v>
      </c>
      <c r="C30" s="106">
        <f t="shared" si="1"/>
        <v>438095.37863838859</v>
      </c>
      <c r="D30" s="1">
        <f t="shared" si="4"/>
        <v>2.1963662115634421E-3</v>
      </c>
      <c r="E30" s="199">
        <f t="shared" si="2"/>
        <v>50994302.073508427</v>
      </c>
    </row>
    <row r="31" spans="1:8" x14ac:dyDescent="0.3">
      <c r="A31" s="122">
        <f t="shared" si="3"/>
        <v>22500000</v>
      </c>
      <c r="B31" s="106">
        <f t="shared" si="0"/>
        <v>479399.27637467906</v>
      </c>
      <c r="C31" s="106">
        <f t="shared" si="1"/>
        <v>479399.27637467906</v>
      </c>
      <c r="D31" s="1">
        <f t="shared" si="4"/>
        <v>1.8357287882795764E-3</v>
      </c>
      <c r="E31" s="199">
        <f t="shared" si="2"/>
        <v>55802075.770012639</v>
      </c>
    </row>
    <row r="32" spans="1:8" x14ac:dyDescent="0.3">
      <c r="A32" s="122">
        <f t="shared" si="3"/>
        <v>25000000</v>
      </c>
      <c r="B32" s="106">
        <f t="shared" si="0"/>
        <v>518222.37166078761</v>
      </c>
      <c r="C32" s="106">
        <f t="shared" si="1"/>
        <v>518222.37166078761</v>
      </c>
      <c r="D32" s="1">
        <f t="shared" si="4"/>
        <v>1.5529238114443422E-3</v>
      </c>
      <c r="E32" s="199">
        <f t="shared" si="2"/>
        <v>60321084.061315671</v>
      </c>
    </row>
    <row r="33" spans="1:5" x14ac:dyDescent="0.3">
      <c r="A33" s="122">
        <f t="shared" si="3"/>
        <v>27500000</v>
      </c>
      <c r="B33" s="106">
        <f t="shared" si="0"/>
        <v>554701.25629257597</v>
      </c>
      <c r="C33" s="106">
        <f t="shared" si="1"/>
        <v>554701.25629257597</v>
      </c>
      <c r="D33" s="1">
        <f t="shared" si="4"/>
        <v>1.3265048957013948E-3</v>
      </c>
      <c r="E33" s="199">
        <f t="shared" si="2"/>
        <v>64567226.232455835</v>
      </c>
    </row>
    <row r="34" spans="1:5" x14ac:dyDescent="0.3">
      <c r="A34" s="122">
        <f>A33+(($C$18-$B$18)/$D$18)</f>
        <v>30000000</v>
      </c>
      <c r="B34" s="106">
        <f t="shared" si="0"/>
        <v>588966.52444665693</v>
      </c>
      <c r="C34" s="106">
        <f t="shared" si="1"/>
        <v>588966.52444665693</v>
      </c>
      <c r="D34" s="1">
        <f t="shared" si="4"/>
        <v>1.1421756051360318E-3</v>
      </c>
      <c r="E34" s="199">
        <f t="shared" si="2"/>
        <v>68555703.445590869</v>
      </c>
    </row>
    <row r="35" spans="1:5" x14ac:dyDescent="0.3">
      <c r="A35" s="122">
        <f t="shared" si="3"/>
        <v>32500000</v>
      </c>
      <c r="B35" s="106">
        <f t="shared" si="0"/>
        <v>621142.84141393006</v>
      </c>
      <c r="C35" s="106">
        <f t="shared" si="1"/>
        <v>621142.84141393006</v>
      </c>
      <c r="D35" s="1">
        <f t="shared" si="4"/>
        <v>9.9004052206994259E-4</v>
      </c>
      <c r="E35" s="199">
        <f t="shared" si="2"/>
        <v>72301026.740581453</v>
      </c>
    </row>
    <row r="36" spans="1:5" x14ac:dyDescent="0.3">
      <c r="A36" s="122">
        <f t="shared" si="3"/>
        <v>35000000</v>
      </c>
      <c r="B36" s="106">
        <f t="shared" si="0"/>
        <v>651349.04106848314</v>
      </c>
      <c r="C36" s="106">
        <f t="shared" si="1"/>
        <v>651349.04106848314</v>
      </c>
      <c r="D36" s="1">
        <f t="shared" si="4"/>
        <v>8.6303427584437386E-4</v>
      </c>
      <c r="E36" s="199">
        <f t="shared" si="2"/>
        <v>75817028.380371436</v>
      </c>
    </row>
    <row r="37" spans="1:5" x14ac:dyDescent="0.3">
      <c r="A37" s="122">
        <f t="shared" si="3"/>
        <v>37500000</v>
      </c>
      <c r="B37" s="106">
        <f t="shared" si="0"/>
        <v>679698.24722526968</v>
      </c>
      <c r="C37" s="106">
        <f t="shared" si="1"/>
        <v>679698.24722526968</v>
      </c>
      <c r="D37" s="1">
        <f t="shared" si="4"/>
        <v>7.5597883084764083E-4</v>
      </c>
      <c r="E37" s="199">
        <f t="shared" si="2"/>
        <v>79116875.977021381</v>
      </c>
    </row>
    <row r="38" spans="1:5" x14ac:dyDescent="0.3">
      <c r="A38" s="122">
        <f t="shared" si="3"/>
        <v>40000000</v>
      </c>
      <c r="B38" s="106">
        <f t="shared" si="0"/>
        <v>706298.01453892514</v>
      </c>
      <c r="C38" s="106">
        <f t="shared" si="1"/>
        <v>706298.01453892514</v>
      </c>
      <c r="D38" s="1">
        <f t="shared" si="4"/>
        <v>6.6499418284138669E-4</v>
      </c>
      <c r="E38" s="199">
        <f t="shared" si="2"/>
        <v>82213088.892330885</v>
      </c>
    </row>
    <row r="39" spans="1:5" x14ac:dyDescent="0.3">
      <c r="A39" s="122">
        <f t="shared" si="3"/>
        <v>42500000</v>
      </c>
      <c r="B39" s="106">
        <f t="shared" si="0"/>
        <v>731250.48506828956</v>
      </c>
      <c r="C39" s="106">
        <f t="shared" si="1"/>
        <v>731250.48506828956</v>
      </c>
      <c r="D39" s="1">
        <f t="shared" si="4"/>
        <v>5.87116953632104E-4</v>
      </c>
      <c r="E39" s="199">
        <f t="shared" si="2"/>
        <v>85117556.461948901</v>
      </c>
    </row>
    <row r="40" spans="1:5" x14ac:dyDescent="0.3">
      <c r="A40" s="122">
        <f t="shared" si="3"/>
        <v>45000000</v>
      </c>
      <c r="B40" s="106">
        <f t="shared" si="0"/>
        <v>754652.55707320757</v>
      </c>
      <c r="C40" s="106">
        <f t="shared" si="1"/>
        <v>754652.55707320757</v>
      </c>
      <c r="D40" s="1">
        <f t="shared" si="4"/>
        <v>5.2004604455373356E-4</v>
      </c>
      <c r="E40" s="199">
        <f t="shared" si="2"/>
        <v>87841557.64332135</v>
      </c>
    </row>
    <row r="41" spans="1:5" x14ac:dyDescent="0.3">
      <c r="A41" s="122">
        <f>A40+(($C$18-$B$18)/$D$18)</f>
        <v>47500000</v>
      </c>
      <c r="B41" s="106">
        <f t="shared" si="0"/>
        <v>776596.06302100234</v>
      </c>
      <c r="C41" s="106">
        <f t="shared" si="1"/>
        <v>776596.06302100234</v>
      </c>
      <c r="D41" s="1">
        <f t="shared" si="4"/>
        <v>4.619685462693635E-4</v>
      </c>
      <c r="E41" s="199">
        <f t="shared" si="2"/>
        <v>90395781.735644668</v>
      </c>
    </row>
    <row r="42" spans="1:5" x14ac:dyDescent="0.3">
      <c r="A42" s="122">
        <f t="shared" si="3"/>
        <v>50000000</v>
      </c>
      <c r="B42" s="106">
        <f t="shared" si="0"/>
        <v>797167.95415875129</v>
      </c>
      <c r="C42" s="106">
        <f t="shared" si="1"/>
        <v>797167.95415875129</v>
      </c>
      <c r="D42" s="1">
        <f t="shared" si="4"/>
        <v>4.1143782275497912E-4</v>
      </c>
      <c r="E42" s="199">
        <f t="shared" si="2"/>
        <v>92790349.864078641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209" t="s">
        <v>105</v>
      </c>
      <c r="G2" s="210"/>
      <c r="H2" s="210"/>
      <c r="I2" s="210"/>
      <c r="J2" s="210"/>
      <c r="K2" s="210"/>
      <c r="L2" s="211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212" t="s">
        <v>72</v>
      </c>
      <c r="G3" s="213"/>
      <c r="H3" s="213"/>
      <c r="I3" s="213"/>
      <c r="J3" s="213"/>
      <c r="K3" s="213"/>
      <c r="L3" s="214"/>
    </row>
    <row r="4" spans="1:12" ht="14.4" thickBot="1" x14ac:dyDescent="0.35">
      <c r="A4" s="29" t="s">
        <v>38</v>
      </c>
      <c r="B4" s="273" t="s">
        <v>39</v>
      </c>
      <c r="C4" s="273"/>
      <c r="D4" s="274"/>
    </row>
    <row r="6" spans="1:12" ht="14.4" thickBot="1" x14ac:dyDescent="0.35"/>
    <row r="7" spans="1:12" ht="27.6" customHeight="1" x14ac:dyDescent="0.3">
      <c r="A7" s="248" t="s">
        <v>8</v>
      </c>
      <c r="B7" s="242" t="s">
        <v>9</v>
      </c>
      <c r="C7" s="243"/>
      <c r="D7" s="267" t="s">
        <v>12</v>
      </c>
      <c r="E7" s="269"/>
      <c r="F7" s="268" t="s">
        <v>24</v>
      </c>
      <c r="G7" s="281"/>
    </row>
    <row r="8" spans="1:12" ht="27.6" x14ac:dyDescent="0.3">
      <c r="A8" s="24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250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248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248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250"/>
      <c r="B12" s="12">
        <v>20</v>
      </c>
      <c r="C12" s="12">
        <v>30</v>
      </c>
      <c r="D12" s="12">
        <v>0</v>
      </c>
      <c r="E12" s="14">
        <v>70</v>
      </c>
      <c r="G12" s="250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270" t="s">
        <v>30</v>
      </c>
      <c r="B13" s="271"/>
      <c r="C13" s="271"/>
      <c r="D13" s="271"/>
      <c r="E13" s="272"/>
      <c r="G13" s="275" t="s">
        <v>29</v>
      </c>
      <c r="H13" s="276"/>
      <c r="I13" s="276"/>
      <c r="J13" s="277"/>
    </row>
    <row r="14" spans="1:12" ht="33.6" customHeight="1" x14ac:dyDescent="0.3">
      <c r="A14" s="262"/>
      <c r="B14" s="263"/>
      <c r="C14" s="263"/>
      <c r="D14" s="263"/>
      <c r="E14" s="264"/>
      <c r="G14" s="278"/>
      <c r="H14" s="279"/>
      <c r="I14" s="279"/>
      <c r="J14" s="280"/>
    </row>
    <row r="16" spans="1:12" ht="14.4" thickBot="1" x14ac:dyDescent="0.35"/>
    <row r="17" spans="1:4" ht="16.8" customHeight="1" x14ac:dyDescent="0.3">
      <c r="A17" s="251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252"/>
      <c r="B18" s="12">
        <v>0</v>
      </c>
      <c r="C18" s="12">
        <v>100</v>
      </c>
      <c r="D18" s="26">
        <v>20</v>
      </c>
    </row>
    <row r="20" spans="1:4" x14ac:dyDescent="0.3">
      <c r="A20" s="225" t="s">
        <v>37</v>
      </c>
      <c r="B20" s="225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209" t="s">
        <v>105</v>
      </c>
      <c r="G2" s="210"/>
      <c r="H2" s="210"/>
      <c r="I2" s="210"/>
      <c r="J2" s="210"/>
      <c r="K2" s="210"/>
      <c r="L2" s="211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212" t="s">
        <v>72</v>
      </c>
      <c r="G3" s="213"/>
      <c r="H3" s="213"/>
      <c r="I3" s="213"/>
      <c r="J3" s="213"/>
      <c r="K3" s="213"/>
      <c r="L3" s="214"/>
    </row>
    <row r="4" spans="1:12" ht="31.8" customHeight="1" thickBot="1" x14ac:dyDescent="0.35">
      <c r="A4" s="29" t="s">
        <v>38</v>
      </c>
      <c r="B4" s="282" t="s">
        <v>41</v>
      </c>
      <c r="C4" s="283"/>
      <c r="D4" s="284"/>
    </row>
    <row r="6" spans="1:12" ht="14.4" thickBot="1" x14ac:dyDescent="0.35"/>
    <row r="7" spans="1:12" ht="27.6" customHeight="1" x14ac:dyDescent="0.3">
      <c r="A7" s="248" t="s">
        <v>8</v>
      </c>
      <c r="B7" s="242" t="s">
        <v>9</v>
      </c>
      <c r="C7" s="243"/>
      <c r="D7" s="267" t="s">
        <v>12</v>
      </c>
      <c r="E7" s="269"/>
      <c r="F7" s="268" t="s">
        <v>24</v>
      </c>
      <c r="G7" s="281"/>
      <c r="H7" s="1" t="s">
        <v>54</v>
      </c>
    </row>
    <row r="8" spans="1:12" ht="27.6" x14ac:dyDescent="0.3">
      <c r="A8" s="24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250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248" t="s">
        <v>42</v>
      </c>
      <c r="B11" s="217" t="s">
        <v>47</v>
      </c>
      <c r="C11" s="285" t="s">
        <v>46</v>
      </c>
      <c r="D11" s="268"/>
      <c r="E11" s="268"/>
      <c r="F11" s="3" t="s">
        <v>48</v>
      </c>
      <c r="G11" s="33"/>
      <c r="H11" s="32"/>
      <c r="I11" s="32"/>
      <c r="J11" s="32"/>
    </row>
    <row r="12" spans="1:12" x14ac:dyDescent="0.3">
      <c r="A12" s="286"/>
      <c r="B12" s="218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287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247" t="s">
        <v>52</v>
      </c>
      <c r="B14" s="247"/>
      <c r="C14" s="247"/>
      <c r="D14" s="247"/>
      <c r="E14" s="247"/>
      <c r="F14" s="247"/>
      <c r="G14" s="38"/>
      <c r="H14" s="39"/>
      <c r="I14" s="39"/>
      <c r="J14" s="39"/>
    </row>
    <row r="15" spans="1:12" ht="30.6" customHeight="1" x14ac:dyDescent="0.3">
      <c r="A15" s="247"/>
      <c r="B15" s="247"/>
      <c r="C15" s="247"/>
      <c r="D15" s="247"/>
      <c r="E15" s="247"/>
      <c r="F15" s="247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251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252"/>
      <c r="B19" s="12">
        <v>0</v>
      </c>
      <c r="C19" s="12">
        <v>20000000</v>
      </c>
      <c r="D19" s="26">
        <v>20</v>
      </c>
    </row>
    <row r="21" spans="1:4" x14ac:dyDescent="0.3">
      <c r="A21" s="225" t="s">
        <v>37</v>
      </c>
      <c r="B21" s="225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209" t="s">
        <v>105</v>
      </c>
      <c r="G2" s="210"/>
      <c r="H2" s="210"/>
      <c r="I2" s="210"/>
      <c r="J2" s="210"/>
      <c r="K2" s="210"/>
      <c r="L2" s="211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212" t="s">
        <v>72</v>
      </c>
      <c r="G3" s="213"/>
      <c r="H3" s="213"/>
      <c r="I3" s="213"/>
      <c r="J3" s="213"/>
      <c r="K3" s="213"/>
      <c r="L3" s="214"/>
    </row>
    <row r="4" spans="1:14" ht="14.4" thickBot="1" x14ac:dyDescent="0.35">
      <c r="A4" s="29" t="s">
        <v>38</v>
      </c>
      <c r="B4" s="273" t="s">
        <v>57</v>
      </c>
      <c r="C4" s="273"/>
      <c r="D4" s="274"/>
    </row>
    <row r="6" spans="1:14" ht="14.4" thickBot="1" x14ac:dyDescent="0.35"/>
    <row r="7" spans="1:14" ht="27.6" customHeight="1" x14ac:dyDescent="0.3">
      <c r="A7" s="248" t="s">
        <v>8</v>
      </c>
      <c r="B7" s="242" t="s">
        <v>9</v>
      </c>
      <c r="C7" s="243"/>
      <c r="D7" s="267" t="s">
        <v>12</v>
      </c>
      <c r="E7" s="269"/>
      <c r="F7" s="268" t="s">
        <v>24</v>
      </c>
      <c r="G7" s="281"/>
      <c r="I7" s="253" t="s">
        <v>73</v>
      </c>
      <c r="J7" s="253"/>
      <c r="K7" s="253"/>
      <c r="L7" s="253"/>
      <c r="N7" s="47" t="s">
        <v>58</v>
      </c>
    </row>
    <row r="8" spans="1:14" ht="27.6" x14ac:dyDescent="0.3">
      <c r="A8" s="24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253"/>
      <c r="J8" s="253"/>
      <c r="K8" s="253"/>
      <c r="L8" s="253"/>
      <c r="N8" s="47" t="s">
        <v>59</v>
      </c>
    </row>
    <row r="9" spans="1:14" ht="14.4" thickBot="1" x14ac:dyDescent="0.35">
      <c r="A9" s="250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225" t="s">
        <v>60</v>
      </c>
      <c r="B11" s="3" t="s">
        <v>61</v>
      </c>
      <c r="C11" s="3" t="s">
        <v>62</v>
      </c>
      <c r="D11" s="32"/>
      <c r="E11" s="256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225"/>
      <c r="B12" s="41">
        <v>0</v>
      </c>
      <c r="C12" s="41">
        <v>0</v>
      </c>
      <c r="D12" s="32"/>
      <c r="E12" s="257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225"/>
      <c r="B13" s="41">
        <v>1</v>
      </c>
      <c r="C13" s="41">
        <v>0.75</v>
      </c>
      <c r="D13" s="32"/>
      <c r="E13" s="257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225"/>
      <c r="B14" s="41">
        <v>2</v>
      </c>
      <c r="C14" s="41">
        <v>0</v>
      </c>
      <c r="D14" s="32"/>
      <c r="E14" s="257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225"/>
      <c r="B15" s="41">
        <v>3</v>
      </c>
      <c r="C15" s="41">
        <v>-1</v>
      </c>
      <c r="D15" s="32"/>
      <c r="E15" s="257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225"/>
      <c r="B16" s="41">
        <v>4</v>
      </c>
      <c r="C16" s="41">
        <v>3</v>
      </c>
      <c r="D16" s="32"/>
      <c r="E16" s="257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225"/>
      <c r="B17" s="42">
        <v>5</v>
      </c>
      <c r="C17" s="42">
        <v>3</v>
      </c>
      <c r="D17" s="40"/>
      <c r="E17" s="257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288" t="s">
        <v>74</v>
      </c>
      <c r="B18" s="289"/>
      <c r="C18" s="290"/>
      <c r="D18" s="33"/>
      <c r="E18" s="247" t="s">
        <v>75</v>
      </c>
      <c r="F18" s="247"/>
      <c r="G18" s="247"/>
      <c r="H18" s="247"/>
      <c r="I18" s="247"/>
      <c r="J18" s="247"/>
      <c r="K18" s="247"/>
      <c r="L18" s="247"/>
      <c r="M18" s="247"/>
    </row>
    <row r="19" spans="1:13" ht="35.4" customHeight="1" x14ac:dyDescent="0.3">
      <c r="A19" s="262"/>
      <c r="B19" s="263"/>
      <c r="C19" s="264"/>
      <c r="D19" s="33"/>
      <c r="E19" s="247"/>
      <c r="F19" s="247"/>
      <c r="G19" s="247"/>
      <c r="H19" s="247"/>
      <c r="I19" s="247"/>
      <c r="J19" s="247"/>
      <c r="K19" s="247"/>
      <c r="L19" s="247"/>
      <c r="M19" s="247"/>
    </row>
    <row r="21" spans="1:13" ht="14.4" thickBot="1" x14ac:dyDescent="0.35"/>
    <row r="22" spans="1:13" ht="16.8" customHeight="1" x14ac:dyDescent="0.3">
      <c r="A22" s="251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252"/>
      <c r="B23" s="12">
        <v>0</v>
      </c>
      <c r="C23" s="12">
        <v>5</v>
      </c>
      <c r="D23" s="26">
        <v>20</v>
      </c>
    </row>
    <row r="25" spans="1:13" x14ac:dyDescent="0.3">
      <c r="A25" s="225" t="s">
        <v>37</v>
      </c>
      <c r="B25" s="225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291" t="s">
        <v>111</v>
      </c>
      <c r="C4" s="291"/>
      <c r="D4" s="291"/>
      <c r="E4" s="291"/>
      <c r="F4" s="292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248" t="s">
        <v>8</v>
      </c>
      <c r="B7" s="242" t="s">
        <v>9</v>
      </c>
      <c r="C7" s="243"/>
      <c r="D7" s="267" t="s">
        <v>12</v>
      </c>
      <c r="E7" s="269"/>
      <c r="F7" s="268" t="s">
        <v>24</v>
      </c>
      <c r="G7" s="281"/>
    </row>
    <row r="8" spans="1:15" ht="27.6" x14ac:dyDescent="0.3">
      <c r="A8" s="249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250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248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251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250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252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270" t="s">
        <v>119</v>
      </c>
      <c r="B13" s="271"/>
      <c r="C13" s="271"/>
      <c r="D13" s="271"/>
      <c r="E13" s="271"/>
      <c r="F13" s="272"/>
      <c r="H13" s="270" t="s">
        <v>120</v>
      </c>
      <c r="I13" s="271"/>
      <c r="J13" s="271"/>
      <c r="K13" s="271"/>
      <c r="L13" s="271"/>
      <c r="M13" s="271"/>
      <c r="N13" s="271"/>
      <c r="O13" s="272"/>
    </row>
    <row r="14" spans="1:15" ht="33.6" customHeight="1" x14ac:dyDescent="0.3">
      <c r="A14" s="262"/>
      <c r="B14" s="263"/>
      <c r="C14" s="263"/>
      <c r="D14" s="263"/>
      <c r="E14" s="263"/>
      <c r="F14" s="264"/>
      <c r="H14" s="262"/>
      <c r="I14" s="263"/>
      <c r="J14" s="263"/>
      <c r="K14" s="263"/>
      <c r="L14" s="263"/>
      <c r="M14" s="263"/>
      <c r="N14" s="263"/>
      <c r="O14" s="264"/>
    </row>
    <row r="16" spans="1:15" ht="14.4" thickBot="1" x14ac:dyDescent="0.35"/>
    <row r="17" spans="1:4" ht="16.8" customHeight="1" x14ac:dyDescent="0.3">
      <c r="A17" s="251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252"/>
      <c r="B18" s="102">
        <v>0</v>
      </c>
      <c r="C18" s="103">
        <v>200000000</v>
      </c>
      <c r="D18" s="26">
        <v>20</v>
      </c>
    </row>
    <row r="20" spans="1:4" x14ac:dyDescent="0.3">
      <c r="A20" s="225" t="s">
        <v>37</v>
      </c>
      <c r="B20" s="225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Charts - Idvl</vt:lpstr>
      <vt:lpstr>Charts - Idvl IRev</vt:lpstr>
      <vt:lpstr>Chart - Combined</vt:lpstr>
      <vt:lpstr>Case Notes</vt:lpstr>
      <vt:lpstr>STD20 (-15)</vt:lpstr>
      <vt:lpstr>STD20 (-10)</vt:lpstr>
      <vt:lpstr>STD20 (-5)</vt:lpstr>
      <vt:lpstr>STD20 (+0)</vt:lpstr>
      <vt:lpstr>STD20 (+5)</vt:lpstr>
      <vt:lpstr>STD20 (+10)</vt:lpstr>
      <vt:lpstr>STD20 (+15)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2013-05-11T22:27:38Z</dcterms:modified>
</cp:coreProperties>
</file>