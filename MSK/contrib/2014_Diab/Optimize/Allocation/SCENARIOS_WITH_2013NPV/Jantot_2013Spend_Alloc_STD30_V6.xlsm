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2" activeTab="11"/>
  </bookViews>
  <sheets>
    <sheet name="Charts - Idvl" sheetId="35" r:id="rId1"/>
    <sheet name="Charts - Idvl IRev" sheetId="38" r:id="rId2"/>
    <sheet name="Chart - Combined" sheetId="36" r:id="rId3"/>
    <sheet name="Case Notes" sheetId="37" r:id="rId4"/>
    <sheet name="STD30 (-15)" sheetId="39" r:id="rId5"/>
    <sheet name="STD30 (-10)" sheetId="40" r:id="rId6"/>
    <sheet name="STD30 (-5)" sheetId="41" r:id="rId7"/>
    <sheet name="STD30 (+0)" sheetId="42" r:id="rId8"/>
    <sheet name="STD30 (+5)" sheetId="43" r:id="rId9"/>
    <sheet name="STD30 (+10)" sheetId="44" r:id="rId10"/>
    <sheet name="STD30 (+15)" sheetId="45" r:id="rId11"/>
    <sheet name="JJ_Optim_Scenario" sheetId="23" r:id="rId12"/>
    <sheet name="JANSample" sheetId="25" r:id="rId13"/>
    <sheet name="JMTSample" sheetId="26" r:id="rId14"/>
    <sheet name="TOTSample" sheetId="27" r:id="rId15"/>
    <sheet name="JJVCH" sheetId="29" r:id="rId16"/>
    <sheet name="JJMMF" sheetId="30" r:id="rId17"/>
    <sheet name="JJHCC" sheetId="31" r:id="rId18"/>
    <sheet name="JJMCM" sheetId="32" r:id="rId19"/>
    <sheet name="JJHCC_ACQ" sheetId="33" r:id="rId20"/>
    <sheet name="JJHCC_ADH" sheetId="3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7"/>
  <definedNames>
    <definedName name="solver_adj" localSheetId="11" hidden="1">JJ_Optim_Scenario!$I$17:$I$24</definedName>
    <definedName name="solver_adj" localSheetId="7" hidden="1">'STD30 (+0)'!$I$17:$I$24</definedName>
    <definedName name="solver_adj" localSheetId="9" hidden="1">'STD30 (+10)'!$I$17:$I$24</definedName>
    <definedName name="solver_adj" localSheetId="10" hidden="1">'STD30 (+15)'!$I$17:$I$24</definedName>
    <definedName name="solver_adj" localSheetId="8" hidden="1">'STD30 (+5)'!$I$17:$I$24</definedName>
    <definedName name="solver_adj" localSheetId="5" hidden="1">'STD30 (-10)'!$I$17:$I$24</definedName>
    <definedName name="solver_adj" localSheetId="4" hidden="1">'STD30 (-15)'!$I$17:$I$24</definedName>
    <definedName name="solver_adj" localSheetId="6" hidden="1">'STD30 (-5)'!$I$17:$I$24</definedName>
    <definedName name="solver_cvg" localSheetId="11" hidden="1">0.00001</definedName>
    <definedName name="solver_cvg" localSheetId="7" hidden="1">0.0001</definedName>
    <definedName name="solver_cvg" localSheetId="9" hidden="1">0.00001</definedName>
    <definedName name="solver_cvg" localSheetId="10" hidden="1">0.00001</definedName>
    <definedName name="solver_cvg" localSheetId="8" hidden="1">0.00001</definedName>
    <definedName name="solver_cvg" localSheetId="5" hidden="1">0.0001</definedName>
    <definedName name="solver_cvg" localSheetId="4" hidden="1">0.0001</definedName>
    <definedName name="solver_cvg" localSheetId="6" hidden="1">0.0001</definedName>
    <definedName name="solver_drv" localSheetId="11" hidden="1">1</definedName>
    <definedName name="solver_drv" localSheetId="7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5" hidden="1">1</definedName>
    <definedName name="solver_drv" localSheetId="4" hidden="1">1</definedName>
    <definedName name="solver_drv" localSheetId="6" hidden="1">1</definedName>
    <definedName name="solver_eng" localSheetId="11" hidden="1">1</definedName>
    <definedName name="solver_eng" localSheetId="7" hidden="1">1</definedName>
    <definedName name="solver_eng" localSheetId="9" hidden="1">1</definedName>
    <definedName name="solver_eng" localSheetId="10" hidden="1">1</definedName>
    <definedName name="solver_eng" localSheetId="8" hidden="1">1</definedName>
    <definedName name="solver_eng" localSheetId="5" hidden="1">1</definedName>
    <definedName name="solver_eng" localSheetId="4" hidden="1">1</definedName>
    <definedName name="solver_eng" localSheetId="6" hidden="1">1</definedName>
    <definedName name="solver_est" localSheetId="11" hidden="1">1</definedName>
    <definedName name="solver_est" localSheetId="7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5" hidden="1">1</definedName>
    <definedName name="solver_est" localSheetId="4" hidden="1">1</definedName>
    <definedName name="solver_est" localSheetId="6" hidden="1">1</definedName>
    <definedName name="solver_itr" localSheetId="11" hidden="1">2147483647</definedName>
    <definedName name="solver_itr" localSheetId="7" hidden="1">2147483647</definedName>
    <definedName name="solver_itr" localSheetId="9" hidden="1">2147483647</definedName>
    <definedName name="solver_itr" localSheetId="10" hidden="1">2147483647</definedName>
    <definedName name="solver_itr" localSheetId="8" hidden="1">2147483647</definedName>
    <definedName name="solver_itr" localSheetId="5" hidden="1">2147483647</definedName>
    <definedName name="solver_itr" localSheetId="4" hidden="1">2147483647</definedName>
    <definedName name="solver_itr" localSheetId="6" hidden="1">2147483647</definedName>
    <definedName name="solver_lhs1" localSheetId="11" hidden="1">JJ_Optim_Scenario!$I$17:$I$24</definedName>
    <definedName name="solver_lhs1" localSheetId="7" hidden="1">'STD30 (+0)'!$I$17:$I$24</definedName>
    <definedName name="solver_lhs1" localSheetId="9" hidden="1">'STD30 (+10)'!$I$17:$I$24</definedName>
    <definedName name="solver_lhs1" localSheetId="10" hidden="1">'STD30 (+15)'!$I$17:$I$24</definedName>
    <definedName name="solver_lhs1" localSheetId="8" hidden="1">'STD30 (+5)'!$I$17:$I$24</definedName>
    <definedName name="solver_lhs1" localSheetId="5" hidden="1">'STD30 (-10)'!$I$17:$I$24</definedName>
    <definedName name="solver_lhs1" localSheetId="4" hidden="1">'STD30 (-15)'!$I$17:$I$24</definedName>
    <definedName name="solver_lhs1" localSheetId="6" hidden="1">'STD30 (-5)'!$I$17:$I$24</definedName>
    <definedName name="solver_lhs2" localSheetId="11" hidden="1">JJ_Optim_Scenario!$I$17:$I$24</definedName>
    <definedName name="solver_lhs2" localSheetId="7" hidden="1">'STD30 (+0)'!$I$17:$I$24</definedName>
    <definedName name="solver_lhs2" localSheetId="9" hidden="1">'STD30 (+10)'!$I$17:$I$24</definedName>
    <definedName name="solver_lhs2" localSheetId="10" hidden="1">'STD30 (+15)'!$I$17:$I$24</definedName>
    <definedName name="solver_lhs2" localSheetId="8" hidden="1">'STD30 (+5)'!$I$17:$I$24</definedName>
    <definedName name="solver_lhs2" localSheetId="5" hidden="1">'STD30 (-10)'!$I$17:$I$24</definedName>
    <definedName name="solver_lhs2" localSheetId="4" hidden="1">'STD30 (-15)'!$I$17:$I$24</definedName>
    <definedName name="solver_lhs2" localSheetId="6" hidden="1">'STD30 (-5)'!$I$17:$I$24</definedName>
    <definedName name="solver_lhs3" localSheetId="11" hidden="1">JJ_Optim_Scenario!$I$25</definedName>
    <definedName name="solver_lhs3" localSheetId="7" hidden="1">'STD30 (+0)'!$I$25</definedName>
    <definedName name="solver_lhs3" localSheetId="9" hidden="1">'STD30 (+10)'!$I$25</definedName>
    <definedName name="solver_lhs3" localSheetId="10" hidden="1">'STD30 (+15)'!$I$25</definedName>
    <definedName name="solver_lhs3" localSheetId="8" hidden="1">'STD30 (+5)'!$I$25</definedName>
    <definedName name="solver_lhs3" localSheetId="5" hidden="1">'STD30 (-10)'!$I$25</definedName>
    <definedName name="solver_lhs3" localSheetId="4" hidden="1">'STD30 (-15)'!$I$25</definedName>
    <definedName name="solver_lhs3" localSheetId="6" hidden="1">'STD30 (-5)'!$I$25</definedName>
    <definedName name="solver_mip" localSheetId="11" hidden="1">2147483647</definedName>
    <definedName name="solver_mip" localSheetId="7" hidden="1">2147483647</definedName>
    <definedName name="solver_mip" localSheetId="9" hidden="1">2147483647</definedName>
    <definedName name="solver_mip" localSheetId="10" hidden="1">2147483647</definedName>
    <definedName name="solver_mip" localSheetId="8" hidden="1">2147483647</definedName>
    <definedName name="solver_mip" localSheetId="5" hidden="1">2147483647</definedName>
    <definedName name="solver_mip" localSheetId="4" hidden="1">2147483647</definedName>
    <definedName name="solver_mip" localSheetId="6" hidden="1">2147483647</definedName>
    <definedName name="solver_mni" localSheetId="11" hidden="1">30</definedName>
    <definedName name="solver_mni" localSheetId="7" hidden="1">30</definedName>
    <definedName name="solver_mni" localSheetId="9" hidden="1">30</definedName>
    <definedName name="solver_mni" localSheetId="10" hidden="1">30</definedName>
    <definedName name="solver_mni" localSheetId="8" hidden="1">30</definedName>
    <definedName name="solver_mni" localSheetId="5" hidden="1">30</definedName>
    <definedName name="solver_mni" localSheetId="4" hidden="1">30</definedName>
    <definedName name="solver_mni" localSheetId="6" hidden="1">30</definedName>
    <definedName name="solver_mrt" localSheetId="11" hidden="1">0.075</definedName>
    <definedName name="solver_mrt" localSheetId="7" hidden="1">0.075</definedName>
    <definedName name="solver_mrt" localSheetId="9" hidden="1">0.075</definedName>
    <definedName name="solver_mrt" localSheetId="10" hidden="1">0.075</definedName>
    <definedName name="solver_mrt" localSheetId="8" hidden="1">0.075</definedName>
    <definedName name="solver_mrt" localSheetId="5" hidden="1">0.075</definedName>
    <definedName name="solver_mrt" localSheetId="4" hidden="1">0.075</definedName>
    <definedName name="solver_mrt" localSheetId="6" hidden="1">0.075</definedName>
    <definedName name="solver_msl" localSheetId="11" hidden="1">2</definedName>
    <definedName name="solver_msl" localSheetId="7" hidden="1">2</definedName>
    <definedName name="solver_msl" localSheetId="9" hidden="1">2</definedName>
    <definedName name="solver_msl" localSheetId="10" hidden="1">2</definedName>
    <definedName name="solver_msl" localSheetId="8" hidden="1">2</definedName>
    <definedName name="solver_msl" localSheetId="5" hidden="1">2</definedName>
    <definedName name="solver_msl" localSheetId="4" hidden="1">2</definedName>
    <definedName name="solver_msl" localSheetId="6" hidden="1">2</definedName>
    <definedName name="solver_neg" localSheetId="11" hidden="1">1</definedName>
    <definedName name="solver_neg" localSheetId="7" hidden="1">1</definedName>
    <definedName name="solver_neg" localSheetId="9" hidden="1">1</definedName>
    <definedName name="solver_neg" localSheetId="10" hidden="1">1</definedName>
    <definedName name="solver_neg" localSheetId="8" hidden="1">1</definedName>
    <definedName name="solver_neg" localSheetId="5" hidden="1">1</definedName>
    <definedName name="solver_neg" localSheetId="4" hidden="1">1</definedName>
    <definedName name="solver_neg" localSheetId="6" hidden="1">1</definedName>
    <definedName name="solver_nod" localSheetId="11" hidden="1">2147483647</definedName>
    <definedName name="solver_nod" localSheetId="7" hidden="1">2147483647</definedName>
    <definedName name="solver_nod" localSheetId="9" hidden="1">2147483647</definedName>
    <definedName name="solver_nod" localSheetId="10" hidden="1">2147483647</definedName>
    <definedName name="solver_nod" localSheetId="8" hidden="1">2147483647</definedName>
    <definedName name="solver_nod" localSheetId="5" hidden="1">2147483647</definedName>
    <definedName name="solver_nod" localSheetId="4" hidden="1">2147483647</definedName>
    <definedName name="solver_nod" localSheetId="6" hidden="1">2147483647</definedName>
    <definedName name="solver_num" localSheetId="11" hidden="1">3</definedName>
    <definedName name="solver_num" localSheetId="7" hidden="1">3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5" hidden="1">3</definedName>
    <definedName name="solver_num" localSheetId="4" hidden="1">3</definedName>
    <definedName name="solver_num" localSheetId="6" hidden="1">3</definedName>
    <definedName name="solver_nwt" localSheetId="11" hidden="1">1</definedName>
    <definedName name="solver_nwt" localSheetId="7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5" hidden="1">1</definedName>
    <definedName name="solver_nwt" localSheetId="4" hidden="1">1</definedName>
    <definedName name="solver_nwt" localSheetId="6" hidden="1">1</definedName>
    <definedName name="solver_opt" localSheetId="11" hidden="1">JJ_Optim_Scenario!$B$9</definedName>
    <definedName name="solver_opt" localSheetId="7" hidden="1">'STD30 (+0)'!$B$9</definedName>
    <definedName name="solver_opt" localSheetId="9" hidden="1">'STD30 (+10)'!$B$9</definedName>
    <definedName name="solver_opt" localSheetId="10" hidden="1">'STD30 (+15)'!$B$9</definedName>
    <definedName name="solver_opt" localSheetId="8" hidden="1">'STD30 (+5)'!$B$9</definedName>
    <definedName name="solver_opt" localSheetId="5" hidden="1">'STD30 (-10)'!$B$9</definedName>
    <definedName name="solver_opt" localSheetId="4" hidden="1">'STD30 (-15)'!$B$9</definedName>
    <definedName name="solver_opt" localSheetId="6" hidden="1">'STD30 (-5)'!$B$9</definedName>
    <definedName name="solver_pre" localSheetId="11" hidden="1">0.000001</definedName>
    <definedName name="solver_pre" localSheetId="7" hidden="1">0.000001</definedName>
    <definedName name="solver_pre" localSheetId="9" hidden="1">0.000001</definedName>
    <definedName name="solver_pre" localSheetId="10" hidden="1">0.000001</definedName>
    <definedName name="solver_pre" localSheetId="8" hidden="1">0.000001</definedName>
    <definedName name="solver_pre" localSheetId="5" hidden="1">0.000001</definedName>
    <definedName name="solver_pre" localSheetId="4" hidden="1">0.000001</definedName>
    <definedName name="solver_pre" localSheetId="6" hidden="1">0.000001</definedName>
    <definedName name="solver_rbv" localSheetId="11" hidden="1">1</definedName>
    <definedName name="solver_rbv" localSheetId="7" hidden="1">1</definedName>
    <definedName name="solver_rbv" localSheetId="9" hidden="1">1</definedName>
    <definedName name="solver_rbv" localSheetId="10" hidden="1">1</definedName>
    <definedName name="solver_rbv" localSheetId="8" hidden="1">1</definedName>
    <definedName name="solver_rbv" localSheetId="5" hidden="1">1</definedName>
    <definedName name="solver_rbv" localSheetId="4" hidden="1">1</definedName>
    <definedName name="solver_rbv" localSheetId="6" hidden="1">1</definedName>
    <definedName name="solver_rel1" localSheetId="11" hidden="1">1</definedName>
    <definedName name="solver_rel1" localSheetId="7" hidden="1">1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5" hidden="1">1</definedName>
    <definedName name="solver_rel1" localSheetId="4" hidden="1">1</definedName>
    <definedName name="solver_rel1" localSheetId="6" hidden="1">1</definedName>
    <definedName name="solver_rel2" localSheetId="11" hidden="1">3</definedName>
    <definedName name="solver_rel2" localSheetId="7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5" hidden="1">3</definedName>
    <definedName name="solver_rel2" localSheetId="4" hidden="1">3</definedName>
    <definedName name="solver_rel2" localSheetId="6" hidden="1">3</definedName>
    <definedName name="solver_rel3" localSheetId="11" hidden="1">2</definedName>
    <definedName name="solver_rel3" localSheetId="7" hidden="1">2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5" hidden="1">2</definedName>
    <definedName name="solver_rel3" localSheetId="4" hidden="1">2</definedName>
    <definedName name="solver_rel3" localSheetId="6" hidden="1">2</definedName>
    <definedName name="solver_rhs1" localSheetId="11" hidden="1">JJ_Optim_Scenario!$H$17:$H$24</definedName>
    <definedName name="solver_rhs1" localSheetId="7" hidden="1">'STD30 (+0)'!$H$17:$H$24</definedName>
    <definedName name="solver_rhs1" localSheetId="9" hidden="1">'STD30 (+10)'!$H$17:$H$24</definedName>
    <definedName name="solver_rhs1" localSheetId="10" hidden="1">'STD30 (+15)'!$H$17:$H$24</definedName>
    <definedName name="solver_rhs1" localSheetId="8" hidden="1">'STD30 (+5)'!$H$17:$H$24</definedName>
    <definedName name="solver_rhs1" localSheetId="5" hidden="1">'STD30 (-10)'!$H$17:$H$24</definedName>
    <definedName name="solver_rhs1" localSheetId="4" hidden="1">'STD30 (-15)'!$H$17:$H$24</definedName>
    <definedName name="solver_rhs1" localSheetId="6" hidden="1">'STD30 (-5)'!$H$17:$H$24</definedName>
    <definedName name="solver_rhs2" localSheetId="11" hidden="1">JJ_Optim_Scenario!$G$17:$G$24</definedName>
    <definedName name="solver_rhs2" localSheetId="7" hidden="1">'STD30 (+0)'!$G$17:$G$24</definedName>
    <definedName name="solver_rhs2" localSheetId="9" hidden="1">'STD30 (+10)'!$G$17:$G$24</definedName>
    <definedName name="solver_rhs2" localSheetId="10" hidden="1">'STD30 (+15)'!$G$17:$G$24</definedName>
    <definedName name="solver_rhs2" localSheetId="8" hidden="1">'STD30 (+5)'!$G$17:$G$24</definedName>
    <definedName name="solver_rhs2" localSheetId="5" hidden="1">'STD30 (-10)'!$G$17:$G$24</definedName>
    <definedName name="solver_rhs2" localSheetId="4" hidden="1">'STD30 (-15)'!$G$17:$G$24</definedName>
    <definedName name="solver_rhs2" localSheetId="6" hidden="1">'STD30 (-5)'!$G$17:$G$24</definedName>
    <definedName name="solver_rhs3" localSheetId="11" hidden="1">JJ_Optim_Scenario!$B$12</definedName>
    <definedName name="solver_rhs3" localSheetId="7" hidden="1">'STD30 (+0)'!$B$12</definedName>
    <definedName name="solver_rhs3" localSheetId="9" hidden="1">'STD30 (+10)'!$B$12</definedName>
    <definedName name="solver_rhs3" localSheetId="10" hidden="1">'STD30 (+15)'!$B$12</definedName>
    <definedName name="solver_rhs3" localSheetId="8" hidden="1">'STD30 (+5)'!$B$12</definedName>
    <definedName name="solver_rhs3" localSheetId="5" hidden="1">'STD30 (-10)'!$B$12</definedName>
    <definedName name="solver_rhs3" localSheetId="4" hidden="1">'STD30 (-15)'!$B$12</definedName>
    <definedName name="solver_rhs3" localSheetId="6" hidden="1">'STD30 (-5)'!$B$12</definedName>
    <definedName name="solver_rlx" localSheetId="11" hidden="1">2</definedName>
    <definedName name="solver_rlx" localSheetId="7" hidden="1">2</definedName>
    <definedName name="solver_rlx" localSheetId="9" hidden="1">2</definedName>
    <definedName name="solver_rlx" localSheetId="10" hidden="1">2</definedName>
    <definedName name="solver_rlx" localSheetId="8" hidden="1">2</definedName>
    <definedName name="solver_rlx" localSheetId="5" hidden="1">2</definedName>
    <definedName name="solver_rlx" localSheetId="4" hidden="1">2</definedName>
    <definedName name="solver_rlx" localSheetId="6" hidden="1">2</definedName>
    <definedName name="solver_rsd" localSheetId="11" hidden="1">0</definedName>
    <definedName name="solver_rsd" localSheetId="7" hidden="1">0</definedName>
    <definedName name="solver_rsd" localSheetId="9" hidden="1">0</definedName>
    <definedName name="solver_rsd" localSheetId="10" hidden="1">0</definedName>
    <definedName name="solver_rsd" localSheetId="8" hidden="1">0</definedName>
    <definedName name="solver_rsd" localSheetId="5" hidden="1">0</definedName>
    <definedName name="solver_rsd" localSheetId="4" hidden="1">0</definedName>
    <definedName name="solver_rsd" localSheetId="6" hidden="1">0</definedName>
    <definedName name="solver_scl" localSheetId="11" hidden="1">1</definedName>
    <definedName name="solver_scl" localSheetId="7" hidden="1">1</definedName>
    <definedName name="solver_scl" localSheetId="9" hidden="1">1</definedName>
    <definedName name="solver_scl" localSheetId="10" hidden="1">1</definedName>
    <definedName name="solver_scl" localSheetId="8" hidden="1">1</definedName>
    <definedName name="solver_scl" localSheetId="5" hidden="1">1</definedName>
    <definedName name="solver_scl" localSheetId="4" hidden="1">1</definedName>
    <definedName name="solver_scl" localSheetId="6" hidden="1">1</definedName>
    <definedName name="solver_sho" localSheetId="11" hidden="1">2</definedName>
    <definedName name="solver_sho" localSheetId="7" hidden="1">2</definedName>
    <definedName name="solver_sho" localSheetId="9" hidden="1">2</definedName>
    <definedName name="solver_sho" localSheetId="10" hidden="1">2</definedName>
    <definedName name="solver_sho" localSheetId="8" hidden="1">2</definedName>
    <definedName name="solver_sho" localSheetId="5" hidden="1">2</definedName>
    <definedName name="solver_sho" localSheetId="4" hidden="1">2</definedName>
    <definedName name="solver_sho" localSheetId="6" hidden="1">2</definedName>
    <definedName name="solver_ssz" localSheetId="11" hidden="1">100</definedName>
    <definedName name="solver_ssz" localSheetId="7" hidden="1">100</definedName>
    <definedName name="solver_ssz" localSheetId="9" hidden="1">100</definedName>
    <definedName name="solver_ssz" localSheetId="10" hidden="1">100</definedName>
    <definedName name="solver_ssz" localSheetId="8" hidden="1">100</definedName>
    <definedName name="solver_ssz" localSheetId="5" hidden="1">100</definedName>
    <definedName name="solver_ssz" localSheetId="4" hidden="1">100</definedName>
    <definedName name="solver_ssz" localSheetId="6" hidden="1">100</definedName>
    <definedName name="solver_tim" localSheetId="11" hidden="1">2147483647</definedName>
    <definedName name="solver_tim" localSheetId="7" hidden="1">2147483647</definedName>
    <definedName name="solver_tim" localSheetId="9" hidden="1">2147483647</definedName>
    <definedName name="solver_tim" localSheetId="10" hidden="1">2147483647</definedName>
    <definedName name="solver_tim" localSheetId="8" hidden="1">2147483647</definedName>
    <definedName name="solver_tim" localSheetId="5" hidden="1">2147483647</definedName>
    <definedName name="solver_tim" localSheetId="4" hidden="1">2147483647</definedName>
    <definedName name="solver_tim" localSheetId="6" hidden="1">2147483647</definedName>
    <definedName name="solver_tol" localSheetId="11" hidden="1">0.01</definedName>
    <definedName name="solver_tol" localSheetId="7" hidden="1">0.01</definedName>
    <definedName name="solver_tol" localSheetId="9" hidden="1">0.01</definedName>
    <definedName name="solver_tol" localSheetId="10" hidden="1">0.01</definedName>
    <definedName name="solver_tol" localSheetId="8" hidden="1">0.01</definedName>
    <definedName name="solver_tol" localSheetId="5" hidden="1">0.01</definedName>
    <definedName name="solver_tol" localSheetId="4" hidden="1">0.01</definedName>
    <definedName name="solver_tol" localSheetId="6" hidden="1">0.01</definedName>
    <definedName name="solver_typ" localSheetId="11" hidden="1">1</definedName>
    <definedName name="solver_typ" localSheetId="7" hidden="1">1</definedName>
    <definedName name="solver_typ" localSheetId="9" hidden="1">1</definedName>
    <definedName name="solver_typ" localSheetId="10" hidden="1">1</definedName>
    <definedName name="solver_typ" localSheetId="8" hidden="1">1</definedName>
    <definedName name="solver_typ" localSheetId="5" hidden="1">1</definedName>
    <definedName name="solver_typ" localSheetId="4" hidden="1">1</definedName>
    <definedName name="solver_typ" localSheetId="6" hidden="1">1</definedName>
    <definedName name="solver_val" localSheetId="11" hidden="1">0</definedName>
    <definedName name="solver_val" localSheetId="7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5" hidden="1">0</definedName>
    <definedName name="solver_val" localSheetId="4" hidden="1">0</definedName>
    <definedName name="solver_val" localSheetId="6" hidden="1">0</definedName>
    <definedName name="solver_ver" localSheetId="11" hidden="1">3</definedName>
    <definedName name="solver_ver" localSheetId="7" hidden="1">3</definedName>
    <definedName name="solver_ver" localSheetId="9" hidden="1">3</definedName>
    <definedName name="solver_ver" localSheetId="10" hidden="1">3</definedName>
    <definedName name="solver_ver" localSheetId="8" hidden="1">3</definedName>
    <definedName name="solver_ver" localSheetId="5" hidden="1">3</definedName>
    <definedName name="solver_ver" localSheetId="4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B12" i="23" l="1"/>
  <c r="B12" i="45" l="1"/>
  <c r="B12" i="44"/>
  <c r="B12" i="43"/>
  <c r="B12" i="42"/>
  <c r="B12" i="41"/>
  <c r="B12" i="40"/>
  <c r="B12" i="39"/>
  <c r="D12" i="45" l="1"/>
  <c r="C42" i="45"/>
  <c r="I41" i="45"/>
  <c r="J41" i="45" s="1"/>
  <c r="H41" i="45"/>
  <c r="K41" i="45" s="1"/>
  <c r="M41" i="45" s="1"/>
  <c r="F41" i="45"/>
  <c r="G41" i="45" s="1"/>
  <c r="D41" i="45"/>
  <c r="C41" i="45"/>
  <c r="I40" i="45"/>
  <c r="J40" i="45" s="1"/>
  <c r="H40" i="45"/>
  <c r="F40" i="45"/>
  <c r="G40" i="45" s="1"/>
  <c r="D40" i="45"/>
  <c r="C40" i="45"/>
  <c r="I39" i="45"/>
  <c r="J39" i="45" s="1"/>
  <c r="H39" i="45"/>
  <c r="K39" i="45" s="1"/>
  <c r="M39" i="45" s="1"/>
  <c r="G39" i="45"/>
  <c r="F39" i="45"/>
  <c r="D39" i="45"/>
  <c r="C39" i="45"/>
  <c r="I38" i="45"/>
  <c r="J38" i="45" s="1"/>
  <c r="H38" i="45"/>
  <c r="K38" i="45" s="1"/>
  <c r="M38" i="45" s="1"/>
  <c r="F38" i="45"/>
  <c r="G38" i="45" s="1"/>
  <c r="D38" i="45"/>
  <c r="C38" i="45"/>
  <c r="I37" i="45"/>
  <c r="J37" i="45" s="1"/>
  <c r="L37" i="45" s="1"/>
  <c r="N37" i="45" s="1"/>
  <c r="H37" i="45"/>
  <c r="K37" i="45" s="1"/>
  <c r="M37" i="45" s="1"/>
  <c r="F37" i="45"/>
  <c r="G37" i="45" s="1"/>
  <c r="D37" i="45"/>
  <c r="C37" i="45"/>
  <c r="I36" i="45"/>
  <c r="J36" i="45" s="1"/>
  <c r="L36" i="45" s="1"/>
  <c r="N36" i="45" s="1"/>
  <c r="H36" i="45"/>
  <c r="K36" i="45" s="1"/>
  <c r="M36" i="45" s="1"/>
  <c r="G36" i="45"/>
  <c r="F36" i="45"/>
  <c r="D36" i="45"/>
  <c r="C36" i="45"/>
  <c r="I35" i="45"/>
  <c r="J35" i="45" s="1"/>
  <c r="H35" i="45"/>
  <c r="K35" i="45" s="1"/>
  <c r="M35" i="45" s="1"/>
  <c r="G35" i="45"/>
  <c r="F35" i="45"/>
  <c r="D35" i="45"/>
  <c r="C35" i="45"/>
  <c r="I34" i="45"/>
  <c r="J34" i="45" s="1"/>
  <c r="H34" i="45"/>
  <c r="K34" i="45" s="1"/>
  <c r="M34" i="45" s="1"/>
  <c r="F34" i="45"/>
  <c r="G34" i="45" s="1"/>
  <c r="D34" i="45"/>
  <c r="C34" i="45"/>
  <c r="C33" i="45"/>
  <c r="C32" i="45"/>
  <c r="I31" i="45"/>
  <c r="J25" i="45"/>
  <c r="I25" i="45"/>
  <c r="F25" i="45"/>
  <c r="E25" i="45"/>
  <c r="L24" i="45"/>
  <c r="N24" i="45" s="1"/>
  <c r="K24" i="45"/>
  <c r="M24" i="45" s="1"/>
  <c r="H24" i="45"/>
  <c r="G24" i="45"/>
  <c r="L23" i="45"/>
  <c r="N23" i="45" s="1"/>
  <c r="K23" i="45"/>
  <c r="M23" i="45" s="1"/>
  <c r="H23" i="45"/>
  <c r="G23" i="45"/>
  <c r="L22" i="45"/>
  <c r="N22" i="45" s="1"/>
  <c r="K22" i="45"/>
  <c r="M22" i="45" s="1"/>
  <c r="H22" i="45"/>
  <c r="G22" i="45"/>
  <c r="M21" i="45"/>
  <c r="L21" i="45"/>
  <c r="N21" i="45" s="1"/>
  <c r="K21" i="45"/>
  <c r="H21" i="45"/>
  <c r="G21" i="45"/>
  <c r="L20" i="45"/>
  <c r="N20" i="45" s="1"/>
  <c r="K20" i="45"/>
  <c r="M20" i="45" s="1"/>
  <c r="H20" i="45"/>
  <c r="G20" i="45"/>
  <c r="L19" i="45"/>
  <c r="N19" i="45" s="1"/>
  <c r="K19" i="45"/>
  <c r="M19" i="45" s="1"/>
  <c r="H19" i="45"/>
  <c r="G19" i="45"/>
  <c r="L18" i="45"/>
  <c r="N18" i="45" s="1"/>
  <c r="K18" i="45"/>
  <c r="M18" i="45" s="1"/>
  <c r="H18" i="45"/>
  <c r="H25" i="45" s="1"/>
  <c r="G18" i="45"/>
  <c r="L17" i="45"/>
  <c r="N17" i="45" s="1"/>
  <c r="K17" i="45"/>
  <c r="M17" i="45" s="1"/>
  <c r="H17" i="45"/>
  <c r="G17" i="45"/>
  <c r="C12" i="45"/>
  <c r="B9" i="45"/>
  <c r="C42" i="44"/>
  <c r="I41" i="44"/>
  <c r="J41" i="44" s="1"/>
  <c r="H41" i="44"/>
  <c r="K41" i="44" s="1"/>
  <c r="M41" i="44" s="1"/>
  <c r="F41" i="44"/>
  <c r="D41" i="44"/>
  <c r="C41" i="44"/>
  <c r="I40" i="44"/>
  <c r="J40" i="44" s="1"/>
  <c r="H40" i="44"/>
  <c r="F40" i="44"/>
  <c r="G40" i="44" s="1"/>
  <c r="D40" i="44"/>
  <c r="C40" i="44"/>
  <c r="I39" i="44"/>
  <c r="J39" i="44" s="1"/>
  <c r="H39" i="44"/>
  <c r="K39" i="44" s="1"/>
  <c r="M39" i="44" s="1"/>
  <c r="F39" i="44"/>
  <c r="G39" i="44" s="1"/>
  <c r="D39" i="44"/>
  <c r="C39" i="44"/>
  <c r="I38" i="44"/>
  <c r="J38" i="44" s="1"/>
  <c r="L38" i="44" s="1"/>
  <c r="N38" i="44" s="1"/>
  <c r="H38" i="44"/>
  <c r="K38" i="44" s="1"/>
  <c r="M38" i="44" s="1"/>
  <c r="F38" i="44"/>
  <c r="G38" i="44" s="1"/>
  <c r="D38" i="44"/>
  <c r="C38" i="44"/>
  <c r="I37" i="44"/>
  <c r="J37" i="44" s="1"/>
  <c r="L37" i="44" s="1"/>
  <c r="N37" i="44" s="1"/>
  <c r="H37" i="44"/>
  <c r="K37" i="44" s="1"/>
  <c r="M37" i="44" s="1"/>
  <c r="G37" i="44"/>
  <c r="F37" i="44"/>
  <c r="D37" i="44"/>
  <c r="C37" i="44"/>
  <c r="K36" i="44"/>
  <c r="M36" i="44" s="1"/>
  <c r="I36" i="44"/>
  <c r="J36" i="44" s="1"/>
  <c r="H36" i="44"/>
  <c r="G36" i="44"/>
  <c r="F36" i="44"/>
  <c r="D36" i="44"/>
  <c r="C36" i="44"/>
  <c r="I35" i="44"/>
  <c r="J35" i="44" s="1"/>
  <c r="L35" i="44" s="1"/>
  <c r="N35" i="44" s="1"/>
  <c r="H35" i="44"/>
  <c r="K35" i="44" s="1"/>
  <c r="M35" i="44" s="1"/>
  <c r="F35" i="44"/>
  <c r="G35" i="44" s="1"/>
  <c r="D35" i="44"/>
  <c r="C35" i="44"/>
  <c r="I34" i="44"/>
  <c r="J34" i="44" s="1"/>
  <c r="H34" i="44"/>
  <c r="F34" i="44"/>
  <c r="G34" i="44" s="1"/>
  <c r="D34" i="44"/>
  <c r="C34" i="44"/>
  <c r="C33" i="44"/>
  <c r="C32" i="44"/>
  <c r="I31" i="44"/>
  <c r="G41" i="44" s="1"/>
  <c r="J25" i="44"/>
  <c r="I25" i="44"/>
  <c r="F25" i="44"/>
  <c r="E25" i="44"/>
  <c r="L24" i="44"/>
  <c r="N24" i="44" s="1"/>
  <c r="K24" i="44"/>
  <c r="M24" i="44" s="1"/>
  <c r="H24" i="44"/>
  <c r="G24" i="44"/>
  <c r="L23" i="44"/>
  <c r="N23" i="44" s="1"/>
  <c r="K23" i="44"/>
  <c r="M23" i="44" s="1"/>
  <c r="H23" i="44"/>
  <c r="G23" i="44"/>
  <c r="L22" i="44"/>
  <c r="N22" i="44" s="1"/>
  <c r="K22" i="44"/>
  <c r="M22" i="44" s="1"/>
  <c r="H22" i="44"/>
  <c r="G22" i="44"/>
  <c r="L21" i="44"/>
  <c r="N21" i="44" s="1"/>
  <c r="K21" i="44"/>
  <c r="M21" i="44" s="1"/>
  <c r="H21" i="44"/>
  <c r="G21" i="44"/>
  <c r="M20" i="44"/>
  <c r="L20" i="44"/>
  <c r="N20" i="44" s="1"/>
  <c r="K20" i="44"/>
  <c r="H20" i="44"/>
  <c r="G20" i="44"/>
  <c r="L19" i="44"/>
  <c r="N19" i="44" s="1"/>
  <c r="K19" i="44"/>
  <c r="M19" i="44" s="1"/>
  <c r="H19" i="44"/>
  <c r="G19" i="44"/>
  <c r="L18" i="44"/>
  <c r="N18" i="44" s="1"/>
  <c r="K18" i="44"/>
  <c r="M18" i="44" s="1"/>
  <c r="H18" i="44"/>
  <c r="G18" i="44"/>
  <c r="L17" i="44"/>
  <c r="N17" i="44" s="1"/>
  <c r="K17" i="44"/>
  <c r="M17" i="44" s="1"/>
  <c r="H17" i="44"/>
  <c r="G17" i="44"/>
  <c r="D12" i="44"/>
  <c r="C12" i="44"/>
  <c r="B9" i="44"/>
  <c r="C42" i="43"/>
  <c r="H41" i="43"/>
  <c r="K41" i="43" s="1"/>
  <c r="M41" i="43" s="1"/>
  <c r="D41" i="43"/>
  <c r="C41" i="43"/>
  <c r="K40" i="43"/>
  <c r="M40" i="43" s="1"/>
  <c r="H40" i="43"/>
  <c r="D40" i="43"/>
  <c r="C40" i="43"/>
  <c r="K39" i="43"/>
  <c r="M39" i="43" s="1"/>
  <c r="H39" i="43"/>
  <c r="F39" i="43"/>
  <c r="G39" i="43" s="1"/>
  <c r="D39" i="43"/>
  <c r="C39" i="43"/>
  <c r="I38" i="43"/>
  <c r="J38" i="43" s="1"/>
  <c r="H38" i="43"/>
  <c r="K38" i="43" s="1"/>
  <c r="M38" i="43" s="1"/>
  <c r="F38" i="43"/>
  <c r="G38" i="43" s="1"/>
  <c r="D38" i="43"/>
  <c r="C38" i="43"/>
  <c r="H37" i="43"/>
  <c r="K37" i="43" s="1"/>
  <c r="M37" i="43" s="1"/>
  <c r="D37" i="43"/>
  <c r="C37" i="43"/>
  <c r="K36" i="43"/>
  <c r="M36" i="43" s="1"/>
  <c r="H36" i="43"/>
  <c r="D36" i="43"/>
  <c r="C36" i="43"/>
  <c r="K35" i="43"/>
  <c r="M35" i="43" s="1"/>
  <c r="H35" i="43"/>
  <c r="F35" i="43"/>
  <c r="G35" i="43" s="1"/>
  <c r="D35" i="43"/>
  <c r="C35" i="43"/>
  <c r="I34" i="43"/>
  <c r="J34" i="43" s="1"/>
  <c r="H34" i="43"/>
  <c r="F34" i="43"/>
  <c r="G34" i="43" s="1"/>
  <c r="D34" i="43"/>
  <c r="D42" i="43" s="1"/>
  <c r="C34" i="43"/>
  <c r="C33" i="43"/>
  <c r="C32" i="43"/>
  <c r="I31" i="43"/>
  <c r="I25" i="43"/>
  <c r="E25" i="43"/>
  <c r="K24" i="43"/>
  <c r="M24" i="43" s="1"/>
  <c r="I41" i="43"/>
  <c r="J41" i="43" s="1"/>
  <c r="H24" i="43"/>
  <c r="G24" i="43"/>
  <c r="F41" i="43"/>
  <c r="G41" i="43" s="1"/>
  <c r="K23" i="43"/>
  <c r="M23" i="43" s="1"/>
  <c r="I40" i="43"/>
  <c r="J40" i="43" s="1"/>
  <c r="H23" i="43"/>
  <c r="G23" i="43"/>
  <c r="F40" i="43"/>
  <c r="G40" i="43" s="1"/>
  <c r="K22" i="43"/>
  <c r="M22" i="43" s="1"/>
  <c r="I39" i="43"/>
  <c r="J39" i="43" s="1"/>
  <c r="H22" i="43"/>
  <c r="G22" i="43"/>
  <c r="K21" i="43"/>
  <c r="M21" i="43" s="1"/>
  <c r="L21" i="43"/>
  <c r="N21" i="43" s="1"/>
  <c r="H21" i="43"/>
  <c r="G21" i="43"/>
  <c r="K20" i="43"/>
  <c r="M20" i="43" s="1"/>
  <c r="H20" i="43"/>
  <c r="G20" i="43"/>
  <c r="K19" i="43"/>
  <c r="M19" i="43" s="1"/>
  <c r="I36" i="43"/>
  <c r="J36" i="43" s="1"/>
  <c r="L36" i="43" s="1"/>
  <c r="N36" i="43" s="1"/>
  <c r="H19" i="43"/>
  <c r="G19" i="43"/>
  <c r="F36" i="43"/>
  <c r="G36" i="43" s="1"/>
  <c r="K18" i="43"/>
  <c r="M18" i="43" s="1"/>
  <c r="I35" i="43"/>
  <c r="J35" i="43" s="1"/>
  <c r="H18" i="43"/>
  <c r="G18" i="43"/>
  <c r="K17" i="43"/>
  <c r="H17" i="43"/>
  <c r="G17" i="43"/>
  <c r="D12" i="43"/>
  <c r="C12" i="43"/>
  <c r="C42" i="42"/>
  <c r="H41" i="42"/>
  <c r="K41" i="42" s="1"/>
  <c r="M41" i="42" s="1"/>
  <c r="D41" i="42"/>
  <c r="C41" i="42"/>
  <c r="H40" i="42"/>
  <c r="F40" i="42"/>
  <c r="G40" i="42" s="1"/>
  <c r="D40" i="42"/>
  <c r="C40" i="42"/>
  <c r="I39" i="42"/>
  <c r="J39" i="42" s="1"/>
  <c r="L39" i="42" s="1"/>
  <c r="N39" i="42" s="1"/>
  <c r="H39" i="42"/>
  <c r="F39" i="42"/>
  <c r="G39" i="42" s="1"/>
  <c r="D39" i="42"/>
  <c r="C39" i="42"/>
  <c r="I38" i="42"/>
  <c r="J38" i="42" s="1"/>
  <c r="L38" i="42" s="1"/>
  <c r="N38" i="42" s="1"/>
  <c r="H38" i="42"/>
  <c r="K38" i="42" s="1"/>
  <c r="M38" i="42" s="1"/>
  <c r="D38" i="42"/>
  <c r="C38" i="42"/>
  <c r="H37" i="42"/>
  <c r="K37" i="42" s="1"/>
  <c r="M37" i="42" s="1"/>
  <c r="D37" i="42"/>
  <c r="C37" i="42"/>
  <c r="H36" i="42"/>
  <c r="K36" i="42" s="1"/>
  <c r="M36" i="42" s="1"/>
  <c r="F36" i="42"/>
  <c r="G36" i="42" s="1"/>
  <c r="D36" i="42"/>
  <c r="C36" i="42"/>
  <c r="I35" i="42"/>
  <c r="J35" i="42" s="1"/>
  <c r="H35" i="42"/>
  <c r="K35" i="42" s="1"/>
  <c r="M35" i="42" s="1"/>
  <c r="F35" i="42"/>
  <c r="G35" i="42" s="1"/>
  <c r="D35" i="42"/>
  <c r="C35" i="42"/>
  <c r="I34" i="42"/>
  <c r="J34" i="42" s="1"/>
  <c r="H34" i="42"/>
  <c r="D34" i="42"/>
  <c r="D42" i="42" s="1"/>
  <c r="C34" i="42"/>
  <c r="C33" i="42"/>
  <c r="C32" i="42"/>
  <c r="I31" i="42"/>
  <c r="I25" i="42"/>
  <c r="E25" i="42"/>
  <c r="L24" i="42"/>
  <c r="N24" i="42" s="1"/>
  <c r="K24" i="42"/>
  <c r="M24" i="42" s="1"/>
  <c r="I41" i="42"/>
  <c r="J41" i="42" s="1"/>
  <c r="H24" i="42"/>
  <c r="G24" i="42"/>
  <c r="F41" i="42"/>
  <c r="G41" i="42" s="1"/>
  <c r="L23" i="42"/>
  <c r="N23" i="42" s="1"/>
  <c r="K23" i="42"/>
  <c r="M23" i="42" s="1"/>
  <c r="I40" i="42"/>
  <c r="J40" i="42" s="1"/>
  <c r="H23" i="42"/>
  <c r="G23" i="42"/>
  <c r="L22" i="42"/>
  <c r="N22" i="42" s="1"/>
  <c r="K22" i="42"/>
  <c r="M22" i="42" s="1"/>
  <c r="H22" i="42"/>
  <c r="G22" i="42"/>
  <c r="L21" i="42"/>
  <c r="N21" i="42" s="1"/>
  <c r="K21" i="42"/>
  <c r="M21" i="42" s="1"/>
  <c r="H21" i="42"/>
  <c r="G21" i="42"/>
  <c r="F38" i="42"/>
  <c r="G38" i="42" s="1"/>
  <c r="K20" i="42"/>
  <c r="M20" i="42" s="1"/>
  <c r="H20" i="42"/>
  <c r="G20" i="42"/>
  <c r="L19" i="42"/>
  <c r="N19" i="42" s="1"/>
  <c r="K19" i="42"/>
  <c r="M19" i="42" s="1"/>
  <c r="I36" i="42"/>
  <c r="J36" i="42" s="1"/>
  <c r="H19" i="42"/>
  <c r="G19" i="42"/>
  <c r="L18" i="42"/>
  <c r="N18" i="42" s="1"/>
  <c r="K18" i="42"/>
  <c r="M18" i="42" s="1"/>
  <c r="H18" i="42"/>
  <c r="G18" i="42"/>
  <c r="L17" i="42"/>
  <c r="K17" i="42"/>
  <c r="H17" i="42"/>
  <c r="G17" i="42"/>
  <c r="F34" i="42"/>
  <c r="G34" i="42" s="1"/>
  <c r="D12" i="42"/>
  <c r="C42" i="41"/>
  <c r="H41" i="41"/>
  <c r="K41" i="41" s="1"/>
  <c r="M41" i="41" s="1"/>
  <c r="D41" i="41"/>
  <c r="C41" i="41"/>
  <c r="H40" i="41"/>
  <c r="K40" i="41" s="1"/>
  <c r="M40" i="41" s="1"/>
  <c r="F40" i="41"/>
  <c r="G40" i="41" s="1"/>
  <c r="D40" i="41"/>
  <c r="C40" i="41"/>
  <c r="I39" i="41"/>
  <c r="J39" i="41" s="1"/>
  <c r="L39" i="41" s="1"/>
  <c r="N39" i="41" s="1"/>
  <c r="H39" i="41"/>
  <c r="F39" i="41"/>
  <c r="G39" i="41" s="1"/>
  <c r="D39" i="41"/>
  <c r="C39" i="41"/>
  <c r="I38" i="41"/>
  <c r="J38" i="41" s="1"/>
  <c r="H38" i="41"/>
  <c r="K38" i="41" s="1"/>
  <c r="M38" i="41" s="1"/>
  <c r="F38" i="41"/>
  <c r="G38" i="41" s="1"/>
  <c r="D38" i="41"/>
  <c r="C38" i="41"/>
  <c r="H37" i="41"/>
  <c r="K37" i="41" s="1"/>
  <c r="M37" i="41" s="1"/>
  <c r="D37" i="41"/>
  <c r="C37" i="41"/>
  <c r="H36" i="41"/>
  <c r="K36" i="41" s="1"/>
  <c r="M36" i="41" s="1"/>
  <c r="F36" i="41"/>
  <c r="G36" i="41" s="1"/>
  <c r="D36" i="41"/>
  <c r="C36" i="41"/>
  <c r="I35" i="41"/>
  <c r="J35" i="41" s="1"/>
  <c r="H35" i="41"/>
  <c r="F35" i="41"/>
  <c r="G35" i="41" s="1"/>
  <c r="D35" i="41"/>
  <c r="C35" i="41"/>
  <c r="I34" i="41"/>
  <c r="J34" i="41" s="1"/>
  <c r="H34" i="41"/>
  <c r="F34" i="41"/>
  <c r="G34" i="41" s="1"/>
  <c r="D34" i="41"/>
  <c r="C34" i="41"/>
  <c r="C33" i="41"/>
  <c r="C32" i="41"/>
  <c r="I31" i="41"/>
  <c r="I25" i="41"/>
  <c r="E25" i="41"/>
  <c r="L24" i="41"/>
  <c r="N24" i="41" s="1"/>
  <c r="K24" i="41"/>
  <c r="M24" i="41" s="1"/>
  <c r="I41" i="41"/>
  <c r="J41" i="41" s="1"/>
  <c r="H24" i="41"/>
  <c r="G24" i="41"/>
  <c r="F41" i="41"/>
  <c r="G41" i="41" s="1"/>
  <c r="L23" i="41"/>
  <c r="N23" i="41" s="1"/>
  <c r="K23" i="41"/>
  <c r="M23" i="41" s="1"/>
  <c r="I40" i="41"/>
  <c r="J40" i="41" s="1"/>
  <c r="H23" i="41"/>
  <c r="G23" i="41"/>
  <c r="L22" i="41"/>
  <c r="N22" i="41" s="1"/>
  <c r="K22" i="41"/>
  <c r="M22" i="41" s="1"/>
  <c r="H22" i="41"/>
  <c r="G22" i="41"/>
  <c r="L21" i="41"/>
  <c r="N21" i="41" s="1"/>
  <c r="K21" i="41"/>
  <c r="M21" i="41" s="1"/>
  <c r="H21" i="41"/>
  <c r="G21" i="41"/>
  <c r="K20" i="41"/>
  <c r="M20" i="41" s="1"/>
  <c r="H20" i="41"/>
  <c r="G20" i="41"/>
  <c r="L19" i="41"/>
  <c r="N19" i="41" s="1"/>
  <c r="K19" i="41"/>
  <c r="M19" i="41" s="1"/>
  <c r="I36" i="41"/>
  <c r="J36" i="41" s="1"/>
  <c r="H19" i="41"/>
  <c r="G19" i="41"/>
  <c r="L18" i="41"/>
  <c r="N18" i="41" s="1"/>
  <c r="K18" i="41"/>
  <c r="M18" i="41" s="1"/>
  <c r="H18" i="41"/>
  <c r="G18" i="41"/>
  <c r="L17" i="41"/>
  <c r="K17" i="41"/>
  <c r="H17" i="41"/>
  <c r="G17" i="41"/>
  <c r="C42" i="40"/>
  <c r="H41" i="40"/>
  <c r="K41" i="40" s="1"/>
  <c r="M41" i="40" s="1"/>
  <c r="D41" i="40"/>
  <c r="C41" i="40"/>
  <c r="H40" i="40"/>
  <c r="K40" i="40" s="1"/>
  <c r="M40" i="40" s="1"/>
  <c r="D40" i="40"/>
  <c r="C40" i="40"/>
  <c r="H39" i="40"/>
  <c r="K39" i="40" s="1"/>
  <c r="M39" i="40" s="1"/>
  <c r="F39" i="40"/>
  <c r="G39" i="40" s="1"/>
  <c r="D39" i="40"/>
  <c r="C39" i="40"/>
  <c r="I38" i="40"/>
  <c r="J38" i="40" s="1"/>
  <c r="H38" i="40"/>
  <c r="K38" i="40" s="1"/>
  <c r="M38" i="40" s="1"/>
  <c r="F38" i="40"/>
  <c r="G38" i="40" s="1"/>
  <c r="D38" i="40"/>
  <c r="C38" i="40"/>
  <c r="H37" i="40"/>
  <c r="K37" i="40" s="1"/>
  <c r="M37" i="40" s="1"/>
  <c r="D37" i="40"/>
  <c r="C37" i="40"/>
  <c r="K36" i="40"/>
  <c r="M36" i="40" s="1"/>
  <c r="H36" i="40"/>
  <c r="D36" i="40"/>
  <c r="C36" i="40"/>
  <c r="K35" i="40"/>
  <c r="M35" i="40" s="1"/>
  <c r="H35" i="40"/>
  <c r="F35" i="40"/>
  <c r="G35" i="40" s="1"/>
  <c r="D35" i="40"/>
  <c r="C35" i="40"/>
  <c r="I34" i="40"/>
  <c r="J34" i="40" s="1"/>
  <c r="H34" i="40"/>
  <c r="F34" i="40"/>
  <c r="G34" i="40" s="1"/>
  <c r="D34" i="40"/>
  <c r="D42" i="40" s="1"/>
  <c r="C34" i="40"/>
  <c r="C33" i="40"/>
  <c r="C32" i="40"/>
  <c r="I31" i="40"/>
  <c r="I25" i="40"/>
  <c r="E25" i="40"/>
  <c r="K24" i="40"/>
  <c r="M24" i="40" s="1"/>
  <c r="I41" i="40"/>
  <c r="J41" i="40" s="1"/>
  <c r="H24" i="40"/>
  <c r="G24" i="40"/>
  <c r="F41" i="40"/>
  <c r="G41" i="40" s="1"/>
  <c r="K23" i="40"/>
  <c r="M23" i="40" s="1"/>
  <c r="I40" i="40"/>
  <c r="J40" i="40" s="1"/>
  <c r="H23" i="40"/>
  <c r="G23" i="40"/>
  <c r="F40" i="40"/>
  <c r="G40" i="40" s="1"/>
  <c r="K22" i="40"/>
  <c r="M22" i="40" s="1"/>
  <c r="I39" i="40"/>
  <c r="J39" i="40" s="1"/>
  <c r="H22" i="40"/>
  <c r="G22" i="40"/>
  <c r="K21" i="40"/>
  <c r="M21" i="40" s="1"/>
  <c r="L21" i="40"/>
  <c r="N21" i="40" s="1"/>
  <c r="H21" i="40"/>
  <c r="G21" i="40"/>
  <c r="K20" i="40"/>
  <c r="M20" i="40" s="1"/>
  <c r="H20" i="40"/>
  <c r="G20" i="40"/>
  <c r="K19" i="40"/>
  <c r="M19" i="40" s="1"/>
  <c r="I36" i="40"/>
  <c r="J36" i="40" s="1"/>
  <c r="H19" i="40"/>
  <c r="G19" i="40"/>
  <c r="F36" i="40"/>
  <c r="G36" i="40" s="1"/>
  <c r="K18" i="40"/>
  <c r="M18" i="40" s="1"/>
  <c r="I35" i="40"/>
  <c r="J35" i="40" s="1"/>
  <c r="H18" i="40"/>
  <c r="G18" i="40"/>
  <c r="K17" i="40"/>
  <c r="H17" i="40"/>
  <c r="G17" i="40"/>
  <c r="G25" i="40" s="1"/>
  <c r="D12" i="40"/>
  <c r="C12" i="40"/>
  <c r="C42" i="39"/>
  <c r="H41" i="39"/>
  <c r="K41" i="39" s="1"/>
  <c r="M41" i="39" s="1"/>
  <c r="D41" i="39"/>
  <c r="C41" i="39"/>
  <c r="K40" i="39"/>
  <c r="M40" i="39" s="1"/>
  <c r="H40" i="39"/>
  <c r="D40" i="39"/>
  <c r="C40" i="39"/>
  <c r="K39" i="39"/>
  <c r="M39" i="39" s="1"/>
  <c r="H39" i="39"/>
  <c r="F39" i="39"/>
  <c r="G39" i="39" s="1"/>
  <c r="D39" i="39"/>
  <c r="C39" i="39"/>
  <c r="H38" i="39"/>
  <c r="K38" i="39" s="1"/>
  <c r="M38" i="39" s="1"/>
  <c r="F38" i="39"/>
  <c r="G38" i="39" s="1"/>
  <c r="D38" i="39"/>
  <c r="C38" i="39"/>
  <c r="H37" i="39"/>
  <c r="K37" i="39" s="1"/>
  <c r="M37" i="39" s="1"/>
  <c r="D37" i="39"/>
  <c r="C37" i="39"/>
  <c r="K36" i="39"/>
  <c r="M36" i="39" s="1"/>
  <c r="H36" i="39"/>
  <c r="D36" i="39"/>
  <c r="C36" i="39"/>
  <c r="K35" i="39"/>
  <c r="M35" i="39" s="1"/>
  <c r="H35" i="39"/>
  <c r="F35" i="39"/>
  <c r="G35" i="39" s="1"/>
  <c r="D35" i="39"/>
  <c r="C35" i="39"/>
  <c r="H34" i="39"/>
  <c r="H42" i="39" s="1"/>
  <c r="F34" i="39"/>
  <c r="G34" i="39" s="1"/>
  <c r="D34" i="39"/>
  <c r="D42" i="39" s="1"/>
  <c r="C34" i="39"/>
  <c r="C33" i="39"/>
  <c r="C32" i="39"/>
  <c r="I31" i="39"/>
  <c r="I25" i="39"/>
  <c r="E25" i="39"/>
  <c r="K24" i="39"/>
  <c r="M24" i="39" s="1"/>
  <c r="H24" i="39"/>
  <c r="G24" i="39"/>
  <c r="F41" i="39"/>
  <c r="G41" i="39" s="1"/>
  <c r="K23" i="39"/>
  <c r="M23" i="39" s="1"/>
  <c r="H23" i="39"/>
  <c r="G23" i="39"/>
  <c r="F40" i="39"/>
  <c r="G40" i="39" s="1"/>
  <c r="K22" i="39"/>
  <c r="M22" i="39" s="1"/>
  <c r="H22" i="39"/>
  <c r="G22" i="39"/>
  <c r="K21" i="39"/>
  <c r="M21" i="39" s="1"/>
  <c r="H21" i="39"/>
  <c r="G21" i="39"/>
  <c r="K20" i="39"/>
  <c r="M20" i="39" s="1"/>
  <c r="H20" i="39"/>
  <c r="G20" i="39"/>
  <c r="K19" i="39"/>
  <c r="M19" i="39" s="1"/>
  <c r="H19" i="39"/>
  <c r="G19" i="39"/>
  <c r="F36" i="39"/>
  <c r="G36" i="39" s="1"/>
  <c r="K18" i="39"/>
  <c r="M18" i="39" s="1"/>
  <c r="H18" i="39"/>
  <c r="G18" i="39"/>
  <c r="K17" i="39"/>
  <c r="M17" i="39" s="1"/>
  <c r="H17" i="39"/>
  <c r="G17" i="39"/>
  <c r="G25" i="39" s="1"/>
  <c r="D12" i="39"/>
  <c r="C12" i="39"/>
  <c r="H24" i="23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K40" i="44" l="1"/>
  <c r="M40" i="44" s="1"/>
  <c r="K35" i="41"/>
  <c r="M35" i="41" s="1"/>
  <c r="K25" i="41"/>
  <c r="M25" i="41" s="1"/>
  <c r="K39" i="41"/>
  <c r="M39" i="41" s="1"/>
  <c r="H42" i="40"/>
  <c r="D42" i="45"/>
  <c r="L40" i="45"/>
  <c r="N40" i="45" s="1"/>
  <c r="K40" i="45"/>
  <c r="M40" i="45" s="1"/>
  <c r="H25" i="44"/>
  <c r="D42" i="44"/>
  <c r="K25" i="43"/>
  <c r="M25" i="43" s="1"/>
  <c r="G25" i="43"/>
  <c r="L40" i="43"/>
  <c r="N40" i="43" s="1"/>
  <c r="K40" i="42"/>
  <c r="M40" i="42" s="1"/>
  <c r="D42" i="41"/>
  <c r="H25" i="41"/>
  <c r="K25" i="40"/>
  <c r="M25" i="40" s="1"/>
  <c r="K25" i="39"/>
  <c r="M25" i="39" s="1"/>
  <c r="M17" i="40"/>
  <c r="M17" i="41"/>
  <c r="K25" i="42"/>
  <c r="M25" i="42" s="1"/>
  <c r="M17" i="42"/>
  <c r="H42" i="43"/>
  <c r="K42" i="43" s="1"/>
  <c r="M42" i="43" s="1"/>
  <c r="M17" i="43"/>
  <c r="H42" i="44"/>
  <c r="G25" i="45"/>
  <c r="G25" i="44"/>
  <c r="H25" i="43"/>
  <c r="G25" i="42"/>
  <c r="H25" i="42"/>
  <c r="H25" i="40"/>
  <c r="H25" i="39"/>
  <c r="J42" i="45"/>
  <c r="L39" i="45"/>
  <c r="N39" i="45" s="1"/>
  <c r="K25" i="45"/>
  <c r="M25" i="45" s="1"/>
  <c r="H42" i="45"/>
  <c r="L35" i="45"/>
  <c r="N35" i="45" s="1"/>
  <c r="L42" i="45"/>
  <c r="N42" i="45" s="1"/>
  <c r="G42" i="45"/>
  <c r="K42" i="45"/>
  <c r="M42" i="45" s="1"/>
  <c r="L38" i="45"/>
  <c r="N38" i="45" s="1"/>
  <c r="L41" i="45"/>
  <c r="J45" i="45"/>
  <c r="J44" i="45"/>
  <c r="J43" i="45"/>
  <c r="G43" i="45"/>
  <c r="G45" i="45"/>
  <c r="G44" i="45"/>
  <c r="L25" i="45"/>
  <c r="N25" i="45" s="1"/>
  <c r="L34" i="45"/>
  <c r="N34" i="45" s="1"/>
  <c r="L36" i="44"/>
  <c r="N36" i="44" s="1"/>
  <c r="L40" i="44"/>
  <c r="N40" i="44" s="1"/>
  <c r="G42" i="44"/>
  <c r="J44" i="44"/>
  <c r="J45" i="44"/>
  <c r="J43" i="44"/>
  <c r="L41" i="44"/>
  <c r="J42" i="44"/>
  <c r="L42" i="44" s="1"/>
  <c r="N42" i="44" s="1"/>
  <c r="L34" i="44"/>
  <c r="N34" i="44" s="1"/>
  <c r="L39" i="44"/>
  <c r="N39" i="44" s="1"/>
  <c r="G45" i="44"/>
  <c r="G44" i="44"/>
  <c r="G43" i="44"/>
  <c r="K42" i="44"/>
  <c r="M42" i="44" s="1"/>
  <c r="L25" i="44"/>
  <c r="N25" i="44" s="1"/>
  <c r="K25" i="44"/>
  <c r="M25" i="44" s="1"/>
  <c r="K34" i="44"/>
  <c r="M34" i="44" s="1"/>
  <c r="H42" i="42"/>
  <c r="K42" i="42" s="1"/>
  <c r="M42" i="42" s="1"/>
  <c r="K39" i="42"/>
  <c r="M39" i="42" s="1"/>
  <c r="L38" i="43"/>
  <c r="N38" i="43" s="1"/>
  <c r="L35" i="43"/>
  <c r="N35" i="43" s="1"/>
  <c r="L34" i="43"/>
  <c r="N34" i="43" s="1"/>
  <c r="L41" i="43"/>
  <c r="L39" i="43"/>
  <c r="N39" i="43" s="1"/>
  <c r="L17" i="43"/>
  <c r="L18" i="43"/>
  <c r="N18" i="43" s="1"/>
  <c r="L19" i="43"/>
  <c r="N19" i="43" s="1"/>
  <c r="L22" i="43"/>
  <c r="N22" i="43" s="1"/>
  <c r="L23" i="43"/>
  <c r="N23" i="43" s="1"/>
  <c r="L24" i="43"/>
  <c r="N24" i="43" s="1"/>
  <c r="K34" i="43"/>
  <c r="M34" i="43" s="1"/>
  <c r="L36" i="42"/>
  <c r="N36" i="42" s="1"/>
  <c r="L40" i="42"/>
  <c r="N40" i="42" s="1"/>
  <c r="L34" i="42"/>
  <c r="N34" i="42" s="1"/>
  <c r="L41" i="42"/>
  <c r="L35" i="42"/>
  <c r="N35" i="42" s="1"/>
  <c r="C12" i="42"/>
  <c r="N17" i="42"/>
  <c r="K34" i="42"/>
  <c r="M34" i="42" s="1"/>
  <c r="L38" i="41"/>
  <c r="N38" i="41" s="1"/>
  <c r="L36" i="41"/>
  <c r="N36" i="41" s="1"/>
  <c r="L40" i="41"/>
  <c r="N40" i="41" s="1"/>
  <c r="D12" i="41"/>
  <c r="C12" i="41"/>
  <c r="L34" i="41"/>
  <c r="N34" i="41" s="1"/>
  <c r="G25" i="41"/>
  <c r="N17" i="41"/>
  <c r="L35" i="41"/>
  <c r="N35" i="41" s="1"/>
  <c r="L41" i="41"/>
  <c r="H42" i="41"/>
  <c r="K42" i="41" s="1"/>
  <c r="M42" i="41" s="1"/>
  <c r="K34" i="41"/>
  <c r="M34" i="41" s="1"/>
  <c r="L36" i="40"/>
  <c r="N36" i="40" s="1"/>
  <c r="L40" i="40"/>
  <c r="N40" i="40" s="1"/>
  <c r="L38" i="40"/>
  <c r="N38" i="40" s="1"/>
  <c r="L35" i="40"/>
  <c r="N35" i="40" s="1"/>
  <c r="L39" i="40"/>
  <c r="N39" i="40" s="1"/>
  <c r="K42" i="40"/>
  <c r="M42" i="40" s="1"/>
  <c r="L34" i="40"/>
  <c r="N34" i="40" s="1"/>
  <c r="L41" i="40"/>
  <c r="L17" i="40"/>
  <c r="L18" i="40"/>
  <c r="N18" i="40" s="1"/>
  <c r="L19" i="40"/>
  <c r="N19" i="40" s="1"/>
  <c r="L22" i="40"/>
  <c r="N22" i="40" s="1"/>
  <c r="L23" i="40"/>
  <c r="N23" i="40" s="1"/>
  <c r="L24" i="40"/>
  <c r="N24" i="40" s="1"/>
  <c r="K34" i="40"/>
  <c r="M34" i="40" s="1"/>
  <c r="K42" i="39"/>
  <c r="M42" i="39" s="1"/>
  <c r="K34" i="39"/>
  <c r="M34" i="39" s="1"/>
  <c r="H17" i="23"/>
  <c r="G17" i="23"/>
  <c r="L45" i="45" l="1"/>
  <c r="M45" i="45" s="1"/>
  <c r="L43" i="45"/>
  <c r="M43" i="45" s="1"/>
  <c r="L44" i="45"/>
  <c r="M44" i="45" s="1"/>
  <c r="N41" i="45"/>
  <c r="N45" i="45"/>
  <c r="L43" i="44"/>
  <c r="M43" i="44" s="1"/>
  <c r="N41" i="44"/>
  <c r="L44" i="44"/>
  <c r="M44" i="44" s="1"/>
  <c r="L45" i="44"/>
  <c r="M45" i="44" s="1"/>
  <c r="N41" i="43"/>
  <c r="N17" i="43"/>
  <c r="N41" i="42"/>
  <c r="N41" i="41"/>
  <c r="N17" i="40"/>
  <c r="N41" i="40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N43" i="44" l="1"/>
  <c r="N43" i="45"/>
  <c r="N44" i="45"/>
  <c r="N44" i="44"/>
  <c r="N45" i="44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H42" i="23" l="1"/>
  <c r="K34" i="23"/>
  <c r="M34" i="23" s="1"/>
  <c r="D42" i="23"/>
  <c r="K35" i="23"/>
  <c r="M35" i="23" s="1"/>
  <c r="K42" i="23" l="1"/>
  <c r="M42" i="23" s="1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E9" i="25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6" i="33"/>
  <c r="E36" i="33" s="1"/>
  <c r="B24" i="33"/>
  <c r="E24" i="33" s="1"/>
  <c r="B42" i="33"/>
  <c r="E42" i="33" s="1"/>
  <c r="B38" i="33"/>
  <c r="E38" i="33" s="1"/>
  <c r="B34" i="33"/>
  <c r="E34" i="33" s="1"/>
  <c r="B30" i="33"/>
  <c r="E30" i="33" s="1"/>
  <c r="B26" i="33"/>
  <c r="E26" i="33" s="1"/>
  <c r="B22" i="33"/>
  <c r="E22" i="33" s="1"/>
  <c r="B40" i="33"/>
  <c r="E40" i="33" s="1"/>
  <c r="B32" i="33"/>
  <c r="E32" i="33" s="1"/>
  <c r="B28" i="33"/>
  <c r="E28" i="33" s="1"/>
  <c r="E9" i="33"/>
  <c r="F9" i="33" s="1"/>
  <c r="B39" i="33"/>
  <c r="E39" i="33" s="1"/>
  <c r="B35" i="33"/>
  <c r="E35" i="33" s="1"/>
  <c r="B31" i="33"/>
  <c r="E31" i="33" s="1"/>
  <c r="B27" i="33"/>
  <c r="E27" i="33" s="1"/>
  <c r="B23" i="33"/>
  <c r="E23" i="33" s="1"/>
  <c r="J18" i="23"/>
  <c r="I35" i="23" s="1"/>
  <c r="J35" i="23" s="1"/>
  <c r="J19" i="23"/>
  <c r="I36" i="23" s="1"/>
  <c r="J36" i="23" s="1"/>
  <c r="L36" i="23" s="1"/>
  <c r="N36" i="23" s="1"/>
  <c r="J17" i="23"/>
  <c r="I34" i="23" s="1"/>
  <c r="J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M19" i="23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H9" i="34"/>
  <c r="I9" i="34" s="1"/>
  <c r="C22" i="33"/>
  <c r="C22" i="31"/>
  <c r="F9" i="3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H9" i="30"/>
  <c r="B32" i="30"/>
  <c r="B31" i="30"/>
  <c r="B30" i="30"/>
  <c r="E9" i="30"/>
  <c r="C22" i="34" l="1"/>
  <c r="E22" i="34"/>
  <c r="F23" i="23"/>
  <c r="F40" i="23" s="1"/>
  <c r="G40" i="23" s="1"/>
  <c r="J9" i="33"/>
  <c r="L19" i="23"/>
  <c r="N19" i="23" s="1"/>
  <c r="J24" i="23"/>
  <c r="I41" i="23" s="1"/>
  <c r="J41" i="23" s="1"/>
  <c r="J22" i="23"/>
  <c r="I39" i="23" s="1"/>
  <c r="J39" i="23" s="1"/>
  <c r="I36" i="39"/>
  <c r="J36" i="39" s="1"/>
  <c r="L36" i="39" s="1"/>
  <c r="N36" i="39" s="1"/>
  <c r="L19" i="39"/>
  <c r="N19" i="39" s="1"/>
  <c r="J23" i="23"/>
  <c r="I34" i="39"/>
  <c r="J34" i="39" s="1"/>
  <c r="L34" i="39" s="1"/>
  <c r="N34" i="39" s="1"/>
  <c r="L17" i="39"/>
  <c r="N17" i="39" s="1"/>
  <c r="I35" i="39"/>
  <c r="J35" i="39" s="1"/>
  <c r="L35" i="39" s="1"/>
  <c r="N35" i="39" s="1"/>
  <c r="L18" i="39"/>
  <c r="N18" i="39" s="1"/>
  <c r="J21" i="23"/>
  <c r="I38" i="23" s="1"/>
  <c r="J38" i="23" s="1"/>
  <c r="L38" i="23" s="1"/>
  <c r="N38" i="23" s="1"/>
  <c r="D32" i="30"/>
  <c r="D30" i="30"/>
  <c r="D31" i="30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L23" i="23" l="1"/>
  <c r="N23" i="23" s="1"/>
  <c r="L20" i="43"/>
  <c r="I37" i="43"/>
  <c r="J37" i="43" s="1"/>
  <c r="B9" i="43"/>
  <c r="J25" i="43"/>
  <c r="F37" i="43"/>
  <c r="G37" i="43" s="1"/>
  <c r="F25" i="43"/>
  <c r="F37" i="42"/>
  <c r="G37" i="42" s="1"/>
  <c r="F25" i="42"/>
  <c r="B9" i="42"/>
  <c r="J25" i="42"/>
  <c r="I37" i="42"/>
  <c r="J37" i="42" s="1"/>
  <c r="L20" i="42"/>
  <c r="I37" i="41"/>
  <c r="J37" i="41" s="1"/>
  <c r="J25" i="41"/>
  <c r="L20" i="41"/>
  <c r="B9" i="41"/>
  <c r="F37" i="41"/>
  <c r="G37" i="41" s="1"/>
  <c r="F25" i="41"/>
  <c r="I37" i="40"/>
  <c r="J37" i="40" s="1"/>
  <c r="B9" i="40"/>
  <c r="J25" i="40"/>
  <c r="F25" i="39"/>
  <c r="I40" i="23"/>
  <c r="J40" i="23" s="1"/>
  <c r="L40" i="23" s="1"/>
  <c r="N40" i="23" s="1"/>
  <c r="I40" i="39"/>
  <c r="J40" i="39" s="1"/>
  <c r="L40" i="39" s="1"/>
  <c r="N40" i="39" s="1"/>
  <c r="L23" i="39"/>
  <c r="N23" i="39" s="1"/>
  <c r="I39" i="39"/>
  <c r="J39" i="39" s="1"/>
  <c r="L39" i="39" s="1"/>
  <c r="N39" i="39" s="1"/>
  <c r="L22" i="39"/>
  <c r="N22" i="39" s="1"/>
  <c r="L21" i="23"/>
  <c r="N21" i="23" s="1"/>
  <c r="L21" i="39"/>
  <c r="N21" i="39" s="1"/>
  <c r="I38" i="39"/>
  <c r="J38" i="39" s="1"/>
  <c r="L38" i="39" s="1"/>
  <c r="N38" i="39" s="1"/>
  <c r="I41" i="39"/>
  <c r="J41" i="39" s="1"/>
  <c r="L41" i="39" s="1"/>
  <c r="N41" i="39" s="1"/>
  <c r="L24" i="39"/>
  <c r="N24" i="39" s="1"/>
  <c r="J20" i="23"/>
  <c r="I37" i="23" s="1"/>
  <c r="J37" i="23" s="1"/>
  <c r="F37" i="39"/>
  <c r="G37" i="39" s="1"/>
  <c r="D33" i="30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G43" i="43" l="1"/>
  <c r="G45" i="43"/>
  <c r="G44" i="43"/>
  <c r="G42" i="43"/>
  <c r="N20" i="43"/>
  <c r="L25" i="43"/>
  <c r="N25" i="43" s="1"/>
  <c r="L37" i="43"/>
  <c r="J42" i="43"/>
  <c r="L42" i="43" s="1"/>
  <c r="N42" i="43" s="1"/>
  <c r="J44" i="43"/>
  <c r="J45" i="43"/>
  <c r="J43" i="43"/>
  <c r="N20" i="42"/>
  <c r="L25" i="42"/>
  <c r="N25" i="42" s="1"/>
  <c r="L37" i="42"/>
  <c r="J45" i="42"/>
  <c r="J42" i="42"/>
  <c r="J44" i="42"/>
  <c r="J43" i="42"/>
  <c r="G43" i="42"/>
  <c r="G42" i="42"/>
  <c r="G45" i="42"/>
  <c r="G44" i="42"/>
  <c r="N20" i="41"/>
  <c r="L25" i="41"/>
  <c r="N25" i="41" s="1"/>
  <c r="G44" i="41"/>
  <c r="G43" i="41"/>
  <c r="G45" i="41"/>
  <c r="G42" i="41"/>
  <c r="L37" i="41"/>
  <c r="J45" i="41"/>
  <c r="J44" i="41"/>
  <c r="J42" i="41"/>
  <c r="L42" i="41" s="1"/>
  <c r="N42" i="41" s="1"/>
  <c r="J43" i="41"/>
  <c r="J42" i="40"/>
  <c r="J45" i="40"/>
  <c r="J43" i="40"/>
  <c r="J44" i="40"/>
  <c r="F37" i="40"/>
  <c r="G37" i="40" s="1"/>
  <c r="F25" i="40"/>
  <c r="L20" i="40"/>
  <c r="J45" i="23"/>
  <c r="J43" i="23"/>
  <c r="J42" i="23"/>
  <c r="J44" i="23"/>
  <c r="G42" i="39"/>
  <c r="G44" i="39"/>
  <c r="G43" i="39"/>
  <c r="G45" i="39"/>
  <c r="L20" i="39"/>
  <c r="I37" i="39"/>
  <c r="J37" i="39" s="1"/>
  <c r="J25" i="39"/>
  <c r="B9" i="39"/>
  <c r="D34" i="30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37" i="43" l="1"/>
  <c r="L43" i="43"/>
  <c r="M43" i="43" s="1"/>
  <c r="L45" i="43"/>
  <c r="M45" i="43" s="1"/>
  <c r="L44" i="43"/>
  <c r="M44" i="43" s="1"/>
  <c r="N37" i="42"/>
  <c r="L43" i="42"/>
  <c r="M43" i="42" s="1"/>
  <c r="L45" i="42"/>
  <c r="M45" i="42" s="1"/>
  <c r="L44" i="42"/>
  <c r="L42" i="42"/>
  <c r="N42" i="42" s="1"/>
  <c r="N37" i="41"/>
  <c r="L43" i="41"/>
  <c r="M43" i="41" s="1"/>
  <c r="L45" i="41"/>
  <c r="M45" i="41" s="1"/>
  <c r="L44" i="41"/>
  <c r="M44" i="41" s="1"/>
  <c r="N20" i="40"/>
  <c r="L25" i="40"/>
  <c r="N25" i="40" s="1"/>
  <c r="G44" i="40"/>
  <c r="G43" i="40"/>
  <c r="G42" i="40"/>
  <c r="L42" i="40" s="1"/>
  <c r="N42" i="40" s="1"/>
  <c r="G45" i="40"/>
  <c r="L37" i="40"/>
  <c r="L37" i="39"/>
  <c r="J42" i="39"/>
  <c r="L42" i="39" s="1"/>
  <c r="N42" i="39" s="1"/>
  <c r="J44" i="39"/>
  <c r="J45" i="39"/>
  <c r="J43" i="39"/>
  <c r="N20" i="39"/>
  <c r="L25" i="39"/>
  <c r="N25" i="39" s="1"/>
  <c r="D35" i="30"/>
  <c r="G44" i="23"/>
  <c r="G45" i="23"/>
  <c r="G43" i="23"/>
  <c r="N20" i="23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M44" i="42" l="1"/>
  <c r="N45" i="43"/>
  <c r="N43" i="43"/>
  <c r="N44" i="43"/>
  <c r="N45" i="42"/>
  <c r="N44" i="42"/>
  <c r="N43" i="42"/>
  <c r="N43" i="41"/>
  <c r="N44" i="41"/>
  <c r="N45" i="41"/>
  <c r="N37" i="40"/>
  <c r="L45" i="40"/>
  <c r="M45" i="40" s="1"/>
  <c r="L43" i="40"/>
  <c r="M43" i="40" s="1"/>
  <c r="L44" i="40"/>
  <c r="M44" i="40" s="1"/>
  <c r="N37" i="39"/>
  <c r="L44" i="39"/>
  <c r="M44" i="39" s="1"/>
  <c r="L43" i="39"/>
  <c r="M43" i="39" s="1"/>
  <c r="L45" i="39"/>
  <c r="M45" i="39" s="1"/>
  <c r="D36" i="30"/>
  <c r="N37" i="23"/>
  <c r="L43" i="23"/>
  <c r="L45" i="23"/>
  <c r="L44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N44" i="40" l="1"/>
  <c r="N43" i="40"/>
  <c r="N45" i="40"/>
  <c r="N43" i="39"/>
  <c r="N44" i="39"/>
  <c r="N45" i="39"/>
  <c r="D37" i="30"/>
  <c r="M45" i="23"/>
  <c r="M44" i="23"/>
  <c r="M43" i="23"/>
  <c r="N42" i="23"/>
  <c r="N44" i="23" s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5" i="23" l="1"/>
  <c r="N43" i="23"/>
  <c r="D38" i="30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5" i="5"/>
  <c r="E9" i="5"/>
  <c r="B45" i="5"/>
  <c r="B39" i="5"/>
  <c r="B39" i="30"/>
  <c r="B31" i="5"/>
  <c r="B36" i="5"/>
  <c r="B46" i="5"/>
  <c r="B38" i="5"/>
  <c r="B42" i="5"/>
  <c r="B30" i="5"/>
  <c r="B29" i="5"/>
  <c r="B44" i="5"/>
  <c r="B41" i="5"/>
  <c r="B37" i="5"/>
  <c r="B34" i="5"/>
  <c r="B32" i="5"/>
  <c r="B27" i="5"/>
  <c r="B43" i="5"/>
  <c r="B33" i="5"/>
  <c r="B40" i="5"/>
  <c r="B28" i="5"/>
  <c r="B47" i="5"/>
  <c r="D39" i="30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B34" i="29"/>
  <c r="A35" i="29"/>
  <c r="C34" i="29"/>
  <c r="B34" i="27"/>
  <c r="A35" i="27"/>
  <c r="C34" i="27"/>
  <c r="C32" i="26"/>
  <c r="B32" i="26"/>
  <c r="A33" i="26"/>
  <c r="A35" i="25"/>
  <c r="B41" i="30"/>
  <c r="D41" i="30" l="1"/>
  <c r="C41" i="30"/>
  <c r="A42" i="30"/>
  <c r="C35" i="29"/>
  <c r="B35" i="29"/>
  <c r="A36" i="29"/>
  <c r="C35" i="27"/>
  <c r="B35" i="27"/>
  <c r="A36" i="27"/>
  <c r="A34" i="26"/>
  <c r="C33" i="26"/>
  <c r="B33" i="26"/>
  <c r="A36" i="25"/>
  <c r="B42" i="30"/>
  <c r="D42" i="30" l="1"/>
  <c r="C42" i="30"/>
  <c r="A43" i="30"/>
  <c r="A37" i="29"/>
  <c r="C36" i="29"/>
  <c r="B36" i="29"/>
  <c r="A37" i="27"/>
  <c r="C36" i="27"/>
  <c r="B36" i="27"/>
  <c r="A35" i="26"/>
  <c r="C34" i="26"/>
  <c r="B34" i="26"/>
  <c r="A37" i="25"/>
  <c r="B43" i="30"/>
  <c r="D43" i="30" l="1"/>
  <c r="C43" i="30"/>
  <c r="A44" i="30"/>
  <c r="A38" i="29"/>
  <c r="C37" i="29"/>
  <c r="B37" i="29"/>
  <c r="A38" i="27"/>
  <c r="C37" i="27"/>
  <c r="B37" i="27"/>
  <c r="B35" i="26"/>
  <c r="A36" i="26"/>
  <c r="C35" i="26"/>
  <c r="A38" i="25"/>
  <c r="B44" i="30"/>
  <c r="D44" i="30" l="1"/>
  <c r="C44" i="30"/>
  <c r="A45" i="30"/>
  <c r="B38" i="29"/>
  <c r="A39" i="29"/>
  <c r="C38" i="29"/>
  <c r="B38" i="27"/>
  <c r="A39" i="27"/>
  <c r="C38" i="27"/>
  <c r="C36" i="26"/>
  <c r="B36" i="26"/>
  <c r="A37" i="26"/>
  <c r="A39" i="25"/>
  <c r="B45" i="30"/>
  <c r="D45" i="30" l="1"/>
  <c r="C45" i="30"/>
  <c r="A46" i="30"/>
  <c r="C39" i="29"/>
  <c r="B39" i="29"/>
  <c r="A40" i="29"/>
  <c r="C39" i="27"/>
  <c r="B39" i="27"/>
  <c r="A40" i="27"/>
  <c r="A38" i="26"/>
  <c r="C37" i="26"/>
  <c r="B37" i="26"/>
  <c r="A40" i="25"/>
  <c r="B46" i="30"/>
  <c r="D46" i="30" l="1"/>
  <c r="C46" i="30"/>
  <c r="A47" i="30"/>
  <c r="A41" i="29"/>
  <c r="C40" i="29"/>
  <c r="B40" i="29"/>
  <c r="A41" i="27"/>
  <c r="C40" i="27"/>
  <c r="B40" i="27"/>
  <c r="A39" i="26"/>
  <c r="C38" i="26"/>
  <c r="B38" i="26"/>
  <c r="A41" i="25"/>
  <c r="B47" i="30"/>
  <c r="D47" i="30" l="1"/>
  <c r="C47" i="30"/>
  <c r="A48" i="30"/>
  <c r="A42" i="29"/>
  <c r="C41" i="29"/>
  <c r="B41" i="29"/>
  <c r="A42" i="27"/>
  <c r="C41" i="27"/>
  <c r="B41" i="27"/>
  <c r="B39" i="26"/>
  <c r="A40" i="26"/>
  <c r="C39" i="26"/>
  <c r="A42" i="25"/>
  <c r="B48" i="30"/>
  <c r="D48" i="30" l="1"/>
  <c r="C48" i="30"/>
  <c r="A49" i="30"/>
  <c r="B42" i="29"/>
  <c r="A43" i="29"/>
  <c r="C42" i="29"/>
  <c r="B42" i="27"/>
  <c r="A43" i="27"/>
  <c r="C42" i="27"/>
  <c r="C40" i="26"/>
  <c r="B40" i="26"/>
  <c r="A41" i="26"/>
  <c r="A43" i="25"/>
  <c r="B49" i="30"/>
  <c r="D49" i="30" l="1"/>
  <c r="C49" i="30"/>
  <c r="A50" i="30"/>
  <c r="C43" i="29"/>
  <c r="B43" i="29"/>
  <c r="C43" i="27"/>
  <c r="B43" i="27"/>
  <c r="A42" i="26"/>
  <c r="C41" i="26"/>
  <c r="B41" i="26"/>
  <c r="B50" i="30"/>
  <c r="D50" i="30" l="1"/>
  <c r="C50" i="30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<sst xmlns="http://schemas.openxmlformats.org/spreadsheetml/2006/main" count="1733" uniqueCount="222">
  <si>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</si>
  <si>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</si>
  <si>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</si>
  <si>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</si>
  <si>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</si>
  <si>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</si>
  <si>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</si>
  <si>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</si>
  <si>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</si>
  <si>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</si>
  <si>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</si>
  <si>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</si>
  <si>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</si>
  <si>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</si>
  <si>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</si>
  <si>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</si>
  <si>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</si>
  <si>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</si>
  <si>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</si>
  <si>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</si>
  <si>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</si>
  <si>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</si>
  <si>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</si>
  <si>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</si>
  <si>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</si>
  <si>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</si>
  <si>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</si>
  <si>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</si>
  <si>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</si>
  <si>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</si>
  <si>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</si>
  <si>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</si>
  <si>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</si>
  <si>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</si>
  <si>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</si>
  <si>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</si>
  <si>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</si>
  <si>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</si>
  <si>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</si>
  <si>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</si>
  <si>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</si>
  <si>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</si>
  <si>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</si>
  <si>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</si>
  <si>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</si>
  <si>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</si>
  <si>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</si>
  <si>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</si>
  <si>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</si>
  <si>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</si>
  <si>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</si>
  <si>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</si>
  <si>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</si>
  <si>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</si>
  <si>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</si>
  <si>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</si>
  <si>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</si>
  <si>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</si>
  <si>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</si>
  <si>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</si>
  <si>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</si>
  <si>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</si>
  <si>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</si>
  <si>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</si>
  <si>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</si>
  <si>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</si>
  <si>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</si>
  <si>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</si>
  <si>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</si>
  <si>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</si>
  <si>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</si>
  <si>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</si>
  <si>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</si>
  <si>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</si>
  <si>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</si>
  <si>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</si>
  <si>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</si>
  <si>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</si>
  <si>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</si>
  <si>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</si>
  <si>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</si>
  <si>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</si>
  <si>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</si>
  <si>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</si>
  <si>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</si>
  <si>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</si>
  <si>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</si>
  <si>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</si>
  <si>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</si>
  <si>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</si>
  <si>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</si>
  <si>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</si>
  <si>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</si>
  <si>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</si>
  <si>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</si>
  <si>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</si>
  <si>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</si>
  <si>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</si>
  <si>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</si>
  <si>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</si>
  <si>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</si>
  <si>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</si>
  <si>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</si>
  <si>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</si>
  <si>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</si>
  <si>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</si>
  <si>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</si>
  <si>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</si>
  <si>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</si>
  <si>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</si>
  <si>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</si>
  <si>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</si>
  <si>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</si>
  <si>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</si>
  <si>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</si>
  <si>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</si>
  <si>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</si>
  <si>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</si>
  <si>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</si>
  <si>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</si>
  <si>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</si>
  <si>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</si>
  <si>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</si>
  <si>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</si>
  <si>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</si>
  <si>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</si>
  <si>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</si>
  <si>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</si>
  <si>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</si>
  <si>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</si>
  <si>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</si>
  <si>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</si>
  <si>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</si>
  <si>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</si>
  <si>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</si>
  <si>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</si>
  <si>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</si>
  <si>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</si>
  <si>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</si>
  <si>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</si>
  <si>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</si>
  <si>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</si>
  <si>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</si>
  <si>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</si>
  <si>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</si>
  <si>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</si>
  <si>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</si>
  <si>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</si>
  <si>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</si>
  <si>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</si>
  <si>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</si>
  <si>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</si>
  <si>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</si>
  <si>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</si>
  <si>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</si>
  <si>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</si>
  <si>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</si>
  <si>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</si>
  <si>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</si>
  <si>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</si>
  <si>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</si>
  <si>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</si>
  <si>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</si>
  <si>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</si>
  <si>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</si>
  <si>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</si>
  <si>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</si>
  <si>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</si>
  <si>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</si>
  <si>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</si>
  <si>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</si>
  <si>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Adherence</t>
  </si>
  <si>
    <t>Scurve Est. [Base Adjusted]</t>
  </si>
  <si>
    <t>Spline [Assumed Response Decays]</t>
  </si>
  <si>
    <t>Phar. Acquisition</t>
  </si>
  <si>
    <t>TRx</t>
  </si>
  <si>
    <t>NRx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</si>
  <si>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</si>
  <si>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</si>
  <si>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</si>
  <si>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</si>
  <si>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</si>
  <si>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</si>
  <si>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</si>
  <si>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</si>
  <si>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</si>
  <si>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</si>
  <si>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</si>
  <si>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</si>
  <si>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</si>
  <si>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</si>
  <si>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</si>
  <si>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</si>
  <si>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</si>
  <si>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</si>
  <si>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</si>
  <si>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</si>
  <si>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</si>
  <si>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</si>
  <si>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</si>
  <si>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</si>
  <si>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</si>
  <si>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</si>
  <si>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</si>
  <si>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</si>
  <si>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</si>
  <si>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</si>
  <si>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</si>
  <si>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</si>
  <si>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</si>
  <si>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</si>
  <si>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t>Considered budgets are:</t>
  </si>
  <si>
    <t>Current Total - $15MM</t>
  </si>
  <si>
    <t>Current Total - $10MM</t>
  </si>
  <si>
    <t>Current Total - $5MM</t>
  </si>
  <si>
    <t>Current Total</t>
  </si>
  <si>
    <t>Current Total + $5MM</t>
  </si>
  <si>
    <t>Current Total + $10MM</t>
  </si>
  <si>
    <t>Current Total + $15MM</t>
  </si>
  <si>
    <r>
      <t xml:space="preserve">CASE 6: </t>
    </r>
    <r>
      <rPr>
        <sz val="10"/>
        <color rgb="FF0000FF"/>
        <rFont val="Calibri"/>
        <family val="2"/>
        <scheme val="minor"/>
      </rPr>
      <t>Standard cases with budget increments of $5MM and local constrints of + or - 30%.</t>
    </r>
  </si>
  <si>
    <t>STANDARD 30% SCENARIOS</t>
  </si>
  <si>
    <r>
      <t xml:space="preserve">In here, we build set of scenarios with budget increments of + or - $5MM. </t>
    </r>
    <r>
      <rPr>
        <b/>
        <sz val="11"/>
        <color theme="1"/>
        <rFont val="Calibri"/>
        <family val="2"/>
        <scheme val="minor"/>
      </rPr>
      <t xml:space="preserve">All scenarios have </t>
    </r>
    <r>
      <rPr>
        <b/>
        <sz val="11"/>
        <color rgb="FFC00000"/>
        <rFont val="Calibri"/>
        <family val="2"/>
        <scheme val="minor"/>
      </rPr>
      <t>+ or - 30%</t>
    </r>
    <r>
      <rPr>
        <b/>
        <sz val="11"/>
        <color theme="1"/>
        <rFont val="Calibri"/>
        <family val="2"/>
        <scheme val="minor"/>
      </rPr>
      <t xml:space="preserve"> local constraints.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</si>
</sst>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8" fillId="0" borderId="0"/>
    <xf numFmtId="0" fontId="38" fillId="0" borderId="0"/>
    <xf numFmtId="43" fontId="38" fillId="0" borderId="0" applyFont="0" applyFill="0" applyBorder="0" applyAlignment="0" applyProtection="0"/>
    <xf numFmtId="0" fontId="38" fillId="0" borderId="0"/>
  </cellStyleXfs>
  <cellXfs count="29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37" fillId="0" borderId="0" xfId="0" applyFont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3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41" fillId="0" borderId="0" xfId="0" applyFont="1"/>
    <xf numFmtId="0" fontId="28" fillId="0" borderId="0" xfId="0" applyFont="1"/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40" fillId="0" borderId="40" xfId="0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7568"/>
        <c:axId val="77039872"/>
      </c:scatterChart>
      <c:valAx>
        <c:axId val="770375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7039872"/>
        <c:crosses val="autoZero"/>
        <c:crossBetween val="midCat"/>
        <c:dispUnits>
          <c:builtInUnit val="thousands"/>
        </c:dispUnits>
      </c:valAx>
      <c:valAx>
        <c:axId val="7703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70375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54240"/>
        <c:axId val="76989568"/>
      </c:scatterChart>
      <c:valAx>
        <c:axId val="769542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6989568"/>
        <c:crosses val="autoZero"/>
        <c:crossBetween val="midCat"/>
        <c:dispUnits>
          <c:builtInUnit val="thousands"/>
        </c:dispUnits>
      </c:valAx>
      <c:valAx>
        <c:axId val="76989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69542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79360"/>
        <c:axId val="76914688"/>
      </c:scatterChart>
      <c:valAx>
        <c:axId val="768793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6914688"/>
        <c:crosses val="autoZero"/>
        <c:crossBetween val="midCat"/>
        <c:dispUnits>
          <c:builtInUnit val="thousands"/>
        </c:dispUnits>
      </c:valAx>
      <c:valAx>
        <c:axId val="76914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68793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41056"/>
        <c:axId val="77343360"/>
      </c:scatterChart>
      <c:valAx>
        <c:axId val="773410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7343360"/>
        <c:crosses val="autoZero"/>
        <c:crossBetween val="midCat"/>
        <c:dispUnits>
          <c:builtInUnit val="thousands"/>
        </c:dispUnits>
      </c:valAx>
      <c:valAx>
        <c:axId val="77343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73410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024"/>
        <c:axId val="77155328"/>
      </c:scatterChart>
      <c:valAx>
        <c:axId val="77153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7155328"/>
        <c:crosses val="autoZero"/>
        <c:crossBetween val="midCat"/>
        <c:dispUnits>
          <c:builtInUnit val="thousands"/>
        </c:dispUnits>
      </c:valAx>
      <c:valAx>
        <c:axId val="77155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71530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03712"/>
        <c:axId val="77206272"/>
      </c:scatterChart>
      <c:valAx>
        <c:axId val="77203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7206272"/>
        <c:crosses val="autoZero"/>
        <c:crossBetween val="midCat"/>
        <c:dispUnits>
          <c:builtInUnit val="thousands"/>
        </c:dispUnits>
      </c:valAx>
      <c:valAx>
        <c:axId val="77206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72037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106650.30229755148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88192"/>
        <c:axId val="77290496"/>
      </c:scatterChart>
      <c:valAx>
        <c:axId val="77288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7290496"/>
        <c:crosses val="autoZero"/>
        <c:crossBetween val="midCat"/>
        <c:dispUnits>
          <c:builtInUnit val="thousands"/>
        </c:dispUnits>
      </c:valAx>
      <c:valAx>
        <c:axId val="7729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72881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330289.58036099002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29152"/>
        <c:axId val="77739904"/>
      </c:scatterChart>
      <c:valAx>
        <c:axId val="77729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7739904"/>
        <c:crosses val="autoZero"/>
        <c:crossBetween val="midCat"/>
        <c:dispUnits>
          <c:builtInUnit val="thousands"/>
        </c:dispUnits>
      </c:valAx>
      <c:valAx>
        <c:axId val="777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7729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97184"/>
        <c:axId val="76412032"/>
      </c:scatterChart>
      <c:valAx>
        <c:axId val="76397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6412032"/>
        <c:crosses val="autoZero"/>
        <c:crossBetween val="midCat"/>
        <c:dispUnits>
          <c:builtInUnit val="millions"/>
        </c:dispUnits>
      </c:valAx>
      <c:valAx>
        <c:axId val="76412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639718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69760"/>
        <c:axId val="76484608"/>
      </c:scatterChart>
      <c:valAx>
        <c:axId val="764697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6484608"/>
        <c:crosses val="autoZero"/>
        <c:crossBetween val="midCat"/>
        <c:dispUnits>
          <c:builtInUnit val="millions"/>
        </c:dispUnits>
      </c:valAx>
      <c:valAx>
        <c:axId val="76484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646976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18978960.909354392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4144"/>
        <c:axId val="76536448"/>
      </c:scatterChart>
      <c:valAx>
        <c:axId val="765341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6536448"/>
        <c:crosses val="autoZero"/>
        <c:crossBetween val="midCat"/>
        <c:dispUnits>
          <c:builtInUnit val="millions"/>
        </c:dispUnits>
      </c:valAx>
      <c:valAx>
        <c:axId val="76536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653414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94176"/>
        <c:axId val="76600832"/>
      </c:scatterChart>
      <c:valAx>
        <c:axId val="76594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6600832"/>
        <c:crosses val="autoZero"/>
        <c:crossBetween val="midCat"/>
        <c:dispUnits>
          <c:builtInUnit val="millions"/>
        </c:dispUnits>
      </c:valAx>
      <c:valAx>
        <c:axId val="76600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7659417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88064"/>
        <c:axId val="78098816"/>
      </c:scatterChart>
      <c:valAx>
        <c:axId val="78088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8098816"/>
        <c:crosses val="autoZero"/>
        <c:crossBetween val="midCat"/>
        <c:dispUnits>
          <c:builtInUnit val="millions"/>
        </c:dispUnits>
      </c:valAx>
      <c:valAx>
        <c:axId val="78098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808806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46122419.208951771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90304"/>
        <c:axId val="77892608"/>
      </c:scatterChart>
      <c:valAx>
        <c:axId val="77890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7892608"/>
        <c:crosses val="autoZero"/>
        <c:crossBetween val="midCat"/>
        <c:dispUnits>
          <c:builtInUnit val="millions"/>
        </c:dispUnits>
      </c:valAx>
      <c:valAx>
        <c:axId val="77892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789030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10341286.901011497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07680"/>
        <c:axId val="78026624"/>
      </c:scatterChart>
      <c:valAx>
        <c:axId val="78007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8026624"/>
        <c:crosses val="autoZero"/>
        <c:crossBetween val="midCat"/>
        <c:dispUnits>
          <c:builtInUnit val="millions"/>
        </c:dispUnits>
      </c:valAx>
      <c:valAx>
        <c:axId val="78026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80076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38445707.154019237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65280"/>
        <c:axId val="78496512"/>
      </c:scatterChart>
      <c:valAx>
        <c:axId val="78465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8496512"/>
        <c:crosses val="autoZero"/>
        <c:crossBetween val="midCat"/>
        <c:dispUnits>
          <c:builtInUnit val="millions"/>
        </c:dispUnits>
      </c:valAx>
      <c:valAx>
        <c:axId val="78496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84652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106650.30229755148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330289.58036099002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106650.30229755148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330289.58036099002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5904"/>
        <c:axId val="78324864"/>
      </c:scatterChart>
      <c:valAx>
        <c:axId val="78235904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8324864"/>
        <c:crosses val="autoZero"/>
        <c:crossBetween val="midCat"/>
        <c:dispUnits>
          <c:builtInUnit val="millions"/>
        </c:dispUnits>
      </c:valAx>
      <c:valAx>
        <c:axId val="78324864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82359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106650.30229755148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330289.58036099002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106650.30229755148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330289.58036099002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43808"/>
        <c:axId val="78767232"/>
      </c:scatterChart>
      <c:valAx>
        <c:axId val="78743808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78767232"/>
        <c:crosses val="autoZero"/>
        <c:crossBetween val="midCat"/>
        <c:dispUnits>
          <c:builtInUnit val="thousands"/>
        </c:dispUnits>
      </c:valAx>
      <c:valAx>
        <c:axId val="7876723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87438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18978960.909354392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46122419.208951771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10341286.901011497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38445707.154019237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47072"/>
        <c:axId val="78949760"/>
      </c:scatterChart>
      <c:valAx>
        <c:axId val="78947072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8949760"/>
        <c:crosses val="autoZero"/>
        <c:crossBetween val="midCat"/>
        <c:dispUnits>
          <c:builtInUnit val="millions"/>
        </c:dispUnits>
      </c:valAx>
      <c:valAx>
        <c:axId val="78949760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789470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18978960.909354392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46122419.208951771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10341286.901011497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38445707.154019237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11680"/>
        <c:axId val="79135104"/>
      </c:scatterChart>
      <c:valAx>
        <c:axId val="79111680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9135104"/>
        <c:crosses val="autoZero"/>
        <c:crossBetween val="midCat"/>
        <c:dispUnits>
          <c:builtInUnit val="millions"/>
        </c:dispUnits>
      </c:valAx>
      <c:valAx>
        <c:axId val="79135104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791116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17120"/>
        <c:axId val="79719424"/>
      </c:scatterChart>
      <c:valAx>
        <c:axId val="79717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9719424"/>
        <c:crosses val="autoZero"/>
        <c:crossBetween val="midCat"/>
        <c:dispUnits>
          <c:builtInUnit val="thousands"/>
        </c:dispUnits>
      </c:valAx>
      <c:valAx>
        <c:axId val="79719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97171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259498.53045724996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78176"/>
        <c:axId val="79780480"/>
      </c:scatterChart>
      <c:valAx>
        <c:axId val="79778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9780480"/>
        <c:crosses val="autoZero"/>
        <c:crossBetween val="midCat"/>
        <c:dispUnits>
          <c:builtInUnit val="thousands"/>
        </c:dispUnits>
      </c:valAx>
      <c:valAx>
        <c:axId val="79780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97781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91840"/>
        <c:axId val="79494144"/>
      </c:scatterChart>
      <c:valAx>
        <c:axId val="794918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9494144"/>
        <c:crosses val="autoZero"/>
        <c:crossBetween val="midCat"/>
        <c:dispUnits>
          <c:builtInUnit val="thousands"/>
        </c:dispUnits>
      </c:valAx>
      <c:valAx>
        <c:axId val="7949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94918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20293565.499999996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300303.17113274895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8912"/>
        <c:axId val="79641216"/>
      </c:scatterChart>
      <c:valAx>
        <c:axId val="79638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9641216"/>
        <c:crosses val="autoZero"/>
        <c:crossBetween val="midCat"/>
        <c:dispUnits>
          <c:builtInUnit val="thousands"/>
        </c:dispUnits>
      </c:valAx>
      <c:valAx>
        <c:axId val="79641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96389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40000"/>
        <c:axId val="79842304"/>
      </c:scatterChart>
      <c:valAx>
        <c:axId val="798400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9842304"/>
        <c:crosses val="autoZero"/>
        <c:crossBetween val="midCat"/>
        <c:dispUnits>
          <c:builtInUnit val="thousands"/>
        </c:dispUnits>
      </c:valAx>
      <c:valAx>
        <c:axId val="79842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98400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05152"/>
        <c:axId val="79907456"/>
      </c:scatterChart>
      <c:valAx>
        <c:axId val="79905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9907456"/>
        <c:crosses val="autoZero"/>
        <c:crossBetween val="midCat"/>
        <c:dispUnits>
          <c:builtInUnit val="thousands"/>
        </c:dispUnits>
      </c:valAx>
      <c:valAx>
        <c:axId val="79907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9905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20224"/>
        <c:axId val="80022528"/>
      </c:scatterChart>
      <c:valAx>
        <c:axId val="800202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80022528"/>
        <c:crosses val="autoZero"/>
        <c:crossBetween val="midCat"/>
        <c:dispUnits>
          <c:builtInUnit val="thousands"/>
        </c:dispUnits>
      </c:valAx>
      <c:valAx>
        <c:axId val="80022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00202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16975.814766864394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20544"/>
        <c:axId val="80222848"/>
      </c:scatterChart>
      <c:valAx>
        <c:axId val="80220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80222848"/>
        <c:crosses val="autoZero"/>
        <c:crossBetween val="midCat"/>
        <c:dispUnits>
          <c:builtInUnit val="thousands"/>
        </c:dispUnits>
      </c:valAx>
      <c:valAx>
        <c:axId val="8022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02205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22336"/>
        <c:axId val="80624640"/>
      </c:scatterChart>
      <c:valAx>
        <c:axId val="80622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80624640"/>
        <c:crosses val="autoZero"/>
        <c:crossBetween val="midCat"/>
        <c:dispUnits>
          <c:builtInUnit val="thousands"/>
        </c:dispUnits>
      </c:valAx>
      <c:valAx>
        <c:axId val="80624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06223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1701.1654528829024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02464"/>
        <c:axId val="80304768"/>
      </c:scatterChart>
      <c:valAx>
        <c:axId val="803024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80304768"/>
        <c:crosses val="autoZero"/>
        <c:crossBetween val="midCat"/>
        <c:dispUnits>
          <c:builtInUnit val="thousands"/>
        </c:dispUnits>
      </c:valAx>
      <c:valAx>
        <c:axId val="80304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03024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08576"/>
        <c:axId val="80410880"/>
      </c:scatterChart>
      <c:valAx>
        <c:axId val="80408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80410880"/>
        <c:crosses val="autoZero"/>
        <c:crossBetween val="midCat"/>
        <c:dispUnits>
          <c:builtInUnit val="thousands"/>
        </c:dispUnits>
      </c:valAx>
      <c:valAx>
        <c:axId val="8041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04085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172716.05387802981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30816"/>
        <c:axId val="80541568"/>
      </c:scatterChart>
      <c:valAx>
        <c:axId val="80530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80541568"/>
        <c:crosses val="autoZero"/>
        <c:crossBetween val="midCat"/>
        <c:dispUnits>
          <c:builtInUnit val="thousands"/>
        </c:dispUnits>
      </c:valAx>
      <c:valAx>
        <c:axId val="80541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05308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01152"/>
        <c:axId val="80820096"/>
      </c:scatterChart>
      <c:valAx>
        <c:axId val="80801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80820096"/>
        <c:crosses val="autoZero"/>
        <c:crossBetween val="midCat"/>
        <c:dispUnits>
          <c:builtInUnit val="thousands"/>
        </c:dispUnits>
      </c:valAx>
      <c:valAx>
        <c:axId val="80820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0801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41254.400008006953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66304"/>
        <c:axId val="80868864"/>
      </c:scatterChart>
      <c:valAx>
        <c:axId val="80866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80868864"/>
        <c:crosses val="autoZero"/>
        <c:crossBetween val="midCat"/>
        <c:dispUnits>
          <c:builtInUnit val="thousands"/>
        </c:dispUnits>
      </c:valAx>
      <c:valAx>
        <c:axId val="80868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08663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106650.30229755148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42592"/>
        <c:axId val="79353344"/>
      </c:scatterChart>
      <c:valAx>
        <c:axId val="79342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9353344"/>
        <c:crosses val="autoZero"/>
        <c:crossBetween val="midCat"/>
        <c:dispUnits>
          <c:builtInUnit val="thousands"/>
        </c:dispUnits>
      </c:valAx>
      <c:valAx>
        <c:axId val="79353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93425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9249.8093926757574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02080"/>
        <c:axId val="272716928"/>
      </c:scatterChart>
      <c:valAx>
        <c:axId val="2727020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716928"/>
        <c:crosses val="autoZero"/>
        <c:crossBetween val="midCat"/>
        <c:dispUnits>
          <c:builtInUnit val="thousands"/>
        </c:dispUnits>
      </c:valAx>
      <c:valAx>
        <c:axId val="27271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7020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14117326.325862098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330289.58036099002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43328"/>
        <c:axId val="272254080"/>
      </c:scatterChart>
      <c:valAx>
        <c:axId val="2722433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254080"/>
        <c:crosses val="autoZero"/>
        <c:crossBetween val="midCat"/>
        <c:dispUnits>
          <c:builtInUnit val="thousands"/>
        </c:dispUnits>
      </c:valAx>
      <c:valAx>
        <c:axId val="272254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2433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342400"/>
        <c:axId val="272360960"/>
      </c:scatterChart>
      <c:valAx>
        <c:axId val="2723424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2360960"/>
        <c:crosses val="autoZero"/>
        <c:crossBetween val="midCat"/>
      </c:valAx>
      <c:valAx>
        <c:axId val="2723609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23424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12064"/>
        <c:axId val="273122432"/>
      </c:scatterChart>
      <c:valAx>
        <c:axId val="273112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122432"/>
        <c:crosses val="autoZero"/>
        <c:crossBetween val="midCat"/>
      </c:valAx>
      <c:valAx>
        <c:axId val="2731224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1120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46848"/>
        <c:axId val="273253120"/>
      </c:scatterChart>
      <c:valAx>
        <c:axId val="273246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253120"/>
        <c:crosses val="autoZero"/>
        <c:crossBetween val="midCat"/>
      </c:valAx>
      <c:valAx>
        <c:axId val="27325312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2468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04096"/>
        <c:axId val="272810752"/>
      </c:scatterChart>
      <c:valAx>
        <c:axId val="272804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810752"/>
        <c:crosses val="autoZero"/>
        <c:crossBetween val="midCat"/>
        <c:dispUnits>
          <c:builtInUnit val="millions"/>
        </c:dispUnits>
      </c:valAx>
      <c:valAx>
        <c:axId val="27281075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80409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G46"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/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1:G11"/>
  <sheetViews>
    <sheetView workbookViewId="0">
      <selection activeCell="C9" sqref="C9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1" spans="1:7" x14ac:dyDescent="0.3">
      <c r="A1" s="155" t="s">
        <v>220</v>
      </c>
    </row>
    <row r="2" spans="1:7" x14ac:dyDescent="0.3">
      <c r="A2" t="s">
        <v>221</v>
      </c>
    </row>
    <row r="3" spans="1:7" x14ac:dyDescent="0.3">
      <c r="A3" s="206" t="s">
        <v>211</v>
      </c>
      <c r="B3" s="161"/>
      <c r="C3" s="161"/>
      <c r="D3" s="161"/>
      <c r="E3" s="161"/>
      <c r="F3" s="161"/>
      <c r="G3" s="161"/>
    </row>
    <row r="4" spans="1:7" x14ac:dyDescent="0.3">
      <c r="A4" t="s">
        <v>212</v>
      </c>
    </row>
    <row r="5" spans="1:7" x14ac:dyDescent="0.3">
      <c r="A5" s="161" t="s">
        <v>213</v>
      </c>
    </row>
    <row r="6" spans="1:7" x14ac:dyDescent="0.3">
      <c r="A6" s="161" t="s">
        <v>214</v>
      </c>
    </row>
    <row r="7" spans="1:7" x14ac:dyDescent="0.3">
      <c r="A7" s="205" t="s">
        <v>215</v>
      </c>
    </row>
    <row r="8" spans="1:7" x14ac:dyDescent="0.3">
      <c r="A8" s="161" t="s">
        <v>216</v>
      </c>
    </row>
    <row r="9" spans="1:7" x14ac:dyDescent="0.3">
      <c r="A9" s="161" t="s">
        <v>217</v>
      </c>
    </row>
    <row r="10" spans="1:7" x14ac:dyDescent="0.3">
      <c r="A10" s="161" t="s">
        <v>218</v>
      </c>
    </row>
    <row r="11" spans="1:7" x14ac:dyDescent="0.3">
      <c r="A11" s="161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4" workbookViewId="0">
      <selection activeCell="B12" sqref="B12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7658939.7476989599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8"/>
      <c r="B12" s="158">
        <f>79855579 - 15000000</f>
        <v>64855579</v>
      </c>
      <c r="C12" s="81">
        <f>1*B12 - 1</f>
        <v>64855578</v>
      </c>
      <c r="D12" s="82">
        <f>1*B12 + 1</f>
        <v>64855580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16289078.799999604</v>
      </c>
      <c r="J18" s="65">
        <v>2778540.7681695851</v>
      </c>
      <c r="K18" s="60">
        <f t="shared" ref="K18:L24" si="2">I18-E18</f>
        <v>678643.799999604</v>
      </c>
      <c r="L18" s="60">
        <f t="shared" si="2"/>
        <v>115875.91975753149</v>
      </c>
      <c r="M18" s="61">
        <f t="shared" ref="M18:N25" si="3">K18/E18</f>
        <v>4.3473727669959487E-2</v>
      </c>
      <c r="N18" s="61">
        <f t="shared" si="3"/>
        <v>4.3518777748779373E-2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16067799.999999998</v>
      </c>
      <c r="J21" s="65">
        <v>1164053.8454970047</v>
      </c>
      <c r="K21" s="60">
        <f t="shared" si="2"/>
        <v>-6886200.0000000019</v>
      </c>
      <c r="L21" s="60">
        <f t="shared" si="2"/>
        <v>-431838.16886335821</v>
      </c>
      <c r="M21" s="61">
        <f t="shared" si="3"/>
        <v>-0.3000000000000001</v>
      </c>
      <c r="N21" s="61">
        <f t="shared" si="3"/>
        <v>-0.27059360218456879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59085.138733214022</v>
      </c>
      <c r="K23" s="60">
        <f t="shared" si="2"/>
        <v>-1060783.5</v>
      </c>
      <c r="L23" s="60">
        <f t="shared" si="2"/>
        <v>-24126.871266785973</v>
      </c>
      <c r="M23" s="61">
        <f t="shared" si="3"/>
        <v>-0.3</v>
      </c>
      <c r="N23" s="61">
        <f t="shared" si="3"/>
        <v>-0.28994457971614884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266383.4186916817</v>
      </c>
      <c r="K24" s="60">
        <f t="shared" si="2"/>
        <v>-4710000</v>
      </c>
      <c r="L24" s="60">
        <f t="shared" si="2"/>
        <v>-94449.318421719596</v>
      </c>
      <c r="M24" s="61">
        <f t="shared" si="3"/>
        <v>-0.3</v>
      </c>
      <c r="N24" s="61">
        <f t="shared" si="3"/>
        <v>-0.26175373991090056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55898905.299999997</v>
      </c>
      <c r="H25" s="76">
        <f t="shared" si="4"/>
        <v>103812252.7</v>
      </c>
      <c r="I25" s="83">
        <f t="shared" si="4"/>
        <v>64855578.999999598</v>
      </c>
      <c r="J25" s="175">
        <f t="shared" si="4"/>
        <v>7658939.7476989599</v>
      </c>
      <c r="K25" s="76">
        <f>SUM(K17:K24)</f>
        <v>-15000000.000000399</v>
      </c>
      <c r="L25" s="175">
        <f>SUM(L17:L24)</f>
        <v>91039.756629558367</v>
      </c>
      <c r="M25" s="79">
        <f>K25/E25</f>
        <v>-0.18783909888124908</v>
      </c>
      <c r="N25" s="79">
        <f t="shared" si="3"/>
        <v>1.2029725120177458E-2</v>
      </c>
    </row>
    <row r="30" spans="1:14" ht="55.2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0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16289078.799999604</v>
      </c>
      <c r="I35" s="169">
        <f t="shared" ref="I35:I40" si="9">J18/$D$31</f>
        <v>240983.58787247053</v>
      </c>
      <c r="J35" s="180">
        <f t="shared" ref="J35:J40" si="10">I35*$F$31</f>
        <v>269419651.24142206</v>
      </c>
      <c r="K35" s="167">
        <f t="shared" ref="K35:K42" si="11">H35-D35</f>
        <v>678643.799999604</v>
      </c>
      <c r="L35" s="167">
        <f t="shared" ref="L35:L42" si="12">J35-G35</f>
        <v>11235843.737113625</v>
      </c>
      <c r="M35" s="184">
        <f t="shared" ref="M35:M42" si="13">K35/D35</f>
        <v>4.3473727669959487E-2</v>
      </c>
      <c r="N35" s="185">
        <f t="shared" ref="N35:N42" si="14">L35/G35</f>
        <v>4.3518777748779332E-2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16067799.999999998</v>
      </c>
      <c r="I38" s="169">
        <f t="shared" si="9"/>
        <v>100958.70299193449</v>
      </c>
      <c r="J38" s="180">
        <f t="shared" si="10"/>
        <v>112871829.94498277</v>
      </c>
      <c r="K38" s="167">
        <f t="shared" si="11"/>
        <v>-6886200.0000000019</v>
      </c>
      <c r="L38" s="167">
        <f t="shared" si="12"/>
        <v>-41872946.469144374</v>
      </c>
      <c r="M38" s="184">
        <f t="shared" si="13"/>
        <v>-0.3000000000000001</v>
      </c>
      <c r="N38" s="185">
        <f t="shared" si="14"/>
        <v>-0.27059360218456885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5473288.7999999998</v>
      </c>
      <c r="I39" s="169">
        <f t="shared" si="9"/>
        <v>23751.326482365839</v>
      </c>
      <c r="J39" s="180">
        <f t="shared" si="10"/>
        <v>26553983.007285006</v>
      </c>
      <c r="K39" s="167">
        <f t="shared" si="11"/>
        <v>-2345695.2000000002</v>
      </c>
      <c r="L39" s="167">
        <f t="shared" si="12"/>
        <v>-10126039.853879251</v>
      </c>
      <c r="M39" s="184">
        <f t="shared" si="13"/>
        <v>-0.30000000000000004</v>
      </c>
      <c r="N39" s="185">
        <f t="shared" si="14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2475161.5</v>
      </c>
      <c r="I40" s="169">
        <f t="shared" si="9"/>
        <v>5124.469968188554</v>
      </c>
      <c r="J40" s="180">
        <f t="shared" si="10"/>
        <v>5729157.4244348034</v>
      </c>
      <c r="K40" s="167">
        <f t="shared" si="11"/>
        <v>-1060783.5</v>
      </c>
      <c r="L40" s="167">
        <f t="shared" si="12"/>
        <v>-2339448.5755651966</v>
      </c>
      <c r="M40" s="184">
        <f t="shared" si="13"/>
        <v>-0.3</v>
      </c>
      <c r="N40" s="185">
        <f t="shared" si="14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266383.4186916817</v>
      </c>
      <c r="J41" s="180">
        <f>I41*$I$31</f>
        <v>31007029.935711749</v>
      </c>
      <c r="K41" s="167">
        <f t="shared" si="11"/>
        <v>-4710000</v>
      </c>
      <c r="L41" s="167">
        <f t="shared" si="12"/>
        <v>-10993900.664288156</v>
      </c>
      <c r="M41" s="184">
        <f t="shared" si="13"/>
        <v>-0.3</v>
      </c>
      <c r="N41" s="185">
        <f t="shared" si="14"/>
        <v>-0.26175373991090045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64855578.999999598</v>
      </c>
      <c r="I42" s="77"/>
      <c r="J42" s="181">
        <f>SUM(J34:J41)</f>
        <v>747822118.90623558</v>
      </c>
      <c r="K42" s="76">
        <f t="shared" si="11"/>
        <v>-15000000.000000402</v>
      </c>
      <c r="L42" s="200">
        <f t="shared" si="12"/>
        <v>6991943.7335721254</v>
      </c>
      <c r="M42" s="79">
        <f t="shared" si="13"/>
        <v>-0.18783909888124914</v>
      </c>
      <c r="N42" s="186">
        <f t="shared" si="14"/>
        <v>9.437984531262553E-3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260460926.41526246</v>
      </c>
      <c r="L43" s="189">
        <f>SUM(L34:L40)*$E$43 + (L41*$D$43)</f>
        <v>178480.73655687924</v>
      </c>
      <c r="M43" s="201">
        <f>L43/L42</f>
        <v>2.5526626551626286E-2</v>
      </c>
      <c r="N43" s="190">
        <f>N42*(L43/L42)</f>
        <v>2.4091990652956485E-4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293821118.46893173</v>
      </c>
      <c r="L44" s="189">
        <f>SUM(L34:L40)*$E$44 + (L41*$D$44)</f>
        <v>1957285.0095929438</v>
      </c>
      <c r="M44" s="201">
        <f>L44/L42</f>
        <v>0.27993431929306778</v>
      </c>
      <c r="N44" s="190">
        <f>N42*(L44/L42)</f>
        <v>2.642015775257486E-3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193540074.02204144</v>
      </c>
      <c r="L45" s="189">
        <f>SUM(L34:L40)*$E$45 + (L41*$D$45)</f>
        <v>4856177.987422266</v>
      </c>
      <c r="M45" s="201">
        <f>L45/L42</f>
        <v>0.69453905415530071</v>
      </c>
      <c r="N45" s="190">
        <f>N42*(L45/L42)</f>
        <v>6.5550488494754526E-3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1" workbookViewId="0">
      <selection activeCell="O40" sqref="O40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9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8407671.1437868066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8"/>
      <c r="B12" s="158">
        <f>79855579 - 10000000</f>
        <v>69855579</v>
      </c>
      <c r="C12" s="81">
        <f>1*B12 - 1</f>
        <v>69855578</v>
      </c>
      <c r="D12" s="82">
        <f>1*B12 + 1</f>
        <v>69855580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17063313.313883051</v>
      </c>
      <c r="J21" s="65">
        <v>1228830.4465938411</v>
      </c>
      <c r="K21" s="60">
        <f t="shared" si="2"/>
        <v>-5890686.6861169487</v>
      </c>
      <c r="L21" s="60">
        <f t="shared" si="2"/>
        <v>-367061.56776652182</v>
      </c>
      <c r="M21" s="61">
        <f t="shared" si="3"/>
        <v>-0.25663007258503739</v>
      </c>
      <c r="N21" s="61">
        <f t="shared" si="3"/>
        <v>-0.23000401309335514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59085.138733214022</v>
      </c>
      <c r="K23" s="60">
        <f t="shared" si="2"/>
        <v>-1060783.5</v>
      </c>
      <c r="L23" s="60">
        <f t="shared" si="2"/>
        <v>-24126.871266785973</v>
      </c>
      <c r="M23" s="61">
        <f t="shared" si="3"/>
        <v>-0.3</v>
      </c>
      <c r="N23" s="61">
        <f t="shared" si="3"/>
        <v>-0.28994457971614884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266383.4186916817</v>
      </c>
      <c r="K24" s="60">
        <f t="shared" si="2"/>
        <v>-4710000</v>
      </c>
      <c r="L24" s="60">
        <f t="shared" si="2"/>
        <v>-94449.318421719596</v>
      </c>
      <c r="M24" s="61">
        <f t="shared" si="3"/>
        <v>-0.3</v>
      </c>
      <c r="N24" s="61">
        <f t="shared" si="3"/>
        <v>-0.26175373991090056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55898905.299999997</v>
      </c>
      <c r="H25" s="76">
        <f t="shared" si="4"/>
        <v>103812252.7</v>
      </c>
      <c r="I25" s="83">
        <f t="shared" si="4"/>
        <v>69855579.013883054</v>
      </c>
      <c r="J25" s="175">
        <f t="shared" si="4"/>
        <v>8407671.1437868066</v>
      </c>
      <c r="K25" s="76">
        <f>SUM(K17:K24)</f>
        <v>-9999999.9861169495</v>
      </c>
      <c r="L25" s="175">
        <f>SUM(L17:L24)</f>
        <v>839771.15271740523</v>
      </c>
      <c r="M25" s="79">
        <f>K25/E25</f>
        <v>-0.12522606574697742</v>
      </c>
      <c r="N25" s="79">
        <f t="shared" si="3"/>
        <v>0.11096488506830003</v>
      </c>
    </row>
    <row r="30" spans="1:14" ht="55.2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0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17063313.313883051</v>
      </c>
      <c r="I38" s="169">
        <f t="shared" si="9"/>
        <v>106576.79502114841</v>
      </c>
      <c r="J38" s="180">
        <f t="shared" si="10"/>
        <v>119152856.83364393</v>
      </c>
      <c r="K38" s="167">
        <f t="shared" si="11"/>
        <v>-5890686.6861169487</v>
      </c>
      <c r="L38" s="167">
        <f t="shared" si="12"/>
        <v>-35591919.580483213</v>
      </c>
      <c r="M38" s="184">
        <f t="shared" si="13"/>
        <v>-0.25663007258503739</v>
      </c>
      <c r="N38" s="185">
        <f t="shared" si="14"/>
        <v>-0.23000401309335514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5473288.7999999998</v>
      </c>
      <c r="I39" s="169">
        <f t="shared" si="9"/>
        <v>23751.326482365839</v>
      </c>
      <c r="J39" s="180">
        <f t="shared" si="10"/>
        <v>26553983.007285006</v>
      </c>
      <c r="K39" s="167">
        <f t="shared" si="11"/>
        <v>-2345695.2000000002</v>
      </c>
      <c r="L39" s="167">
        <f t="shared" si="12"/>
        <v>-10126039.853879251</v>
      </c>
      <c r="M39" s="184">
        <f t="shared" si="13"/>
        <v>-0.30000000000000004</v>
      </c>
      <c r="N39" s="185">
        <f t="shared" si="14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2475161.5</v>
      </c>
      <c r="I40" s="169">
        <f t="shared" si="9"/>
        <v>5124.469968188554</v>
      </c>
      <c r="J40" s="180">
        <f t="shared" si="10"/>
        <v>5729157.4244348034</v>
      </c>
      <c r="K40" s="167">
        <f t="shared" si="11"/>
        <v>-1060783.5</v>
      </c>
      <c r="L40" s="167">
        <f t="shared" si="12"/>
        <v>-2339448.5755651966</v>
      </c>
      <c r="M40" s="184">
        <f t="shared" si="13"/>
        <v>-0.3</v>
      </c>
      <c r="N40" s="185">
        <f t="shared" si="14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266383.4186916817</v>
      </c>
      <c r="J41" s="180">
        <f>I41*$I$31</f>
        <v>31007029.935711749</v>
      </c>
      <c r="K41" s="167">
        <f t="shared" si="11"/>
        <v>-4710000</v>
      </c>
      <c r="L41" s="167">
        <f t="shared" si="12"/>
        <v>-10993900.664288156</v>
      </c>
      <c r="M41" s="184">
        <f t="shared" si="13"/>
        <v>-0.3</v>
      </c>
      <c r="N41" s="185">
        <f t="shared" si="14"/>
        <v>-0.26175373991090045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69855579.013883054</v>
      </c>
      <c r="I42" s="77"/>
      <c r="J42" s="181">
        <f>SUM(J34:J41)</f>
        <v>820422439.87988794</v>
      </c>
      <c r="K42" s="76">
        <f t="shared" si="11"/>
        <v>-9999999.9861169457</v>
      </c>
      <c r="L42" s="200">
        <f t="shared" si="12"/>
        <v>79592264.707224488</v>
      </c>
      <c r="M42" s="79">
        <f t="shared" si="13"/>
        <v>-0.12522606574697737</v>
      </c>
      <c r="N42" s="186">
        <f t="shared" si="14"/>
        <v>0.10743658583922303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285145035.54630429</v>
      </c>
      <c r="L43" s="189">
        <f>SUM(L34:L40)*$E$43 + (L41*$D$43)</f>
        <v>24862589.867598709</v>
      </c>
      <c r="M43" s="201">
        <f>L43/L42</f>
        <v>0.31237444943995873</v>
      </c>
      <c r="N43" s="190">
        <f>N42*(L43/L42)</f>
        <v>3.356044435123616E-2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322135243.64865613</v>
      </c>
      <c r="L44" s="189">
        <f>SUM(L34:L40)*$E$44 + (L41*$D$44)</f>
        <v>30271410.189317394</v>
      </c>
      <c r="M44" s="201">
        <f>L44/L42</f>
        <v>0.3803310573039857</v>
      </c>
      <c r="N44" s="190">
        <f>N42*(L44/L42)</f>
        <v>4.0861470285362113E-2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213142160.68492758</v>
      </c>
      <c r="L45" s="189">
        <f>SUM(L34:L40)*$E$45 + (L41*$D$45)</f>
        <v>24458264.650308426</v>
      </c>
      <c r="M45" s="201">
        <f>L45/L42</f>
        <v>0.30729449325605607</v>
      </c>
      <c r="N45" s="190">
        <f>N42*(L45/L42)</f>
        <v>3.3014671202624808E-2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1" workbookViewId="0">
      <selection activeCell="I17" sqref="I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8720978.0310451146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8"/>
      <c r="B12" s="158">
        <f>79855579 - 5000000</f>
        <v>74855579</v>
      </c>
      <c r="C12" s="81">
        <f>1*B12 - 1</f>
        <v>74855578</v>
      </c>
      <c r="D12" s="82">
        <f>1*B12 + 1</f>
        <v>74855580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22063313.299998343</v>
      </c>
      <c r="J21" s="65">
        <v>1542137.3338521488</v>
      </c>
      <c r="K21" s="60">
        <f t="shared" si="2"/>
        <v>-890686.70000165701</v>
      </c>
      <c r="L21" s="60">
        <f t="shared" si="2"/>
        <v>-53754.680508214049</v>
      </c>
      <c r="M21" s="61">
        <f t="shared" si="3"/>
        <v>-3.8803114925575366E-2</v>
      </c>
      <c r="N21" s="61">
        <f t="shared" si="3"/>
        <v>-3.36831565196841E-2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59085.138733214022</v>
      </c>
      <c r="K23" s="60">
        <f t="shared" si="2"/>
        <v>-1060783.5</v>
      </c>
      <c r="L23" s="60">
        <f t="shared" si="2"/>
        <v>-24126.871266785973</v>
      </c>
      <c r="M23" s="61">
        <f t="shared" si="3"/>
        <v>-0.3</v>
      </c>
      <c r="N23" s="61">
        <f t="shared" si="3"/>
        <v>-0.28994457971614884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266383.4186916817</v>
      </c>
      <c r="K24" s="60">
        <f t="shared" si="2"/>
        <v>-4710000</v>
      </c>
      <c r="L24" s="60">
        <f t="shared" si="2"/>
        <v>-94449.318421719596</v>
      </c>
      <c r="M24" s="61">
        <f t="shared" si="3"/>
        <v>-0.3</v>
      </c>
      <c r="N24" s="61">
        <f t="shared" si="3"/>
        <v>-0.26175373991090056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55898905.299999997</v>
      </c>
      <c r="H25" s="76">
        <f t="shared" si="4"/>
        <v>103812252.7</v>
      </c>
      <c r="I25" s="83">
        <f t="shared" si="4"/>
        <v>74855578.999998331</v>
      </c>
      <c r="J25" s="175">
        <f t="shared" si="4"/>
        <v>8720978.0310451146</v>
      </c>
      <c r="K25" s="76">
        <f>SUM(K17:K24)</f>
        <v>-5000000.0000016568</v>
      </c>
      <c r="L25" s="175">
        <f>SUM(L17:L24)</f>
        <v>1153078.039975713</v>
      </c>
      <c r="M25" s="79">
        <f>K25/E25</f>
        <v>-6.2613032960435452E-2</v>
      </c>
      <c r="N25" s="79">
        <f t="shared" si="3"/>
        <v>0.15236433374336572</v>
      </c>
    </row>
    <row r="30" spans="1:14" ht="55.2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0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22063313.299998343</v>
      </c>
      <c r="I38" s="169">
        <f t="shared" si="9"/>
        <v>133749.98558995221</v>
      </c>
      <c r="J38" s="180">
        <f t="shared" si="10"/>
        <v>149532483.88956657</v>
      </c>
      <c r="K38" s="167">
        <f t="shared" si="11"/>
        <v>-890686.70000165701</v>
      </c>
      <c r="L38" s="167">
        <f t="shared" si="12"/>
        <v>-5212292.5245605707</v>
      </c>
      <c r="M38" s="184">
        <f t="shared" si="13"/>
        <v>-3.8803114925575366E-2</v>
      </c>
      <c r="N38" s="185">
        <f t="shared" si="14"/>
        <v>-3.3683156519684135E-2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5473288.7999999998</v>
      </c>
      <c r="I39" s="169">
        <f t="shared" si="9"/>
        <v>23751.326482365839</v>
      </c>
      <c r="J39" s="180">
        <f t="shared" si="10"/>
        <v>26553983.007285006</v>
      </c>
      <c r="K39" s="167">
        <f t="shared" si="11"/>
        <v>-2345695.2000000002</v>
      </c>
      <c r="L39" s="167">
        <f t="shared" si="12"/>
        <v>-10126039.853879251</v>
      </c>
      <c r="M39" s="184">
        <f t="shared" si="13"/>
        <v>-0.30000000000000004</v>
      </c>
      <c r="N39" s="185">
        <f t="shared" si="14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2475161.5</v>
      </c>
      <c r="I40" s="169">
        <f t="shared" si="9"/>
        <v>5124.469968188554</v>
      </c>
      <c r="J40" s="180">
        <f t="shared" si="10"/>
        <v>5729157.4244348034</v>
      </c>
      <c r="K40" s="167">
        <f t="shared" si="11"/>
        <v>-1060783.5</v>
      </c>
      <c r="L40" s="167">
        <f t="shared" si="12"/>
        <v>-2339448.5755651966</v>
      </c>
      <c r="M40" s="184">
        <f t="shared" si="13"/>
        <v>-0.3</v>
      </c>
      <c r="N40" s="185">
        <f t="shared" si="14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266383.4186916817</v>
      </c>
      <c r="J41" s="180">
        <f>I41*$I$31</f>
        <v>31007029.935711749</v>
      </c>
      <c r="K41" s="167">
        <f t="shared" si="11"/>
        <v>-4710000</v>
      </c>
      <c r="L41" s="167">
        <f t="shared" si="12"/>
        <v>-10993900.664288156</v>
      </c>
      <c r="M41" s="184">
        <f t="shared" si="13"/>
        <v>-0.3</v>
      </c>
      <c r="N41" s="185">
        <f t="shared" si="14"/>
        <v>-0.26175373991090045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74855578.999998331</v>
      </c>
      <c r="I42" s="77"/>
      <c r="J42" s="181">
        <f>SUM(J34:J41)</f>
        <v>850802066.93581057</v>
      </c>
      <c r="K42" s="76">
        <f t="shared" si="11"/>
        <v>-5000000.0000016689</v>
      </c>
      <c r="L42" s="200">
        <f t="shared" si="12"/>
        <v>109971891.76314712</v>
      </c>
      <c r="M42" s="79">
        <f t="shared" si="13"/>
        <v>-6.2613032960435605E-2</v>
      </c>
      <c r="N42" s="186">
        <f t="shared" si="14"/>
        <v>0.14844413125790434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295474108.74531794</v>
      </c>
      <c r="L43" s="189">
        <f>SUM(L34:L40)*$E$43 + (L41*$D$43)</f>
        <v>35191663.066612415</v>
      </c>
      <c r="M43" s="201">
        <f>L43/L42</f>
        <v>0.32000598064100555</v>
      </c>
      <c r="N43" s="190">
        <f>N42*(L43/L42)</f>
        <v>4.7503009793587826E-2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333983298.20046598</v>
      </c>
      <c r="L44" s="189">
        <f>SUM(L34:L40)*$E$44 + (L41*$D$44)</f>
        <v>42119464.74112723</v>
      </c>
      <c r="M44" s="201">
        <f>L44/L42</f>
        <v>0.38300209322435208</v>
      </c>
      <c r="N44" s="190">
        <f>N42*(L44/L42)</f>
        <v>5.6854412998647838E-2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221344659.99002668</v>
      </c>
      <c r="L45" s="189">
        <f>SUM(L34:L40)*$E$45 + (L41*$D$45)</f>
        <v>32660763.955407545</v>
      </c>
      <c r="M45" s="201">
        <f>L45/L42</f>
        <v>0.29699192613464304</v>
      </c>
      <c r="N45" s="190">
        <f>N42*(L45/L42)</f>
        <v>4.4086708465668784E-2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1" workbookViewId="0">
      <selection activeCell="I17" sqref="I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9014960.9501344562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8"/>
      <c r="B12" s="158">
        <f>79855579 - 0</f>
        <v>79855579</v>
      </c>
      <c r="C12" s="81">
        <f>1*B12 - 1</f>
        <v>79855578</v>
      </c>
      <c r="D12" s="82">
        <f>1*B12 + 1</f>
        <v>79855580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27063313.31159398</v>
      </c>
      <c r="J21" s="65">
        <v>1836120.2529414906</v>
      </c>
      <c r="K21" s="60">
        <f t="shared" si="2"/>
        <v>4109313.3115939796</v>
      </c>
      <c r="L21" s="60">
        <f t="shared" si="2"/>
        <v>240228.23858112772</v>
      </c>
      <c r="M21" s="61">
        <f t="shared" si="3"/>
        <v>0.17902384384394787</v>
      </c>
      <c r="N21" s="61">
        <f t="shared" si="3"/>
        <v>0.15052913130680196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59085.138733214022</v>
      </c>
      <c r="K23" s="60">
        <f t="shared" si="2"/>
        <v>-1060783.5</v>
      </c>
      <c r="L23" s="60">
        <f t="shared" si="2"/>
        <v>-24126.871266785973</v>
      </c>
      <c r="M23" s="61">
        <f t="shared" si="3"/>
        <v>-0.3</v>
      </c>
      <c r="N23" s="61">
        <f t="shared" si="3"/>
        <v>-0.28994457971614884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266383.4186916817</v>
      </c>
      <c r="K24" s="60">
        <f t="shared" si="2"/>
        <v>-4710000</v>
      </c>
      <c r="L24" s="60">
        <f t="shared" si="2"/>
        <v>-94449.318421719596</v>
      </c>
      <c r="M24" s="61">
        <f t="shared" si="3"/>
        <v>-0.3</v>
      </c>
      <c r="N24" s="61">
        <f t="shared" si="3"/>
        <v>-0.26175373991090056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55898905.299999997</v>
      </c>
      <c r="H25" s="76">
        <f t="shared" si="4"/>
        <v>103812252.7</v>
      </c>
      <c r="I25" s="83">
        <f t="shared" si="4"/>
        <v>79855579.011593968</v>
      </c>
      <c r="J25" s="175">
        <f t="shared" si="4"/>
        <v>9014960.9501344562</v>
      </c>
      <c r="K25" s="76">
        <f>SUM(K17:K24)</f>
        <v>1.159397978335619E-2</v>
      </c>
      <c r="L25" s="175">
        <f>SUM(L17:L24)</f>
        <v>1447060.9590650548</v>
      </c>
      <c r="M25" s="79">
        <f>K25/E25</f>
        <v>1.4518684766353256E-10</v>
      </c>
      <c r="N25" s="79">
        <f t="shared" si="3"/>
        <v>0.19121037021798351</v>
      </c>
    </row>
    <row r="30" spans="1:14" ht="55.2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0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27063313.31159398</v>
      </c>
      <c r="I38" s="169">
        <f t="shared" si="9"/>
        <v>159247.20320394542</v>
      </c>
      <c r="J38" s="180">
        <f t="shared" si="10"/>
        <v>178038373.18201098</v>
      </c>
      <c r="K38" s="167">
        <f t="shared" si="11"/>
        <v>4109313.3115939796</v>
      </c>
      <c r="L38" s="167">
        <f t="shared" si="12"/>
        <v>23293596.767883837</v>
      </c>
      <c r="M38" s="184">
        <f t="shared" si="13"/>
        <v>0.17902384384394787</v>
      </c>
      <c r="N38" s="185">
        <f t="shared" si="14"/>
        <v>0.15052913130680184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5473288.7999999998</v>
      </c>
      <c r="I39" s="169">
        <f t="shared" si="9"/>
        <v>23751.326482365839</v>
      </c>
      <c r="J39" s="180">
        <f t="shared" si="10"/>
        <v>26553983.007285006</v>
      </c>
      <c r="K39" s="167">
        <f t="shared" si="11"/>
        <v>-2345695.2000000002</v>
      </c>
      <c r="L39" s="167">
        <f t="shared" si="12"/>
        <v>-10126039.853879251</v>
      </c>
      <c r="M39" s="184">
        <f t="shared" si="13"/>
        <v>-0.30000000000000004</v>
      </c>
      <c r="N39" s="185">
        <f t="shared" si="14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2475161.5</v>
      </c>
      <c r="I40" s="169">
        <f t="shared" si="9"/>
        <v>5124.469968188554</v>
      </c>
      <c r="J40" s="180">
        <f t="shared" si="10"/>
        <v>5729157.4244348034</v>
      </c>
      <c r="K40" s="167">
        <f t="shared" si="11"/>
        <v>-1060783.5</v>
      </c>
      <c r="L40" s="167">
        <f t="shared" si="12"/>
        <v>-2339448.5755651966</v>
      </c>
      <c r="M40" s="184">
        <f t="shared" si="13"/>
        <v>-0.3</v>
      </c>
      <c r="N40" s="185">
        <f t="shared" si="14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266383.4186916817</v>
      </c>
      <c r="J41" s="180">
        <f>I41*$I$31</f>
        <v>31007029.935711749</v>
      </c>
      <c r="K41" s="167">
        <f t="shared" si="11"/>
        <v>-4710000</v>
      </c>
      <c r="L41" s="167">
        <f t="shared" si="12"/>
        <v>-10993900.664288156</v>
      </c>
      <c r="M41" s="184">
        <f t="shared" si="13"/>
        <v>-0.3</v>
      </c>
      <c r="N41" s="185">
        <f t="shared" si="14"/>
        <v>-0.26175373991090045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79855579.011593968</v>
      </c>
      <c r="I42" s="77"/>
      <c r="J42" s="181">
        <f>SUM(J34:J41)</f>
        <v>879307956.22825503</v>
      </c>
      <c r="K42" s="76">
        <f t="shared" si="11"/>
        <v>1.159396767616272E-2</v>
      </c>
      <c r="L42" s="200">
        <f t="shared" si="12"/>
        <v>138477781.05559158</v>
      </c>
      <c r="M42" s="79">
        <f t="shared" si="13"/>
        <v>1.4518669604991179E-10</v>
      </c>
      <c r="N42" s="186">
        <f t="shared" si="14"/>
        <v>0.18692243606750616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305166111.10474908</v>
      </c>
      <c r="L43" s="189">
        <f>SUM(L34:L40)*$E$43 + (L41*$D$43)</f>
        <v>44883665.426043518</v>
      </c>
      <c r="M43" s="201">
        <f>L43/L42</f>
        <v>0.32412178389849472</v>
      </c>
      <c r="N43" s="190">
        <f>N42*(L43/L42)</f>
        <v>6.0585633428852426E-2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345100595.02451932</v>
      </c>
      <c r="L44" s="189">
        <f>SUM(L34:L40)*$E$44 + (L41*$D$44)</f>
        <v>53236761.565180548</v>
      </c>
      <c r="M44" s="201">
        <f>L44/L42</f>
        <v>0.38444262436447313</v>
      </c>
      <c r="N44" s="190">
        <f>N42*(L44/L42)</f>
        <v>7.1860951874392523E-2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229041250.09898672</v>
      </c>
      <c r="L45" s="189">
        <f>SUM(L34:L40)*$E$45 + (L41*$D$45)</f>
        <v>40357354.064367533</v>
      </c>
      <c r="M45" s="201">
        <f>L45/L42</f>
        <v>0.29143559173703226</v>
      </c>
      <c r="N45" s="190">
        <f>N42*(L45/L42)</f>
        <v>5.4475850764261244E-2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1" workbookViewId="0">
      <selection activeCell="I17" sqref="I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9269408.5599305183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8"/>
      <c r="B12" s="158">
        <f>79855579 + 5000000</f>
        <v>84855579</v>
      </c>
      <c r="C12" s="81">
        <f>1*B12 - 1</f>
        <v>84855578</v>
      </c>
      <c r="D12" s="82">
        <f>1*B12 + 1</f>
        <v>84855580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7788948.7000000011</v>
      </c>
      <c r="J17" s="64">
        <v>2992018.0561720924</v>
      </c>
      <c r="K17" s="58">
        <f>I17-E17</f>
        <v>1797449.7000000011</v>
      </c>
      <c r="L17" s="58">
        <f>J17-F17</f>
        <v>681252.77737739496</v>
      </c>
      <c r="M17" s="59">
        <f>K17/E17</f>
        <v>0.30000000000000021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20293565.499999996</v>
      </c>
      <c r="J18" s="65">
        <v>3462495.563160595</v>
      </c>
      <c r="K18" s="60">
        <f t="shared" ref="K18:L24" si="2">I18-E18</f>
        <v>4683130.4999999963</v>
      </c>
      <c r="L18" s="60">
        <f t="shared" si="2"/>
        <v>799830.71474854136</v>
      </c>
      <c r="M18" s="61">
        <f t="shared" ref="M18:N25" si="3">K18/E18</f>
        <v>0.29999999999999977</v>
      </c>
      <c r="N18" s="61">
        <f t="shared" si="3"/>
        <v>0.30038730380413453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v>1991416.1012136836</v>
      </c>
      <c r="K21" s="60">
        <f t="shared" si="2"/>
        <v>6886200</v>
      </c>
      <c r="L21" s="60">
        <f t="shared" si="2"/>
        <v>395524.08685332071</v>
      </c>
      <c r="M21" s="61">
        <f t="shared" si="3"/>
        <v>0.3</v>
      </c>
      <c r="N21" s="61">
        <f t="shared" si="3"/>
        <v>0.24783887837915378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7696402.0999989323</v>
      </c>
      <c r="J22" s="65">
        <v>373004.55586554622</v>
      </c>
      <c r="K22" s="60">
        <f t="shared" si="2"/>
        <v>-122581.90000106767</v>
      </c>
      <c r="L22" s="60">
        <f t="shared" si="2"/>
        <v>-5278.6852697166614</v>
      </c>
      <c r="M22" s="61">
        <f t="shared" si="3"/>
        <v>-1.5677471651184816E-2</v>
      </c>
      <c r="N22" s="61">
        <f t="shared" si="3"/>
        <v>-1.3954319662364212E-2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59085.138733214022</v>
      </c>
      <c r="K23" s="60">
        <f t="shared" si="2"/>
        <v>-1060783.5</v>
      </c>
      <c r="L23" s="60">
        <f t="shared" si="2"/>
        <v>-24126.871266785973</v>
      </c>
      <c r="M23" s="61">
        <f t="shared" si="3"/>
        <v>-0.3</v>
      </c>
      <c r="N23" s="61">
        <f t="shared" si="3"/>
        <v>-0.28994457971614884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266383.4186916817</v>
      </c>
      <c r="K24" s="60">
        <f t="shared" si="2"/>
        <v>-4710000</v>
      </c>
      <c r="L24" s="60">
        <f t="shared" si="2"/>
        <v>-94449.318421719596</v>
      </c>
      <c r="M24" s="61">
        <f t="shared" si="3"/>
        <v>-0.3</v>
      </c>
      <c r="N24" s="61">
        <f t="shared" si="3"/>
        <v>-0.26175373991090056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55898905.299999997</v>
      </c>
      <c r="H25" s="76">
        <f t="shared" si="4"/>
        <v>103812252.7</v>
      </c>
      <c r="I25" s="83">
        <f t="shared" si="4"/>
        <v>84855578.999998927</v>
      </c>
      <c r="J25" s="175">
        <f t="shared" si="4"/>
        <v>9269408.5599305183</v>
      </c>
      <c r="K25" s="76">
        <f>SUM(K17:K24)</f>
        <v>4999999.999998929</v>
      </c>
      <c r="L25" s="175">
        <f>SUM(L17:L24)</f>
        <v>1701508.5688611155</v>
      </c>
      <c r="M25" s="79">
        <f>K25/E25</f>
        <v>6.2613032960401285E-2</v>
      </c>
      <c r="N25" s="79">
        <f t="shared" si="3"/>
        <v>0.22483232744473397</v>
      </c>
    </row>
    <row r="30" spans="1:14" ht="55.2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0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7788948.7000000011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1797449.7000000011</v>
      </c>
      <c r="L34" s="166">
        <f>J34-G34</f>
        <v>66057294.458623379</v>
      </c>
      <c r="M34" s="182">
        <f>K34/D34</f>
        <v>0.30000000000000021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20293565.499999996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4683130.4999999963</v>
      </c>
      <c r="L35" s="167">
        <f t="shared" ref="L35:L42" si="12">J35-G35</f>
        <v>77555137.822104901</v>
      </c>
      <c r="M35" s="184">
        <f t="shared" ref="M35:M42" si="13">K35/D35</f>
        <v>0.29999999999999977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29840200</v>
      </c>
      <c r="I38" s="169">
        <f t="shared" si="9"/>
        <v>172716.05387802981</v>
      </c>
      <c r="J38" s="180">
        <f t="shared" si="10"/>
        <v>193096548.23563734</v>
      </c>
      <c r="K38" s="167">
        <f t="shared" si="11"/>
        <v>6886200</v>
      </c>
      <c r="L38" s="167">
        <f t="shared" si="12"/>
        <v>38351771.821510196</v>
      </c>
      <c r="M38" s="184">
        <f t="shared" si="13"/>
        <v>0.3</v>
      </c>
      <c r="N38" s="185">
        <f t="shared" si="14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7696402.0999989323</v>
      </c>
      <c r="I39" s="169">
        <f t="shared" si="9"/>
        <v>32350.78541765362</v>
      </c>
      <c r="J39" s="180">
        <f t="shared" si="10"/>
        <v>36168178.096936747</v>
      </c>
      <c r="K39" s="167">
        <f t="shared" si="11"/>
        <v>-122581.90000106767</v>
      </c>
      <c r="L39" s="167">
        <f t="shared" si="12"/>
        <v>-511844.7642275095</v>
      </c>
      <c r="M39" s="184">
        <f t="shared" si="13"/>
        <v>-1.5677471651184816E-2</v>
      </c>
      <c r="N39" s="185">
        <f t="shared" si="14"/>
        <v>-1.3954319662364111E-2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2475161.5</v>
      </c>
      <c r="I40" s="169">
        <f t="shared" si="9"/>
        <v>5124.469968188554</v>
      </c>
      <c r="J40" s="180">
        <f t="shared" si="10"/>
        <v>5729157.4244348034</v>
      </c>
      <c r="K40" s="167">
        <f t="shared" si="11"/>
        <v>-1060783.5</v>
      </c>
      <c r="L40" s="167">
        <f t="shared" si="12"/>
        <v>-2339448.5755651966</v>
      </c>
      <c r="M40" s="184">
        <f t="shared" si="13"/>
        <v>-0.3</v>
      </c>
      <c r="N40" s="185">
        <f t="shared" si="14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266383.4186916817</v>
      </c>
      <c r="J41" s="180">
        <f>I41*$I$31</f>
        <v>31007029.935711749</v>
      </c>
      <c r="K41" s="167">
        <f t="shared" si="11"/>
        <v>-4710000</v>
      </c>
      <c r="L41" s="167">
        <f t="shared" si="12"/>
        <v>-10993900.664288156</v>
      </c>
      <c r="M41" s="184">
        <f t="shared" si="13"/>
        <v>-0.3</v>
      </c>
      <c r="N41" s="185">
        <f t="shared" si="14"/>
        <v>-0.26175373991090045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84855578.999998927</v>
      </c>
      <c r="I42" s="77"/>
      <c r="J42" s="181">
        <f>SUM(J34:J41)</f>
        <v>903980326.37153304</v>
      </c>
      <c r="K42" s="76">
        <f t="shared" si="11"/>
        <v>4999999.9999989271</v>
      </c>
      <c r="L42" s="200">
        <f t="shared" si="12"/>
        <v>163150151.19886959</v>
      </c>
      <c r="M42" s="79">
        <f t="shared" si="13"/>
        <v>6.2613032960401271E-2</v>
      </c>
      <c r="N42" s="186">
        <f t="shared" si="14"/>
        <v>0.22022611479188814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313554716.95346361</v>
      </c>
      <c r="L43" s="189">
        <f>SUM(L34:L40)*$E$43 + (L41*$D$43)</f>
        <v>53272271.274758071</v>
      </c>
      <c r="M43" s="201">
        <f>L43/L42</f>
        <v>0.32652296601198111</v>
      </c>
      <c r="N43" s="190">
        <f>N42*(L43/L42)</f>
        <v>7.1908884195142339E-2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354722819.38039774</v>
      </c>
      <c r="L44" s="189">
        <f>SUM(L34:L40)*$E$44 + (L41*$D$44)</f>
        <v>62858985.921058998</v>
      </c>
      <c r="M44" s="201">
        <f>L44/L42</f>
        <v>0.38528303810419345</v>
      </c>
      <c r="N44" s="190">
        <f>N42*(L44/L42)</f>
        <v>8.4849386576901525E-2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235702790.03767177</v>
      </c>
      <c r="L45" s="189">
        <f>SUM(L34:L40)*$E$45 + (L41*$D$45)</f>
        <v>47018894.003052622</v>
      </c>
      <c r="M45" s="201">
        <f>L45/L42</f>
        <v>0.28819399588382605</v>
      </c>
      <c r="N45" s="190">
        <f>N42*(L45/L42)</f>
        <v>6.3467844019844413E-2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1" workbookViewId="0">
      <selection activeCell="J27" sqref="J27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9468130.8754505161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8"/>
      <c r="B12" s="158">
        <f>79855579 + 10000000</f>
        <v>89855579</v>
      </c>
      <c r="C12" s="81">
        <f>1*B12 - 1</f>
        <v>89855578</v>
      </c>
      <c r="D12" s="82">
        <f>1*B12 + 1</f>
        <v>89855580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20293565.499999996</v>
      </c>
      <c r="J18" s="65">
        <v>3462495.563160595</v>
      </c>
      <c r="K18" s="60">
        <f t="shared" ref="K18:L24" si="2">I18-E18</f>
        <v>4683130.4999999963</v>
      </c>
      <c r="L18" s="60">
        <f t="shared" si="2"/>
        <v>799830.71474854136</v>
      </c>
      <c r="M18" s="61">
        <f t="shared" ref="M18:N25" si="3">K18/E18</f>
        <v>0.29999999999999977</v>
      </c>
      <c r="N18" s="61">
        <f t="shared" si="3"/>
        <v>0.30038730380413453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4946130.8</v>
      </c>
      <c r="J19" s="65">
        <v>195731.14426194644</v>
      </c>
      <c r="K19" s="60">
        <f t="shared" si="2"/>
        <v>1141414.7999999998</v>
      </c>
      <c r="L19" s="60">
        <f t="shared" si="2"/>
        <v>45170.443200453126</v>
      </c>
      <c r="M19" s="61">
        <f t="shared" si="3"/>
        <v>0.29999999999999993</v>
      </c>
      <c r="N19" s="61">
        <f t="shared" si="3"/>
        <v>0.30001483044373062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v>1991416.1012136836</v>
      </c>
      <c r="K21" s="60">
        <f t="shared" si="2"/>
        <v>6886200</v>
      </c>
      <c r="L21" s="60">
        <f t="shared" si="2"/>
        <v>395524.08685332071</v>
      </c>
      <c r="M21" s="61">
        <f t="shared" si="3"/>
        <v>0.3</v>
      </c>
      <c r="N21" s="61">
        <f t="shared" si="3"/>
        <v>0.24783887837915378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10164679.200000001</v>
      </c>
      <c r="J22" s="65">
        <v>475663.23209232016</v>
      </c>
      <c r="K22" s="60">
        <f t="shared" si="2"/>
        <v>2345695.2000000011</v>
      </c>
      <c r="L22" s="60">
        <f t="shared" si="2"/>
        <v>97379.990957057278</v>
      </c>
      <c r="M22" s="61">
        <f t="shared" si="3"/>
        <v>0.30000000000000016</v>
      </c>
      <c r="N22" s="61">
        <f t="shared" si="3"/>
        <v>0.25742613039057965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2475161.5</v>
      </c>
      <c r="H23" s="74">
        <f t="shared" si="1"/>
        <v>4596728.5</v>
      </c>
      <c r="I23" s="174">
        <v>2724054.8512908891</v>
      </c>
      <c r="J23" s="65">
        <v>64808.9221864555</v>
      </c>
      <c r="K23" s="60">
        <f t="shared" si="2"/>
        <v>-811890.14870911092</v>
      </c>
      <c r="L23" s="60">
        <f t="shared" si="2"/>
        <v>-18403.087813544495</v>
      </c>
      <c r="M23" s="61">
        <f t="shared" si="3"/>
        <v>-0.22961051393873799</v>
      </c>
      <c r="N23" s="61">
        <f t="shared" si="3"/>
        <v>-0.22115903477808668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266383.4186916817</v>
      </c>
      <c r="K24" s="60">
        <f t="shared" si="2"/>
        <v>-4710000</v>
      </c>
      <c r="L24" s="60">
        <f t="shared" si="2"/>
        <v>-94449.318421719596</v>
      </c>
      <c r="M24" s="61">
        <f t="shared" si="3"/>
        <v>-0.3</v>
      </c>
      <c r="N24" s="61">
        <f t="shared" si="3"/>
        <v>-0.26175373991090056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55898905.299999997</v>
      </c>
      <c r="H25" s="76">
        <f t="shared" si="4"/>
        <v>103812252.7</v>
      </c>
      <c r="I25" s="83">
        <f t="shared" si="4"/>
        <v>89855579.0512909</v>
      </c>
      <c r="J25" s="175">
        <f t="shared" si="4"/>
        <v>9468130.8754505161</v>
      </c>
      <c r="K25" s="76">
        <f>SUM(K17:K24)</f>
        <v>10000000.051290886</v>
      </c>
      <c r="L25" s="175">
        <f>SUM(L17:L24)</f>
        <v>1900230.8843811117</v>
      </c>
      <c r="M25" s="79">
        <f>K25/E25</f>
        <v>0.12522606656312499</v>
      </c>
      <c r="N25" s="79">
        <f t="shared" si="3"/>
        <v>0.25109090852462418</v>
      </c>
    </row>
    <row r="30" spans="1:14" ht="55.2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0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20293565.499999996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4683130.4999999963</v>
      </c>
      <c r="L35" s="167">
        <f t="shared" ref="L35:L42" si="12">J35-G35</f>
        <v>77555137.822104901</v>
      </c>
      <c r="M35" s="184">
        <f t="shared" ref="M35:M42" si="13">K35/D35</f>
        <v>0.29999999999999977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4946130.8</v>
      </c>
      <c r="I36" s="169">
        <f t="shared" si="9"/>
        <v>16975.814766864394</v>
      </c>
      <c r="J36" s="180">
        <f t="shared" si="10"/>
        <v>18978960.909354392</v>
      </c>
      <c r="K36" s="167">
        <f t="shared" si="11"/>
        <v>1141414.7999999998</v>
      </c>
      <c r="L36" s="167">
        <f t="shared" si="12"/>
        <v>4379926.7561237309</v>
      </c>
      <c r="M36" s="184">
        <f t="shared" si="13"/>
        <v>0.29999999999999993</v>
      </c>
      <c r="N36" s="185">
        <f t="shared" si="14"/>
        <v>0.30001483044373073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29840200</v>
      </c>
      <c r="I38" s="169">
        <f t="shared" si="9"/>
        <v>172716.05387802981</v>
      </c>
      <c r="J38" s="180">
        <f t="shared" si="10"/>
        <v>193096548.23563734</v>
      </c>
      <c r="K38" s="167">
        <f t="shared" si="11"/>
        <v>6886200</v>
      </c>
      <c r="L38" s="167">
        <f t="shared" si="12"/>
        <v>38351771.821510196</v>
      </c>
      <c r="M38" s="184">
        <f t="shared" si="13"/>
        <v>0.3</v>
      </c>
      <c r="N38" s="185">
        <f t="shared" si="14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10164679.200000001</v>
      </c>
      <c r="I39" s="169">
        <f t="shared" si="9"/>
        <v>41254.400008006953</v>
      </c>
      <c r="J39" s="180">
        <f t="shared" si="10"/>
        <v>46122419.208951771</v>
      </c>
      <c r="K39" s="167">
        <f t="shared" si="11"/>
        <v>2345695.2000000011</v>
      </c>
      <c r="L39" s="167">
        <f t="shared" si="12"/>
        <v>9442396.3477875143</v>
      </c>
      <c r="M39" s="184">
        <f t="shared" si="13"/>
        <v>0.30000000000000016</v>
      </c>
      <c r="N39" s="185">
        <f t="shared" si="14"/>
        <v>0.25742613039057971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2724054.8512908891</v>
      </c>
      <c r="I40" s="169">
        <f t="shared" si="9"/>
        <v>5620.8952460065484</v>
      </c>
      <c r="J40" s="180">
        <f t="shared" si="10"/>
        <v>6284160.8850353211</v>
      </c>
      <c r="K40" s="167">
        <f t="shared" si="11"/>
        <v>-811890.14870911092</v>
      </c>
      <c r="L40" s="167">
        <f t="shared" si="12"/>
        <v>-1784445.1149646789</v>
      </c>
      <c r="M40" s="184">
        <f t="shared" si="13"/>
        <v>-0.22961051393873799</v>
      </c>
      <c r="N40" s="185">
        <f t="shared" si="14"/>
        <v>-0.22115903477808668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266383.4186916817</v>
      </c>
      <c r="J41" s="180">
        <f>I41*$I$31</f>
        <v>31007029.935711749</v>
      </c>
      <c r="K41" s="167">
        <f t="shared" si="11"/>
        <v>-4710000</v>
      </c>
      <c r="L41" s="167">
        <f t="shared" si="12"/>
        <v>-10993900.664288156</v>
      </c>
      <c r="M41" s="184">
        <f t="shared" si="13"/>
        <v>-0.3</v>
      </c>
      <c r="N41" s="185">
        <f t="shared" si="14"/>
        <v>-0.26175373991090045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89855579.0512909</v>
      </c>
      <c r="I42" s="77"/>
      <c r="J42" s="181">
        <f>SUM(J34:J41)</f>
        <v>923249324.52863252</v>
      </c>
      <c r="K42" s="76">
        <f t="shared" si="11"/>
        <v>10000000.0512909</v>
      </c>
      <c r="L42" s="200">
        <f t="shared" si="12"/>
        <v>182419149.35596907</v>
      </c>
      <c r="M42" s="79">
        <f t="shared" si="13"/>
        <v>0.12522606656312515</v>
      </c>
      <c r="N42" s="186">
        <f t="shared" si="14"/>
        <v>0.24623612194718322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320106176.32687742</v>
      </c>
      <c r="L43" s="189">
        <f>SUM(L34:L40)*$E$43 + (L41*$D$43)</f>
        <v>59823730.648171864</v>
      </c>
      <c r="M43" s="201">
        <f>L43/L42</f>
        <v>0.32794654979688037</v>
      </c>
      <c r="N43" s="190">
        <f>N42*(L43/L42)</f>
        <v>8.0752286627942635E-2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362237728.66166651</v>
      </c>
      <c r="L44" s="189">
        <f>SUM(L34:L40)*$E$44 + (L41*$D$44)</f>
        <v>70373895.202327773</v>
      </c>
      <c r="M44" s="201">
        <f>L44/L42</f>
        <v>0.38578129242890813</v>
      </c>
      <c r="N44" s="190">
        <f>N42*(L44/L42)</f>
        <v>9.499328936746658E-2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240905419.54008862</v>
      </c>
      <c r="L45" s="189">
        <f>SUM(L34:L40)*$E$45 + (L41*$D$45)</f>
        <v>52221523.505469456</v>
      </c>
      <c r="M45" s="201">
        <f>L45/L42</f>
        <v>0.28627215777421167</v>
      </c>
      <c r="N45" s="190">
        <f>N42*(L45/L42)</f>
        <v>7.0490545951774064E-2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1" workbookViewId="0">
      <selection activeCell="J27" sqref="J27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9573878.4172309209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8"/>
      <c r="B12" s="158">
        <f>79855579 + 15000000</f>
        <v>94855579</v>
      </c>
      <c r="C12" s="81">
        <f>1*B12 - 1</f>
        <v>94855578</v>
      </c>
      <c r="D12" s="82">
        <f>1*B12 + 1</f>
        <v>94855580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20293565.499999996</v>
      </c>
      <c r="J18" s="65">
        <v>3462495.563160595</v>
      </c>
      <c r="K18" s="60">
        <f t="shared" ref="K18:L24" si="2">I18-E18</f>
        <v>4683130.4999999963</v>
      </c>
      <c r="L18" s="60">
        <f t="shared" si="2"/>
        <v>799830.71474854136</v>
      </c>
      <c r="M18" s="61">
        <f t="shared" ref="M18:N25" si="3">K18/E18</f>
        <v>0.29999999999999977</v>
      </c>
      <c r="N18" s="61">
        <f t="shared" si="3"/>
        <v>0.30038730380413453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4946130.8</v>
      </c>
      <c r="J19" s="65">
        <v>195731.14426194644</v>
      </c>
      <c r="K19" s="60">
        <f t="shared" si="2"/>
        <v>1141414.7999999998</v>
      </c>
      <c r="L19" s="60">
        <f t="shared" si="2"/>
        <v>45170.443200453126</v>
      </c>
      <c r="M19" s="61">
        <f t="shared" si="3"/>
        <v>0.29999999999999993</v>
      </c>
      <c r="N19" s="61">
        <f t="shared" si="3"/>
        <v>0.30001483044373062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v>1991416.1012136836</v>
      </c>
      <c r="K21" s="60">
        <f t="shared" si="2"/>
        <v>6886200</v>
      </c>
      <c r="L21" s="60">
        <f t="shared" si="2"/>
        <v>395524.08685332071</v>
      </c>
      <c r="M21" s="61">
        <f t="shared" si="3"/>
        <v>0.3</v>
      </c>
      <c r="N21" s="61">
        <f t="shared" si="3"/>
        <v>0.24783887837915378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10164679.200000001</v>
      </c>
      <c r="J22" s="65">
        <v>475663.23209232016</v>
      </c>
      <c r="K22" s="60">
        <f t="shared" si="2"/>
        <v>2345695.2000000011</v>
      </c>
      <c r="L22" s="60">
        <f t="shared" si="2"/>
        <v>97379.990957057278</v>
      </c>
      <c r="M22" s="61">
        <f t="shared" si="3"/>
        <v>0.30000000000000016</v>
      </c>
      <c r="N22" s="61">
        <f t="shared" si="3"/>
        <v>0.25742613039057965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2475161.5</v>
      </c>
      <c r="H23" s="74">
        <f t="shared" si="1"/>
        <v>4596728.5</v>
      </c>
      <c r="I23" s="174">
        <v>4596728.5</v>
      </c>
      <c r="J23" s="65">
        <v>106650.30229755148</v>
      </c>
      <c r="K23" s="60">
        <f t="shared" si="2"/>
        <v>1060783.5</v>
      </c>
      <c r="L23" s="60">
        <f t="shared" si="2"/>
        <v>23438.292297551481</v>
      </c>
      <c r="M23" s="61">
        <f t="shared" si="3"/>
        <v>0.3</v>
      </c>
      <c r="N23" s="61">
        <f t="shared" si="3"/>
        <v>0.2816695846855698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14117326.325862098</v>
      </c>
      <c r="J24" s="65">
        <v>330289.58036099002</v>
      </c>
      <c r="K24" s="60">
        <f t="shared" si="2"/>
        <v>-1582673.6741379015</v>
      </c>
      <c r="L24" s="60">
        <f t="shared" si="2"/>
        <v>-30543.156752411276</v>
      </c>
      <c r="M24" s="61">
        <f t="shared" si="3"/>
        <v>-0.10080724039094914</v>
      </c>
      <c r="N24" s="61">
        <f t="shared" si="3"/>
        <v>-8.464630176505375E-2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55898905.299999997</v>
      </c>
      <c r="H25" s="76">
        <f t="shared" si="4"/>
        <v>103812252.7</v>
      </c>
      <c r="I25" s="83">
        <f t="shared" si="4"/>
        <v>94855579.025862098</v>
      </c>
      <c r="J25" s="175">
        <f t="shared" si="4"/>
        <v>9573878.4172309209</v>
      </c>
      <c r="K25" s="76">
        <f>SUM(K17:K24)</f>
        <v>15000000.025862096</v>
      </c>
      <c r="L25" s="175">
        <f>SUM(L17:L24)</f>
        <v>2005978.426161516</v>
      </c>
      <c r="M25" s="79">
        <f>K25/E25</f>
        <v>0.18783909920510494</v>
      </c>
      <c r="N25" s="79">
        <f t="shared" si="3"/>
        <v>0.26506407702647977</v>
      </c>
    </row>
    <row r="30" spans="1:14" ht="55.2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0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20293565.499999996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4683130.4999999963</v>
      </c>
      <c r="L35" s="167">
        <f t="shared" ref="L35:L42" si="12">J35-G35</f>
        <v>77555137.822104901</v>
      </c>
      <c r="M35" s="184">
        <f t="shared" ref="M35:M42" si="13">K35/D35</f>
        <v>0.29999999999999977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4946130.8</v>
      </c>
      <c r="I36" s="169">
        <f t="shared" si="9"/>
        <v>16975.814766864394</v>
      </c>
      <c r="J36" s="180">
        <f t="shared" si="10"/>
        <v>18978960.909354392</v>
      </c>
      <c r="K36" s="167">
        <f t="shared" si="11"/>
        <v>1141414.7999999998</v>
      </c>
      <c r="L36" s="167">
        <f t="shared" si="12"/>
        <v>4379926.7561237309</v>
      </c>
      <c r="M36" s="184">
        <f t="shared" si="13"/>
        <v>0.29999999999999993</v>
      </c>
      <c r="N36" s="185">
        <f t="shared" si="14"/>
        <v>0.30001483044373073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29840200</v>
      </c>
      <c r="I38" s="169">
        <f t="shared" si="9"/>
        <v>172716.05387802981</v>
      </c>
      <c r="J38" s="180">
        <f t="shared" si="10"/>
        <v>193096548.23563734</v>
      </c>
      <c r="K38" s="167">
        <f t="shared" si="11"/>
        <v>6886200</v>
      </c>
      <c r="L38" s="167">
        <f t="shared" si="12"/>
        <v>38351771.821510196</v>
      </c>
      <c r="M38" s="184">
        <f t="shared" si="13"/>
        <v>0.3</v>
      </c>
      <c r="N38" s="185">
        <f t="shared" si="14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10164679.200000001</v>
      </c>
      <c r="I39" s="169">
        <f t="shared" si="9"/>
        <v>41254.400008006953</v>
      </c>
      <c r="J39" s="180">
        <f t="shared" si="10"/>
        <v>46122419.208951771</v>
      </c>
      <c r="K39" s="167">
        <f t="shared" si="11"/>
        <v>2345695.2000000011</v>
      </c>
      <c r="L39" s="167">
        <f t="shared" si="12"/>
        <v>9442396.3477875143</v>
      </c>
      <c r="M39" s="184">
        <f t="shared" si="13"/>
        <v>0.30000000000000016</v>
      </c>
      <c r="N39" s="185">
        <f t="shared" si="14"/>
        <v>0.25742613039057971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4596728.5</v>
      </c>
      <c r="I40" s="169">
        <f t="shared" si="9"/>
        <v>9249.8093926757574</v>
      </c>
      <c r="J40" s="180">
        <f t="shared" si="10"/>
        <v>10341286.901011497</v>
      </c>
      <c r="K40" s="167">
        <f t="shared" si="11"/>
        <v>1060783.5</v>
      </c>
      <c r="L40" s="167">
        <f t="shared" si="12"/>
        <v>2272680.9010114968</v>
      </c>
      <c r="M40" s="184">
        <f t="shared" si="13"/>
        <v>0.3</v>
      </c>
      <c r="N40" s="185">
        <f t="shared" si="14"/>
        <v>0.2816695846855698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14117326.325862098</v>
      </c>
      <c r="I41" s="169">
        <f>J24</f>
        <v>330289.58036099002</v>
      </c>
      <c r="J41" s="180">
        <f>I41*$I$31</f>
        <v>38445707.154019237</v>
      </c>
      <c r="K41" s="167">
        <f t="shared" si="11"/>
        <v>-1582673.6741379015</v>
      </c>
      <c r="L41" s="167">
        <f t="shared" si="12"/>
        <v>-3555223.4459806681</v>
      </c>
      <c r="M41" s="184">
        <f t="shared" si="13"/>
        <v>-0.10080724039094914</v>
      </c>
      <c r="N41" s="185">
        <f t="shared" si="14"/>
        <v>-8.4646301765053653E-2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94855579.025862098</v>
      </c>
      <c r="I42" s="77"/>
      <c r="J42" s="181">
        <f>SUM(J34:J41)</f>
        <v>934745127.76291621</v>
      </c>
      <c r="K42" s="76">
        <f t="shared" si="11"/>
        <v>15000000.025862098</v>
      </c>
      <c r="L42" s="200">
        <f t="shared" si="12"/>
        <v>193914952.59025276</v>
      </c>
      <c r="M42" s="79">
        <f t="shared" si="13"/>
        <v>0.18783909920510497</v>
      </c>
      <c r="N42" s="186">
        <f t="shared" si="14"/>
        <v>0.26175358278981747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325502484.87019539</v>
      </c>
      <c r="L43" s="189">
        <f>SUM(L34:L40)*$E$43 + (L41*$D$43)</f>
        <v>65220039.191489801</v>
      </c>
      <c r="M43" s="201">
        <f>L43/L42</f>
        <v>0.33633321371199987</v>
      </c>
      <c r="N43" s="190">
        <f>N42*(L43/L42)</f>
        <v>8.8036423700329325E-2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367241799.32831866</v>
      </c>
      <c r="L44" s="189">
        <f>SUM(L34:L40)*$E$44 + (L41*$D$44)</f>
        <v>75377965.868979916</v>
      </c>
      <c r="M44" s="201">
        <f>L44/L42</f>
        <v>0.38871662479919988</v>
      </c>
      <c r="N44" s="190">
        <f>N42*(L44/L42)</f>
        <v>0.10174796923115578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242000843.56440219</v>
      </c>
      <c r="L45" s="189">
        <f>SUM(L34:L40)*$E$45 + (L41*$D$45)</f>
        <v>53316947.529783018</v>
      </c>
      <c r="M45" s="201">
        <f>L45/L42</f>
        <v>0.27495016148880014</v>
      </c>
      <c r="N45" s="190">
        <f>N42*(L45/L42)</f>
        <v>7.1969189858332325E-2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abSelected="1" workbookViewId="0">
      <selection activeCell="C8" sqref="C8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9573878.4172309209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228"/>
      <c r="B12" s="80">
        <f>79855579 + 15000000</f>
        <v>94855579</v>
      </c>
      <c r="C12" s="81">
        <f>1*B12 - 1</f>
        <v>94855578</v>
      </c>
      <c r="D12" s="82">
        <f>1*B12 + 1</f>
        <v>94855580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63" t="s">
        <v>98</v>
      </c>
      <c r="J14" s="63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105" t="s">
        <v>203</v>
      </c>
      <c r="F16" s="105" t="s">
        <v>204</v>
      </c>
      <c r="G16" s="105" t="s">
        <v>87</v>
      </c>
      <c r="H16" s="105" t="s">
        <v>88</v>
      </c>
      <c r="I16" s="62" t="s">
        <v>201</v>
      </c>
      <c r="J16" s="62" t="s">
        <v>202</v>
      </c>
      <c r="K16" s="105" t="s">
        <v>177</v>
      </c>
      <c r="L16" s="105" t="s">
        <v>178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f>JANSample!F9</f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20293565.499999996</v>
      </c>
      <c r="J18" s="65">
        <f>JMTSample!F9</f>
        <v>3462495.563160595</v>
      </c>
      <c r="K18" s="60">
        <f t="shared" ref="K18:L22" si="2">I18-E18</f>
        <v>4683130.4999999963</v>
      </c>
      <c r="L18" s="60">
        <f t="shared" si="2"/>
        <v>799830.71474854136</v>
      </c>
      <c r="M18" s="61">
        <f t="shared" ref="M18:N25" si="3">K18/E18</f>
        <v>0.29999999999999977</v>
      </c>
      <c r="N18" s="61">
        <f t="shared" si="3"/>
        <v>0.30038730380413453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 t="shared" si="0"/>
        <v>2663301.1999999997</v>
      </c>
      <c r="H19" s="74">
        <f t="shared" si="1"/>
        <v>4946130.8</v>
      </c>
      <c r="I19" s="174">
        <v>4946130.8</v>
      </c>
      <c r="J19" s="65">
        <f>JJVCH!F9</f>
        <v>195731.14426194644</v>
      </c>
      <c r="K19" s="60">
        <f t="shared" si="2"/>
        <v>1141414.7999999998</v>
      </c>
      <c r="L19" s="60">
        <f t="shared" si="2"/>
        <v>45170.443200453126</v>
      </c>
      <c r="M19" s="61">
        <f t="shared" si="3"/>
        <v>0.29999999999999993</v>
      </c>
      <c r="N19" s="61">
        <f t="shared" si="3"/>
        <v>0.30001483044373062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f>JJMMF!I9</f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f>JJMMF!F9</f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f>JJHCC!I9</f>
        <v>1595892.0143603629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f>JJHCC!F9</f>
        <v>1991416.1012136836</v>
      </c>
      <c r="K21" s="60">
        <f t="shared" si="2"/>
        <v>6886200</v>
      </c>
      <c r="L21" s="60">
        <f t="shared" si="2"/>
        <v>395524.08685332071</v>
      </c>
      <c r="M21" s="61">
        <f t="shared" si="3"/>
        <v>0.3</v>
      </c>
      <c r="N21" s="61">
        <f t="shared" si="3"/>
        <v>0.24783887837915378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f>JJMCM!I9</f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10164679.200000001</v>
      </c>
      <c r="J22" s="65">
        <f>JJMCM!F9</f>
        <v>475663.23209232016</v>
      </c>
      <c r="K22" s="60">
        <f t="shared" si="2"/>
        <v>2345695.2000000011</v>
      </c>
      <c r="L22" s="60">
        <f t="shared" si="2"/>
        <v>97379.990957057278</v>
      </c>
      <c r="M22" s="61">
        <f t="shared" si="3"/>
        <v>0.30000000000000016</v>
      </c>
      <c r="N22" s="61">
        <f t="shared" si="3"/>
        <v>0.25742613039057965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f>JJHCC_ACQ!I9</f>
        <v>83212.009999999995</v>
      </c>
      <c r="G23" s="74">
        <f t="shared" si="0"/>
        <v>2475161.5</v>
      </c>
      <c r="H23" s="74">
        <f t="shared" si="1"/>
        <v>4596728.5</v>
      </c>
      <c r="I23" s="174">
        <v>4596728.5</v>
      </c>
      <c r="J23" s="65">
        <f>JJHCC_ACQ!F9</f>
        <v>106650.30229755148</v>
      </c>
      <c r="K23" s="60">
        <f t="shared" ref="K23:K24" si="4">I23-E23</f>
        <v>1060783.5</v>
      </c>
      <c r="L23" s="60">
        <f t="shared" ref="L23:L24" si="5">J23-F23</f>
        <v>23438.292297551481</v>
      </c>
      <c r="M23" s="61">
        <f t="shared" ref="M23:M24" si="6">K23/E23</f>
        <v>0.3</v>
      </c>
      <c r="N23" s="61">
        <f t="shared" ref="N23:N24" si="7">L23/F23</f>
        <v>0.2816695846855698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f>JJHCC_ADH!I9</f>
        <v>360832.73711340129</v>
      </c>
      <c r="G24" s="74">
        <f t="shared" si="0"/>
        <v>10990000</v>
      </c>
      <c r="H24" s="74">
        <f t="shared" si="1"/>
        <v>20410000</v>
      </c>
      <c r="I24" s="174">
        <v>14117326.325862098</v>
      </c>
      <c r="J24" s="65">
        <f>JJHCC_ADH!F9</f>
        <v>330289.58036099002</v>
      </c>
      <c r="K24" s="60">
        <f t="shared" si="4"/>
        <v>-1582673.6741379015</v>
      </c>
      <c r="L24" s="60">
        <f t="shared" si="5"/>
        <v>-30543.156752411276</v>
      </c>
      <c r="M24" s="61">
        <f t="shared" si="6"/>
        <v>-0.10080724039094914</v>
      </c>
      <c r="N24" s="61">
        <f t="shared" si="7"/>
        <v>-8.464630176505375E-2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79855579</v>
      </c>
      <c r="F25" s="77">
        <f t="shared" si="8"/>
        <v>7567899.9910694035</v>
      </c>
      <c r="G25" s="76">
        <f t="shared" si="8"/>
        <v>55898905.299999997</v>
      </c>
      <c r="H25" s="76">
        <f t="shared" si="8"/>
        <v>103812252.7</v>
      </c>
      <c r="I25" s="83">
        <f t="shared" si="8"/>
        <v>94855579.025862098</v>
      </c>
      <c r="J25" s="175">
        <f t="shared" si="8"/>
        <v>9573878.4172309209</v>
      </c>
      <c r="K25" s="76">
        <f>SUM(K17:K24)</f>
        <v>15000000.025862096</v>
      </c>
      <c r="L25" s="175">
        <f>SUM(L17:L24)</f>
        <v>2005978.426161516</v>
      </c>
      <c r="M25" s="79">
        <f>K25/E25</f>
        <v>0.18783909920510494</v>
      </c>
      <c r="N25" s="79">
        <f t="shared" si="3"/>
        <v>0.26506407702647977</v>
      </c>
    </row>
    <row r="29" spans="1:14" s="162" customFormat="1" x14ac:dyDescent="0.3"/>
    <row r="30" spans="1:14" ht="55.2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0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1" t="s">
        <v>2</v>
      </c>
      <c r="B32" s="213" t="s">
        <v>3</v>
      </c>
      <c r="C32" s="213" t="str">
        <f t="shared" ref="C32:C42" si="9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9"/>
        <v>0</v>
      </c>
      <c r="D33" s="156" t="s">
        <v>182</v>
      </c>
      <c r="E33" s="156" t="s">
        <v>181</v>
      </c>
      <c r="F33" s="156" t="s">
        <v>183</v>
      </c>
      <c r="G33" s="156" t="s">
        <v>199</v>
      </c>
      <c r="H33" s="62" t="s">
        <v>187</v>
      </c>
      <c r="I33" s="62" t="s">
        <v>188</v>
      </c>
      <c r="J33" s="62" t="s">
        <v>200</v>
      </c>
      <c r="K33" s="156" t="s">
        <v>190</v>
      </c>
      <c r="L33" s="156" t="s">
        <v>191</v>
      </c>
      <c r="M33" s="156" t="s">
        <v>192</v>
      </c>
      <c r="N33" s="156" t="s">
        <v>193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166">
        <f t="shared" ref="D34:D41" si="10">E17</f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11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167">
        <f t="shared" si="10"/>
        <v>15610435</v>
      </c>
      <c r="E35" s="165" t="s">
        <v>176</v>
      </c>
      <c r="F35" s="169">
        <f t="shared" ref="F35:F40" si="12">F18/$D$31</f>
        <v>230933.63819705584</v>
      </c>
      <c r="G35" s="171">
        <f t="shared" ref="G35:G40" si="13">F35*$F$31</f>
        <v>258183807.50430843</v>
      </c>
      <c r="H35" s="177">
        <f t="shared" si="11"/>
        <v>20293565.499999996</v>
      </c>
      <c r="I35" s="169">
        <f t="shared" ref="I35:I40" si="14">J18/$D$31</f>
        <v>300303.17113274895</v>
      </c>
      <c r="J35" s="180">
        <f t="shared" ref="J35:J40" si="15">I35*$F$31</f>
        <v>335738945.32641333</v>
      </c>
      <c r="K35" s="167">
        <f t="shared" ref="K35:K42" si="16">H35-D35</f>
        <v>4683130.4999999963</v>
      </c>
      <c r="L35" s="167">
        <f t="shared" ref="L35:L42" si="17">J35-G35</f>
        <v>77555137.822104901</v>
      </c>
      <c r="M35" s="184">
        <f t="shared" ref="M35:M42" si="18">K35/D35</f>
        <v>0.29999999999999977</v>
      </c>
      <c r="N35" s="185">
        <f t="shared" ref="N35:N42" si="19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167">
        <f t="shared" si="10"/>
        <v>3804716</v>
      </c>
      <c r="E36" s="165" t="s">
        <v>176</v>
      </c>
      <c r="F36" s="169">
        <f t="shared" si="12"/>
        <v>13058.170083390574</v>
      </c>
      <c r="G36" s="171">
        <f t="shared" si="13"/>
        <v>14599034.153230662</v>
      </c>
      <c r="H36" s="177">
        <f t="shared" si="11"/>
        <v>4946130.8</v>
      </c>
      <c r="I36" s="169">
        <f t="shared" si="14"/>
        <v>16975.814766864394</v>
      </c>
      <c r="J36" s="180">
        <f t="shared" si="15"/>
        <v>18978960.909354392</v>
      </c>
      <c r="K36" s="167">
        <f t="shared" si="16"/>
        <v>1141414.7999999998</v>
      </c>
      <c r="L36" s="167">
        <f t="shared" si="17"/>
        <v>4379926.7561237309</v>
      </c>
      <c r="M36" s="184">
        <f t="shared" si="18"/>
        <v>0.29999999999999993</v>
      </c>
      <c r="N36" s="185">
        <f t="shared" si="19"/>
        <v>0.30001483044373073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167">
        <f t="shared" si="10"/>
        <v>4440000</v>
      </c>
      <c r="E37" s="165" t="s">
        <v>176</v>
      </c>
      <c r="F37" s="169">
        <f t="shared" si="12"/>
        <v>2228.0277703496668</v>
      </c>
      <c r="G37" s="171">
        <f t="shared" si="13"/>
        <v>2490935.0472509274</v>
      </c>
      <c r="H37" s="177">
        <f t="shared" si="11"/>
        <v>3108000</v>
      </c>
      <c r="I37" s="169">
        <f t="shared" si="14"/>
        <v>1701.1654528829024</v>
      </c>
      <c r="J37" s="180">
        <f t="shared" si="15"/>
        <v>1901902.9763230849</v>
      </c>
      <c r="K37" s="167">
        <f t="shared" si="16"/>
        <v>-1332000</v>
      </c>
      <c r="L37" s="167">
        <f t="shared" si="17"/>
        <v>-589032.07092784252</v>
      </c>
      <c r="M37" s="184">
        <f t="shared" si="18"/>
        <v>-0.3</v>
      </c>
      <c r="N37" s="185">
        <f t="shared" si="19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167">
        <f t="shared" si="10"/>
        <v>22954000</v>
      </c>
      <c r="E38" s="165" t="s">
        <v>176</v>
      </c>
      <c r="F38" s="169">
        <f t="shared" si="12"/>
        <v>138412.14348311909</v>
      </c>
      <c r="G38" s="171">
        <f t="shared" si="13"/>
        <v>154744776.41412714</v>
      </c>
      <c r="H38" s="177">
        <f t="shared" si="11"/>
        <v>29840200</v>
      </c>
      <c r="I38" s="169">
        <f t="shared" si="14"/>
        <v>172716.05387802981</v>
      </c>
      <c r="J38" s="180">
        <f t="shared" si="15"/>
        <v>193096548.23563734</v>
      </c>
      <c r="K38" s="167">
        <f t="shared" si="16"/>
        <v>6886200</v>
      </c>
      <c r="L38" s="167">
        <f t="shared" si="17"/>
        <v>38351771.821510196</v>
      </c>
      <c r="M38" s="184">
        <f t="shared" si="18"/>
        <v>0.3</v>
      </c>
      <c r="N38" s="185">
        <f t="shared" si="19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167">
        <f t="shared" si="10"/>
        <v>7818984</v>
      </c>
      <c r="E39" s="165" t="s">
        <v>176</v>
      </c>
      <c r="F39" s="169">
        <f t="shared" si="12"/>
        <v>32808.607210343704</v>
      </c>
      <c r="G39" s="171">
        <f t="shared" si="13"/>
        <v>36680022.861164257</v>
      </c>
      <c r="H39" s="177">
        <f t="shared" si="11"/>
        <v>10164679.200000001</v>
      </c>
      <c r="I39" s="169">
        <f t="shared" si="14"/>
        <v>41254.400008006953</v>
      </c>
      <c r="J39" s="180">
        <f t="shared" si="15"/>
        <v>46122419.208951771</v>
      </c>
      <c r="K39" s="167">
        <f t="shared" si="16"/>
        <v>2345695.2000000011</v>
      </c>
      <c r="L39" s="167">
        <f t="shared" si="17"/>
        <v>9442396.3477875143</v>
      </c>
      <c r="M39" s="184">
        <f t="shared" si="18"/>
        <v>0.30000000000000016</v>
      </c>
      <c r="N39" s="185">
        <f t="shared" si="19"/>
        <v>0.25742613039057971</v>
      </c>
    </row>
    <row r="40" spans="1:14" x14ac:dyDescent="0.3">
      <c r="A40" s="55" t="s">
        <v>104</v>
      </c>
      <c r="B40" s="55" t="s">
        <v>174</v>
      </c>
      <c r="C40" s="154">
        <f t="shared" si="9"/>
        <v>1</v>
      </c>
      <c r="D40" s="167">
        <f t="shared" si="10"/>
        <v>3535945</v>
      </c>
      <c r="E40" s="165" t="s">
        <v>176</v>
      </c>
      <c r="F40" s="169">
        <f t="shared" si="12"/>
        <v>7217</v>
      </c>
      <c r="G40" s="171">
        <f t="shared" si="13"/>
        <v>8068606</v>
      </c>
      <c r="H40" s="177">
        <f t="shared" si="11"/>
        <v>4596728.5</v>
      </c>
      <c r="I40" s="169">
        <f t="shared" si="14"/>
        <v>9249.8093926757574</v>
      </c>
      <c r="J40" s="180">
        <f t="shared" si="15"/>
        <v>10341286.901011497</v>
      </c>
      <c r="K40" s="167">
        <f t="shared" si="16"/>
        <v>1060783.5</v>
      </c>
      <c r="L40" s="167">
        <f t="shared" si="17"/>
        <v>2272680.9010114968</v>
      </c>
      <c r="M40" s="184">
        <f t="shared" si="18"/>
        <v>0.3</v>
      </c>
      <c r="N40" s="185">
        <f t="shared" si="19"/>
        <v>0.2816695846855698</v>
      </c>
    </row>
    <row r="41" spans="1:14" x14ac:dyDescent="0.3">
      <c r="A41" s="55" t="s">
        <v>104</v>
      </c>
      <c r="B41" s="55" t="s">
        <v>171</v>
      </c>
      <c r="C41" s="154">
        <f t="shared" si="9"/>
        <v>1</v>
      </c>
      <c r="D41" s="167">
        <f t="shared" si="10"/>
        <v>15700000</v>
      </c>
      <c r="E41" s="187" t="s">
        <v>175</v>
      </c>
      <c r="F41" s="169">
        <f t="shared" ref="F41" si="20">F24</f>
        <v>360832.73711340129</v>
      </c>
      <c r="G41" s="171">
        <f>F41*$I$31</f>
        <v>42000930.599999905</v>
      </c>
      <c r="H41" s="177">
        <f t="shared" si="11"/>
        <v>14117326.325862098</v>
      </c>
      <c r="I41" s="169">
        <f>J24</f>
        <v>330289.58036099002</v>
      </c>
      <c r="J41" s="180">
        <f>I41*$I$31</f>
        <v>38445707.154019237</v>
      </c>
      <c r="K41" s="167">
        <f t="shared" si="16"/>
        <v>-1582673.6741379015</v>
      </c>
      <c r="L41" s="167">
        <f t="shared" si="17"/>
        <v>-3555223.4459806681</v>
      </c>
      <c r="M41" s="184">
        <f t="shared" si="18"/>
        <v>-0.10080724039094914</v>
      </c>
      <c r="N41" s="185">
        <f t="shared" si="19"/>
        <v>-8.4646301765053653E-2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94855579.025862098</v>
      </c>
      <c r="I42" s="77"/>
      <c r="J42" s="181">
        <f>SUM(J34:J41)</f>
        <v>934745127.76291621</v>
      </c>
      <c r="K42" s="76">
        <f t="shared" si="16"/>
        <v>15000000.025862098</v>
      </c>
      <c r="L42" s="200">
        <f t="shared" si="17"/>
        <v>193914952.59025276</v>
      </c>
      <c r="M42" s="79">
        <f t="shared" si="18"/>
        <v>0.18783909920510497</v>
      </c>
      <c r="N42" s="186">
        <f t="shared" si="19"/>
        <v>0.26175358278981747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H43" s="162"/>
      <c r="I43" s="157"/>
      <c r="J43" s="189">
        <f>SUM(J34:J40)*$E$43 + (J41*$D$43)</f>
        <v>325502484.87019539</v>
      </c>
      <c r="K43" s="162"/>
      <c r="L43" s="189">
        <f>SUM(L34:L40)*$E$43 + (L41*$D$43)</f>
        <v>65220039.191489801</v>
      </c>
      <c r="M43" s="201">
        <f>L43/L42</f>
        <v>0.33633321371199987</v>
      </c>
      <c r="N43" s="190">
        <f>N42*(L43/L42)</f>
        <v>8.8036423700329325E-2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H44" s="162"/>
      <c r="I44" s="157"/>
      <c r="J44" s="189">
        <f>SUM(J34:J40)*$E$44 + (J41*$D$44)</f>
        <v>367241799.32831866</v>
      </c>
      <c r="K44" s="162"/>
      <c r="L44" s="189">
        <f>SUM(L34:L40)*$E$44 + (L41*$D$44)</f>
        <v>75377965.868979916</v>
      </c>
      <c r="M44" s="201">
        <f>L44/L42</f>
        <v>0.38871662479919988</v>
      </c>
      <c r="N44" s="190">
        <f>N42*(L44/L42)</f>
        <v>0.10174796923115578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H45" s="162"/>
      <c r="I45" s="157"/>
      <c r="J45" s="189">
        <f>SUM(J34:J40)*$E$45 + (J41*$D$45)</f>
        <v>242000843.56440219</v>
      </c>
      <c r="K45" s="162"/>
      <c r="L45" s="189">
        <f>SUM(L34:L40)*$E$45 + (L41*$D$45)</f>
        <v>53316947.529783018</v>
      </c>
      <c r="M45" s="201">
        <f>L45/L42</f>
        <v>0.27495016148880014</v>
      </c>
      <c r="N45" s="190">
        <f>N42*(L45/L42)</f>
        <v>7.1969189858332325E-2</v>
      </c>
    </row>
    <row r="46" spans="1:14" x14ac:dyDescent="0.3">
      <c r="D46" s="162" t="s">
        <v>175</v>
      </c>
      <c r="E46" s="162" t="s">
        <v>209</v>
      </c>
      <c r="F46" s="162"/>
      <c r="G46" s="162"/>
      <c r="H46" s="162"/>
      <c r="I46" s="162"/>
      <c r="J46" s="162"/>
      <c r="K46" s="162"/>
      <c r="L46" s="162"/>
      <c r="M46" s="162"/>
      <c r="N46" s="162"/>
    </row>
    <row r="47" spans="1:14" ht="27.6" x14ac:dyDescent="0.3">
      <c r="D47" s="160" t="s">
        <v>210</v>
      </c>
      <c r="E47" s="162"/>
      <c r="F47" s="162"/>
      <c r="G47" s="162"/>
      <c r="H47" s="162"/>
      <c r="I47" s="162"/>
      <c r="J47" s="162"/>
      <c r="K47" s="162"/>
      <c r="L47" s="162"/>
      <c r="M47" s="162"/>
      <c r="N47" s="162"/>
    </row>
  </sheetData>
  <mergeCells count="19">
    <mergeCell ref="B4:I4"/>
    <mergeCell ref="K15:N15"/>
    <mergeCell ref="K32:N32"/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C32:C33"/>
    <mergeCell ref="D32:G32"/>
    <mergeCell ref="H32:J32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C1" workbookViewId="0">
      <selection activeCell="M14" sqref="M14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243" t="s">
        <v>105</v>
      </c>
      <c r="I2" s="244"/>
      <c r="J2" s="244"/>
      <c r="K2" s="244"/>
      <c r="L2" s="244"/>
      <c r="M2" s="244"/>
      <c r="N2" s="245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6" t="s">
        <v>136</v>
      </c>
      <c r="I3" s="247"/>
      <c r="J3" s="247"/>
      <c r="K3" s="247"/>
      <c r="L3" s="247"/>
      <c r="M3" s="247"/>
      <c r="N3" s="248"/>
    </row>
    <row r="4" spans="1:14" ht="18.600000000000001" customHeight="1" thickBot="1" x14ac:dyDescent="0.35">
      <c r="A4" s="29" t="s">
        <v>38</v>
      </c>
      <c r="B4" s="249" t="s">
        <v>131</v>
      </c>
      <c r="C4" s="250"/>
      <c r="D4" s="250"/>
      <c r="E4" s="250"/>
      <c r="F4" s="251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52" t="s">
        <v>12</v>
      </c>
      <c r="E7" s="235"/>
      <c r="F7" s="236"/>
      <c r="G7" s="252" t="s">
        <v>143</v>
      </c>
      <c r="H7" s="235"/>
      <c r="I7" s="237"/>
      <c r="J7" s="1" t="s">
        <v>144</v>
      </c>
    </row>
    <row r="8" spans="1:14" ht="27.6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4"/>
      <c r="B9" s="112">
        <f>JJ_Optim_Scenario!G17</f>
        <v>4194049.3</v>
      </c>
      <c r="C9" s="113">
        <f>JJ_Optim_Scenario!H17</f>
        <v>7788948.7000000002</v>
      </c>
      <c r="D9" s="114">
        <f>JJ_Optim_Scenario!I17</f>
        <v>7788948.7000000002</v>
      </c>
      <c r="E9" s="119">
        <f>$B$13*D9+$C$13*D9*D9</f>
        <v>259498.53045724996</v>
      </c>
      <c r="F9" s="85">
        <f>$E$13*D9+$F$13*D9*D9</f>
        <v>2992018.0561720924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232" t="s">
        <v>42</v>
      </c>
      <c r="B11" s="235" t="s">
        <v>138</v>
      </c>
      <c r="C11" s="235"/>
      <c r="D11" s="235" t="s">
        <v>125</v>
      </c>
      <c r="E11" s="235" t="s">
        <v>137</v>
      </c>
      <c r="F11" s="235"/>
      <c r="G11" s="237" t="s">
        <v>134</v>
      </c>
      <c r="I11" s="141"/>
      <c r="J11" s="32"/>
    </row>
    <row r="12" spans="1:14" ht="24.6" customHeight="1" x14ac:dyDescent="0.3">
      <c r="A12" s="233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38"/>
      <c r="H12" s="198" t="s">
        <v>205</v>
      </c>
      <c r="I12" s="198" t="s">
        <v>206</v>
      </c>
      <c r="J12" s="32"/>
    </row>
    <row r="13" spans="1:14" ht="14.4" thickBot="1" x14ac:dyDescent="0.35">
      <c r="A13" s="234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196">
        <f>JJ_Optim_Scenario!D17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39" t="s">
        <v>135</v>
      </c>
      <c r="B14" s="239"/>
      <c r="C14" s="239"/>
      <c r="D14" s="239"/>
      <c r="E14" s="239"/>
      <c r="F14" s="239"/>
      <c r="G14" s="239"/>
      <c r="H14" s="39"/>
      <c r="I14" s="39"/>
      <c r="J14" s="39"/>
    </row>
    <row r="15" spans="1:14" ht="30.6" customHeight="1" x14ac:dyDescent="0.3">
      <c r="A15" s="240"/>
      <c r="B15" s="240"/>
      <c r="C15" s="240"/>
      <c r="D15" s="240"/>
      <c r="E15" s="240"/>
      <c r="F15" s="240"/>
      <c r="G15" s="240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2"/>
      <c r="B19" s="103">
        <v>0</v>
      </c>
      <c r="C19" s="103">
        <v>15000000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1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1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1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1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1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1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1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1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1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1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1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1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1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1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1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1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1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1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1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199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22" workbookViewId="0">
      <selection activeCell="D9" sqref="D9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243" t="s">
        <v>105</v>
      </c>
      <c r="I2" s="244"/>
      <c r="J2" s="244"/>
      <c r="K2" s="244"/>
      <c r="L2" s="244"/>
      <c r="M2" s="244"/>
      <c r="N2" s="245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6" t="s">
        <v>136</v>
      </c>
      <c r="I3" s="247"/>
      <c r="J3" s="247"/>
      <c r="K3" s="247"/>
      <c r="L3" s="247"/>
      <c r="M3" s="247"/>
      <c r="N3" s="248"/>
    </row>
    <row r="4" spans="1:14" ht="18.600000000000001" customHeight="1" thickBot="1" x14ac:dyDescent="0.35">
      <c r="A4" s="29" t="s">
        <v>38</v>
      </c>
      <c r="B4" s="249" t="s">
        <v>131</v>
      </c>
      <c r="C4" s="250"/>
      <c r="D4" s="250"/>
      <c r="E4" s="250"/>
      <c r="F4" s="251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52" t="s">
        <v>12</v>
      </c>
      <c r="E7" s="235"/>
      <c r="F7" s="236"/>
      <c r="G7" s="252" t="s">
        <v>143</v>
      </c>
      <c r="H7" s="235"/>
      <c r="I7" s="237"/>
      <c r="J7" s="1" t="s">
        <v>144</v>
      </c>
    </row>
    <row r="8" spans="1:14" ht="27.6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4"/>
      <c r="B9" s="112">
        <f>JJ_Optim_Scenario!G18</f>
        <v>10927304.5</v>
      </c>
      <c r="C9" s="113">
        <f>JJ_Optim_Scenario!H18</f>
        <v>20293565.5</v>
      </c>
      <c r="D9" s="114">
        <f>JJ_Optim_Scenario!I18</f>
        <v>20293565.499999996</v>
      </c>
      <c r="E9" s="119">
        <f>$B$13*D9+$C$13*D9*D9</f>
        <v>300303.17113274895</v>
      </c>
      <c r="F9" s="85">
        <f>$E$13*D9+$F$13*D9*D9</f>
        <v>3462495.563160595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232" t="s">
        <v>42</v>
      </c>
      <c r="B11" s="235" t="s">
        <v>138</v>
      </c>
      <c r="C11" s="235"/>
      <c r="D11" s="235" t="s">
        <v>125</v>
      </c>
      <c r="E11" s="235" t="s">
        <v>137</v>
      </c>
      <c r="F11" s="235"/>
      <c r="G11" s="237" t="s">
        <v>134</v>
      </c>
      <c r="J11" s="32"/>
    </row>
    <row r="12" spans="1:14" ht="24.6" customHeight="1" x14ac:dyDescent="0.3">
      <c r="A12" s="233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38"/>
      <c r="H12" s="198" t="s">
        <v>205</v>
      </c>
      <c r="I12" s="198" t="s">
        <v>206</v>
      </c>
      <c r="J12" s="32"/>
    </row>
    <row r="13" spans="1:14" ht="14.4" thickBot="1" x14ac:dyDescent="0.35">
      <c r="A13" s="234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196">
        <f>JJ_Optim_Scenario!D18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39" t="s">
        <v>135</v>
      </c>
      <c r="B14" s="239"/>
      <c r="C14" s="239"/>
      <c r="D14" s="239"/>
      <c r="E14" s="239"/>
      <c r="F14" s="239"/>
      <c r="G14" s="239"/>
      <c r="H14" s="39"/>
      <c r="I14" s="39"/>
      <c r="J14" s="39"/>
    </row>
    <row r="15" spans="1:14" ht="30.6" customHeight="1" x14ac:dyDescent="0.3">
      <c r="A15" s="240"/>
      <c r="B15" s="240"/>
      <c r="C15" s="240"/>
      <c r="D15" s="240"/>
      <c r="E15" s="240"/>
      <c r="F15" s="240"/>
      <c r="G15" s="240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2"/>
      <c r="B19" s="103">
        <v>0</v>
      </c>
      <c r="C19" s="103">
        <v>40000000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1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1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1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1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1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1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1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1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1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1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1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1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1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1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1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1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1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1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1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199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43" t="s">
        <v>105</v>
      </c>
      <c r="I2" s="244"/>
      <c r="J2" s="244"/>
      <c r="K2" s="244"/>
      <c r="L2" s="244"/>
      <c r="M2" s="244"/>
      <c r="N2" s="245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6" t="s">
        <v>136</v>
      </c>
      <c r="I3" s="247"/>
      <c r="J3" s="247"/>
      <c r="K3" s="247"/>
      <c r="L3" s="247"/>
      <c r="M3" s="247"/>
      <c r="N3" s="248"/>
    </row>
    <row r="4" spans="1:14" ht="18.600000000000001" customHeight="1" thickBot="1" x14ac:dyDescent="0.35">
      <c r="A4" s="29" t="s">
        <v>38</v>
      </c>
      <c r="B4" s="249" t="s">
        <v>131</v>
      </c>
      <c r="C4" s="250"/>
      <c r="D4" s="250"/>
      <c r="E4" s="250"/>
      <c r="F4" s="251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52" t="s">
        <v>12</v>
      </c>
      <c r="E7" s="235"/>
      <c r="F7" s="236"/>
      <c r="G7" s="252" t="s">
        <v>143</v>
      </c>
      <c r="H7" s="235"/>
      <c r="I7" s="237"/>
      <c r="J7" s="1" t="s">
        <v>144</v>
      </c>
    </row>
    <row r="8" spans="1:14" ht="27.6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4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232" t="s">
        <v>42</v>
      </c>
      <c r="B11" s="235" t="s">
        <v>138</v>
      </c>
      <c r="C11" s="235"/>
      <c r="D11" s="235" t="s">
        <v>125</v>
      </c>
      <c r="E11" s="235" t="s">
        <v>137</v>
      </c>
      <c r="F11" s="235"/>
      <c r="G11" s="237" t="s">
        <v>134</v>
      </c>
      <c r="J11" s="32"/>
    </row>
    <row r="12" spans="1:14" ht="24.6" customHeight="1" x14ac:dyDescent="0.3">
      <c r="A12" s="233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38"/>
      <c r="H12" s="198" t="s">
        <v>205</v>
      </c>
      <c r="I12" s="198" t="s">
        <v>206</v>
      </c>
      <c r="J12" s="32"/>
    </row>
    <row r="13" spans="1:14" ht="14.4" thickBot="1" x14ac:dyDescent="0.35">
      <c r="A13" s="234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39" t="s">
        <v>135</v>
      </c>
      <c r="B14" s="239"/>
      <c r="C14" s="239"/>
      <c r="D14" s="239"/>
      <c r="E14" s="239"/>
      <c r="F14" s="239"/>
      <c r="G14" s="239"/>
      <c r="H14" s="39"/>
      <c r="I14" s="39"/>
      <c r="J14" s="39"/>
    </row>
    <row r="15" spans="1:14" ht="30.6" customHeight="1" x14ac:dyDescent="0.3">
      <c r="A15" s="240"/>
      <c r="B15" s="240"/>
      <c r="C15" s="240"/>
      <c r="D15" s="240"/>
      <c r="E15" s="240"/>
      <c r="F15" s="240"/>
      <c r="G15" s="240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2"/>
      <c r="B19" s="103">
        <v>0</v>
      </c>
      <c r="C19" s="103">
        <v>60000000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1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1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1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1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1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1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1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1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1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1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1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1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1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1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1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1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1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1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1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199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43" t="s">
        <v>105</v>
      </c>
      <c r="I2" s="244"/>
      <c r="J2" s="244"/>
      <c r="K2" s="244"/>
      <c r="L2" s="244"/>
      <c r="M2" s="244"/>
      <c r="N2" s="245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246" t="s">
        <v>136</v>
      </c>
      <c r="I3" s="247"/>
      <c r="J3" s="247"/>
      <c r="K3" s="247"/>
      <c r="L3" s="247"/>
      <c r="M3" s="247"/>
      <c r="N3" s="248"/>
    </row>
    <row r="4" spans="1:14" ht="18.600000000000001" customHeight="1" thickBot="1" x14ac:dyDescent="0.35">
      <c r="A4" s="29" t="s">
        <v>38</v>
      </c>
      <c r="B4" s="249" t="s">
        <v>131</v>
      </c>
      <c r="C4" s="250"/>
      <c r="D4" s="250"/>
      <c r="E4" s="250"/>
      <c r="F4" s="251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52" t="s">
        <v>12</v>
      </c>
      <c r="E7" s="235"/>
      <c r="F7" s="236"/>
      <c r="G7" s="252" t="s">
        <v>143</v>
      </c>
      <c r="H7" s="235"/>
      <c r="I7" s="237"/>
      <c r="J7" s="1" t="s">
        <v>144</v>
      </c>
    </row>
    <row r="8" spans="1:14" ht="27.6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4"/>
      <c r="B9" s="112">
        <f>JJ_Optim_Scenario!E19</f>
        <v>3804716</v>
      </c>
      <c r="C9" s="113">
        <f>JJ_Optim_Scenario!H19</f>
        <v>4946130.8</v>
      </c>
      <c r="D9" s="114">
        <f>JJ_Optim_Scenario!I19</f>
        <v>4946130.8</v>
      </c>
      <c r="E9" s="119">
        <f>$B$13*D9+$C$13*D9*D9</f>
        <v>16975.814766864394</v>
      </c>
      <c r="F9" s="85">
        <f>$E$13*D9+$F$13*D9*D9</f>
        <v>195731.14426194644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232" t="s">
        <v>42</v>
      </c>
      <c r="B11" s="235" t="s">
        <v>138</v>
      </c>
      <c r="C11" s="235"/>
      <c r="D11" s="235" t="s">
        <v>125</v>
      </c>
      <c r="E11" s="235" t="s">
        <v>137</v>
      </c>
      <c r="F11" s="235"/>
      <c r="G11" s="237" t="s">
        <v>134</v>
      </c>
      <c r="J11" s="32"/>
    </row>
    <row r="12" spans="1:14" ht="24.6" customHeight="1" x14ac:dyDescent="0.3">
      <c r="A12" s="233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38"/>
      <c r="H12" s="198" t="s">
        <v>205</v>
      </c>
      <c r="I12" s="198" t="s">
        <v>206</v>
      </c>
      <c r="J12" s="32"/>
    </row>
    <row r="13" spans="1:14" ht="14.4" thickBot="1" x14ac:dyDescent="0.35">
      <c r="A13" s="234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196">
        <f>JJ_Optim_Scenario!D19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39" t="s">
        <v>135</v>
      </c>
      <c r="B14" s="239"/>
      <c r="C14" s="239"/>
      <c r="D14" s="239"/>
      <c r="E14" s="239"/>
      <c r="F14" s="239"/>
      <c r="G14" s="239"/>
      <c r="H14" s="39"/>
      <c r="I14" s="39"/>
      <c r="J14" s="39"/>
    </row>
    <row r="15" spans="1:14" ht="30.6" customHeight="1" x14ac:dyDescent="0.3">
      <c r="A15" s="240"/>
      <c r="B15" s="240"/>
      <c r="C15" s="240"/>
      <c r="D15" s="240"/>
      <c r="E15" s="240"/>
      <c r="F15" s="240"/>
      <c r="G15" s="240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2"/>
      <c r="B19" s="103">
        <v>0</v>
      </c>
      <c r="C19" s="103">
        <v>10000000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1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1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1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1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1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1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1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1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1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1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1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1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1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1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1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1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1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1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1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199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E41" sqref="E4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221" t="s">
        <v>105</v>
      </c>
      <c r="N2" s="222"/>
      <c r="O2" s="222"/>
      <c r="P2" s="222"/>
      <c r="Q2" s="222"/>
      <c r="R2" s="222"/>
      <c r="S2" s="223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224" t="s">
        <v>72</v>
      </c>
      <c r="N3" s="225"/>
      <c r="O3" s="225"/>
      <c r="P3" s="225"/>
      <c r="Q3" s="225"/>
      <c r="R3" s="225"/>
      <c r="S3" s="226"/>
    </row>
    <row r="4" spans="1:25" ht="15" customHeight="1" thickBot="1" x14ac:dyDescent="0.35">
      <c r="A4" s="29" t="s">
        <v>38</v>
      </c>
      <c r="B4" s="249" t="s">
        <v>57</v>
      </c>
      <c r="C4" s="250"/>
      <c r="D4" s="250"/>
      <c r="E4" s="250"/>
      <c r="F4" s="251"/>
    </row>
    <row r="6" spans="1:25" ht="14.4" thickBot="1" x14ac:dyDescent="0.35"/>
    <row r="7" spans="1:25" ht="27.6" customHeight="1" x14ac:dyDescent="0.3">
      <c r="A7" s="232" t="s">
        <v>8</v>
      </c>
      <c r="B7" s="235" t="s">
        <v>9</v>
      </c>
      <c r="C7" s="235"/>
      <c r="D7" s="235" t="s">
        <v>12</v>
      </c>
      <c r="E7" s="235"/>
      <c r="F7" s="235"/>
      <c r="G7" s="235" t="s">
        <v>143</v>
      </c>
      <c r="H7" s="235"/>
      <c r="I7" s="237"/>
      <c r="J7" s="253" t="s">
        <v>144</v>
      </c>
      <c r="K7" s="254"/>
      <c r="M7" s="264" t="s">
        <v>73</v>
      </c>
      <c r="N7" s="264"/>
      <c r="O7" s="264"/>
      <c r="P7" s="264"/>
      <c r="R7" s="47" t="s">
        <v>58</v>
      </c>
    </row>
    <row r="8" spans="1:25" ht="27.6" x14ac:dyDescent="0.3">
      <c r="A8" s="233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264"/>
      <c r="N8" s="264"/>
      <c r="O8" s="264"/>
      <c r="P8" s="264"/>
      <c r="R8" s="47" t="s">
        <v>59</v>
      </c>
    </row>
    <row r="9" spans="1:25" ht="14.4" thickBot="1" x14ac:dyDescent="0.35">
      <c r="A9" s="234"/>
      <c r="B9" s="112">
        <f>JJ_Optim_Scenario!G20</f>
        <v>3108000</v>
      </c>
      <c r="C9" s="112">
        <f>JJ_Optim_Scenario!H20</f>
        <v>5772000</v>
      </c>
      <c r="D9" s="117">
        <f>JJ_Optim_Scenario!I20</f>
        <v>3108000</v>
      </c>
      <c r="E9" s="118">
        <f>csplinePred($B$14:$B$20,$C$14:$C$20,$H$14:$O$20,D9)*$C$12</f>
        <v>1701.1654528829024</v>
      </c>
      <c r="F9" s="118">
        <f>E9*$C$11</f>
        <v>19614.437671739863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232" t="s">
        <v>148</v>
      </c>
      <c r="B11" s="93" t="s">
        <v>149</v>
      </c>
      <c r="C11" s="10">
        <v>11.53</v>
      </c>
      <c r="D11" s="198" t="s">
        <v>205</v>
      </c>
      <c r="E11" s="198" t="s">
        <v>206</v>
      </c>
    </row>
    <row r="12" spans="1:25" ht="38.4" customHeight="1" thickBot="1" x14ac:dyDescent="0.35">
      <c r="A12" s="234"/>
      <c r="B12" s="137" t="s">
        <v>134</v>
      </c>
      <c r="C12" s="196">
        <f>JJ_Optim_Scenario!D20</f>
        <v>1</v>
      </c>
      <c r="D12" s="158">
        <f>JJ_Optim_Scenario!$I$31</f>
        <v>116.39999999999999</v>
      </c>
      <c r="E12" s="158">
        <f>JJ_Optim_Scenario!$F$31</f>
        <v>1118</v>
      </c>
    </row>
    <row r="13" spans="1:25" ht="13.8" customHeight="1" x14ac:dyDescent="0.3">
      <c r="A13" s="232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255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233"/>
      <c r="B14" s="125">
        <v>0</v>
      </c>
      <c r="C14" s="127">
        <v>0</v>
      </c>
      <c r="D14" s="133">
        <f>C14*$C$11</f>
        <v>0</v>
      </c>
      <c r="E14" s="130"/>
      <c r="G14" s="256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233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256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233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256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233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256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233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256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233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256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234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257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258" t="s">
        <v>74</v>
      </c>
      <c r="B21" s="259"/>
      <c r="C21" s="260"/>
      <c r="D21" s="33"/>
      <c r="G21" s="240" t="s">
        <v>75</v>
      </c>
      <c r="H21" s="240"/>
      <c r="I21" s="240"/>
      <c r="J21" s="240"/>
      <c r="K21" s="240"/>
      <c r="L21" s="240"/>
      <c r="M21" s="240"/>
      <c r="N21" s="240"/>
      <c r="O21" s="240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261"/>
      <c r="B22" s="262"/>
      <c r="C22" s="263"/>
      <c r="D22" s="33"/>
      <c r="G22" s="240"/>
      <c r="H22" s="240"/>
      <c r="I22" s="240"/>
      <c r="J22" s="240"/>
      <c r="K22" s="240"/>
      <c r="L22" s="240"/>
      <c r="M22" s="240"/>
      <c r="N22" s="240"/>
      <c r="O22" s="240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241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242"/>
      <c r="B26" s="103">
        <v>0</v>
      </c>
      <c r="C26" s="103">
        <v>20000000</v>
      </c>
      <c r="D26" s="26">
        <v>20</v>
      </c>
    </row>
    <row r="28" spans="1:25" x14ac:dyDescent="0.3">
      <c r="A28" s="210" t="s">
        <v>37</v>
      </c>
      <c r="B28" s="210"/>
      <c r="C28" s="210"/>
    </row>
    <row r="29" spans="1:25" x14ac:dyDescent="0.3">
      <c r="A29" s="91" t="s">
        <v>35</v>
      </c>
      <c r="B29" s="91" t="s">
        <v>127</v>
      </c>
      <c r="C29" s="91" t="s">
        <v>156</v>
      </c>
      <c r="D29" s="198" t="s">
        <v>207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1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1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1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1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1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1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1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1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1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1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1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1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1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1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1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1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1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1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1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1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199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8" t="s">
        <v>111</v>
      </c>
      <c r="C4" s="268"/>
      <c r="D4" s="268"/>
      <c r="E4" s="268"/>
      <c r="F4" s="269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32" t="s">
        <v>8</v>
      </c>
      <c r="B7" s="235" t="s">
        <v>9</v>
      </c>
      <c r="C7" s="236"/>
      <c r="D7" s="270" t="s">
        <v>12</v>
      </c>
      <c r="E7" s="271"/>
      <c r="F7" s="272"/>
      <c r="G7" s="235" t="s">
        <v>143</v>
      </c>
      <c r="H7" s="235"/>
      <c r="I7" s="237"/>
      <c r="J7" s="1" t="s">
        <v>144</v>
      </c>
    </row>
    <row r="8" spans="1:18" ht="28.2" customHeight="1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4"/>
      <c r="B9" s="80">
        <f>JJ_Optim_Scenario!G21</f>
        <v>16067799.999999998</v>
      </c>
      <c r="C9" s="80">
        <f>JJ_Optim_Scenario!H21</f>
        <v>29840200</v>
      </c>
      <c r="D9" s="95">
        <f>JJ_Optim_Scenario!I21</f>
        <v>29840200</v>
      </c>
      <c r="E9" s="118">
        <f>((($R$12/(1+EXP($P$12+$Q$12*D9)))-1) - ($F$12-$C$12))*$I$12</f>
        <v>172716.05387802981</v>
      </c>
      <c r="F9" s="145">
        <f>E9*$G$12</f>
        <v>1991416.1012136836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2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4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197">
        <f>JJ_Optim_Scenario!D21</f>
        <v>1</v>
      </c>
      <c r="K12" s="242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265" t="s">
        <v>119</v>
      </c>
      <c r="B13" s="266"/>
      <c r="C13" s="266"/>
      <c r="D13" s="266"/>
      <c r="E13" s="266"/>
      <c r="F13" s="267"/>
      <c r="G13" s="198" t="s">
        <v>205</v>
      </c>
      <c r="H13" s="198" t="s">
        <v>206</v>
      </c>
      <c r="K13" s="265" t="s">
        <v>120</v>
      </c>
      <c r="L13" s="266"/>
      <c r="M13" s="266"/>
      <c r="N13" s="266"/>
      <c r="O13" s="266"/>
      <c r="P13" s="266"/>
      <c r="Q13" s="266"/>
      <c r="R13" s="267"/>
    </row>
    <row r="14" spans="1:18" ht="33.6" customHeight="1" thickBot="1" x14ac:dyDescent="0.35">
      <c r="A14" s="261"/>
      <c r="B14" s="262"/>
      <c r="C14" s="262"/>
      <c r="D14" s="262"/>
      <c r="E14" s="262"/>
      <c r="F14" s="263"/>
      <c r="G14" s="158">
        <f>JJ_Optim_Scenario!$I$31</f>
        <v>116.39999999999999</v>
      </c>
      <c r="H14" s="158">
        <f>JJ_Optim_Scenario!$F$31</f>
        <v>1118</v>
      </c>
      <c r="K14" s="261"/>
      <c r="L14" s="262"/>
      <c r="M14" s="262"/>
      <c r="N14" s="262"/>
      <c r="O14" s="262"/>
      <c r="P14" s="262"/>
      <c r="Q14" s="262"/>
      <c r="R14" s="263"/>
    </row>
    <row r="16" spans="1:18" ht="14.4" thickBot="1" x14ac:dyDescent="0.35"/>
    <row r="17" spans="1:8" ht="42.6" customHeight="1" x14ac:dyDescent="0.3">
      <c r="A17" s="24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2"/>
      <c r="B18" s="102">
        <v>0</v>
      </c>
      <c r="C18" s="103">
        <v>60000000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1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1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1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1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1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1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1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1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1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1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1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1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1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1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1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1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1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1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1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199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8" t="s">
        <v>111</v>
      </c>
      <c r="C4" s="268"/>
      <c r="D4" s="268"/>
      <c r="E4" s="268"/>
      <c r="F4" s="269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232" t="s">
        <v>8</v>
      </c>
      <c r="B7" s="235" t="s">
        <v>9</v>
      </c>
      <c r="C7" s="236"/>
      <c r="D7" s="270" t="s">
        <v>12</v>
      </c>
      <c r="E7" s="271"/>
      <c r="F7" s="272"/>
      <c r="G7" s="235" t="s">
        <v>143</v>
      </c>
      <c r="H7" s="235"/>
      <c r="I7" s="237"/>
      <c r="J7" s="1" t="s">
        <v>144</v>
      </c>
    </row>
    <row r="8" spans="1:18" ht="28.2" customHeight="1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4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10164679.200000001</v>
      </c>
      <c r="E9" s="118">
        <f>((($R$12/(1+EXP($P$12+$Q$12*D9)))-1) - ($F$12-$C$12))*$I$12</f>
        <v>41254.400008006953</v>
      </c>
      <c r="F9" s="145">
        <f>E9*$G$12</f>
        <v>475663.23209232016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2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4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197">
        <f>JJ_Optim_Scenario!D22</f>
        <v>1</v>
      </c>
      <c r="K12" s="242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265" t="s">
        <v>119</v>
      </c>
      <c r="B13" s="266"/>
      <c r="C13" s="266"/>
      <c r="D13" s="266"/>
      <c r="E13" s="266"/>
      <c r="F13" s="267"/>
      <c r="G13" s="198" t="s">
        <v>205</v>
      </c>
      <c r="H13" s="198" t="s">
        <v>206</v>
      </c>
      <c r="K13" s="265" t="s">
        <v>120</v>
      </c>
      <c r="L13" s="266"/>
      <c r="M13" s="266"/>
      <c r="N13" s="266"/>
      <c r="O13" s="266"/>
      <c r="P13" s="266"/>
      <c r="Q13" s="266"/>
      <c r="R13" s="267"/>
    </row>
    <row r="14" spans="1:18" ht="33.6" customHeight="1" thickBot="1" x14ac:dyDescent="0.35">
      <c r="A14" s="261"/>
      <c r="B14" s="262"/>
      <c r="C14" s="262"/>
      <c r="D14" s="262"/>
      <c r="E14" s="262"/>
      <c r="F14" s="263"/>
      <c r="G14" s="158">
        <f>JJ_Optim_Scenario!$I$31</f>
        <v>116.39999999999999</v>
      </c>
      <c r="H14" s="158">
        <f>JJ_Optim_Scenario!$F$31</f>
        <v>1118</v>
      </c>
      <c r="K14" s="261"/>
      <c r="L14" s="262"/>
      <c r="M14" s="262"/>
      <c r="N14" s="262"/>
      <c r="O14" s="262"/>
      <c r="P14" s="262"/>
      <c r="Q14" s="262"/>
      <c r="R14" s="263"/>
    </row>
    <row r="16" spans="1:18" ht="14.4" thickBot="1" x14ac:dyDescent="0.35"/>
    <row r="17" spans="1:8" ht="42.6" customHeight="1" x14ac:dyDescent="0.3">
      <c r="A17" s="24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2"/>
      <c r="B18" s="102">
        <v>0</v>
      </c>
      <c r="C18" s="103">
        <v>30000000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1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1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1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1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1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1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1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1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1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1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1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1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1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1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1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1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1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1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1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199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B12" sqref="B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8" t="s">
        <v>111</v>
      </c>
      <c r="C4" s="268"/>
      <c r="D4" s="268"/>
      <c r="E4" s="268"/>
      <c r="F4" s="269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32" t="s">
        <v>8</v>
      </c>
      <c r="B7" s="235" t="s">
        <v>9</v>
      </c>
      <c r="C7" s="236"/>
      <c r="D7" s="270" t="s">
        <v>12</v>
      </c>
      <c r="E7" s="271"/>
      <c r="F7" s="272"/>
      <c r="G7" s="235" t="s">
        <v>143</v>
      </c>
      <c r="H7" s="235"/>
      <c r="I7" s="237"/>
      <c r="J7" s="1" t="s">
        <v>144</v>
      </c>
    </row>
    <row r="8" spans="1:18" ht="28.2" customHeight="1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4"/>
      <c r="B9" s="80">
        <f>JJ_Optim_Scenario!G23</f>
        <v>2475161.5</v>
      </c>
      <c r="C9" s="80">
        <f>JJ_Optim_Scenario!H23</f>
        <v>4596728.5</v>
      </c>
      <c r="D9" s="95">
        <f>JJ_Optim_Scenario!I23</f>
        <v>4596728.5</v>
      </c>
      <c r="E9" s="118">
        <f>((($R$12/(1+EXP($P$12+$Q$12*D9)))-1) - ($F$12-$C$12))*$I$12</f>
        <v>9249.8093926757574</v>
      </c>
      <c r="F9" s="145">
        <f>E9*$G$12</f>
        <v>106650.30229755148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83212.009999999995</v>
      </c>
      <c r="J9" s="123">
        <f>G9/I9</f>
        <v>42.493205007306038</v>
      </c>
      <c r="K9" s="1" t="s">
        <v>142</v>
      </c>
    </row>
    <row r="10" spans="1:18" ht="14.4" thickBot="1" x14ac:dyDescent="0.35"/>
    <row r="11" spans="1:18" ht="61.8" customHeight="1" x14ac:dyDescent="0.3">
      <c r="A11" s="2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24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4"/>
      <c r="B12" s="158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v>11.53</v>
      </c>
      <c r="H12" s="98">
        <f>C12*G12</f>
        <v>83212.009999999995</v>
      </c>
      <c r="I12" s="197">
        <f>JJ_Optim_Scenario!D23</f>
        <v>1</v>
      </c>
      <c r="K12" s="242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265" t="s">
        <v>119</v>
      </c>
      <c r="B13" s="266"/>
      <c r="C13" s="266"/>
      <c r="D13" s="266"/>
      <c r="E13" s="266"/>
      <c r="F13" s="267"/>
      <c r="G13" s="198" t="s">
        <v>205</v>
      </c>
      <c r="H13" s="198" t="s">
        <v>206</v>
      </c>
      <c r="K13" s="265" t="s">
        <v>120</v>
      </c>
      <c r="L13" s="266"/>
      <c r="M13" s="266"/>
      <c r="N13" s="266"/>
      <c r="O13" s="266"/>
      <c r="P13" s="266"/>
      <c r="Q13" s="266"/>
      <c r="R13" s="267"/>
    </row>
    <row r="14" spans="1:18" ht="33.6" customHeight="1" thickBot="1" x14ac:dyDescent="0.35">
      <c r="A14" s="261"/>
      <c r="B14" s="262"/>
      <c r="C14" s="262"/>
      <c r="D14" s="262"/>
      <c r="E14" s="262"/>
      <c r="F14" s="263"/>
      <c r="G14" s="158">
        <f>JJ_Optim_Scenario!$I$31</f>
        <v>116.39999999999999</v>
      </c>
      <c r="H14" s="158">
        <f>JJ_Optim_Scenario!$F$31</f>
        <v>1118</v>
      </c>
      <c r="K14" s="261"/>
      <c r="L14" s="262"/>
      <c r="M14" s="262"/>
      <c r="N14" s="262"/>
      <c r="O14" s="262"/>
      <c r="P14" s="262"/>
      <c r="Q14" s="262"/>
      <c r="R14" s="263"/>
    </row>
    <row r="16" spans="1:18" ht="14.4" thickBot="1" x14ac:dyDescent="0.35"/>
    <row r="17" spans="1:8" ht="42.6" customHeight="1" x14ac:dyDescent="0.3">
      <c r="A17" s="24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2"/>
      <c r="B18" s="102">
        <v>0</v>
      </c>
      <c r="C18" s="103">
        <v>20000000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24351.913629447237</v>
      </c>
      <c r="D23" s="1">
        <f>(B23-B22)/A23</f>
        <v>2.1120480164308099E-3</v>
      </c>
      <c r="E23" s="199">
        <f t="shared" ref="E23:E42" si="2">B23*$H$14</f>
        <v>2361269.6823696457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48049.404525877959</v>
      </c>
      <c r="D24" s="1">
        <f t="shared" ref="D24:D42" si="4">(B24-B23)/A24</f>
        <v>1.0276448784228415E-3</v>
      </c>
      <c r="E24" s="199">
        <f t="shared" si="2"/>
        <v>4659083.6305231191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71109.551435840607</v>
      </c>
      <c r="D25" s="1">
        <f t="shared" si="4"/>
        <v>6.6667091384685286E-4</v>
      </c>
      <c r="E25" s="199">
        <f t="shared" si="2"/>
        <v>6895097.8755654637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93549.014763941639</v>
      </c>
      <c r="D26" s="1">
        <f t="shared" si="4"/>
        <v>4.8654517190158369E-4</v>
      </c>
      <c r="E26" s="199">
        <f t="shared" si="2"/>
        <v>9070927.8843093459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115384.04533069761</v>
      </c>
      <c r="D27" s="1">
        <f t="shared" si="4"/>
        <v>3.7875161434095352E-4</v>
      </c>
      <c r="E27" s="199">
        <f t="shared" si="2"/>
        <v>11188149.408475276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136630.49303118809</v>
      </c>
      <c r="D28" s="1">
        <f t="shared" si="4"/>
        <v>3.0711835357748592E-4</v>
      </c>
      <c r="E28" s="199">
        <f t="shared" si="2"/>
        <v>13248299.324273052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157303.81538989223</v>
      </c>
      <c r="D29" s="1">
        <f t="shared" si="4"/>
        <v>2.5614325806844445E-4</v>
      </c>
      <c r="E29" s="199">
        <f t="shared" si="2"/>
        <v>15252876.461916698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177419.08600843383</v>
      </c>
      <c r="D30" s="1">
        <f t="shared" si="4"/>
        <v>2.180753536268603E-4</v>
      </c>
      <c r="E30" s="199">
        <f t="shared" si="2"/>
        <v>17203342.424755335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196991.00290244407</v>
      </c>
      <c r="D31" s="1">
        <f t="shared" si="4"/>
        <v>1.886086238220127E-4</v>
      </c>
      <c r="E31" s="199">
        <f t="shared" si="2"/>
        <v>19101122.397652429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216033.89672464313</v>
      </c>
      <c r="D32" s="1">
        <f t="shared" si="4"/>
        <v>1.6515953011447563E-4</v>
      </c>
      <c r="E32" s="199">
        <f t="shared" si="2"/>
        <v>20947605.944332264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234561.73887168092</v>
      </c>
      <c r="D33" s="1">
        <f t="shared" si="4"/>
        <v>1.460840664435686E-4</v>
      </c>
      <c r="E33" s="199">
        <f t="shared" si="2"/>
        <v>22744147.793455273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252588.14947222514</v>
      </c>
      <c r="D34" s="1">
        <f t="shared" si="4"/>
        <v>1.3028628650292134E-4</v>
      </c>
      <c r="E34" s="199">
        <f t="shared" si="2"/>
        <v>24492068.613178466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270126.40525433049</v>
      </c>
      <c r="D35" s="1">
        <f t="shared" si="4"/>
        <v>1.1700751072189842E-4</v>
      </c>
      <c r="E35" s="199">
        <f t="shared" si="2"/>
        <v>26192655.774010539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287189.44729070493</v>
      </c>
      <c r="D36" s="1">
        <f t="shared" si="4"/>
        <v>1.0570587310354624E-4</v>
      </c>
      <c r="E36" s="199">
        <f t="shared" si="2"/>
        <v>27847164.099827245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303789.88862013241</v>
      </c>
      <c r="D37" s="1">
        <f t="shared" si="4"/>
        <v>9.5984049317302799E-5</v>
      </c>
      <c r="E37" s="199">
        <f t="shared" si="2"/>
        <v>29456816.606878411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319940.02174406504</v>
      </c>
      <c r="D38" s="1">
        <f t="shared" si="4"/>
        <v>8.7544086751586289E-5</v>
      </c>
      <c r="E38" s="199">
        <f t="shared" si="2"/>
        <v>31022805.230690785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335651.82599769661</v>
      </c>
      <c r="D39" s="1">
        <f t="shared" si="4"/>
        <v>8.0158176897258005E-5</v>
      </c>
      <c r="E39" s="199">
        <f t="shared" si="2"/>
        <v>32546291.540800072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350936.9747945409</v>
      </c>
      <c r="D40" s="1">
        <f t="shared" si="4"/>
        <v>7.3649170265222588E-5</v>
      </c>
      <c r="E40" s="199">
        <f t="shared" si="2"/>
        <v>34028407.443217412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365806.84274436446</v>
      </c>
      <c r="D41" s="1">
        <f t="shared" si="4"/>
        <v>6.7877244487257778E-5</v>
      </c>
      <c r="E41" s="199">
        <f t="shared" si="2"/>
        <v>35470255.870615743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380272.51264410821</v>
      </c>
      <c r="D42" s="1">
        <f t="shared" si="4"/>
        <v>6.2730571985011917E-5</v>
      </c>
      <c r="E42" s="199">
        <f t="shared" si="2"/>
        <v>36872911.460200608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6" sqref="E16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268" t="s">
        <v>111</v>
      </c>
      <c r="C4" s="268"/>
      <c r="D4" s="268"/>
      <c r="E4" s="268"/>
      <c r="F4" s="269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232" t="s">
        <v>8</v>
      </c>
      <c r="B7" s="235" t="s">
        <v>9</v>
      </c>
      <c r="C7" s="236"/>
      <c r="D7" s="270" t="s">
        <v>12</v>
      </c>
      <c r="E7" s="271"/>
      <c r="F7" s="272"/>
      <c r="G7" s="235" t="s">
        <v>143</v>
      </c>
      <c r="H7" s="235"/>
      <c r="I7" s="237"/>
      <c r="J7" s="1" t="s">
        <v>144</v>
      </c>
    </row>
    <row r="8" spans="1:18" ht="28.2" customHeight="1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4"/>
      <c r="B9" s="80">
        <f>JJ_Optim_Scenario!G24</f>
        <v>10990000</v>
      </c>
      <c r="C9" s="158">
        <f>JJ_Optim_Scenario!H24</f>
        <v>20410000</v>
      </c>
      <c r="D9" s="158">
        <f>JJ_Optim_Scenario!I24</f>
        <v>14117326.325862098</v>
      </c>
      <c r="E9" s="118">
        <f>((($R$12/(1+EXP($P$12+$Q$12*D9)))-1) - ($F$12-$C$12))*$I$12</f>
        <v>330289.58036099002</v>
      </c>
      <c r="F9" s="145">
        <f>E9*$G$12</f>
        <v>330289.58036099002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2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24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4"/>
      <c r="B12" s="80">
        <v>15700000</v>
      </c>
      <c r="C12" s="86">
        <v>360832.73711340211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360832.73711340211</v>
      </c>
      <c r="I12" s="197">
        <f>JJ_Optim_Scenario!D24</f>
        <v>1</v>
      </c>
      <c r="K12" s="242"/>
      <c r="L12" s="98">
        <f>F12-C12</f>
        <v>14288167.262886599</v>
      </c>
      <c r="M12" s="98">
        <f>L12+E12</f>
        <v>15386842.262886599</v>
      </c>
      <c r="N12" s="99">
        <f>B12</f>
        <v>15700000</v>
      </c>
      <c r="O12" s="98">
        <f>F12</f>
        <v>14649000</v>
      </c>
      <c r="P12" s="24">
        <f>LN((($M$12+1)/($L$12+1))-1)</f>
        <v>-2.5653268922808143</v>
      </c>
      <c r="Q12" s="100">
        <f>(LN((($M$12+1)/($O$12+1))-1)-$P$12)/$N$12</f>
        <v>-2.6947163240976005E-8</v>
      </c>
      <c r="R12" s="101">
        <f>M12+1</f>
        <v>15386843.262886599</v>
      </c>
    </row>
    <row r="13" spans="1:18" ht="34.200000000000003" customHeight="1" x14ac:dyDescent="0.3">
      <c r="A13" s="265" t="s">
        <v>119</v>
      </c>
      <c r="B13" s="266"/>
      <c r="C13" s="266"/>
      <c r="D13" s="266"/>
      <c r="E13" s="266"/>
      <c r="F13" s="267"/>
      <c r="G13" s="198" t="s">
        <v>205</v>
      </c>
      <c r="H13" s="198" t="s">
        <v>206</v>
      </c>
      <c r="K13" s="265" t="s">
        <v>120</v>
      </c>
      <c r="L13" s="266"/>
      <c r="M13" s="266"/>
      <c r="N13" s="266"/>
      <c r="O13" s="266"/>
      <c r="P13" s="266"/>
      <c r="Q13" s="266"/>
      <c r="R13" s="267"/>
    </row>
    <row r="14" spans="1:18" ht="33.6" customHeight="1" thickBot="1" x14ac:dyDescent="0.35">
      <c r="A14" s="261"/>
      <c r="B14" s="262"/>
      <c r="C14" s="262"/>
      <c r="D14" s="262"/>
      <c r="E14" s="262"/>
      <c r="F14" s="263"/>
      <c r="G14" s="158">
        <f>JJ_Optim_Scenario!$I$31</f>
        <v>116.39999999999999</v>
      </c>
      <c r="H14" s="158">
        <f>JJ_Optim_Scenario!$F$31</f>
        <v>1118</v>
      </c>
      <c r="K14" s="261"/>
      <c r="L14" s="262"/>
      <c r="M14" s="262"/>
      <c r="N14" s="262"/>
      <c r="O14" s="262"/>
      <c r="P14" s="262"/>
      <c r="Q14" s="262"/>
      <c r="R14" s="263"/>
    </row>
    <row r="16" spans="1:18" ht="14.4" thickBot="1" x14ac:dyDescent="0.35"/>
    <row r="17" spans="1:8" ht="42.6" customHeight="1" x14ac:dyDescent="0.3">
      <c r="A17" s="24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2"/>
      <c r="B18" s="102">
        <v>0</v>
      </c>
      <c r="C18" s="103">
        <v>50000000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198" t="s">
        <v>208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1.862645149230957E-9</v>
      </c>
      <c r="C22" s="106">
        <f>B22*$G$12</f>
        <v>1.862645149230957E-9</v>
      </c>
      <c r="E22" s="199">
        <f>B22*$G$14</f>
        <v>2.1681189537048338E-7</v>
      </c>
    </row>
    <row r="23" spans="1:8" x14ac:dyDescent="0.3">
      <c r="A23" s="122">
        <f>A22+(($C$18-$B$18)/$D$18)</f>
        <v>2500000</v>
      </c>
      <c r="B23" s="106">
        <f t="shared" si="0"/>
        <v>66777.120228324085</v>
      </c>
      <c r="C23" s="106">
        <f t="shared" ref="C23:C42" si="1">B23*$G$12</f>
        <v>66777.120228324085</v>
      </c>
      <c r="D23" s="1">
        <f>(B23-B22)/A23</f>
        <v>2.6710848091328888E-2</v>
      </c>
      <c r="E23" s="199">
        <f t="shared" ref="E23:E42" si="2">B23*$G$14</f>
        <v>7772856.7945769234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129770.77474719286</v>
      </c>
      <c r="C24" s="106">
        <f t="shared" si="1"/>
        <v>129770.77474719286</v>
      </c>
      <c r="D24" s="1">
        <f t="shared" ref="D24:D42" si="4">(B24-B23)/A24</f>
        <v>1.2598730903773754E-2</v>
      </c>
      <c r="E24" s="199">
        <f t="shared" si="2"/>
        <v>15105318.180573247</v>
      </c>
    </row>
    <row r="25" spans="1:8" x14ac:dyDescent="0.3">
      <c r="A25" s="122">
        <f t="shared" si="3"/>
        <v>7500000</v>
      </c>
      <c r="B25" s="106">
        <f t="shared" si="0"/>
        <v>189162.54184601083</v>
      </c>
      <c r="C25" s="106">
        <f t="shared" si="1"/>
        <v>189162.54184601083</v>
      </c>
      <c r="D25" s="1">
        <f t="shared" si="4"/>
        <v>7.918902279842396E-3</v>
      </c>
      <c r="E25" s="199">
        <f t="shared" si="2"/>
        <v>22018519.87087566</v>
      </c>
    </row>
    <row r="26" spans="1:8" x14ac:dyDescent="0.3">
      <c r="A26" s="122">
        <f t="shared" si="3"/>
        <v>10000000</v>
      </c>
      <c r="B26" s="106">
        <f t="shared" si="0"/>
        <v>245129.24382783286</v>
      </c>
      <c r="C26" s="106">
        <f t="shared" si="1"/>
        <v>245129.24382783286</v>
      </c>
      <c r="D26" s="1">
        <f t="shared" si="4"/>
        <v>5.5966701981822031E-3</v>
      </c>
      <c r="E26" s="199">
        <f t="shared" si="2"/>
        <v>28533043.981559742</v>
      </c>
    </row>
    <row r="27" spans="1:8" x14ac:dyDescent="0.3">
      <c r="A27" s="122">
        <f t="shared" si="3"/>
        <v>12500000</v>
      </c>
      <c r="B27" s="106">
        <f t="shared" si="0"/>
        <v>297842.54778906517</v>
      </c>
      <c r="C27" s="106">
        <f t="shared" si="1"/>
        <v>297842.54778906517</v>
      </c>
      <c r="D27" s="1">
        <f t="shared" si="4"/>
        <v>4.2170643168985842E-3</v>
      </c>
      <c r="E27" s="199">
        <f t="shared" si="2"/>
        <v>34668872.562647186</v>
      </c>
    </row>
    <row r="28" spans="1:8" x14ac:dyDescent="0.3">
      <c r="A28" s="122">
        <f t="shared" si="3"/>
        <v>15000000</v>
      </c>
      <c r="B28" s="106">
        <f t="shared" si="0"/>
        <v>347468.65276842937</v>
      </c>
      <c r="C28" s="106">
        <f t="shared" si="1"/>
        <v>347468.65276842937</v>
      </c>
      <c r="D28" s="1">
        <f t="shared" si="4"/>
        <v>3.3084069986242799E-3</v>
      </c>
      <c r="E28" s="199">
        <f t="shared" si="2"/>
        <v>40445351.182245173</v>
      </c>
    </row>
    <row r="29" spans="1:8" x14ac:dyDescent="0.3">
      <c r="A29" s="122">
        <f t="shared" si="3"/>
        <v>17500000</v>
      </c>
      <c r="B29" s="106">
        <f t="shared" si="0"/>
        <v>394168.05440711975</v>
      </c>
      <c r="C29" s="106">
        <f t="shared" si="1"/>
        <v>394168.05440711975</v>
      </c>
      <c r="D29" s="1">
        <f t="shared" si="4"/>
        <v>2.6685372364965935E-3</v>
      </c>
      <c r="E29" s="199">
        <f t="shared" si="2"/>
        <v>45881161.532988735</v>
      </c>
    </row>
    <row r="30" spans="1:8" x14ac:dyDescent="0.3">
      <c r="A30" s="122">
        <f t="shared" si="3"/>
        <v>20000000</v>
      </c>
      <c r="B30" s="106">
        <f t="shared" si="0"/>
        <v>438095.37863838859</v>
      </c>
      <c r="C30" s="106">
        <f t="shared" si="1"/>
        <v>438095.37863838859</v>
      </c>
      <c r="D30" s="1">
        <f t="shared" si="4"/>
        <v>2.1963662115634421E-3</v>
      </c>
      <c r="E30" s="199">
        <f t="shared" si="2"/>
        <v>50994302.073508427</v>
      </c>
    </row>
    <row r="31" spans="1:8" x14ac:dyDescent="0.3">
      <c r="A31" s="122">
        <f t="shared" si="3"/>
        <v>22500000</v>
      </c>
      <c r="B31" s="106">
        <f t="shared" si="0"/>
        <v>479399.27637467906</v>
      </c>
      <c r="C31" s="106">
        <f t="shared" si="1"/>
        <v>479399.27637467906</v>
      </c>
      <c r="D31" s="1">
        <f t="shared" si="4"/>
        <v>1.8357287882795764E-3</v>
      </c>
      <c r="E31" s="199">
        <f t="shared" si="2"/>
        <v>55802075.770012639</v>
      </c>
    </row>
    <row r="32" spans="1:8" x14ac:dyDescent="0.3">
      <c r="A32" s="122">
        <f t="shared" si="3"/>
        <v>25000000</v>
      </c>
      <c r="B32" s="106">
        <f t="shared" si="0"/>
        <v>518222.37166078761</v>
      </c>
      <c r="C32" s="106">
        <f t="shared" si="1"/>
        <v>518222.37166078761</v>
      </c>
      <c r="D32" s="1">
        <f t="shared" si="4"/>
        <v>1.5529238114443422E-3</v>
      </c>
      <c r="E32" s="199">
        <f t="shared" si="2"/>
        <v>60321084.061315671</v>
      </c>
    </row>
    <row r="33" spans="1:5" x14ac:dyDescent="0.3">
      <c r="A33" s="122">
        <f t="shared" si="3"/>
        <v>27500000</v>
      </c>
      <c r="B33" s="106">
        <f t="shared" si="0"/>
        <v>554701.25629257597</v>
      </c>
      <c r="C33" s="106">
        <f t="shared" si="1"/>
        <v>554701.25629257597</v>
      </c>
      <c r="D33" s="1">
        <f t="shared" si="4"/>
        <v>1.3265048957013948E-3</v>
      </c>
      <c r="E33" s="199">
        <f t="shared" si="2"/>
        <v>64567226.232455835</v>
      </c>
    </row>
    <row r="34" spans="1:5" x14ac:dyDescent="0.3">
      <c r="A34" s="122">
        <f>A33+(($C$18-$B$18)/$D$18)</f>
        <v>30000000</v>
      </c>
      <c r="B34" s="106">
        <f t="shared" si="0"/>
        <v>588966.52444665693</v>
      </c>
      <c r="C34" s="106">
        <f t="shared" si="1"/>
        <v>588966.52444665693</v>
      </c>
      <c r="D34" s="1">
        <f t="shared" si="4"/>
        <v>1.1421756051360318E-3</v>
      </c>
      <c r="E34" s="199">
        <f t="shared" si="2"/>
        <v>68555703.445590869</v>
      </c>
    </row>
    <row r="35" spans="1:5" x14ac:dyDescent="0.3">
      <c r="A35" s="122">
        <f t="shared" si="3"/>
        <v>32500000</v>
      </c>
      <c r="B35" s="106">
        <f t="shared" si="0"/>
        <v>621142.84141393006</v>
      </c>
      <c r="C35" s="106">
        <f t="shared" si="1"/>
        <v>621142.84141393006</v>
      </c>
      <c r="D35" s="1">
        <f t="shared" si="4"/>
        <v>9.9004052206994259E-4</v>
      </c>
      <c r="E35" s="199">
        <f t="shared" si="2"/>
        <v>72301026.740581453</v>
      </c>
    </row>
    <row r="36" spans="1:5" x14ac:dyDescent="0.3">
      <c r="A36" s="122">
        <f t="shared" si="3"/>
        <v>35000000</v>
      </c>
      <c r="B36" s="106">
        <f t="shared" si="0"/>
        <v>651349.04106848314</v>
      </c>
      <c r="C36" s="106">
        <f t="shared" si="1"/>
        <v>651349.04106848314</v>
      </c>
      <c r="D36" s="1">
        <f t="shared" si="4"/>
        <v>8.6303427584437386E-4</v>
      </c>
      <c r="E36" s="199">
        <f t="shared" si="2"/>
        <v>75817028.380371436</v>
      </c>
    </row>
    <row r="37" spans="1:5" x14ac:dyDescent="0.3">
      <c r="A37" s="122">
        <f t="shared" si="3"/>
        <v>37500000</v>
      </c>
      <c r="B37" s="106">
        <f t="shared" si="0"/>
        <v>679698.24722526968</v>
      </c>
      <c r="C37" s="106">
        <f t="shared" si="1"/>
        <v>679698.24722526968</v>
      </c>
      <c r="D37" s="1">
        <f t="shared" si="4"/>
        <v>7.5597883084764083E-4</v>
      </c>
      <c r="E37" s="199">
        <f t="shared" si="2"/>
        <v>79116875.977021381</v>
      </c>
    </row>
    <row r="38" spans="1:5" x14ac:dyDescent="0.3">
      <c r="A38" s="122">
        <f t="shared" si="3"/>
        <v>40000000</v>
      </c>
      <c r="B38" s="106">
        <f t="shared" si="0"/>
        <v>706298.01453892514</v>
      </c>
      <c r="C38" s="106">
        <f t="shared" si="1"/>
        <v>706298.01453892514</v>
      </c>
      <c r="D38" s="1">
        <f t="shared" si="4"/>
        <v>6.6499418284138669E-4</v>
      </c>
      <c r="E38" s="199">
        <f t="shared" si="2"/>
        <v>82213088.892330885</v>
      </c>
    </row>
    <row r="39" spans="1:5" x14ac:dyDescent="0.3">
      <c r="A39" s="122">
        <f t="shared" si="3"/>
        <v>42500000</v>
      </c>
      <c r="B39" s="106">
        <f t="shared" si="0"/>
        <v>731250.48506828956</v>
      </c>
      <c r="C39" s="106">
        <f t="shared" si="1"/>
        <v>731250.48506828956</v>
      </c>
      <c r="D39" s="1">
        <f t="shared" si="4"/>
        <v>5.87116953632104E-4</v>
      </c>
      <c r="E39" s="199">
        <f t="shared" si="2"/>
        <v>85117556.461948901</v>
      </c>
    </row>
    <row r="40" spans="1:5" x14ac:dyDescent="0.3">
      <c r="A40" s="122">
        <f t="shared" si="3"/>
        <v>45000000</v>
      </c>
      <c r="B40" s="106">
        <f t="shared" si="0"/>
        <v>754652.55707320757</v>
      </c>
      <c r="C40" s="106">
        <f t="shared" si="1"/>
        <v>754652.55707320757</v>
      </c>
      <c r="D40" s="1">
        <f t="shared" si="4"/>
        <v>5.2004604455373356E-4</v>
      </c>
      <c r="E40" s="199">
        <f t="shared" si="2"/>
        <v>87841557.64332135</v>
      </c>
    </row>
    <row r="41" spans="1:5" x14ac:dyDescent="0.3">
      <c r="A41" s="122">
        <f>A40+(($C$18-$B$18)/$D$18)</f>
        <v>47500000</v>
      </c>
      <c r="B41" s="106">
        <f t="shared" si="0"/>
        <v>776596.06302100234</v>
      </c>
      <c r="C41" s="106">
        <f t="shared" si="1"/>
        <v>776596.06302100234</v>
      </c>
      <c r="D41" s="1">
        <f t="shared" si="4"/>
        <v>4.619685462693635E-4</v>
      </c>
      <c r="E41" s="199">
        <f t="shared" si="2"/>
        <v>90395781.735644668</v>
      </c>
    </row>
    <row r="42" spans="1:5" x14ac:dyDescent="0.3">
      <c r="A42" s="122">
        <f t="shared" si="3"/>
        <v>50000000</v>
      </c>
      <c r="B42" s="106">
        <f t="shared" si="0"/>
        <v>797167.95415875129</v>
      </c>
      <c r="C42" s="106">
        <f t="shared" si="1"/>
        <v>797167.95415875129</v>
      </c>
      <c r="D42" s="1">
        <f t="shared" si="4"/>
        <v>4.1143782275497912E-4</v>
      </c>
      <c r="E42" s="199">
        <f t="shared" si="2"/>
        <v>92790349.864078641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2" ht="14.4" thickBot="1" x14ac:dyDescent="0.35">
      <c r="A4" s="29" t="s">
        <v>38</v>
      </c>
      <c r="B4" s="273" t="s">
        <v>39</v>
      </c>
      <c r="C4" s="273"/>
      <c r="D4" s="274"/>
    </row>
    <row r="6" spans="1:12" ht="14.4" thickBot="1" x14ac:dyDescent="0.35"/>
    <row r="7" spans="1:12" ht="27.6" customHeight="1" x14ac:dyDescent="0.3">
      <c r="A7" s="232" t="s">
        <v>8</v>
      </c>
      <c r="B7" s="235" t="s">
        <v>9</v>
      </c>
      <c r="C7" s="236"/>
      <c r="D7" s="270" t="s">
        <v>12</v>
      </c>
      <c r="E7" s="272"/>
      <c r="F7" s="271" t="s">
        <v>24</v>
      </c>
      <c r="G7" s="281"/>
    </row>
    <row r="8" spans="1:12" ht="27.6" x14ac:dyDescent="0.3">
      <c r="A8" s="2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34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23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232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234"/>
      <c r="B12" s="12">
        <v>20</v>
      </c>
      <c r="C12" s="12">
        <v>30</v>
      </c>
      <c r="D12" s="12">
        <v>0</v>
      </c>
      <c r="E12" s="14">
        <v>70</v>
      </c>
      <c r="G12" s="234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265" t="s">
        <v>30</v>
      </c>
      <c r="B13" s="266"/>
      <c r="C13" s="266"/>
      <c r="D13" s="266"/>
      <c r="E13" s="267"/>
      <c r="G13" s="275" t="s">
        <v>29</v>
      </c>
      <c r="H13" s="276"/>
      <c r="I13" s="276"/>
      <c r="J13" s="277"/>
    </row>
    <row r="14" spans="1:12" ht="33.6" customHeight="1" x14ac:dyDescent="0.3">
      <c r="A14" s="261"/>
      <c r="B14" s="262"/>
      <c r="C14" s="262"/>
      <c r="D14" s="262"/>
      <c r="E14" s="263"/>
      <c r="G14" s="278"/>
      <c r="H14" s="279"/>
      <c r="I14" s="279"/>
      <c r="J14" s="280"/>
    </row>
    <row r="16" spans="1:12" ht="14.4" thickBot="1" x14ac:dyDescent="0.35"/>
    <row r="17" spans="1:4" ht="16.8" customHeight="1" x14ac:dyDescent="0.3">
      <c r="A17" s="241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242"/>
      <c r="B18" s="12">
        <v>0</v>
      </c>
      <c r="C18" s="12">
        <v>100</v>
      </c>
      <c r="D18" s="26">
        <v>20</v>
      </c>
    </row>
    <row r="20" spans="1:4" x14ac:dyDescent="0.3">
      <c r="A20" s="210" t="s">
        <v>37</v>
      </c>
      <c r="B20" s="210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2" ht="31.8" customHeight="1" thickBot="1" x14ac:dyDescent="0.35">
      <c r="A4" s="29" t="s">
        <v>38</v>
      </c>
      <c r="B4" s="285" t="s">
        <v>41</v>
      </c>
      <c r="C4" s="286"/>
      <c r="D4" s="287"/>
    </row>
    <row r="6" spans="1:12" ht="14.4" thickBot="1" x14ac:dyDescent="0.35"/>
    <row r="7" spans="1:12" ht="27.6" customHeight="1" x14ac:dyDescent="0.3">
      <c r="A7" s="232" t="s">
        <v>8</v>
      </c>
      <c r="B7" s="235" t="s">
        <v>9</v>
      </c>
      <c r="C7" s="236"/>
      <c r="D7" s="270" t="s">
        <v>12</v>
      </c>
      <c r="E7" s="272"/>
      <c r="F7" s="271" t="s">
        <v>24</v>
      </c>
      <c r="G7" s="281"/>
      <c r="H7" s="1" t="s">
        <v>54</v>
      </c>
    </row>
    <row r="8" spans="1:12" ht="27.6" x14ac:dyDescent="0.3">
      <c r="A8" s="2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34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232" t="s">
        <v>42</v>
      </c>
      <c r="B11" s="229" t="s">
        <v>47</v>
      </c>
      <c r="C11" s="282" t="s">
        <v>46</v>
      </c>
      <c r="D11" s="271"/>
      <c r="E11" s="271"/>
      <c r="F11" s="3" t="s">
        <v>48</v>
      </c>
      <c r="G11" s="33"/>
      <c r="H11" s="32"/>
      <c r="I11" s="32"/>
      <c r="J11" s="32"/>
    </row>
    <row r="12" spans="1:12" x14ac:dyDescent="0.3">
      <c r="A12" s="283"/>
      <c r="B12" s="21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28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240" t="s">
        <v>52</v>
      </c>
      <c r="B14" s="240"/>
      <c r="C14" s="240"/>
      <c r="D14" s="240"/>
      <c r="E14" s="240"/>
      <c r="F14" s="240"/>
      <c r="G14" s="38"/>
      <c r="H14" s="39"/>
      <c r="I14" s="39"/>
      <c r="J14" s="39"/>
    </row>
    <row r="15" spans="1:12" ht="30.6" customHeight="1" x14ac:dyDescent="0.3">
      <c r="A15" s="240"/>
      <c r="B15" s="240"/>
      <c r="C15" s="240"/>
      <c r="D15" s="240"/>
      <c r="E15" s="240"/>
      <c r="F15" s="240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242"/>
      <c r="B19" s="12">
        <v>0</v>
      </c>
      <c r="C19" s="12">
        <v>20000000</v>
      </c>
      <c r="D19" s="26">
        <v>20</v>
      </c>
    </row>
    <row r="21" spans="1:4" x14ac:dyDescent="0.3">
      <c r="A21" s="210" t="s">
        <v>37</v>
      </c>
      <c r="B21" s="210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4" ht="14.4" thickBot="1" x14ac:dyDescent="0.35">
      <c r="A4" s="29" t="s">
        <v>38</v>
      </c>
      <c r="B4" s="273" t="s">
        <v>57</v>
      </c>
      <c r="C4" s="273"/>
      <c r="D4" s="274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70" t="s">
        <v>12</v>
      </c>
      <c r="E7" s="272"/>
      <c r="F7" s="271" t="s">
        <v>24</v>
      </c>
      <c r="G7" s="281"/>
      <c r="I7" s="264" t="s">
        <v>73</v>
      </c>
      <c r="J7" s="264"/>
      <c r="K7" s="264"/>
      <c r="L7" s="264"/>
      <c r="N7" s="47" t="s">
        <v>58</v>
      </c>
    </row>
    <row r="8" spans="1:14" ht="27.6" x14ac:dyDescent="0.3">
      <c r="A8" s="2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264"/>
      <c r="J8" s="264"/>
      <c r="K8" s="264"/>
      <c r="L8" s="264"/>
      <c r="N8" s="47" t="s">
        <v>59</v>
      </c>
    </row>
    <row r="9" spans="1:14" ht="14.4" thickBot="1" x14ac:dyDescent="0.35">
      <c r="A9" s="234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210" t="s">
        <v>60</v>
      </c>
      <c r="B11" s="3" t="s">
        <v>61</v>
      </c>
      <c r="C11" s="3" t="s">
        <v>62</v>
      </c>
      <c r="D11" s="32"/>
      <c r="E11" s="255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210"/>
      <c r="B12" s="41">
        <v>0</v>
      </c>
      <c r="C12" s="41">
        <v>0</v>
      </c>
      <c r="D12" s="32"/>
      <c r="E12" s="256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210"/>
      <c r="B13" s="41">
        <v>1</v>
      </c>
      <c r="C13" s="41">
        <v>0.75</v>
      </c>
      <c r="D13" s="32"/>
      <c r="E13" s="256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210"/>
      <c r="B14" s="41">
        <v>2</v>
      </c>
      <c r="C14" s="41">
        <v>0</v>
      </c>
      <c r="D14" s="32"/>
      <c r="E14" s="256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210"/>
      <c r="B15" s="41">
        <v>3</v>
      </c>
      <c r="C15" s="41">
        <v>-1</v>
      </c>
      <c r="D15" s="32"/>
      <c r="E15" s="256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210"/>
      <c r="B16" s="41">
        <v>4</v>
      </c>
      <c r="C16" s="41">
        <v>3</v>
      </c>
      <c r="D16" s="32"/>
      <c r="E16" s="256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210"/>
      <c r="B17" s="42">
        <v>5</v>
      </c>
      <c r="C17" s="42">
        <v>3</v>
      </c>
      <c r="D17" s="40"/>
      <c r="E17" s="256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288" t="s">
        <v>74</v>
      </c>
      <c r="B18" s="289"/>
      <c r="C18" s="290"/>
      <c r="D18" s="33"/>
      <c r="E18" s="240" t="s">
        <v>75</v>
      </c>
      <c r="F18" s="240"/>
      <c r="G18" s="240"/>
      <c r="H18" s="240"/>
      <c r="I18" s="240"/>
      <c r="J18" s="240"/>
      <c r="K18" s="240"/>
      <c r="L18" s="240"/>
      <c r="M18" s="240"/>
    </row>
    <row r="19" spans="1:13" ht="35.4" customHeight="1" x14ac:dyDescent="0.3">
      <c r="A19" s="261"/>
      <c r="B19" s="262"/>
      <c r="C19" s="263"/>
      <c r="D19" s="33"/>
      <c r="E19" s="240"/>
      <c r="F19" s="240"/>
      <c r="G19" s="240"/>
      <c r="H19" s="240"/>
      <c r="I19" s="240"/>
      <c r="J19" s="240"/>
      <c r="K19" s="240"/>
      <c r="L19" s="240"/>
      <c r="M19" s="240"/>
    </row>
    <row r="21" spans="1:13" ht="14.4" thickBot="1" x14ac:dyDescent="0.35"/>
    <row r="22" spans="1:13" ht="16.8" customHeight="1" x14ac:dyDescent="0.3">
      <c r="A22" s="241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242"/>
      <c r="B23" s="12">
        <v>0</v>
      </c>
      <c r="C23" s="12">
        <v>5</v>
      </c>
      <c r="D23" s="26">
        <v>20</v>
      </c>
    </row>
    <row r="25" spans="1:13" x14ac:dyDescent="0.3">
      <c r="A25" s="210" t="s">
        <v>37</v>
      </c>
      <c r="B25" s="210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291" t="s">
        <v>111</v>
      </c>
      <c r="C4" s="291"/>
      <c r="D4" s="291"/>
      <c r="E4" s="291"/>
      <c r="F4" s="292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232" t="s">
        <v>8</v>
      </c>
      <c r="B7" s="235" t="s">
        <v>9</v>
      </c>
      <c r="C7" s="236"/>
      <c r="D7" s="270" t="s">
        <v>12</v>
      </c>
      <c r="E7" s="272"/>
      <c r="F7" s="271" t="s">
        <v>24</v>
      </c>
      <c r="G7" s="281"/>
    </row>
    <row r="8" spans="1:15" ht="27.6" x14ac:dyDescent="0.3">
      <c r="A8" s="233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234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232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241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234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242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265" t="s">
        <v>119</v>
      </c>
      <c r="B13" s="266"/>
      <c r="C13" s="266"/>
      <c r="D13" s="266"/>
      <c r="E13" s="266"/>
      <c r="F13" s="267"/>
      <c r="H13" s="265" t="s">
        <v>120</v>
      </c>
      <c r="I13" s="266"/>
      <c r="J13" s="266"/>
      <c r="K13" s="266"/>
      <c r="L13" s="266"/>
      <c r="M13" s="266"/>
      <c r="N13" s="266"/>
      <c r="O13" s="267"/>
    </row>
    <row r="14" spans="1:15" ht="33.6" customHeight="1" x14ac:dyDescent="0.3">
      <c r="A14" s="261"/>
      <c r="B14" s="262"/>
      <c r="C14" s="262"/>
      <c r="D14" s="262"/>
      <c r="E14" s="262"/>
      <c r="F14" s="263"/>
      <c r="H14" s="261"/>
      <c r="I14" s="262"/>
      <c r="J14" s="262"/>
      <c r="K14" s="262"/>
      <c r="L14" s="262"/>
      <c r="M14" s="262"/>
      <c r="N14" s="262"/>
      <c r="O14" s="263"/>
    </row>
    <row r="16" spans="1:15" ht="14.4" thickBot="1" x14ac:dyDescent="0.35"/>
    <row r="17" spans="1:4" ht="16.8" customHeight="1" x14ac:dyDescent="0.3">
      <c r="A17" s="241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242"/>
      <c r="B18" s="102">
        <v>0</v>
      </c>
      <c r="C18" s="103">
        <v>200000000</v>
      </c>
      <c r="D18" s="26">
        <v>20</v>
      </c>
    </row>
    <row r="20" spans="1:4" x14ac:dyDescent="0.3">
      <c r="A20" s="210" t="s">
        <v>37</v>
      </c>
      <c r="B20" s="210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Charts - Idvl</vt:lpstr>
      <vt:lpstr>Charts - Idvl IRev</vt:lpstr>
      <vt:lpstr>Chart - Combined</vt:lpstr>
      <vt:lpstr>Case Notes</vt:lpstr>
      <vt:lpstr>STD30 (-15)</vt:lpstr>
      <vt:lpstr>STD30 (-10)</vt:lpstr>
      <vt:lpstr>STD30 (-5)</vt:lpstr>
      <vt:lpstr>STD30 (+0)</vt:lpstr>
      <vt:lpstr>STD30 (+5)</vt:lpstr>
      <vt:lpstr>STD30 (+10)</vt:lpstr>
      <vt:lpstr>STD30 (+15)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2013-05-11T22:44:53Z</dcterms:modified>
</cp:coreProperties>
</file>