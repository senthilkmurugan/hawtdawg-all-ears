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819" firstSheet="2" activeTab="11"/>
  </bookViews>
  <sheets>
    <sheet name="Info" sheetId="1" r:id="rId1"/>
    <sheet name="Optimization_Scenario" sheetId="6" r:id="rId2"/>
    <sheet name="Detail" sheetId="7" r:id="rId3"/>
    <sheet name="Sample" sheetId="8" r:id="rId4"/>
    <sheet name="Vch" sheetId="9" r:id="rId5"/>
    <sheet name="MMF" sheetId="10" r:id="rId6"/>
    <sheet name="DTC" sheetId="11" r:id="rId7"/>
    <sheet name="MCM" sheetId="12" r:id="rId8"/>
    <sheet name="FT_SCurveEst" sheetId="2" r:id="rId9"/>
    <sheet name="FT_Equation" sheetId="4" r:id="rId10"/>
    <sheet name="FT_Interpolate" sheetId="5" r:id="rId11"/>
    <sheet name="FT_SCurve3Est" sheetId="13" r:id="rId12"/>
    <sheet name="Sheet3" sheetId="3" r:id="rId13"/>
  </sheets>
  <functionGroups builtInGroupCount="17"/>
  <externalReferences>
    <externalReference r:id="rId14"/>
  </externalReferences>
  <definedNames>
    <definedName name="solver_adj" localSheetId="1" hidden="1">Optimization_Scenario!$H$17:$H$22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Optimization_Scenario!$H$17:$H$22</definedName>
    <definedName name="solver_lhs2" localSheetId="1" hidden="1">Optimization_Scenario!$H$17:$H$22</definedName>
    <definedName name="solver_lhs3" localSheetId="1" hidden="1">Optimization_Scenario!$H$23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Optimization_Scenario!$B$9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2</definedName>
    <definedName name="solver_rhs1" localSheetId="1" hidden="1">Optimization_Scenario!$G$17:$G$22</definedName>
    <definedName name="solver_rhs2" localSheetId="1" hidden="1">Optimization_Scenario!$F$17:$F$22</definedName>
    <definedName name="solver_rhs3" localSheetId="1" hidden="1">Optimization_Scenario!$B$12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A23" i="13" l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N12" i="13" l="1"/>
  <c r="O12" i="13"/>
  <c r="C12" i="12"/>
  <c r="B12" i="12"/>
  <c r="G9" i="12"/>
  <c r="F9" i="12"/>
  <c r="D9" i="12"/>
  <c r="C9" i="12"/>
  <c r="B9" i="12"/>
  <c r="A23" i="12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22" i="12"/>
  <c r="J12" i="12"/>
  <c r="H12" i="12"/>
  <c r="C12" i="11"/>
  <c r="B12" i="11"/>
  <c r="D9" i="11"/>
  <c r="G9" i="11"/>
  <c r="F9" i="11"/>
  <c r="C9" i="11"/>
  <c r="B9" i="11"/>
  <c r="A22" i="1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J12" i="11"/>
  <c r="H12" i="11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3" i="10"/>
  <c r="G9" i="10"/>
  <c r="F9" i="10"/>
  <c r="D9" i="10"/>
  <c r="E9" i="10" s="1"/>
  <c r="I22" i="6" s="1"/>
  <c r="C9" i="10"/>
  <c r="B9" i="10"/>
  <c r="A23" i="10"/>
  <c r="D9" i="7"/>
  <c r="D9" i="8"/>
  <c r="D9" i="9"/>
  <c r="E9" i="9" s="1"/>
  <c r="I19" i="6" s="1"/>
  <c r="G9" i="9"/>
  <c r="F9" i="9"/>
  <c r="C9" i="9"/>
  <c r="B9" i="9"/>
  <c r="A24" i="9"/>
  <c r="A23" i="9"/>
  <c r="G9" i="8"/>
  <c r="F9" i="8"/>
  <c r="C9" i="8"/>
  <c r="B9" i="8"/>
  <c r="A25" i="8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G9" i="7"/>
  <c r="F9" i="7"/>
  <c r="C9" i="7"/>
  <c r="B9" i="7"/>
  <c r="A25" i="7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H23" i="6"/>
  <c r="G22" i="6"/>
  <c r="F22" i="6"/>
  <c r="G21" i="6"/>
  <c r="F21" i="6"/>
  <c r="G20" i="6"/>
  <c r="F20" i="6"/>
  <c r="G19" i="6"/>
  <c r="F19" i="6"/>
  <c r="G18" i="6"/>
  <c r="F18" i="6"/>
  <c r="G17" i="6"/>
  <c r="G23" i="6" s="1"/>
  <c r="F17" i="6"/>
  <c r="F23" i="6" s="1"/>
  <c r="E23" i="6"/>
  <c r="D23" i="6"/>
  <c r="F12" i="7" a="1"/>
  <c r="F12" i="8" a="1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I12" i="12"/>
  <c r="B23" i="12" s="1"/>
  <c r="I12" i="11"/>
  <c r="B42" i="11" s="1"/>
  <c r="A24" i="10"/>
  <c r="B24" i="10" s="1"/>
  <c r="A25" i="9"/>
  <c r="J15" i="8"/>
  <c r="F15" i="8"/>
  <c r="J14" i="8"/>
  <c r="F14" i="8"/>
  <c r="J13" i="8"/>
  <c r="F13" i="8"/>
  <c r="J12" i="8"/>
  <c r="F12" i="8"/>
  <c r="M15" i="8"/>
  <c r="M14" i="8"/>
  <c r="I14" i="8"/>
  <c r="M13" i="8"/>
  <c r="M12" i="8"/>
  <c r="I12" i="8"/>
  <c r="G12" i="8"/>
  <c r="I15" i="8"/>
  <c r="I13" i="8"/>
  <c r="G14" i="8"/>
  <c r="K12" i="8"/>
  <c r="L15" i="8"/>
  <c r="H15" i="8"/>
  <c r="L14" i="8"/>
  <c r="H14" i="8"/>
  <c r="L13" i="8"/>
  <c r="H13" i="8"/>
  <c r="L12" i="8"/>
  <c r="H12" i="8"/>
  <c r="K15" i="8"/>
  <c r="G15" i="8"/>
  <c r="K14" i="8"/>
  <c r="K13" i="8"/>
  <c r="G13" i="8"/>
  <c r="F12" i="7"/>
  <c r="J12" i="7"/>
  <c r="F13" i="7"/>
  <c r="J13" i="7"/>
  <c r="F14" i="7"/>
  <c r="J14" i="7"/>
  <c r="F15" i="7"/>
  <c r="J15" i="7"/>
  <c r="G12" i="7"/>
  <c r="K12" i="7"/>
  <c r="G13" i="7"/>
  <c r="K13" i="7"/>
  <c r="G14" i="7"/>
  <c r="K14" i="7"/>
  <c r="G15" i="7"/>
  <c r="K15" i="7"/>
  <c r="H12" i="7"/>
  <c r="L12" i="7"/>
  <c r="H13" i="7"/>
  <c r="L13" i="7"/>
  <c r="H14" i="7"/>
  <c r="L14" i="7"/>
  <c r="H15" i="7"/>
  <c r="L15" i="7"/>
  <c r="I12" i="7"/>
  <c r="M12" i="7"/>
  <c r="I13" i="7"/>
  <c r="M13" i="7"/>
  <c r="I14" i="7"/>
  <c r="M14" i="7"/>
  <c r="I15" i="7"/>
  <c r="M15" i="7"/>
  <c r="K19" i="6"/>
  <c r="M19" i="6" s="1"/>
  <c r="K22" i="6"/>
  <c r="M22" i="6" s="1"/>
  <c r="J22" i="6"/>
  <c r="L22" i="6" s="1"/>
  <c r="J21" i="6"/>
  <c r="L21" i="6" s="1"/>
  <c r="J20" i="6"/>
  <c r="L20" i="6" s="1"/>
  <c r="J19" i="6"/>
  <c r="L19" i="6" s="1"/>
  <c r="J18" i="6"/>
  <c r="L18" i="6" s="1"/>
  <c r="J17" i="6"/>
  <c r="B39" i="8"/>
  <c r="B27" i="8"/>
  <c r="B30" i="8"/>
  <c r="B35" i="8"/>
  <c r="B29" i="8"/>
  <c r="B25" i="7"/>
  <c r="B31" i="8"/>
  <c r="B28" i="8"/>
  <c r="B37" i="8"/>
  <c r="B33" i="8"/>
  <c r="B45" i="8"/>
  <c r="B32" i="8"/>
  <c r="B44" i="8"/>
  <c r="B26" i="8"/>
  <c r="E9" i="8"/>
  <c r="B36" i="8"/>
  <c r="B25" i="8"/>
  <c r="E9" i="7"/>
  <c r="B41" i="8"/>
  <c r="B40" i="8"/>
  <c r="B34" i="8"/>
  <c r="B43" i="8"/>
  <c r="B42" i="8"/>
  <c r="B38" i="8"/>
  <c r="C33" i="13" l="1"/>
  <c r="C28" i="13"/>
  <c r="C23" i="13"/>
  <c r="C38" i="13"/>
  <c r="C29" i="13"/>
  <c r="C37" i="13"/>
  <c r="C34" i="13"/>
  <c r="C25" i="13"/>
  <c r="C41" i="13"/>
  <c r="B40" i="12"/>
  <c r="B24" i="12"/>
  <c r="B38" i="12"/>
  <c r="B37" i="12"/>
  <c r="B32" i="12"/>
  <c r="B29" i="12"/>
  <c r="B30" i="12"/>
  <c r="B42" i="12"/>
  <c r="B22" i="12"/>
  <c r="B35" i="12"/>
  <c r="B27" i="12"/>
  <c r="E9" i="12"/>
  <c r="I21" i="6" s="1"/>
  <c r="K21" i="6" s="1"/>
  <c r="M21" i="6" s="1"/>
  <c r="B36" i="12"/>
  <c r="B28" i="12"/>
  <c r="B41" i="12"/>
  <c r="B33" i="12"/>
  <c r="B25" i="12"/>
  <c r="B34" i="12"/>
  <c r="B26" i="12"/>
  <c r="B39" i="12"/>
  <c r="B31" i="12"/>
  <c r="B33" i="11"/>
  <c r="B36" i="11"/>
  <c r="B25" i="11"/>
  <c r="B28" i="11"/>
  <c r="B41" i="11"/>
  <c r="B34" i="11"/>
  <c r="B26" i="11"/>
  <c r="B39" i="11"/>
  <c r="B31" i="11"/>
  <c r="B23" i="11"/>
  <c r="B40" i="11"/>
  <c r="B32" i="11"/>
  <c r="B24" i="11"/>
  <c r="B37" i="11"/>
  <c r="B29" i="11"/>
  <c r="E9" i="11"/>
  <c r="I20" i="6" s="1"/>
  <c r="K20" i="6" s="1"/>
  <c r="M20" i="6" s="1"/>
  <c r="B38" i="11"/>
  <c r="B30" i="11"/>
  <c r="B22" i="11"/>
  <c r="B35" i="11"/>
  <c r="B27" i="11"/>
  <c r="A25" i="10"/>
  <c r="B25" i="10" s="1"/>
  <c r="I17" i="6"/>
  <c r="K17" i="6" s="1"/>
  <c r="M17" i="6" s="1"/>
  <c r="I18" i="6"/>
  <c r="A26" i="9"/>
  <c r="L17" i="6"/>
  <c r="J23" i="6"/>
  <c r="L23" i="6" s="1"/>
  <c r="B28" i="7"/>
  <c r="B27" i="7"/>
  <c r="B38" i="7"/>
  <c r="B44" i="7"/>
  <c r="B34" i="7"/>
  <c r="B31" i="7"/>
  <c r="B30" i="7"/>
  <c r="B43" i="7"/>
  <c r="B32" i="7"/>
  <c r="B29" i="7"/>
  <c r="B40" i="7"/>
  <c r="B41" i="7"/>
  <c r="B33" i="7"/>
  <c r="B37" i="7"/>
  <c r="B39" i="7"/>
  <c r="B36" i="7"/>
  <c r="B26" i="7"/>
  <c r="F12" i="5" a="1"/>
  <c r="B35" i="7"/>
  <c r="B45" i="7"/>
  <c r="B42" i="7"/>
  <c r="A26" i="10" l="1"/>
  <c r="B26" i="10" s="1"/>
  <c r="I23" i="6"/>
  <c r="B9" i="6"/>
  <c r="K18" i="6"/>
  <c r="A27" i="9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4" i="5"/>
  <c r="B37" i="5"/>
  <c r="B46" i="5"/>
  <c r="B42" i="5"/>
  <c r="B33" i="5"/>
  <c r="B45" i="5"/>
  <c r="B44" i="5"/>
  <c r="B27" i="5"/>
  <c r="B29" i="5"/>
  <c r="B41" i="5"/>
  <c r="B28" i="5"/>
  <c r="B30" i="5"/>
  <c r="B47" i="5"/>
  <c r="B38" i="5"/>
  <c r="B31" i="5"/>
  <c r="B43" i="5"/>
  <c r="B32" i="5"/>
  <c r="B35" i="5"/>
  <c r="B40" i="5"/>
  <c r="B39" i="5"/>
  <c r="E9" i="5"/>
  <c r="B36" i="5"/>
  <c r="A27" i="10" l="1"/>
  <c r="B27" i="10" s="1"/>
  <c r="M18" i="6"/>
  <c r="K23" i="6"/>
  <c r="M23" i="6" s="1"/>
  <c r="A28" i="9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A28" i="10" l="1"/>
  <c r="B28" i="10" s="1"/>
  <c r="A29" i="9"/>
  <c r="A29" i="10" l="1"/>
  <c r="B29" i="10" s="1"/>
  <c r="A30" i="9"/>
  <c r="A30" i="10" l="1"/>
  <c r="B30" i="10" s="1"/>
  <c r="A31" i="9"/>
  <c r="A31" i="10" l="1"/>
  <c r="B31" i="10" s="1"/>
  <c r="A32" i="9"/>
  <c r="A32" i="10" l="1"/>
  <c r="B32" i="10" s="1"/>
  <c r="A33" i="9"/>
  <c r="A33" i="10" l="1"/>
  <c r="B33" i="10" s="1"/>
  <c r="A34" i="9"/>
  <c r="A34" i="10" l="1"/>
  <c r="B34" i="10" s="1"/>
  <c r="A35" i="9"/>
  <c r="A35" i="10" l="1"/>
  <c r="B35" i="10" s="1"/>
  <c r="A36" i="9"/>
  <c r="A36" i="10" l="1"/>
  <c r="B36" i="10" s="1"/>
  <c r="A37" i="9"/>
  <c r="A37" i="10" l="1"/>
  <c r="B37" i="10" s="1"/>
  <c r="A38" i="9"/>
  <c r="A38" i="10" l="1"/>
  <c r="B38" i="10" s="1"/>
  <c r="A39" i="9"/>
  <c r="A39" i="10" l="1"/>
  <c r="B39" i="10" s="1"/>
  <c r="A40" i="9"/>
  <c r="A40" i="10" l="1"/>
  <c r="B40" i="10" s="1"/>
  <c r="A41" i="9"/>
  <c r="A41" i="10" l="1"/>
  <c r="B41" i="10" s="1"/>
  <c r="A42" i="9"/>
  <c r="A42" i="10" l="1"/>
  <c r="B42" i="10" s="1"/>
  <c r="A43" i="9"/>
  <c r="A43" i="10" l="1"/>
  <c r="B43" i="10" s="1"/>
</calcChain>
</file>

<file path=xl/sharedStrings.xml><?xml version="1.0" encoding="utf-8"?>
<sst xmlns="http://schemas.openxmlformats.org/spreadsheetml/2006/main" count="507" uniqueCount="145">
  <si>
    <t>This is intended to be a general template for combining and optimizing different kinds of functions, each probably representing a measurable promotional channel.</t>
  </si>
  <si>
    <t>For this template to work, file must be of type .xlsm to enable vba macros. Solver (2010 ver) Add-in should be enabled. Developer tab should be enabled and permission to run macros should be granted.</t>
  </si>
  <si>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</si>
  <si>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</si>
  <si>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</si>
  <si>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</si>
  <si>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</si>
  <si>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</si>
  <si>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</si>
  <si>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</si>
  <si>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</si>
  <si>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</si>
  <si>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</si>
  <si>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</si>
  <si>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</si>
  <si>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</si>
  <si>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</si>
  <si>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</si>
  <si>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</si>
  <si>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</si>
  <si>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</si>
  <si>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</si>
  <si>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</si>
  <si>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</si>
  <si>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</si>
  <si>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</si>
  <si>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</si>
  <si>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</si>
  <si>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</si>
  <si>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</si>
  <si>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</si>
  <si>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</si>
  <si>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</si>
  <si>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</si>
  <si>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</si>
  <si>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</si>
  <si>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</si>
  <si>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</si>
  <si>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</si>
  <si>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</si>
  <si>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</si>
  <si>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</si>
  <si>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</si>
  <si>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</si>
  <si>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</si>
  <si>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</si>
  <si>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</si>
  <si>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</si>
  <si>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</si>
  <si>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</si>
  <si>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</si>
  <si>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</si>
  <si>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</si>
  <si>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</si>
  <si>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</si>
  <si>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</si>
  <si>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</si>
  <si>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</si>
  <si>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</si>
  <si>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</si>
  <si>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</si>
  <si>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</si>
  <si>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</si>
  <si>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</si>
  <si>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</si>
  <si>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</si>
  <si>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</si>
  <si>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</si>
  <si>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</si>
  <si>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</si>
  <si>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</si>
  <si>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</si>
  <si>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</si>
  <si>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</si>
  <si>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</si>
  <si>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</si>
  <si>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</si>
  <si>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</si>
  <si>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</si>
  <si>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</si>
  <si>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</si>
  <si>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 xml:space="preserve">To optimize allocation of spend across represented channels 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</si>
  <si>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</si>
  <si>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</si>
  <si>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</si>
  <si>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</si>
  <si>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</si>
  <si>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</si>
  <si>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</si>
  <si>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</si>
  <si>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curr</t>
  </si>
  <si>
    <t>Y curr</t>
  </si>
  <si>
    <t>Local Constraints</t>
  </si>
  <si>
    <t>X min</t>
  </si>
  <si>
    <t>X max</t>
  </si>
  <si>
    <t>Optimal Values</t>
  </si>
  <si>
    <t>X opt</t>
  </si>
  <si>
    <t>Y opt</t>
  </si>
  <si>
    <t>Optimal Values: Change from current values</t>
  </si>
  <si>
    <t>Delta X (units)</t>
  </si>
  <si>
    <t>Delta Y (units)</t>
  </si>
  <si>
    <t>Delta X (%)</t>
  </si>
  <si>
    <t>Delta Y (%)</t>
  </si>
  <si>
    <t>Samples</t>
  </si>
  <si>
    <t>MMF</t>
  </si>
  <si>
    <t>Vouchers</t>
  </si>
  <si>
    <t>MCM</t>
  </si>
  <si>
    <t>Scurve Est.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</si>
  <si>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</si>
  <si>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</si>
  <si>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</si>
  <si>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Details, Samples, DTC, MMF, Vouchers, MCM</t>
  </si>
  <si>
    <t>Trial to test the optimization convergence</t>
  </si>
  <si>
    <t>Min Global Budget</t>
  </si>
  <si>
    <t>Max Global Budget</t>
  </si>
  <si>
    <t>Spline [PRC]</t>
  </si>
  <si>
    <t>Quadractic Eqn.</t>
  </si>
  <si>
    <t>Semi-log</t>
  </si>
  <si>
    <t>Spend in ('000 $)</t>
  </si>
  <si>
    <t>TOTAL</t>
  </si>
  <si>
    <t>Januvia Family</t>
  </si>
  <si>
    <t>Detail</t>
  </si>
  <si>
    <t>Spend ('000 $)</t>
  </si>
  <si>
    <t>Incr. NRx ('000)</t>
  </si>
  <si>
    <t>Incremental NRx ('000)</t>
  </si>
  <si>
    <t>Note 1: YELLOW cells may need user input (either reference to optim sheet or a value)</t>
  </si>
  <si>
    <t>Voucher</t>
  </si>
  <si>
    <t>scaling constant for semi-log function used here.</t>
  </si>
  <si>
    <t>Semi-Log function (a scaling factor is also included here)</t>
  </si>
  <si>
    <t>Quadractic Polynomial Equation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</si>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</sst>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#,##0.0"/>
    <numFmt numFmtId="166" formatCode="_(* #,##0_);_(* \(#,##0\);_(* &quot;-&quot;??_);_(@_)"/>
    <numFmt numFmtId="167" formatCode="&quot;$&quot;#,##0"/>
    <numFmt numFmtId="168" formatCode="0.0000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</cellStyleXfs>
  <cellXfs count="17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164" fontId="1" fillId="2" borderId="10" xfId="4" applyNumberFormat="1" applyFont="1" applyFill="1" applyBorder="1" applyAlignment="1">
      <alignment vertical="center" wrapText="1"/>
    </xf>
    <xf numFmtId="164" fontId="1" fillId="2" borderId="17" xfId="4" applyNumberFormat="1" applyFont="1" applyFill="1" applyBorder="1" applyAlignment="1">
      <alignment vertical="center" wrapText="1"/>
    </xf>
    <xf numFmtId="3" fontId="1" fillId="2" borderId="11" xfId="0" applyNumberFormat="1" applyFont="1" applyFill="1" applyBorder="1"/>
    <xf numFmtId="164" fontId="1" fillId="2" borderId="14" xfId="4" applyNumberFormat="1" applyFont="1" applyFill="1" applyBorder="1"/>
    <xf numFmtId="164" fontId="1" fillId="2" borderId="11" xfId="4" applyNumberFormat="1" applyFont="1" applyFill="1" applyBorder="1"/>
    <xf numFmtId="44" fontId="1" fillId="2" borderId="10" xfId="4" applyFont="1" applyFill="1" applyBorder="1"/>
    <xf numFmtId="164" fontId="4" fillId="2" borderId="2" xfId="4" applyNumberFormat="1" applyFont="1" applyFill="1" applyBorder="1" applyAlignment="1">
      <alignment vertical="center" wrapText="1"/>
    </xf>
    <xf numFmtId="3" fontId="3" fillId="6" borderId="17" xfId="0" applyNumberFormat="1" applyFont="1" applyFill="1" applyBorder="1"/>
    <xf numFmtId="165" fontId="1" fillId="6" borderId="2" xfId="0" applyNumberFormat="1" applyFont="1" applyFill="1" applyBorder="1"/>
    <xf numFmtId="164" fontId="3" fillId="8" borderId="23" xfId="4" applyNumberFormat="1" applyFont="1" applyFill="1" applyBorder="1"/>
    <xf numFmtId="37" fontId="3" fillId="6" borderId="17" xfId="0" applyNumberFormat="1" applyFont="1" applyFill="1" applyBorder="1"/>
    <xf numFmtId="0" fontId="5" fillId="2" borderId="0" xfId="0" applyFont="1" applyFill="1"/>
    <xf numFmtId="11" fontId="1" fillId="2" borderId="12" xfId="0" applyNumberFormat="1" applyFont="1" applyFill="1" applyBorder="1"/>
    <xf numFmtId="0" fontId="5" fillId="0" borderId="0" xfId="0" applyFont="1" applyFill="1"/>
    <xf numFmtId="3" fontId="1" fillId="2" borderId="10" xfId="0" applyNumberFormat="1" applyFont="1" applyFill="1" applyBorder="1"/>
    <xf numFmtId="1" fontId="3" fillId="5" borderId="17" xfId="0" applyNumberFormat="1" applyFont="1" applyFill="1" applyBorder="1"/>
    <xf numFmtId="164" fontId="1" fillId="0" borderId="2" xfId="4" applyNumberFormat="1" applyFont="1" applyBorder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30" xfId="0" applyFont="1" applyFill="1" applyBorder="1"/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6" fontId="1" fillId="2" borderId="11" xfId="2" applyNumberFormat="1" applyFont="1" applyFill="1" applyBorder="1"/>
    <xf numFmtId="166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6" fontId="1" fillId="4" borderId="11" xfId="0" applyNumberFormat="1" applyFont="1" applyFill="1" applyBorder="1" applyAlignment="1">
      <alignment horizontal="center" vertical="center" wrapText="1"/>
    </xf>
    <xf numFmtId="167" fontId="1" fillId="2" borderId="10" xfId="4" applyNumberFormat="1" applyFont="1" applyFill="1" applyBorder="1"/>
    <xf numFmtId="167" fontId="1" fillId="2" borderId="10" xfId="0" applyNumberFormat="1" applyFont="1" applyFill="1" applyBorder="1"/>
    <xf numFmtId="168" fontId="1" fillId="0" borderId="0" xfId="0" applyNumberFormat="1" applyFont="1"/>
  </cellXfs>
  <cellStyles count="12">
    <cellStyle name="Comma" xfId="2" builtinId="3"/>
    <cellStyle name="Comma 2" xfId="5"/>
    <cellStyle name="Comma 2 2" xfId="6"/>
    <cellStyle name="Comma 2 3" xfId="7"/>
    <cellStyle name="Currency" xfId="4" builtinId="4"/>
    <cellStyle name="Currency 2" xfId="8"/>
    <cellStyle name="Normal" xfId="0" builtinId="0"/>
    <cellStyle name="Normal 2" xfId="1"/>
    <cellStyle name="Normal 2 2" xfId="9"/>
    <cellStyle name="Normal 2 3" xfId="10"/>
    <cellStyle name="Percent" xfId="3" builtinId="5"/>
    <cellStyle name="Percent 2" xfId="1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Detail!$F$9</c:f>
              <c:numCache>
                <c:formatCode>_("$"* #,##0_);_("$"* \(#,##0\);_("$"* "-"??_);_(@_)</c:formatCode>
                <c:ptCount val="1"/>
                <c:pt idx="0">
                  <c:v>35000</c:v>
                </c:pt>
              </c:numCache>
            </c:numRef>
          </c:xVal>
          <c:yVal>
            <c:numRef>
              <c:f>Detail!$G$9</c:f>
              <c:numCache>
                <c:formatCode>_("$"* #,##0_);_("$"* \(#,##0\);_("$"* "-"??_);_(@_)</c:formatCode>
                <c:ptCount val="1"/>
                <c:pt idx="0">
                  <c:v>500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Detail!$D$3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Detail!$A$25:$A$45</c:f>
              <c:numCache>
                <c:formatCode>General</c:formatCode>
                <c:ptCount val="21"/>
                <c:pt idx="0">
                  <c:v>0</c:v>
                </c:pt>
                <c:pt idx="1">
                  <c:v>3500</c:v>
                </c:pt>
                <c:pt idx="2">
                  <c:v>7000</c:v>
                </c:pt>
                <c:pt idx="3">
                  <c:v>10500</c:v>
                </c:pt>
                <c:pt idx="4">
                  <c:v>14000</c:v>
                </c:pt>
                <c:pt idx="5">
                  <c:v>17500</c:v>
                </c:pt>
                <c:pt idx="6">
                  <c:v>21000</c:v>
                </c:pt>
                <c:pt idx="7">
                  <c:v>24500</c:v>
                </c:pt>
                <c:pt idx="8">
                  <c:v>28000</c:v>
                </c:pt>
                <c:pt idx="9">
                  <c:v>31500</c:v>
                </c:pt>
                <c:pt idx="10">
                  <c:v>35000</c:v>
                </c:pt>
                <c:pt idx="11">
                  <c:v>38500</c:v>
                </c:pt>
                <c:pt idx="12">
                  <c:v>42000</c:v>
                </c:pt>
                <c:pt idx="13">
                  <c:v>45500</c:v>
                </c:pt>
                <c:pt idx="14">
                  <c:v>49000</c:v>
                </c:pt>
                <c:pt idx="15">
                  <c:v>52500</c:v>
                </c:pt>
                <c:pt idx="16">
                  <c:v>56000</c:v>
                </c:pt>
                <c:pt idx="17">
                  <c:v>59500</c:v>
                </c:pt>
                <c:pt idx="18">
                  <c:v>63000</c:v>
                </c:pt>
                <c:pt idx="19">
                  <c:v>66500</c:v>
                </c:pt>
                <c:pt idx="20">
                  <c:v>70000</c:v>
                </c:pt>
              </c:numCache>
            </c:numRef>
          </c:xVal>
          <c:yVal>
            <c:numRef>
              <c:f>Detail!$B$25:$B$45</c:f>
              <c:numCache>
                <c:formatCode>#,##0.0</c:formatCode>
                <c:ptCount val="21"/>
                <c:pt idx="0">
                  <c:v>0</c:v>
                </c:pt>
                <c:pt idx="1">
                  <c:v>61.411526881720434</c:v>
                </c:pt>
                <c:pt idx="2">
                  <c:v>122.17393548387096</c:v>
                </c:pt>
                <c:pt idx="3">
                  <c:v>181.63810752688173</c:v>
                </c:pt>
                <c:pt idx="4">
                  <c:v>239.1549247311828</c:v>
                </c:pt>
                <c:pt idx="5">
                  <c:v>294.07526881720429</c:v>
                </c:pt>
                <c:pt idx="6">
                  <c:v>345.75002150537637</c:v>
                </c:pt>
                <c:pt idx="7">
                  <c:v>393.53006451612907</c:v>
                </c:pt>
                <c:pt idx="8">
                  <c:v>436.83354838709676</c:v>
                </c:pt>
                <c:pt idx="9">
                  <c:v>475.49375945838312</c:v>
                </c:pt>
                <c:pt idx="10">
                  <c:v>509.50219036240537</c:v>
                </c:pt>
                <c:pt idx="11">
                  <c:v>538.85064516129034</c:v>
                </c:pt>
                <c:pt idx="12">
                  <c:v>563.54813221823974</c:v>
                </c:pt>
                <c:pt idx="13">
                  <c:v>583.89263839107923</c:v>
                </c:pt>
                <c:pt idx="14">
                  <c:v>600.42193548387093</c:v>
                </c:pt>
                <c:pt idx="15">
                  <c:v>613.68105336519318</c:v>
                </c:pt>
                <c:pt idx="16">
                  <c:v>624.21502190362412</c:v>
                </c:pt>
                <c:pt idx="17">
                  <c:v>632.56887096774199</c:v>
                </c:pt>
                <c:pt idx="18">
                  <c:v>639.28763042612502</c:v>
                </c:pt>
                <c:pt idx="19">
                  <c:v>644.91633014735169</c:v>
                </c:pt>
                <c:pt idx="20">
                  <c:v>650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Detail!$B$9</c:f>
              <c:numCache>
                <c:formatCode>_("$"* #,##0_);_("$"* \(#,##0\);_("$"* "-"??_);_(@_)</c:formatCode>
                <c:ptCount val="1"/>
                <c:pt idx="0">
                  <c:v>17500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Detail!$C$9</c:f>
              <c:numCache>
                <c:formatCode>_("$"* #,##0_);_("$"* \(#,##0\);_("$"* "-"??_);_(@_)</c:formatCode>
                <c:ptCount val="1"/>
                <c:pt idx="0">
                  <c:v>52500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Detail!$D$9</c:f>
              <c:numCache>
                <c:formatCode>_("$"* #,##0_);_("$"* \(#,##0\);_("$"* "-"??_);_(@_)</c:formatCode>
                <c:ptCount val="1"/>
                <c:pt idx="0">
                  <c:v>24292.979554341</c:v>
                </c:pt>
              </c:numCache>
            </c:numRef>
          </c:xVal>
          <c:yVal>
            <c:numRef>
              <c:f>Detail!$E$9</c:f>
              <c:numCache>
                <c:formatCode>#,##0</c:formatCode>
                <c:ptCount val="1"/>
                <c:pt idx="0">
                  <c:v>390.82399335666645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494592"/>
        <c:axId val="320508672"/>
      </c:scatterChart>
      <c:valAx>
        <c:axId val="320494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0508672"/>
        <c:crosses val="autoZero"/>
        <c:crossBetween val="midCat"/>
      </c:valAx>
      <c:valAx>
        <c:axId val="32050867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204945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Sample!$F$9</c:f>
              <c:numCache>
                <c:formatCode>_("$"* #,##0_);_("$"* \(#,##0\);_("$"* "-"??_);_(@_)</c:formatCode>
                <c:ptCount val="1"/>
                <c:pt idx="0">
                  <c:v>25000</c:v>
                </c:pt>
              </c:numCache>
            </c:numRef>
          </c:xVal>
          <c:yVal>
            <c:numRef>
              <c:f>Sample!$G$9</c:f>
              <c:numCache>
                <c:formatCode>_("$"* #,##0_);_("$"* \(#,##0\);_("$"* "-"??_);_(@_)</c:formatCode>
                <c:ptCount val="1"/>
                <c:pt idx="0">
                  <c:v>750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Sample!$D$3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Sample!$A$25:$A$45</c:f>
              <c:numCache>
                <c:formatCode>General</c:formatCode>
                <c:ptCount val="21"/>
                <c:pt idx="0">
                  <c:v>0</c:v>
                </c:pt>
                <c:pt idx="1">
                  <c:v>2000</c:v>
                </c:pt>
                <c:pt idx="2">
                  <c:v>4000</c:v>
                </c:pt>
                <c:pt idx="3">
                  <c:v>6000</c:v>
                </c:pt>
                <c:pt idx="4">
                  <c:v>8000</c:v>
                </c:pt>
                <c:pt idx="5">
                  <c:v>10000</c:v>
                </c:pt>
                <c:pt idx="6">
                  <c:v>12000</c:v>
                </c:pt>
                <c:pt idx="7">
                  <c:v>14000</c:v>
                </c:pt>
                <c:pt idx="8">
                  <c:v>16000</c:v>
                </c:pt>
                <c:pt idx="9">
                  <c:v>18000</c:v>
                </c:pt>
                <c:pt idx="10">
                  <c:v>20000</c:v>
                </c:pt>
                <c:pt idx="11">
                  <c:v>22000</c:v>
                </c:pt>
                <c:pt idx="12">
                  <c:v>24000</c:v>
                </c:pt>
                <c:pt idx="13">
                  <c:v>26000</c:v>
                </c:pt>
                <c:pt idx="14">
                  <c:v>28000</c:v>
                </c:pt>
                <c:pt idx="15">
                  <c:v>30000</c:v>
                </c:pt>
                <c:pt idx="16">
                  <c:v>32000</c:v>
                </c:pt>
                <c:pt idx="17">
                  <c:v>34000</c:v>
                </c:pt>
                <c:pt idx="18">
                  <c:v>36000</c:v>
                </c:pt>
                <c:pt idx="19">
                  <c:v>38000</c:v>
                </c:pt>
                <c:pt idx="20">
                  <c:v>40000</c:v>
                </c:pt>
              </c:numCache>
            </c:numRef>
          </c:xVal>
          <c:yVal>
            <c:numRef>
              <c:f>Sample!$B$25:$B$45</c:f>
              <c:numCache>
                <c:formatCode>#,##0.0</c:formatCode>
                <c:ptCount val="21"/>
                <c:pt idx="0">
                  <c:v>0</c:v>
                </c:pt>
                <c:pt idx="1">
                  <c:v>3.4906853146853134</c:v>
                </c:pt>
                <c:pt idx="2">
                  <c:v>11.108699300699298</c:v>
                </c:pt>
                <c:pt idx="3">
                  <c:v>26.981370629370623</c:v>
                </c:pt>
                <c:pt idx="4">
                  <c:v>55.236027972027962</c:v>
                </c:pt>
                <c:pt idx="5">
                  <c:v>100</c:v>
                </c:pt>
                <c:pt idx="6">
                  <c:v>163.91545734265733</c:v>
                </c:pt>
                <c:pt idx="7">
                  <c:v>243.68393846153845</c:v>
                </c:pt>
                <c:pt idx="8">
                  <c:v>334.52182377622375</c:v>
                </c:pt>
                <c:pt idx="9">
                  <c:v>431.64549370629368</c:v>
                </c:pt>
                <c:pt idx="10">
                  <c:v>530.27132867132866</c:v>
                </c:pt>
                <c:pt idx="11">
                  <c:v>625.61570909090904</c:v>
                </c:pt>
                <c:pt idx="12">
                  <c:v>712.89501538461536</c:v>
                </c:pt>
                <c:pt idx="13">
                  <c:v>787.32562797202797</c:v>
                </c:pt>
                <c:pt idx="14">
                  <c:v>844.1239272727272</c:v>
                </c:pt>
                <c:pt idx="15">
                  <c:v>878.50629370629372</c:v>
                </c:pt>
                <c:pt idx="16">
                  <c:v>885.68910769230786</c:v>
                </c:pt>
                <c:pt idx="17">
                  <c:v>860.88874965034972</c:v>
                </c:pt>
                <c:pt idx="18">
                  <c:v>799.74758041958046</c:v>
                </c:pt>
                <c:pt idx="19">
                  <c:v>707.70551048951052</c:v>
                </c:pt>
                <c:pt idx="20">
                  <c:v>600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Sample!$B$9</c:f>
              <c:numCache>
                <c:formatCode>_("$"* #,##0_);_("$"* \(#,##0\);_("$"* "-"??_);_(@_)</c:formatCode>
                <c:ptCount val="1"/>
                <c:pt idx="0">
                  <c:v>29658.398108050333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Sample!$C$9</c:f>
              <c:numCache>
                <c:formatCode>_("$"* #,##0_);_("$"* \(#,##0\);_("$"* "-"??_);_(@_)</c:formatCode>
                <c:ptCount val="1"/>
                <c:pt idx="0">
                  <c:v>37500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Sample!$D$9</c:f>
              <c:numCache>
                <c:formatCode>_("$"* #,##0_);_("$"* \(#,##0\);_("$"* "-"??_);_(@_)</c:formatCode>
                <c:ptCount val="1"/>
                <c:pt idx="0">
                  <c:v>29658.398108050333</c:v>
                </c:pt>
              </c:numCache>
            </c:numRef>
          </c:xVal>
          <c:yVal>
            <c:numRef>
              <c:f>Sample!$E$9</c:f>
              <c:numCache>
                <c:formatCode>#,##0</c:formatCode>
                <c:ptCount val="1"/>
                <c:pt idx="0">
                  <c:v>874.42765991700287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26592"/>
        <c:axId val="327123328"/>
      </c:scatterChart>
      <c:valAx>
        <c:axId val="320526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7123328"/>
        <c:crosses val="autoZero"/>
        <c:crossBetween val="midCat"/>
      </c:valAx>
      <c:valAx>
        <c:axId val="3271233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205265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Vch!$F$9</c:f>
              <c:numCache>
                <c:formatCode>General</c:formatCode>
                <c:ptCount val="1"/>
                <c:pt idx="0">
                  <c:v>5300</c:v>
                </c:pt>
              </c:numCache>
            </c:numRef>
          </c:xVal>
          <c:yVal>
            <c:numRef>
              <c:f>Vch!$G$9</c:f>
              <c:numCache>
                <c:formatCode>#,##0</c:formatCode>
                <c:ptCount val="1"/>
                <c:pt idx="0">
                  <c:v>250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Vch!$D$3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xVal>
            <c:numRef>
              <c:f>Vch!$A$23:$A$43</c:f>
              <c:numCache>
                <c:formatCode>General</c:formatCode>
                <c:ptCount val="2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</c:numCache>
            </c:numRef>
          </c:xVal>
          <c:yVal>
            <c:numRef>
              <c:f>Vch!$B$23:$B$43</c:f>
              <c:numCache>
                <c:formatCode>#,##0.0</c:formatCode>
                <c:ptCount val="21"/>
                <c:pt idx="0">
                  <c:v>0</c:v>
                </c:pt>
                <c:pt idx="1">
                  <c:v>55.345987256764438</c:v>
                </c:pt>
                <c:pt idx="2">
                  <c:v>94.614590146432533</c:v>
                </c:pt>
                <c:pt idx="3">
                  <c:v>125.07368490082217</c:v>
                </c:pt>
                <c:pt idx="4">
                  <c:v>149.96057740319699</c:v>
                </c:pt>
                <c:pt idx="5">
                  <c:v>171.00214519961773</c:v>
                </c:pt>
                <c:pt idx="6">
                  <c:v>189.22918029286507</c:v>
                </c:pt>
                <c:pt idx="7">
                  <c:v>205.30656465996142</c:v>
                </c:pt>
                <c:pt idx="8">
                  <c:v>219.68827504725468</c:v>
                </c:pt>
                <c:pt idx="9">
                  <c:v>232.69811459054506</c:v>
                </c:pt>
                <c:pt idx="10">
                  <c:v>244.5751675496295</c:v>
                </c:pt>
                <c:pt idx="11">
                  <c:v>255.50099714706721</c:v>
                </c:pt>
                <c:pt idx="12">
                  <c:v>265.61673534605023</c:v>
                </c:pt>
                <c:pt idx="13">
                  <c:v>275.03426230401914</c:v>
                </c:pt>
                <c:pt idx="14">
                  <c:v>283.8437704392976</c:v>
                </c:pt>
                <c:pt idx="15">
                  <c:v>292.11903131724097</c:v>
                </c:pt>
                <c:pt idx="16">
                  <c:v>299.92115480639399</c:v>
                </c:pt>
                <c:pt idx="17">
                  <c:v>307.30133050978662</c:v>
                </c:pt>
                <c:pt idx="18">
                  <c:v>314.30286519368724</c:v>
                </c:pt>
                <c:pt idx="19">
                  <c:v>320.96272260281472</c:v>
                </c:pt>
                <c:pt idx="20">
                  <c:v>327.31270473697759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Vch!$B$9</c:f>
              <c:numCache>
                <c:formatCode>_("$"* #,##0_);_("$"* \(#,##0\);_("$"* "-"??_);_(@_)</c:formatCode>
                <c:ptCount val="1"/>
                <c:pt idx="0">
                  <c:v>2650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Vch!$C$9</c:f>
              <c:numCache>
                <c:formatCode>_("$"* #,##0_);_("$"* \(#,##0\);_("$"* "-"??_);_(@_)</c:formatCode>
                <c:ptCount val="1"/>
                <c:pt idx="0">
                  <c:v>7950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Vch!$D$9</c:f>
              <c:numCache>
                <c:formatCode>_("$"* #,##0_);_("$"* \(#,##0\);_("$"* "-"??_);_(@_)</c:formatCode>
                <c:ptCount val="1"/>
                <c:pt idx="0">
                  <c:v>7950</c:v>
                </c:pt>
              </c:numCache>
            </c:numRef>
          </c:xVal>
          <c:yVal>
            <c:numRef>
              <c:f>Vch!$E$9</c:f>
              <c:numCache>
                <c:formatCode>#,##0_);\(#,##0\)</c:formatCode>
                <c:ptCount val="1"/>
                <c:pt idx="0">
                  <c:v>299.16070715714329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178880"/>
        <c:axId val="327189248"/>
      </c:scatterChart>
      <c:valAx>
        <c:axId val="327178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7189248"/>
        <c:crosses val="autoZero"/>
        <c:crossBetween val="midCat"/>
      </c:valAx>
      <c:valAx>
        <c:axId val="3271892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71788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MMF!$F$9</c:f>
              <c:numCache>
                <c:formatCode>_("$"* #,##0_);_("$"* \(#,##0\);_("$"* "-"??_);_(@_)</c:formatCode>
                <c:ptCount val="1"/>
                <c:pt idx="0">
                  <c:v>7300</c:v>
                </c:pt>
              </c:numCache>
            </c:numRef>
          </c:xVal>
          <c:yVal>
            <c:numRef>
              <c:f>MMF!$G$9</c:f>
              <c:numCache>
                <c:formatCode>#,##0</c:formatCode>
                <c:ptCount val="1"/>
                <c:pt idx="0">
                  <c:v>150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MMF!$D$3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MMF!$A$23:$A$43</c:f>
              <c:numCache>
                <c:formatCode>General</c:formatCode>
                <c:ptCount val="21"/>
                <c:pt idx="0">
                  <c:v>0</c:v>
                </c:pt>
                <c:pt idx="1">
                  <c:v>750</c:v>
                </c:pt>
                <c:pt idx="2">
                  <c:v>1500</c:v>
                </c:pt>
                <c:pt idx="3">
                  <c:v>2250</c:v>
                </c:pt>
                <c:pt idx="4">
                  <c:v>3000</c:v>
                </c:pt>
                <c:pt idx="5">
                  <c:v>3750</c:v>
                </c:pt>
                <c:pt idx="6">
                  <c:v>4500</c:v>
                </c:pt>
                <c:pt idx="7">
                  <c:v>5250</c:v>
                </c:pt>
                <c:pt idx="8">
                  <c:v>6000</c:v>
                </c:pt>
                <c:pt idx="9">
                  <c:v>6750</c:v>
                </c:pt>
                <c:pt idx="10">
                  <c:v>7500</c:v>
                </c:pt>
                <c:pt idx="11">
                  <c:v>8250</c:v>
                </c:pt>
                <c:pt idx="12">
                  <c:v>9000</c:v>
                </c:pt>
                <c:pt idx="13">
                  <c:v>9750</c:v>
                </c:pt>
                <c:pt idx="14">
                  <c:v>10500</c:v>
                </c:pt>
                <c:pt idx="15">
                  <c:v>11250</c:v>
                </c:pt>
                <c:pt idx="16">
                  <c:v>12000</c:v>
                </c:pt>
                <c:pt idx="17">
                  <c:v>12750</c:v>
                </c:pt>
                <c:pt idx="18">
                  <c:v>13500</c:v>
                </c:pt>
                <c:pt idx="19">
                  <c:v>14250</c:v>
                </c:pt>
                <c:pt idx="20">
                  <c:v>15000</c:v>
                </c:pt>
              </c:numCache>
            </c:numRef>
          </c:xVal>
          <c:yVal>
            <c:numRef>
              <c:f>MMF!$B$23:$B$43</c:f>
              <c:numCache>
                <c:formatCode>#,##0.0</c:formatCode>
                <c:ptCount val="21"/>
                <c:pt idx="0">
                  <c:v>0</c:v>
                </c:pt>
                <c:pt idx="1">
                  <c:v>26.015624999999996</c:v>
                </c:pt>
                <c:pt idx="2">
                  <c:v>49.612499999999997</c:v>
                </c:pt>
                <c:pt idx="3">
                  <c:v>70.790624999999991</c:v>
                </c:pt>
                <c:pt idx="4">
                  <c:v>89.549999999999983</c:v>
                </c:pt>
                <c:pt idx="5">
                  <c:v>105.890625</c:v>
                </c:pt>
                <c:pt idx="6">
                  <c:v>119.81249999999999</c:v>
                </c:pt>
                <c:pt idx="7">
                  <c:v>131.31562499999998</c:v>
                </c:pt>
                <c:pt idx="8">
                  <c:v>140.39999999999998</c:v>
                </c:pt>
                <c:pt idx="9">
                  <c:v>147.06562500000001</c:v>
                </c:pt>
                <c:pt idx="10">
                  <c:v>151.3125</c:v>
                </c:pt>
                <c:pt idx="11">
                  <c:v>153.14062499999997</c:v>
                </c:pt>
                <c:pt idx="12">
                  <c:v>152.54999999999995</c:v>
                </c:pt>
                <c:pt idx="13">
                  <c:v>149.54062500000001</c:v>
                </c:pt>
                <c:pt idx="14">
                  <c:v>144.11249999999995</c:v>
                </c:pt>
                <c:pt idx="15">
                  <c:v>136.265625</c:v>
                </c:pt>
                <c:pt idx="16">
                  <c:v>125.99999999999994</c:v>
                </c:pt>
                <c:pt idx="17">
                  <c:v>113.31562499999995</c:v>
                </c:pt>
                <c:pt idx="18">
                  <c:v>98.212499999999977</c:v>
                </c:pt>
                <c:pt idx="19">
                  <c:v>80.690624999999955</c:v>
                </c:pt>
                <c:pt idx="20">
                  <c:v>60.75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MMF!$B$9</c:f>
              <c:numCache>
                <c:formatCode>_("$"* #,##0_);_("$"* \(#,##0\);_("$"* "-"??_);_(@_)</c:formatCode>
                <c:ptCount val="1"/>
                <c:pt idx="0">
                  <c:v>3650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MMF!$C$9</c:f>
              <c:numCache>
                <c:formatCode>_("$"* #,##0_);_("$"* \(#,##0\);_("$"* "-"??_);_(@_)</c:formatCode>
                <c:ptCount val="1"/>
                <c:pt idx="0">
                  <c:v>10950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MMF!$D$9</c:f>
              <c:numCache>
                <c:formatCode>_("$"* #,##0_);_("$"* \(#,##0\);_("$"* "-"??_);_(@_)</c:formatCode>
                <c:ptCount val="1"/>
                <c:pt idx="0">
                  <c:v>5387.2633335665441</c:v>
                </c:pt>
              </c:numCache>
            </c:numRef>
          </c:xVal>
          <c:yVal>
            <c:numRef>
              <c:f>MMF!$E$9</c:f>
              <c:numCache>
                <c:formatCode>#,##0_);\(#,##0\)</c:formatCode>
                <c:ptCount val="1"/>
                <c:pt idx="0">
                  <c:v>133.15905562430595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270592"/>
        <c:axId val="328272512"/>
      </c:scatterChart>
      <c:valAx>
        <c:axId val="328270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8272512"/>
        <c:crosses val="autoZero"/>
        <c:crossBetween val="midCat"/>
      </c:valAx>
      <c:valAx>
        <c:axId val="328272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82705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DTC!$B$12</c:f>
              <c:numCache>
                <c:formatCode>_("$"* #,##0_);_("$"* \(#,##0\);_("$"* "-"??_);_(@_)</c:formatCode>
                <c:ptCount val="1"/>
                <c:pt idx="0">
                  <c:v>33800</c:v>
                </c:pt>
              </c:numCache>
            </c:numRef>
          </c:xVal>
          <c:yVal>
            <c:numRef>
              <c:f>DTC!$C$12</c:f>
              <c:numCache>
                <c:formatCode>#,##0</c:formatCode>
                <c:ptCount val="1"/>
                <c:pt idx="0">
                  <c:v>250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DTC!$D$3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DTC!$A$22:$A$42</c:f>
              <c:numCache>
                <c:formatCode>_("$"* #,##0_);_("$"* \(#,##0\);_("$"* "-"??_);_(@_)</c:formatCode>
                <c:ptCount val="21"/>
                <c:pt idx="0">
                  <c:v>0</c:v>
                </c:pt>
                <c:pt idx="1">
                  <c:v>2750</c:v>
                </c:pt>
                <c:pt idx="2">
                  <c:v>5500</c:v>
                </c:pt>
                <c:pt idx="3">
                  <c:v>8250</c:v>
                </c:pt>
                <c:pt idx="4">
                  <c:v>11000</c:v>
                </c:pt>
                <c:pt idx="5">
                  <c:v>13750</c:v>
                </c:pt>
                <c:pt idx="6">
                  <c:v>16500</c:v>
                </c:pt>
                <c:pt idx="7">
                  <c:v>19250</c:v>
                </c:pt>
                <c:pt idx="8">
                  <c:v>22000</c:v>
                </c:pt>
                <c:pt idx="9">
                  <c:v>24750</c:v>
                </c:pt>
                <c:pt idx="10">
                  <c:v>27500</c:v>
                </c:pt>
                <c:pt idx="11">
                  <c:v>30250</c:v>
                </c:pt>
                <c:pt idx="12">
                  <c:v>33000</c:v>
                </c:pt>
                <c:pt idx="13">
                  <c:v>35750</c:v>
                </c:pt>
                <c:pt idx="14">
                  <c:v>38500</c:v>
                </c:pt>
                <c:pt idx="15">
                  <c:v>41250</c:v>
                </c:pt>
                <c:pt idx="16">
                  <c:v>44000</c:v>
                </c:pt>
                <c:pt idx="17">
                  <c:v>46750</c:v>
                </c:pt>
                <c:pt idx="18">
                  <c:v>49500</c:v>
                </c:pt>
                <c:pt idx="19">
                  <c:v>52250</c:v>
                </c:pt>
                <c:pt idx="20">
                  <c:v>55000</c:v>
                </c:pt>
              </c:numCache>
            </c:numRef>
          </c:xVal>
          <c:yVal>
            <c:numRef>
              <c:f>DTC!$B$22:$B$42</c:f>
              <c:numCache>
                <c:formatCode>General</c:formatCode>
                <c:ptCount val="21"/>
                <c:pt idx="0">
                  <c:v>-2.4937655860346464E-3</c:v>
                </c:pt>
                <c:pt idx="1">
                  <c:v>0.69066452221288488</c:v>
                </c:pt>
                <c:pt idx="2">
                  <c:v>1.8620373861232022</c:v>
                </c:pt>
                <c:pt idx="3">
                  <c:v>3.8351411971802918</c:v>
                </c:pt>
                <c:pt idx="4">
                  <c:v>7.1406301715069436</c:v>
                </c:pt>
                <c:pt idx="5">
                  <c:v>12.627947131687286</c:v>
                </c:pt>
                <c:pt idx="6">
                  <c:v>21.600743190348396</c:v>
                </c:pt>
                <c:pt idx="7">
                  <c:v>35.916856384542811</c:v>
                </c:pt>
                <c:pt idx="8">
                  <c:v>57.886353796721814</c:v>
                </c:pt>
                <c:pt idx="9">
                  <c:v>89.665308528640381</c:v>
                </c:pt>
                <c:pt idx="10">
                  <c:v>131.91192717111173</c:v>
                </c:pt>
                <c:pt idx="11">
                  <c:v>182.18633107590904</c:v>
                </c:pt>
                <c:pt idx="12">
                  <c:v>234.69583847801519</c:v>
                </c:pt>
                <c:pt idx="13">
                  <c:v>282.57093327720685</c:v>
                </c:pt>
                <c:pt idx="14">
                  <c:v>321.10635140621343</c:v>
                </c:pt>
                <c:pt idx="15">
                  <c:v>349.13042528498033</c:v>
                </c:pt>
                <c:pt idx="16">
                  <c:v>368.04122608895864</c:v>
                </c:pt>
                <c:pt idx="17">
                  <c:v>380.16668137701248</c:v>
                </c:pt>
                <c:pt idx="18">
                  <c:v>387.68858935758419</c:v>
                </c:pt>
                <c:pt idx="19">
                  <c:v>392.25942153502569</c:v>
                </c:pt>
                <c:pt idx="20">
                  <c:v>395.00222166851853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DTC!$B$9</c:f>
              <c:numCache>
                <c:formatCode>_("$"* #,##0_);_("$"* \(#,##0\);_("$"* "-"??_);_(@_)</c:formatCode>
                <c:ptCount val="1"/>
                <c:pt idx="0">
                  <c:v>16900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DTC!$C$9</c:f>
              <c:numCache>
                <c:formatCode>_("$"* #,##0_);_("$"* \(#,##0\);_("$"* "-"??_);_(@_)</c:formatCode>
                <c:ptCount val="1"/>
                <c:pt idx="0">
                  <c:v>50700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DTC!$D$9</c:f>
              <c:numCache>
                <c:formatCode>_("$"* #,##0_);_("$"* \(#,##0\);_("$"* "-"??_);_(@_)</c:formatCode>
                <c:ptCount val="1"/>
                <c:pt idx="0">
                  <c:v>37779.264642463429</c:v>
                </c:pt>
              </c:numCache>
            </c:numRef>
          </c:xVal>
          <c:yVal>
            <c:numRef>
              <c:f>DTC!$E$9</c:f>
              <c:numCache>
                <c:formatCode>0</c:formatCode>
                <c:ptCount val="1"/>
                <c:pt idx="0">
                  <c:v>312.03439971144991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88992"/>
        <c:axId val="328390912"/>
      </c:scatterChart>
      <c:valAx>
        <c:axId val="328388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8390912"/>
        <c:crosses val="autoZero"/>
        <c:crossBetween val="midCat"/>
      </c:valAx>
      <c:valAx>
        <c:axId val="3283909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83889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MCM!$B$12</c:f>
              <c:numCache>
                <c:formatCode>_("$"* #,##0_);_("$"* \(#,##0\);_("$"* "-"??_);_(@_)</c:formatCode>
                <c:ptCount val="1"/>
                <c:pt idx="0">
                  <c:v>3300</c:v>
                </c:pt>
              </c:numCache>
            </c:numRef>
          </c:xVal>
          <c:yVal>
            <c:numRef>
              <c:f>MCM!$C$12</c:f>
              <c:numCache>
                <c:formatCode>#,##0</c:formatCode>
                <c:ptCount val="1"/>
                <c:pt idx="0">
                  <c:v>100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MCM!$D$3</c:f>
              <c:strCache>
                <c:ptCount val="1"/>
                <c:pt idx="0">
                  <c:v>Incr. NRx ('000)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MCM!$A$22:$A$42</c:f>
              <c:numCache>
                <c:formatCode>_("$"* #,##0_);_("$"* \(#,##0\);_("$"* "-"??_);_(@_)</c:formatCode>
                <c:ptCount val="21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</c:numCache>
            </c:numRef>
          </c:xVal>
          <c:yVal>
            <c:numRef>
              <c:f>MCM!$B$22:$B$42</c:f>
              <c:numCache>
                <c:formatCode>General</c:formatCode>
                <c:ptCount val="21"/>
                <c:pt idx="0">
                  <c:v>-5.6818181818186764E-3</c:v>
                </c:pt>
                <c:pt idx="1">
                  <c:v>0.62781424555510257</c:v>
                </c:pt>
                <c:pt idx="2">
                  <c:v>1.6587537681094333</c:v>
                </c:pt>
                <c:pt idx="3">
                  <c:v>3.3263226402230774</c:v>
                </c:pt>
                <c:pt idx="4">
                  <c:v>5.9973246652304573</c:v>
                </c:pt>
                <c:pt idx="5">
                  <c:v>10.209059464314711</c:v>
                </c:pt>
                <c:pt idx="6">
                  <c:v>16.688947834275179</c:v>
                </c:pt>
                <c:pt idx="7">
                  <c:v>26.290668123584478</c:v>
                </c:pt>
                <c:pt idx="8">
                  <c:v>39.754058780993837</c:v>
                </c:pt>
                <c:pt idx="9">
                  <c:v>57.240527212145338</c:v>
                </c:pt>
                <c:pt idx="10">
                  <c:v>77.824486991086232</c:v>
                </c:pt>
                <c:pt idx="11">
                  <c:v>99.426136363636346</c:v>
                </c:pt>
                <c:pt idx="12">
                  <c:v>119.52877318520633</c:v>
                </c:pt>
                <c:pt idx="13">
                  <c:v>136.24943084457499</c:v>
                </c:pt>
                <c:pt idx="14">
                  <c:v>148.90606905618853</c:v>
                </c:pt>
                <c:pt idx="15">
                  <c:v>157.8195709979795</c:v>
                </c:pt>
                <c:pt idx="16">
                  <c:v>163.78274399825551</c:v>
                </c:pt>
                <c:pt idx="17">
                  <c:v>167.63629374907771</c:v>
                </c:pt>
                <c:pt idx="18">
                  <c:v>170.07108868569199</c:v>
                </c:pt>
                <c:pt idx="19">
                  <c:v>171.58764159412155</c:v>
                </c:pt>
                <c:pt idx="20">
                  <c:v>172.52385892263507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MCM!$B$9</c:f>
              <c:numCache>
                <c:formatCode>_("$"* #,##0_);_("$"* \(#,##0\);_("$"* "-"??_);_(@_)</c:formatCode>
                <c:ptCount val="1"/>
                <c:pt idx="0">
                  <c:v>1650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MCM!$C$9</c:f>
              <c:numCache>
                <c:formatCode>_("$"* #,##0_);_("$"* \(#,##0\);_("$"* "-"??_);_(@_)</c:formatCode>
                <c:ptCount val="1"/>
                <c:pt idx="0">
                  <c:v>4950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MCM!$D$9</c:f>
              <c:numCache>
                <c:formatCode>_("$"* #,##0_);_("$"* \(#,##0\);_("$"* "-"??_);_(@_)</c:formatCode>
                <c:ptCount val="1"/>
                <c:pt idx="0">
                  <c:v>4932.2035272414478</c:v>
                </c:pt>
              </c:numCache>
            </c:numRef>
          </c:xVal>
          <c:yVal>
            <c:numRef>
              <c:f>MCM!$E$9</c:f>
              <c:numCache>
                <c:formatCode>0</c:formatCode>
                <c:ptCount val="1"/>
                <c:pt idx="0">
                  <c:v>165.695596653514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25472"/>
        <c:axId val="328427392"/>
      </c:scatterChart>
      <c:valAx>
        <c:axId val="328425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8427392"/>
        <c:crosses val="autoZero"/>
        <c:crossBetween val="midCat"/>
      </c:valAx>
      <c:valAx>
        <c:axId val="3284273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84254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45568"/>
        <c:axId val="330880512"/>
      </c:scatterChart>
      <c:valAx>
        <c:axId val="330845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80512"/>
        <c:crosses val="autoZero"/>
        <c:crossBetween val="midCat"/>
      </c:valAx>
      <c:valAx>
        <c:axId val="330880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455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64800"/>
        <c:axId val="332420224"/>
      </c:scatterChart>
      <c:valAx>
        <c:axId val="33236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420224"/>
        <c:crosses val="autoZero"/>
        <c:crossBetween val="midCat"/>
      </c:valAx>
      <c:valAx>
        <c:axId val="3324202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3648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73376"/>
        <c:axId val="335972224"/>
      </c:scatterChart>
      <c:valAx>
        <c:axId val="335973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972224"/>
        <c:crosses val="autoZero"/>
        <c:crossBetween val="midCat"/>
      </c:valAx>
      <c:valAx>
        <c:axId val="3359722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9733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88320"/>
        <c:axId val="170123264"/>
      </c:scatterChart>
      <c:valAx>
        <c:axId val="170088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123264"/>
        <c:crosses val="autoZero"/>
        <c:crossBetween val="midCat"/>
        <c:dispUnits>
          <c:builtInUnit val="millions"/>
        </c:dispUnits>
      </c:valAx>
      <c:valAx>
        <c:axId val="1701232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700883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21</xdr:row>
      <xdr:rowOff>171450</xdr:rowOff>
    </xdr:from>
    <xdr:to>
      <xdr:col>10</xdr:col>
      <xdr:colOff>289560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21</xdr:row>
      <xdr:rowOff>171450</xdr:rowOff>
    </xdr:from>
    <xdr:to>
      <xdr:col>10</xdr:col>
      <xdr:colOff>289560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tTemplate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Optimization_Scenario"/>
      <sheetName val="FT_SCurveEst"/>
      <sheetName val="FT_Equation"/>
      <sheetName val="FT_Interpolate"/>
      <sheetName val="FT_SCurve3Est"/>
      <sheetName val="Sheet3"/>
    </sheetNames>
    <sheetDataSet>
      <sheetData sheetId="0"/>
      <sheetData sheetId="1"/>
      <sheetData sheetId="2"/>
      <sheetData sheetId="3"/>
      <sheetData sheetId="4"/>
      <sheetData sheetId="5">
        <row r="3">
          <cell r="D3" t="str">
            <v>Incr. NRx</v>
          </cell>
        </row>
        <row r="12">
          <cell r="B12">
            <v>22434506</v>
          </cell>
          <cell r="C12">
            <v>135699.3691208323</v>
          </cell>
        </row>
        <row r="22">
          <cell r="A22">
            <v>0</v>
          </cell>
          <cell r="B22">
            <v>0</v>
          </cell>
        </row>
        <row r="23">
          <cell r="A23">
            <v>10000000</v>
          </cell>
          <cell r="B23">
            <v>65160.884199584834</v>
          </cell>
        </row>
        <row r="24">
          <cell r="A24">
            <v>20000000</v>
          </cell>
          <cell r="B24">
            <v>122744.77582018357</v>
          </cell>
        </row>
        <row r="25">
          <cell r="A25">
            <v>30000000</v>
          </cell>
          <cell r="B25">
            <v>173476.53353370167</v>
          </cell>
        </row>
        <row r="26">
          <cell r="A26">
            <v>40000000</v>
          </cell>
          <cell r="B26">
            <v>218050.60666741617</v>
          </cell>
        </row>
        <row r="27">
          <cell r="A27">
            <v>50000000</v>
          </cell>
          <cell r="B27">
            <v>257121.2781913355</v>
          </cell>
        </row>
        <row r="28">
          <cell r="A28">
            <v>60000000</v>
          </cell>
          <cell r="B28">
            <v>291296.63727436401</v>
          </cell>
        </row>
        <row r="29">
          <cell r="A29">
            <v>70000000</v>
          </cell>
          <cell r="B29">
            <v>321135.50980218779</v>
          </cell>
        </row>
        <row r="30">
          <cell r="A30">
            <v>80000000</v>
          </cell>
          <cell r="B30">
            <v>347146.64896780811</v>
          </cell>
        </row>
        <row r="31">
          <cell r="A31">
            <v>90000000</v>
          </cell>
          <cell r="B31">
            <v>369789.58456045669</v>
          </cell>
        </row>
        <row r="32">
          <cell r="A32">
            <v>100000000</v>
          </cell>
          <cell r="B32">
            <v>389476.63249957375</v>
          </cell>
        </row>
        <row r="33">
          <cell r="A33">
            <v>110000000</v>
          </cell>
          <cell r="B33">
            <v>406575.66504135821</v>
          </cell>
        </row>
        <row r="34">
          <cell r="A34">
            <v>120000000</v>
          </cell>
          <cell r="B34">
            <v>421413.33103184588</v>
          </cell>
        </row>
        <row r="35">
          <cell r="A35">
            <v>130000000</v>
          </cell>
          <cell r="B35">
            <v>434278.49192497414</v>
          </cell>
        </row>
        <row r="36">
          <cell r="A36">
            <v>140000000</v>
          </cell>
          <cell r="B36">
            <v>445425.7024764372</v>
          </cell>
        </row>
        <row r="37">
          <cell r="A37">
            <v>150000000</v>
          </cell>
          <cell r="B37">
            <v>455078.61578376312</v>
          </cell>
        </row>
        <row r="38">
          <cell r="A38">
            <v>160000000</v>
          </cell>
          <cell r="B38">
            <v>463433.23205492459</v>
          </cell>
        </row>
        <row r="39">
          <cell r="A39">
            <v>170000000</v>
          </cell>
          <cell r="B39">
            <v>470660.94080024865</v>
          </cell>
        </row>
        <row r="40">
          <cell r="A40">
            <v>180000000</v>
          </cell>
          <cell r="B40">
            <v>476911.32871761266</v>
          </cell>
        </row>
        <row r="41">
          <cell r="A41">
            <v>190000000</v>
          </cell>
          <cell r="B41">
            <v>482314.74191566277</v>
          </cell>
        </row>
        <row r="42">
          <cell r="A42">
            <v>200000000</v>
          </cell>
          <cell r="B42">
            <v>486984.60263799503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2:A4"/>
  <sheetViews>
    <sheetView workbookViewId="0">
      <selection activeCell="D14" sqref="D14"/>
    </sheetView>
  </sheetViews>
  <sheetFormatPr defaultRowHeight="14.4" x14ac:dyDescent="0.3"/>
  <sheetData>
    <row r="2" spans="1:1" x14ac:dyDescent="0.3">
      <c r="A2" t="s">
        <v>0</v>
      </c>
    </row>
    <row r="4" spans="1:1" x14ac:dyDescent="0.3">
      <c r="A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M23"/>
  <sheetViews>
    <sheetView workbookViewId="0">
      <selection activeCell="D6" sqref="D6"/>
    </sheetView>
  </sheetViews>
  <sheetFormatPr defaultRowHeight="13.8" x14ac:dyDescent="0.3"/>
  <cols>
    <col min="1" max="1" width="14.109375" style="1" customWidth="1"/>
    <col min="2" max="2" width="12.88671875" style="1" customWidth="1"/>
    <col min="3" max="3" width="13.88671875" style="1" customWidth="1"/>
    <col min="4" max="4" width="12.33203125" style="1" customWidth="1"/>
    <col min="5" max="5" width="10.33203125" style="1" customWidth="1"/>
    <col min="6" max="6" width="10.44140625" style="1" customWidth="1"/>
    <col min="7" max="7" width="12" style="1" customWidth="1"/>
    <col min="8" max="8" width="12.5546875" style="1" customWidth="1"/>
    <col min="9" max="10" width="12.33203125" style="1" customWidth="1"/>
    <col min="11" max="11" width="10.44140625" style="1" customWidth="1"/>
    <col min="12" max="12" width="9.44140625" style="1" customWidth="1"/>
    <col min="13" max="13" width="9" style="1" customWidth="1"/>
    <col min="14" max="16384" width="8.88671875" style="1"/>
  </cols>
  <sheetData>
    <row r="1" spans="1:13" x14ac:dyDescent="0.3">
      <c r="A1" s="52" t="s">
        <v>2</v>
      </c>
      <c r="B1" s="1" t="s">
        <v>81</v>
      </c>
    </row>
    <row r="2" spans="1:13" x14ac:dyDescent="0.3">
      <c r="A2" s="52" t="s">
        <v>78</v>
      </c>
      <c r="B2" s="1" t="s">
        <v>120</v>
      </c>
    </row>
    <row r="3" spans="1:13" x14ac:dyDescent="0.3">
      <c r="A3" s="52" t="s">
        <v>79</v>
      </c>
      <c r="B3" s="1" t="s">
        <v>111</v>
      </c>
    </row>
    <row r="4" spans="1:13" ht="28.2" customHeight="1" x14ac:dyDescent="0.3">
      <c r="A4" s="53" t="s">
        <v>80</v>
      </c>
      <c r="B4" s="1" t="s">
        <v>112</v>
      </c>
    </row>
    <row r="5" spans="1:13" x14ac:dyDescent="0.3">
      <c r="A5" s="52" t="s">
        <v>82</v>
      </c>
      <c r="B5" s="1" t="s">
        <v>118</v>
      </c>
      <c r="E5" s="113" t="s">
        <v>52</v>
      </c>
      <c r="F5" s="114"/>
      <c r="G5" s="114"/>
      <c r="H5" s="114"/>
      <c r="I5" s="115"/>
    </row>
    <row r="6" spans="1:13" x14ac:dyDescent="0.3">
      <c r="A6" s="52" t="s">
        <v>83</v>
      </c>
      <c r="B6" s="1" t="s">
        <v>124</v>
      </c>
      <c r="E6" s="116" t="s">
        <v>53</v>
      </c>
      <c r="F6" s="117"/>
      <c r="G6" s="117"/>
      <c r="H6" s="117"/>
      <c r="I6" s="118"/>
    </row>
    <row r="7" spans="1:13" ht="14.4" thickBot="1" x14ac:dyDescent="0.35"/>
    <row r="8" spans="1:13" ht="14.4" thickBot="1" x14ac:dyDescent="0.35">
      <c r="A8" s="56" t="s">
        <v>84</v>
      </c>
    </row>
    <row r="9" spans="1:13" ht="14.4" thickBot="1" x14ac:dyDescent="0.35">
      <c r="A9" s="31" t="s">
        <v>86</v>
      </c>
      <c r="B9" s="71">
        <f>SUM(I17:I22)</f>
        <v>2175.3014124200822</v>
      </c>
    </row>
    <row r="10" spans="1:13" ht="14.4" thickBot="1" x14ac:dyDescent="0.35">
      <c r="A10" s="54"/>
    </row>
    <row r="11" spans="1:13" ht="27.6" x14ac:dyDescent="0.3">
      <c r="A11" s="111" t="s">
        <v>85</v>
      </c>
      <c r="B11" s="55" t="s">
        <v>87</v>
      </c>
      <c r="C11" s="28" t="s">
        <v>113</v>
      </c>
      <c r="D11" s="15" t="s">
        <v>114</v>
      </c>
      <c r="E11" s="1" t="s">
        <v>108</v>
      </c>
    </row>
    <row r="12" spans="1:13" ht="14.4" thickBot="1" x14ac:dyDescent="0.35">
      <c r="A12" s="112"/>
      <c r="B12" s="85">
        <v>110000</v>
      </c>
      <c r="C12" s="86">
        <v>90000</v>
      </c>
      <c r="D12" s="87">
        <v>140000</v>
      </c>
    </row>
    <row r="13" spans="1:13" ht="14.4" thickBot="1" x14ac:dyDescent="0.35"/>
    <row r="14" spans="1:13" ht="60.6" customHeight="1" thickBot="1" x14ac:dyDescent="0.35">
      <c r="A14" s="57" t="s">
        <v>88</v>
      </c>
      <c r="F14" s="83">
        <v>0.5</v>
      </c>
      <c r="G14" s="83">
        <v>1.5</v>
      </c>
      <c r="H14" s="68" t="s">
        <v>109</v>
      </c>
      <c r="I14" s="68" t="s">
        <v>110</v>
      </c>
    </row>
    <row r="15" spans="1:13" ht="27.6" customHeight="1" x14ac:dyDescent="0.3">
      <c r="A15" s="119" t="s">
        <v>4</v>
      </c>
      <c r="B15" s="121" t="s">
        <v>5</v>
      </c>
      <c r="C15" s="121" t="s">
        <v>40</v>
      </c>
      <c r="D15" s="108" t="s">
        <v>89</v>
      </c>
      <c r="E15" s="110"/>
      <c r="F15" s="106" t="s">
        <v>92</v>
      </c>
      <c r="G15" s="107"/>
      <c r="H15" s="106" t="s">
        <v>95</v>
      </c>
      <c r="I15" s="107"/>
      <c r="J15" s="108" t="s">
        <v>98</v>
      </c>
      <c r="K15" s="109"/>
      <c r="L15" s="109"/>
      <c r="M15" s="110"/>
    </row>
    <row r="16" spans="1:13" ht="27.6" x14ac:dyDescent="0.3">
      <c r="A16" s="120"/>
      <c r="B16" s="120"/>
      <c r="C16" s="120"/>
      <c r="D16" s="27" t="s">
        <v>90</v>
      </c>
      <c r="E16" s="27" t="s">
        <v>91</v>
      </c>
      <c r="F16" s="27" t="s">
        <v>93</v>
      </c>
      <c r="G16" s="27" t="s">
        <v>94</v>
      </c>
      <c r="H16" s="67" t="s">
        <v>96</v>
      </c>
      <c r="I16" s="67" t="s">
        <v>97</v>
      </c>
      <c r="J16" s="27" t="s">
        <v>99</v>
      </c>
      <c r="K16" s="27" t="s">
        <v>100</v>
      </c>
      <c r="L16" s="27" t="s">
        <v>101</v>
      </c>
      <c r="M16" s="27" t="s">
        <v>102</v>
      </c>
    </row>
    <row r="17" spans="1:13" x14ac:dyDescent="0.3">
      <c r="A17" s="59" t="s">
        <v>120</v>
      </c>
      <c r="B17" s="59" t="s">
        <v>55</v>
      </c>
      <c r="C17" s="59" t="s">
        <v>115</v>
      </c>
      <c r="D17" s="78">
        <v>35000</v>
      </c>
      <c r="E17" s="61">
        <v>500</v>
      </c>
      <c r="F17" s="78">
        <f>D17*$F$14</f>
        <v>17500</v>
      </c>
      <c r="G17" s="78">
        <f>D17*$G$14</f>
        <v>52500</v>
      </c>
      <c r="H17" s="69">
        <v>24292.979554341</v>
      </c>
      <c r="I17" s="69">
        <f>Detail!$E$9</f>
        <v>390.82399335666645</v>
      </c>
      <c r="J17" s="63">
        <f>H17-D17</f>
        <v>-10707.020445659</v>
      </c>
      <c r="K17" s="63">
        <f>I17-E17</f>
        <v>-109.17600664333355</v>
      </c>
      <c r="L17" s="64">
        <f>J17/D17</f>
        <v>-0.30591486987597144</v>
      </c>
      <c r="M17" s="64">
        <f>K17/E17</f>
        <v>-0.21835201328666709</v>
      </c>
    </row>
    <row r="18" spans="1:13" x14ac:dyDescent="0.3">
      <c r="A18" s="60" t="s">
        <v>120</v>
      </c>
      <c r="B18" s="60" t="s">
        <v>103</v>
      </c>
      <c r="C18" s="60" t="s">
        <v>115</v>
      </c>
      <c r="D18" s="79">
        <v>25000</v>
      </c>
      <c r="E18" s="62">
        <v>750</v>
      </c>
      <c r="F18" s="79">
        <f t="shared" ref="F18:F22" si="0">D18*$F$14</f>
        <v>12500</v>
      </c>
      <c r="G18" s="79">
        <f t="shared" ref="G18:G22" si="1">D18*$G$14</f>
        <v>37500</v>
      </c>
      <c r="H18" s="70">
        <v>29658.398108050333</v>
      </c>
      <c r="I18" s="70">
        <f>Sample!$E$9</f>
        <v>874.42765991700287</v>
      </c>
      <c r="J18" s="65">
        <f t="shared" ref="J18:J22" si="2">H18-D18</f>
        <v>4658.3981080503327</v>
      </c>
      <c r="K18" s="65">
        <f t="shared" ref="K18:K22" si="3">I18-E18</f>
        <v>124.42765991700287</v>
      </c>
      <c r="L18" s="66">
        <f t="shared" ref="L18:L22" si="4">J18/D18</f>
        <v>0.18633592432201332</v>
      </c>
      <c r="M18" s="66">
        <f t="shared" ref="M18:M22" si="5">K18/E18</f>
        <v>0.16590354655600384</v>
      </c>
    </row>
    <row r="19" spans="1:13" x14ac:dyDescent="0.3">
      <c r="A19" s="60" t="s">
        <v>120</v>
      </c>
      <c r="B19" s="60" t="s">
        <v>105</v>
      </c>
      <c r="C19" s="60" t="s">
        <v>117</v>
      </c>
      <c r="D19" s="79">
        <v>5300</v>
      </c>
      <c r="E19" s="62">
        <v>250</v>
      </c>
      <c r="F19" s="79">
        <f t="shared" si="0"/>
        <v>2650</v>
      </c>
      <c r="G19" s="79">
        <f t="shared" si="1"/>
        <v>7950</v>
      </c>
      <c r="H19" s="70">
        <v>7950</v>
      </c>
      <c r="I19" s="70">
        <f>Vch!$E$9</f>
        <v>299.16070715714329</v>
      </c>
      <c r="J19" s="65">
        <f t="shared" si="2"/>
        <v>2650</v>
      </c>
      <c r="K19" s="65">
        <f t="shared" si="3"/>
        <v>49.160707157143293</v>
      </c>
      <c r="L19" s="66">
        <f t="shared" si="4"/>
        <v>0.5</v>
      </c>
      <c r="M19" s="66">
        <f t="shared" si="5"/>
        <v>0.19664282862857316</v>
      </c>
    </row>
    <row r="20" spans="1:13" x14ac:dyDescent="0.3">
      <c r="A20" s="60" t="s">
        <v>120</v>
      </c>
      <c r="B20" s="60" t="s">
        <v>16</v>
      </c>
      <c r="C20" s="60" t="s">
        <v>107</v>
      </c>
      <c r="D20" s="79">
        <v>33800</v>
      </c>
      <c r="E20" s="62">
        <v>250</v>
      </c>
      <c r="F20" s="79">
        <f t="shared" si="0"/>
        <v>16900</v>
      </c>
      <c r="G20" s="79">
        <f t="shared" si="1"/>
        <v>50700</v>
      </c>
      <c r="H20" s="70">
        <v>37779.264642463429</v>
      </c>
      <c r="I20" s="70">
        <f>DTC!$E$9</f>
        <v>312.03439971144991</v>
      </c>
      <c r="J20" s="65">
        <f t="shared" si="2"/>
        <v>3979.2646424634295</v>
      </c>
      <c r="K20" s="65">
        <f t="shared" si="3"/>
        <v>62.034399711449907</v>
      </c>
      <c r="L20" s="66">
        <f t="shared" si="4"/>
        <v>0.11772972314980561</v>
      </c>
      <c r="M20" s="66">
        <f t="shared" si="5"/>
        <v>0.24813759884579964</v>
      </c>
    </row>
    <row r="21" spans="1:13" x14ac:dyDescent="0.3">
      <c r="A21" s="60" t="s">
        <v>120</v>
      </c>
      <c r="B21" s="60" t="s">
        <v>106</v>
      </c>
      <c r="C21" s="60" t="s">
        <v>107</v>
      </c>
      <c r="D21" s="79">
        <v>3300</v>
      </c>
      <c r="E21" s="62">
        <v>100</v>
      </c>
      <c r="F21" s="79">
        <f t="shared" si="0"/>
        <v>1650</v>
      </c>
      <c r="G21" s="79">
        <f t="shared" si="1"/>
        <v>4950</v>
      </c>
      <c r="H21" s="70">
        <v>4932.2035272414478</v>
      </c>
      <c r="I21" s="70">
        <f>MCM!$E$9</f>
        <v>165.695596653514</v>
      </c>
      <c r="J21" s="65">
        <f t="shared" si="2"/>
        <v>1632.2035272414478</v>
      </c>
      <c r="K21" s="65">
        <f t="shared" si="3"/>
        <v>65.695596653514002</v>
      </c>
      <c r="L21" s="66">
        <f t="shared" si="4"/>
        <v>0.49460712946710539</v>
      </c>
      <c r="M21" s="66">
        <f t="shared" si="5"/>
        <v>0.65695596653513999</v>
      </c>
    </row>
    <row r="22" spans="1:13" x14ac:dyDescent="0.3">
      <c r="A22" s="60" t="s">
        <v>120</v>
      </c>
      <c r="B22" s="60" t="s">
        <v>104</v>
      </c>
      <c r="C22" s="60" t="s">
        <v>116</v>
      </c>
      <c r="D22" s="79">
        <v>7300</v>
      </c>
      <c r="E22" s="62">
        <v>150</v>
      </c>
      <c r="F22" s="79">
        <f t="shared" si="0"/>
        <v>3650</v>
      </c>
      <c r="G22" s="79">
        <f t="shared" si="1"/>
        <v>10950</v>
      </c>
      <c r="H22" s="70">
        <v>5387.2633335665441</v>
      </c>
      <c r="I22" s="70">
        <f>MMF!$E$9</f>
        <v>133.15905562430595</v>
      </c>
      <c r="J22" s="65">
        <f t="shared" si="2"/>
        <v>-1912.7366664334559</v>
      </c>
      <c r="K22" s="65">
        <f t="shared" si="3"/>
        <v>-16.84094437569405</v>
      </c>
      <c r="L22" s="66">
        <f t="shared" si="4"/>
        <v>-0.26201872142924054</v>
      </c>
      <c r="M22" s="66">
        <f t="shared" si="5"/>
        <v>-0.112272962504627</v>
      </c>
    </row>
    <row r="23" spans="1:13" x14ac:dyDescent="0.3">
      <c r="A23" s="80" t="s">
        <v>120</v>
      </c>
      <c r="B23" s="80" t="s">
        <v>119</v>
      </c>
      <c r="C23" s="80"/>
      <c r="D23" s="81">
        <f t="shared" ref="D23:K23" si="6">SUM(D17:D22)</f>
        <v>109700</v>
      </c>
      <c r="E23" s="82">
        <f t="shared" si="6"/>
        <v>2000</v>
      </c>
      <c r="F23" s="81">
        <f t="shared" si="6"/>
        <v>54850</v>
      </c>
      <c r="G23" s="81">
        <f t="shared" si="6"/>
        <v>164550</v>
      </c>
      <c r="H23" s="88">
        <f t="shared" si="6"/>
        <v>110000.10916566275</v>
      </c>
      <c r="I23" s="81">
        <f t="shared" si="6"/>
        <v>2175.3014124200822</v>
      </c>
      <c r="J23" s="81">
        <f t="shared" si="6"/>
        <v>300.10916566275409</v>
      </c>
      <c r="K23" s="81">
        <f t="shared" si="6"/>
        <v>175.30141242008247</v>
      </c>
      <c r="L23" s="84">
        <f>J23/D23</f>
        <v>2.7357262138810764E-3</v>
      </c>
      <c r="M23" s="84">
        <f t="shared" ref="M23" si="7">K23/E23</f>
        <v>8.7650706210041229E-2</v>
      </c>
    </row>
  </sheetData>
  <mergeCells count="10">
    <mergeCell ref="H15:I15"/>
    <mergeCell ref="J15:M15"/>
    <mergeCell ref="A11:A12"/>
    <mergeCell ref="E5:I5"/>
    <mergeCell ref="E6:I6"/>
    <mergeCell ref="A15:A16"/>
    <mergeCell ref="B15:B16"/>
    <mergeCell ref="C15:C16"/>
    <mergeCell ref="D15:E15"/>
    <mergeCell ref="F15:G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N45"/>
  <sheetViews>
    <sheetView workbookViewId="0">
      <selection activeCell="D17" sqref="D17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0.5546875" style="1" bestFit="1" customWidth="1"/>
    <col min="13" max="13" width="12.33203125" style="1" bestFit="1" customWidth="1"/>
    <col min="14" max="16384" width="8.88671875" style="1"/>
  </cols>
  <sheetData>
    <row r="1" spans="1:14" ht="14.4" thickBot="1" x14ac:dyDescent="0.35">
      <c r="A1" s="6" t="s">
        <v>2</v>
      </c>
      <c r="B1" s="1" t="s">
        <v>57</v>
      </c>
    </row>
    <row r="2" spans="1:14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4" ht="14.4" thickBot="1" x14ac:dyDescent="0.35">
      <c r="A3" s="11" t="s">
        <v>5</v>
      </c>
      <c r="B3" s="12" t="s">
        <v>121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4" ht="14.4" thickBot="1" x14ac:dyDescent="0.35">
      <c r="A4" s="31" t="s">
        <v>40</v>
      </c>
      <c r="B4" s="134" t="s">
        <v>59</v>
      </c>
      <c r="C4" s="134"/>
      <c r="D4" s="135"/>
    </row>
    <row r="6" spans="1:14" ht="14.4" thickBot="1" x14ac:dyDescent="0.35"/>
    <row r="7" spans="1:14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I7" s="145" t="s">
        <v>75</v>
      </c>
      <c r="J7" s="145"/>
      <c r="K7" s="145"/>
      <c r="L7" s="145"/>
      <c r="N7" s="49" t="s">
        <v>60</v>
      </c>
    </row>
    <row r="8" spans="1:14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  <c r="I8" s="145"/>
      <c r="J8" s="145"/>
      <c r="K8" s="145"/>
      <c r="L8" s="145"/>
      <c r="N8" s="49" t="s">
        <v>61</v>
      </c>
    </row>
    <row r="9" spans="1:14" ht="14.4" thickBot="1" x14ac:dyDescent="0.35">
      <c r="A9" s="138"/>
      <c r="B9" s="89">
        <f>Optimization_Scenario!F17</f>
        <v>17500</v>
      </c>
      <c r="C9" s="90">
        <f>Optimization_Scenario!G17</f>
        <v>52500</v>
      </c>
      <c r="D9" s="98">
        <f>Optimization_Scenario!$H$17</f>
        <v>24292.979554341</v>
      </c>
      <c r="E9" s="96">
        <f>csplinePred($B$12:$B$15,$C$12:$C$15,$F$12:$M$15,D9)</f>
        <v>390.82399335666645</v>
      </c>
      <c r="F9" s="92">
        <f>Optimization_Scenario!D17</f>
        <v>35000</v>
      </c>
      <c r="G9" s="93">
        <f>Optimization_Scenario!E17</f>
        <v>500</v>
      </c>
    </row>
    <row r="10" spans="1:14" ht="14.4" thickBot="1" x14ac:dyDescent="0.35"/>
    <row r="11" spans="1:14" ht="13.8" customHeight="1" x14ac:dyDescent="0.3">
      <c r="A11" s="122" t="s">
        <v>62</v>
      </c>
      <c r="B11" s="51" t="s">
        <v>63</v>
      </c>
      <c r="C11" s="51" t="s">
        <v>64</v>
      </c>
      <c r="D11" s="34"/>
      <c r="E11" s="123" t="s">
        <v>73</v>
      </c>
      <c r="F11" s="50" t="s">
        <v>65</v>
      </c>
      <c r="G11" s="50" t="s">
        <v>66</v>
      </c>
      <c r="H11" s="50" t="s">
        <v>67</v>
      </c>
      <c r="I11" s="50" t="s">
        <v>68</v>
      </c>
      <c r="J11" s="50" t="s">
        <v>69</v>
      </c>
      <c r="K11" s="50" t="s">
        <v>70</v>
      </c>
      <c r="L11" s="50" t="s">
        <v>71</v>
      </c>
      <c r="M11" s="50" t="s">
        <v>72</v>
      </c>
    </row>
    <row r="12" spans="1:14" ht="14.4" customHeight="1" x14ac:dyDescent="0.3">
      <c r="A12" s="122"/>
      <c r="B12" s="95">
        <v>0</v>
      </c>
      <c r="C12" s="43">
        <v>0</v>
      </c>
      <c r="D12" s="34"/>
      <c r="E12" s="124"/>
      <c r="F12" s="45">
        <f t="array" ref="F12:M15">csplinea(B12:B15,C12:C15,B12:B13,2)</f>
        <v>25000</v>
      </c>
      <c r="G12" s="45">
        <v>0</v>
      </c>
      <c r="H12" s="45">
        <v>1</v>
      </c>
      <c r="I12" s="46">
        <v>0</v>
      </c>
      <c r="J12" s="46">
        <v>0</v>
      </c>
      <c r="K12" s="46">
        <v>1.7577060931899643E-2</v>
      </c>
      <c r="L12" s="46">
        <v>0</v>
      </c>
      <c r="M12" s="46">
        <v>-2.523297491039426E-12</v>
      </c>
    </row>
    <row r="13" spans="1:14" ht="14.4" customHeight="1" x14ac:dyDescent="0.3">
      <c r="A13" s="122"/>
      <c r="B13" s="95">
        <v>25000</v>
      </c>
      <c r="C13" s="43">
        <v>400</v>
      </c>
      <c r="D13" s="34"/>
      <c r="E13" s="124"/>
      <c r="F13" s="45">
        <v>15000</v>
      </c>
      <c r="G13" s="45">
        <v>-1.7999999999999999E-2</v>
      </c>
      <c r="H13" s="45">
        <v>80000</v>
      </c>
      <c r="I13" s="46">
        <v>0.1875</v>
      </c>
      <c r="J13" s="46">
        <v>-2.2499999999999999E-7</v>
      </c>
      <c r="K13" s="46">
        <v>1.2845878136200717E-2</v>
      </c>
      <c r="L13" s="46">
        <v>-1.8924731182795696E-7</v>
      </c>
      <c r="M13" s="46">
        <v>-3.1859816806054871E-14</v>
      </c>
    </row>
    <row r="14" spans="1:14" ht="14.4" customHeight="1" x14ac:dyDescent="0.3">
      <c r="A14" s="122"/>
      <c r="B14" s="95">
        <v>40000</v>
      </c>
      <c r="C14" s="43">
        <v>550</v>
      </c>
      <c r="D14" s="34"/>
      <c r="E14" s="124"/>
      <c r="F14" s="45">
        <v>30000</v>
      </c>
      <c r="G14" s="45">
        <v>-2.0000000000000004E-2</v>
      </c>
      <c r="H14" s="45">
        <v>87187.5</v>
      </c>
      <c r="I14" s="46">
        <v>0.34408602150537637</v>
      </c>
      <c r="J14" s="46">
        <v>-1.9068100358422943E-7</v>
      </c>
      <c r="K14" s="46">
        <v>7.1469534050179221E-3</v>
      </c>
      <c r="L14" s="46">
        <v>-1.9068100358422943E-7</v>
      </c>
      <c r="M14" s="46">
        <v>2.1186778176025492E-12</v>
      </c>
    </row>
    <row r="15" spans="1:14" ht="14.4" customHeight="1" x14ac:dyDescent="0.3">
      <c r="A15" s="122"/>
      <c r="B15" s="95">
        <v>70000</v>
      </c>
      <c r="C15" s="43">
        <v>650</v>
      </c>
      <c r="D15" s="34"/>
      <c r="E15" s="124"/>
      <c r="F15" s="45">
        <v>0</v>
      </c>
      <c r="G15" s="45">
        <v>0</v>
      </c>
      <c r="H15" s="45">
        <v>1</v>
      </c>
      <c r="I15" s="46">
        <v>0</v>
      </c>
      <c r="J15" s="46">
        <v>0</v>
      </c>
      <c r="K15" s="46">
        <v>0</v>
      </c>
      <c r="L15" s="46">
        <v>0</v>
      </c>
      <c r="M15" s="46">
        <v>0</v>
      </c>
    </row>
    <row r="16" spans="1:14" ht="39" customHeight="1" x14ac:dyDescent="0.3">
      <c r="A16" s="125" t="s">
        <v>76</v>
      </c>
      <c r="B16" s="126"/>
      <c r="C16" s="127"/>
      <c r="D16" s="35"/>
      <c r="E16" s="131" t="s">
        <v>77</v>
      </c>
      <c r="F16" s="131"/>
      <c r="G16" s="131"/>
      <c r="H16" s="131"/>
      <c r="I16" s="131"/>
      <c r="J16" s="131"/>
      <c r="K16" s="131"/>
      <c r="L16" s="131"/>
      <c r="M16" s="131"/>
    </row>
    <row r="17" spans="1:13" ht="35.4" customHeight="1" x14ac:dyDescent="0.3">
      <c r="A17" s="128"/>
      <c r="B17" s="129"/>
      <c r="C17" s="130"/>
      <c r="D17" s="35"/>
      <c r="E17" s="131"/>
      <c r="F17" s="131"/>
      <c r="G17" s="131"/>
      <c r="H17" s="131"/>
      <c r="I17" s="131"/>
      <c r="J17" s="131"/>
      <c r="K17" s="131"/>
      <c r="L17" s="131"/>
      <c r="M17" s="131"/>
    </row>
    <row r="19" spans="1:13" ht="14.4" thickBot="1" x14ac:dyDescent="0.35"/>
    <row r="20" spans="1:13" ht="16.8" customHeight="1" x14ac:dyDescent="0.3">
      <c r="A20" s="132" t="s">
        <v>36</v>
      </c>
      <c r="B20" s="50" t="s">
        <v>34</v>
      </c>
      <c r="C20" s="50" t="s">
        <v>33</v>
      </c>
      <c r="D20" s="15" t="s">
        <v>35</v>
      </c>
    </row>
    <row r="21" spans="1:13" ht="23.4" customHeight="1" thickBot="1" x14ac:dyDescent="0.35">
      <c r="A21" s="133"/>
      <c r="B21" s="94">
        <v>0</v>
      </c>
      <c r="C21" s="85">
        <v>70000</v>
      </c>
      <c r="D21" s="26">
        <v>20</v>
      </c>
    </row>
    <row r="23" spans="1:13" x14ac:dyDescent="0.3">
      <c r="A23" s="122" t="s">
        <v>39</v>
      </c>
      <c r="B23" s="122"/>
    </row>
    <row r="24" spans="1:13" x14ac:dyDescent="0.3">
      <c r="A24" s="51" t="s">
        <v>37</v>
      </c>
      <c r="B24" s="51" t="s">
        <v>38</v>
      </c>
    </row>
    <row r="25" spans="1:13" x14ac:dyDescent="0.3">
      <c r="A25" s="2">
        <f>B21</f>
        <v>0</v>
      </c>
      <c r="B25" s="97">
        <f t="shared" ref="B25:B45" si="0">csplinePred($B$12:$B$15,$C$12:$C$15,$F$12:$M$15,A25)</f>
        <v>0</v>
      </c>
    </row>
    <row r="26" spans="1:13" x14ac:dyDescent="0.3">
      <c r="A26" s="2">
        <f>A25+(($C$21-$B$21)/$D$21)</f>
        <v>3500</v>
      </c>
      <c r="B26" s="97">
        <f t="shared" si="0"/>
        <v>61.411526881720434</v>
      </c>
    </row>
    <row r="27" spans="1:13" x14ac:dyDescent="0.3">
      <c r="A27" s="2">
        <f t="shared" ref="A27:A45" si="1">A26+(($C$21-$B$21)/$D$21)</f>
        <v>7000</v>
      </c>
      <c r="B27" s="97">
        <f t="shared" si="0"/>
        <v>122.17393548387096</v>
      </c>
    </row>
    <row r="28" spans="1:13" x14ac:dyDescent="0.3">
      <c r="A28" s="2">
        <f t="shared" si="1"/>
        <v>10500</v>
      </c>
      <c r="B28" s="97">
        <f t="shared" si="0"/>
        <v>181.63810752688173</v>
      </c>
    </row>
    <row r="29" spans="1:13" x14ac:dyDescent="0.3">
      <c r="A29" s="2">
        <f t="shared" si="1"/>
        <v>14000</v>
      </c>
      <c r="B29" s="97">
        <f t="shared" si="0"/>
        <v>239.1549247311828</v>
      </c>
    </row>
    <row r="30" spans="1:13" x14ac:dyDescent="0.3">
      <c r="A30" s="2">
        <f t="shared" si="1"/>
        <v>17500</v>
      </c>
      <c r="B30" s="97">
        <f t="shared" si="0"/>
        <v>294.07526881720429</v>
      </c>
    </row>
    <row r="31" spans="1:13" x14ac:dyDescent="0.3">
      <c r="A31" s="2">
        <f t="shared" si="1"/>
        <v>21000</v>
      </c>
      <c r="B31" s="97">
        <f t="shared" si="0"/>
        <v>345.75002150537637</v>
      </c>
    </row>
    <row r="32" spans="1:13" x14ac:dyDescent="0.3">
      <c r="A32" s="2">
        <f t="shared" si="1"/>
        <v>24500</v>
      </c>
      <c r="B32" s="97">
        <f t="shared" si="0"/>
        <v>393.53006451612907</v>
      </c>
    </row>
    <row r="33" spans="1:2" x14ac:dyDescent="0.3">
      <c r="A33" s="2">
        <f t="shared" si="1"/>
        <v>28000</v>
      </c>
      <c r="B33" s="97">
        <f t="shared" si="0"/>
        <v>436.83354838709676</v>
      </c>
    </row>
    <row r="34" spans="1:2" x14ac:dyDescent="0.3">
      <c r="A34" s="2">
        <f t="shared" si="1"/>
        <v>31500</v>
      </c>
      <c r="B34" s="97">
        <f t="shared" si="0"/>
        <v>475.49375945838312</v>
      </c>
    </row>
    <row r="35" spans="1:2" x14ac:dyDescent="0.3">
      <c r="A35" s="2">
        <f t="shared" si="1"/>
        <v>35000</v>
      </c>
      <c r="B35" s="97">
        <f t="shared" si="0"/>
        <v>509.50219036240537</v>
      </c>
    </row>
    <row r="36" spans="1:2" x14ac:dyDescent="0.3">
      <c r="A36" s="2">
        <f t="shared" si="1"/>
        <v>38500</v>
      </c>
      <c r="B36" s="97">
        <f t="shared" si="0"/>
        <v>538.85064516129034</v>
      </c>
    </row>
    <row r="37" spans="1:2" x14ac:dyDescent="0.3">
      <c r="A37" s="2">
        <f>A36+(($C$21-$B$21)/$D$21)</f>
        <v>42000</v>
      </c>
      <c r="B37" s="97">
        <f t="shared" si="0"/>
        <v>563.54813221823974</v>
      </c>
    </row>
    <row r="38" spans="1:2" x14ac:dyDescent="0.3">
      <c r="A38" s="2">
        <f t="shared" si="1"/>
        <v>45500</v>
      </c>
      <c r="B38" s="97">
        <f t="shared" si="0"/>
        <v>583.89263839107923</v>
      </c>
    </row>
    <row r="39" spans="1:2" x14ac:dyDescent="0.3">
      <c r="A39" s="2">
        <f t="shared" si="1"/>
        <v>49000</v>
      </c>
      <c r="B39" s="97">
        <f t="shared" si="0"/>
        <v>600.42193548387093</v>
      </c>
    </row>
    <row r="40" spans="1:2" x14ac:dyDescent="0.3">
      <c r="A40" s="2">
        <f t="shared" si="1"/>
        <v>52500</v>
      </c>
      <c r="B40" s="97">
        <f t="shared" si="0"/>
        <v>613.68105336519318</v>
      </c>
    </row>
    <row r="41" spans="1:2" x14ac:dyDescent="0.3">
      <c r="A41" s="2">
        <f t="shared" si="1"/>
        <v>56000</v>
      </c>
      <c r="B41" s="97">
        <f t="shared" si="0"/>
        <v>624.21502190362412</v>
      </c>
    </row>
    <row r="42" spans="1:2" x14ac:dyDescent="0.3">
      <c r="A42" s="2">
        <f t="shared" si="1"/>
        <v>59500</v>
      </c>
      <c r="B42" s="97">
        <f t="shared" si="0"/>
        <v>632.56887096774199</v>
      </c>
    </row>
    <row r="43" spans="1:2" x14ac:dyDescent="0.3">
      <c r="A43" s="2">
        <f t="shared" si="1"/>
        <v>63000</v>
      </c>
      <c r="B43" s="97">
        <f t="shared" si="0"/>
        <v>639.28763042612502</v>
      </c>
    </row>
    <row r="44" spans="1:2" x14ac:dyDescent="0.3">
      <c r="A44" s="2">
        <f>A43+(($C$21-$B$21)/$D$21)</f>
        <v>66500</v>
      </c>
      <c r="B44" s="97">
        <f t="shared" si="0"/>
        <v>644.91633014735169</v>
      </c>
    </row>
    <row r="45" spans="1:2" x14ac:dyDescent="0.3">
      <c r="A45" s="2">
        <f t="shared" si="1"/>
        <v>70000</v>
      </c>
      <c r="B45" s="97">
        <f t="shared" si="0"/>
        <v>650</v>
      </c>
    </row>
  </sheetData>
  <mergeCells count="14">
    <mergeCell ref="F7:G7"/>
    <mergeCell ref="I7:L8"/>
    <mergeCell ref="F2:L2"/>
    <mergeCell ref="F3:L3"/>
    <mergeCell ref="A23:B23"/>
    <mergeCell ref="B4:D4"/>
    <mergeCell ref="A7:A9"/>
    <mergeCell ref="B7:C7"/>
    <mergeCell ref="D7:E7"/>
    <mergeCell ref="A11:A15"/>
    <mergeCell ref="E11:E15"/>
    <mergeCell ref="A16:C17"/>
    <mergeCell ref="E16:M17"/>
    <mergeCell ref="A20:A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N45"/>
  <sheetViews>
    <sheetView topLeftCell="A22" workbookViewId="0">
      <selection activeCell="D9" sqref="D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0.5546875" style="1" bestFit="1" customWidth="1"/>
    <col min="13" max="13" width="12.33203125" style="1" bestFit="1" customWidth="1"/>
    <col min="14" max="16384" width="8.88671875" style="1"/>
  </cols>
  <sheetData>
    <row r="1" spans="1:14" ht="14.4" thickBot="1" x14ac:dyDescent="0.35">
      <c r="A1" s="6" t="s">
        <v>2</v>
      </c>
      <c r="B1" s="1" t="s">
        <v>57</v>
      </c>
    </row>
    <row r="2" spans="1:14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4" ht="14.4" thickBot="1" x14ac:dyDescent="0.35">
      <c r="A3" s="11" t="s">
        <v>5</v>
      </c>
      <c r="B3" s="12" t="s">
        <v>58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4" ht="14.4" thickBot="1" x14ac:dyDescent="0.35">
      <c r="A4" s="31" t="s">
        <v>40</v>
      </c>
      <c r="B4" s="134" t="s">
        <v>59</v>
      </c>
      <c r="C4" s="134"/>
      <c r="D4" s="135"/>
    </row>
    <row r="6" spans="1:14" ht="14.4" thickBot="1" x14ac:dyDescent="0.35"/>
    <row r="7" spans="1:14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I7" s="145" t="s">
        <v>75</v>
      </c>
      <c r="J7" s="145"/>
      <c r="K7" s="145"/>
      <c r="L7" s="145"/>
      <c r="N7" s="49" t="s">
        <v>60</v>
      </c>
    </row>
    <row r="8" spans="1:14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  <c r="I8" s="145"/>
      <c r="J8" s="145"/>
      <c r="K8" s="145"/>
      <c r="L8" s="145"/>
      <c r="N8" s="49" t="s">
        <v>61</v>
      </c>
    </row>
    <row r="9" spans="1:14" ht="14.4" thickBot="1" x14ac:dyDescent="0.35">
      <c r="A9" s="138"/>
      <c r="B9" s="89">
        <f>Optimization_Scenario!H18</f>
        <v>29658.398108050333</v>
      </c>
      <c r="C9" s="90">
        <f>Optimization_Scenario!G18</f>
        <v>37500</v>
      </c>
      <c r="D9" s="98">
        <f>Optimization_Scenario!$H$18</f>
        <v>29658.398108050333</v>
      </c>
      <c r="E9" s="96">
        <f>csplinePred($B$12:$B$15,$C$12:$C$15,$F$12:$M$15,D9)</f>
        <v>874.42765991700287</v>
      </c>
      <c r="F9" s="92">
        <f>Optimization_Scenario!D18</f>
        <v>25000</v>
      </c>
      <c r="G9" s="93">
        <f>Optimization_Scenario!E18</f>
        <v>750</v>
      </c>
    </row>
    <row r="10" spans="1:14" ht="14.4" thickBot="1" x14ac:dyDescent="0.35"/>
    <row r="11" spans="1:14" ht="13.8" customHeight="1" x14ac:dyDescent="0.3">
      <c r="A11" s="122" t="s">
        <v>62</v>
      </c>
      <c r="B11" s="51" t="s">
        <v>63</v>
      </c>
      <c r="C11" s="51" t="s">
        <v>64</v>
      </c>
      <c r="D11" s="34"/>
      <c r="E11" s="123" t="s">
        <v>73</v>
      </c>
      <c r="F11" s="50" t="s">
        <v>65</v>
      </c>
      <c r="G11" s="50" t="s">
        <v>66</v>
      </c>
      <c r="H11" s="50" t="s">
        <v>67</v>
      </c>
      <c r="I11" s="50" t="s">
        <v>68</v>
      </c>
      <c r="J11" s="50" t="s">
        <v>69</v>
      </c>
      <c r="K11" s="50" t="s">
        <v>70</v>
      </c>
      <c r="L11" s="50" t="s">
        <v>71</v>
      </c>
      <c r="M11" s="50" t="s">
        <v>72</v>
      </c>
    </row>
    <row r="12" spans="1:14" ht="14.4" customHeight="1" x14ac:dyDescent="0.3">
      <c r="A12" s="122"/>
      <c r="B12" s="95">
        <v>0</v>
      </c>
      <c r="C12" s="43">
        <v>0</v>
      </c>
      <c r="D12" s="34"/>
      <c r="E12" s="124"/>
      <c r="F12" s="45">
        <f t="array" ref="F12:M15">csplinea(B12:B15,C12:C15,B12:B13,2)</f>
        <v>10000</v>
      </c>
      <c r="G12" s="45">
        <v>0</v>
      </c>
      <c r="H12" s="45">
        <v>1</v>
      </c>
      <c r="I12" s="46">
        <v>0</v>
      </c>
      <c r="J12" s="46">
        <v>0</v>
      </c>
      <c r="K12" s="46">
        <v>1.4013986013986009E-3</v>
      </c>
      <c r="L12" s="46">
        <v>0</v>
      </c>
      <c r="M12" s="46">
        <v>8.5986013986013983E-11</v>
      </c>
    </row>
    <row r="13" spans="1:14" ht="14.4" customHeight="1" x14ac:dyDescent="0.3">
      <c r="A13" s="122"/>
      <c r="B13" s="95">
        <v>10000</v>
      </c>
      <c r="C13" s="43">
        <v>100</v>
      </c>
      <c r="D13" s="34"/>
      <c r="E13" s="124"/>
      <c r="F13" s="45">
        <v>25000</v>
      </c>
      <c r="G13" s="45">
        <v>5.8200000000000002E-2</v>
      </c>
      <c r="H13" s="45">
        <v>70000</v>
      </c>
      <c r="I13" s="46">
        <v>0.35714285714285715</v>
      </c>
      <c r="J13" s="46">
        <v>8.3142857142857144E-7</v>
      </c>
      <c r="K13" s="46">
        <v>2.7197202797202794E-2</v>
      </c>
      <c r="L13" s="46">
        <v>2.5795804195804196E-6</v>
      </c>
      <c r="M13" s="46">
        <v>-9.9658741258741254E-11</v>
      </c>
    </row>
    <row r="14" spans="1:14" ht="14.4" customHeight="1" x14ac:dyDescent="0.3">
      <c r="A14" s="122"/>
      <c r="B14" s="95">
        <v>35000</v>
      </c>
      <c r="C14" s="43">
        <v>835</v>
      </c>
      <c r="D14" s="34"/>
      <c r="E14" s="124"/>
      <c r="F14" s="45">
        <v>5000</v>
      </c>
      <c r="G14" s="45">
        <v>-0.22919999999999999</v>
      </c>
      <c r="H14" s="45">
        <v>51071.428571428572</v>
      </c>
      <c r="I14" s="46">
        <v>9.7902097902097904E-2</v>
      </c>
      <c r="J14" s="46">
        <v>-4.8948251748251746E-6</v>
      </c>
      <c r="K14" s="46">
        <v>-3.0683916083916084E-2</v>
      </c>
      <c r="L14" s="46">
        <v>-4.8948251748251746E-6</v>
      </c>
      <c r="M14" s="46">
        <v>3.263216783216783E-10</v>
      </c>
    </row>
    <row r="15" spans="1:14" ht="14.4" customHeight="1" x14ac:dyDescent="0.3">
      <c r="A15" s="122"/>
      <c r="B15" s="95">
        <v>40000</v>
      </c>
      <c r="C15" s="43">
        <v>600</v>
      </c>
      <c r="D15" s="34"/>
      <c r="E15" s="124"/>
      <c r="F15" s="45">
        <v>0</v>
      </c>
      <c r="G15" s="45">
        <v>0</v>
      </c>
      <c r="H15" s="45">
        <v>1</v>
      </c>
      <c r="I15" s="46">
        <v>0</v>
      </c>
      <c r="J15" s="46">
        <v>0</v>
      </c>
      <c r="K15" s="46">
        <v>0</v>
      </c>
      <c r="L15" s="46">
        <v>0</v>
      </c>
      <c r="M15" s="46">
        <v>0</v>
      </c>
    </row>
    <row r="16" spans="1:14" ht="39" customHeight="1" x14ac:dyDescent="0.3">
      <c r="A16" s="125" t="s">
        <v>76</v>
      </c>
      <c r="B16" s="126"/>
      <c r="C16" s="127"/>
      <c r="D16" s="35"/>
      <c r="E16" s="131" t="s">
        <v>77</v>
      </c>
      <c r="F16" s="131"/>
      <c r="G16" s="131"/>
      <c r="H16" s="131"/>
      <c r="I16" s="131"/>
      <c r="J16" s="131"/>
      <c r="K16" s="131"/>
      <c r="L16" s="131"/>
      <c r="M16" s="131"/>
    </row>
    <row r="17" spans="1:13" ht="35.4" customHeight="1" x14ac:dyDescent="0.3">
      <c r="A17" s="128"/>
      <c r="B17" s="129"/>
      <c r="C17" s="130"/>
      <c r="D17" s="35"/>
      <c r="E17" s="131"/>
      <c r="F17" s="131"/>
      <c r="G17" s="131"/>
      <c r="H17" s="131"/>
      <c r="I17" s="131"/>
      <c r="J17" s="131"/>
      <c r="K17" s="131"/>
      <c r="L17" s="131"/>
      <c r="M17" s="131"/>
    </row>
    <row r="19" spans="1:13" ht="14.4" thickBot="1" x14ac:dyDescent="0.35"/>
    <row r="20" spans="1:13" ht="16.8" customHeight="1" x14ac:dyDescent="0.3">
      <c r="A20" s="132" t="s">
        <v>36</v>
      </c>
      <c r="B20" s="50" t="s">
        <v>34</v>
      </c>
      <c r="C20" s="50" t="s">
        <v>33</v>
      </c>
      <c r="D20" s="15" t="s">
        <v>35</v>
      </c>
    </row>
    <row r="21" spans="1:13" ht="23.4" customHeight="1" thickBot="1" x14ac:dyDescent="0.35">
      <c r="A21" s="133"/>
      <c r="B21" s="94">
        <v>0</v>
      </c>
      <c r="C21" s="85">
        <v>40000</v>
      </c>
      <c r="D21" s="26">
        <v>20</v>
      </c>
    </row>
    <row r="23" spans="1:13" x14ac:dyDescent="0.3">
      <c r="A23" s="122" t="s">
        <v>39</v>
      </c>
      <c r="B23" s="122"/>
    </row>
    <row r="24" spans="1:13" x14ac:dyDescent="0.3">
      <c r="A24" s="51" t="s">
        <v>37</v>
      </c>
      <c r="B24" s="51" t="s">
        <v>38</v>
      </c>
    </row>
    <row r="25" spans="1:13" x14ac:dyDescent="0.3">
      <c r="A25" s="2">
        <f>B21</f>
        <v>0</v>
      </c>
      <c r="B25" s="97">
        <f t="shared" ref="B25:B45" si="0">csplinePred($B$12:$B$15,$C$12:$C$15,$F$12:$M$15,A25)</f>
        <v>0</v>
      </c>
    </row>
    <row r="26" spans="1:13" x14ac:dyDescent="0.3">
      <c r="A26" s="2">
        <f>A25+(($C$21-$B$21)/$D$21)</f>
        <v>2000</v>
      </c>
      <c r="B26" s="97">
        <f t="shared" si="0"/>
        <v>3.4906853146853134</v>
      </c>
    </row>
    <row r="27" spans="1:13" x14ac:dyDescent="0.3">
      <c r="A27" s="2">
        <f t="shared" ref="A27:A45" si="1">A26+(($C$21-$B$21)/$D$21)</f>
        <v>4000</v>
      </c>
      <c r="B27" s="97">
        <f t="shared" si="0"/>
        <v>11.108699300699298</v>
      </c>
    </row>
    <row r="28" spans="1:13" x14ac:dyDescent="0.3">
      <c r="A28" s="2">
        <f t="shared" si="1"/>
        <v>6000</v>
      </c>
      <c r="B28" s="97">
        <f t="shared" si="0"/>
        <v>26.981370629370623</v>
      </c>
    </row>
    <row r="29" spans="1:13" x14ac:dyDescent="0.3">
      <c r="A29" s="2">
        <f t="shared" si="1"/>
        <v>8000</v>
      </c>
      <c r="B29" s="97">
        <f t="shared" si="0"/>
        <v>55.236027972027962</v>
      </c>
    </row>
    <row r="30" spans="1:13" x14ac:dyDescent="0.3">
      <c r="A30" s="2">
        <f t="shared" si="1"/>
        <v>10000</v>
      </c>
      <c r="B30" s="97">
        <f t="shared" si="0"/>
        <v>100</v>
      </c>
    </row>
    <row r="31" spans="1:13" x14ac:dyDescent="0.3">
      <c r="A31" s="2">
        <f t="shared" si="1"/>
        <v>12000</v>
      </c>
      <c r="B31" s="97">
        <f t="shared" si="0"/>
        <v>163.91545734265733</v>
      </c>
    </row>
    <row r="32" spans="1:13" x14ac:dyDescent="0.3">
      <c r="A32" s="2">
        <f t="shared" si="1"/>
        <v>14000</v>
      </c>
      <c r="B32" s="97">
        <f t="shared" si="0"/>
        <v>243.68393846153845</v>
      </c>
    </row>
    <row r="33" spans="1:2" x14ac:dyDescent="0.3">
      <c r="A33" s="2">
        <f t="shared" si="1"/>
        <v>16000</v>
      </c>
      <c r="B33" s="97">
        <f t="shared" si="0"/>
        <v>334.52182377622375</v>
      </c>
    </row>
    <row r="34" spans="1:2" x14ac:dyDescent="0.3">
      <c r="A34" s="2">
        <f t="shared" si="1"/>
        <v>18000</v>
      </c>
      <c r="B34" s="97">
        <f t="shared" si="0"/>
        <v>431.64549370629368</v>
      </c>
    </row>
    <row r="35" spans="1:2" x14ac:dyDescent="0.3">
      <c r="A35" s="2">
        <f t="shared" si="1"/>
        <v>20000</v>
      </c>
      <c r="B35" s="97">
        <f t="shared" si="0"/>
        <v>530.27132867132866</v>
      </c>
    </row>
    <row r="36" spans="1:2" x14ac:dyDescent="0.3">
      <c r="A36" s="2">
        <f t="shared" si="1"/>
        <v>22000</v>
      </c>
      <c r="B36" s="97">
        <f t="shared" si="0"/>
        <v>625.61570909090904</v>
      </c>
    </row>
    <row r="37" spans="1:2" x14ac:dyDescent="0.3">
      <c r="A37" s="2">
        <f>A36+(($C$21-$B$21)/$D$21)</f>
        <v>24000</v>
      </c>
      <c r="B37" s="97">
        <f t="shared" si="0"/>
        <v>712.89501538461536</v>
      </c>
    </row>
    <row r="38" spans="1:2" x14ac:dyDescent="0.3">
      <c r="A38" s="2">
        <f t="shared" si="1"/>
        <v>26000</v>
      </c>
      <c r="B38" s="97">
        <f t="shared" si="0"/>
        <v>787.32562797202797</v>
      </c>
    </row>
    <row r="39" spans="1:2" x14ac:dyDescent="0.3">
      <c r="A39" s="2">
        <f t="shared" si="1"/>
        <v>28000</v>
      </c>
      <c r="B39" s="97">
        <f t="shared" si="0"/>
        <v>844.1239272727272</v>
      </c>
    </row>
    <row r="40" spans="1:2" x14ac:dyDescent="0.3">
      <c r="A40" s="2">
        <f t="shared" si="1"/>
        <v>30000</v>
      </c>
      <c r="B40" s="97">
        <f t="shared" si="0"/>
        <v>878.50629370629372</v>
      </c>
    </row>
    <row r="41" spans="1:2" x14ac:dyDescent="0.3">
      <c r="A41" s="2">
        <f t="shared" si="1"/>
        <v>32000</v>
      </c>
      <c r="B41" s="97">
        <f t="shared" si="0"/>
        <v>885.68910769230786</v>
      </c>
    </row>
    <row r="42" spans="1:2" x14ac:dyDescent="0.3">
      <c r="A42" s="2">
        <f t="shared" si="1"/>
        <v>34000</v>
      </c>
      <c r="B42" s="97">
        <f t="shared" si="0"/>
        <v>860.88874965034972</v>
      </c>
    </row>
    <row r="43" spans="1:2" x14ac:dyDescent="0.3">
      <c r="A43" s="2">
        <f t="shared" si="1"/>
        <v>36000</v>
      </c>
      <c r="B43" s="97">
        <f t="shared" si="0"/>
        <v>799.74758041958046</v>
      </c>
    </row>
    <row r="44" spans="1:2" x14ac:dyDescent="0.3">
      <c r="A44" s="2">
        <f>A43+(($C$21-$B$21)/$D$21)</f>
        <v>38000</v>
      </c>
      <c r="B44" s="97">
        <f t="shared" si="0"/>
        <v>707.70551048951052</v>
      </c>
    </row>
    <row r="45" spans="1:2" x14ac:dyDescent="0.3">
      <c r="A45" s="2">
        <f t="shared" si="1"/>
        <v>40000</v>
      </c>
      <c r="B45" s="97">
        <f t="shared" si="0"/>
        <v>600</v>
      </c>
    </row>
  </sheetData>
  <mergeCells count="14">
    <mergeCell ref="A23:B23"/>
    <mergeCell ref="F2:L2"/>
    <mergeCell ref="F3:L3"/>
    <mergeCell ref="B4:D4"/>
    <mergeCell ref="A7:A9"/>
    <mergeCell ref="B7:C7"/>
    <mergeCell ref="D7:E7"/>
    <mergeCell ref="F7:G7"/>
    <mergeCell ref="I7:L8"/>
    <mergeCell ref="A11:A15"/>
    <mergeCell ref="E11:E15"/>
    <mergeCell ref="A16:C17"/>
    <mergeCell ref="E16:M17"/>
    <mergeCell ref="A20:A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L43"/>
  <sheetViews>
    <sheetView workbookViewId="0">
      <selection activeCell="I14" sqref="I14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42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126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2" ht="31.8" customHeight="1" thickBot="1" x14ac:dyDescent="0.35">
      <c r="A4" s="31" t="s">
        <v>40</v>
      </c>
      <c r="B4" s="149" t="s">
        <v>128</v>
      </c>
      <c r="C4" s="150"/>
      <c r="D4" s="151"/>
    </row>
    <row r="5" spans="1:12" x14ac:dyDescent="0.3">
      <c r="E5" s="100">
        <v>1000</v>
      </c>
      <c r="F5" s="1" t="s">
        <v>127</v>
      </c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H7" s="1" t="s">
        <v>56</v>
      </c>
    </row>
    <row r="8" spans="1:12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</row>
    <row r="9" spans="1:12" ht="14.4" thickBot="1" x14ac:dyDescent="0.35">
      <c r="A9" s="138"/>
      <c r="B9" s="89">
        <f>Optimization_Scenario!F19</f>
        <v>2650</v>
      </c>
      <c r="C9" s="90">
        <f>Optimization_Scenario!G19</f>
        <v>7950</v>
      </c>
      <c r="D9" s="98">
        <f>Optimization_Scenario!$H$19</f>
        <v>7950</v>
      </c>
      <c r="E9" s="99">
        <f>$F$13*LN((D9/$E$5)+1)</f>
        <v>299.16070715714329</v>
      </c>
      <c r="F9" s="20">
        <f>Optimization_Scenario!D19</f>
        <v>5300</v>
      </c>
      <c r="G9" s="91">
        <f>Optimization_Scenario!E19</f>
        <v>250</v>
      </c>
    </row>
    <row r="10" spans="1:12" ht="14.4" thickBot="1" x14ac:dyDescent="0.35"/>
    <row r="11" spans="1:12" ht="27.6" customHeight="1" x14ac:dyDescent="0.3">
      <c r="A11" s="136" t="s">
        <v>44</v>
      </c>
      <c r="B11" s="119" t="s">
        <v>49</v>
      </c>
      <c r="C11" s="148" t="s">
        <v>48</v>
      </c>
      <c r="D11" s="143"/>
      <c r="E11" s="143"/>
      <c r="F11" s="51" t="s">
        <v>50</v>
      </c>
      <c r="G11" s="35"/>
      <c r="H11" s="34"/>
      <c r="I11" s="34"/>
      <c r="J11" s="34"/>
    </row>
    <row r="12" spans="1:12" x14ac:dyDescent="0.3">
      <c r="A12" s="146"/>
      <c r="B12" s="120"/>
      <c r="C12" s="32" t="s">
        <v>45</v>
      </c>
      <c r="D12" s="32" t="s">
        <v>46</v>
      </c>
      <c r="E12" s="33" t="s">
        <v>47</v>
      </c>
      <c r="F12" s="51" t="s">
        <v>51</v>
      </c>
      <c r="G12" s="35"/>
      <c r="H12" s="34"/>
      <c r="I12" s="34"/>
      <c r="J12" s="34"/>
    </row>
    <row r="13" spans="1:12" x14ac:dyDescent="0.3">
      <c r="A13" s="147"/>
      <c r="B13" s="29">
        <v>0</v>
      </c>
      <c r="C13" s="29">
        <v>0</v>
      </c>
      <c r="D13" s="29">
        <v>0</v>
      </c>
      <c r="E13" s="30">
        <v>0</v>
      </c>
      <c r="F13" s="39">
        <v>136.5</v>
      </c>
      <c r="G13" s="35"/>
      <c r="H13" s="34"/>
      <c r="I13" s="34"/>
      <c r="J13" s="34"/>
    </row>
    <row r="14" spans="1:12" ht="31.8" customHeight="1" x14ac:dyDescent="0.3">
      <c r="A14" s="131" t="s">
        <v>54</v>
      </c>
      <c r="B14" s="131"/>
      <c r="C14" s="131"/>
      <c r="D14" s="131"/>
      <c r="E14" s="131"/>
      <c r="F14" s="131"/>
      <c r="G14" s="40"/>
      <c r="H14" s="41"/>
      <c r="I14" s="41"/>
      <c r="J14" s="41"/>
    </row>
    <row r="15" spans="1:12" ht="30.6" customHeight="1" x14ac:dyDescent="0.3">
      <c r="A15" s="131"/>
      <c r="B15" s="131"/>
      <c r="C15" s="131"/>
      <c r="D15" s="131"/>
      <c r="E15" s="131"/>
      <c r="F15" s="131"/>
      <c r="G15" s="40"/>
      <c r="H15" s="41"/>
      <c r="I15" s="41"/>
      <c r="J15" s="41"/>
    </row>
    <row r="17" spans="1:4" ht="14.4" thickBot="1" x14ac:dyDescent="0.35"/>
    <row r="18" spans="1:4" ht="16.8" customHeight="1" x14ac:dyDescent="0.3">
      <c r="A18" s="132" t="s">
        <v>36</v>
      </c>
      <c r="B18" s="50" t="s">
        <v>34</v>
      </c>
      <c r="C18" s="50" t="s">
        <v>33</v>
      </c>
      <c r="D18" s="15" t="s">
        <v>35</v>
      </c>
    </row>
    <row r="19" spans="1:4" ht="23.4" customHeight="1" thickBot="1" x14ac:dyDescent="0.35">
      <c r="A19" s="133"/>
      <c r="B19" s="12">
        <v>0</v>
      </c>
      <c r="C19" s="12">
        <v>10000</v>
      </c>
      <c r="D19" s="26">
        <v>20</v>
      </c>
    </row>
    <row r="21" spans="1:4" x14ac:dyDescent="0.3">
      <c r="A21" s="122" t="s">
        <v>39</v>
      </c>
      <c r="B21" s="122"/>
    </row>
    <row r="22" spans="1:4" x14ac:dyDescent="0.3">
      <c r="A22" s="51" t="s">
        <v>37</v>
      </c>
      <c r="B22" s="51" t="s">
        <v>38</v>
      </c>
    </row>
    <row r="23" spans="1:4" x14ac:dyDescent="0.3">
      <c r="A23" s="2">
        <f>B19</f>
        <v>0</v>
      </c>
      <c r="B23" s="97">
        <f t="shared" ref="B23:B43" si="0">$F$13*LN((A23/$E$5)+1)</f>
        <v>0</v>
      </c>
    </row>
    <row r="24" spans="1:4" x14ac:dyDescent="0.3">
      <c r="A24" s="2">
        <f>A23+(($C$19-$B$19)/$D$19)</f>
        <v>500</v>
      </c>
      <c r="B24" s="97">
        <f t="shared" si="0"/>
        <v>55.345987256764438</v>
      </c>
    </row>
    <row r="25" spans="1:4" x14ac:dyDescent="0.3">
      <c r="A25" s="2">
        <f t="shared" ref="A25:A43" si="1">A24+(($C$19-$B$19)/$D$19)</f>
        <v>1000</v>
      </c>
      <c r="B25" s="97">
        <f t="shared" si="0"/>
        <v>94.614590146432533</v>
      </c>
    </row>
    <row r="26" spans="1:4" x14ac:dyDescent="0.3">
      <c r="A26" s="2">
        <f t="shared" si="1"/>
        <v>1500</v>
      </c>
      <c r="B26" s="97">
        <f t="shared" si="0"/>
        <v>125.07368490082217</v>
      </c>
    </row>
    <row r="27" spans="1:4" x14ac:dyDescent="0.3">
      <c r="A27" s="2">
        <f t="shared" si="1"/>
        <v>2000</v>
      </c>
      <c r="B27" s="97">
        <f t="shared" si="0"/>
        <v>149.96057740319699</v>
      </c>
    </row>
    <row r="28" spans="1:4" x14ac:dyDescent="0.3">
      <c r="A28" s="2">
        <f t="shared" si="1"/>
        <v>2500</v>
      </c>
      <c r="B28" s="97">
        <f t="shared" si="0"/>
        <v>171.00214519961773</v>
      </c>
    </row>
    <row r="29" spans="1:4" x14ac:dyDescent="0.3">
      <c r="A29" s="2">
        <f t="shared" si="1"/>
        <v>3000</v>
      </c>
      <c r="B29" s="97">
        <f t="shared" si="0"/>
        <v>189.22918029286507</v>
      </c>
    </row>
    <row r="30" spans="1:4" x14ac:dyDescent="0.3">
      <c r="A30" s="2">
        <f t="shared" si="1"/>
        <v>3500</v>
      </c>
      <c r="B30" s="97">
        <f t="shared" si="0"/>
        <v>205.30656465996142</v>
      </c>
    </row>
    <row r="31" spans="1:4" x14ac:dyDescent="0.3">
      <c r="A31" s="2">
        <f t="shared" si="1"/>
        <v>4000</v>
      </c>
      <c r="B31" s="97">
        <f t="shared" si="0"/>
        <v>219.68827504725468</v>
      </c>
    </row>
    <row r="32" spans="1:4" x14ac:dyDescent="0.3">
      <c r="A32" s="2">
        <f t="shared" si="1"/>
        <v>4500</v>
      </c>
      <c r="B32" s="97">
        <f t="shared" si="0"/>
        <v>232.69811459054506</v>
      </c>
    </row>
    <row r="33" spans="1:2" x14ac:dyDescent="0.3">
      <c r="A33" s="2">
        <f t="shared" si="1"/>
        <v>5000</v>
      </c>
      <c r="B33" s="97">
        <f t="shared" si="0"/>
        <v>244.5751675496295</v>
      </c>
    </row>
    <row r="34" spans="1:2" x14ac:dyDescent="0.3">
      <c r="A34" s="2">
        <f t="shared" si="1"/>
        <v>5500</v>
      </c>
      <c r="B34" s="97">
        <f t="shared" si="0"/>
        <v>255.50099714706721</v>
      </c>
    </row>
    <row r="35" spans="1:2" x14ac:dyDescent="0.3">
      <c r="A35" s="2">
        <f>A34+(($C$19-$B$19)/$D$19)</f>
        <v>6000</v>
      </c>
      <c r="B35" s="97">
        <f t="shared" si="0"/>
        <v>265.61673534605023</v>
      </c>
    </row>
    <row r="36" spans="1:2" x14ac:dyDescent="0.3">
      <c r="A36" s="2">
        <f t="shared" si="1"/>
        <v>6500</v>
      </c>
      <c r="B36" s="97">
        <f t="shared" si="0"/>
        <v>275.03426230401914</v>
      </c>
    </row>
    <row r="37" spans="1:2" x14ac:dyDescent="0.3">
      <c r="A37" s="2">
        <f t="shared" si="1"/>
        <v>7000</v>
      </c>
      <c r="B37" s="97">
        <f t="shared" si="0"/>
        <v>283.8437704392976</v>
      </c>
    </row>
    <row r="38" spans="1:2" x14ac:dyDescent="0.3">
      <c r="A38" s="2">
        <f t="shared" si="1"/>
        <v>7500</v>
      </c>
      <c r="B38" s="97">
        <f t="shared" si="0"/>
        <v>292.11903131724097</v>
      </c>
    </row>
    <row r="39" spans="1:2" x14ac:dyDescent="0.3">
      <c r="A39" s="2">
        <f t="shared" si="1"/>
        <v>8000</v>
      </c>
      <c r="B39" s="97">
        <f t="shared" si="0"/>
        <v>299.92115480639399</v>
      </c>
    </row>
    <row r="40" spans="1:2" x14ac:dyDescent="0.3">
      <c r="A40" s="2">
        <f t="shared" si="1"/>
        <v>8500</v>
      </c>
      <c r="B40" s="97">
        <f t="shared" si="0"/>
        <v>307.30133050978662</v>
      </c>
    </row>
    <row r="41" spans="1:2" x14ac:dyDescent="0.3">
      <c r="A41" s="2">
        <f t="shared" si="1"/>
        <v>9000</v>
      </c>
      <c r="B41" s="97">
        <f t="shared" si="0"/>
        <v>314.30286519368724</v>
      </c>
    </row>
    <row r="42" spans="1:2" x14ac:dyDescent="0.3">
      <c r="A42" s="2">
        <f>A41+(($C$19-$B$19)/$D$19)</f>
        <v>9500</v>
      </c>
      <c r="B42" s="97">
        <f t="shared" si="0"/>
        <v>320.96272260281472</v>
      </c>
    </row>
    <row r="43" spans="1:2" x14ac:dyDescent="0.3">
      <c r="A43" s="2">
        <f t="shared" si="1"/>
        <v>10000</v>
      </c>
      <c r="B43" s="97">
        <f t="shared" si="0"/>
        <v>327.31270473697759</v>
      </c>
    </row>
  </sheetData>
  <mergeCells count="13">
    <mergeCell ref="A21:B21"/>
    <mergeCell ref="F2:L2"/>
    <mergeCell ref="F3:L3"/>
    <mergeCell ref="B4:D4"/>
    <mergeCell ref="A7:A9"/>
    <mergeCell ref="B7:C7"/>
    <mergeCell ref="D7:E7"/>
    <mergeCell ref="F7:G7"/>
    <mergeCell ref="A11:A13"/>
    <mergeCell ref="B11:B12"/>
    <mergeCell ref="C11:E11"/>
    <mergeCell ref="A14:F15"/>
    <mergeCell ref="A18:A19"/>
  </mergeCells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L43"/>
  <sheetViews>
    <sheetView topLeftCell="A22" workbookViewId="0">
      <selection activeCell="F18" sqref="F18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42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104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2" ht="31.8" customHeight="1" thickBot="1" x14ac:dyDescent="0.35">
      <c r="A4" s="31" t="s">
        <v>40</v>
      </c>
      <c r="B4" s="149" t="s">
        <v>129</v>
      </c>
      <c r="C4" s="150"/>
      <c r="D4" s="151"/>
    </row>
    <row r="5" spans="1:12" x14ac:dyDescent="0.3">
      <c r="E5" s="102"/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H7" s="1" t="s">
        <v>56</v>
      </c>
    </row>
    <row r="8" spans="1:12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</row>
    <row r="9" spans="1:12" ht="14.4" thickBot="1" x14ac:dyDescent="0.35">
      <c r="A9" s="138"/>
      <c r="B9" s="89">
        <f>Optimization_Scenario!F22</f>
        <v>3650</v>
      </c>
      <c r="C9" s="90">
        <f>Optimization_Scenario!G22</f>
        <v>10950</v>
      </c>
      <c r="D9" s="98">
        <f>Optimization_Scenario!$H$22</f>
        <v>5387.2633335665441</v>
      </c>
      <c r="E9" s="99">
        <f>$C$13*D9+$D$13*D9*D9</f>
        <v>133.15905562430595</v>
      </c>
      <c r="F9" s="92">
        <f>Optimization_Scenario!D22</f>
        <v>7300</v>
      </c>
      <c r="G9" s="91">
        <f>Optimization_Scenario!E22</f>
        <v>150</v>
      </c>
    </row>
    <row r="10" spans="1:12" ht="14.4" thickBot="1" x14ac:dyDescent="0.35"/>
    <row r="11" spans="1:12" ht="27.6" customHeight="1" x14ac:dyDescent="0.3">
      <c r="A11" s="136" t="s">
        <v>44</v>
      </c>
      <c r="B11" s="119" t="s">
        <v>49</v>
      </c>
      <c r="C11" s="148" t="s">
        <v>48</v>
      </c>
      <c r="D11" s="143"/>
      <c r="E11" s="143"/>
      <c r="F11" s="51" t="s">
        <v>50</v>
      </c>
      <c r="G11" s="35"/>
      <c r="H11" s="34"/>
      <c r="I11" s="34"/>
      <c r="J11" s="34"/>
    </row>
    <row r="12" spans="1:12" x14ac:dyDescent="0.3">
      <c r="A12" s="146"/>
      <c r="B12" s="120"/>
      <c r="C12" s="32" t="s">
        <v>45</v>
      </c>
      <c r="D12" s="32" t="s">
        <v>46</v>
      </c>
      <c r="E12" s="33" t="s">
        <v>47</v>
      </c>
      <c r="F12" s="51" t="s">
        <v>51</v>
      </c>
      <c r="G12" s="35"/>
      <c r="H12" s="34"/>
      <c r="I12" s="34"/>
      <c r="J12" s="34"/>
    </row>
    <row r="13" spans="1:12" x14ac:dyDescent="0.3">
      <c r="A13" s="147"/>
      <c r="B13" s="29">
        <v>0</v>
      </c>
      <c r="C13" s="29">
        <v>3.6299999999999999E-2</v>
      </c>
      <c r="D13" s="101">
        <v>-2.1500000000000002E-6</v>
      </c>
      <c r="E13" s="30">
        <v>0</v>
      </c>
      <c r="F13" s="39">
        <v>0</v>
      </c>
      <c r="G13" s="35"/>
      <c r="H13" s="34"/>
      <c r="I13" s="34"/>
      <c r="J13" s="34"/>
    </row>
    <row r="14" spans="1:12" ht="31.8" customHeight="1" x14ac:dyDescent="0.3">
      <c r="A14" s="131" t="s">
        <v>54</v>
      </c>
      <c r="B14" s="131"/>
      <c r="C14" s="131"/>
      <c r="D14" s="131"/>
      <c r="E14" s="131"/>
      <c r="F14" s="131"/>
      <c r="G14" s="40"/>
      <c r="H14" s="41"/>
      <c r="I14" s="41"/>
      <c r="J14" s="41"/>
    </row>
    <row r="15" spans="1:12" ht="30.6" customHeight="1" x14ac:dyDescent="0.3">
      <c r="A15" s="131"/>
      <c r="B15" s="131"/>
      <c r="C15" s="131"/>
      <c r="D15" s="131"/>
      <c r="E15" s="131"/>
      <c r="F15" s="131"/>
      <c r="G15" s="40"/>
      <c r="H15" s="41"/>
      <c r="I15" s="41"/>
      <c r="J15" s="41"/>
    </row>
    <row r="17" spans="1:4" ht="14.4" thickBot="1" x14ac:dyDescent="0.35"/>
    <row r="18" spans="1:4" ht="16.8" customHeight="1" x14ac:dyDescent="0.3">
      <c r="A18" s="132" t="s">
        <v>36</v>
      </c>
      <c r="B18" s="50" t="s">
        <v>34</v>
      </c>
      <c r="C18" s="50" t="s">
        <v>33</v>
      </c>
      <c r="D18" s="15" t="s">
        <v>35</v>
      </c>
    </row>
    <row r="19" spans="1:4" ht="23.4" customHeight="1" thickBot="1" x14ac:dyDescent="0.35">
      <c r="A19" s="133"/>
      <c r="B19" s="12">
        <v>0</v>
      </c>
      <c r="C19" s="12">
        <v>15000</v>
      </c>
      <c r="D19" s="26">
        <v>20</v>
      </c>
    </row>
    <row r="21" spans="1:4" x14ac:dyDescent="0.3">
      <c r="A21" s="122" t="s">
        <v>39</v>
      </c>
      <c r="B21" s="122"/>
    </row>
    <row r="22" spans="1:4" x14ac:dyDescent="0.3">
      <c r="A22" s="51" t="s">
        <v>37</v>
      </c>
      <c r="B22" s="51" t="s">
        <v>38</v>
      </c>
    </row>
    <row r="23" spans="1:4" x14ac:dyDescent="0.3">
      <c r="A23" s="2">
        <f>B19</f>
        <v>0</v>
      </c>
      <c r="B23" s="97">
        <f t="shared" ref="B23:B43" si="0">$C$13*A23+$D$13*A23*A23</f>
        <v>0</v>
      </c>
    </row>
    <row r="24" spans="1:4" x14ac:dyDescent="0.3">
      <c r="A24" s="2">
        <f>A23+(($C$19-$B$19)/$D$19)</f>
        <v>750</v>
      </c>
      <c r="B24" s="97">
        <f t="shared" si="0"/>
        <v>26.015624999999996</v>
      </c>
    </row>
    <row r="25" spans="1:4" x14ac:dyDescent="0.3">
      <c r="A25" s="2">
        <f t="shared" ref="A25:A43" si="1">A24+(($C$19-$B$19)/$D$19)</f>
        <v>1500</v>
      </c>
      <c r="B25" s="97">
        <f t="shared" si="0"/>
        <v>49.612499999999997</v>
      </c>
    </row>
    <row r="26" spans="1:4" x14ac:dyDescent="0.3">
      <c r="A26" s="2">
        <f t="shared" si="1"/>
        <v>2250</v>
      </c>
      <c r="B26" s="97">
        <f t="shared" si="0"/>
        <v>70.790624999999991</v>
      </c>
    </row>
    <row r="27" spans="1:4" x14ac:dyDescent="0.3">
      <c r="A27" s="2">
        <f t="shared" si="1"/>
        <v>3000</v>
      </c>
      <c r="B27" s="97">
        <f t="shared" si="0"/>
        <v>89.549999999999983</v>
      </c>
    </row>
    <row r="28" spans="1:4" x14ac:dyDescent="0.3">
      <c r="A28" s="2">
        <f t="shared" si="1"/>
        <v>3750</v>
      </c>
      <c r="B28" s="97">
        <f t="shared" si="0"/>
        <v>105.890625</v>
      </c>
    </row>
    <row r="29" spans="1:4" x14ac:dyDescent="0.3">
      <c r="A29" s="2">
        <f t="shared" si="1"/>
        <v>4500</v>
      </c>
      <c r="B29" s="97">
        <f t="shared" si="0"/>
        <v>119.81249999999999</v>
      </c>
    </row>
    <row r="30" spans="1:4" x14ac:dyDescent="0.3">
      <c r="A30" s="2">
        <f t="shared" si="1"/>
        <v>5250</v>
      </c>
      <c r="B30" s="97">
        <f t="shared" si="0"/>
        <v>131.31562499999998</v>
      </c>
    </row>
    <row r="31" spans="1:4" x14ac:dyDescent="0.3">
      <c r="A31" s="2">
        <f t="shared" si="1"/>
        <v>6000</v>
      </c>
      <c r="B31" s="97">
        <f t="shared" si="0"/>
        <v>140.39999999999998</v>
      </c>
    </row>
    <row r="32" spans="1:4" x14ac:dyDescent="0.3">
      <c r="A32" s="2">
        <f t="shared" si="1"/>
        <v>6750</v>
      </c>
      <c r="B32" s="97">
        <f t="shared" si="0"/>
        <v>147.06562500000001</v>
      </c>
    </row>
    <row r="33" spans="1:2" x14ac:dyDescent="0.3">
      <c r="A33" s="2">
        <f t="shared" si="1"/>
        <v>7500</v>
      </c>
      <c r="B33" s="97">
        <f t="shared" si="0"/>
        <v>151.3125</v>
      </c>
    </row>
    <row r="34" spans="1:2" x14ac:dyDescent="0.3">
      <c r="A34" s="2">
        <f t="shared" si="1"/>
        <v>8250</v>
      </c>
      <c r="B34" s="97">
        <f t="shared" si="0"/>
        <v>153.14062499999997</v>
      </c>
    </row>
    <row r="35" spans="1:2" x14ac:dyDescent="0.3">
      <c r="A35" s="2">
        <f>A34+(($C$19-$B$19)/$D$19)</f>
        <v>9000</v>
      </c>
      <c r="B35" s="97">
        <f t="shared" si="0"/>
        <v>152.54999999999995</v>
      </c>
    </row>
    <row r="36" spans="1:2" x14ac:dyDescent="0.3">
      <c r="A36" s="2">
        <f t="shared" si="1"/>
        <v>9750</v>
      </c>
      <c r="B36" s="97">
        <f t="shared" si="0"/>
        <v>149.54062500000001</v>
      </c>
    </row>
    <row r="37" spans="1:2" x14ac:dyDescent="0.3">
      <c r="A37" s="2">
        <f t="shared" si="1"/>
        <v>10500</v>
      </c>
      <c r="B37" s="97">
        <f t="shared" si="0"/>
        <v>144.11249999999995</v>
      </c>
    </row>
    <row r="38" spans="1:2" x14ac:dyDescent="0.3">
      <c r="A38" s="2">
        <f t="shared" si="1"/>
        <v>11250</v>
      </c>
      <c r="B38" s="97">
        <f t="shared" si="0"/>
        <v>136.265625</v>
      </c>
    </row>
    <row r="39" spans="1:2" x14ac:dyDescent="0.3">
      <c r="A39" s="2">
        <f t="shared" si="1"/>
        <v>12000</v>
      </c>
      <c r="B39" s="97">
        <f t="shared" si="0"/>
        <v>125.99999999999994</v>
      </c>
    </row>
    <row r="40" spans="1:2" x14ac:dyDescent="0.3">
      <c r="A40" s="2">
        <f t="shared" si="1"/>
        <v>12750</v>
      </c>
      <c r="B40" s="97">
        <f t="shared" si="0"/>
        <v>113.31562499999995</v>
      </c>
    </row>
    <row r="41" spans="1:2" x14ac:dyDescent="0.3">
      <c r="A41" s="2">
        <f t="shared" si="1"/>
        <v>13500</v>
      </c>
      <c r="B41" s="97">
        <f t="shared" si="0"/>
        <v>98.212499999999977</v>
      </c>
    </row>
    <row r="42" spans="1:2" x14ac:dyDescent="0.3">
      <c r="A42" s="2">
        <f>A41+(($C$19-$B$19)/$D$19)</f>
        <v>14250</v>
      </c>
      <c r="B42" s="97">
        <f t="shared" si="0"/>
        <v>80.690624999999955</v>
      </c>
    </row>
    <row r="43" spans="1:2" x14ac:dyDescent="0.3">
      <c r="A43" s="2">
        <f t="shared" si="1"/>
        <v>15000</v>
      </c>
      <c r="B43" s="97">
        <f t="shared" si="0"/>
        <v>60.75</v>
      </c>
    </row>
  </sheetData>
  <mergeCells count="13">
    <mergeCell ref="A21:B21"/>
    <mergeCell ref="F2:L2"/>
    <mergeCell ref="F3:L3"/>
    <mergeCell ref="B4:D4"/>
    <mergeCell ref="A7:A9"/>
    <mergeCell ref="B7:C7"/>
    <mergeCell ref="D7:E7"/>
    <mergeCell ref="F7:G7"/>
    <mergeCell ref="A11:A13"/>
    <mergeCell ref="B11:B12"/>
    <mergeCell ref="C11:E11"/>
    <mergeCell ref="A14:F15"/>
    <mergeCell ref="A18:A19"/>
  </mergeCells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L42"/>
  <sheetViews>
    <sheetView workbookViewId="0">
      <selection activeCell="I17" sqref="I17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3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16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2" ht="14.4" thickBot="1" x14ac:dyDescent="0.35">
      <c r="A4" s="31" t="s">
        <v>40</v>
      </c>
      <c r="B4" s="134" t="s">
        <v>41</v>
      </c>
      <c r="C4" s="134"/>
      <c r="D4" s="135"/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</row>
    <row r="8" spans="1:12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</row>
    <row r="9" spans="1:12" ht="14.4" thickBot="1" x14ac:dyDescent="0.35">
      <c r="A9" s="138"/>
      <c r="B9" s="89">
        <f>Optimization_Scenario!F20</f>
        <v>16900</v>
      </c>
      <c r="C9" s="90">
        <f>Optimization_Scenario!G20</f>
        <v>50700</v>
      </c>
      <c r="D9" s="98">
        <f>Optimization_Scenario!$H$20</f>
        <v>37779.264642463429</v>
      </c>
      <c r="E9" s="104">
        <f>($J$12/(1+EXP($H$12+$I$12*D9)))-1</f>
        <v>312.03439971144991</v>
      </c>
      <c r="F9" s="92">
        <f>Optimization_Scenario!D20</f>
        <v>33800</v>
      </c>
      <c r="G9" s="91">
        <f>Optimization_Scenario!E20</f>
        <v>250</v>
      </c>
    </row>
    <row r="10" spans="1:12" ht="14.4" thickBot="1" x14ac:dyDescent="0.35"/>
    <row r="11" spans="1:12" x14ac:dyDescent="0.3">
      <c r="A11" s="136" t="s">
        <v>17</v>
      </c>
      <c r="B11" s="50" t="s">
        <v>18</v>
      </c>
      <c r="C11" s="50" t="s">
        <v>19</v>
      </c>
      <c r="D11" s="50" t="s">
        <v>20</v>
      </c>
      <c r="E11" s="15" t="s">
        <v>21</v>
      </c>
      <c r="G11" s="136" t="s">
        <v>27</v>
      </c>
      <c r="H11" s="50" t="s">
        <v>28</v>
      </c>
      <c r="I11" s="50" t="s">
        <v>29</v>
      </c>
      <c r="J11" s="15" t="s">
        <v>30</v>
      </c>
    </row>
    <row r="12" spans="1:12" ht="14.4" thickBot="1" x14ac:dyDescent="0.35">
      <c r="A12" s="138"/>
      <c r="B12" s="85">
        <f>Optimization_Scenario!D20</f>
        <v>33800</v>
      </c>
      <c r="C12" s="103">
        <f>Optimization_Scenario!E20</f>
        <v>250</v>
      </c>
      <c r="D12" s="12">
        <v>0</v>
      </c>
      <c r="E12" s="14">
        <v>400</v>
      </c>
      <c r="G12" s="138"/>
      <c r="H12" s="24">
        <f>LN((($E$12+1)/($D$12+1))-1)</f>
        <v>5.9914645471079817</v>
      </c>
      <c r="I12" s="24">
        <f>(LN((($E$12+1)/($C$12+1))-1)-$H$12)/$B$12</f>
        <v>-1.9249355598057721E-4</v>
      </c>
      <c r="J12" s="25">
        <f>E12</f>
        <v>400</v>
      </c>
    </row>
    <row r="13" spans="1:12" ht="34.200000000000003" customHeight="1" x14ac:dyDescent="0.3">
      <c r="A13" s="152" t="s">
        <v>32</v>
      </c>
      <c r="B13" s="153"/>
      <c r="C13" s="153"/>
      <c r="D13" s="153"/>
      <c r="E13" s="154"/>
      <c r="G13" s="155" t="s">
        <v>31</v>
      </c>
      <c r="H13" s="156"/>
      <c r="I13" s="156"/>
      <c r="J13" s="157"/>
    </row>
    <row r="14" spans="1:12" ht="33.6" customHeight="1" x14ac:dyDescent="0.3">
      <c r="A14" s="128"/>
      <c r="B14" s="129"/>
      <c r="C14" s="129"/>
      <c r="D14" s="129"/>
      <c r="E14" s="130"/>
      <c r="G14" s="158"/>
      <c r="H14" s="159"/>
      <c r="I14" s="159"/>
      <c r="J14" s="160"/>
    </row>
    <row r="16" spans="1:12" ht="14.4" thickBot="1" x14ac:dyDescent="0.35"/>
    <row r="17" spans="1:4" ht="16.8" customHeight="1" x14ac:dyDescent="0.3">
      <c r="A17" s="132" t="s">
        <v>36</v>
      </c>
      <c r="B17" s="50" t="s">
        <v>34</v>
      </c>
      <c r="C17" s="50" t="s">
        <v>33</v>
      </c>
      <c r="D17" s="15" t="s">
        <v>35</v>
      </c>
    </row>
    <row r="18" spans="1:4" ht="23.4" customHeight="1" thickBot="1" x14ac:dyDescent="0.35">
      <c r="A18" s="133"/>
      <c r="B18" s="12">
        <v>0</v>
      </c>
      <c r="C18" s="12">
        <v>55000</v>
      </c>
      <c r="D18" s="26">
        <v>20</v>
      </c>
    </row>
    <row r="20" spans="1:4" x14ac:dyDescent="0.3">
      <c r="A20" s="122" t="s">
        <v>39</v>
      </c>
      <c r="B20" s="122"/>
    </row>
    <row r="21" spans="1:4" x14ac:dyDescent="0.3">
      <c r="A21" s="51" t="s">
        <v>37</v>
      </c>
      <c r="B21" s="51" t="s">
        <v>38</v>
      </c>
    </row>
    <row r="22" spans="1:4" x14ac:dyDescent="0.3">
      <c r="A22" s="105">
        <f>B18</f>
        <v>0</v>
      </c>
      <c r="B22" s="2">
        <f>($J$12/(1+EXP($H$12+$I$12*A22)))-1</f>
        <v>-2.4937655860346464E-3</v>
      </c>
    </row>
    <row r="23" spans="1:4" x14ac:dyDescent="0.3">
      <c r="A23" s="105">
        <f>A22+(($C$18-$B$18)/$D$18)</f>
        <v>2750</v>
      </c>
      <c r="B23" s="2">
        <f t="shared" ref="B23:B42" si="0">($J$12/(1+EXP($H$12+$I$12*A23)))-1</f>
        <v>0.69066452221288488</v>
      </c>
    </row>
    <row r="24" spans="1:4" x14ac:dyDescent="0.3">
      <c r="A24" s="105">
        <f t="shared" ref="A24:A42" si="1">A23+(($C$18-$B$18)/$D$18)</f>
        <v>5500</v>
      </c>
      <c r="B24" s="2">
        <f t="shared" si="0"/>
        <v>1.8620373861232022</v>
      </c>
    </row>
    <row r="25" spans="1:4" x14ac:dyDescent="0.3">
      <c r="A25" s="105">
        <f t="shared" si="1"/>
        <v>8250</v>
      </c>
      <c r="B25" s="2">
        <f t="shared" si="0"/>
        <v>3.8351411971802918</v>
      </c>
    </row>
    <row r="26" spans="1:4" x14ac:dyDescent="0.3">
      <c r="A26" s="105">
        <f t="shared" si="1"/>
        <v>11000</v>
      </c>
      <c r="B26" s="2">
        <f t="shared" si="0"/>
        <v>7.1406301715069436</v>
      </c>
    </row>
    <row r="27" spans="1:4" x14ac:dyDescent="0.3">
      <c r="A27" s="105">
        <f t="shared" si="1"/>
        <v>13750</v>
      </c>
      <c r="B27" s="2">
        <f t="shared" si="0"/>
        <v>12.627947131687286</v>
      </c>
    </row>
    <row r="28" spans="1:4" x14ac:dyDescent="0.3">
      <c r="A28" s="105">
        <f t="shared" si="1"/>
        <v>16500</v>
      </c>
      <c r="B28" s="2">
        <f t="shared" si="0"/>
        <v>21.600743190348396</v>
      </c>
    </row>
    <row r="29" spans="1:4" x14ac:dyDescent="0.3">
      <c r="A29" s="105">
        <f t="shared" si="1"/>
        <v>19250</v>
      </c>
      <c r="B29" s="2">
        <f t="shared" si="0"/>
        <v>35.916856384542811</v>
      </c>
    </row>
    <row r="30" spans="1:4" x14ac:dyDescent="0.3">
      <c r="A30" s="105">
        <f t="shared" si="1"/>
        <v>22000</v>
      </c>
      <c r="B30" s="2">
        <f t="shared" si="0"/>
        <v>57.886353796721814</v>
      </c>
    </row>
    <row r="31" spans="1:4" x14ac:dyDescent="0.3">
      <c r="A31" s="105">
        <f t="shared" si="1"/>
        <v>24750</v>
      </c>
      <c r="B31" s="2">
        <f t="shared" si="0"/>
        <v>89.665308528640381</v>
      </c>
    </row>
    <row r="32" spans="1:4" x14ac:dyDescent="0.3">
      <c r="A32" s="105">
        <f t="shared" si="1"/>
        <v>27500</v>
      </c>
      <c r="B32" s="2">
        <f t="shared" si="0"/>
        <v>131.91192717111173</v>
      </c>
    </row>
    <row r="33" spans="1:2" x14ac:dyDescent="0.3">
      <c r="A33" s="105">
        <f t="shared" si="1"/>
        <v>30250</v>
      </c>
      <c r="B33" s="2">
        <f t="shared" si="0"/>
        <v>182.18633107590904</v>
      </c>
    </row>
    <row r="34" spans="1:2" x14ac:dyDescent="0.3">
      <c r="A34" s="105">
        <f>A33+(($C$18-$B$18)/$D$18)</f>
        <v>33000</v>
      </c>
      <c r="B34" s="2">
        <f t="shared" si="0"/>
        <v>234.69583847801519</v>
      </c>
    </row>
    <row r="35" spans="1:2" x14ac:dyDescent="0.3">
      <c r="A35" s="105">
        <f t="shared" si="1"/>
        <v>35750</v>
      </c>
      <c r="B35" s="2">
        <f t="shared" si="0"/>
        <v>282.57093327720685</v>
      </c>
    </row>
    <row r="36" spans="1:2" x14ac:dyDescent="0.3">
      <c r="A36" s="105">
        <f t="shared" si="1"/>
        <v>38500</v>
      </c>
      <c r="B36" s="2">
        <f t="shared" si="0"/>
        <v>321.10635140621343</v>
      </c>
    </row>
    <row r="37" spans="1:2" x14ac:dyDescent="0.3">
      <c r="A37" s="105">
        <f t="shared" si="1"/>
        <v>41250</v>
      </c>
      <c r="B37" s="2">
        <f t="shared" si="0"/>
        <v>349.13042528498033</v>
      </c>
    </row>
    <row r="38" spans="1:2" x14ac:dyDescent="0.3">
      <c r="A38" s="105">
        <f t="shared" si="1"/>
        <v>44000</v>
      </c>
      <c r="B38" s="2">
        <f t="shared" si="0"/>
        <v>368.04122608895864</v>
      </c>
    </row>
    <row r="39" spans="1:2" x14ac:dyDescent="0.3">
      <c r="A39" s="105">
        <f t="shared" si="1"/>
        <v>46750</v>
      </c>
      <c r="B39" s="2">
        <f t="shared" si="0"/>
        <v>380.16668137701248</v>
      </c>
    </row>
    <row r="40" spans="1:2" x14ac:dyDescent="0.3">
      <c r="A40" s="105">
        <f t="shared" si="1"/>
        <v>49500</v>
      </c>
      <c r="B40" s="2">
        <f t="shared" si="0"/>
        <v>387.68858935758419</v>
      </c>
    </row>
    <row r="41" spans="1:2" x14ac:dyDescent="0.3">
      <c r="A41" s="105">
        <f>A40+(($C$18-$B$18)/$D$18)</f>
        <v>52250</v>
      </c>
      <c r="B41" s="2">
        <f t="shared" si="0"/>
        <v>392.25942153502569</v>
      </c>
    </row>
    <row r="42" spans="1:2" x14ac:dyDescent="0.3">
      <c r="A42" s="105">
        <f t="shared" si="1"/>
        <v>55000</v>
      </c>
      <c r="B42" s="2">
        <f t="shared" si="0"/>
        <v>395.00222166851853</v>
      </c>
    </row>
  </sheetData>
  <mergeCells count="13">
    <mergeCell ref="A20:B20"/>
    <mergeCell ref="F2:L2"/>
    <mergeCell ref="F3:L3"/>
    <mergeCell ref="B4:D4"/>
    <mergeCell ref="A7:A9"/>
    <mergeCell ref="B7:C7"/>
    <mergeCell ref="D7:E7"/>
    <mergeCell ref="F7:G7"/>
    <mergeCell ref="A11:A12"/>
    <mergeCell ref="G11:G12"/>
    <mergeCell ref="A13:E14"/>
    <mergeCell ref="G13:J14"/>
    <mergeCell ref="A17:A1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L42"/>
  <sheetViews>
    <sheetView workbookViewId="0">
      <selection activeCell="E9" sqref="E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3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3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122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106</v>
      </c>
      <c r="C3" s="13" t="s">
        <v>7</v>
      </c>
      <c r="D3" s="14" t="s">
        <v>123</v>
      </c>
      <c r="F3" s="116" t="s">
        <v>74</v>
      </c>
      <c r="G3" s="117"/>
      <c r="H3" s="117"/>
      <c r="I3" s="117"/>
      <c r="J3" s="117"/>
      <c r="K3" s="117"/>
      <c r="L3" s="118"/>
    </row>
    <row r="4" spans="1:12" ht="14.4" thickBot="1" x14ac:dyDescent="0.35">
      <c r="A4" s="31" t="s">
        <v>40</v>
      </c>
      <c r="B4" s="134" t="s">
        <v>41</v>
      </c>
      <c r="C4" s="134"/>
      <c r="D4" s="135"/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</row>
    <row r="8" spans="1:12" ht="27.6" x14ac:dyDescent="0.3">
      <c r="A8" s="137"/>
      <c r="B8" s="51" t="s">
        <v>12</v>
      </c>
      <c r="C8" s="17" t="s">
        <v>13</v>
      </c>
      <c r="D8" s="19" t="s">
        <v>22</v>
      </c>
      <c r="E8" s="17" t="s">
        <v>23</v>
      </c>
      <c r="F8" s="58" t="s">
        <v>24</v>
      </c>
      <c r="G8" s="4" t="s">
        <v>25</v>
      </c>
    </row>
    <row r="9" spans="1:12" ht="14.4" thickBot="1" x14ac:dyDescent="0.35">
      <c r="A9" s="138"/>
      <c r="B9" s="89">
        <f>Optimization_Scenario!F21</f>
        <v>1650</v>
      </c>
      <c r="C9" s="90">
        <f>Optimization_Scenario!G21</f>
        <v>4950</v>
      </c>
      <c r="D9" s="98">
        <f>Optimization_Scenario!$H$21</f>
        <v>4932.2035272414478</v>
      </c>
      <c r="E9" s="104">
        <f>($J$12/(1+EXP($H$12+$I$12*D9)))-1</f>
        <v>165.695596653514</v>
      </c>
      <c r="F9" s="92">
        <f>Optimization_Scenario!D21</f>
        <v>3300</v>
      </c>
      <c r="G9" s="91">
        <f>Optimization_Scenario!E21</f>
        <v>100</v>
      </c>
    </row>
    <row r="10" spans="1:12" ht="14.4" thickBot="1" x14ac:dyDescent="0.35"/>
    <row r="11" spans="1:12" x14ac:dyDescent="0.3">
      <c r="A11" s="136" t="s">
        <v>17</v>
      </c>
      <c r="B11" s="50" t="s">
        <v>18</v>
      </c>
      <c r="C11" s="50" t="s">
        <v>19</v>
      </c>
      <c r="D11" s="50" t="s">
        <v>20</v>
      </c>
      <c r="E11" s="15" t="s">
        <v>21</v>
      </c>
      <c r="G11" s="136" t="s">
        <v>27</v>
      </c>
      <c r="H11" s="50" t="s">
        <v>28</v>
      </c>
      <c r="I11" s="50" t="s">
        <v>29</v>
      </c>
      <c r="J11" s="15" t="s">
        <v>30</v>
      </c>
    </row>
    <row r="12" spans="1:12" ht="14.4" thickBot="1" x14ac:dyDescent="0.35">
      <c r="A12" s="138"/>
      <c r="B12" s="85">
        <f>Optimization_Scenario!D21</f>
        <v>3300</v>
      </c>
      <c r="C12" s="103">
        <f>Optimization_Scenario!E21</f>
        <v>100</v>
      </c>
      <c r="D12" s="12">
        <v>0</v>
      </c>
      <c r="E12" s="14">
        <v>175</v>
      </c>
      <c r="G12" s="138"/>
      <c r="H12" s="24">
        <f>LN((($E$12+1)/($D$12+1))-1)</f>
        <v>5.1647859739235145</v>
      </c>
      <c r="I12" s="24">
        <f>(LN((($E$12+1)/($C$12+1))-1)-$H$12)/$B$12</f>
        <v>-1.6552782961298373E-3</v>
      </c>
      <c r="J12" s="25">
        <f>E12</f>
        <v>175</v>
      </c>
    </row>
    <row r="13" spans="1:12" ht="34.200000000000003" customHeight="1" x14ac:dyDescent="0.3">
      <c r="A13" s="152" t="s">
        <v>32</v>
      </c>
      <c r="B13" s="153"/>
      <c r="C13" s="153"/>
      <c r="D13" s="153"/>
      <c r="E13" s="154"/>
      <c r="G13" s="155" t="s">
        <v>31</v>
      </c>
      <c r="H13" s="156"/>
      <c r="I13" s="156"/>
      <c r="J13" s="157"/>
    </row>
    <row r="14" spans="1:12" ht="33.6" customHeight="1" x14ac:dyDescent="0.3">
      <c r="A14" s="128"/>
      <c r="B14" s="129"/>
      <c r="C14" s="129"/>
      <c r="D14" s="129"/>
      <c r="E14" s="130"/>
      <c r="G14" s="158"/>
      <c r="H14" s="159"/>
      <c r="I14" s="159"/>
      <c r="J14" s="160"/>
    </row>
    <row r="16" spans="1:12" ht="14.4" thickBot="1" x14ac:dyDescent="0.35"/>
    <row r="17" spans="1:4" ht="16.8" customHeight="1" x14ac:dyDescent="0.3">
      <c r="A17" s="132" t="s">
        <v>36</v>
      </c>
      <c r="B17" s="50" t="s">
        <v>34</v>
      </c>
      <c r="C17" s="50" t="s">
        <v>33</v>
      </c>
      <c r="D17" s="15" t="s">
        <v>35</v>
      </c>
    </row>
    <row r="18" spans="1:4" ht="23.4" customHeight="1" thickBot="1" x14ac:dyDescent="0.35">
      <c r="A18" s="133"/>
      <c r="B18" s="12">
        <v>0</v>
      </c>
      <c r="C18" s="85">
        <v>6000</v>
      </c>
      <c r="D18" s="26">
        <v>20</v>
      </c>
    </row>
    <row r="20" spans="1:4" x14ac:dyDescent="0.3">
      <c r="A20" s="122" t="s">
        <v>39</v>
      </c>
      <c r="B20" s="122"/>
    </row>
    <row r="21" spans="1:4" x14ac:dyDescent="0.3">
      <c r="A21" s="51" t="s">
        <v>37</v>
      </c>
      <c r="B21" s="51" t="s">
        <v>38</v>
      </c>
    </row>
    <row r="22" spans="1:4" x14ac:dyDescent="0.3">
      <c r="A22" s="105">
        <f>B18</f>
        <v>0</v>
      </c>
      <c r="B22" s="2">
        <f>($J$12/(1+EXP($H$12+$I$12*A22)))-1</f>
        <v>-5.6818181818186764E-3</v>
      </c>
    </row>
    <row r="23" spans="1:4" x14ac:dyDescent="0.3">
      <c r="A23" s="105">
        <f>A22+(($C$18-$B$18)/$D$18)</f>
        <v>300</v>
      </c>
      <c r="B23" s="2">
        <f t="shared" ref="B23:B42" si="0">($J$12/(1+EXP($H$12+$I$12*A23)))-1</f>
        <v>0.62781424555510257</v>
      </c>
    </row>
    <row r="24" spans="1:4" x14ac:dyDescent="0.3">
      <c r="A24" s="105">
        <f t="shared" ref="A24:A42" si="1">A23+(($C$18-$B$18)/$D$18)</f>
        <v>600</v>
      </c>
      <c r="B24" s="2">
        <f t="shared" si="0"/>
        <v>1.6587537681094333</v>
      </c>
    </row>
    <row r="25" spans="1:4" x14ac:dyDescent="0.3">
      <c r="A25" s="105">
        <f t="shared" si="1"/>
        <v>900</v>
      </c>
      <c r="B25" s="2">
        <f t="shared" si="0"/>
        <v>3.3263226402230774</v>
      </c>
    </row>
    <row r="26" spans="1:4" x14ac:dyDescent="0.3">
      <c r="A26" s="105">
        <f t="shared" si="1"/>
        <v>1200</v>
      </c>
      <c r="B26" s="2">
        <f t="shared" si="0"/>
        <v>5.9973246652304573</v>
      </c>
    </row>
    <row r="27" spans="1:4" x14ac:dyDescent="0.3">
      <c r="A27" s="105">
        <f t="shared" si="1"/>
        <v>1500</v>
      </c>
      <c r="B27" s="2">
        <f t="shared" si="0"/>
        <v>10.209059464314711</v>
      </c>
    </row>
    <row r="28" spans="1:4" x14ac:dyDescent="0.3">
      <c r="A28" s="105">
        <f t="shared" si="1"/>
        <v>1800</v>
      </c>
      <c r="B28" s="2">
        <f t="shared" si="0"/>
        <v>16.688947834275179</v>
      </c>
    </row>
    <row r="29" spans="1:4" x14ac:dyDescent="0.3">
      <c r="A29" s="105">
        <f t="shared" si="1"/>
        <v>2100</v>
      </c>
      <c r="B29" s="2">
        <f t="shared" si="0"/>
        <v>26.290668123584478</v>
      </c>
    </row>
    <row r="30" spans="1:4" x14ac:dyDescent="0.3">
      <c r="A30" s="105">
        <f t="shared" si="1"/>
        <v>2400</v>
      </c>
      <c r="B30" s="2">
        <f t="shared" si="0"/>
        <v>39.754058780993837</v>
      </c>
    </row>
    <row r="31" spans="1:4" x14ac:dyDescent="0.3">
      <c r="A31" s="105">
        <f t="shared" si="1"/>
        <v>2700</v>
      </c>
      <c r="B31" s="2">
        <f t="shared" si="0"/>
        <v>57.240527212145338</v>
      </c>
    </row>
    <row r="32" spans="1:4" x14ac:dyDescent="0.3">
      <c r="A32" s="105">
        <f t="shared" si="1"/>
        <v>3000</v>
      </c>
      <c r="B32" s="2">
        <f t="shared" si="0"/>
        <v>77.824486991086232</v>
      </c>
    </row>
    <row r="33" spans="1:2" x14ac:dyDescent="0.3">
      <c r="A33" s="105">
        <f t="shared" si="1"/>
        <v>3300</v>
      </c>
      <c r="B33" s="2">
        <f t="shared" si="0"/>
        <v>99.426136363636346</v>
      </c>
    </row>
    <row r="34" spans="1:2" x14ac:dyDescent="0.3">
      <c r="A34" s="105">
        <f>A33+(($C$18-$B$18)/$D$18)</f>
        <v>3600</v>
      </c>
      <c r="B34" s="2">
        <f t="shared" si="0"/>
        <v>119.52877318520633</v>
      </c>
    </row>
    <row r="35" spans="1:2" x14ac:dyDescent="0.3">
      <c r="A35" s="105">
        <f t="shared" si="1"/>
        <v>3900</v>
      </c>
      <c r="B35" s="2">
        <f t="shared" si="0"/>
        <v>136.24943084457499</v>
      </c>
    </row>
    <row r="36" spans="1:2" x14ac:dyDescent="0.3">
      <c r="A36" s="105">
        <f t="shared" si="1"/>
        <v>4200</v>
      </c>
      <c r="B36" s="2">
        <f t="shared" si="0"/>
        <v>148.90606905618853</v>
      </c>
    </row>
    <row r="37" spans="1:2" x14ac:dyDescent="0.3">
      <c r="A37" s="105">
        <f t="shared" si="1"/>
        <v>4500</v>
      </c>
      <c r="B37" s="2">
        <f t="shared" si="0"/>
        <v>157.8195709979795</v>
      </c>
    </row>
    <row r="38" spans="1:2" x14ac:dyDescent="0.3">
      <c r="A38" s="105">
        <f t="shared" si="1"/>
        <v>4800</v>
      </c>
      <c r="B38" s="2">
        <f t="shared" si="0"/>
        <v>163.78274399825551</v>
      </c>
    </row>
    <row r="39" spans="1:2" x14ac:dyDescent="0.3">
      <c r="A39" s="105">
        <f t="shared" si="1"/>
        <v>5100</v>
      </c>
      <c r="B39" s="2">
        <f t="shared" si="0"/>
        <v>167.63629374907771</v>
      </c>
    </row>
    <row r="40" spans="1:2" x14ac:dyDescent="0.3">
      <c r="A40" s="105">
        <f t="shared" si="1"/>
        <v>5400</v>
      </c>
      <c r="B40" s="2">
        <f t="shared" si="0"/>
        <v>170.07108868569199</v>
      </c>
    </row>
    <row r="41" spans="1:2" x14ac:dyDescent="0.3">
      <c r="A41" s="105">
        <f>A40+(($C$18-$B$18)/$D$18)</f>
        <v>5700</v>
      </c>
      <c r="B41" s="2">
        <f t="shared" si="0"/>
        <v>171.58764159412155</v>
      </c>
    </row>
    <row r="42" spans="1:2" x14ac:dyDescent="0.3">
      <c r="A42" s="105">
        <f t="shared" si="1"/>
        <v>6000</v>
      </c>
      <c r="B42" s="2">
        <f t="shared" si="0"/>
        <v>172.52385892263507</v>
      </c>
    </row>
  </sheetData>
  <mergeCells count="13">
    <mergeCell ref="A20:B20"/>
    <mergeCell ref="F2:L2"/>
    <mergeCell ref="F3:L3"/>
    <mergeCell ref="B4:D4"/>
    <mergeCell ref="A7:A9"/>
    <mergeCell ref="B7:C7"/>
    <mergeCell ref="D7:E7"/>
    <mergeCell ref="F7:G7"/>
    <mergeCell ref="A11:A12"/>
    <mergeCell ref="G11:G12"/>
    <mergeCell ref="A13:E14"/>
    <mergeCell ref="G13:J14"/>
    <mergeCell ref="A17:A1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3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8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16</v>
      </c>
      <c r="C3" s="13" t="s">
        <v>7</v>
      </c>
      <c r="D3" s="14" t="s">
        <v>9</v>
      </c>
      <c r="F3" s="116" t="s">
        <v>74</v>
      </c>
      <c r="G3" s="117"/>
      <c r="H3" s="117"/>
      <c r="I3" s="117"/>
      <c r="J3" s="117"/>
      <c r="K3" s="117"/>
      <c r="L3" s="118"/>
    </row>
    <row r="4" spans="1:12" ht="14.4" thickBot="1" x14ac:dyDescent="0.35">
      <c r="A4" s="31" t="s">
        <v>40</v>
      </c>
      <c r="B4" s="134" t="s">
        <v>41</v>
      </c>
      <c r="C4" s="134"/>
      <c r="D4" s="135"/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</row>
    <row r="8" spans="1:12" ht="27.6" x14ac:dyDescent="0.3">
      <c r="A8" s="13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</row>
    <row r="9" spans="1:12" ht="14.4" thickBot="1" x14ac:dyDescent="0.35">
      <c r="A9" s="13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136" t="s">
        <v>17</v>
      </c>
      <c r="B11" s="21" t="s">
        <v>18</v>
      </c>
      <c r="C11" s="21" t="s">
        <v>19</v>
      </c>
      <c r="D11" s="21" t="s">
        <v>20</v>
      </c>
      <c r="E11" s="15" t="s">
        <v>21</v>
      </c>
      <c r="G11" s="136" t="s">
        <v>27</v>
      </c>
      <c r="H11" s="21" t="s">
        <v>28</v>
      </c>
      <c r="I11" s="21" t="s">
        <v>29</v>
      </c>
      <c r="J11" s="15" t="s">
        <v>30</v>
      </c>
    </row>
    <row r="12" spans="1:12" ht="14.4" thickBot="1" x14ac:dyDescent="0.35">
      <c r="A12" s="138"/>
      <c r="B12" s="12">
        <v>20</v>
      </c>
      <c r="C12" s="12">
        <v>30</v>
      </c>
      <c r="D12" s="12">
        <v>0</v>
      </c>
      <c r="E12" s="14">
        <v>70</v>
      </c>
      <c r="G12" s="13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152" t="s">
        <v>32</v>
      </c>
      <c r="B13" s="153"/>
      <c r="C13" s="153"/>
      <c r="D13" s="153"/>
      <c r="E13" s="154"/>
      <c r="G13" s="155" t="s">
        <v>31</v>
      </c>
      <c r="H13" s="156"/>
      <c r="I13" s="156"/>
      <c r="J13" s="157"/>
    </row>
    <row r="14" spans="1:12" ht="33.6" customHeight="1" x14ac:dyDescent="0.3">
      <c r="A14" s="128"/>
      <c r="B14" s="129"/>
      <c r="C14" s="129"/>
      <c r="D14" s="129"/>
      <c r="E14" s="130"/>
      <c r="G14" s="158"/>
      <c r="H14" s="159"/>
      <c r="I14" s="159"/>
      <c r="J14" s="160"/>
    </row>
    <row r="16" spans="1:12" ht="14.4" thickBot="1" x14ac:dyDescent="0.35"/>
    <row r="17" spans="1:4" ht="16.8" customHeight="1" x14ac:dyDescent="0.3">
      <c r="A17" s="132" t="s">
        <v>36</v>
      </c>
      <c r="B17" s="21" t="s">
        <v>34</v>
      </c>
      <c r="C17" s="21" t="s">
        <v>33</v>
      </c>
      <c r="D17" s="15" t="s">
        <v>35</v>
      </c>
    </row>
    <row r="18" spans="1:4" ht="23.4" customHeight="1" thickBot="1" x14ac:dyDescent="0.35">
      <c r="A18" s="133"/>
      <c r="B18" s="12">
        <v>0</v>
      </c>
      <c r="C18" s="12">
        <v>100</v>
      </c>
      <c r="D18" s="26">
        <v>20</v>
      </c>
    </row>
    <row r="20" spans="1:4" x14ac:dyDescent="0.3">
      <c r="A20" s="122" t="s">
        <v>39</v>
      </c>
      <c r="B20" s="122"/>
    </row>
    <row r="21" spans="1:4" x14ac:dyDescent="0.3">
      <c r="A21" s="3" t="s">
        <v>37</v>
      </c>
      <c r="B21" s="3" t="s">
        <v>38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F2" sqref="F2:L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2</v>
      </c>
      <c r="B1" s="1" t="s">
        <v>42</v>
      </c>
    </row>
    <row r="2" spans="1:12" x14ac:dyDescent="0.3">
      <c r="A2" s="7" t="s">
        <v>4</v>
      </c>
      <c r="B2" s="8" t="s">
        <v>15</v>
      </c>
      <c r="C2" s="9" t="s">
        <v>6</v>
      </c>
      <c r="D2" s="10" t="s">
        <v>8</v>
      </c>
      <c r="F2" s="113" t="s">
        <v>125</v>
      </c>
      <c r="G2" s="114"/>
      <c r="H2" s="114"/>
      <c r="I2" s="114"/>
      <c r="J2" s="114"/>
      <c r="K2" s="114"/>
      <c r="L2" s="115"/>
    </row>
    <row r="3" spans="1:12" ht="14.4" thickBot="1" x14ac:dyDescent="0.35">
      <c r="A3" s="11" t="s">
        <v>5</v>
      </c>
      <c r="B3" s="12" t="s">
        <v>55</v>
      </c>
      <c r="C3" s="13" t="s">
        <v>7</v>
      </c>
      <c r="D3" s="14" t="s">
        <v>9</v>
      </c>
      <c r="F3" s="116" t="s">
        <v>74</v>
      </c>
      <c r="G3" s="117"/>
      <c r="H3" s="117"/>
      <c r="I3" s="117"/>
      <c r="J3" s="117"/>
      <c r="K3" s="117"/>
      <c r="L3" s="118"/>
    </row>
    <row r="4" spans="1:12" ht="31.8" customHeight="1" thickBot="1" x14ac:dyDescent="0.35">
      <c r="A4" s="31" t="s">
        <v>40</v>
      </c>
      <c r="B4" s="149" t="s">
        <v>43</v>
      </c>
      <c r="C4" s="150"/>
      <c r="D4" s="151"/>
    </row>
    <row r="6" spans="1:12" ht="14.4" thickBot="1" x14ac:dyDescent="0.35"/>
    <row r="7" spans="1:12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H7" s="1" t="s">
        <v>56</v>
      </c>
    </row>
    <row r="8" spans="1:12" ht="27.6" x14ac:dyDescent="0.3">
      <c r="A8" s="13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</row>
    <row r="9" spans="1:12" ht="14.4" thickBot="1" x14ac:dyDescent="0.35">
      <c r="A9" s="138"/>
      <c r="B9" s="5">
        <v>0</v>
      </c>
      <c r="C9" s="18">
        <v>10000000</v>
      </c>
      <c r="D9" s="22">
        <v>1000000</v>
      </c>
      <c r="E9" s="36">
        <f>$C$13*D9</f>
        <v>10000</v>
      </c>
      <c r="F9" s="20">
        <v>0</v>
      </c>
      <c r="G9" s="37">
        <f>$C$13*F9</f>
        <v>0</v>
      </c>
    </row>
    <row r="10" spans="1:12" ht="14.4" thickBot="1" x14ac:dyDescent="0.35"/>
    <row r="11" spans="1:12" ht="27.6" customHeight="1" x14ac:dyDescent="0.3">
      <c r="A11" s="136" t="s">
        <v>44</v>
      </c>
      <c r="B11" s="119" t="s">
        <v>49</v>
      </c>
      <c r="C11" s="148" t="s">
        <v>48</v>
      </c>
      <c r="D11" s="143"/>
      <c r="E11" s="143"/>
      <c r="F11" s="3" t="s">
        <v>50</v>
      </c>
      <c r="G11" s="35"/>
      <c r="H11" s="34"/>
      <c r="I11" s="34"/>
      <c r="J11" s="34"/>
    </row>
    <row r="12" spans="1:12" x14ac:dyDescent="0.3">
      <c r="A12" s="146"/>
      <c r="B12" s="120"/>
      <c r="C12" s="32" t="s">
        <v>45</v>
      </c>
      <c r="D12" s="32" t="s">
        <v>46</v>
      </c>
      <c r="E12" s="33" t="s">
        <v>47</v>
      </c>
      <c r="F12" s="3" t="s">
        <v>51</v>
      </c>
      <c r="G12" s="35"/>
      <c r="H12" s="34"/>
      <c r="I12" s="34"/>
      <c r="J12" s="34"/>
    </row>
    <row r="13" spans="1:12" x14ac:dyDescent="0.3">
      <c r="A13" s="147"/>
      <c r="B13" s="29">
        <v>0</v>
      </c>
      <c r="C13" s="29">
        <v>0.01</v>
      </c>
      <c r="D13" s="29">
        <v>0</v>
      </c>
      <c r="E13" s="30">
        <v>0</v>
      </c>
      <c r="F13" s="39">
        <v>0</v>
      </c>
      <c r="G13" s="35"/>
      <c r="H13" s="34"/>
      <c r="I13" s="34"/>
      <c r="J13" s="34"/>
    </row>
    <row r="14" spans="1:12" ht="31.8" customHeight="1" x14ac:dyDescent="0.3">
      <c r="A14" s="131" t="s">
        <v>54</v>
      </c>
      <c r="B14" s="131"/>
      <c r="C14" s="131"/>
      <c r="D14" s="131"/>
      <c r="E14" s="131"/>
      <c r="F14" s="131"/>
      <c r="G14" s="40"/>
      <c r="H14" s="41"/>
      <c r="I14" s="41"/>
      <c r="J14" s="41"/>
    </row>
    <row r="15" spans="1:12" ht="30.6" customHeight="1" x14ac:dyDescent="0.3">
      <c r="A15" s="131"/>
      <c r="B15" s="131"/>
      <c r="C15" s="131"/>
      <c r="D15" s="131"/>
      <c r="E15" s="131"/>
      <c r="F15" s="131"/>
      <c r="G15" s="40"/>
      <c r="H15" s="41"/>
      <c r="I15" s="41"/>
      <c r="J15" s="41"/>
    </row>
    <row r="17" spans="1:4" ht="14.4" thickBot="1" x14ac:dyDescent="0.35"/>
    <row r="18" spans="1:4" ht="16.8" customHeight="1" x14ac:dyDescent="0.3">
      <c r="A18" s="132" t="s">
        <v>36</v>
      </c>
      <c r="B18" s="21" t="s">
        <v>34</v>
      </c>
      <c r="C18" s="21" t="s">
        <v>33</v>
      </c>
      <c r="D18" s="15" t="s">
        <v>35</v>
      </c>
    </row>
    <row r="19" spans="1:4" ht="23.4" customHeight="1" thickBot="1" x14ac:dyDescent="0.35">
      <c r="A19" s="133"/>
      <c r="B19" s="12">
        <v>0</v>
      </c>
      <c r="C19" s="12">
        <v>20000000</v>
      </c>
      <c r="D19" s="26">
        <v>20</v>
      </c>
    </row>
    <row r="21" spans="1:4" x14ac:dyDescent="0.3">
      <c r="A21" s="122" t="s">
        <v>39</v>
      </c>
      <c r="B21" s="122"/>
    </row>
    <row r="22" spans="1:4" x14ac:dyDescent="0.3">
      <c r="A22" s="3" t="s">
        <v>37</v>
      </c>
      <c r="B22" s="3" t="s">
        <v>38</v>
      </c>
    </row>
    <row r="23" spans="1:4" x14ac:dyDescent="0.3">
      <c r="A23" s="2">
        <f>B19</f>
        <v>0</v>
      </c>
      <c r="B23" s="38">
        <f t="shared" ref="B23:B43" si="0">$C$13*A23</f>
        <v>0</v>
      </c>
    </row>
    <row r="24" spans="1:4" x14ac:dyDescent="0.3">
      <c r="A24" s="2">
        <f>A23+(($C$19-$B$19)/$D$19)</f>
        <v>1000000</v>
      </c>
      <c r="B24" s="38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8">
        <f t="shared" si="0"/>
        <v>20000</v>
      </c>
    </row>
    <row r="26" spans="1:4" x14ac:dyDescent="0.3">
      <c r="A26" s="2">
        <f t="shared" si="1"/>
        <v>3000000</v>
      </c>
      <c r="B26" s="38">
        <f t="shared" si="0"/>
        <v>30000</v>
      </c>
    </row>
    <row r="27" spans="1:4" x14ac:dyDescent="0.3">
      <c r="A27" s="2">
        <f t="shared" si="1"/>
        <v>4000000</v>
      </c>
      <c r="B27" s="38">
        <f t="shared" si="0"/>
        <v>40000</v>
      </c>
    </row>
    <row r="28" spans="1:4" x14ac:dyDescent="0.3">
      <c r="A28" s="2">
        <f t="shared" si="1"/>
        <v>5000000</v>
      </c>
      <c r="B28" s="38">
        <f t="shared" si="0"/>
        <v>50000</v>
      </c>
    </row>
    <row r="29" spans="1:4" x14ac:dyDescent="0.3">
      <c r="A29" s="2">
        <f t="shared" si="1"/>
        <v>6000000</v>
      </c>
      <c r="B29" s="38">
        <f t="shared" si="0"/>
        <v>60000</v>
      </c>
    </row>
    <row r="30" spans="1:4" x14ac:dyDescent="0.3">
      <c r="A30" s="2">
        <f t="shared" si="1"/>
        <v>7000000</v>
      </c>
      <c r="B30" s="38">
        <f t="shared" si="0"/>
        <v>70000</v>
      </c>
    </row>
    <row r="31" spans="1:4" x14ac:dyDescent="0.3">
      <c r="A31" s="2">
        <f t="shared" si="1"/>
        <v>8000000</v>
      </c>
      <c r="B31" s="38">
        <f t="shared" si="0"/>
        <v>80000</v>
      </c>
    </row>
    <row r="32" spans="1:4" x14ac:dyDescent="0.3">
      <c r="A32" s="2">
        <f t="shared" si="1"/>
        <v>9000000</v>
      </c>
      <c r="B32" s="38">
        <f t="shared" si="0"/>
        <v>90000</v>
      </c>
    </row>
    <row r="33" spans="1:2" x14ac:dyDescent="0.3">
      <c r="A33" s="2">
        <f t="shared" si="1"/>
        <v>10000000</v>
      </c>
      <c r="B33" s="38">
        <f t="shared" si="0"/>
        <v>100000</v>
      </c>
    </row>
    <row r="34" spans="1:2" x14ac:dyDescent="0.3">
      <c r="A34" s="2">
        <f t="shared" si="1"/>
        <v>11000000</v>
      </c>
      <c r="B34" s="38">
        <f t="shared" si="0"/>
        <v>110000</v>
      </c>
    </row>
    <row r="35" spans="1:2" x14ac:dyDescent="0.3">
      <c r="A35" s="2">
        <f>A34+(($C$19-$B$19)/$D$19)</f>
        <v>12000000</v>
      </c>
      <c r="B35" s="38">
        <f t="shared" si="0"/>
        <v>120000</v>
      </c>
    </row>
    <row r="36" spans="1:2" x14ac:dyDescent="0.3">
      <c r="A36" s="2">
        <f t="shared" si="1"/>
        <v>13000000</v>
      </c>
      <c r="B36" s="38">
        <f t="shared" si="0"/>
        <v>130000</v>
      </c>
    </row>
    <row r="37" spans="1:2" x14ac:dyDescent="0.3">
      <c r="A37" s="2">
        <f t="shared" si="1"/>
        <v>14000000</v>
      </c>
      <c r="B37" s="38">
        <f t="shared" si="0"/>
        <v>140000</v>
      </c>
    </row>
    <row r="38" spans="1:2" x14ac:dyDescent="0.3">
      <c r="A38" s="2">
        <f t="shared" si="1"/>
        <v>15000000</v>
      </c>
      <c r="B38" s="38">
        <f t="shared" si="0"/>
        <v>150000</v>
      </c>
    </row>
    <row r="39" spans="1:2" x14ac:dyDescent="0.3">
      <c r="A39" s="2">
        <f t="shared" si="1"/>
        <v>16000000</v>
      </c>
      <c r="B39" s="38">
        <f t="shared" si="0"/>
        <v>160000</v>
      </c>
    </row>
    <row r="40" spans="1:2" x14ac:dyDescent="0.3">
      <c r="A40" s="2">
        <f t="shared" si="1"/>
        <v>17000000</v>
      </c>
      <c r="B40" s="38">
        <f t="shared" si="0"/>
        <v>170000</v>
      </c>
    </row>
    <row r="41" spans="1:2" x14ac:dyDescent="0.3">
      <c r="A41" s="2">
        <f t="shared" si="1"/>
        <v>18000000</v>
      </c>
      <c r="B41" s="38">
        <f t="shared" si="0"/>
        <v>180000</v>
      </c>
    </row>
    <row r="42" spans="1:2" x14ac:dyDescent="0.3">
      <c r="A42" s="2">
        <f>A41+(($C$19-$B$19)/$D$19)</f>
        <v>19000000</v>
      </c>
      <c r="B42" s="38">
        <f t="shared" si="0"/>
        <v>190000</v>
      </c>
    </row>
    <row r="43" spans="1:2" x14ac:dyDescent="0.3">
      <c r="A43" s="2">
        <f t="shared" si="1"/>
        <v>20000000</v>
      </c>
      <c r="B43" s="38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E3" sqref="E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2</v>
      </c>
      <c r="B1" s="1" t="s">
        <v>57</v>
      </c>
    </row>
    <row r="2" spans="1:14" x14ac:dyDescent="0.3">
      <c r="A2" s="7" t="s">
        <v>4</v>
      </c>
      <c r="B2" s="8" t="s">
        <v>15</v>
      </c>
      <c r="C2" s="9" t="s">
        <v>6</v>
      </c>
      <c r="D2" s="10" t="s">
        <v>8</v>
      </c>
      <c r="F2" s="113" t="s">
        <v>125</v>
      </c>
      <c r="G2" s="114"/>
      <c r="H2" s="114"/>
      <c r="I2" s="114"/>
      <c r="J2" s="114"/>
      <c r="K2" s="114"/>
      <c r="L2" s="115"/>
    </row>
    <row r="3" spans="1:14" ht="14.4" thickBot="1" x14ac:dyDescent="0.35">
      <c r="A3" s="11" t="s">
        <v>5</v>
      </c>
      <c r="B3" s="12" t="s">
        <v>58</v>
      </c>
      <c r="C3" s="13" t="s">
        <v>7</v>
      </c>
      <c r="D3" s="14" t="s">
        <v>9</v>
      </c>
      <c r="F3" s="116" t="s">
        <v>74</v>
      </c>
      <c r="G3" s="117"/>
      <c r="H3" s="117"/>
      <c r="I3" s="117"/>
      <c r="J3" s="117"/>
      <c r="K3" s="117"/>
      <c r="L3" s="118"/>
    </row>
    <row r="4" spans="1:14" ht="14.4" thickBot="1" x14ac:dyDescent="0.35">
      <c r="A4" s="31" t="s">
        <v>40</v>
      </c>
      <c r="B4" s="134" t="s">
        <v>59</v>
      </c>
      <c r="C4" s="134"/>
      <c r="D4" s="135"/>
    </row>
    <row r="6" spans="1:14" ht="14.4" thickBot="1" x14ac:dyDescent="0.35"/>
    <row r="7" spans="1:14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  <c r="I7" s="145" t="s">
        <v>75</v>
      </c>
      <c r="J7" s="145"/>
      <c r="K7" s="145"/>
      <c r="L7" s="145"/>
      <c r="N7" s="49" t="s">
        <v>60</v>
      </c>
    </row>
    <row r="8" spans="1:14" ht="27.6" x14ac:dyDescent="0.3">
      <c r="A8" s="137"/>
      <c r="B8" s="3" t="s">
        <v>12</v>
      </c>
      <c r="C8" s="17" t="s">
        <v>13</v>
      </c>
      <c r="D8" s="19" t="s">
        <v>22</v>
      </c>
      <c r="E8" s="17" t="s">
        <v>23</v>
      </c>
      <c r="F8" s="16" t="s">
        <v>24</v>
      </c>
      <c r="G8" s="4" t="s">
        <v>25</v>
      </c>
      <c r="I8" s="145"/>
      <c r="J8" s="145"/>
      <c r="K8" s="145"/>
      <c r="L8" s="145"/>
      <c r="N8" s="49" t="s">
        <v>61</v>
      </c>
    </row>
    <row r="9" spans="1:14" ht="14.4" thickBot="1" x14ac:dyDescent="0.35">
      <c r="A9" s="138"/>
      <c r="B9" s="5">
        <v>0</v>
      </c>
      <c r="C9" s="18">
        <v>5</v>
      </c>
      <c r="D9" s="22">
        <v>3.5</v>
      </c>
      <c r="E9" s="36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122" t="s">
        <v>62</v>
      </c>
      <c r="B11" s="3" t="s">
        <v>63</v>
      </c>
      <c r="C11" s="3" t="s">
        <v>64</v>
      </c>
      <c r="D11" s="34"/>
      <c r="E11" s="123" t="s">
        <v>73</v>
      </c>
      <c r="F11" s="21" t="s">
        <v>65</v>
      </c>
      <c r="G11" s="21" t="s">
        <v>66</v>
      </c>
      <c r="H11" s="21" t="s">
        <v>67</v>
      </c>
      <c r="I11" s="21" t="s">
        <v>68</v>
      </c>
      <c r="J11" s="21" t="s">
        <v>69</v>
      </c>
      <c r="K11" s="21" t="s">
        <v>70</v>
      </c>
      <c r="L11" s="21" t="s">
        <v>71</v>
      </c>
      <c r="M11" s="21" t="s">
        <v>72</v>
      </c>
    </row>
    <row r="12" spans="1:14" ht="14.4" customHeight="1" x14ac:dyDescent="0.3">
      <c r="A12" s="122"/>
      <c r="B12" s="43">
        <v>0</v>
      </c>
      <c r="C12" s="43">
        <v>0</v>
      </c>
      <c r="D12" s="34"/>
      <c r="E12" s="124"/>
      <c r="F12" s="45">
        <f t="array" ref="F12:M17">csplinea($B$12:$B$17,$C$12:$C$17,$B$12:$B$17,2)</f>
        <v>1</v>
      </c>
      <c r="G12" s="45">
        <v>0</v>
      </c>
      <c r="H12" s="45">
        <v>1</v>
      </c>
      <c r="I12" s="46">
        <v>0</v>
      </c>
      <c r="J12" s="46">
        <v>0</v>
      </c>
      <c r="K12" s="46">
        <v>1.0191387559808613</v>
      </c>
      <c r="L12" s="46">
        <v>0</v>
      </c>
      <c r="M12" s="46">
        <v>-0.26913875598086129</v>
      </c>
    </row>
    <row r="13" spans="1:14" ht="14.4" customHeight="1" x14ac:dyDescent="0.3">
      <c r="A13" s="122"/>
      <c r="B13" s="43">
        <v>1</v>
      </c>
      <c r="C13" s="43">
        <v>0.75</v>
      </c>
      <c r="D13" s="34"/>
      <c r="E13" s="124"/>
      <c r="F13" s="45">
        <v>1</v>
      </c>
      <c r="G13" s="45">
        <v>-4.5</v>
      </c>
      <c r="H13" s="45">
        <v>4</v>
      </c>
      <c r="I13" s="46">
        <v>0.25</v>
      </c>
      <c r="J13" s="46">
        <v>-1.125</v>
      </c>
      <c r="K13" s="46">
        <v>0.21172248803827753</v>
      </c>
      <c r="L13" s="46">
        <v>-0.80741626794258381</v>
      </c>
      <c r="M13" s="46">
        <v>-0.15430622009569372</v>
      </c>
    </row>
    <row r="14" spans="1:14" ht="14.4" customHeight="1" x14ac:dyDescent="0.3">
      <c r="A14" s="122"/>
      <c r="B14" s="43">
        <v>2</v>
      </c>
      <c r="C14" s="43">
        <v>0</v>
      </c>
      <c r="D14" s="34"/>
      <c r="E14" s="124"/>
      <c r="F14" s="45">
        <v>1</v>
      </c>
      <c r="G14" s="45">
        <v>-0.75</v>
      </c>
      <c r="H14" s="45">
        <v>3.75</v>
      </c>
      <c r="I14" s="46">
        <v>0.26666666666666666</v>
      </c>
      <c r="J14" s="46">
        <v>0.1</v>
      </c>
      <c r="K14" s="46">
        <v>-1.866028708133971</v>
      </c>
      <c r="L14" s="46">
        <v>-1.270334928229665</v>
      </c>
      <c r="M14" s="46">
        <v>2.1363636363636362</v>
      </c>
    </row>
    <row r="15" spans="1:14" ht="14.4" customHeight="1" x14ac:dyDescent="0.3">
      <c r="A15" s="122"/>
      <c r="B15" s="43">
        <v>3</v>
      </c>
      <c r="C15" s="43">
        <v>-1</v>
      </c>
      <c r="D15" s="34"/>
      <c r="E15" s="124"/>
      <c r="F15" s="45">
        <v>1</v>
      </c>
      <c r="G15" s="45">
        <v>15</v>
      </c>
      <c r="H15" s="45">
        <v>3.7333333333333334</v>
      </c>
      <c r="I15" s="46">
        <v>0.26785714285714285</v>
      </c>
      <c r="J15" s="46">
        <v>3.9910714285714284</v>
      </c>
      <c r="K15" s="46">
        <v>2.0023923444976077</v>
      </c>
      <c r="L15" s="46">
        <v>5.1387559808612435</v>
      </c>
      <c r="M15" s="46">
        <v>-3.1411483253588517</v>
      </c>
    </row>
    <row r="16" spans="1:14" ht="14.4" customHeight="1" x14ac:dyDescent="0.3">
      <c r="A16" s="122"/>
      <c r="B16" s="43">
        <v>4</v>
      </c>
      <c r="C16" s="43">
        <v>3</v>
      </c>
      <c r="D16" s="34"/>
      <c r="E16" s="124"/>
      <c r="F16" s="45">
        <v>1</v>
      </c>
      <c r="G16" s="45">
        <v>-12</v>
      </c>
      <c r="H16" s="45">
        <v>3.7321428571428572</v>
      </c>
      <c r="I16" s="46">
        <v>0.26794258373205743</v>
      </c>
      <c r="J16" s="46">
        <v>-4.2846889952153111</v>
      </c>
      <c r="K16" s="46">
        <v>2.8564593301435406</v>
      </c>
      <c r="L16" s="46">
        <v>-4.2846889952153111</v>
      </c>
      <c r="M16" s="46">
        <v>1.4282296650717703</v>
      </c>
    </row>
    <row r="17" spans="1:13" ht="15" customHeight="1" x14ac:dyDescent="0.3">
      <c r="A17" s="122"/>
      <c r="B17" s="44">
        <v>5</v>
      </c>
      <c r="C17" s="44">
        <v>3</v>
      </c>
      <c r="D17" s="42"/>
      <c r="E17" s="124"/>
      <c r="F17" s="47">
        <v>0</v>
      </c>
      <c r="G17" s="47">
        <v>0</v>
      </c>
      <c r="H17" s="47">
        <v>1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</row>
    <row r="18" spans="1:13" ht="39" customHeight="1" x14ac:dyDescent="0.3">
      <c r="A18" s="125" t="s">
        <v>76</v>
      </c>
      <c r="B18" s="126"/>
      <c r="C18" s="127"/>
      <c r="D18" s="35"/>
      <c r="E18" s="131" t="s">
        <v>77</v>
      </c>
      <c r="F18" s="131"/>
      <c r="G18" s="131"/>
      <c r="H18" s="131"/>
      <c r="I18" s="131"/>
      <c r="J18" s="131"/>
      <c r="K18" s="131"/>
      <c r="L18" s="131"/>
      <c r="M18" s="131"/>
    </row>
    <row r="19" spans="1:13" ht="35.4" customHeight="1" x14ac:dyDescent="0.3">
      <c r="A19" s="128"/>
      <c r="B19" s="129"/>
      <c r="C19" s="130"/>
      <c r="D19" s="35"/>
      <c r="E19" s="131"/>
      <c r="F19" s="131"/>
      <c r="G19" s="131"/>
      <c r="H19" s="131"/>
      <c r="I19" s="131"/>
      <c r="J19" s="131"/>
      <c r="K19" s="131"/>
      <c r="L19" s="131"/>
      <c r="M19" s="131"/>
    </row>
    <row r="21" spans="1:13" ht="14.4" thickBot="1" x14ac:dyDescent="0.35"/>
    <row r="22" spans="1:13" ht="16.8" customHeight="1" x14ac:dyDescent="0.3">
      <c r="A22" s="132" t="s">
        <v>36</v>
      </c>
      <c r="B22" s="21" t="s">
        <v>34</v>
      </c>
      <c r="C22" s="21" t="s">
        <v>33</v>
      </c>
      <c r="D22" s="15" t="s">
        <v>35</v>
      </c>
    </row>
    <row r="23" spans="1:13" ht="23.4" customHeight="1" thickBot="1" x14ac:dyDescent="0.35">
      <c r="A23" s="133"/>
      <c r="B23" s="12">
        <v>0</v>
      </c>
      <c r="C23" s="12">
        <v>5</v>
      </c>
      <c r="D23" s="26">
        <v>20</v>
      </c>
    </row>
    <row r="25" spans="1:13" x14ac:dyDescent="0.3">
      <c r="A25" s="122" t="s">
        <v>39</v>
      </c>
      <c r="B25" s="122"/>
    </row>
    <row r="26" spans="1:13" x14ac:dyDescent="0.3">
      <c r="A26" s="3" t="s">
        <v>37</v>
      </c>
      <c r="B26" s="3" t="s">
        <v>38</v>
      </c>
    </row>
    <row r="27" spans="1:13" x14ac:dyDescent="0.3">
      <c r="A27" s="2">
        <f>B23</f>
        <v>0</v>
      </c>
      <c r="B27" s="38">
        <f>csplinePred($B$12:$B$17,$C$12:$C$17,$F$12:$M$17,A27)</f>
        <v>0</v>
      </c>
    </row>
    <row r="28" spans="1:13" x14ac:dyDescent="0.3">
      <c r="A28" s="2">
        <f>A27+(($C$23-$B$23)/$D$23)</f>
        <v>0.25</v>
      </c>
      <c r="B28" s="38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8">
        <f t="shared" si="0"/>
        <v>0.475927033492823</v>
      </c>
    </row>
    <row r="30" spans="1:13" x14ac:dyDescent="0.3">
      <c r="A30" s="2">
        <f t="shared" si="1"/>
        <v>0.75</v>
      </c>
      <c r="B30" s="38">
        <f t="shared" si="0"/>
        <v>0.65081115430622016</v>
      </c>
    </row>
    <row r="31" spans="1:13" x14ac:dyDescent="0.3">
      <c r="A31" s="2">
        <f t="shared" si="1"/>
        <v>1</v>
      </c>
      <c r="B31" s="38">
        <f t="shared" si="0"/>
        <v>0.75</v>
      </c>
    </row>
    <row r="32" spans="1:13" x14ac:dyDescent="0.3">
      <c r="A32" s="2">
        <f t="shared" si="1"/>
        <v>1.25</v>
      </c>
      <c r="B32" s="38">
        <f t="shared" si="0"/>
        <v>0.75005607057416268</v>
      </c>
    </row>
    <row r="33" spans="1:2" x14ac:dyDescent="0.3">
      <c r="A33" s="2">
        <f t="shared" si="1"/>
        <v>1.5</v>
      </c>
      <c r="B33" s="38">
        <f t="shared" si="0"/>
        <v>0.63471889952153115</v>
      </c>
    </row>
    <row r="34" spans="1:2" x14ac:dyDescent="0.3">
      <c r="A34" s="2">
        <f t="shared" si="1"/>
        <v>1.75</v>
      </c>
      <c r="B34" s="38">
        <f t="shared" si="0"/>
        <v>0.389522278708134</v>
      </c>
    </row>
    <row r="35" spans="1:2" x14ac:dyDescent="0.3">
      <c r="A35" s="2">
        <f t="shared" si="1"/>
        <v>2</v>
      </c>
      <c r="B35" s="38">
        <f t="shared" si="0"/>
        <v>0</v>
      </c>
    </row>
    <row r="36" spans="1:2" x14ac:dyDescent="0.3">
      <c r="A36" s="2">
        <f t="shared" si="1"/>
        <v>2.25</v>
      </c>
      <c r="B36" s="38">
        <f t="shared" si="0"/>
        <v>-0.51252242822966498</v>
      </c>
    </row>
    <row r="37" spans="1:2" x14ac:dyDescent="0.3">
      <c r="A37" s="2">
        <f t="shared" si="1"/>
        <v>2.5</v>
      </c>
      <c r="B37" s="38">
        <f t="shared" si="0"/>
        <v>-0.98355263157894723</v>
      </c>
    </row>
    <row r="38" spans="1:2" x14ac:dyDescent="0.3">
      <c r="A38" s="2">
        <f t="shared" si="1"/>
        <v>2.75</v>
      </c>
      <c r="B38" s="38">
        <f t="shared" si="0"/>
        <v>-1.2128065191387558</v>
      </c>
    </row>
    <row r="39" spans="1:2" x14ac:dyDescent="0.3">
      <c r="A39" s="2">
        <f>A38+(($C$23-$B$23)/$D$23)</f>
        <v>3</v>
      </c>
      <c r="B39" s="38">
        <f t="shared" si="0"/>
        <v>-1</v>
      </c>
    </row>
    <row r="40" spans="1:2" x14ac:dyDescent="0.3">
      <c r="A40" s="2">
        <f t="shared" si="1"/>
        <v>3.25</v>
      </c>
      <c r="B40" s="38">
        <f t="shared" si="0"/>
        <v>-0.22731010765550241</v>
      </c>
    </row>
    <row r="41" spans="1:2" x14ac:dyDescent="0.3">
      <c r="A41" s="2">
        <f t="shared" si="1"/>
        <v>3.5</v>
      </c>
      <c r="B41" s="38">
        <f t="shared" si="0"/>
        <v>0.89324162679425823</v>
      </c>
    </row>
    <row r="42" spans="1:2" x14ac:dyDescent="0.3">
      <c r="A42" s="2">
        <f t="shared" si="1"/>
        <v>3.75</v>
      </c>
      <c r="B42" s="38">
        <f t="shared" si="0"/>
        <v>2.0671725478468899</v>
      </c>
    </row>
    <row r="43" spans="1:2" x14ac:dyDescent="0.3">
      <c r="A43" s="2">
        <f t="shared" si="1"/>
        <v>4</v>
      </c>
      <c r="B43" s="38">
        <f t="shared" si="0"/>
        <v>3</v>
      </c>
    </row>
    <row r="44" spans="1:2" x14ac:dyDescent="0.3">
      <c r="A44" s="2">
        <f t="shared" si="1"/>
        <v>4.25</v>
      </c>
      <c r="B44" s="38">
        <f t="shared" si="0"/>
        <v>3.4686378588516744</v>
      </c>
    </row>
    <row r="45" spans="1:2" x14ac:dyDescent="0.3">
      <c r="A45" s="2">
        <f t="shared" si="1"/>
        <v>4.5</v>
      </c>
      <c r="B45" s="38">
        <f t="shared" si="0"/>
        <v>3.535586124401914</v>
      </c>
    </row>
    <row r="46" spans="1:2" x14ac:dyDescent="0.3">
      <c r="A46" s="2">
        <f>A45+(($C$23-$B$23)/$D$23)</f>
        <v>4.75</v>
      </c>
      <c r="B46" s="38">
        <f t="shared" si="0"/>
        <v>3.3347413277511961</v>
      </c>
    </row>
    <row r="47" spans="1:2" x14ac:dyDescent="0.3">
      <c r="A47" s="2">
        <f t="shared" si="1"/>
        <v>5</v>
      </c>
      <c r="B47" s="38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tabSelected="1" workbookViewId="0">
      <selection activeCell="F16" sqref="F16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2</v>
      </c>
      <c r="B1" s="1" t="s">
        <v>3</v>
      </c>
    </row>
    <row r="2" spans="1:15" x14ac:dyDescent="0.3">
      <c r="A2" s="7" t="s">
        <v>4</v>
      </c>
      <c r="B2" s="8" t="s">
        <v>130</v>
      </c>
      <c r="C2" s="9" t="s">
        <v>6</v>
      </c>
      <c r="D2" s="10" t="s">
        <v>8</v>
      </c>
      <c r="H2" s="73" t="s">
        <v>131</v>
      </c>
      <c r="I2" s="74"/>
      <c r="J2" s="74"/>
      <c r="K2" s="74"/>
      <c r="L2" s="75"/>
    </row>
    <row r="3" spans="1:15" ht="14.4" thickBot="1" x14ac:dyDescent="0.35">
      <c r="A3" s="161" t="s">
        <v>5</v>
      </c>
      <c r="B3" s="29" t="s">
        <v>132</v>
      </c>
      <c r="C3" s="6" t="s">
        <v>7</v>
      </c>
      <c r="D3" s="30" t="s">
        <v>9</v>
      </c>
      <c r="E3" s="6" t="s">
        <v>133</v>
      </c>
      <c r="F3" s="30" t="s">
        <v>134</v>
      </c>
    </row>
    <row r="4" spans="1:15" ht="15" customHeight="1" thickBot="1" x14ac:dyDescent="0.35">
      <c r="A4" s="31" t="s">
        <v>40</v>
      </c>
      <c r="B4" s="162" t="s">
        <v>135</v>
      </c>
      <c r="C4" s="162"/>
      <c r="D4" s="162"/>
      <c r="E4" s="162"/>
      <c r="F4" s="163"/>
      <c r="H4" s="1" t="s">
        <v>136</v>
      </c>
    </row>
    <row r="5" spans="1:15" x14ac:dyDescent="0.3">
      <c r="H5" s="1" t="s">
        <v>137</v>
      </c>
    </row>
    <row r="6" spans="1:15" ht="14.4" thickBot="1" x14ac:dyDescent="0.35">
      <c r="B6" s="83">
        <v>0.6</v>
      </c>
      <c r="C6" s="83">
        <v>1.3</v>
      </c>
    </row>
    <row r="7" spans="1:15" ht="27.6" customHeight="1" x14ac:dyDescent="0.3">
      <c r="A7" s="136" t="s">
        <v>10</v>
      </c>
      <c r="B7" s="139" t="s">
        <v>11</v>
      </c>
      <c r="C7" s="140"/>
      <c r="D7" s="141" t="s">
        <v>14</v>
      </c>
      <c r="E7" s="142"/>
      <c r="F7" s="143" t="s">
        <v>26</v>
      </c>
      <c r="G7" s="144"/>
    </row>
    <row r="8" spans="1:15" ht="27.6" x14ac:dyDescent="0.3">
      <c r="A8" s="137"/>
      <c r="B8" s="76" t="s">
        <v>12</v>
      </c>
      <c r="C8" s="17" t="s">
        <v>13</v>
      </c>
      <c r="D8" s="19" t="s">
        <v>22</v>
      </c>
      <c r="E8" s="17" t="s">
        <v>23</v>
      </c>
      <c r="F8" s="72" t="s">
        <v>24</v>
      </c>
      <c r="G8" s="4" t="s">
        <v>25</v>
      </c>
    </row>
    <row r="9" spans="1:15" ht="14.4" thickBot="1" x14ac:dyDescent="0.35">
      <c r="A9" s="138"/>
      <c r="B9" s="85">
        <f>B6*B12</f>
        <v>13460703.6</v>
      </c>
      <c r="C9" s="85">
        <f>C6*B12</f>
        <v>29164857.800000001</v>
      </c>
      <c r="D9" s="164">
        <f>F9</f>
        <v>22434506</v>
      </c>
      <c r="E9" s="165">
        <f>(($O$12/(1+EXP($M$12+$N$12*D9)))-1) - ($F$12-$C$12)</f>
        <v>135699.36912083253</v>
      </c>
      <c r="F9" s="85">
        <f>B12</f>
        <v>22434506</v>
      </c>
      <c r="G9" s="103">
        <f>C12</f>
        <v>135699.3691208323</v>
      </c>
    </row>
    <row r="10" spans="1:15" ht="14.4" thickBot="1" x14ac:dyDescent="0.35"/>
    <row r="11" spans="1:15" ht="51.6" customHeight="1" x14ac:dyDescent="0.3">
      <c r="A11" s="136" t="s">
        <v>17</v>
      </c>
      <c r="B11" s="77" t="s">
        <v>18</v>
      </c>
      <c r="C11" s="77" t="s">
        <v>19</v>
      </c>
      <c r="D11" s="77" t="s">
        <v>20</v>
      </c>
      <c r="E11" s="77" t="s">
        <v>21</v>
      </c>
      <c r="F11" s="15" t="s">
        <v>138</v>
      </c>
      <c r="H11" s="132" t="s">
        <v>27</v>
      </c>
      <c r="I11" s="77" t="s">
        <v>139</v>
      </c>
      <c r="J11" s="77" t="s">
        <v>140</v>
      </c>
      <c r="K11" s="77" t="s">
        <v>141</v>
      </c>
      <c r="L11" s="77" t="s">
        <v>142</v>
      </c>
      <c r="M11" s="77" t="s">
        <v>28</v>
      </c>
      <c r="N11" s="77" t="s">
        <v>29</v>
      </c>
      <c r="O11" s="15" t="s">
        <v>30</v>
      </c>
    </row>
    <row r="12" spans="1:15" ht="15" customHeight="1" thickBot="1" x14ac:dyDescent="0.35">
      <c r="A12" s="138"/>
      <c r="B12" s="85">
        <v>22434506</v>
      </c>
      <c r="C12" s="103">
        <v>135699.3691208323</v>
      </c>
      <c r="D12" s="12">
        <v>0</v>
      </c>
      <c r="E12" s="103">
        <v>516500</v>
      </c>
      <c r="F12" s="166">
        <v>5165000</v>
      </c>
      <c r="H12" s="133"/>
      <c r="I12" s="167">
        <f>F12-C12</f>
        <v>5029300.6308791675</v>
      </c>
      <c r="J12" s="167">
        <f>I12+E12</f>
        <v>5545800.6308791675</v>
      </c>
      <c r="K12" s="168">
        <f>B12</f>
        <v>22434506</v>
      </c>
      <c r="L12" s="167">
        <f>F12</f>
        <v>5165000</v>
      </c>
      <c r="M12" s="24">
        <f>LN((($J$12+1)/($I$12+1))-1)</f>
        <v>-2.2759611241153297</v>
      </c>
      <c r="N12" s="169">
        <f>(LN((($J$12+1)/($L$12+1))-1)-$M$12)/$K$12</f>
        <v>-1.4772934666486198E-8</v>
      </c>
      <c r="O12" s="170">
        <f>J12+1</f>
        <v>5545801.6308791675</v>
      </c>
    </row>
    <row r="13" spans="1:15" ht="34.200000000000003" customHeight="1" x14ac:dyDescent="0.3">
      <c r="A13" s="152" t="s">
        <v>143</v>
      </c>
      <c r="B13" s="153"/>
      <c r="C13" s="153"/>
      <c r="D13" s="153"/>
      <c r="E13" s="153"/>
      <c r="F13" s="154"/>
      <c r="H13" s="152" t="s">
        <v>144</v>
      </c>
      <c r="I13" s="153"/>
      <c r="J13" s="153"/>
      <c r="K13" s="153"/>
      <c r="L13" s="153"/>
      <c r="M13" s="153"/>
      <c r="N13" s="153"/>
      <c r="O13" s="154"/>
    </row>
    <row r="14" spans="1:15" ht="33.6" customHeight="1" x14ac:dyDescent="0.3">
      <c r="A14" s="128"/>
      <c r="B14" s="129"/>
      <c r="C14" s="129"/>
      <c r="D14" s="129"/>
      <c r="E14" s="129"/>
      <c r="F14" s="130"/>
      <c r="H14" s="128"/>
      <c r="I14" s="129"/>
      <c r="J14" s="129"/>
      <c r="K14" s="129"/>
      <c r="L14" s="129"/>
      <c r="M14" s="129"/>
      <c r="N14" s="129"/>
      <c r="O14" s="130"/>
    </row>
    <row r="16" spans="1:15" ht="14.4" thickBot="1" x14ac:dyDescent="0.35"/>
    <row r="17" spans="1:4" ht="16.8" customHeight="1" x14ac:dyDescent="0.3">
      <c r="A17" s="132" t="s">
        <v>36</v>
      </c>
      <c r="B17" s="77" t="s">
        <v>34</v>
      </c>
      <c r="C17" s="77" t="s">
        <v>33</v>
      </c>
      <c r="D17" s="15" t="s">
        <v>35</v>
      </c>
    </row>
    <row r="18" spans="1:4" ht="23.4" customHeight="1" thickBot="1" x14ac:dyDescent="0.35">
      <c r="A18" s="133"/>
      <c r="B18" s="171">
        <v>0</v>
      </c>
      <c r="C18" s="172">
        <v>200000000</v>
      </c>
      <c r="D18" s="26">
        <v>20</v>
      </c>
    </row>
    <row r="20" spans="1:4" x14ac:dyDescent="0.3">
      <c r="A20" s="122" t="s">
        <v>39</v>
      </c>
      <c r="B20" s="122"/>
    </row>
    <row r="21" spans="1:4" x14ac:dyDescent="0.3">
      <c r="A21" s="76" t="s">
        <v>37</v>
      </c>
      <c r="B21" s="76" t="s">
        <v>38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73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73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73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73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73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73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73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73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73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73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73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73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73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73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73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73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73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73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73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73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B4:F4"/>
    <mergeCell ref="A7:A9"/>
    <mergeCell ref="B7:C7"/>
    <mergeCell ref="D7:E7"/>
    <mergeCell ref="F7:G7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Optimization_Scenario</vt:lpstr>
      <vt:lpstr>Detail</vt:lpstr>
      <vt:lpstr>Sample</vt:lpstr>
      <vt:lpstr>Vch</vt:lpstr>
      <vt:lpstr>MMF</vt:lpstr>
      <vt:lpstr>DTC</vt:lpstr>
      <vt:lpstr>MCM</vt:lpstr>
      <vt:lpstr>FT_SCurveEst</vt:lpstr>
      <vt:lpstr>FT_Equation</vt:lpstr>
      <vt:lpstr>FT_Interpolate</vt:lpstr>
      <vt:lpstr>FT_SCurve3Est</vt:lpstr>
      <vt:lpstr>Sheet3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2013-04-09T15:47:55Z</dcterms:modified>
</cp:coreProperties>
</file>