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4908" windowWidth="17496" windowHeight="4956" firstSheet="1" activeTab="1"/>
  </bookViews>
  <sheets>
    <sheet name="mCSpline" sheetId="1" state="veryHidden" r:id="rId1"/>
    <sheet name="chk" sheetId="8" r:id="rId2"/>
    <sheet name="CSpline" sheetId="4" r:id="rId3"/>
    <sheet name="Algorithm" sheetId="7" r:id="rId4"/>
    <sheet name="About" sheetId="5" r:id="rId5"/>
  </sheets>
  <functionGroups builtInGroupCount="17"/>
  <definedNames>
    <definedName name="out">CSpline!$C$27</definedName>
    <definedName name="solver_adj" localSheetId="2" hidden="1">CSpline!$B$62</definedName>
    <definedName name="solver_cvg" localSheetId="2" hidden="1">0.00000001</definedName>
    <definedName name="solver_drv" localSheetId="2" hidden="1">1</definedName>
    <definedName name="solver_eng" localSheetId="1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1" hidden="1">1</definedName>
    <definedName name="solver_neg" localSheetId="2" hidden="1">2</definedName>
    <definedName name="solver_num" localSheetId="1" hidden="1">0</definedName>
    <definedName name="solver_num" localSheetId="2" hidden="1">0</definedName>
    <definedName name="solver_nwt" localSheetId="2" hidden="1">1</definedName>
    <definedName name="solver_opt" localSheetId="1" hidden="1">chk!$B$16</definedName>
    <definedName name="solver_opt" localSheetId="2" hidden="1">CSpline!$G$62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0.01</definedName>
    <definedName name="solver_typ" localSheetId="1" hidden="1">1</definedName>
    <definedName name="solver_typ" localSheetId="2" hidden="1">3</definedName>
    <definedName name="solver_val" localSheetId="1" hidden="1">0</definedName>
    <definedName name="solver_val" localSheetId="2" hidden="1">-4.05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B115" i="4" l="1"/>
  <c r="B113" i="4"/>
  <c r="B111" i="4"/>
  <c r="A62" i="4"/>
  <c r="A72" i="4"/>
  <c r="B72" i="4"/>
  <c r="A111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A112" i="4"/>
  <c r="A113" i="4"/>
  <c r="A114" i="4"/>
  <c r="A115" i="4"/>
  <c r="A116" i="4"/>
  <c r="F35" i="4"/>
  <c r="F38" i="4"/>
  <c r="F37" i="4"/>
  <c r="F39" i="4"/>
  <c r="B67" i="4"/>
  <c r="A70" i="4"/>
  <c r="A64" i="4"/>
  <c r="B64" i="4"/>
  <c r="A69" i="4"/>
  <c r="B69" i="4"/>
  <c r="A68" i="4"/>
  <c r="A66" i="4"/>
  <c r="B66" i="4"/>
  <c r="A63" i="4"/>
  <c r="B71" i="4"/>
  <c r="B63" i="4"/>
  <c r="B68" i="4"/>
  <c r="B70" i="4"/>
  <c r="A65" i="4"/>
  <c r="B65" i="4"/>
  <c r="E14" i="8"/>
  <c r="E15" i="8"/>
  <c r="E13" i="8"/>
  <c r="F6" i="8" a="1"/>
  <c r="D110" i="4" a="1"/>
  <c r="B140" i="4" a="1"/>
  <c r="H35" i="4" a="1"/>
  <c r="D35" i="4" a="1"/>
  <c r="D62" i="4" a="1"/>
  <c r="B88" i="4" a="1"/>
  <c r="D6" i="8" a="1"/>
  <c r="G6" i="8" l="1"/>
  <c r="K6" i="8"/>
  <c r="G7" i="8"/>
  <c r="K7" i="8"/>
  <c r="G8" i="8"/>
  <c r="K8" i="8"/>
  <c r="G9" i="8"/>
  <c r="K9" i="8"/>
  <c r="G10" i="8"/>
  <c r="K10" i="8"/>
  <c r="H6" i="8"/>
  <c r="L6" i="8"/>
  <c r="H7" i="8"/>
  <c r="L7" i="8"/>
  <c r="H8" i="8"/>
  <c r="L8" i="8"/>
  <c r="H9" i="8"/>
  <c r="L9" i="8"/>
  <c r="H10" i="8"/>
  <c r="L10" i="8"/>
  <c r="I6" i="8"/>
  <c r="M6" i="8"/>
  <c r="I7" i="8"/>
  <c r="M7" i="8"/>
  <c r="I8" i="8"/>
  <c r="M8" i="8"/>
  <c r="I9" i="8"/>
  <c r="M9" i="8"/>
  <c r="I10" i="8"/>
  <c r="M10" i="8"/>
  <c r="F6" i="8"/>
  <c r="J6" i="8"/>
  <c r="F7" i="8"/>
  <c r="J7" i="8"/>
  <c r="F8" i="8"/>
  <c r="J8" i="8"/>
  <c r="F9" i="8"/>
  <c r="J9" i="8"/>
  <c r="F10" i="8"/>
  <c r="J10" i="8"/>
  <c r="E90" i="4"/>
  <c r="E94" i="4"/>
  <c r="B90" i="4"/>
  <c r="B94" i="4"/>
  <c r="B98" i="4"/>
  <c r="I88" i="4"/>
  <c r="I92" i="4"/>
  <c r="F88" i="4"/>
  <c r="F92" i="4"/>
  <c r="F96" i="4"/>
  <c r="G97" i="4"/>
  <c r="C92" i="4"/>
  <c r="H91" i="4"/>
  <c r="E96" i="4"/>
  <c r="G94" i="4"/>
  <c r="D94" i="4"/>
  <c r="C89" i="4"/>
  <c r="H88" i="4"/>
  <c r="H96" i="4"/>
  <c r="D91" i="4"/>
  <c r="D93" i="4"/>
  <c r="D95" i="4"/>
  <c r="E91" i="4"/>
  <c r="I95" i="4"/>
  <c r="B91" i="4"/>
  <c r="B95" i="4"/>
  <c r="E95" i="4"/>
  <c r="I89" i="4"/>
  <c r="I93" i="4"/>
  <c r="F89" i="4"/>
  <c r="F93" i="4"/>
  <c r="F97" i="4"/>
  <c r="I98" i="4"/>
  <c r="C94" i="4"/>
  <c r="H93" i="4"/>
  <c r="G88" i="4"/>
  <c r="D88" i="4"/>
  <c r="D96" i="4"/>
  <c r="C91" i="4"/>
  <c r="H90" i="4"/>
  <c r="H98" i="4"/>
  <c r="G95" i="4"/>
  <c r="G98" i="4"/>
  <c r="D97" i="4"/>
  <c r="E89" i="4"/>
  <c r="B89" i="4"/>
  <c r="B97" i="4"/>
  <c r="I91" i="4"/>
  <c r="F91" i="4"/>
  <c r="C96" i="4"/>
  <c r="H89" i="4"/>
  <c r="G92" i="4"/>
  <c r="E97" i="4"/>
  <c r="H94" i="4"/>
  <c r="G93" i="4"/>
  <c r="E93" i="4"/>
  <c r="E98" i="4"/>
  <c r="F95" i="4"/>
  <c r="H97" i="4"/>
  <c r="C95" i="4"/>
  <c r="I96" i="4"/>
  <c r="E92" i="4"/>
  <c r="B92" i="4"/>
  <c r="G96" i="4"/>
  <c r="I94" i="4"/>
  <c r="F94" i="4"/>
  <c r="C88" i="4"/>
  <c r="H95" i="4"/>
  <c r="D90" i="4"/>
  <c r="C93" i="4"/>
  <c r="I97" i="4"/>
  <c r="D89" i="4"/>
  <c r="B93" i="4"/>
  <c r="C97" i="4"/>
  <c r="C90" i="4"/>
  <c r="D92" i="4"/>
  <c r="G91" i="4"/>
  <c r="B96" i="4"/>
  <c r="C98" i="4"/>
  <c r="G89" i="4"/>
  <c r="B88" i="4"/>
  <c r="H92" i="4"/>
  <c r="I90" i="4"/>
  <c r="G90" i="4"/>
  <c r="E88" i="4"/>
  <c r="F90" i="4"/>
  <c r="D98" i="4"/>
  <c r="F98" i="4"/>
  <c r="H63" i="4"/>
  <c r="F64" i="4"/>
  <c r="D77" i="4"/>
  <c r="I66" i="4"/>
  <c r="G77" i="4"/>
  <c r="H66" i="4"/>
  <c r="F77" i="4"/>
  <c r="E67" i="4"/>
  <c r="I77" i="4"/>
  <c r="G75" i="4"/>
  <c r="H72" i="4"/>
  <c r="E73" i="4"/>
  <c r="F72" i="4"/>
  <c r="I64" i="4"/>
  <c r="H64" i="4"/>
  <c r="E65" i="4"/>
  <c r="D69" i="4"/>
  <c r="D71" i="4"/>
  <c r="F82" i="4"/>
  <c r="E72" i="4"/>
  <c r="I82" i="4"/>
  <c r="D72" i="4"/>
  <c r="H82" i="4"/>
  <c r="G72" i="4"/>
  <c r="E62" i="4"/>
  <c r="D62" i="4"/>
  <c r="G62" i="4"/>
  <c r="D65" i="4"/>
  <c r="H77" i="4"/>
  <c r="I72" i="4"/>
  <c r="D78" i="4"/>
  <c r="I75" i="4"/>
  <c r="H69" i="4"/>
  <c r="D81" i="4"/>
  <c r="I70" i="4"/>
  <c r="G81" i="4"/>
  <c r="H70" i="4"/>
  <c r="F81" i="4"/>
  <c r="E71" i="4"/>
  <c r="I81" i="4"/>
  <c r="F63" i="4"/>
  <c r="D63" i="4"/>
  <c r="D66" i="4"/>
  <c r="I79" i="4"/>
  <c r="F70" i="4"/>
  <c r="D79" i="4"/>
  <c r="E69" i="4"/>
  <c r="H71" i="4"/>
  <c r="F74" i="4"/>
  <c r="E64" i="4"/>
  <c r="I74" i="4"/>
  <c r="D64" i="4"/>
  <c r="H74" i="4"/>
  <c r="G64" i="4"/>
  <c r="E75" i="4"/>
  <c r="E70" i="4"/>
  <c r="F67" i="4"/>
  <c r="I67" i="4"/>
  <c r="F68" i="4"/>
  <c r="F80" i="4"/>
  <c r="I80" i="4"/>
  <c r="H80" i="4"/>
  <c r="E81" i="4"/>
  <c r="D73" i="4"/>
  <c r="I62" i="4"/>
  <c r="G73" i="4"/>
  <c r="H62" i="4"/>
  <c r="F73" i="4"/>
  <c r="E63" i="4"/>
  <c r="I73" i="4"/>
  <c r="H73" i="4"/>
  <c r="D74" i="4"/>
  <c r="F76" i="4"/>
  <c r="G66" i="4"/>
  <c r="H81" i="4"/>
  <c r="E82" i="4"/>
  <c r="I68" i="4"/>
  <c r="G71" i="4"/>
  <c r="G69" i="4"/>
  <c r="I69" i="4"/>
  <c r="G78" i="4"/>
  <c r="G70" i="4"/>
  <c r="F78" i="4"/>
  <c r="I78" i="4"/>
  <c r="H78" i="4"/>
  <c r="E79" i="4"/>
  <c r="G74" i="4"/>
  <c r="F79" i="4"/>
  <c r="D67" i="4"/>
  <c r="G82" i="4"/>
  <c r="E74" i="4"/>
  <c r="F66" i="4"/>
  <c r="E80" i="4"/>
  <c r="G80" i="4"/>
  <c r="D75" i="4"/>
  <c r="F62" i="4"/>
  <c r="G65" i="4"/>
  <c r="F65" i="4"/>
  <c r="I65" i="4"/>
  <c r="G63" i="4"/>
  <c r="E66" i="4"/>
  <c r="D82" i="4"/>
  <c r="G79" i="4"/>
  <c r="H67" i="4"/>
  <c r="F69" i="4"/>
  <c r="E78" i="4"/>
  <c r="G67" i="4"/>
  <c r="H65" i="4"/>
  <c r="E68" i="4"/>
  <c r="D68" i="4"/>
  <c r="G68" i="4"/>
  <c r="I76" i="4"/>
  <c r="H76" i="4"/>
  <c r="H68" i="4"/>
  <c r="H79" i="4"/>
  <c r="H75" i="4"/>
  <c r="I63" i="4"/>
  <c r="D70" i="4"/>
  <c r="D80" i="4"/>
  <c r="E76" i="4"/>
  <c r="E77" i="4"/>
  <c r="F75" i="4"/>
  <c r="D76" i="4"/>
  <c r="I71" i="4"/>
  <c r="G76" i="4"/>
  <c r="F71" i="4"/>
  <c r="D36" i="4"/>
  <c r="D38" i="4"/>
  <c r="D48" i="4"/>
  <c r="D56" i="4"/>
  <c r="D43" i="4"/>
  <c r="D41" i="4"/>
  <c r="D35" i="4"/>
  <c r="D44" i="4"/>
  <c r="D47" i="4"/>
  <c r="D45" i="4"/>
  <c r="D55" i="4"/>
  <c r="D46" i="4"/>
  <c r="D39" i="4"/>
  <c r="D49" i="4"/>
  <c r="D53" i="4"/>
  <c r="D52" i="4"/>
  <c r="D54" i="4"/>
  <c r="D50" i="4"/>
  <c r="D42" i="4"/>
  <c r="D40" i="4"/>
  <c r="D37" i="4"/>
  <c r="D51" i="4"/>
  <c r="H41" i="4"/>
  <c r="H38" i="4"/>
  <c r="H51" i="4"/>
  <c r="H35" i="4"/>
  <c r="H39" i="4"/>
  <c r="H47" i="4"/>
  <c r="H36" i="4"/>
  <c r="H54" i="4"/>
  <c r="H50" i="4"/>
  <c r="H55" i="4"/>
  <c r="H42" i="4"/>
  <c r="H48" i="4"/>
  <c r="H56" i="4"/>
  <c r="H44" i="4"/>
  <c r="H43" i="4"/>
  <c r="H52" i="4"/>
  <c r="H37" i="4"/>
  <c r="H46" i="4"/>
  <c r="H40" i="4"/>
  <c r="H49" i="4"/>
  <c r="H53" i="4"/>
  <c r="H45" i="4"/>
  <c r="D140" i="4"/>
  <c r="D144" i="4"/>
  <c r="E141" i="4"/>
  <c r="E145" i="4"/>
  <c r="H141" i="4"/>
  <c r="H145" i="4"/>
  <c r="I142" i="4"/>
  <c r="I146" i="4"/>
  <c r="B145" i="4"/>
  <c r="C146" i="4"/>
  <c r="G140" i="4"/>
  <c r="B142" i="4"/>
  <c r="C143" i="4"/>
  <c r="F146" i="4"/>
  <c r="D141" i="4"/>
  <c r="D145" i="4"/>
  <c r="E142" i="4"/>
  <c r="E146" i="4"/>
  <c r="H142" i="4"/>
  <c r="H146" i="4"/>
  <c r="I143" i="4"/>
  <c r="B140" i="4"/>
  <c r="C140" i="4"/>
  <c r="F141" i="4"/>
  <c r="G142" i="4"/>
  <c r="B144" i="4"/>
  <c r="C145" i="4"/>
  <c r="G141" i="4"/>
  <c r="D146" i="4"/>
  <c r="F140" i="4"/>
  <c r="I140" i="4"/>
  <c r="B141" i="4"/>
  <c r="F143" i="4"/>
  <c r="B146" i="4"/>
  <c r="G143" i="4"/>
  <c r="E144" i="4"/>
  <c r="I145" i="4"/>
  <c r="G146" i="4"/>
  <c r="E140" i="4"/>
  <c r="H140" i="4"/>
  <c r="I141" i="4"/>
  <c r="B143" i="4"/>
  <c r="F145" i="4"/>
  <c r="C141" i="4"/>
  <c r="G145" i="4"/>
  <c r="D142" i="4"/>
  <c r="E143" i="4"/>
  <c r="H143" i="4"/>
  <c r="I144" i="4"/>
  <c r="C142" i="4"/>
  <c r="G144" i="4"/>
  <c r="F142" i="4"/>
  <c r="D143" i="4"/>
  <c r="H144" i="4"/>
  <c r="C144" i="4"/>
  <c r="F144" i="4"/>
  <c r="F125" i="4"/>
  <c r="G125" i="4" s="1"/>
  <c r="E111" i="4"/>
  <c r="E119" i="4"/>
  <c r="E127" i="4"/>
  <c r="D121" i="4"/>
  <c r="E132" i="4"/>
  <c r="D117" i="4"/>
  <c r="D112" i="4"/>
  <c r="D128" i="4"/>
  <c r="D133" i="4"/>
  <c r="E110" i="4"/>
  <c r="D122" i="4"/>
  <c r="E124" i="4"/>
  <c r="E120" i="4"/>
  <c r="F116" i="4"/>
  <c r="G116" i="4" s="1"/>
  <c r="F122" i="4"/>
  <c r="G122" i="4" s="1"/>
  <c r="F132" i="4"/>
  <c r="G132" i="4" s="1"/>
  <c r="D125" i="4"/>
  <c r="E117" i="4"/>
  <c r="E129" i="4"/>
  <c r="F129" i="4"/>
  <c r="G129" i="4" s="1"/>
  <c r="D115" i="4"/>
  <c r="D116" i="4"/>
  <c r="E122" i="4"/>
  <c r="F117" i="4"/>
  <c r="G117" i="4" s="1"/>
  <c r="E114" i="4"/>
  <c r="D114" i="4"/>
  <c r="D134" i="4"/>
  <c r="F119" i="4"/>
  <c r="G119" i="4" s="1"/>
  <c r="E116" i="4"/>
  <c r="F131" i="4"/>
  <c r="G131" i="4" s="1"/>
  <c r="E123" i="4"/>
  <c r="D111" i="4"/>
  <c r="F121" i="4"/>
  <c r="G121" i="4" s="1"/>
  <c r="F113" i="4"/>
  <c r="G113" i="4" s="1"/>
  <c r="F127" i="4"/>
  <c r="G127" i="4" s="1"/>
  <c r="D126" i="4"/>
  <c r="E130" i="4"/>
  <c r="F112" i="4"/>
  <c r="G112" i="4" s="1"/>
  <c r="F118" i="4"/>
  <c r="G118" i="4" s="1"/>
  <c r="F128" i="4"/>
  <c r="G128" i="4" s="1"/>
  <c r="F134" i="4"/>
  <c r="G134" i="4" s="1"/>
  <c r="E128" i="4"/>
  <c r="D131" i="4"/>
  <c r="E121" i="4"/>
  <c r="E131" i="4"/>
  <c r="D119" i="4"/>
  <c r="D120" i="4"/>
  <c r="D127" i="4"/>
  <c r="F123" i="4"/>
  <c r="G123" i="4" s="1"/>
  <c r="E118" i="4"/>
  <c r="D118" i="4"/>
  <c r="F111" i="4"/>
  <c r="G111" i="4" s="1"/>
  <c r="F133" i="4"/>
  <c r="G133" i="4" s="1"/>
  <c r="F114" i="4"/>
  <c r="G114" i="4" s="1"/>
  <c r="F124" i="4"/>
  <c r="G124" i="4" s="1"/>
  <c r="F130" i="4"/>
  <c r="G130" i="4" s="1"/>
  <c r="E113" i="4"/>
  <c r="E133" i="4"/>
  <c r="D124" i="4"/>
  <c r="F126" i="4"/>
  <c r="G126" i="4" s="1"/>
  <c r="E115" i="4"/>
  <c r="D110" i="4"/>
  <c r="E134" i="4"/>
  <c r="D129" i="4"/>
  <c r="F110" i="4"/>
  <c r="G110" i="4" s="1"/>
  <c r="E125" i="4"/>
  <c r="D132" i="4"/>
  <c r="D130" i="4"/>
  <c r="D123" i="4"/>
  <c r="E126" i="4"/>
  <c r="F115" i="4"/>
  <c r="G115" i="4" s="1"/>
  <c r="F120" i="4"/>
  <c r="G120" i="4" s="1"/>
  <c r="D113" i="4"/>
  <c r="E112" i="4"/>
  <c r="D8" i="8"/>
  <c r="D7" i="8"/>
  <c r="D10" i="8"/>
  <c r="D6" i="8"/>
  <c r="D9" i="8"/>
</calcChain>
</file>

<file path=xl/sharedStrings.xml><?xml version="1.0" encoding="utf-8"?>
<sst xmlns="http://schemas.openxmlformats.org/spreadsheetml/2006/main" count="142" uniqueCount="105">
  <si>
    <t>h</t>
  </si>
  <si>
    <t>b</t>
  </si>
  <si>
    <t>Radius</t>
  </si>
  <si>
    <t>d</t>
  </si>
  <si>
    <t>alpha</t>
  </si>
  <si>
    <t>c</t>
  </si>
  <si>
    <t>l</t>
  </si>
  <si>
    <t>mu</t>
  </si>
  <si>
    <t>z</t>
  </si>
  <si>
    <t>Cubic Spline Function</t>
  </si>
  <si>
    <t>Input:</t>
  </si>
  <si>
    <t>X Coords</t>
  </si>
  <si>
    <t>Column 1</t>
  </si>
  <si>
    <t>Column 2</t>
  </si>
  <si>
    <t>Column 3</t>
  </si>
  <si>
    <t>Column 4</t>
  </si>
  <si>
    <t>Column 5</t>
  </si>
  <si>
    <t xml:space="preserve"> =CSplineA(X Coords, Y Coords, Interpolation X Coords, Optional Output type)</t>
  </si>
  <si>
    <t>Interpolation X Coords</t>
  </si>
  <si>
    <t>Output Type</t>
  </si>
  <si>
    <t>}</t>
  </si>
  <si>
    <t>} X and Y coordinates of the line, x must be in ascending order</t>
  </si>
  <si>
    <t>Fit a cubic spline to a a series of XY coordinates</t>
  </si>
  <si>
    <t xml:space="preserve"> X coordinates where output is required</t>
  </si>
  <si>
    <t xml:space="preserve"> 1 (default) for Y values, slope, curvature and radius</t>
  </si>
  <si>
    <t xml:space="preserve"> 2 for polynomial coefficients and related data</t>
  </si>
  <si>
    <t>Spline Y values</t>
  </si>
  <si>
    <t>Slope</t>
  </si>
  <si>
    <t>Curvature</t>
  </si>
  <si>
    <t xml:space="preserve"> Out = 1</t>
  </si>
  <si>
    <t>Column 6</t>
  </si>
  <si>
    <t>Column 7</t>
  </si>
  <si>
    <t>Column 8</t>
  </si>
  <si>
    <t>Data1</t>
  </si>
  <si>
    <t>Spline1</t>
  </si>
  <si>
    <t>X</t>
  </si>
  <si>
    <t>Y</t>
  </si>
  <si>
    <t>Data2</t>
  </si>
  <si>
    <t>Spline2</t>
  </si>
  <si>
    <t>Example 1; Fit spline to 5 data points</t>
  </si>
  <si>
    <t>Arc Length</t>
  </si>
  <si>
    <t>Example 2; Fit spline to 9 data points on a circular arc</t>
  </si>
  <si>
    <t>Columns 7 and 8 are only generated if "out" = 2</t>
  </si>
  <si>
    <t>Arc length</t>
  </si>
  <si>
    <t>Chord Length</t>
  </si>
  <si>
    <t>Disclaimer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</si>
  <si>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</si>
  <si>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</si>
  <si>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</si>
  <si>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</si>
  <si>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</si>
  <si>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</si>
  <si>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</si>
  <si>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</si>
  <si>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A copy of the GNU General Public License may be obtained from:</t>
  </si>
  <si>
    <t>The Free Software Foundation, Inc.</t>
  </si>
  <si>
    <t xml:space="preserve"> 59 Temple Place - Suite 330, Boston, MA  02111-1307, USA.</t>
  </si>
  <si>
    <t xml:space="preserve"> </t>
  </si>
  <si>
    <t>dougjenkins@interactiveds.com.au</t>
  </si>
  <si>
    <t>www.interactiveds.com.au</t>
  </si>
  <si>
    <t>ã</t>
  </si>
  <si>
    <t xml:space="preserve"> Copyright  2009 Interactive Design Services Pty Ltd.  all rights reserved</t>
  </si>
  <si>
    <t>Revision History</t>
  </si>
  <si>
    <t>Current Version</t>
  </si>
  <si>
    <t>Rev</t>
  </si>
  <si>
    <t>Date</t>
  </si>
  <si>
    <t>By</t>
  </si>
  <si>
    <t>Description</t>
  </si>
  <si>
    <t>DAJ</t>
  </si>
  <si>
    <t>First release</t>
  </si>
  <si>
    <t>http://newtonexcelbach.wordpress.com/</t>
  </si>
  <si>
    <t>Cubic Spline Algorithm from Wikipedia; 1/7/09</t>
  </si>
  <si>
    <t>http://en.wikipedia.org/wiki/Spline_(mathematics)</t>
  </si>
  <si>
    <t xml:space="preserve"> Out = 2 (see algorithm and fuction code)</t>
  </si>
  <si>
    <t>h(i) = x(i+1) - x(i)</t>
  </si>
  <si>
    <t>alpha(i) = (3 / h(i) * (Y(i+1) - Y(i))) - (3 / h(i-1) * (Y(i) - Y(i-1)))</t>
  </si>
  <si>
    <t>mu(i) = h(i) / l(i);  mu(1) = 0</t>
  </si>
  <si>
    <t>z(i) = (alpha(i) - h(i-1) * z(i-1) / l(i);  z(1) = z(n) = 0</t>
  </si>
  <si>
    <t>c = z(i) - mu(i) * c(i+1);  c(n) = 0</t>
  </si>
  <si>
    <t>d = (c(i+1) - c(i)) / (3 * h(i))</t>
  </si>
  <si>
    <t>Where X = Xint(i) - x(j)</t>
  </si>
  <si>
    <t>Y(i) = X^3 * d(j) + X^2 * c(j) + X * b(j) + y(j)</t>
  </si>
  <si>
    <t>To enter an array function:</t>
  </si>
  <si>
    <t>Enter the function in the top left cell of the output range</t>
  </si>
  <si>
    <t>Select the entire output range</t>
  </si>
  <si>
    <t>Press F2</t>
  </si>
  <si>
    <t>Press Ctrl-shift-enter</t>
  </si>
  <si>
    <t>Polynomial coefficients from example 2</t>
  </si>
  <si>
    <t>Example 3; Fit spline to the deflected shape of a 3 span beam</t>
  </si>
  <si>
    <t>Span lengths</t>
  </si>
  <si>
    <t>Mid-span deflection</t>
  </si>
  <si>
    <t>mm</t>
  </si>
  <si>
    <t>m</t>
  </si>
  <si>
    <t>Beam EI</t>
  </si>
  <si>
    <t>Bending Moment</t>
  </si>
  <si>
    <t>b = (y(i+1) - y(i)) / h(i) - h(i) * c(i+1) + 2* c(i) / 3</t>
  </si>
  <si>
    <t>l(i) = 2 * (x(i+1) - x(i-1)) - h(i-1) * mu(i-1); l(1) = l(n) = 1</t>
  </si>
  <si>
    <t>Polynomial coefficients from example 3</t>
  </si>
  <si>
    <t>Output:</t>
  </si>
  <si>
    <t>Output is a 6 or 8 column array, enter as an array function:</t>
  </si>
  <si>
    <t>Datapoints X and Y for Interpolation</t>
  </si>
  <si>
    <t>example prediction using CSplieA and more than one row of x</t>
  </si>
  <si>
    <t>FACT(NUMROWS,8)</t>
  </si>
  <si>
    <t>STEP 1. First compute FACT table (size: NUMROWS, 8) using CSsplineA() function with Option 2 in the last parameter.</t>
  </si>
  <si>
    <t>STEP 2. Then predict Y value for a given X value using CSplinePred()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</si>
</sst>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00"/>
    <numFmt numFmtId="165" formatCode="0.0000"/>
    <numFmt numFmtId="166" formatCode="0.000000"/>
    <numFmt numFmtId="167" formatCode="0.00000"/>
    <numFmt numFmtId="168" formatCode="0.000E+00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Symbol"/>
      <family val="1"/>
      <charset val="2"/>
    </font>
    <font>
      <sz val="12"/>
      <name val="Symbol"/>
      <family val="1"/>
      <charset val="2"/>
    </font>
    <font>
      <sz val="11"/>
      <name val="Calibri"/>
      <family val="2"/>
      <scheme val="minor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59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3" fillId="0" borderId="0" xfId="0" applyFont="1"/>
    <xf numFmtId="0" fontId="1" fillId="0" borderId="0" xfId="0" applyFont="1" applyAlignment="1">
      <alignment horizontal="left"/>
    </xf>
    <xf numFmtId="164" fontId="0" fillId="0" borderId="0" xfId="0" applyNumberFormat="1"/>
    <xf numFmtId="166" fontId="0" fillId="0" borderId="0" xfId="0" applyNumberFormat="1"/>
    <xf numFmtId="0" fontId="5" fillId="0" borderId="0" xfId="0" quotePrefix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4" xfId="0" applyBorder="1"/>
    <xf numFmtId="0" fontId="0" fillId="0" borderId="5" xfId="0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3" borderId="10" xfId="0" applyFill="1" applyBorder="1"/>
    <xf numFmtId="0" fontId="0" fillId="3" borderId="8" xfId="0" applyFill="1" applyBorder="1"/>
    <xf numFmtId="0" fontId="0" fillId="2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2" fontId="0" fillId="0" borderId="13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1" fontId="0" fillId="0" borderId="0" xfId="0" applyNumberFormat="1"/>
    <xf numFmtId="167" fontId="0" fillId="0" borderId="0" xfId="0" applyNumberFormat="1"/>
    <xf numFmtId="0" fontId="0" fillId="0" borderId="0" xfId="0" applyBorder="1"/>
    <xf numFmtId="0" fontId="0" fillId="0" borderId="3" xfId="0" applyBorder="1"/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0" borderId="0" xfId="0" applyNumberFormat="1"/>
    <xf numFmtId="0" fontId="6" fillId="0" borderId="0" xfId="0" applyNumberFormat="1" applyFont="1" applyAlignment="1"/>
    <xf numFmtId="0" fontId="7" fillId="0" borderId="0" xfId="0" applyNumberFormat="1" applyFont="1" applyAlignment="1"/>
    <xf numFmtId="0" fontId="6" fillId="0" borderId="0" xfId="0" quotePrefix="1" applyNumberFormat="1" applyFont="1" applyAlignment="1">
      <alignment horizontal="left"/>
    </xf>
    <xf numFmtId="0" fontId="7" fillId="0" borderId="0" xfId="0" applyNumberFormat="1" applyFont="1" applyAlignment="1">
      <alignment horizontal="centerContinuous" wrapText="1"/>
    </xf>
    <xf numFmtId="0" fontId="4" fillId="0" borderId="0" xfId="2" applyNumberFormat="1" applyAlignment="1" applyProtection="1"/>
    <xf numFmtId="0" fontId="7" fillId="0" borderId="0" xfId="0" applyNumberFormat="1" applyFont="1"/>
    <xf numFmtId="0" fontId="7" fillId="0" borderId="0" xfId="0" applyNumberFormat="1" applyFont="1" applyAlignment="1">
      <alignment horizontal="right"/>
    </xf>
    <xf numFmtId="0" fontId="8" fillId="0" borderId="0" xfId="0" applyNumberFormat="1" applyFont="1" applyAlignment="1">
      <alignment horizontal="right"/>
    </xf>
    <xf numFmtId="0" fontId="7" fillId="0" borderId="0" xfId="0" quotePrefix="1" applyNumberFormat="1" applyFont="1" applyAlignment="1">
      <alignment horizontal="left"/>
    </xf>
    <xf numFmtId="0" fontId="9" fillId="0" borderId="0" xfId="0" applyNumberFormat="1" applyFont="1" applyAlignment="1">
      <alignment horizontal="right"/>
    </xf>
    <xf numFmtId="0" fontId="10" fillId="0" borderId="0" xfId="0" applyNumberFormat="1" applyFont="1"/>
    <xf numFmtId="0" fontId="10" fillId="0" borderId="0" xfId="0" applyNumberFormat="1" applyFont="1" applyAlignment="1"/>
    <xf numFmtId="2" fontId="10" fillId="0" borderId="0" xfId="0" applyNumberFormat="1" applyFont="1"/>
    <xf numFmtId="15" fontId="10" fillId="0" borderId="0" xfId="0" applyNumberFormat="1" applyFont="1"/>
    <xf numFmtId="0" fontId="5" fillId="0" borderId="0" xfId="0" applyFont="1"/>
    <xf numFmtId="0" fontId="6" fillId="0" borderId="0" xfId="0" applyFont="1"/>
    <xf numFmtId="0" fontId="4" fillId="0" borderId="0" xfId="2" applyAlignment="1" applyProtection="1"/>
    <xf numFmtId="0" fontId="0" fillId="0" borderId="14" xfId="0" applyBorder="1"/>
    <xf numFmtId="0" fontId="0" fillId="0" borderId="15" xfId="0" applyBorder="1"/>
    <xf numFmtId="0" fontId="1" fillId="0" borderId="0" xfId="0" quotePrefix="1" applyFont="1" applyBorder="1" applyAlignment="1">
      <alignment horizontal="left"/>
    </xf>
    <xf numFmtId="0" fontId="1" fillId="0" borderId="0" xfId="0" applyFont="1" applyBorder="1"/>
    <xf numFmtId="0" fontId="3" fillId="0" borderId="0" xfId="0" applyFont="1" applyBorder="1"/>
    <xf numFmtId="0" fontId="3" fillId="0" borderId="16" xfId="0" applyFont="1" applyBorder="1"/>
    <xf numFmtId="0" fontId="0" fillId="0" borderId="16" xfId="0" applyBorder="1"/>
    <xf numFmtId="0" fontId="1" fillId="0" borderId="16" xfId="0" applyFont="1" applyBorder="1" applyAlignment="1">
      <alignment horizontal="left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0" borderId="16" xfId="0" applyFont="1" applyBorder="1"/>
    <xf numFmtId="0" fontId="3" fillId="0" borderId="20" xfId="0" quotePrefix="1" applyFont="1" applyBorder="1" applyAlignment="1">
      <alignment horizontal="left"/>
    </xf>
    <xf numFmtId="0" fontId="1" fillId="0" borderId="21" xfId="0" applyFont="1" applyBorder="1"/>
    <xf numFmtId="0" fontId="1" fillId="0" borderId="21" xfId="0" quotePrefix="1" applyFont="1" applyBorder="1" applyAlignment="1">
      <alignment horizontal="left"/>
    </xf>
    <xf numFmtId="0" fontId="1" fillId="0" borderId="22" xfId="0" quotePrefix="1" applyFont="1" applyBorder="1" applyAlignment="1">
      <alignment horizontal="left"/>
    </xf>
    <xf numFmtId="0" fontId="0" fillId="0" borderId="21" xfId="0" applyBorder="1"/>
    <xf numFmtId="0" fontId="1" fillId="0" borderId="22" xfId="0" applyFont="1" applyBorder="1"/>
    <xf numFmtId="0" fontId="3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18" xfId="0" quotePrefix="1" applyFont="1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12" xfId="0" applyBorder="1"/>
    <xf numFmtId="0" fontId="0" fillId="0" borderId="11" xfId="0" applyBorder="1"/>
    <xf numFmtId="0" fontId="1" fillId="0" borderId="11" xfId="0" applyFont="1" applyBorder="1"/>
    <xf numFmtId="0" fontId="1" fillId="0" borderId="23" xfId="0" applyFont="1" applyBorder="1"/>
    <xf numFmtId="0" fontId="0" fillId="0" borderId="13" xfId="0" applyBorder="1"/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3" xfId="0" quotePrefix="1" applyFont="1" applyFill="1" applyBorder="1" applyAlignment="1">
      <alignment horizontal="center"/>
    </xf>
    <xf numFmtId="0" fontId="3" fillId="0" borderId="13" xfId="0" quotePrefix="1" applyFon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0" fontId="1" fillId="0" borderId="6" xfId="0" quotePrefix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165" fontId="0" fillId="0" borderId="3" xfId="0" applyNumberFormat="1" applyBorder="1"/>
    <xf numFmtId="168" fontId="0" fillId="0" borderId="13" xfId="0" applyNumberFormat="1" applyBorder="1"/>
    <xf numFmtId="168" fontId="0" fillId="0" borderId="0" xfId="0" applyNumberFormat="1"/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168" fontId="0" fillId="0" borderId="5" xfId="0" applyNumberFormat="1" applyBorder="1" applyAlignment="1">
      <alignment horizontal="right"/>
    </xf>
    <xf numFmtId="168" fontId="0" fillId="0" borderId="3" xfId="0" applyNumberFormat="1" applyBorder="1" applyAlignment="1">
      <alignment horizontal="right"/>
    </xf>
    <xf numFmtId="3" fontId="0" fillId="0" borderId="13" xfId="1" applyNumberFormat="1" applyFont="1" applyBorder="1"/>
    <xf numFmtId="164" fontId="0" fillId="3" borderId="23" xfId="0" applyNumberFormat="1" applyFill="1" applyBorder="1" applyAlignment="1">
      <alignment horizontal="center"/>
    </xf>
    <xf numFmtId="164" fontId="0" fillId="3" borderId="24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1" fillId="0" borderId="14" xfId="0" applyFont="1" applyBorder="1"/>
    <xf numFmtId="0" fontId="1" fillId="0" borderId="25" xfId="0" quotePrefix="1" applyFont="1" applyBorder="1" applyAlignment="1">
      <alignment horizontal="left"/>
    </xf>
    <xf numFmtId="0" fontId="0" fillId="0" borderId="26" xfId="0" applyBorder="1"/>
    <xf numFmtId="0" fontId="0" fillId="0" borderId="27" xfId="0" applyBorder="1"/>
    <xf numFmtId="0" fontId="1" fillId="0" borderId="20" xfId="0" applyFont="1" applyBorder="1" applyAlignment="1">
      <alignment horizontal="left"/>
    </xf>
    <xf numFmtId="2" fontId="3" fillId="0" borderId="24" xfId="0" applyNumberFormat="1" applyFont="1" applyBorder="1"/>
    <xf numFmtId="2" fontId="3" fillId="0" borderId="13" xfId="0" applyNumberFormat="1" applyFont="1" applyBorder="1"/>
    <xf numFmtId="164" fontId="3" fillId="0" borderId="23" xfId="0" applyNumberFormat="1" applyFont="1" applyBorder="1"/>
    <xf numFmtId="165" fontId="3" fillId="0" borderId="4" xfId="0" applyNumberFormat="1" applyFont="1" applyBorder="1" applyAlignment="1">
      <alignment horizontal="right"/>
    </xf>
    <xf numFmtId="165" fontId="3" fillId="0" borderId="0" xfId="0" applyNumberFormat="1" applyFont="1" applyBorder="1" applyAlignment="1">
      <alignment horizontal="right"/>
    </xf>
    <xf numFmtId="165" fontId="3" fillId="0" borderId="0" xfId="0" applyNumberFormat="1" applyFont="1" applyBorder="1" applyAlignment="1">
      <alignment horizontal="center"/>
    </xf>
    <xf numFmtId="165" fontId="3" fillId="0" borderId="24" xfId="0" applyNumberFormat="1" applyFont="1" applyBorder="1" applyAlignment="1">
      <alignment horizontal="center"/>
    </xf>
    <xf numFmtId="164" fontId="3" fillId="0" borderId="24" xfId="0" applyNumberFormat="1" applyFont="1" applyBorder="1"/>
    <xf numFmtId="165" fontId="3" fillId="0" borderId="24" xfId="0" applyNumberFormat="1" applyFont="1" applyBorder="1" applyAlignment="1">
      <alignment horizontal="right"/>
    </xf>
    <xf numFmtId="165" fontId="3" fillId="0" borderId="0" xfId="0" quotePrefix="1" applyNumberFormat="1" applyFont="1" applyBorder="1" applyAlignment="1">
      <alignment horizontal="right"/>
    </xf>
    <xf numFmtId="168" fontId="3" fillId="0" borderId="23" xfId="0" applyNumberFormat="1" applyFont="1" applyBorder="1"/>
    <xf numFmtId="168" fontId="3" fillId="0" borderId="12" xfId="0" applyNumberFormat="1" applyFont="1" applyBorder="1" applyAlignment="1">
      <alignment horizontal="right"/>
    </xf>
    <xf numFmtId="168" fontId="3" fillId="0" borderId="11" xfId="0" applyNumberFormat="1" applyFont="1" applyBorder="1" applyAlignment="1">
      <alignment horizontal="right"/>
    </xf>
    <xf numFmtId="3" fontId="3" fillId="0" borderId="23" xfId="1" applyNumberFormat="1" applyFont="1" applyBorder="1"/>
    <xf numFmtId="168" fontId="3" fillId="0" borderId="24" xfId="0" applyNumberFormat="1" applyFont="1" applyBorder="1"/>
    <xf numFmtId="168" fontId="3" fillId="0" borderId="4" xfId="0" applyNumberFormat="1" applyFont="1" applyBorder="1" applyAlignment="1">
      <alignment horizontal="right"/>
    </xf>
    <xf numFmtId="168" fontId="3" fillId="0" borderId="0" xfId="0" applyNumberFormat="1" applyFont="1" applyBorder="1" applyAlignment="1">
      <alignment horizontal="right"/>
    </xf>
    <xf numFmtId="3" fontId="3" fillId="0" borderId="24" xfId="1" applyNumberFormat="1" applyFont="1" applyBorder="1"/>
    <xf numFmtId="2" fontId="3" fillId="0" borderId="12" xfId="0" applyNumberFormat="1" applyFont="1" applyBorder="1"/>
    <xf numFmtId="2" fontId="3" fillId="0" borderId="4" xfId="0" applyNumberFormat="1" applyFont="1" applyBorder="1"/>
    <xf numFmtId="164" fontId="3" fillId="0" borderId="11" xfId="0" applyNumberFormat="1" applyFont="1" applyBorder="1"/>
    <xf numFmtId="164" fontId="3" fillId="0" borderId="0" xfId="0" applyNumberFormat="1" applyFont="1" applyBorder="1"/>
    <xf numFmtId="168" fontId="3" fillId="0" borderId="11" xfId="0" applyNumberFormat="1" applyFont="1" applyBorder="1"/>
    <xf numFmtId="168" fontId="3" fillId="0" borderId="0" xfId="0" applyNumberFormat="1" applyFont="1" applyBorder="1"/>
    <xf numFmtId="0" fontId="3" fillId="0" borderId="0" xfId="0" applyFont="1" applyFill="1" applyBorder="1" applyAlignment="1">
      <alignment horizontal="left"/>
    </xf>
    <xf numFmtId="0" fontId="0" fillId="0" borderId="20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11" fillId="0" borderId="0" xfId="0" applyFont="1"/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11" fillId="0" borderId="20" xfId="0" applyFont="1" applyBorder="1" applyAlignment="1">
      <alignment horizontal="left" wrapText="1"/>
    </xf>
    <xf numFmtId="0" fontId="11" fillId="0" borderId="37" xfId="0" applyFont="1" applyBorder="1" applyAlignment="1">
      <alignment horizontal="center" wrapText="1"/>
    </xf>
    <xf numFmtId="0" fontId="11" fillId="0" borderId="19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23" xfId="0" applyFont="1" applyBorder="1" applyAlignment="1">
      <alignment horizontal="center" wrapText="1"/>
    </xf>
    <xf numFmtId="0" fontId="3" fillId="0" borderId="13" xfId="0" applyFont="1" applyBorder="1" applyAlignment="1">
      <alignment horizontal="center" wrapText="1"/>
    </xf>
    <xf numFmtId="0" fontId="1" fillId="0" borderId="1" xfId="0" quotePrefix="1" applyFont="1" applyBorder="1" applyAlignment="1">
      <alignment horizontal="center"/>
    </xf>
    <xf numFmtId="0" fontId="1" fillId="0" borderId="7" xfId="0" quotePrefix="1" applyFont="1" applyBorder="1" applyAlignment="1">
      <alignment horizontal="center"/>
    </xf>
    <xf numFmtId="0" fontId="1" fillId="0" borderId="28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CSpline!$A$32</c:f>
          <c:strCache>
            <c:ptCount val="1"/>
            <c:pt idx="0">
              <c:v>Example 1; Fit spline to 5 data points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3"/>
          <c:y val="0.15384632380152793"/>
          <c:w val="0.84765625000000022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CSpline!$A$35:$A$39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CSpline!$B$35:$B$39</c:f>
              <c:numCache>
                <c:formatCode>General</c:formatCode>
                <c:ptCount val="5"/>
                <c:pt idx="0">
                  <c:v>0.75</c:v>
                </c:pt>
                <c:pt idx="1">
                  <c:v>0</c:v>
                </c:pt>
                <c:pt idx="2">
                  <c:v>-1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</c:ser>
        <c:ser>
          <c:idx val="1"/>
          <c:order val="1"/>
          <c:spPr>
            <a:ln w="19050" cmpd="sng"/>
          </c:spPr>
          <c:marker>
            <c:symbol val="none"/>
          </c:marker>
          <c:xVal>
            <c:numRef>
              <c:f>CSpline!$C$35:$C$56</c:f>
              <c:numCache>
                <c:formatCode>General</c:formatCode>
                <c:ptCount val="22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</c:numCache>
            </c:numRef>
          </c:xVal>
          <c:yVal>
            <c:numRef>
              <c:f>CSpline!$D$35:$D$56</c:f>
              <c:numCache>
                <c:formatCode>0.00</c:formatCode>
                <c:ptCount val="22"/>
                <c:pt idx="0">
                  <c:v>0.75</c:v>
                </c:pt>
                <c:pt idx="1">
                  <c:v>0.69514285714285717</c:v>
                </c:pt>
                <c:pt idx="2">
                  <c:v>0.61650000000000005</c:v>
                </c:pt>
                <c:pt idx="3">
                  <c:v>0.49028571428571421</c:v>
                </c:pt>
                <c:pt idx="4">
                  <c:v>0.29271428571428565</c:v>
                </c:pt>
                <c:pt idx="5">
                  <c:v>0</c:v>
                </c:pt>
                <c:pt idx="6">
                  <c:v>-0.38985714285714318</c:v>
                </c:pt>
                <c:pt idx="7">
                  <c:v>-0.79171428571428548</c:v>
                </c:pt>
                <c:pt idx="8">
                  <c:v>-1.098642857142857</c:v>
                </c:pt>
                <c:pt idx="9">
                  <c:v>-1.2037142857142855</c:v>
                </c:pt>
                <c:pt idx="10">
                  <c:v>-1</c:v>
                </c:pt>
                <c:pt idx="11">
                  <c:v>-0.42371428571428504</c:v>
                </c:pt>
                <c:pt idx="12">
                  <c:v>0.41635714285714243</c:v>
                </c:pt>
                <c:pt idx="13">
                  <c:v>1.3682857142857148</c:v>
                </c:pt>
                <c:pt idx="14">
                  <c:v>2.2801428571428559</c:v>
                </c:pt>
                <c:pt idx="15">
                  <c:v>3</c:v>
                </c:pt>
                <c:pt idx="16">
                  <c:v>3.4127142857142858</c:v>
                </c:pt>
                <c:pt idx="17">
                  <c:v>3.5502857142857143</c:v>
                </c:pt>
                <c:pt idx="18">
                  <c:v>3.4815</c:v>
                </c:pt>
                <c:pt idx="19">
                  <c:v>3.2751428571428578</c:v>
                </c:pt>
                <c:pt idx="20">
                  <c:v>3</c:v>
                </c:pt>
                <c:pt idx="21">
                  <c:v>3</c:v>
                </c:pt>
              </c:numCache>
            </c:numRef>
          </c:yVal>
          <c:smooth val="0"/>
        </c:ser>
        <c:ser>
          <c:idx val="2"/>
          <c:order val="2"/>
          <c:spPr>
            <a:ln>
              <a:noFill/>
            </a:ln>
          </c:spPr>
          <c:marker>
            <c:symbol val="triangle"/>
            <c:size val="10"/>
          </c:marker>
          <c:xVal>
            <c:numRef>
              <c:f>CSpline!$E$35:$E$39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CSpline!$F$35:$F$39</c:f>
              <c:numCache>
                <c:formatCode>General</c:formatCode>
                <c:ptCount val="5"/>
                <c:pt idx="0">
                  <c:v>0.75</c:v>
                </c:pt>
                <c:pt idx="1">
                  <c:v>-5</c:v>
                </c:pt>
                <c:pt idx="2">
                  <c:v>-1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</c:ser>
        <c:ser>
          <c:idx val="3"/>
          <c:order val="3"/>
          <c:spPr>
            <a:ln w="15875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CSpline!$G$35:$G$56</c:f>
              <c:numCache>
                <c:formatCode>General</c:formatCode>
                <c:ptCount val="22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</c:numCache>
            </c:numRef>
          </c:xVal>
          <c:yVal>
            <c:numRef>
              <c:f>CSpline!$H$35:$H$56</c:f>
              <c:numCache>
                <c:formatCode>0.00</c:formatCode>
                <c:ptCount val="22"/>
                <c:pt idx="0">
                  <c:v>0.75</c:v>
                </c:pt>
                <c:pt idx="1">
                  <c:v>-0.88771428571428523</c:v>
                </c:pt>
                <c:pt idx="2">
                  <c:v>-2.4034999999999993</c:v>
                </c:pt>
                <c:pt idx="3">
                  <c:v>-3.6754285714285713</c:v>
                </c:pt>
                <c:pt idx="4">
                  <c:v>-4.5815714285714284</c:v>
                </c:pt>
                <c:pt idx="5">
                  <c:v>-5</c:v>
                </c:pt>
                <c:pt idx="6">
                  <c:v>-4.8527142857142858</c:v>
                </c:pt>
                <c:pt idx="7">
                  <c:v>-4.2374285714285724</c:v>
                </c:pt>
                <c:pt idx="8">
                  <c:v>-3.2957857142857141</c:v>
                </c:pt>
                <c:pt idx="9">
                  <c:v>-2.1694285714285733</c:v>
                </c:pt>
                <c:pt idx="10">
                  <c:v>-1</c:v>
                </c:pt>
                <c:pt idx="11">
                  <c:v>9.0571428571429413E-2</c:v>
                </c:pt>
                <c:pt idx="12">
                  <c:v>1.0592142857142854</c:v>
                </c:pt>
                <c:pt idx="13">
                  <c:v>1.882571428571429</c:v>
                </c:pt>
                <c:pt idx="14">
                  <c:v>2.5372857142857139</c:v>
                </c:pt>
                <c:pt idx="15">
                  <c:v>3</c:v>
                </c:pt>
                <c:pt idx="16">
                  <c:v>3.2584285714285715</c:v>
                </c:pt>
                <c:pt idx="17">
                  <c:v>3.3445714285714283</c:v>
                </c:pt>
                <c:pt idx="18">
                  <c:v>3.3014999999999999</c:v>
                </c:pt>
                <c:pt idx="19">
                  <c:v>3.1722857142857146</c:v>
                </c:pt>
                <c:pt idx="20">
                  <c:v>3</c:v>
                </c:pt>
                <c:pt idx="21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52128"/>
        <c:axId val="326758400"/>
      </c:scatterChart>
      <c:valAx>
        <c:axId val="326752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0980990101"/>
              <c:y val="0.911765960159502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758400"/>
        <c:crosses val="autoZero"/>
        <c:crossBetween val="midCat"/>
      </c:valAx>
      <c:valAx>
        <c:axId val="326758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94821962282E-2"/>
              <c:y val="0.484163380331227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75212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CSpline!$A$59</c:f>
          <c:strCache>
            <c:ptCount val="1"/>
            <c:pt idx="0">
              <c:v>Example 2; Fit spline to 9 data points on a circular arc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CSpline!$A$62:$A$72</c:f>
              <c:numCache>
                <c:formatCode>0.00</c:formatCode>
                <c:ptCount val="11"/>
                <c:pt idx="0">
                  <c:v>-3.3258784492101809</c:v>
                </c:pt>
                <c:pt idx="1">
                  <c:v>-2.8284271247461903</c:v>
                </c:pt>
                <c:pt idx="2">
                  <c:v>-2.2222809320784087</c:v>
                </c:pt>
                <c:pt idx="3">
                  <c:v>-1.5307337294603591</c:v>
                </c:pt>
                <c:pt idx="4">
                  <c:v>-0.78036128806451299</c:v>
                </c:pt>
                <c:pt idx="5">
                  <c:v>0</c:v>
                </c:pt>
                <c:pt idx="6">
                  <c:v>0.78036128806451299</c:v>
                </c:pt>
                <c:pt idx="7">
                  <c:v>1.5307337294603591</c:v>
                </c:pt>
                <c:pt idx="8">
                  <c:v>2.2222809320784087</c:v>
                </c:pt>
                <c:pt idx="9">
                  <c:v>2.8284271247461903</c:v>
                </c:pt>
                <c:pt idx="10">
                  <c:v>3.3258784492101809</c:v>
                </c:pt>
              </c:numCache>
            </c:numRef>
          </c:xVal>
          <c:yVal>
            <c:numRef>
              <c:f>CSpline!$B$62:$B$72</c:f>
              <c:numCache>
                <c:formatCode>0.00</c:formatCode>
                <c:ptCount val="11"/>
                <c:pt idx="0">
                  <c:v>2.2725018887716733</c:v>
                </c:pt>
                <c:pt idx="1">
                  <c:v>2.8284271247461898</c:v>
                </c:pt>
                <c:pt idx="2">
                  <c:v>3.3258784492101809</c:v>
                </c:pt>
                <c:pt idx="3">
                  <c:v>3.695518130045147</c:v>
                </c:pt>
                <c:pt idx="4">
                  <c:v>3.9231411216129217</c:v>
                </c:pt>
                <c:pt idx="5">
                  <c:v>4</c:v>
                </c:pt>
                <c:pt idx="6">
                  <c:v>3.9231411216129217</c:v>
                </c:pt>
                <c:pt idx="7">
                  <c:v>3.695518130045147</c:v>
                </c:pt>
                <c:pt idx="8">
                  <c:v>3.3258784492101809</c:v>
                </c:pt>
                <c:pt idx="9">
                  <c:v>2.8284271247461898</c:v>
                </c:pt>
                <c:pt idx="10">
                  <c:v>2.2725018887716733</c:v>
                </c:pt>
              </c:numCache>
            </c:numRef>
          </c:yVal>
          <c:smooth val="0"/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CSpline!$C$62:$C$82</c:f>
              <c:numCache>
                <c:formatCode>General</c:formatCode>
                <c:ptCount val="21"/>
                <c:pt idx="0">
                  <c:v>-2.8284271247461903</c:v>
                </c:pt>
                <c:pt idx="1">
                  <c:v>-2.5977921933207346</c:v>
                </c:pt>
                <c:pt idx="2">
                  <c:v>-2.3511410091698925</c:v>
                </c:pt>
                <c:pt idx="3">
                  <c:v>-2.0899942588637952</c:v>
                </c:pt>
                <c:pt idx="4">
                  <c:v>-1.815961998958187</c:v>
                </c:pt>
                <c:pt idx="5">
                  <c:v>-1.5307337294603591</c:v>
                </c:pt>
                <c:pt idx="6">
                  <c:v>-1.2360679774997896</c:v>
                </c:pt>
                <c:pt idx="7">
                  <c:v>-0.93378145542362156</c:v>
                </c:pt>
                <c:pt idx="8">
                  <c:v>-0.62573786016092348</c:v>
                </c:pt>
                <c:pt idx="9">
                  <c:v>-0.31383638291137977</c:v>
                </c:pt>
                <c:pt idx="10">
                  <c:v>0</c:v>
                </c:pt>
                <c:pt idx="11">
                  <c:v>0.31383638291137977</c:v>
                </c:pt>
                <c:pt idx="12">
                  <c:v>0.62573786016092348</c:v>
                </c:pt>
                <c:pt idx="13">
                  <c:v>0.93378145542362156</c:v>
                </c:pt>
                <c:pt idx="14">
                  <c:v>1.2360679774997896</c:v>
                </c:pt>
                <c:pt idx="15">
                  <c:v>1.5307337294603591</c:v>
                </c:pt>
                <c:pt idx="16">
                  <c:v>1.815961998958187</c:v>
                </c:pt>
                <c:pt idx="17">
                  <c:v>2.0899942588637952</c:v>
                </c:pt>
                <c:pt idx="18">
                  <c:v>2.3511410091698925</c:v>
                </c:pt>
                <c:pt idx="19">
                  <c:v>2.5977921933207346</c:v>
                </c:pt>
                <c:pt idx="20">
                  <c:v>2.8284271247461898</c:v>
                </c:pt>
              </c:numCache>
            </c:numRef>
          </c:xVal>
          <c:yVal>
            <c:numRef>
              <c:f>CSpline!$D$62:$D$82</c:f>
              <c:numCache>
                <c:formatCode>0.000</c:formatCode>
                <c:ptCount val="21"/>
                <c:pt idx="0">
                  <c:v>2.8284271247461898</c:v>
                </c:pt>
                <c:pt idx="1">
                  <c:v>3.0421931866795369</c:v>
                </c:pt>
                <c:pt idx="2">
                  <c:v>3.2363640953910777</c:v>
                </c:pt>
                <c:pt idx="3">
                  <c:v>3.4104716911088158</c:v>
                </c:pt>
                <c:pt idx="4">
                  <c:v>3.5640195281605789</c:v>
                </c:pt>
                <c:pt idx="5">
                  <c:v>3.695518130045147</c:v>
                </c:pt>
                <c:pt idx="6">
                  <c:v>3.8043177867845239</c:v>
                </c:pt>
                <c:pt idx="7">
                  <c:v>3.8895260976929187</c:v>
                </c:pt>
                <c:pt idx="8">
                  <c:v>3.9507593493318454</c:v>
                </c:pt>
                <c:pt idx="9">
                  <c:v>3.9877037118350751</c:v>
                </c:pt>
                <c:pt idx="10">
                  <c:v>4</c:v>
                </c:pt>
                <c:pt idx="11">
                  <c:v>3.9877037118350751</c:v>
                </c:pt>
                <c:pt idx="12">
                  <c:v>3.9507593493318454</c:v>
                </c:pt>
                <c:pt idx="13">
                  <c:v>3.8895260976929187</c:v>
                </c:pt>
                <c:pt idx="14">
                  <c:v>3.8043177867845239</c:v>
                </c:pt>
                <c:pt idx="15">
                  <c:v>3.695518130045147</c:v>
                </c:pt>
                <c:pt idx="16">
                  <c:v>3.5640195281605789</c:v>
                </c:pt>
                <c:pt idx="17">
                  <c:v>3.4104716911088158</c:v>
                </c:pt>
                <c:pt idx="18">
                  <c:v>3.2363640953910777</c:v>
                </c:pt>
                <c:pt idx="19">
                  <c:v>3.0421931866795369</c:v>
                </c:pt>
                <c:pt idx="20">
                  <c:v>2.8284271247461903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95264"/>
        <c:axId val="326797184"/>
      </c:scatterChart>
      <c:valAx>
        <c:axId val="326795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4930312443"/>
              <c:y val="0.9117657006791677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797184"/>
        <c:crosses val="autoZero"/>
        <c:crossBetween val="midCat"/>
      </c:valAx>
      <c:valAx>
        <c:axId val="326797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7269216902E-2"/>
              <c:y val="0.484163352003679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79526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CSpline!$A$102</c:f>
          <c:strCache>
            <c:ptCount val="1"/>
            <c:pt idx="0">
              <c:v>Example 3; Fit spline to the deflected shape of a 3 span beam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8"/>
          <c:y val="0.15384632380152807"/>
          <c:w val="0.84765625000000078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CSpline!$A$110:$A$116</c:f>
              <c:numCache>
                <c:formatCode>0.00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40</c:v>
                </c:pt>
                <c:pt idx="5">
                  <c:v>47.5</c:v>
                </c:pt>
                <c:pt idx="6">
                  <c:v>55</c:v>
                </c:pt>
              </c:numCache>
            </c:numRef>
          </c:xVal>
          <c:yVal>
            <c:numRef>
              <c:f>CSpline!$B$110:$B$116</c:f>
              <c:numCache>
                <c:formatCode>0.000</c:formatCode>
                <c:ptCount val="7"/>
                <c:pt idx="0">
                  <c:v>0</c:v>
                </c:pt>
                <c:pt idx="1">
                  <c:v>5.0000000000000001E-3</c:v>
                </c:pt>
                <c:pt idx="2">
                  <c:v>0</c:v>
                </c:pt>
                <c:pt idx="3">
                  <c:v>-1.4999999999999999E-2</c:v>
                </c:pt>
                <c:pt idx="4">
                  <c:v>0</c:v>
                </c:pt>
                <c:pt idx="5">
                  <c:v>0.01</c:v>
                </c:pt>
                <c:pt idx="6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CSpline!$C$110:$C$134</c:f>
              <c:numCache>
                <c:formatCode>General</c:formatCode>
                <c:ptCount val="25"/>
                <c:pt idx="0">
                  <c:v>0</c:v>
                </c:pt>
                <c:pt idx="1">
                  <c:v>1.25</c:v>
                </c:pt>
                <c:pt idx="2">
                  <c:v>2.5</c:v>
                </c:pt>
                <c:pt idx="3">
                  <c:v>3.75</c:v>
                </c:pt>
                <c:pt idx="4">
                  <c:v>5</c:v>
                </c:pt>
                <c:pt idx="5">
                  <c:v>6.25</c:v>
                </c:pt>
                <c:pt idx="6">
                  <c:v>7.5</c:v>
                </c:pt>
                <c:pt idx="7">
                  <c:v>8.75</c:v>
                </c:pt>
                <c:pt idx="8">
                  <c:v>10</c:v>
                </c:pt>
                <c:pt idx="9">
                  <c:v>13.75</c:v>
                </c:pt>
                <c:pt idx="10">
                  <c:v>17.5</c:v>
                </c:pt>
                <c:pt idx="11">
                  <c:v>21.25</c:v>
                </c:pt>
                <c:pt idx="12">
                  <c:v>25</c:v>
                </c:pt>
                <c:pt idx="13">
                  <c:v>28.75</c:v>
                </c:pt>
                <c:pt idx="14">
                  <c:v>32.5</c:v>
                </c:pt>
                <c:pt idx="15">
                  <c:v>36.25</c:v>
                </c:pt>
                <c:pt idx="16">
                  <c:v>40</c:v>
                </c:pt>
                <c:pt idx="17">
                  <c:v>41.875</c:v>
                </c:pt>
                <c:pt idx="18">
                  <c:v>43.75</c:v>
                </c:pt>
                <c:pt idx="19">
                  <c:v>45.625</c:v>
                </c:pt>
                <c:pt idx="20">
                  <c:v>47.5</c:v>
                </c:pt>
                <c:pt idx="21">
                  <c:v>49.375</c:v>
                </c:pt>
                <c:pt idx="22">
                  <c:v>51.25</c:v>
                </c:pt>
                <c:pt idx="23">
                  <c:v>53.125</c:v>
                </c:pt>
                <c:pt idx="24">
                  <c:v>55</c:v>
                </c:pt>
              </c:numCache>
            </c:numRef>
          </c:xVal>
          <c:yVal>
            <c:numRef>
              <c:f>CSpline!$D$110:$D$134</c:f>
              <c:numCache>
                <c:formatCode>0.000E+00</c:formatCode>
                <c:ptCount val="25"/>
                <c:pt idx="0">
                  <c:v>0</c:v>
                </c:pt>
                <c:pt idx="1">
                  <c:v>1.8379510309278352E-3</c:v>
                </c:pt>
                <c:pt idx="2">
                  <c:v>3.4407216494845363E-3</c:v>
                </c:pt>
                <c:pt idx="3">
                  <c:v>4.5731314432989698E-3</c:v>
                </c:pt>
                <c:pt idx="4">
                  <c:v>5.0000000000000001E-3</c:v>
                </c:pt>
                <c:pt idx="5">
                  <c:v>4.5650773195876288E-3</c:v>
                </c:pt>
                <c:pt idx="6">
                  <c:v>3.4278350515463919E-3</c:v>
                </c:pt>
                <c:pt idx="7">
                  <c:v>1.8266752577319589E-3</c:v>
                </c:pt>
                <c:pt idx="8">
                  <c:v>0</c:v>
                </c:pt>
                <c:pt idx="9">
                  <c:v>-5.422036082474227E-3</c:v>
                </c:pt>
                <c:pt idx="10">
                  <c:v>-1.0128865979381443E-2</c:v>
                </c:pt>
                <c:pt idx="11">
                  <c:v>-1.3521262886597938E-2</c:v>
                </c:pt>
                <c:pt idx="12">
                  <c:v>-1.4999999999999999E-2</c:v>
                </c:pt>
                <c:pt idx="13">
                  <c:v>-1.4125322164948453E-2</c:v>
                </c:pt>
                <c:pt idx="14">
                  <c:v>-1.1095360824742266E-2</c:v>
                </c:pt>
                <c:pt idx="15">
                  <c:v>-6.2677190721649473E-3</c:v>
                </c:pt>
                <c:pt idx="16">
                  <c:v>0</c:v>
                </c:pt>
                <c:pt idx="17">
                  <c:v>3.4773679123711342E-3</c:v>
                </c:pt>
                <c:pt idx="18">
                  <c:v>6.6720360824742272E-3</c:v>
                </c:pt>
                <c:pt idx="19">
                  <c:v>9.0306862113402071E-3</c:v>
                </c:pt>
                <c:pt idx="20">
                  <c:v>0.01</c:v>
                </c:pt>
                <c:pt idx="21">
                  <c:v>9.1998228092783508E-3</c:v>
                </c:pt>
                <c:pt idx="22">
                  <c:v>6.9426546391752574E-3</c:v>
                </c:pt>
                <c:pt idx="23">
                  <c:v>3.7141591494845366E-3</c:v>
                </c:pt>
                <c:pt idx="2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21760"/>
        <c:axId val="332857344"/>
      </c:scatterChart>
      <c:valAx>
        <c:axId val="3268217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7894837918"/>
              <c:y val="0.911765848546040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57344"/>
        <c:crosses val="autoZero"/>
        <c:crossBetween val="midCat"/>
      </c:valAx>
      <c:valAx>
        <c:axId val="332857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105290112164E-2"/>
              <c:y val="0.484163425354963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82176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CSpline!$G$108</c:f>
          <c:strCache>
            <c:ptCount val="1"/>
            <c:pt idx="0">
              <c:v>Bending Moment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11"/>
          <c:y val="0.15384632380152818"/>
          <c:w val="0.847656250000001"/>
          <c:h val="0.68552111929210191"/>
        </c:manualLayout>
      </c:layout>
      <c:scatterChart>
        <c:scatterStyle val="lineMarker"/>
        <c:varyColors val="0"/>
        <c:ser>
          <c:idx val="1"/>
          <c:order val="0"/>
          <c:spPr>
            <a:ln w="19050" cmpd="sng"/>
          </c:spPr>
          <c:marker>
            <c:symbol val="x"/>
            <c:size val="5"/>
          </c:marker>
          <c:xVal>
            <c:numRef>
              <c:f>CSpline!$C$110:$C$134</c:f>
              <c:numCache>
                <c:formatCode>General</c:formatCode>
                <c:ptCount val="25"/>
                <c:pt idx="0">
                  <c:v>0</c:v>
                </c:pt>
                <c:pt idx="1">
                  <c:v>1.25</c:v>
                </c:pt>
                <c:pt idx="2">
                  <c:v>2.5</c:v>
                </c:pt>
                <c:pt idx="3">
                  <c:v>3.75</c:v>
                </c:pt>
                <c:pt idx="4">
                  <c:v>5</c:v>
                </c:pt>
                <c:pt idx="5">
                  <c:v>6.25</c:v>
                </c:pt>
                <c:pt idx="6">
                  <c:v>7.5</c:v>
                </c:pt>
                <c:pt idx="7">
                  <c:v>8.75</c:v>
                </c:pt>
                <c:pt idx="8">
                  <c:v>10</c:v>
                </c:pt>
                <c:pt idx="9">
                  <c:v>13.75</c:v>
                </c:pt>
                <c:pt idx="10">
                  <c:v>17.5</c:v>
                </c:pt>
                <c:pt idx="11">
                  <c:v>21.25</c:v>
                </c:pt>
                <c:pt idx="12">
                  <c:v>25</c:v>
                </c:pt>
                <c:pt idx="13">
                  <c:v>28.75</c:v>
                </c:pt>
                <c:pt idx="14">
                  <c:v>32.5</c:v>
                </c:pt>
                <c:pt idx="15">
                  <c:v>36.25</c:v>
                </c:pt>
                <c:pt idx="16">
                  <c:v>40</c:v>
                </c:pt>
                <c:pt idx="17">
                  <c:v>41.875</c:v>
                </c:pt>
                <c:pt idx="18">
                  <c:v>43.75</c:v>
                </c:pt>
                <c:pt idx="19">
                  <c:v>45.625</c:v>
                </c:pt>
                <c:pt idx="20">
                  <c:v>47.5</c:v>
                </c:pt>
                <c:pt idx="21">
                  <c:v>49.375</c:v>
                </c:pt>
                <c:pt idx="22">
                  <c:v>51.25</c:v>
                </c:pt>
                <c:pt idx="23">
                  <c:v>53.125</c:v>
                </c:pt>
                <c:pt idx="24">
                  <c:v>55</c:v>
                </c:pt>
              </c:numCache>
            </c:numRef>
          </c:xVal>
          <c:yVal>
            <c:numRef>
              <c:f>CSpline!$G$110:$G$134</c:f>
              <c:numCache>
                <c:formatCode>#,##0</c:formatCode>
                <c:ptCount val="25"/>
                <c:pt idx="0">
                  <c:v>0</c:v>
                </c:pt>
                <c:pt idx="1">
                  <c:v>-3010.3092783505153</c:v>
                </c:pt>
                <c:pt idx="2">
                  <c:v>-6020.6185567010307</c:v>
                </c:pt>
                <c:pt idx="3">
                  <c:v>-9030.9278350515469</c:v>
                </c:pt>
                <c:pt idx="4">
                  <c:v>-12041.237113402061</c:v>
                </c:pt>
                <c:pt idx="5">
                  <c:v>-8989.6907216494856</c:v>
                </c:pt>
                <c:pt idx="6">
                  <c:v>-5938.144329896907</c:v>
                </c:pt>
                <c:pt idx="7">
                  <c:v>-2886.5979381443294</c:v>
                </c:pt>
                <c:pt idx="8">
                  <c:v>164.94845360824758</c:v>
                </c:pt>
                <c:pt idx="9">
                  <c:v>1017.1821305841925</c:v>
                </c:pt>
                <c:pt idx="10">
                  <c:v>1869.4158075601374</c:v>
                </c:pt>
                <c:pt idx="11">
                  <c:v>2721.6494845360821</c:v>
                </c:pt>
                <c:pt idx="12">
                  <c:v>3573.8831615120275</c:v>
                </c:pt>
                <c:pt idx="13">
                  <c:v>3065.2920962199314</c:v>
                </c:pt>
                <c:pt idx="14">
                  <c:v>2556.7010309278348</c:v>
                </c:pt>
                <c:pt idx="15">
                  <c:v>2048.1099656357387</c:v>
                </c:pt>
                <c:pt idx="16">
                  <c:v>1539.5189003436426</c:v>
                </c:pt>
                <c:pt idx="17">
                  <c:v>-1608.2474226804122</c:v>
                </c:pt>
                <c:pt idx="18">
                  <c:v>-4756.0137457044675</c:v>
                </c:pt>
                <c:pt idx="19">
                  <c:v>-7903.7800687285226</c:v>
                </c:pt>
                <c:pt idx="20">
                  <c:v>-11051.546391752578</c:v>
                </c:pt>
                <c:pt idx="21">
                  <c:v>-8288.6597938144332</c:v>
                </c:pt>
                <c:pt idx="22">
                  <c:v>-5525.7731958762888</c:v>
                </c:pt>
                <c:pt idx="23">
                  <c:v>-2762.8865979381449</c:v>
                </c:pt>
                <c:pt idx="24">
                  <c:v>-4.7433845046240819E-13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902400"/>
        <c:axId val="332904320"/>
      </c:scatterChart>
      <c:valAx>
        <c:axId val="332902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201695941855"/>
              <c:y val="0.911765996922798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04320"/>
        <c:crosses val="autoZero"/>
        <c:crossBetween val="midCat"/>
      </c:valAx>
      <c:valAx>
        <c:axId val="332904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84124099874E-2"/>
              <c:y val="0.4841634989591818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90240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 paperSize="9" orientation="landscape" horizontalDpi="-3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175260</xdr:colOff>
      <xdr:row>31</xdr:row>
      <xdr:rowOff>7620</xdr:rowOff>
    </xdr:from>
    <xdr:to>
      <xdr:col>16</xdr:col>
      <xdr:colOff>800100</xdr:colOff>
      <xdr:row>58</xdr:row>
      <xdr:rowOff>0</xdr:rowOff>
    </xdr:to>
    <xdr:graphicFrame macro="">
      <xdr:nvGraphicFramePr>
        <xdr:cNvPr id="13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59</xdr:row>
      <xdr:rowOff>38100</xdr:rowOff>
    </xdr:from>
    <xdr:to>
      <xdr:col>16</xdr:col>
      <xdr:colOff>739140</xdr:colOff>
      <xdr:row>85</xdr:row>
      <xdr:rowOff>91440</xdr:rowOff>
    </xdr:to>
    <xdr:graphicFrame macro="">
      <xdr:nvGraphicFramePr>
        <xdr:cNvPr id="13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899160</xdr:colOff>
      <xdr:row>105</xdr:row>
      <xdr:rowOff>0</xdr:rowOff>
    </xdr:from>
    <xdr:to>
      <xdr:col>17</xdr:col>
      <xdr:colOff>388620</xdr:colOff>
      <xdr:row>131</xdr:row>
      <xdr:rowOff>45720</xdr:rowOff>
    </xdr:to>
    <xdr:graphicFrame macro="">
      <xdr:nvGraphicFramePr>
        <xdr:cNvPr id="131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76200</xdr:colOff>
      <xdr:row>132</xdr:row>
      <xdr:rowOff>160020</xdr:rowOff>
    </xdr:from>
    <xdr:to>
      <xdr:col>17</xdr:col>
      <xdr:colOff>472440</xdr:colOff>
      <xdr:row>159</xdr:row>
      <xdr:rowOff>22860</xdr:rowOff>
    </xdr:to>
    <xdr:graphicFrame macro="">
      <xdr:nvGraphicFramePr>
        <xdr:cNvPr id="131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213360</xdr:colOff>
      <xdr:row>4</xdr:row>
      <xdr:rowOff>91440</xdr:rowOff>
    </xdr:from>
    <xdr:to>
      <xdr:col>9</xdr:col>
      <xdr:colOff>480060</xdr:colOff>
      <xdr:row>59</xdr:row>
      <xdr:rowOff>76200</xdr:rowOff>
    </xdr:to>
    <xdr:pic>
      <xdr:nvPicPr>
        <xdr:cNvPr id="52308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792480"/>
          <a:ext cx="5753100" cy="9204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en.wikipedia.org/wiki/Spline_(mathematics)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interactiveds.com.au/" TargetMode="External"/><Relationship Id="rId1" Type="http://schemas.openxmlformats.org/officeDocument/2006/relationships/hyperlink" Target="http://newtonexcelbach.wordpres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M15"/>
  <sheetViews>
    <sheetView tabSelected="1" workbookViewId="0">
      <selection activeCell="B16" sqref="B16"/>
    </sheetView>
  </sheetViews>
  <sheetFormatPr defaultRowHeight="13.2" x14ac:dyDescent="0.25"/>
  <sheetData>
    <row r="4" spans="1:13" ht="51.6" customHeight="1" x14ac:dyDescent="0.25">
      <c r="A4" s="146" t="s">
        <v>100</v>
      </c>
      <c r="B4" s="146"/>
      <c r="C4" s="147" t="s">
        <v>101</v>
      </c>
      <c r="D4" s="148"/>
      <c r="F4" s="141" t="s">
        <v>103</v>
      </c>
    </row>
    <row r="5" spans="1:13" ht="13.8" thickBot="1" x14ac:dyDescent="0.3">
      <c r="A5" s="142" t="s">
        <v>35</v>
      </c>
      <c r="B5" s="143" t="s">
        <v>36</v>
      </c>
      <c r="C5" s="144" t="s">
        <v>35</v>
      </c>
      <c r="D5" s="145" t="s">
        <v>36</v>
      </c>
      <c r="F5" s="131" t="s">
        <v>102</v>
      </c>
    </row>
    <row r="6" spans="1:13" x14ac:dyDescent="0.25">
      <c r="A6" s="22">
        <v>1</v>
      </c>
      <c r="B6" s="19">
        <v>0.75</v>
      </c>
      <c r="C6" s="3">
        <v>1</v>
      </c>
      <c r="D6" s="107">
        <f t="array" ref="D6:D10">csplinea(A6:A10,B6:B10,C6:C27)</f>
        <v>0.75</v>
      </c>
      <c r="F6" s="133">
        <f t="array" ref="F6:M10">csplinea(A6:A10,B6:B10,C6:C7,2)</f>
        <v>1</v>
      </c>
      <c r="G6" s="134">
        <v>0</v>
      </c>
      <c r="H6" s="134">
        <v>1</v>
      </c>
      <c r="I6" s="134">
        <v>0</v>
      </c>
      <c r="J6" s="134">
        <v>0</v>
      </c>
      <c r="K6" s="134">
        <v>-0.25446428571428575</v>
      </c>
      <c r="L6" s="134">
        <v>0</v>
      </c>
      <c r="M6" s="135">
        <v>-0.49553571428571425</v>
      </c>
    </row>
    <row r="7" spans="1:13" x14ac:dyDescent="0.25">
      <c r="A7" s="23">
        <v>2</v>
      </c>
      <c r="B7" s="20">
        <v>0</v>
      </c>
      <c r="C7" s="3">
        <v>1.2</v>
      </c>
      <c r="D7" s="107">
        <v>0.69514285714285717</v>
      </c>
      <c r="F7" s="136">
        <v>1</v>
      </c>
      <c r="G7" s="132">
        <v>-0.75</v>
      </c>
      <c r="H7" s="132">
        <v>4</v>
      </c>
      <c r="I7" s="132">
        <v>0.25</v>
      </c>
      <c r="J7" s="132">
        <v>-0.1875</v>
      </c>
      <c r="K7" s="132">
        <v>-1.7410714285714284</v>
      </c>
      <c r="L7" s="132">
        <v>-1.4866071428571428</v>
      </c>
      <c r="M7" s="137">
        <v>2.2276785714285712</v>
      </c>
    </row>
    <row r="8" spans="1:13" x14ac:dyDescent="0.25">
      <c r="A8" s="23">
        <v>3</v>
      </c>
      <c r="B8" s="20">
        <v>-1</v>
      </c>
      <c r="C8" s="3">
        <v>1.4</v>
      </c>
      <c r="D8" s="107">
        <v>0.61650000000000005</v>
      </c>
      <c r="F8" s="136">
        <v>1</v>
      </c>
      <c r="G8" s="132">
        <v>15</v>
      </c>
      <c r="H8" s="132">
        <v>3.75</v>
      </c>
      <c r="I8" s="132">
        <v>0.26666666666666666</v>
      </c>
      <c r="J8" s="132">
        <v>4.05</v>
      </c>
      <c r="K8" s="132">
        <v>1.96875</v>
      </c>
      <c r="L8" s="132">
        <v>5.1964285714285712</v>
      </c>
      <c r="M8" s="137">
        <v>-3.1651785714285712</v>
      </c>
    </row>
    <row r="9" spans="1:13" x14ac:dyDescent="0.25">
      <c r="A9" s="23">
        <v>4</v>
      </c>
      <c r="B9" s="20">
        <v>3</v>
      </c>
      <c r="C9" s="3">
        <v>1.6</v>
      </c>
      <c r="D9" s="107">
        <v>0.49028571428571421</v>
      </c>
      <c r="F9" s="136">
        <v>1</v>
      </c>
      <c r="G9" s="132">
        <v>-12</v>
      </c>
      <c r="H9" s="132">
        <v>3.7333333333333334</v>
      </c>
      <c r="I9" s="132">
        <v>0.26785714285714285</v>
      </c>
      <c r="J9" s="132">
        <v>-4.2991071428571423</v>
      </c>
      <c r="K9" s="132">
        <v>2.8660714285714284</v>
      </c>
      <c r="L9" s="132">
        <v>-4.2991071428571423</v>
      </c>
      <c r="M9" s="137">
        <v>1.4330357142857142</v>
      </c>
    </row>
    <row r="10" spans="1:13" ht="13.8" thickBot="1" x14ac:dyDescent="0.3">
      <c r="A10" s="23">
        <v>5</v>
      </c>
      <c r="B10" s="20">
        <v>3</v>
      </c>
      <c r="C10" s="3">
        <v>1.8</v>
      </c>
      <c r="D10" s="107">
        <v>0.29271428571428565</v>
      </c>
      <c r="F10" s="138">
        <v>0</v>
      </c>
      <c r="G10" s="139">
        <v>0</v>
      </c>
      <c r="H10" s="139">
        <v>1</v>
      </c>
      <c r="I10" s="139">
        <v>0</v>
      </c>
      <c r="J10" s="139">
        <v>0</v>
      </c>
      <c r="K10" s="139">
        <v>0</v>
      </c>
      <c r="L10" s="139">
        <v>0</v>
      </c>
      <c r="M10" s="140">
        <v>0</v>
      </c>
    </row>
    <row r="12" spans="1:13" x14ac:dyDescent="0.25">
      <c r="D12" s="141" t="s">
        <v>104</v>
      </c>
    </row>
    <row r="13" spans="1:13" x14ac:dyDescent="0.25">
      <c r="D13">
        <v>1.2</v>
      </c>
      <c r="E13">
        <f>csplinePred($A$6:$A$10,$B$6:$B$10,$F$6:$M$10,D13)</f>
        <v>0.69514285714285717</v>
      </c>
    </row>
    <row r="14" spans="1:13" x14ac:dyDescent="0.25">
      <c r="D14">
        <v>1.4</v>
      </c>
      <c r="E14">
        <f t="shared" ref="E14:E15" si="0">csplinePred($A$6:$A$10,$B$6:$B$10,$F$6:$M$10,D14)</f>
        <v>0.61650000000000005</v>
      </c>
    </row>
    <row r="15" spans="1:13" x14ac:dyDescent="0.25">
      <c r="D15">
        <v>1.6</v>
      </c>
      <c r="E15">
        <f t="shared" si="0"/>
        <v>0.49028571428571421</v>
      </c>
    </row>
  </sheetData>
  <mergeCells count="2">
    <mergeCell ref="A4:B4"/>
    <mergeCell ref="C4:D4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48"/>
  <sheetViews>
    <sheetView topLeftCell="A28" workbookViewId="0">
      <selection activeCell="A34" sqref="A34:D39"/>
    </sheetView>
  </sheetViews>
  <sheetFormatPr defaultRowHeight="13.2" x14ac:dyDescent="0.25"/>
  <cols>
    <col min="1" max="1" width="19.44140625" customWidth="1"/>
    <col min="2" max="2" width="12.5546875" bestFit="1" customWidth="1"/>
    <col min="3" max="3" width="9.88671875" bestFit="1" customWidth="1"/>
    <col min="4" max="4" width="10.109375" bestFit="1" customWidth="1"/>
    <col min="5" max="5" width="13.109375" bestFit="1" customWidth="1"/>
    <col min="6" max="6" width="11" customWidth="1"/>
    <col min="7" max="7" width="14.5546875" customWidth="1"/>
    <col min="8" max="8" width="12" customWidth="1"/>
    <col min="9" max="9" width="13.109375" bestFit="1" customWidth="1"/>
    <col min="10" max="10" width="10.88671875" bestFit="1" customWidth="1"/>
    <col min="11" max="11" width="12.44140625" bestFit="1" customWidth="1"/>
    <col min="17" max="18" width="13.109375" bestFit="1" customWidth="1"/>
  </cols>
  <sheetData>
    <row r="1" spans="1:3" ht="13.8" x14ac:dyDescent="0.25">
      <c r="A1" s="11" t="s">
        <v>9</v>
      </c>
    </row>
    <row r="3" spans="1:3" x14ac:dyDescent="0.25">
      <c r="A3" s="5" t="s">
        <v>22</v>
      </c>
    </row>
    <row r="4" spans="1:3" x14ac:dyDescent="0.25">
      <c r="A4" s="12" t="s">
        <v>17</v>
      </c>
    </row>
    <row r="5" spans="1:3" ht="13.8" x14ac:dyDescent="0.25">
      <c r="A5" s="50" t="s">
        <v>10</v>
      </c>
    </row>
    <row r="6" spans="1:3" x14ac:dyDescent="0.25">
      <c r="A6" s="5" t="s">
        <v>11</v>
      </c>
      <c r="B6" s="6" t="s">
        <v>21</v>
      </c>
    </row>
    <row r="7" spans="1:3" x14ac:dyDescent="0.25">
      <c r="A7" s="5" t="s">
        <v>11</v>
      </c>
      <c r="B7" s="5" t="s">
        <v>20</v>
      </c>
    </row>
    <row r="8" spans="1:3" x14ac:dyDescent="0.25">
      <c r="A8" s="6" t="s">
        <v>18</v>
      </c>
      <c r="B8" s="5" t="s">
        <v>23</v>
      </c>
    </row>
    <row r="9" spans="1:3" x14ac:dyDescent="0.25">
      <c r="A9" s="5" t="s">
        <v>19</v>
      </c>
      <c r="B9" s="8" t="s">
        <v>24</v>
      </c>
    </row>
    <row r="10" spans="1:3" x14ac:dyDescent="0.25">
      <c r="A10" s="5"/>
      <c r="B10" s="8" t="s">
        <v>25</v>
      </c>
    </row>
    <row r="11" spans="1:3" x14ac:dyDescent="0.25">
      <c r="A11" s="5"/>
      <c r="B11" s="5"/>
    </row>
    <row r="12" spans="1:3" ht="13.8" x14ac:dyDescent="0.25">
      <c r="A12" s="11" t="s">
        <v>98</v>
      </c>
      <c r="B12" s="5"/>
    </row>
    <row r="13" spans="1:3" x14ac:dyDescent="0.25">
      <c r="A13" s="12" t="s">
        <v>99</v>
      </c>
    </row>
    <row r="14" spans="1:3" x14ac:dyDescent="0.25">
      <c r="A14" s="12" t="s">
        <v>82</v>
      </c>
      <c r="C14" s="5" t="s">
        <v>83</v>
      </c>
    </row>
    <row r="15" spans="1:3" x14ac:dyDescent="0.25">
      <c r="A15" s="12"/>
      <c r="C15" s="5" t="s">
        <v>84</v>
      </c>
    </row>
    <row r="16" spans="1:3" x14ac:dyDescent="0.25">
      <c r="A16" s="12"/>
      <c r="C16" s="5" t="s">
        <v>85</v>
      </c>
    </row>
    <row r="17" spans="1:8" x14ac:dyDescent="0.25">
      <c r="A17" s="12"/>
      <c r="C17" s="5" t="s">
        <v>86</v>
      </c>
    </row>
    <row r="18" spans="1:8" x14ac:dyDescent="0.25">
      <c r="A18" s="65"/>
      <c r="B18" s="71" t="s">
        <v>29</v>
      </c>
      <c r="C18" s="72"/>
      <c r="D18" s="73" t="s">
        <v>73</v>
      </c>
      <c r="E18" s="74"/>
      <c r="F18" s="74"/>
      <c r="G18" s="74"/>
      <c r="H18" s="75"/>
    </row>
    <row r="19" spans="1:8" x14ac:dyDescent="0.25">
      <c r="A19" s="66" t="s">
        <v>12</v>
      </c>
      <c r="B19" s="55" t="s">
        <v>26</v>
      </c>
      <c r="C19" s="17"/>
      <c r="D19" s="55" t="s">
        <v>74</v>
      </c>
      <c r="E19" s="30"/>
      <c r="F19" s="30"/>
      <c r="G19" s="30"/>
      <c r="H19" s="17"/>
    </row>
    <row r="20" spans="1:8" x14ac:dyDescent="0.25">
      <c r="A20" s="66" t="s">
        <v>13</v>
      </c>
      <c r="B20" s="56" t="s">
        <v>27</v>
      </c>
      <c r="C20" s="17"/>
      <c r="D20" s="55" t="s">
        <v>75</v>
      </c>
      <c r="E20" s="30"/>
      <c r="F20" s="30"/>
      <c r="G20" s="30"/>
      <c r="H20" s="17"/>
    </row>
    <row r="21" spans="1:8" x14ac:dyDescent="0.25">
      <c r="A21" s="66" t="s">
        <v>14</v>
      </c>
      <c r="B21" s="56" t="s">
        <v>28</v>
      </c>
      <c r="C21" s="17"/>
      <c r="D21" s="55" t="s">
        <v>96</v>
      </c>
      <c r="E21" s="30"/>
      <c r="F21" s="30"/>
      <c r="G21" s="30"/>
      <c r="H21" s="17"/>
    </row>
    <row r="22" spans="1:8" x14ac:dyDescent="0.25">
      <c r="A22" s="67" t="s">
        <v>15</v>
      </c>
      <c r="B22" s="56" t="s">
        <v>2</v>
      </c>
      <c r="C22" s="17"/>
      <c r="D22" s="55" t="s">
        <v>76</v>
      </c>
      <c r="E22" s="30"/>
      <c r="F22" s="30"/>
      <c r="G22" s="30"/>
      <c r="H22" s="17"/>
    </row>
    <row r="23" spans="1:8" x14ac:dyDescent="0.25">
      <c r="A23" s="67" t="s">
        <v>16</v>
      </c>
      <c r="B23" s="56" t="s">
        <v>43</v>
      </c>
      <c r="C23" s="17"/>
      <c r="D23" s="55" t="s">
        <v>77</v>
      </c>
      <c r="E23" s="30"/>
      <c r="F23" s="30"/>
      <c r="G23" s="30"/>
      <c r="H23" s="17"/>
    </row>
    <row r="24" spans="1:8" x14ac:dyDescent="0.25">
      <c r="A24" s="68" t="s">
        <v>30</v>
      </c>
      <c r="B24" s="64" t="s">
        <v>44</v>
      </c>
      <c r="C24" s="61"/>
      <c r="D24" s="55" t="s">
        <v>95</v>
      </c>
      <c r="E24" s="30"/>
      <c r="F24" s="30"/>
      <c r="G24" s="30"/>
      <c r="H24" s="17"/>
    </row>
    <row r="25" spans="1:8" x14ac:dyDescent="0.25">
      <c r="A25" s="67" t="s">
        <v>42</v>
      </c>
      <c r="B25" s="30"/>
      <c r="C25" s="17"/>
      <c r="D25" s="30"/>
      <c r="E25" s="30"/>
      <c r="F25" s="30"/>
      <c r="G25" s="30"/>
      <c r="H25" s="17"/>
    </row>
    <row r="26" spans="1:8" x14ac:dyDescent="0.25">
      <c r="A26" s="67" t="s">
        <v>31</v>
      </c>
      <c r="B26" s="56"/>
      <c r="C26" s="17"/>
      <c r="D26" s="55" t="s">
        <v>78</v>
      </c>
      <c r="E26" s="30"/>
      <c r="F26" s="30"/>
      <c r="G26" s="30"/>
      <c r="H26" s="17"/>
    </row>
    <row r="27" spans="1:8" x14ac:dyDescent="0.25">
      <c r="A27" s="67" t="s">
        <v>32</v>
      </c>
      <c r="B27" s="56"/>
      <c r="C27" s="17"/>
      <c r="D27" s="55" t="s">
        <v>79</v>
      </c>
      <c r="E27" s="30"/>
      <c r="F27" s="30"/>
      <c r="G27" s="30"/>
      <c r="H27" s="17"/>
    </row>
    <row r="28" spans="1:8" x14ac:dyDescent="0.25">
      <c r="A28" s="69"/>
      <c r="B28" s="30"/>
      <c r="C28" s="17"/>
      <c r="D28" s="30"/>
      <c r="E28" s="30"/>
      <c r="F28" s="30"/>
      <c r="G28" s="30"/>
      <c r="H28" s="17"/>
    </row>
    <row r="29" spans="1:8" x14ac:dyDescent="0.25">
      <c r="A29" s="66"/>
      <c r="B29" s="57"/>
      <c r="C29" s="17"/>
      <c r="D29" s="55" t="s">
        <v>81</v>
      </c>
      <c r="E29" s="30"/>
      <c r="F29" s="30"/>
      <c r="G29" s="30"/>
      <c r="H29" s="17"/>
    </row>
    <row r="30" spans="1:8" x14ac:dyDescent="0.25">
      <c r="A30" s="70"/>
      <c r="B30" s="58"/>
      <c r="C30" s="61"/>
      <c r="D30" s="60" t="s">
        <v>80</v>
      </c>
      <c r="E30" s="59"/>
      <c r="F30" s="59"/>
      <c r="G30" s="59"/>
      <c r="H30" s="61"/>
    </row>
    <row r="31" spans="1:8" x14ac:dyDescent="0.25">
      <c r="A31" s="5"/>
      <c r="B31" s="7"/>
      <c r="D31" s="6"/>
    </row>
    <row r="32" spans="1:8" ht="13.8" thickBot="1" x14ac:dyDescent="0.3">
      <c r="A32" s="5" t="s">
        <v>39</v>
      </c>
    </row>
    <row r="33" spans="1:8" ht="13.8" thickBot="1" x14ac:dyDescent="0.3">
      <c r="A33" s="149" t="s">
        <v>33</v>
      </c>
      <c r="B33" s="150"/>
      <c r="C33" s="151" t="s">
        <v>34</v>
      </c>
      <c r="D33" s="152"/>
      <c r="E33" s="155" t="s">
        <v>37</v>
      </c>
      <c r="F33" s="156"/>
      <c r="G33" s="157" t="s">
        <v>38</v>
      </c>
      <c r="H33" s="158"/>
    </row>
    <row r="34" spans="1:8" ht="13.8" thickBot="1" x14ac:dyDescent="0.3">
      <c r="A34" s="1" t="s">
        <v>35</v>
      </c>
      <c r="B34" s="16" t="s">
        <v>36</v>
      </c>
      <c r="C34" s="15" t="s">
        <v>35</v>
      </c>
      <c r="D34" s="2" t="s">
        <v>36</v>
      </c>
      <c r="E34" s="1" t="s">
        <v>35</v>
      </c>
      <c r="F34" s="16" t="s">
        <v>36</v>
      </c>
      <c r="G34" s="15" t="s">
        <v>35</v>
      </c>
      <c r="H34" s="2" t="s">
        <v>36</v>
      </c>
    </row>
    <row r="35" spans="1:8" x14ac:dyDescent="0.25">
      <c r="A35" s="22">
        <v>1</v>
      </c>
      <c r="B35" s="19">
        <v>0.75</v>
      </c>
      <c r="C35" s="3">
        <v>1</v>
      </c>
      <c r="D35" s="107">
        <f t="array" ref="D35:D56">csplinea(A35:A39,B35:B39,C35:C56)</f>
        <v>0.75</v>
      </c>
      <c r="E35" s="22">
        <v>1</v>
      </c>
      <c r="F35" s="19">
        <f>+B35</f>
        <v>0.75</v>
      </c>
      <c r="G35" s="21">
        <v>1</v>
      </c>
      <c r="H35" s="107">
        <f t="array" ref="H35:H56">csplinea(E35:E39,F35:F39,G35:G56)</f>
        <v>0.75</v>
      </c>
    </row>
    <row r="36" spans="1:8" x14ac:dyDescent="0.25">
      <c r="A36" s="23">
        <v>2</v>
      </c>
      <c r="B36" s="20">
        <v>0</v>
      </c>
      <c r="C36" s="3">
        <v>1.2</v>
      </c>
      <c r="D36" s="107">
        <v>0.69514285714285717</v>
      </c>
      <c r="E36" s="23">
        <v>2</v>
      </c>
      <c r="F36" s="20">
        <v>-5</v>
      </c>
      <c r="G36" s="3">
        <v>1.2</v>
      </c>
      <c r="H36" s="107">
        <v>-0.88771428571428523</v>
      </c>
    </row>
    <row r="37" spans="1:8" x14ac:dyDescent="0.25">
      <c r="A37" s="23">
        <v>3</v>
      </c>
      <c r="B37" s="20">
        <v>-1</v>
      </c>
      <c r="C37" s="3">
        <v>1.4</v>
      </c>
      <c r="D37" s="107">
        <v>0.61650000000000005</v>
      </c>
      <c r="E37" s="23">
        <v>3</v>
      </c>
      <c r="F37" s="20">
        <f>+B37</f>
        <v>-1</v>
      </c>
      <c r="G37" s="3">
        <v>1.4</v>
      </c>
      <c r="H37" s="107">
        <v>-2.4034999999999993</v>
      </c>
    </row>
    <row r="38" spans="1:8" x14ac:dyDescent="0.25">
      <c r="A38" s="23">
        <v>4</v>
      </c>
      <c r="B38" s="20">
        <v>3</v>
      </c>
      <c r="C38" s="3">
        <v>1.6</v>
      </c>
      <c r="D38" s="107">
        <v>0.49028571428571421</v>
      </c>
      <c r="E38" s="23">
        <v>4</v>
      </c>
      <c r="F38" s="20">
        <f>+B38</f>
        <v>3</v>
      </c>
      <c r="G38" s="3">
        <v>1.6</v>
      </c>
      <c r="H38" s="107">
        <v>-3.6754285714285713</v>
      </c>
    </row>
    <row r="39" spans="1:8" x14ac:dyDescent="0.25">
      <c r="A39" s="23">
        <v>5</v>
      </c>
      <c r="B39" s="20">
        <v>3</v>
      </c>
      <c r="C39" s="3">
        <v>1.8</v>
      </c>
      <c r="D39" s="107">
        <v>0.29271428571428565</v>
      </c>
      <c r="E39" s="23">
        <v>5</v>
      </c>
      <c r="F39" s="20">
        <f>+B39</f>
        <v>3</v>
      </c>
      <c r="G39" s="3">
        <v>1.8</v>
      </c>
      <c r="H39" s="107">
        <v>-4.5815714285714284</v>
      </c>
    </row>
    <row r="40" spans="1:8" x14ac:dyDescent="0.25">
      <c r="A40" s="13"/>
      <c r="B40" s="17"/>
      <c r="C40" s="3">
        <v>2</v>
      </c>
      <c r="D40" s="107">
        <v>0</v>
      </c>
      <c r="E40" s="13"/>
      <c r="F40" s="17"/>
      <c r="G40" s="3">
        <v>2</v>
      </c>
      <c r="H40" s="107">
        <v>-5</v>
      </c>
    </row>
    <row r="41" spans="1:8" x14ac:dyDescent="0.25">
      <c r="A41" s="13"/>
      <c r="B41" s="17"/>
      <c r="C41" s="3">
        <v>2.2000000000000002</v>
      </c>
      <c r="D41" s="107">
        <v>-0.38985714285714318</v>
      </c>
      <c r="E41" s="13"/>
      <c r="F41" s="17"/>
      <c r="G41" s="3">
        <v>2.2000000000000002</v>
      </c>
      <c r="H41" s="107">
        <v>-4.8527142857142858</v>
      </c>
    </row>
    <row r="42" spans="1:8" x14ac:dyDescent="0.25">
      <c r="A42" s="13"/>
      <c r="B42" s="17"/>
      <c r="C42" s="3">
        <v>2.4</v>
      </c>
      <c r="D42" s="107">
        <v>-0.79171428571428548</v>
      </c>
      <c r="E42" s="13"/>
      <c r="F42" s="17"/>
      <c r="G42" s="3">
        <v>2.4</v>
      </c>
      <c r="H42" s="107">
        <v>-4.2374285714285724</v>
      </c>
    </row>
    <row r="43" spans="1:8" x14ac:dyDescent="0.25">
      <c r="A43" s="13"/>
      <c r="B43" s="17"/>
      <c r="C43" s="3">
        <v>2.6</v>
      </c>
      <c r="D43" s="107">
        <v>-1.098642857142857</v>
      </c>
      <c r="E43" s="13"/>
      <c r="F43" s="17"/>
      <c r="G43" s="3">
        <v>2.6</v>
      </c>
      <c r="H43" s="107">
        <v>-3.2957857142857141</v>
      </c>
    </row>
    <row r="44" spans="1:8" x14ac:dyDescent="0.25">
      <c r="A44" s="13"/>
      <c r="B44" s="17"/>
      <c r="C44" s="3">
        <v>2.8</v>
      </c>
      <c r="D44" s="107">
        <v>-1.2037142857142855</v>
      </c>
      <c r="E44" s="13"/>
      <c r="F44" s="17"/>
      <c r="G44" s="3">
        <v>2.8</v>
      </c>
      <c r="H44" s="107">
        <v>-2.1694285714285733</v>
      </c>
    </row>
    <row r="45" spans="1:8" x14ac:dyDescent="0.25">
      <c r="A45" s="13"/>
      <c r="B45" s="17"/>
      <c r="C45" s="3">
        <v>3</v>
      </c>
      <c r="D45" s="107">
        <v>-1</v>
      </c>
      <c r="E45" s="13"/>
      <c r="F45" s="17"/>
      <c r="G45" s="3">
        <v>3</v>
      </c>
      <c r="H45" s="107">
        <v>-1</v>
      </c>
    </row>
    <row r="46" spans="1:8" ht="13.5" customHeight="1" x14ac:dyDescent="0.25">
      <c r="A46" s="13"/>
      <c r="B46" s="17"/>
      <c r="C46" s="3">
        <v>3.2</v>
      </c>
      <c r="D46" s="107">
        <v>-0.42371428571428504</v>
      </c>
      <c r="E46" s="13"/>
      <c r="F46" s="17"/>
      <c r="G46" s="3">
        <v>3.2</v>
      </c>
      <c r="H46" s="107">
        <v>9.0571428571429413E-2</v>
      </c>
    </row>
    <row r="47" spans="1:8" x14ac:dyDescent="0.25">
      <c r="A47" s="13"/>
      <c r="B47" s="17"/>
      <c r="C47" s="3">
        <v>3.4</v>
      </c>
      <c r="D47" s="107">
        <v>0.41635714285714243</v>
      </c>
      <c r="E47" s="13"/>
      <c r="F47" s="17"/>
      <c r="G47" s="3">
        <v>3.4</v>
      </c>
      <c r="H47" s="107">
        <v>1.0592142857142854</v>
      </c>
    </row>
    <row r="48" spans="1:8" x14ac:dyDescent="0.25">
      <c r="A48" s="13"/>
      <c r="B48" s="17"/>
      <c r="C48" s="3">
        <v>3.6</v>
      </c>
      <c r="D48" s="107">
        <v>1.3682857142857148</v>
      </c>
      <c r="E48" s="13"/>
      <c r="F48" s="17"/>
      <c r="G48" s="3">
        <v>3.6</v>
      </c>
      <c r="H48" s="107">
        <v>1.882571428571429</v>
      </c>
    </row>
    <row r="49" spans="1:14" x14ac:dyDescent="0.25">
      <c r="A49" s="13"/>
      <c r="B49" s="17"/>
      <c r="C49" s="3">
        <v>3.8</v>
      </c>
      <c r="D49" s="107">
        <v>2.2801428571428559</v>
      </c>
      <c r="E49" s="13"/>
      <c r="F49" s="17"/>
      <c r="G49" s="3">
        <v>3.8</v>
      </c>
      <c r="H49" s="107">
        <v>2.5372857142857139</v>
      </c>
      <c r="J49" s="6"/>
      <c r="L49" s="5"/>
    </row>
    <row r="50" spans="1:14" x14ac:dyDescent="0.25">
      <c r="A50" s="13"/>
      <c r="B50" s="17"/>
      <c r="C50" s="3">
        <v>4</v>
      </c>
      <c r="D50" s="107">
        <v>3</v>
      </c>
      <c r="E50" s="13"/>
      <c r="F50" s="17"/>
      <c r="G50" s="3">
        <v>4</v>
      </c>
      <c r="H50" s="107">
        <v>3</v>
      </c>
      <c r="J50" s="6"/>
      <c r="L50" s="5"/>
    </row>
    <row r="51" spans="1:14" x14ac:dyDescent="0.25">
      <c r="A51" s="13"/>
      <c r="B51" s="17"/>
      <c r="C51" s="3">
        <v>4.2</v>
      </c>
      <c r="D51" s="107">
        <v>3.4127142857142858</v>
      </c>
      <c r="E51" s="13"/>
      <c r="F51" s="17"/>
      <c r="G51" s="3">
        <v>4.2</v>
      </c>
      <c r="H51" s="107">
        <v>3.2584285714285715</v>
      </c>
      <c r="J51" s="6"/>
      <c r="L51" s="5"/>
      <c r="N51" s="8"/>
    </row>
    <row r="52" spans="1:14" x14ac:dyDescent="0.25">
      <c r="A52" s="13"/>
      <c r="B52" s="17"/>
      <c r="C52" s="3">
        <v>4.4000000000000004</v>
      </c>
      <c r="D52" s="107">
        <v>3.5502857142857143</v>
      </c>
      <c r="E52" s="13"/>
      <c r="F52" s="17"/>
      <c r="G52" s="3">
        <v>4.4000000000000004</v>
      </c>
      <c r="H52" s="107">
        <v>3.3445714285714283</v>
      </c>
      <c r="I52" s="5"/>
      <c r="J52" s="6"/>
      <c r="L52" s="5"/>
    </row>
    <row r="53" spans="1:14" x14ac:dyDescent="0.25">
      <c r="A53" s="13"/>
      <c r="B53" s="17"/>
      <c r="C53" s="3">
        <v>4.5999999999999996</v>
      </c>
      <c r="D53" s="107">
        <v>3.4815</v>
      </c>
      <c r="E53" s="13"/>
      <c r="F53" s="17"/>
      <c r="G53" s="3">
        <v>4.5999999999999996</v>
      </c>
      <c r="H53" s="107">
        <v>3.3014999999999999</v>
      </c>
    </row>
    <row r="54" spans="1:14" x14ac:dyDescent="0.25">
      <c r="A54" s="13"/>
      <c r="B54" s="17"/>
      <c r="C54" s="3">
        <v>4.8</v>
      </c>
      <c r="D54" s="107">
        <v>3.2751428571428578</v>
      </c>
      <c r="E54" s="13"/>
      <c r="F54" s="17"/>
      <c r="G54" s="3">
        <v>4.8</v>
      </c>
      <c r="H54" s="107">
        <v>3.1722857142857146</v>
      </c>
    </row>
    <row r="55" spans="1:14" x14ac:dyDescent="0.25">
      <c r="A55" s="13"/>
      <c r="B55" s="17"/>
      <c r="C55" s="3">
        <v>5</v>
      </c>
      <c r="D55" s="107">
        <v>3</v>
      </c>
      <c r="E55" s="13"/>
      <c r="F55" s="17"/>
      <c r="G55" s="3">
        <v>5</v>
      </c>
      <c r="H55" s="107">
        <v>3</v>
      </c>
    </row>
    <row r="56" spans="1:14" ht="13.8" thickBot="1" x14ac:dyDescent="0.3">
      <c r="A56" s="14"/>
      <c r="B56" s="18"/>
      <c r="C56" s="4">
        <v>5.2</v>
      </c>
      <c r="D56" s="108">
        <v>3</v>
      </c>
      <c r="E56" s="14"/>
      <c r="F56" s="18"/>
      <c r="G56" s="4">
        <v>5.2</v>
      </c>
      <c r="H56" s="108">
        <v>3</v>
      </c>
    </row>
    <row r="58" spans="1:14" x14ac:dyDescent="0.25">
      <c r="A58" s="6"/>
    </row>
    <row r="59" spans="1:14" ht="13.8" thickBot="1" x14ac:dyDescent="0.3">
      <c r="A59" s="12" t="s">
        <v>41</v>
      </c>
    </row>
    <row r="60" spans="1:14" ht="13.8" thickBot="1" x14ac:dyDescent="0.3">
      <c r="A60" s="149" t="s">
        <v>33</v>
      </c>
      <c r="B60" s="150"/>
      <c r="C60" s="151" t="s">
        <v>34</v>
      </c>
      <c r="D60" s="152"/>
      <c r="E60" s="76"/>
      <c r="F60" s="77"/>
      <c r="G60" s="78"/>
      <c r="H60" s="78"/>
      <c r="I60" s="79"/>
      <c r="J60" s="5"/>
      <c r="K60" s="5"/>
      <c r="L60" s="5"/>
    </row>
    <row r="61" spans="1:14" ht="13.8" thickBot="1" x14ac:dyDescent="0.3">
      <c r="A61" s="1" t="s">
        <v>35</v>
      </c>
      <c r="B61" s="16" t="s">
        <v>36</v>
      </c>
      <c r="C61" s="15" t="s">
        <v>35</v>
      </c>
      <c r="D61" s="2" t="s">
        <v>36</v>
      </c>
      <c r="E61" s="81" t="s">
        <v>27</v>
      </c>
      <c r="F61" s="82" t="s">
        <v>28</v>
      </c>
      <c r="G61" s="83" t="s">
        <v>2</v>
      </c>
      <c r="H61" s="82" t="s">
        <v>40</v>
      </c>
      <c r="I61" s="84" t="s">
        <v>44</v>
      </c>
      <c r="J61" s="27"/>
      <c r="K61" s="27"/>
      <c r="L61" s="27"/>
    </row>
    <row r="62" spans="1:14" x14ac:dyDescent="0.25">
      <c r="A62" s="85">
        <f>-4*SIN(PI()*5/16)</f>
        <v>-3.3258784492101809</v>
      </c>
      <c r="B62" s="94">
        <v>2.2725018887716733</v>
      </c>
      <c r="C62" s="32">
        <v>-2.8284271247461903</v>
      </c>
      <c r="D62" s="109">
        <f t="array" ref="D62:I82">csplinea(A62:A72,B62:B72,C62:C82)</f>
        <v>2.8284271247461898</v>
      </c>
      <c r="E62" s="110">
        <v>1.0026932979250915</v>
      </c>
      <c r="F62" s="111">
        <v>-0.69265291565812781</v>
      </c>
      <c r="G62" s="111">
        <v>-4.0999999491813286</v>
      </c>
      <c r="H62" s="112" t="str">
        <v>-</v>
      </c>
      <c r="I62" s="113" t="str">
        <v>-</v>
      </c>
      <c r="J62" s="28"/>
    </row>
    <row r="63" spans="1:14" x14ac:dyDescent="0.25">
      <c r="A63" s="86">
        <f>-A71</f>
        <v>-2.8284271247461903</v>
      </c>
      <c r="B63" s="95">
        <f>+B71</f>
        <v>2.8284271247461898</v>
      </c>
      <c r="C63" s="33">
        <v>-2.5977921933207346</v>
      </c>
      <c r="D63" s="114">
        <v>3.0421931866795369</v>
      </c>
      <c r="E63" s="110">
        <v>0.8550653833569003</v>
      </c>
      <c r="F63" s="111">
        <v>-0.58753403309041041</v>
      </c>
      <c r="G63" s="111">
        <v>-3.876716638852701</v>
      </c>
      <c r="H63" s="111">
        <v>0.31454770550543509</v>
      </c>
      <c r="I63" s="115">
        <v>0.31446526171918604</v>
      </c>
      <c r="J63" s="28"/>
      <c r="K63" s="28"/>
      <c r="L63" s="28"/>
      <c r="M63" s="28"/>
    </row>
    <row r="64" spans="1:14" x14ac:dyDescent="0.25">
      <c r="A64" s="86">
        <f>-A70</f>
        <v>-2.2222809320784087</v>
      </c>
      <c r="B64" s="87">
        <f t="shared" ref="B64:B71" si="0">(16-A64^2)^0.5</f>
        <v>3.3258784492101809</v>
      </c>
      <c r="C64" s="33">
        <v>-2.3511410091698925</v>
      </c>
      <c r="D64" s="114">
        <v>3.2363640953910777</v>
      </c>
      <c r="E64" s="110">
        <v>0.72401353056679019</v>
      </c>
      <c r="F64" s="111">
        <v>-0.47511525636091489</v>
      </c>
      <c r="G64" s="111">
        <v>-3.9606099659195864</v>
      </c>
      <c r="H64" s="111">
        <v>0.31399479542179992</v>
      </c>
      <c r="I64" s="115">
        <v>0.3139094589732494</v>
      </c>
      <c r="J64" s="28"/>
      <c r="K64" s="28"/>
      <c r="L64" s="28"/>
      <c r="M64" s="28"/>
    </row>
    <row r="65" spans="1:13" x14ac:dyDescent="0.25">
      <c r="A65" s="86">
        <f>-A69</f>
        <v>-1.5307337294603591</v>
      </c>
      <c r="B65" s="87">
        <f t="shared" si="0"/>
        <v>3.695518130045147</v>
      </c>
      <c r="C65" s="33">
        <v>-2.0899942588637952</v>
      </c>
      <c r="D65" s="114">
        <v>3.4104716911088158</v>
      </c>
      <c r="E65" s="110">
        <v>0.61279984985373315</v>
      </c>
      <c r="F65" s="111">
        <v>-0.39661449427343815</v>
      </c>
      <c r="G65" s="111">
        <v>-4.0675557500308601</v>
      </c>
      <c r="H65" s="111">
        <v>0.31394206413271153</v>
      </c>
      <c r="I65" s="115">
        <v>0.31386474807159609</v>
      </c>
      <c r="J65" s="28"/>
      <c r="K65" s="28"/>
      <c r="L65" s="28"/>
      <c r="M65" s="28"/>
    </row>
    <row r="66" spans="1:13" x14ac:dyDescent="0.25">
      <c r="A66" s="86">
        <f>-A68</f>
        <v>-0.78036128806451299</v>
      </c>
      <c r="B66" s="87">
        <f t="shared" si="0"/>
        <v>3.9231411216129217</v>
      </c>
      <c r="C66" s="33">
        <v>-1.815961998958187</v>
      </c>
      <c r="D66" s="114">
        <v>3.5640195281605789</v>
      </c>
      <c r="E66" s="110">
        <v>0.50972566735679559</v>
      </c>
      <c r="F66" s="111">
        <v>-0.35566323049109833</v>
      </c>
      <c r="G66" s="111">
        <v>-3.9757943427798126</v>
      </c>
      <c r="H66" s="111">
        <v>0.31419921726243361</v>
      </c>
      <c r="I66" s="115">
        <v>0.31411879557302774</v>
      </c>
      <c r="J66" s="28"/>
      <c r="K66" s="28"/>
      <c r="L66" s="28"/>
      <c r="M66" s="28"/>
    </row>
    <row r="67" spans="1:13" x14ac:dyDescent="0.25">
      <c r="A67" s="86">
        <v>0</v>
      </c>
      <c r="B67" s="87">
        <f t="shared" si="0"/>
        <v>4</v>
      </c>
      <c r="C67" s="33">
        <v>-1.5307337294603591</v>
      </c>
      <c r="D67" s="114">
        <v>3.695518130045147</v>
      </c>
      <c r="E67" s="110">
        <v>0.41435930019440714</v>
      </c>
      <c r="F67" s="111">
        <v>-0.31303883982114861</v>
      </c>
      <c r="G67" s="111">
        <v>-4.051565625091416</v>
      </c>
      <c r="H67" s="111">
        <v>0.31416208719212801</v>
      </c>
      <c r="I67" s="115">
        <v>0.31408127613457265</v>
      </c>
      <c r="J67" s="28"/>
      <c r="K67" s="28"/>
      <c r="L67" s="28"/>
      <c r="M67" s="28"/>
    </row>
    <row r="68" spans="1:13" x14ac:dyDescent="0.25">
      <c r="A68" s="86">
        <f>4*SIN(PI()*1/16)</f>
        <v>0.78036128806451299</v>
      </c>
      <c r="B68" s="87">
        <f t="shared" si="0"/>
        <v>3.9231411216129217</v>
      </c>
      <c r="C68" s="33">
        <v>-1.2360679774997896</v>
      </c>
      <c r="D68" s="114">
        <v>3.8043177867845239</v>
      </c>
      <c r="E68" s="110">
        <v>0.3250945636381925</v>
      </c>
      <c r="F68" s="111">
        <v>-0.29283229357177809</v>
      </c>
      <c r="G68" s="111">
        <v>-3.9703521390252607</v>
      </c>
      <c r="H68" s="111">
        <v>0.31419096228110238</v>
      </c>
      <c r="I68" s="115">
        <v>0.31411028427145482</v>
      </c>
      <c r="J68" s="28"/>
      <c r="K68" s="28"/>
      <c r="L68" s="28"/>
      <c r="M68" s="28"/>
    </row>
    <row r="69" spans="1:13" x14ac:dyDescent="0.25">
      <c r="A69" s="86">
        <f>4*SIN(PI()*2/16)</f>
        <v>1.5307337294603591</v>
      </c>
      <c r="B69" s="87">
        <f t="shared" si="0"/>
        <v>3.695518130045147</v>
      </c>
      <c r="C69" s="33">
        <v>-0.93378145542362156</v>
      </c>
      <c r="D69" s="114">
        <v>3.8895260976929187</v>
      </c>
      <c r="E69" s="110">
        <v>0.23970837734915021</v>
      </c>
      <c r="F69" s="111">
        <v>-0.27210315709001009</v>
      </c>
      <c r="G69" s="111">
        <v>-3.9963397928880493</v>
      </c>
      <c r="H69" s="111">
        <v>0.31414801626195282</v>
      </c>
      <c r="I69" s="115">
        <v>0.31406623135378192</v>
      </c>
      <c r="J69" s="28"/>
      <c r="K69" s="28"/>
      <c r="L69" s="28"/>
      <c r="M69" s="28"/>
    </row>
    <row r="70" spans="1:13" x14ac:dyDescent="0.25">
      <c r="A70" s="86">
        <f>4*SIN(PI()*3/16)</f>
        <v>2.2222809320784087</v>
      </c>
      <c r="B70" s="87">
        <f t="shared" si="0"/>
        <v>3.3258784492101809</v>
      </c>
      <c r="C70" s="33">
        <v>-0.62573786016092348</v>
      </c>
      <c r="D70" s="114">
        <v>3.9507593493318454</v>
      </c>
      <c r="E70" s="110">
        <v>0.15853295300496442</v>
      </c>
      <c r="F70" s="111">
        <v>-0.25886075998282315</v>
      </c>
      <c r="G70" s="111">
        <v>-4.0096263820241669</v>
      </c>
      <c r="H70" s="111">
        <v>0.31415036361942761</v>
      </c>
      <c r="I70" s="115">
        <v>0.3140706412395865</v>
      </c>
      <c r="J70" s="28"/>
      <c r="K70" s="28"/>
      <c r="L70" s="28"/>
      <c r="M70" s="28"/>
    </row>
    <row r="71" spans="1:13" x14ac:dyDescent="0.25">
      <c r="A71" s="86">
        <v>2.8284271247461903</v>
      </c>
      <c r="B71" s="87">
        <f t="shared" si="0"/>
        <v>2.8284271247461898</v>
      </c>
      <c r="C71" s="33">
        <v>-0.31383638291137977</v>
      </c>
      <c r="D71" s="114">
        <v>3.9877037118350751</v>
      </c>
      <c r="E71" s="110">
        <v>7.8650086161739685E-2</v>
      </c>
      <c r="F71" s="111">
        <v>-0.25337065070275483</v>
      </c>
      <c r="G71" s="111">
        <v>-3.9834648793533036</v>
      </c>
      <c r="H71" s="111">
        <v>0.31416300828845423</v>
      </c>
      <c r="I71" s="115">
        <v>0.31408186421889706</v>
      </c>
      <c r="J71" s="28"/>
      <c r="K71" s="28"/>
      <c r="L71" s="28"/>
      <c r="M71" s="28"/>
    </row>
    <row r="72" spans="1:13" x14ac:dyDescent="0.25">
      <c r="A72" s="86">
        <f>-A62</f>
        <v>3.3258784492101809</v>
      </c>
      <c r="B72" s="87">
        <f>+B62</f>
        <v>2.2725018887716733</v>
      </c>
      <c r="C72" s="33">
        <v>0</v>
      </c>
      <c r="D72" s="114">
        <v>4</v>
      </c>
      <c r="E72" s="110">
        <v>-1.3877787807814457E-17</v>
      </c>
      <c r="F72" s="111">
        <v>-0.24784648309239649</v>
      </c>
      <c r="G72" s="111">
        <v>-4.0347556581111652</v>
      </c>
      <c r="H72" s="111">
        <v>0.31415781179640684</v>
      </c>
      <c r="I72" s="115">
        <v>0.31407717832012733</v>
      </c>
      <c r="J72" s="28"/>
      <c r="K72" s="28"/>
      <c r="L72" s="28"/>
      <c r="M72" s="28"/>
    </row>
    <row r="73" spans="1:13" x14ac:dyDescent="0.25">
      <c r="A73" s="13"/>
      <c r="B73" s="30"/>
      <c r="C73" s="33">
        <v>0.31383638291137977</v>
      </c>
      <c r="D73" s="114">
        <v>3.9877037118350751</v>
      </c>
      <c r="E73" s="110">
        <v>-7.8650086161739699E-2</v>
      </c>
      <c r="F73" s="111">
        <v>-0.25337065070275477</v>
      </c>
      <c r="G73" s="111">
        <v>-3.9834648793533045</v>
      </c>
      <c r="H73" s="111">
        <v>0.31415781179640678</v>
      </c>
      <c r="I73" s="115">
        <v>0.31407717832012733</v>
      </c>
      <c r="J73" s="28"/>
      <c r="K73" s="28"/>
      <c r="L73" s="28"/>
      <c r="M73" s="28"/>
    </row>
    <row r="74" spans="1:13" x14ac:dyDescent="0.25">
      <c r="A74" s="13"/>
      <c r="B74" s="30"/>
      <c r="C74" s="33">
        <v>0.62573786016092348</v>
      </c>
      <c r="D74" s="114">
        <v>3.9507593493318454</v>
      </c>
      <c r="E74" s="110">
        <v>-0.15853295300496442</v>
      </c>
      <c r="F74" s="111">
        <v>-0.2588607599828231</v>
      </c>
      <c r="G74" s="111">
        <v>-4.0096263820241678</v>
      </c>
      <c r="H74" s="111">
        <v>0.31416300828845423</v>
      </c>
      <c r="I74" s="115">
        <v>0.31408186421889706</v>
      </c>
      <c r="J74" s="28"/>
      <c r="K74" s="28"/>
      <c r="L74" s="28"/>
      <c r="M74" s="28"/>
    </row>
    <row r="75" spans="1:13" x14ac:dyDescent="0.25">
      <c r="A75" s="13"/>
      <c r="B75" s="30"/>
      <c r="C75" s="33">
        <v>0.93378145542362156</v>
      </c>
      <c r="D75" s="114">
        <v>3.8895260976929187</v>
      </c>
      <c r="E75" s="110">
        <v>-0.23970837734915021</v>
      </c>
      <c r="F75" s="116">
        <v>-0.27210315709001004</v>
      </c>
      <c r="G75" s="111">
        <v>-3.9963397928880502</v>
      </c>
      <c r="H75" s="111">
        <v>0.31415036361942761</v>
      </c>
      <c r="I75" s="115">
        <v>0.3140706412395865</v>
      </c>
      <c r="J75" s="28"/>
      <c r="K75" s="28"/>
      <c r="L75" s="28"/>
      <c r="M75" s="28"/>
    </row>
    <row r="76" spans="1:13" x14ac:dyDescent="0.25">
      <c r="A76" s="13"/>
      <c r="B76" s="30"/>
      <c r="C76" s="33">
        <v>1.2360679774997896</v>
      </c>
      <c r="D76" s="114">
        <v>3.8043177867845239</v>
      </c>
      <c r="E76" s="110">
        <v>-0.3250945636381925</v>
      </c>
      <c r="F76" s="111">
        <v>-0.29283229357177815</v>
      </c>
      <c r="G76" s="111">
        <v>-3.9703521390252599</v>
      </c>
      <c r="H76" s="111">
        <v>0.31414801626195282</v>
      </c>
      <c r="I76" s="115">
        <v>0.31406623135378192</v>
      </c>
      <c r="J76" s="28"/>
      <c r="K76" s="28"/>
      <c r="L76" s="28"/>
      <c r="M76" s="28"/>
    </row>
    <row r="77" spans="1:13" x14ac:dyDescent="0.25">
      <c r="A77" s="13"/>
      <c r="B77" s="30"/>
      <c r="C77" s="33">
        <v>1.5307337294603591</v>
      </c>
      <c r="D77" s="114">
        <v>3.695518130045147</v>
      </c>
      <c r="E77" s="110">
        <v>-0.41435930019440703</v>
      </c>
      <c r="F77" s="111">
        <v>-0.31303883982114866</v>
      </c>
      <c r="G77" s="111">
        <v>-4.051565625091416</v>
      </c>
      <c r="H77" s="111">
        <v>0.31419096228110238</v>
      </c>
      <c r="I77" s="115">
        <v>0.31411028427145482</v>
      </c>
      <c r="J77" s="28"/>
      <c r="K77" s="28"/>
      <c r="L77" s="28"/>
      <c r="M77" s="28"/>
    </row>
    <row r="78" spans="1:13" x14ac:dyDescent="0.25">
      <c r="A78" s="13"/>
      <c r="B78" s="30"/>
      <c r="C78" s="33">
        <v>1.815961998958187</v>
      </c>
      <c r="D78" s="114">
        <v>3.5640195281605789</v>
      </c>
      <c r="E78" s="110">
        <v>-0.50972566735679559</v>
      </c>
      <c r="F78" s="111">
        <v>-0.35566323049109838</v>
      </c>
      <c r="G78" s="111">
        <v>-3.9757943427798117</v>
      </c>
      <c r="H78" s="111">
        <v>0.31416208719212801</v>
      </c>
      <c r="I78" s="115">
        <v>0.31408127613457265</v>
      </c>
      <c r="J78" s="28"/>
      <c r="K78" s="28"/>
      <c r="L78" s="28"/>
      <c r="M78" s="28"/>
    </row>
    <row r="79" spans="1:13" x14ac:dyDescent="0.25">
      <c r="A79" s="13"/>
      <c r="B79" s="30"/>
      <c r="C79" s="33">
        <v>2.0899942588637952</v>
      </c>
      <c r="D79" s="114">
        <v>3.4104716911088158</v>
      </c>
      <c r="E79" s="110">
        <v>-0.61279984985373304</v>
      </c>
      <c r="F79" s="111">
        <v>-0.39661449427343809</v>
      </c>
      <c r="G79" s="111">
        <v>-4.0675557500308592</v>
      </c>
      <c r="H79" s="111">
        <v>0.31419921726243355</v>
      </c>
      <c r="I79" s="115">
        <v>0.31411879557302774</v>
      </c>
      <c r="J79" s="28"/>
      <c r="K79" s="28"/>
      <c r="L79" s="28"/>
      <c r="M79" s="28"/>
    </row>
    <row r="80" spans="1:13" x14ac:dyDescent="0.25">
      <c r="A80" s="13"/>
      <c r="B80" s="30"/>
      <c r="C80" s="33">
        <v>2.3511410091698925</v>
      </c>
      <c r="D80" s="114">
        <v>3.2363640953910777</v>
      </c>
      <c r="E80" s="110">
        <v>-0.7240135305667903</v>
      </c>
      <c r="F80" s="111">
        <v>-0.47511525636091484</v>
      </c>
      <c r="G80" s="111">
        <v>-3.9606099659195868</v>
      </c>
      <c r="H80" s="111">
        <v>0.31394206413271147</v>
      </c>
      <c r="I80" s="115">
        <v>0.31386474807159609</v>
      </c>
      <c r="J80" s="28"/>
      <c r="K80" s="28"/>
      <c r="L80" s="28"/>
      <c r="M80" s="28"/>
    </row>
    <row r="81" spans="1:17" x14ac:dyDescent="0.25">
      <c r="A81" s="13"/>
      <c r="B81" s="30"/>
      <c r="C81" s="33">
        <v>2.5977921933207346</v>
      </c>
      <c r="D81" s="114">
        <v>3.0421931866795369</v>
      </c>
      <c r="E81" s="110">
        <v>-0.85506538335690041</v>
      </c>
      <c r="F81" s="111">
        <v>-0.58753403309041041</v>
      </c>
      <c r="G81" s="111">
        <v>-3.8767166388527015</v>
      </c>
      <c r="H81" s="111">
        <v>0.31399479542179992</v>
      </c>
      <c r="I81" s="115">
        <v>0.3139094589732494</v>
      </c>
      <c r="J81" s="28"/>
      <c r="K81" s="28"/>
      <c r="L81" s="28"/>
      <c r="M81" s="28"/>
    </row>
    <row r="82" spans="1:17" x14ac:dyDescent="0.25">
      <c r="A82" s="13"/>
      <c r="B82" s="30"/>
      <c r="C82" s="33">
        <v>2.8284271247461898</v>
      </c>
      <c r="D82" s="114">
        <v>2.8284271247461903</v>
      </c>
      <c r="E82" s="110">
        <v>-1.0026932979250913</v>
      </c>
      <c r="F82" s="111">
        <v>-0.69265291565812759</v>
      </c>
      <c r="G82" s="111">
        <v>-4.0999999491813286</v>
      </c>
      <c r="H82" s="111">
        <v>0.31454770550543454</v>
      </c>
      <c r="I82" s="115">
        <v>0.31446526171918543</v>
      </c>
      <c r="J82" s="28"/>
      <c r="K82" s="28"/>
      <c r="L82" s="28"/>
      <c r="M82" s="28"/>
    </row>
    <row r="83" spans="1:17" ht="13.8" thickBot="1" x14ac:dyDescent="0.3">
      <c r="A83" s="14"/>
      <c r="B83" s="31"/>
      <c r="C83" s="34"/>
      <c r="D83" s="24"/>
      <c r="E83" s="14"/>
      <c r="F83" s="31"/>
      <c r="G83" s="31"/>
      <c r="H83" s="31"/>
      <c r="I83" s="80"/>
    </row>
    <row r="84" spans="1:17" x14ac:dyDescent="0.25">
      <c r="G84" s="35"/>
      <c r="H84" s="28"/>
      <c r="I84" s="28"/>
      <c r="L84" s="28"/>
    </row>
    <row r="85" spans="1:17" x14ac:dyDescent="0.25">
      <c r="A85" s="7" t="s">
        <v>87</v>
      </c>
      <c r="G85" s="35"/>
      <c r="L85" s="5"/>
      <c r="M85" s="5"/>
      <c r="N85" s="5"/>
      <c r="O85" s="5"/>
      <c r="P85" s="5"/>
      <c r="Q85" s="5"/>
    </row>
    <row r="86" spans="1:17" ht="13.8" thickBot="1" x14ac:dyDescent="0.3">
      <c r="A86" s="5"/>
      <c r="G86" s="35"/>
      <c r="Q86" s="29"/>
    </row>
    <row r="87" spans="1:17" ht="13.8" thickBot="1" x14ac:dyDescent="0.3">
      <c r="A87" s="5"/>
      <c r="B87" s="25" t="s">
        <v>0</v>
      </c>
      <c r="C87" s="88" t="s">
        <v>4</v>
      </c>
      <c r="D87" s="89" t="s">
        <v>6</v>
      </c>
      <c r="E87" s="89" t="s">
        <v>7</v>
      </c>
      <c r="F87" s="89" t="s">
        <v>8</v>
      </c>
      <c r="G87" s="89" t="s">
        <v>1</v>
      </c>
      <c r="H87" s="90" t="s">
        <v>5</v>
      </c>
      <c r="I87" s="26" t="s">
        <v>3</v>
      </c>
      <c r="J87" s="55"/>
      <c r="Q87" s="29"/>
    </row>
    <row r="88" spans="1:17" x14ac:dyDescent="0.25">
      <c r="A88" s="5"/>
      <c r="B88" s="125">
        <f t="array" ref="B88:I98">csplinea(A62:A72,B62:B72,C62:C82,2)</f>
        <v>0.49745132446399065</v>
      </c>
      <c r="C88" s="129">
        <v>0</v>
      </c>
      <c r="D88" s="127">
        <v>1</v>
      </c>
      <c r="E88" s="127">
        <v>0</v>
      </c>
      <c r="F88" s="129">
        <v>0</v>
      </c>
      <c r="G88" s="129">
        <v>1.1749738530690819</v>
      </c>
      <c r="H88" s="129">
        <v>0</v>
      </c>
      <c r="I88" s="117">
        <v>-0.23206723338022706</v>
      </c>
      <c r="K88" s="28"/>
      <c r="Q88" s="29"/>
    </row>
    <row r="89" spans="1:17" x14ac:dyDescent="0.25">
      <c r="B89" s="126">
        <v>0.60614619266778158</v>
      </c>
      <c r="C89" s="130">
        <v>-0.89060463157727465</v>
      </c>
      <c r="D89" s="128">
        <v>2.2071950342635445</v>
      </c>
      <c r="E89" s="128">
        <v>0.27462285083929117</v>
      </c>
      <c r="F89" s="130">
        <v>-0.40350065026058513</v>
      </c>
      <c r="G89" s="130">
        <v>1.0026932979250915</v>
      </c>
      <c r="H89" s="130">
        <v>-0.34632645782906391</v>
      </c>
      <c r="I89" s="121">
        <v>7.5963400916781221E-2</v>
      </c>
      <c r="K89" s="28"/>
      <c r="Q89" s="29"/>
    </row>
    <row r="90" spans="1:17" x14ac:dyDescent="0.25">
      <c r="B90" s="126">
        <v>0.69154720261804958</v>
      </c>
      <c r="C90" s="130">
        <v>-0.85850296463360531</v>
      </c>
      <c r="D90" s="128">
        <v>2.4289251951158537</v>
      </c>
      <c r="E90" s="128">
        <v>0.28471325671479336</v>
      </c>
      <c r="F90" s="130">
        <v>-0.25275483286750416</v>
      </c>
      <c r="G90" s="130">
        <v>0.66657424046900349</v>
      </c>
      <c r="H90" s="130">
        <v>-0.20819167908565428</v>
      </c>
      <c r="I90" s="121">
        <v>2.4906595423257624E-2</v>
      </c>
      <c r="K90" s="28"/>
      <c r="Q90" s="29"/>
    </row>
    <row r="91" spans="1:17" x14ac:dyDescent="0.25">
      <c r="B91" s="126">
        <v>0.75037244139584613</v>
      </c>
      <c r="C91" s="130">
        <v>-0.69349335703034831</v>
      </c>
      <c r="D91" s="128">
        <v>2.6869466317984014</v>
      </c>
      <c r="E91" s="128">
        <v>0.27926585236775398</v>
      </c>
      <c r="F91" s="130">
        <v>-0.19304494301230718</v>
      </c>
      <c r="G91" s="130">
        <v>0.41435930019440714</v>
      </c>
      <c r="H91" s="130">
        <v>-0.1565194199105743</v>
      </c>
      <c r="I91" s="121">
        <v>1.1429077474463577E-2</v>
      </c>
      <c r="K91" s="28"/>
      <c r="Q91" s="29"/>
    </row>
    <row r="92" spans="1:17" x14ac:dyDescent="0.25">
      <c r="B92" s="126">
        <v>0.78036128806451299</v>
      </c>
      <c r="C92" s="130">
        <v>-0.61456584075053389</v>
      </c>
      <c r="D92" s="128">
        <v>2.8519140594810346</v>
      </c>
      <c r="E92" s="128">
        <v>0.27362721028364928</v>
      </c>
      <c r="F92" s="130">
        <v>-0.16469999648192082</v>
      </c>
      <c r="G92" s="130">
        <v>0.19876930967737202</v>
      </c>
      <c r="H92" s="130">
        <v>-0.13079122560832779</v>
      </c>
      <c r="I92" s="121">
        <v>2.9336770746123788E-3</v>
      </c>
      <c r="K92" s="28"/>
      <c r="Q92" s="29"/>
    </row>
    <row r="93" spans="1:17" x14ac:dyDescent="0.25">
      <c r="B93" s="126">
        <v>0.78036128806451299</v>
      </c>
      <c r="C93" s="130">
        <v>-0.5909484201429861</v>
      </c>
      <c r="D93" s="128">
        <v>2.9079170699916039</v>
      </c>
      <c r="E93" s="128">
        <v>0.26835747694371703</v>
      </c>
      <c r="F93" s="130">
        <v>-0.15902204485682556</v>
      </c>
      <c r="G93" s="130">
        <v>-1.3877787807814457E-17</v>
      </c>
      <c r="H93" s="130">
        <v>-0.12392324154619824</v>
      </c>
      <c r="I93" s="121">
        <v>-2.9336770746123671E-3</v>
      </c>
      <c r="K93" s="28"/>
      <c r="Q93" s="29"/>
    </row>
    <row r="94" spans="1:17" x14ac:dyDescent="0.25">
      <c r="B94" s="126">
        <v>0.75037244139584613</v>
      </c>
      <c r="C94" s="130">
        <v>-0.61456584075053389</v>
      </c>
      <c r="D94" s="128">
        <v>2.8520516725511764</v>
      </c>
      <c r="E94" s="128">
        <v>0.26309917475114808</v>
      </c>
      <c r="F94" s="130">
        <v>-0.17197135581932829</v>
      </c>
      <c r="G94" s="130">
        <v>-0.19876930967737205</v>
      </c>
      <c r="H94" s="130">
        <v>-0.13079122560832776</v>
      </c>
      <c r="I94" s="121">
        <v>-1.1429077474463601E-2</v>
      </c>
      <c r="K94" s="28"/>
    </row>
    <row r="95" spans="1:17" x14ac:dyDescent="0.25">
      <c r="B95" s="126">
        <v>0.69154720261804958</v>
      </c>
      <c r="C95" s="130">
        <v>-0.69349335703034831</v>
      </c>
      <c r="D95" s="128">
        <v>2.6864169179405399</v>
      </c>
      <c r="E95" s="128">
        <v>0.2574236329438408</v>
      </c>
      <c r="F95" s="130">
        <v>-0.21011287828948169</v>
      </c>
      <c r="G95" s="130">
        <v>-0.41435930019440703</v>
      </c>
      <c r="H95" s="130">
        <v>-0.15651941991057433</v>
      </c>
      <c r="I95" s="121">
        <v>-2.4906595423257596E-2</v>
      </c>
      <c r="K95" s="28"/>
    </row>
    <row r="96" spans="1:17" x14ac:dyDescent="0.25">
      <c r="B96" s="126">
        <v>0.60614619266778158</v>
      </c>
      <c r="C96" s="130">
        <v>-0.85850296463360531</v>
      </c>
      <c r="D96" s="128">
        <v>2.4173661973215737</v>
      </c>
      <c r="E96" s="128">
        <v>0.25074653287507193</v>
      </c>
      <c r="F96" s="130">
        <v>-0.29503183762919682</v>
      </c>
      <c r="G96" s="130">
        <v>-0.6665742404690036</v>
      </c>
      <c r="H96" s="130">
        <v>-0.20819167908565425</v>
      </c>
      <c r="I96" s="121">
        <v>-7.5963400916781235E-2</v>
      </c>
      <c r="J96" s="5"/>
      <c r="K96" s="28"/>
    </row>
    <row r="97" spans="1:11" x14ac:dyDescent="0.25">
      <c r="B97" s="126">
        <v>0.49745132446399065</v>
      </c>
      <c r="C97" s="130">
        <v>-0.89060463157727465</v>
      </c>
      <c r="D97" s="128">
        <v>2.0552059780366729</v>
      </c>
      <c r="E97" s="128">
        <v>0.2420445102729816</v>
      </c>
      <c r="F97" s="130">
        <v>-0.34632645782906391</v>
      </c>
      <c r="G97" s="130">
        <v>-1.0026932979250915</v>
      </c>
      <c r="H97" s="130">
        <v>-0.34632645782906391</v>
      </c>
      <c r="I97" s="121">
        <v>0.23206723338022706</v>
      </c>
      <c r="K97" s="28"/>
    </row>
    <row r="98" spans="1:11" x14ac:dyDescent="0.25">
      <c r="B98" s="126">
        <v>0</v>
      </c>
      <c r="C98" s="130">
        <v>0</v>
      </c>
      <c r="D98" s="128">
        <v>1</v>
      </c>
      <c r="E98" s="128">
        <v>0</v>
      </c>
      <c r="F98" s="130">
        <v>0</v>
      </c>
      <c r="G98" s="130">
        <v>0</v>
      </c>
      <c r="H98" s="130">
        <v>0</v>
      </c>
      <c r="I98" s="121">
        <v>0</v>
      </c>
      <c r="K98" s="28"/>
    </row>
    <row r="99" spans="1:11" ht="13.8" thickBot="1" x14ac:dyDescent="0.3">
      <c r="B99" s="14"/>
      <c r="C99" s="31"/>
      <c r="D99" s="31"/>
      <c r="E99" s="31"/>
      <c r="F99" s="31"/>
      <c r="G99" s="91"/>
      <c r="H99" s="31"/>
      <c r="I99" s="80"/>
      <c r="K99" s="28"/>
    </row>
    <row r="100" spans="1:11" x14ac:dyDescent="0.25">
      <c r="G100" s="35"/>
      <c r="K100" s="28"/>
    </row>
    <row r="101" spans="1:11" x14ac:dyDescent="0.25">
      <c r="A101" s="6"/>
      <c r="K101" s="28"/>
    </row>
    <row r="102" spans="1:11" x14ac:dyDescent="0.25">
      <c r="A102" s="12" t="s">
        <v>88</v>
      </c>
      <c r="K102" s="28"/>
    </row>
    <row r="103" spans="1:11" x14ac:dyDescent="0.25">
      <c r="A103" s="103" t="s">
        <v>89</v>
      </c>
      <c r="B103" s="102" t="s">
        <v>92</v>
      </c>
      <c r="C103" s="104">
        <v>10</v>
      </c>
      <c r="D103" s="53">
        <v>30</v>
      </c>
      <c r="E103" s="54">
        <v>15</v>
      </c>
      <c r="K103" s="28"/>
    </row>
    <row r="104" spans="1:11" x14ac:dyDescent="0.25">
      <c r="A104" s="68" t="s">
        <v>90</v>
      </c>
      <c r="B104" s="64" t="s">
        <v>91</v>
      </c>
      <c r="C104" s="105">
        <v>5</v>
      </c>
      <c r="D104" s="59">
        <v>-15</v>
      </c>
      <c r="E104" s="61">
        <v>10</v>
      </c>
      <c r="F104" s="28">
        <v>1E-3</v>
      </c>
      <c r="K104" s="28"/>
    </row>
    <row r="105" spans="1:11" x14ac:dyDescent="0.25">
      <c r="A105" s="106" t="s">
        <v>93</v>
      </c>
      <c r="B105" s="62">
        <v>20000000</v>
      </c>
      <c r="C105" s="62"/>
      <c r="D105" s="62"/>
      <c r="E105" s="63"/>
      <c r="K105" s="35"/>
    </row>
    <row r="106" spans="1:11" x14ac:dyDescent="0.25">
      <c r="A106" s="6"/>
      <c r="K106" s="35"/>
    </row>
    <row r="107" spans="1:11" ht="13.8" thickBot="1" x14ac:dyDescent="0.3">
      <c r="A107" s="6"/>
      <c r="K107" s="35"/>
    </row>
    <row r="108" spans="1:11" ht="13.8" thickBot="1" x14ac:dyDescent="0.3">
      <c r="A108" s="149" t="s">
        <v>33</v>
      </c>
      <c r="B108" s="150"/>
      <c r="C108" s="151" t="s">
        <v>34</v>
      </c>
      <c r="D108" s="152"/>
      <c r="E108" s="76"/>
      <c r="F108" s="77"/>
      <c r="G108" s="153" t="s">
        <v>94</v>
      </c>
      <c r="K108" s="35"/>
    </row>
    <row r="109" spans="1:11" ht="13.8" thickBot="1" x14ac:dyDescent="0.3">
      <c r="A109" s="1" t="s">
        <v>35</v>
      </c>
      <c r="B109" s="16" t="s">
        <v>36</v>
      </c>
      <c r="C109" s="15" t="s">
        <v>35</v>
      </c>
      <c r="D109" s="2" t="s">
        <v>36</v>
      </c>
      <c r="E109" s="81" t="s">
        <v>27</v>
      </c>
      <c r="F109" s="82" t="s">
        <v>28</v>
      </c>
      <c r="G109" s="154"/>
      <c r="K109" s="35"/>
    </row>
    <row r="110" spans="1:11" x14ac:dyDescent="0.25">
      <c r="A110" s="85">
        <v>0</v>
      </c>
      <c r="B110" s="99">
        <v>0</v>
      </c>
      <c r="C110" s="32">
        <v>0</v>
      </c>
      <c r="D110" s="117">
        <f t="array" ref="D110:F134">csplinea(A110:A116,B110:B116,C110:C134)</f>
        <v>0</v>
      </c>
      <c r="E110" s="118">
        <v>1.5017182130584194E-3</v>
      </c>
      <c r="F110" s="119">
        <v>0</v>
      </c>
      <c r="G110" s="120">
        <f>+F110*$B$105</f>
        <v>0</v>
      </c>
      <c r="K110" s="35"/>
    </row>
    <row r="111" spans="1:11" x14ac:dyDescent="0.25">
      <c r="A111" s="86">
        <f>+C103/2</f>
        <v>5</v>
      </c>
      <c r="B111" s="100">
        <f>+C104*$F$104</f>
        <v>5.0000000000000001E-3</v>
      </c>
      <c r="C111" s="33">
        <f>+C110+$C$103/8</f>
        <v>1.25</v>
      </c>
      <c r="D111" s="121">
        <v>1.8379510309278352E-3</v>
      </c>
      <c r="E111" s="122">
        <v>1.4076460481099657E-3</v>
      </c>
      <c r="F111" s="123">
        <v>-1.5051546391752578E-4</v>
      </c>
      <c r="G111" s="124">
        <f t="shared" ref="G111:G134" si="1">+F111*$B$105</f>
        <v>-3010.3092783505153</v>
      </c>
    </row>
    <row r="112" spans="1:11" x14ac:dyDescent="0.25">
      <c r="A112" s="86">
        <f>+A111+A111</f>
        <v>10</v>
      </c>
      <c r="B112" s="101">
        <v>0</v>
      </c>
      <c r="C112" s="33">
        <f t="shared" ref="C112:C118" si="2">+C111+$C$103/8</f>
        <v>2.5</v>
      </c>
      <c r="D112" s="121">
        <v>3.4407216494845363E-3</v>
      </c>
      <c r="E112" s="122">
        <v>1.125429553264605E-3</v>
      </c>
      <c r="F112" s="123">
        <v>-3.0103092783505156E-4</v>
      </c>
      <c r="G112" s="124">
        <f t="shared" si="1"/>
        <v>-6020.6185567010307</v>
      </c>
    </row>
    <row r="113" spans="1:11" x14ac:dyDescent="0.25">
      <c r="A113" s="86">
        <f>+A112+$D$103/2</f>
        <v>25</v>
      </c>
      <c r="B113" s="101">
        <f>+D104*$F$104</f>
        <v>-1.4999999999999999E-2</v>
      </c>
      <c r="C113" s="33">
        <f t="shared" si="2"/>
        <v>3.75</v>
      </c>
      <c r="D113" s="121">
        <v>4.5731314432989698E-3</v>
      </c>
      <c r="E113" s="122">
        <v>6.5506872852233683E-4</v>
      </c>
      <c r="F113" s="123">
        <v>-4.5154639175257736E-4</v>
      </c>
      <c r="G113" s="124">
        <f t="shared" si="1"/>
        <v>-9030.9278350515469</v>
      </c>
    </row>
    <row r="114" spans="1:11" x14ac:dyDescent="0.25">
      <c r="A114" s="86">
        <f>+A113+$D$103/2</f>
        <v>40</v>
      </c>
      <c r="B114" s="101">
        <v>0</v>
      </c>
      <c r="C114" s="33">
        <f t="shared" si="2"/>
        <v>5</v>
      </c>
      <c r="D114" s="121">
        <v>5.0000000000000001E-3</v>
      </c>
      <c r="E114" s="122">
        <v>-3.4364261168385365E-6</v>
      </c>
      <c r="F114" s="123">
        <v>-6.0206185567010311E-4</v>
      </c>
      <c r="G114" s="124">
        <f t="shared" si="1"/>
        <v>-12041.237113402061</v>
      </c>
    </row>
    <row r="115" spans="1:11" x14ac:dyDescent="0.25">
      <c r="A115" s="86">
        <f>+A114+$E$103/2</f>
        <v>47.5</v>
      </c>
      <c r="B115" s="101">
        <f>+E104*$F$104</f>
        <v>0.01</v>
      </c>
      <c r="C115" s="33">
        <f t="shared" si="2"/>
        <v>6.25</v>
      </c>
      <c r="D115" s="121">
        <v>4.5650773195876288E-3</v>
      </c>
      <c r="E115" s="122">
        <v>-6.6065292096219937E-4</v>
      </c>
      <c r="F115" s="123">
        <v>-4.4948453608247425E-4</v>
      </c>
      <c r="G115" s="124">
        <f t="shared" si="1"/>
        <v>-8989.6907216494856</v>
      </c>
      <c r="I115" s="28"/>
      <c r="K115" s="28"/>
    </row>
    <row r="116" spans="1:11" x14ac:dyDescent="0.25">
      <c r="A116" s="86">
        <f>+A115+$E$103/2</f>
        <v>55</v>
      </c>
      <c r="B116" s="101">
        <v>0</v>
      </c>
      <c r="C116" s="33">
        <f t="shared" si="2"/>
        <v>7.5</v>
      </c>
      <c r="D116" s="121">
        <v>3.4278350515463919E-3</v>
      </c>
      <c r="E116" s="122">
        <v>-1.1271477663230241E-3</v>
      </c>
      <c r="F116" s="123">
        <v>-2.9690721649484533E-4</v>
      </c>
      <c r="G116" s="124">
        <f t="shared" si="1"/>
        <v>-5938.144329896907</v>
      </c>
      <c r="I116" s="28"/>
      <c r="K116" s="28"/>
    </row>
    <row r="117" spans="1:11" x14ac:dyDescent="0.25">
      <c r="A117" s="86"/>
      <c r="B117" s="87"/>
      <c r="C117" s="33">
        <f t="shared" si="2"/>
        <v>8.75</v>
      </c>
      <c r="D117" s="121">
        <v>1.8266752577319589E-3</v>
      </c>
      <c r="E117" s="122">
        <v>-1.4029209621993128E-3</v>
      </c>
      <c r="F117" s="123">
        <v>-1.4432989690721647E-4</v>
      </c>
      <c r="G117" s="124">
        <f t="shared" si="1"/>
        <v>-2886.5979381443294</v>
      </c>
      <c r="I117" s="28"/>
      <c r="K117" s="28"/>
    </row>
    <row r="118" spans="1:11" x14ac:dyDescent="0.25">
      <c r="A118" s="86"/>
      <c r="B118" s="87"/>
      <c r="C118" s="33">
        <f t="shared" si="2"/>
        <v>10</v>
      </c>
      <c r="D118" s="121">
        <v>0</v>
      </c>
      <c r="E118" s="122">
        <v>-1.4879725085910653E-3</v>
      </c>
      <c r="F118" s="123">
        <v>8.2474226804123781E-6</v>
      </c>
      <c r="G118" s="124">
        <f t="shared" si="1"/>
        <v>164.94845360824758</v>
      </c>
      <c r="I118" s="28"/>
      <c r="K118" s="28"/>
    </row>
    <row r="119" spans="1:11" x14ac:dyDescent="0.25">
      <c r="A119" s="86"/>
      <c r="B119" s="87"/>
      <c r="C119" s="33">
        <f>+C118+$D$103/8</f>
        <v>13.75</v>
      </c>
      <c r="D119" s="121">
        <v>-5.422036082474227E-3</v>
      </c>
      <c r="E119" s="122">
        <v>-1.3771477663230239E-3</v>
      </c>
      <c r="F119" s="123">
        <v>5.0859106529209623E-5</v>
      </c>
      <c r="G119" s="124">
        <f t="shared" si="1"/>
        <v>1017.1821305841925</v>
      </c>
      <c r="I119" s="28"/>
      <c r="K119" s="28"/>
    </row>
    <row r="120" spans="1:11" x14ac:dyDescent="0.25">
      <c r="A120" s="86"/>
      <c r="B120" s="87"/>
      <c r="C120" s="33">
        <f t="shared" ref="C120:C126" si="3">+C119+$D$103/8</f>
        <v>17.5</v>
      </c>
      <c r="D120" s="121">
        <v>-1.0128865979381443E-2</v>
      </c>
      <c r="E120" s="122">
        <v>-1.1065292096219931E-3</v>
      </c>
      <c r="F120" s="123">
        <v>9.347079037800687E-5</v>
      </c>
      <c r="G120" s="124">
        <f t="shared" si="1"/>
        <v>1869.4158075601374</v>
      </c>
      <c r="I120" s="28"/>
      <c r="K120" s="28"/>
    </row>
    <row r="121" spans="1:11" x14ac:dyDescent="0.25">
      <c r="A121" s="13"/>
      <c r="B121" s="30"/>
      <c r="C121" s="33">
        <f t="shared" si="3"/>
        <v>21.25</v>
      </c>
      <c r="D121" s="121">
        <v>-1.3521262886597938E-2</v>
      </c>
      <c r="E121" s="122">
        <v>-6.7611683848797246E-4</v>
      </c>
      <c r="F121" s="123">
        <v>1.3608247422680411E-4</v>
      </c>
      <c r="G121" s="124">
        <f t="shared" si="1"/>
        <v>2721.6494845360821</v>
      </c>
      <c r="I121" s="28"/>
      <c r="K121" s="28"/>
    </row>
    <row r="122" spans="1:11" x14ac:dyDescent="0.25">
      <c r="A122" s="13"/>
      <c r="B122" s="30"/>
      <c r="C122" s="33">
        <f t="shared" si="3"/>
        <v>25</v>
      </c>
      <c r="D122" s="121">
        <v>-1.4999999999999999E-2</v>
      </c>
      <c r="E122" s="122">
        <v>-8.5910652920962111E-5</v>
      </c>
      <c r="F122" s="123">
        <v>1.7869415807560138E-4</v>
      </c>
      <c r="G122" s="124">
        <f t="shared" si="1"/>
        <v>3573.8831615120275</v>
      </c>
      <c r="I122" s="28"/>
      <c r="K122" s="28"/>
    </row>
    <row r="123" spans="1:11" x14ac:dyDescent="0.25">
      <c r="A123" s="13"/>
      <c r="B123" s="30"/>
      <c r="C123" s="33">
        <f t="shared" si="3"/>
        <v>28.75</v>
      </c>
      <c r="D123" s="121">
        <v>-1.4125322164948453E-2</v>
      </c>
      <c r="E123" s="122">
        <v>5.3651202749140905E-4</v>
      </c>
      <c r="F123" s="123">
        <v>1.5326460481099657E-4</v>
      </c>
      <c r="G123" s="124">
        <f t="shared" si="1"/>
        <v>3065.2920962199314</v>
      </c>
      <c r="I123" s="28"/>
      <c r="K123" s="28"/>
    </row>
    <row r="124" spans="1:11" x14ac:dyDescent="0.25">
      <c r="A124" s="13"/>
      <c r="B124" s="30"/>
      <c r="C124" s="33">
        <f t="shared" si="3"/>
        <v>32.5</v>
      </c>
      <c r="D124" s="121">
        <v>-1.1095360824742266E-2</v>
      </c>
      <c r="E124" s="122">
        <v>1.0635738831615122E-3</v>
      </c>
      <c r="F124" s="123">
        <v>1.2783505154639175E-4</v>
      </c>
      <c r="G124" s="124">
        <f t="shared" si="1"/>
        <v>2556.7010309278348</v>
      </c>
      <c r="I124" s="28"/>
      <c r="K124" s="28"/>
    </row>
    <row r="125" spans="1:11" x14ac:dyDescent="0.25">
      <c r="A125" s="13"/>
      <c r="B125" s="30"/>
      <c r="C125" s="33">
        <f t="shared" si="3"/>
        <v>36.25</v>
      </c>
      <c r="D125" s="121">
        <v>-6.2677190721649473E-3</v>
      </c>
      <c r="E125" s="122">
        <v>1.4952749140893472E-3</v>
      </c>
      <c r="F125" s="123">
        <v>1.0240549828178695E-4</v>
      </c>
      <c r="G125" s="124">
        <f t="shared" si="1"/>
        <v>2048.1099656357387</v>
      </c>
      <c r="I125" s="28"/>
      <c r="K125" s="28"/>
    </row>
    <row r="126" spans="1:11" x14ac:dyDescent="0.25">
      <c r="A126" s="13"/>
      <c r="B126" s="30"/>
      <c r="C126" s="33">
        <f t="shared" si="3"/>
        <v>40</v>
      </c>
      <c r="D126" s="121">
        <v>0</v>
      </c>
      <c r="E126" s="122">
        <v>1.8316151202749141E-3</v>
      </c>
      <c r="F126" s="123">
        <v>7.697594501718213E-5</v>
      </c>
      <c r="G126" s="124">
        <f t="shared" si="1"/>
        <v>1539.5189003436426</v>
      </c>
      <c r="I126" s="28"/>
      <c r="K126" s="28"/>
    </row>
    <row r="127" spans="1:11" x14ac:dyDescent="0.25">
      <c r="A127" s="13"/>
      <c r="B127" s="30"/>
      <c r="C127" s="33">
        <f>+C126+$E$103/8</f>
        <v>41.875</v>
      </c>
      <c r="D127" s="121">
        <v>3.4773679123711342E-3</v>
      </c>
      <c r="E127" s="122">
        <v>1.828393470790378E-3</v>
      </c>
      <c r="F127" s="123">
        <v>-8.0412371134020612E-5</v>
      </c>
      <c r="G127" s="124">
        <f t="shared" si="1"/>
        <v>-1608.2474226804122</v>
      </c>
      <c r="I127" s="28"/>
      <c r="K127" s="28"/>
    </row>
    <row r="128" spans="1:11" x14ac:dyDescent="0.25">
      <c r="A128" s="13"/>
      <c r="B128" s="30"/>
      <c r="C128" s="33">
        <f t="shared" ref="C128:C134" si="4">+C127+$E$103/8</f>
        <v>43.75</v>
      </c>
      <c r="D128" s="121">
        <v>6.6720360824742272E-3</v>
      </c>
      <c r="E128" s="122">
        <v>1.5300687285223367E-3</v>
      </c>
      <c r="F128" s="123">
        <v>-2.3780068728522337E-4</v>
      </c>
      <c r="G128" s="124">
        <f t="shared" si="1"/>
        <v>-4756.0137457044675</v>
      </c>
      <c r="I128" s="28"/>
      <c r="K128" s="28"/>
    </row>
    <row r="129" spans="1:15" x14ac:dyDescent="0.25">
      <c r="A129" s="13"/>
      <c r="B129" s="30"/>
      <c r="C129" s="33">
        <f t="shared" si="4"/>
        <v>45.625</v>
      </c>
      <c r="D129" s="121">
        <v>9.0306862113402071E-3</v>
      </c>
      <c r="E129" s="122">
        <v>9.3664089347079039E-4</v>
      </c>
      <c r="F129" s="123">
        <v>-3.9518900343642611E-4</v>
      </c>
      <c r="G129" s="124">
        <f t="shared" si="1"/>
        <v>-7903.7800687285226</v>
      </c>
      <c r="I129" s="28"/>
      <c r="K129" s="28"/>
    </row>
    <row r="130" spans="1:15" x14ac:dyDescent="0.25">
      <c r="A130" s="13"/>
      <c r="B130" s="30"/>
      <c r="C130" s="33">
        <f t="shared" si="4"/>
        <v>47.5</v>
      </c>
      <c r="D130" s="121">
        <v>0.01</v>
      </c>
      <c r="E130" s="122">
        <v>4.810996563573886E-5</v>
      </c>
      <c r="F130" s="123">
        <v>-5.5257731958762888E-4</v>
      </c>
      <c r="G130" s="124">
        <f t="shared" si="1"/>
        <v>-11051.546391752578</v>
      </c>
      <c r="I130" s="28"/>
      <c r="K130" s="28"/>
    </row>
    <row r="131" spans="1:15" x14ac:dyDescent="0.25">
      <c r="A131" s="13"/>
      <c r="B131" s="30"/>
      <c r="C131" s="33">
        <f t="shared" si="4"/>
        <v>49.375</v>
      </c>
      <c r="D131" s="121">
        <v>9.1998228092783508E-3</v>
      </c>
      <c r="E131" s="122">
        <v>-8.5846219931271482E-4</v>
      </c>
      <c r="F131" s="123">
        <v>-4.1443298969072169E-4</v>
      </c>
      <c r="G131" s="124">
        <f t="shared" si="1"/>
        <v>-8288.6597938144332</v>
      </c>
      <c r="I131" s="28"/>
      <c r="K131" s="28"/>
    </row>
    <row r="132" spans="1:15" x14ac:dyDescent="0.25">
      <c r="A132" s="13"/>
      <c r="B132" s="30"/>
      <c r="C132" s="33">
        <f t="shared" si="4"/>
        <v>51.25</v>
      </c>
      <c r="D132" s="121">
        <v>6.9426546391752574E-3</v>
      </c>
      <c r="E132" s="122">
        <v>-1.5060137457044674E-3</v>
      </c>
      <c r="F132" s="123">
        <v>-2.7628865979381444E-4</v>
      </c>
      <c r="G132" s="124">
        <f t="shared" si="1"/>
        <v>-5525.7731958762888</v>
      </c>
      <c r="I132" s="28"/>
      <c r="K132" s="28"/>
    </row>
    <row r="133" spans="1:15" x14ac:dyDescent="0.25">
      <c r="A133" s="13"/>
      <c r="B133" s="30"/>
      <c r="C133" s="33">
        <f t="shared" si="4"/>
        <v>53.125</v>
      </c>
      <c r="D133" s="121">
        <v>3.7141591494845366E-3</v>
      </c>
      <c r="E133" s="122">
        <v>-1.894544673539519E-3</v>
      </c>
      <c r="F133" s="123">
        <v>-1.3814432989690725E-4</v>
      </c>
      <c r="G133" s="124">
        <f t="shared" si="1"/>
        <v>-2762.8865979381449</v>
      </c>
      <c r="I133" s="28"/>
      <c r="K133" s="28"/>
    </row>
    <row r="134" spans="1:15" x14ac:dyDescent="0.25">
      <c r="A134" s="13"/>
      <c r="B134" s="30"/>
      <c r="C134" s="33">
        <f t="shared" si="4"/>
        <v>55</v>
      </c>
      <c r="D134" s="121">
        <v>0</v>
      </c>
      <c r="E134" s="122">
        <v>-2.0240549828178696E-3</v>
      </c>
      <c r="F134" s="123">
        <v>-2.3716922523120409E-20</v>
      </c>
      <c r="G134" s="124">
        <f t="shared" si="1"/>
        <v>-4.7433845046240819E-13</v>
      </c>
      <c r="H134" s="9"/>
      <c r="I134" s="9"/>
      <c r="K134" s="28"/>
    </row>
    <row r="135" spans="1:15" ht="13.8" thickBot="1" x14ac:dyDescent="0.3">
      <c r="A135" s="14"/>
      <c r="B135" s="31"/>
      <c r="C135" s="34"/>
      <c r="D135" s="92"/>
      <c r="E135" s="96"/>
      <c r="F135" s="97"/>
      <c r="G135" s="98"/>
    </row>
    <row r="137" spans="1:15" x14ac:dyDescent="0.25">
      <c r="A137" s="12" t="s">
        <v>97</v>
      </c>
      <c r="I137" s="28"/>
      <c r="K137" s="28"/>
    </row>
    <row r="138" spans="1:15" ht="13.8" thickBot="1" x14ac:dyDescent="0.3">
      <c r="E138" s="93"/>
    </row>
    <row r="139" spans="1:15" ht="13.8" thickBot="1" x14ac:dyDescent="0.3">
      <c r="B139" s="25" t="s">
        <v>0</v>
      </c>
      <c r="C139" s="88" t="s">
        <v>4</v>
      </c>
      <c r="D139" s="89" t="s">
        <v>6</v>
      </c>
      <c r="E139" s="89" t="s">
        <v>7</v>
      </c>
      <c r="F139" s="89" t="s">
        <v>8</v>
      </c>
      <c r="G139" s="89" t="s">
        <v>1</v>
      </c>
      <c r="H139" s="90" t="s">
        <v>5</v>
      </c>
      <c r="I139" s="26" t="s">
        <v>3</v>
      </c>
    </row>
    <row r="140" spans="1:15" x14ac:dyDescent="0.25">
      <c r="B140" s="125">
        <f t="array" ref="B140:I146">csplinea(A110:A116,B110:B116,C110:C134,2)</f>
        <v>5</v>
      </c>
      <c r="C140" s="129">
        <v>0</v>
      </c>
      <c r="D140" s="127">
        <v>1</v>
      </c>
      <c r="E140" s="127">
        <v>0</v>
      </c>
      <c r="F140" s="129">
        <v>0</v>
      </c>
      <c r="G140" s="129">
        <v>1.5017182130584194E-3</v>
      </c>
      <c r="H140" s="129">
        <v>0</v>
      </c>
      <c r="I140" s="117">
        <v>-2.0068728522336772E-5</v>
      </c>
    </row>
    <row r="141" spans="1:15" x14ac:dyDescent="0.25">
      <c r="B141" s="126">
        <v>5</v>
      </c>
      <c r="C141" s="130">
        <v>-6.0000000000000001E-3</v>
      </c>
      <c r="D141" s="128">
        <v>20</v>
      </c>
      <c r="E141" s="128">
        <v>0.25</v>
      </c>
      <c r="F141" s="130">
        <v>-3.0000000000000003E-4</v>
      </c>
      <c r="G141" s="130">
        <v>-3.4364261168385365E-6</v>
      </c>
      <c r="H141" s="130">
        <v>-3.0103092783505156E-4</v>
      </c>
      <c r="I141" s="121">
        <v>2.0343642611683851E-5</v>
      </c>
      <c r="O141" s="9"/>
    </row>
    <row r="142" spans="1:15" x14ac:dyDescent="0.25">
      <c r="B142" s="126">
        <v>15</v>
      </c>
      <c r="C142" s="130">
        <v>0</v>
      </c>
      <c r="D142" s="128">
        <v>38.75</v>
      </c>
      <c r="E142" s="128">
        <v>0.38709677419354838</v>
      </c>
      <c r="F142" s="130">
        <v>3.8709677419354842E-5</v>
      </c>
      <c r="G142" s="130">
        <v>-1.4879725085910653E-3</v>
      </c>
      <c r="H142" s="130">
        <v>4.1237113402061891E-6</v>
      </c>
      <c r="I142" s="121">
        <v>1.8938526155020999E-6</v>
      </c>
    </row>
    <row r="143" spans="1:15" x14ac:dyDescent="0.25">
      <c r="B143" s="126">
        <v>15</v>
      </c>
      <c r="C143" s="130">
        <v>6.0000000000000001E-3</v>
      </c>
      <c r="D143" s="128">
        <v>54.193548387096776</v>
      </c>
      <c r="E143" s="128">
        <v>0.2767857142857143</v>
      </c>
      <c r="F143" s="130">
        <v>1E-4</v>
      </c>
      <c r="G143" s="130">
        <v>-8.5910652920962111E-5</v>
      </c>
      <c r="H143" s="130">
        <v>8.9347079037800688E-5</v>
      </c>
      <c r="I143" s="121">
        <v>-1.1302023673157694E-6</v>
      </c>
    </row>
    <row r="144" spans="1:15" x14ac:dyDescent="0.25">
      <c r="B144" s="126">
        <v>7.5</v>
      </c>
      <c r="C144" s="130">
        <v>1E-3</v>
      </c>
      <c r="D144" s="128">
        <v>40.848214285714285</v>
      </c>
      <c r="E144" s="128">
        <v>0.18360655737704917</v>
      </c>
      <c r="F144" s="130">
        <v>-1.2240437158469947E-5</v>
      </c>
      <c r="G144" s="130">
        <v>1.8316151202749141E-3</v>
      </c>
      <c r="H144" s="130">
        <v>3.8487972508591065E-5</v>
      </c>
      <c r="I144" s="121">
        <v>-1.3990072546773578E-5</v>
      </c>
    </row>
    <row r="145" spans="2:18" x14ac:dyDescent="0.25">
      <c r="B145" s="126">
        <v>7.5</v>
      </c>
      <c r="C145" s="130">
        <v>-8.0000000000000002E-3</v>
      </c>
      <c r="D145" s="128">
        <v>28.622950819672131</v>
      </c>
      <c r="E145" s="128">
        <v>0.26202749140893472</v>
      </c>
      <c r="F145" s="130">
        <v>-2.7628865979381444E-4</v>
      </c>
      <c r="G145" s="130">
        <v>4.810996563573886E-5</v>
      </c>
      <c r="H145" s="130">
        <v>-2.7628865979381444E-4</v>
      </c>
      <c r="I145" s="121">
        <v>1.2279495990836197E-5</v>
      </c>
      <c r="O145" s="28"/>
      <c r="Q145" s="28"/>
      <c r="R145" s="28"/>
    </row>
    <row r="146" spans="2:18" x14ac:dyDescent="0.25">
      <c r="B146" s="126">
        <v>0</v>
      </c>
      <c r="C146" s="130">
        <v>0</v>
      </c>
      <c r="D146" s="128">
        <v>1</v>
      </c>
      <c r="E146" s="128">
        <v>0</v>
      </c>
      <c r="F146" s="130">
        <v>0</v>
      </c>
      <c r="G146" s="130">
        <v>0</v>
      </c>
      <c r="H146" s="130">
        <v>0</v>
      </c>
      <c r="I146" s="121">
        <v>0</v>
      </c>
      <c r="O146" s="28"/>
      <c r="Q146" s="28"/>
    </row>
    <row r="147" spans="2:18" ht="13.8" thickBot="1" x14ac:dyDescent="0.3">
      <c r="B147" s="14"/>
      <c r="C147" s="31"/>
      <c r="D147" s="31"/>
      <c r="E147" s="31"/>
      <c r="F147" s="31"/>
      <c r="G147" s="31"/>
      <c r="H147" s="31"/>
      <c r="I147" s="80"/>
      <c r="O147" s="28"/>
    </row>
    <row r="148" spans="2:18" x14ac:dyDescent="0.25">
      <c r="O148" s="28"/>
    </row>
  </sheetData>
  <mergeCells count="9">
    <mergeCell ref="A108:B108"/>
    <mergeCell ref="C108:D108"/>
    <mergeCell ref="G108:G109"/>
    <mergeCell ref="A33:B33"/>
    <mergeCell ref="C33:D33"/>
    <mergeCell ref="E33:F33"/>
    <mergeCell ref="G33:H33"/>
    <mergeCell ref="A60:B60"/>
    <mergeCell ref="C60:D60"/>
  </mergeCells>
  <phoneticPr fontId="2" type="noConversion"/>
  <printOptions gridLines="1" gridLinesSet="0"/>
  <pageMargins left="0.75" right="0.75" top="1" bottom="1" header="0.5" footer="0.5"/>
  <pageSetup orientation="portrait" horizontalDpi="300" verticalDpi="200"/>
  <headerFooter alignWithMargins="0">
    <oddHeader>&amp;A</oddHeader>
    <oddFooter>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W42"/>
  <sheetViews>
    <sheetView workbookViewId="0">
      <selection activeCell="M35" sqref="M35"/>
    </sheetView>
  </sheetViews>
  <sheetFormatPr defaultRowHeight="13.2" x14ac:dyDescent="0.25"/>
  <cols>
    <col min="14" max="15" width="9.44140625" bestFit="1" customWidth="1"/>
    <col min="16" max="16" width="12.44140625" bestFit="1" customWidth="1"/>
    <col min="17" max="18" width="9.33203125" bestFit="1" customWidth="1"/>
    <col min="19" max="19" width="11.6640625" bestFit="1" customWidth="1"/>
    <col min="20" max="20" width="9.33203125" bestFit="1" customWidth="1"/>
    <col min="21" max="21" width="11.5546875" bestFit="1" customWidth="1"/>
  </cols>
  <sheetData>
    <row r="2" spans="1:1" ht="15.6" x14ac:dyDescent="0.3">
      <c r="A2" s="51" t="s">
        <v>71</v>
      </c>
    </row>
    <row r="3" spans="1:1" x14ac:dyDescent="0.25">
      <c r="A3" s="52" t="s">
        <v>72</v>
      </c>
    </row>
    <row r="32" spans="11:23" x14ac:dyDescent="0.25">
      <c r="K32" s="5"/>
      <c r="N32" s="5"/>
      <c r="O32" s="5"/>
      <c r="P32" s="5"/>
      <c r="Q32" s="5"/>
      <c r="R32" s="5"/>
      <c r="S32" s="5"/>
      <c r="T32" s="5"/>
      <c r="U32" s="5"/>
      <c r="W32" s="5"/>
    </row>
    <row r="38" spans="11:23" x14ac:dyDescent="0.25">
      <c r="T38" s="5"/>
      <c r="U38" s="5"/>
      <c r="W38" s="10"/>
    </row>
    <row r="42" spans="11:23" x14ac:dyDescent="0.25">
      <c r="K42" s="5"/>
      <c r="L42" s="5"/>
    </row>
  </sheetData>
  <hyperlinks>
    <hyperlink ref="A3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4"/>
  <sheetViews>
    <sheetView workbookViewId="0">
      <selection activeCell="F17" sqref="F17"/>
    </sheetView>
  </sheetViews>
  <sheetFormatPr defaultRowHeight="13.2" x14ac:dyDescent="0.25"/>
  <sheetData>
    <row r="1" spans="1:10" ht="15.6" x14ac:dyDescent="0.3">
      <c r="A1" s="36" t="s">
        <v>45</v>
      </c>
      <c r="B1" s="37"/>
      <c r="C1" s="37"/>
      <c r="D1" s="37"/>
      <c r="E1" s="37"/>
    </row>
    <row r="2" spans="1:10" ht="15.6" x14ac:dyDescent="0.3">
      <c r="A2" s="36" t="s">
        <v>46</v>
      </c>
      <c r="B2" s="37"/>
      <c r="C2" s="37"/>
      <c r="D2" s="37"/>
      <c r="E2" s="37"/>
    </row>
    <row r="3" spans="1:10" ht="15.6" x14ac:dyDescent="0.3">
      <c r="A3" s="36" t="s">
        <v>47</v>
      </c>
      <c r="B3" s="37"/>
      <c r="C3" s="37"/>
      <c r="D3" s="37"/>
      <c r="E3" s="37"/>
    </row>
    <row r="4" spans="1:10" ht="15.6" x14ac:dyDescent="0.3">
      <c r="A4" s="36" t="s">
        <v>48</v>
      </c>
      <c r="B4" s="37"/>
      <c r="C4" s="37"/>
      <c r="D4" s="37"/>
      <c r="E4" s="37"/>
    </row>
    <row r="5" spans="1:10" ht="15.6" x14ac:dyDescent="0.3">
      <c r="A5" s="36" t="s">
        <v>49</v>
      </c>
      <c r="B5" s="37"/>
      <c r="C5" s="37"/>
      <c r="D5" s="37"/>
      <c r="E5" s="37"/>
      <c r="J5" s="9"/>
    </row>
    <row r="6" spans="1:10" ht="15.6" x14ac:dyDescent="0.3">
      <c r="A6" s="36"/>
      <c r="B6" s="37"/>
      <c r="C6" s="37"/>
      <c r="D6" s="37"/>
      <c r="E6" s="37"/>
      <c r="J6" s="9"/>
    </row>
    <row r="7" spans="1:10" ht="15.6" x14ac:dyDescent="0.3">
      <c r="A7" s="36" t="s">
        <v>50</v>
      </c>
      <c r="B7" s="37"/>
      <c r="C7" s="37"/>
      <c r="D7" s="37"/>
      <c r="E7" s="37"/>
      <c r="J7" s="9"/>
    </row>
    <row r="8" spans="1:10" ht="15.6" x14ac:dyDescent="0.3">
      <c r="A8" s="36" t="s">
        <v>51</v>
      </c>
      <c r="B8" s="37"/>
      <c r="C8" s="37"/>
      <c r="D8" s="37"/>
      <c r="E8" s="37"/>
      <c r="J8" s="9"/>
    </row>
    <row r="9" spans="1:10" ht="15.6" x14ac:dyDescent="0.3">
      <c r="A9" s="36" t="s">
        <v>52</v>
      </c>
      <c r="B9" s="37"/>
      <c r="C9" s="37"/>
      <c r="D9" s="37"/>
      <c r="E9" s="37"/>
      <c r="J9" s="9"/>
    </row>
    <row r="10" spans="1:10" ht="15.6" x14ac:dyDescent="0.3">
      <c r="A10" s="36" t="s">
        <v>53</v>
      </c>
      <c r="B10" s="37"/>
      <c r="C10" s="37"/>
      <c r="D10" s="37"/>
      <c r="E10" s="37"/>
      <c r="J10" s="9"/>
    </row>
    <row r="11" spans="1:10" ht="15.6" x14ac:dyDescent="0.3">
      <c r="A11" s="36"/>
      <c r="B11" s="37"/>
      <c r="C11" s="37"/>
      <c r="D11" s="37"/>
      <c r="E11" s="37"/>
      <c r="J11" s="9"/>
    </row>
    <row r="12" spans="1:10" ht="15.6" x14ac:dyDescent="0.3">
      <c r="A12" s="36" t="s">
        <v>54</v>
      </c>
      <c r="B12" s="37"/>
      <c r="C12" s="37"/>
      <c r="D12" s="37"/>
      <c r="E12" s="37"/>
      <c r="J12" s="9"/>
    </row>
    <row r="13" spans="1:10" ht="15.6" x14ac:dyDescent="0.3">
      <c r="A13" s="38" t="s">
        <v>55</v>
      </c>
      <c r="B13" s="37"/>
      <c r="C13" s="37"/>
      <c r="D13" s="37"/>
      <c r="E13" s="37"/>
      <c r="J13" s="9"/>
    </row>
    <row r="14" spans="1:10" ht="15.6" x14ac:dyDescent="0.3">
      <c r="A14" s="36" t="s">
        <v>56</v>
      </c>
      <c r="B14" s="37"/>
      <c r="C14" s="37"/>
      <c r="D14" s="37"/>
      <c r="E14" s="37"/>
      <c r="J14" s="9"/>
    </row>
    <row r="15" spans="1:10" ht="15.6" x14ac:dyDescent="0.3">
      <c r="A15" s="36"/>
      <c r="B15" s="37"/>
      <c r="C15" s="37"/>
      <c r="D15" s="37"/>
      <c r="E15" s="37"/>
    </row>
    <row r="16" spans="1:10" ht="15" x14ac:dyDescent="0.25">
      <c r="A16" s="39" t="s">
        <v>57</v>
      </c>
      <c r="B16" s="39"/>
      <c r="C16" s="39"/>
      <c r="D16" s="39"/>
      <c r="E16" s="39"/>
    </row>
    <row r="17" spans="1:29" ht="15" x14ac:dyDescent="0.25">
      <c r="A17" s="40" t="s">
        <v>58</v>
      </c>
      <c r="B17" s="37"/>
      <c r="C17" s="37"/>
      <c r="D17" s="37"/>
      <c r="E17" s="37"/>
    </row>
    <row r="18" spans="1:29" ht="15" x14ac:dyDescent="0.25">
      <c r="A18" s="40" t="s">
        <v>59</v>
      </c>
      <c r="B18" s="37"/>
      <c r="C18" s="37"/>
      <c r="D18" s="37"/>
      <c r="E18" s="41"/>
    </row>
    <row r="19" spans="1:29" ht="15" x14ac:dyDescent="0.25">
      <c r="A19" s="40" t="s">
        <v>70</v>
      </c>
      <c r="B19" s="41"/>
      <c r="C19" s="41"/>
      <c r="D19" s="42"/>
      <c r="E19" s="41"/>
    </row>
    <row r="20" spans="1:29" ht="17.399999999999999" x14ac:dyDescent="0.3">
      <c r="A20" s="43" t="s">
        <v>60</v>
      </c>
      <c r="B20" s="44" t="s">
        <v>61</v>
      </c>
      <c r="C20" s="37"/>
      <c r="D20" s="37"/>
      <c r="E20" s="37"/>
    </row>
    <row r="21" spans="1:29" ht="15" x14ac:dyDescent="0.25">
      <c r="A21" s="45"/>
      <c r="B21" s="37"/>
      <c r="C21" s="37"/>
      <c r="D21" s="37"/>
      <c r="E21" s="37"/>
    </row>
    <row r="22" spans="1:29" ht="15" x14ac:dyDescent="0.25">
      <c r="A22" s="41"/>
      <c r="B22" s="41"/>
      <c r="C22" s="41"/>
      <c r="D22" s="41"/>
      <c r="E22" s="41"/>
    </row>
    <row r="23" spans="1:29" ht="15.6" x14ac:dyDescent="0.3">
      <c r="A23" s="46" t="s">
        <v>62</v>
      </c>
      <c r="B23" s="47"/>
      <c r="C23" s="47"/>
      <c r="D23" s="47"/>
      <c r="E23" s="37"/>
      <c r="V23" s="5"/>
      <c r="W23" s="5"/>
      <c r="X23" s="5"/>
      <c r="Y23" s="5"/>
      <c r="Z23" s="5"/>
      <c r="AA23" s="5"/>
      <c r="AB23" s="5"/>
      <c r="AC23" s="5"/>
    </row>
    <row r="24" spans="1:29" ht="15.6" x14ac:dyDescent="0.3">
      <c r="A24" s="46"/>
      <c r="B24" s="47"/>
      <c r="C24" s="46"/>
      <c r="D24" s="47"/>
      <c r="E24" s="37"/>
      <c r="Y24" s="5"/>
    </row>
    <row r="25" spans="1:29" ht="15.6" x14ac:dyDescent="0.3">
      <c r="A25" s="46" t="s">
        <v>63</v>
      </c>
      <c r="B25" s="47"/>
      <c r="C25" s="48">
        <v>1</v>
      </c>
      <c r="D25" s="49">
        <v>39996</v>
      </c>
      <c r="E25" s="37"/>
      <c r="Y25" s="5"/>
    </row>
    <row r="26" spans="1:29" ht="15.6" x14ac:dyDescent="0.3">
      <c r="A26" s="47"/>
      <c r="B26" s="47"/>
      <c r="C26" s="47"/>
      <c r="D26" s="47"/>
      <c r="E26" s="37"/>
      <c r="Y26" s="5"/>
    </row>
    <row r="27" spans="1:29" ht="15.6" x14ac:dyDescent="0.3">
      <c r="A27" s="46" t="s">
        <v>64</v>
      </c>
      <c r="B27" s="46" t="s">
        <v>65</v>
      </c>
      <c r="C27" s="46" t="s">
        <v>66</v>
      </c>
      <c r="D27" s="46" t="s">
        <v>67</v>
      </c>
      <c r="E27" s="37"/>
      <c r="Y27" s="5"/>
    </row>
    <row r="28" spans="1:29" ht="15.6" x14ac:dyDescent="0.3">
      <c r="A28" s="47"/>
      <c r="B28" s="47"/>
      <c r="C28" s="47"/>
      <c r="D28" s="47"/>
      <c r="E28" s="37"/>
      <c r="Y28" s="5"/>
    </row>
    <row r="29" spans="1:29" ht="15.6" x14ac:dyDescent="0.3">
      <c r="A29" s="48">
        <v>1</v>
      </c>
      <c r="B29" s="49">
        <v>39996</v>
      </c>
      <c r="C29" s="46" t="s">
        <v>68</v>
      </c>
      <c r="D29" s="46" t="s">
        <v>69</v>
      </c>
      <c r="E29" s="37"/>
      <c r="Y29" s="5"/>
    </row>
    <row r="30" spans="1:29" x14ac:dyDescent="0.25">
      <c r="Y30" s="5"/>
    </row>
    <row r="31" spans="1:29" x14ac:dyDescent="0.25">
      <c r="Y31" s="5"/>
    </row>
    <row r="32" spans="1:29" x14ac:dyDescent="0.25">
      <c r="Y32" s="5"/>
    </row>
    <row r="33" spans="25:25" x14ac:dyDescent="0.25">
      <c r="Y33" s="5"/>
    </row>
    <row r="34" spans="25:25" x14ac:dyDescent="0.25">
      <c r="Y34" s="5"/>
    </row>
  </sheetData>
  <hyperlinks>
    <hyperlink ref="A19" r:id="rId1"/>
    <hyperlink ref="A18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chk</vt:lpstr>
      <vt:lpstr>CSpline</vt:lpstr>
      <vt:lpstr>Algorithm</vt:lpstr>
      <vt:lpstr>About</vt:lpstr>
      <vt:lpstr>out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Merck &amp; Co., Inc.</cp:lastModifiedBy>
  <cp:revision>1</cp:revision>
  <dcterms:created xsi:type="dcterms:W3CDTF">2001-03-31T08:29:09Z</dcterms:created>
  <dcterms:modified xsi:type="dcterms:W3CDTF">2013-03-17T00:00:21Z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