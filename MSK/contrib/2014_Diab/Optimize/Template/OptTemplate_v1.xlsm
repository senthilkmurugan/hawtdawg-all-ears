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32" windowWidth="15576" windowHeight="7416" tabRatio="783" activeTab="5"/>
  </bookViews>
  <sheets>
    <sheet name="Info" sheetId="1" r:id="rId1"/>
    <sheet name="Optimization_Scenario" sheetId="6" r:id="rId2"/>
    <sheet name="FT_SCurveEst" sheetId="2" r:id="rId3"/>
    <sheet name="FT_Equation" sheetId="4" r:id="rId4"/>
    <sheet name="FT_Interpolate" sheetId="5" r:id="rId5"/>
    <sheet name="FT_SCurve3Est" sheetId="7" r:id="rId6"/>
    <sheet name="Sheet3" sheetId="3" r:id="rId7"/>
  </sheets>
  <functionGroups builtInGroupCount="17"/>
  <externalReferences>
    <externalReference r:id="rId8"/>
  </externalReferences>
  <calcPr calcId="145621"/>
</workbook>
</file>

<file path=xl/calcChain.xml><?xml version="1.0" encoding="utf-8"?>
<calcChain xmlns="http://schemas.openxmlformats.org/spreadsheetml/2006/main"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22" i="7"/>
  <c r="L12" i="7"/>
  <c r="K12" i="7"/>
  <c r="J12" i="7"/>
  <c r="M12" i="7" s="1"/>
  <c r="I12" i="7"/>
  <c r="G9" i="7"/>
  <c r="F9" i="7"/>
  <c r="D9" i="7" s="1"/>
  <c r="C9" i="7"/>
  <c r="B9" i="7"/>
  <c r="N12" i="7" l="1"/>
  <c r="O12" i="7"/>
  <c r="B41" i="7" l="1"/>
  <c r="B37" i="7"/>
  <c r="B33" i="7"/>
  <c r="B29" i="7"/>
  <c r="B25" i="7"/>
  <c r="B22" i="7"/>
  <c r="B42" i="7"/>
  <c r="C42" i="7" s="1"/>
  <c r="B38" i="7"/>
  <c r="C38" i="7" s="1"/>
  <c r="B34" i="7"/>
  <c r="B30" i="7"/>
  <c r="B26" i="7"/>
  <c r="C26" i="7" s="1"/>
  <c r="B39" i="7"/>
  <c r="C39" i="7" s="1"/>
  <c r="B35" i="7"/>
  <c r="C35" i="7" s="1"/>
  <c r="B31" i="7"/>
  <c r="C31" i="7" s="1"/>
  <c r="B27" i="7"/>
  <c r="C27" i="7" s="1"/>
  <c r="B23" i="7"/>
  <c r="C23" i="7" s="1"/>
  <c r="B40" i="7"/>
  <c r="B36" i="7"/>
  <c r="C36" i="7" s="1"/>
  <c r="B32" i="7"/>
  <c r="C32" i="7" s="1"/>
  <c r="B28" i="7"/>
  <c r="C28" i="7" s="1"/>
  <c r="B24" i="7"/>
  <c r="E9" i="7"/>
  <c r="C29" i="7" l="1"/>
  <c r="C33" i="7"/>
  <c r="C30" i="7"/>
  <c r="C37" i="7"/>
  <c r="C24" i="7"/>
  <c r="C40" i="7"/>
  <c r="C34" i="7"/>
  <c r="C25" i="7"/>
  <c r="C41" i="7"/>
  <c r="B9" i="6" l="1"/>
  <c r="M18" i="6"/>
  <c r="M20" i="6"/>
  <c r="M22" i="6"/>
  <c r="M24" i="6"/>
  <c r="L26" i="6"/>
  <c r="M26" i="6"/>
  <c r="M28" i="6"/>
  <c r="L30" i="6"/>
  <c r="M30" i="6"/>
  <c r="M32" i="6"/>
  <c r="L34" i="6"/>
  <c r="M34" i="6"/>
  <c r="K18" i="6"/>
  <c r="K19" i="6"/>
  <c r="M19" i="6" s="1"/>
  <c r="K20" i="6"/>
  <c r="K21" i="6"/>
  <c r="M21" i="6" s="1"/>
  <c r="K22" i="6"/>
  <c r="K23" i="6"/>
  <c r="M23" i="6" s="1"/>
  <c r="K24" i="6"/>
  <c r="K25" i="6"/>
  <c r="M25" i="6" s="1"/>
  <c r="K26" i="6"/>
  <c r="K27" i="6"/>
  <c r="M27" i="6" s="1"/>
  <c r="K28" i="6"/>
  <c r="K29" i="6"/>
  <c r="M29" i="6" s="1"/>
  <c r="K30" i="6"/>
  <c r="K31" i="6"/>
  <c r="M31" i="6" s="1"/>
  <c r="K32" i="6"/>
  <c r="K33" i="6"/>
  <c r="M33" i="6" s="1"/>
  <c r="K34" i="6"/>
  <c r="K17" i="6"/>
  <c r="M17" i="6" s="1"/>
  <c r="J34" i="6"/>
  <c r="J33" i="6"/>
  <c r="L33" i="6" s="1"/>
  <c r="J32" i="6"/>
  <c r="L32" i="6" s="1"/>
  <c r="J31" i="6"/>
  <c r="L31" i="6" s="1"/>
  <c r="J30" i="6"/>
  <c r="J29" i="6"/>
  <c r="L29" i="6" s="1"/>
  <c r="J28" i="6"/>
  <c r="L28" i="6" s="1"/>
  <c r="J27" i="6"/>
  <c r="L27" i="6" s="1"/>
  <c r="J26" i="6"/>
  <c r="J25" i="6"/>
  <c r="L25" i="6" s="1"/>
  <c r="J24" i="6"/>
  <c r="L24" i="6" s="1"/>
  <c r="J23" i="6"/>
  <c r="L23" i="6" s="1"/>
  <c r="J22" i="6"/>
  <c r="L22" i="6" s="1"/>
  <c r="J21" i="6"/>
  <c r="L21" i="6" s="1"/>
  <c r="J20" i="6"/>
  <c r="L20" i="6" s="1"/>
  <c r="J19" i="6"/>
  <c r="L19" i="6" s="1"/>
  <c r="J18" i="6"/>
  <c r="L18" i="6" s="1"/>
  <c r="J17" i="6"/>
  <c r="L17" i="6" s="1"/>
  <c r="A27" i="5" l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B23" i="4"/>
  <c r="G9" i="4"/>
  <c r="E9" i="4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A23" i="4"/>
  <c r="F12" i="5" a="1"/>
  <c r="F12" i="5" l="1"/>
  <c r="F14" i="5"/>
  <c r="F16" i="5"/>
  <c r="G12" i="5"/>
  <c r="G14" i="5"/>
  <c r="G16" i="5"/>
  <c r="L12" i="5"/>
  <c r="L14" i="5"/>
  <c r="H17" i="5"/>
  <c r="I12" i="5"/>
  <c r="I14" i="5"/>
  <c r="I16" i="5"/>
  <c r="J13" i="5"/>
  <c r="J17" i="5"/>
  <c r="K13" i="5"/>
  <c r="K17" i="5"/>
  <c r="L16" i="5"/>
  <c r="M13" i="5"/>
  <c r="M17" i="5"/>
  <c r="J12" i="5"/>
  <c r="J14" i="5"/>
  <c r="J16" i="5"/>
  <c r="K12" i="5"/>
  <c r="K14" i="5"/>
  <c r="K16" i="5"/>
  <c r="H13" i="5"/>
  <c r="L15" i="5"/>
  <c r="H12" i="5"/>
  <c r="M12" i="5"/>
  <c r="M14" i="5"/>
  <c r="M16" i="5"/>
  <c r="F13" i="5"/>
  <c r="F15" i="5"/>
  <c r="F17" i="5"/>
  <c r="G13" i="5"/>
  <c r="G15" i="5"/>
  <c r="G17" i="5"/>
  <c r="L13" i="5"/>
  <c r="H16" i="5"/>
  <c r="H15" i="5"/>
  <c r="I13" i="5"/>
  <c r="I15" i="5"/>
  <c r="I17" i="5"/>
  <c r="J15" i="5"/>
  <c r="K15" i="5"/>
  <c r="H14" i="5"/>
  <c r="L17" i="5"/>
  <c r="M15" i="5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42" i="4"/>
  <c r="B27" i="4"/>
  <c r="B31" i="4"/>
  <c r="B35" i="4"/>
  <c r="B39" i="4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A41" i="2"/>
  <c r="A42" i="2"/>
  <c r="A34" i="2"/>
  <c r="A35" i="2" s="1"/>
  <c r="A36" i="2" s="1"/>
  <c r="A37" i="2" s="1"/>
  <c r="A38" i="2" s="1"/>
  <c r="A39" i="2" s="1"/>
  <c r="A40" i="2" s="1"/>
  <c r="A24" i="2"/>
  <c r="A25" i="2" s="1"/>
  <c r="A26" i="2" s="1"/>
  <c r="A27" i="2" s="1"/>
  <c r="A28" i="2" s="1"/>
  <c r="A29" i="2" s="1"/>
  <c r="A30" i="2" s="1"/>
  <c r="A31" i="2" s="1"/>
  <c r="A32" i="2" s="1"/>
  <c r="A33" i="2" s="1"/>
  <c r="B22" i="2"/>
  <c r="A23" i="2"/>
  <c r="A22" i="2"/>
  <c r="E9" i="2"/>
  <c r="J12" i="2"/>
  <c r="I12" i="2"/>
  <c r="H12" i="2"/>
  <c r="D9" i="2"/>
  <c r="G9" i="2"/>
  <c r="F9" i="2"/>
  <c r="B31" i="5"/>
  <c r="B36" i="5"/>
  <c r="B41" i="5"/>
  <c r="B43" i="5"/>
  <c r="B37" i="5"/>
  <c r="B33" i="5"/>
  <c r="E9" i="5"/>
  <c r="B39" i="5"/>
  <c r="B38" i="5"/>
  <c r="B29" i="5"/>
  <c r="B46" i="5"/>
  <c r="B40" i="5"/>
  <c r="B47" i="5"/>
  <c r="B45" i="5"/>
  <c r="B27" i="5"/>
  <c r="B42" i="5"/>
  <c r="B28" i="5"/>
  <c r="B35" i="5"/>
  <c r="B30" i="5"/>
  <c r="B44" i="5"/>
  <c r="B34" i="5"/>
  <c r="B32" i="5"/>
</calcChain>
</file>

<file path=xl/sharedStrings.xml><?xml version="1.0" encoding="utf-8"?>
<sst xmlns="http://schemas.openxmlformats.org/spreadsheetml/2006/main" count="277" uniqueCount="140">
  <si>
    <t>This is intended to be a general template for combining and optimizing different kinds of functions, each probably representing a measurable promotional channel.</t>
  </si>
  <si>
    <t>For this template to work, file must be of type .xlsm to enable vba macros. Solver (2010 ver) Add-in should be enabled. Developer tab should be enabled and permission to run macros should be granted.</t>
  </si>
  <si>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</si>
  <si>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</si>
  <si>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</si>
  <si>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</si>
  <si>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</si>
  <si>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</si>
  <si>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</si>
  <si>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</si>
  <si>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</si>
  <si>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</si>
  <si>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</si>
  <si>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</si>
  <si>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</si>
  <si>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</si>
  <si>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</si>
  <si>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</si>
  <si>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</si>
  <si>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</si>
  <si>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</si>
  <si>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</si>
  <si>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</si>
  <si>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</si>
  <si>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</si>
  <si>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</si>
  <si>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</si>
  <si>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</si>
  <si>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</si>
  <si>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</si>
  <si>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</si>
  <si>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</si>
  <si>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</si>
  <si>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</si>
  <si>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</si>
  <si>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</si>
  <si>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</si>
  <si>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</si>
  <si>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</si>
  <si>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</si>
  <si>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</si>
  <si>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</si>
  <si>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</si>
  <si>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</si>
  <si>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</si>
  <si>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</si>
  <si>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</si>
  <si>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</si>
  <si>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</si>
  <si>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</si>
  <si>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</si>
  <si>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</si>
  <si>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or optional)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</si>
  <si>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</si>
  <si>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</si>
  <si>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</si>
  <si>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</si>
  <si>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</si>
  <si>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</si>
  <si>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</si>
  <si>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</si>
  <si>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</si>
  <si>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</si>
  <si>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</si>
  <si>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</si>
  <si>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</si>
  <si>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</si>
  <si>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</si>
  <si>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</si>
  <si>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</si>
  <si>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</si>
  <si>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</si>
  <si>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</si>
  <si>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</si>
  <si>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</si>
  <si>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</si>
  <si>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</si>
  <si>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</si>
  <si>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</si>
  <si>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</si>
  <si>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</si>
  <si>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</si>
  <si>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 xml:space="preserve">To optimize allocation of spend across represented channels </t>
  </si>
  <si>
    <t>Januvia, Janumet and Janumet XR</t>
  </si>
  <si>
    <t>Details, Samples, DTC, MMF, Vouchers, Coupons, MCM, Pharmacy programs, Adherence, Product promotional resources</t>
  </si>
  <si>
    <t>Increase overall spend by X% and find optimal mix of allocation for channels</t>
  </si>
  <si>
    <t>X axis unit</t>
  </si>
  <si>
    <t>Y axis unit</t>
  </si>
  <si>
    <t>Spend in ($)</t>
  </si>
  <si>
    <t>Incremental NRx</t>
  </si>
  <si>
    <t>Scenario Setup</t>
  </si>
  <si>
    <t>Global Constraints</t>
  </si>
  <si>
    <t>Optimal Total Y</t>
  </si>
  <si>
    <t>Total Budget</t>
  </si>
  <si>
    <t>Additional Global Constraint B</t>
  </si>
  <si>
    <t>Additional Global Constraint A</t>
  </si>
  <si>
    <t>Products and Channels Setup</t>
  </si>
  <si>
    <t>Current Values</t>
  </si>
  <si>
    <t>X curr</t>
  </si>
  <si>
    <t>Y curr</t>
  </si>
  <si>
    <t>Local Constraints</t>
  </si>
  <si>
    <t>X min</t>
  </si>
  <si>
    <t>X max</t>
  </si>
  <si>
    <t>Optimal Values</t>
  </si>
  <si>
    <t>X opt</t>
  </si>
  <si>
    <t>Y opt</t>
  </si>
  <si>
    <t>Optimal Values: Change from current values</t>
  </si>
  <si>
    <t>Delta X (units)</t>
  </si>
  <si>
    <t>Delta Y (units)</t>
  </si>
  <si>
    <t>Delta X (%)</t>
  </si>
  <si>
    <t>Delta Y (%)</t>
  </si>
  <si>
    <t>Samples</t>
  </si>
  <si>
    <t>MMF</t>
  </si>
  <si>
    <t>Vouchers</t>
  </si>
  <si>
    <t>Coupons</t>
  </si>
  <si>
    <t>MCM</t>
  </si>
  <si>
    <t>Pharmacy</t>
  </si>
  <si>
    <t>Adherence</t>
  </si>
  <si>
    <t>Janumet + XR</t>
  </si>
  <si>
    <t>Interpolate</t>
  </si>
  <si>
    <t>Scurve Est.</t>
  </si>
  <si>
    <t>Constant</t>
  </si>
  <si>
    <t>Linear Eqn.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</si>
  <si>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</si>
  <si>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</si>
  <si>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</si>
  <si>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Jantot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</si>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</sst>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</numFmts>
  <fonts count="14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52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</cellStyleXfs>
  <cellXfs count="152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1" xfId="0" applyFont="1" applyFill="1" applyBorder="1" applyAlignment="1">
      <alignment horizontal="center" vertical="center" wrapText="1"/>
    </xf>
    <xf numFmtId="0" fontId="1" fillId="6" borderId="1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1" fillId="0" borderId="32" xfId="0" applyFont="1" applyBorder="1"/>
    <xf numFmtId="3" fontId="1" fillId="2" borderId="12" xfId="2" applyNumberFormat="1" applyFont="1" applyFill="1" applyBorder="1"/>
    <xf numFmtId="3" fontId="1" fillId="2" borderId="37" xfId="2" applyNumberFormat="1" applyFont="1" applyFill="1" applyBorder="1"/>
    <xf numFmtId="3" fontId="1" fillId="2" borderId="32" xfId="2" applyNumberFormat="1" applyFont="1" applyFill="1" applyBorder="1"/>
    <xf numFmtId="3" fontId="1" fillId="9" borderId="12" xfId="0" applyNumberFormat="1" applyFont="1" applyFill="1" applyBorder="1"/>
    <xf numFmtId="9" fontId="1" fillId="9" borderId="12" xfId="3" applyFont="1" applyFill="1" applyBorder="1"/>
    <xf numFmtId="3" fontId="1" fillId="9" borderId="37" xfId="0" applyNumberFormat="1" applyFont="1" applyFill="1" applyBorder="1"/>
    <xf numFmtId="9" fontId="1" fillId="9" borderId="37" xfId="3" applyFont="1" applyFill="1" applyBorder="1"/>
    <xf numFmtId="3" fontId="1" fillId="9" borderId="32" xfId="0" applyNumberFormat="1" applyFont="1" applyFill="1" applyBorder="1"/>
    <xf numFmtId="9" fontId="1" fillId="9" borderId="32" xfId="3" applyFont="1" applyFill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12" xfId="2" applyNumberFormat="1" applyFont="1" applyFill="1" applyBorder="1"/>
    <xf numFmtId="3" fontId="12" fillId="8" borderId="37" xfId="2" applyNumberFormat="1" applyFont="1" applyFill="1" applyBorder="1"/>
    <xf numFmtId="3" fontId="12" fillId="8" borderId="32" xfId="2" applyNumberFormat="1" applyFont="1" applyFill="1" applyBorder="1"/>
    <xf numFmtId="3" fontId="12" fillId="8" borderId="35" xfId="0" applyNumberFormat="1" applyFont="1" applyFill="1" applyBorder="1"/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8" borderId="4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2" fillId="3" borderId="30" xfId="0" applyFont="1" applyFill="1" applyBorder="1"/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3" fontId="1" fillId="2" borderId="10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</cellXfs>
  <cellStyles count="12">
    <cellStyle name="Comma" xfId="2" builtinId="3"/>
    <cellStyle name="Comma 2" xfId="5"/>
    <cellStyle name="Comma 2 2" xfId="6"/>
    <cellStyle name="Comma 2 3" xfId="7"/>
    <cellStyle name="Currency" xfId="4" builtinId="4"/>
    <cellStyle name="Currency 2" xfId="8"/>
    <cellStyle name="Normal" xfId="0" builtinId="0"/>
    <cellStyle name="Normal 2" xfId="1"/>
    <cellStyle name="Normal 2 2" xfId="9"/>
    <cellStyle name="Normal 2 3" xfId="10"/>
    <cellStyle name="Percent" xfId="3" builtinId="5"/>
    <cellStyle name="Percent 2" xfId="11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9229440"/>
        <c:axId val="329231360"/>
      </c:scatterChart>
      <c:valAx>
        <c:axId val="32922944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29231360"/>
        <c:crosses val="autoZero"/>
        <c:crossBetween val="midCat"/>
      </c:valAx>
      <c:valAx>
        <c:axId val="3292313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29229440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2469376"/>
        <c:axId val="332471296"/>
      </c:scatterChart>
      <c:valAx>
        <c:axId val="33246937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32471296"/>
        <c:crosses val="autoZero"/>
        <c:crossBetween val="midCat"/>
      </c:valAx>
      <c:valAx>
        <c:axId val="33247129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3246937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2522624"/>
        <c:axId val="332524544"/>
      </c:scatterChart>
      <c:valAx>
        <c:axId val="33252262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32524544"/>
        <c:crosses val="autoZero"/>
        <c:crossBetween val="midCat"/>
      </c:valAx>
      <c:valAx>
        <c:axId val="332524544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32522624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624832"/>
        <c:axId val="333639680"/>
      </c:scatterChart>
      <c:valAx>
        <c:axId val="33362483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layout/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33639680"/>
        <c:crosses val="autoZero"/>
        <c:crossBetween val="midCat"/>
        <c:dispUnits>
          <c:builtInUnit val="millions"/>
        </c:dispUnits>
      </c:valAx>
      <c:valAx>
        <c:axId val="33363968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333624832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9</xdr:col>
      <xdr:colOff>586740</xdr:colOff>
      <xdr:row>36</xdr:row>
      <xdr:rowOff>167640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9</xdr:col>
      <xdr:colOff>114300</xdr:colOff>
      <xdr:row>39</xdr:row>
      <xdr:rowOff>110490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2%202014%20AB/Promo/Diabetes%20Deep%20Dive/Optimize/ChannelResp/HCC%20Results%20Summary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Desktop Paid Search"/>
      <sheetName val="HCC Response S Curve 1"/>
      <sheetName val="HCC Response S Curve 2"/>
      <sheetName val="HCC Response S Curve 3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">
          <cell r="D3" t="str">
            <v>Incr. NRx</v>
          </cell>
        </row>
        <row r="12">
          <cell r="B12">
            <v>22434506</v>
          </cell>
          <cell r="C12">
            <v>135699.3691208323</v>
          </cell>
        </row>
        <row r="22">
          <cell r="A22">
            <v>0</v>
          </cell>
          <cell r="B22">
            <v>0</v>
          </cell>
        </row>
        <row r="23">
          <cell r="A23">
            <v>10000000</v>
          </cell>
          <cell r="B23">
            <v>65160.884199584834</v>
          </cell>
        </row>
        <row r="24">
          <cell r="A24">
            <v>20000000</v>
          </cell>
          <cell r="B24">
            <v>122744.77582018357</v>
          </cell>
        </row>
        <row r="25">
          <cell r="A25">
            <v>30000000</v>
          </cell>
          <cell r="B25">
            <v>173476.53353370167</v>
          </cell>
        </row>
        <row r="26">
          <cell r="A26">
            <v>40000000</v>
          </cell>
          <cell r="B26">
            <v>218050.60666741617</v>
          </cell>
        </row>
        <row r="27">
          <cell r="A27">
            <v>50000000</v>
          </cell>
          <cell r="B27">
            <v>257121.2781913355</v>
          </cell>
        </row>
        <row r="28">
          <cell r="A28">
            <v>60000000</v>
          </cell>
          <cell r="B28">
            <v>291296.63727436401</v>
          </cell>
        </row>
        <row r="29">
          <cell r="A29">
            <v>70000000</v>
          </cell>
          <cell r="B29">
            <v>321135.50980218779</v>
          </cell>
        </row>
        <row r="30">
          <cell r="A30">
            <v>80000000</v>
          </cell>
          <cell r="B30">
            <v>347146.64896780811</v>
          </cell>
        </row>
        <row r="31">
          <cell r="A31">
            <v>90000000</v>
          </cell>
          <cell r="B31">
            <v>369789.58456045669</v>
          </cell>
        </row>
        <row r="32">
          <cell r="A32">
            <v>100000000</v>
          </cell>
          <cell r="B32">
            <v>389476.63249957375</v>
          </cell>
        </row>
        <row r="33">
          <cell r="A33">
            <v>110000000</v>
          </cell>
          <cell r="B33">
            <v>406575.66504135821</v>
          </cell>
        </row>
        <row r="34">
          <cell r="A34">
            <v>120000000</v>
          </cell>
          <cell r="B34">
            <v>421413.33103184588</v>
          </cell>
        </row>
        <row r="35">
          <cell r="A35">
            <v>130000000</v>
          </cell>
          <cell r="B35">
            <v>434278.49192497414</v>
          </cell>
        </row>
        <row r="36">
          <cell r="A36">
            <v>140000000</v>
          </cell>
          <cell r="B36">
            <v>445425.7024764372</v>
          </cell>
        </row>
        <row r="37">
          <cell r="A37">
            <v>150000000</v>
          </cell>
          <cell r="B37">
            <v>455078.61578376312</v>
          </cell>
        </row>
        <row r="38">
          <cell r="A38">
            <v>160000000</v>
          </cell>
          <cell r="B38">
            <v>463433.23205492459</v>
          </cell>
        </row>
        <row r="39">
          <cell r="A39">
            <v>170000000</v>
          </cell>
          <cell r="B39">
            <v>470660.94080024865</v>
          </cell>
        </row>
        <row r="40">
          <cell r="A40">
            <v>180000000</v>
          </cell>
          <cell r="B40">
            <v>476911.32871761266</v>
          </cell>
        </row>
        <row r="41">
          <cell r="A41">
            <v>190000000</v>
          </cell>
          <cell r="B41">
            <v>482314.74191566277</v>
          </cell>
        </row>
        <row r="42">
          <cell r="A42">
            <v>200000000</v>
          </cell>
          <cell r="B42">
            <v>486984.60263799503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39997558519241921"/>
  </sheetPr>
  <dimension ref="A2:A4"/>
  <sheetViews>
    <sheetView workbookViewId="0">
      <selection activeCell="D14" sqref="D14"/>
    </sheetView>
  </sheetViews>
  <sheetFormatPr defaultRowHeight="14.4" x14ac:dyDescent="0.3"/>
  <sheetData>
    <row r="2" spans="1:1" x14ac:dyDescent="0.3">
      <c r="A2" t="s">
        <v>0</v>
      </c>
    </row>
    <row r="4" spans="1:1" x14ac:dyDescent="0.3">
      <c r="A4" t="s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-0.249977111117893"/>
  </sheetPr>
  <dimension ref="A1:M34"/>
  <sheetViews>
    <sheetView workbookViewId="0">
      <selection activeCell="G10" sqref="G10"/>
    </sheetView>
  </sheetViews>
  <sheetFormatPr defaultRowHeight="13.8" x14ac:dyDescent="0.3"/>
  <cols>
    <col min="1" max="1" width="14.109375" style="1" customWidth="1"/>
    <col min="2" max="2" width="12.88671875" style="1" customWidth="1"/>
    <col min="3" max="3" width="11.77734375" style="1" customWidth="1"/>
    <col min="4" max="4" width="12.33203125" style="1" customWidth="1"/>
    <col min="5" max="5" width="10.33203125" style="1" customWidth="1"/>
    <col min="6" max="6" width="10.44140625" style="1" customWidth="1"/>
    <col min="7" max="7" width="12" style="1" customWidth="1"/>
    <col min="8" max="8" width="12.5546875" style="1" customWidth="1"/>
    <col min="9" max="9" width="12.33203125" style="1" customWidth="1"/>
    <col min="10" max="10" width="11.109375" style="1" customWidth="1"/>
    <col min="11" max="11" width="10.44140625" style="1" customWidth="1"/>
    <col min="12" max="12" width="9.44140625" style="1" customWidth="1"/>
    <col min="13" max="13" width="9" style="1" customWidth="1"/>
    <col min="14" max="16384" width="8.88671875" style="1"/>
  </cols>
  <sheetData>
    <row r="1" spans="1:13" x14ac:dyDescent="0.3">
      <c r="A1" s="55" t="s">
        <v>2</v>
      </c>
      <c r="B1" s="1" t="s">
        <v>82</v>
      </c>
    </row>
    <row r="2" spans="1:13" x14ac:dyDescent="0.3">
      <c r="A2" s="55" t="s">
        <v>79</v>
      </c>
      <c r="B2" s="1" t="s">
        <v>83</v>
      </c>
    </row>
    <row r="3" spans="1:13" x14ac:dyDescent="0.3">
      <c r="A3" s="55" t="s">
        <v>80</v>
      </c>
      <c r="B3" s="1" t="s">
        <v>84</v>
      </c>
    </row>
    <row r="4" spans="1:13" ht="28.2" customHeight="1" x14ac:dyDescent="0.3">
      <c r="A4" s="56" t="s">
        <v>81</v>
      </c>
      <c r="B4" s="1" t="s">
        <v>85</v>
      </c>
    </row>
    <row r="5" spans="1:13" x14ac:dyDescent="0.3">
      <c r="A5" s="55" t="s">
        <v>86</v>
      </c>
      <c r="B5" s="1" t="s">
        <v>88</v>
      </c>
      <c r="E5" s="88" t="s">
        <v>53</v>
      </c>
      <c r="F5" s="89"/>
      <c r="G5" s="89"/>
      <c r="H5" s="89"/>
      <c r="I5" s="90"/>
    </row>
    <row r="6" spans="1:13" x14ac:dyDescent="0.3">
      <c r="A6" s="55" t="s">
        <v>87</v>
      </c>
      <c r="B6" s="1" t="s">
        <v>89</v>
      </c>
      <c r="E6" s="91" t="s">
        <v>54</v>
      </c>
      <c r="F6" s="92"/>
      <c r="G6" s="92"/>
      <c r="H6" s="92"/>
      <c r="I6" s="93"/>
    </row>
    <row r="7" spans="1:13" ht="14.4" thickBot="1" x14ac:dyDescent="0.35"/>
    <row r="8" spans="1:13" ht="14.4" thickBot="1" x14ac:dyDescent="0.35">
      <c r="A8" s="60" t="s">
        <v>90</v>
      </c>
    </row>
    <row r="9" spans="1:13" ht="14.4" thickBot="1" x14ac:dyDescent="0.35">
      <c r="A9" s="31" t="s">
        <v>92</v>
      </c>
      <c r="B9" s="80">
        <f>SUM(I17:I34)</f>
        <v>180000</v>
      </c>
    </row>
    <row r="10" spans="1:13" ht="14.4" thickBot="1" x14ac:dyDescent="0.35">
      <c r="A10" s="57"/>
    </row>
    <row r="11" spans="1:13" ht="41.4" x14ac:dyDescent="0.3">
      <c r="A11" s="86" t="s">
        <v>91</v>
      </c>
      <c r="B11" s="58" t="s">
        <v>93</v>
      </c>
      <c r="C11" s="28" t="s">
        <v>95</v>
      </c>
      <c r="D11" s="15" t="s">
        <v>94</v>
      </c>
      <c r="E11" s="1" t="s">
        <v>123</v>
      </c>
    </row>
    <row r="12" spans="1:13" ht="14.4" thickBot="1" x14ac:dyDescent="0.35">
      <c r="A12" s="87"/>
      <c r="B12" s="59"/>
      <c r="C12" s="59"/>
      <c r="D12" s="37"/>
    </row>
    <row r="13" spans="1:13" ht="14.4" thickBot="1" x14ac:dyDescent="0.35"/>
    <row r="14" spans="1:13" ht="60.6" customHeight="1" thickBot="1" x14ac:dyDescent="0.35">
      <c r="A14" s="61" t="s">
        <v>96</v>
      </c>
      <c r="H14" s="76" t="s">
        <v>124</v>
      </c>
      <c r="I14" s="76" t="s">
        <v>125</v>
      </c>
    </row>
    <row r="15" spans="1:13" ht="27.6" customHeight="1" x14ac:dyDescent="0.3">
      <c r="A15" s="94" t="s">
        <v>4</v>
      </c>
      <c r="B15" s="96" t="s">
        <v>5</v>
      </c>
      <c r="C15" s="96" t="s">
        <v>40</v>
      </c>
      <c r="D15" s="83" t="s">
        <v>97</v>
      </c>
      <c r="E15" s="85"/>
      <c r="F15" s="81" t="s">
        <v>100</v>
      </c>
      <c r="G15" s="82"/>
      <c r="H15" s="81" t="s">
        <v>103</v>
      </c>
      <c r="I15" s="82"/>
      <c r="J15" s="83" t="s">
        <v>106</v>
      </c>
      <c r="K15" s="84"/>
      <c r="L15" s="84"/>
      <c r="M15" s="85"/>
    </row>
    <row r="16" spans="1:13" ht="27.6" x14ac:dyDescent="0.3">
      <c r="A16" s="95"/>
      <c r="B16" s="95"/>
      <c r="C16" s="95"/>
      <c r="D16" s="27" t="s">
        <v>98</v>
      </c>
      <c r="E16" s="27" t="s">
        <v>99</v>
      </c>
      <c r="F16" s="27" t="s">
        <v>101</v>
      </c>
      <c r="G16" s="27" t="s">
        <v>102</v>
      </c>
      <c r="H16" s="75" t="s">
        <v>104</v>
      </c>
      <c r="I16" s="75" t="s">
        <v>105</v>
      </c>
      <c r="J16" s="27" t="s">
        <v>107</v>
      </c>
      <c r="K16" s="27" t="s">
        <v>108</v>
      </c>
      <c r="L16" s="27" t="s">
        <v>109</v>
      </c>
      <c r="M16" s="27" t="s">
        <v>110</v>
      </c>
    </row>
    <row r="17" spans="1:13" x14ac:dyDescent="0.3">
      <c r="A17" s="63" t="s">
        <v>15</v>
      </c>
      <c r="B17" s="63" t="s">
        <v>56</v>
      </c>
      <c r="C17" s="63" t="s">
        <v>119</v>
      </c>
      <c r="D17" s="66">
        <v>2000000</v>
      </c>
      <c r="E17" s="66">
        <v>3000</v>
      </c>
      <c r="F17" s="66">
        <v>0</v>
      </c>
      <c r="G17" s="66">
        <v>10000000</v>
      </c>
      <c r="H17" s="77">
        <v>5000000</v>
      </c>
      <c r="I17" s="77">
        <v>10000</v>
      </c>
      <c r="J17" s="69">
        <f>H17-D17</f>
        <v>3000000</v>
      </c>
      <c r="K17" s="69">
        <f>I17-E17</f>
        <v>7000</v>
      </c>
      <c r="L17" s="70">
        <f>J17/D17</f>
        <v>1.5</v>
      </c>
      <c r="M17" s="70">
        <f>K17/E17</f>
        <v>2.3333333333333335</v>
      </c>
    </row>
    <row r="18" spans="1:13" x14ac:dyDescent="0.3">
      <c r="A18" s="64" t="s">
        <v>15</v>
      </c>
      <c r="B18" s="64" t="s">
        <v>111</v>
      </c>
      <c r="C18" s="64" t="s">
        <v>122</v>
      </c>
      <c r="D18" s="67">
        <v>2000000</v>
      </c>
      <c r="E18" s="67">
        <v>3000</v>
      </c>
      <c r="F18" s="67">
        <v>0</v>
      </c>
      <c r="G18" s="67">
        <v>10000000</v>
      </c>
      <c r="H18" s="78">
        <v>5000000</v>
      </c>
      <c r="I18" s="78">
        <v>10000</v>
      </c>
      <c r="J18" s="71">
        <f t="shared" ref="J18:J34" si="0">H18-D18</f>
        <v>3000000</v>
      </c>
      <c r="K18" s="71">
        <f t="shared" ref="K18:K34" si="1">I18-E18</f>
        <v>7000</v>
      </c>
      <c r="L18" s="72">
        <f t="shared" ref="L18:L34" si="2">J18/D18</f>
        <v>1.5</v>
      </c>
      <c r="M18" s="72">
        <f t="shared" ref="M18:M34" si="3">K18/E18</f>
        <v>2.3333333333333335</v>
      </c>
    </row>
    <row r="19" spans="1:13" x14ac:dyDescent="0.3">
      <c r="A19" s="64" t="s">
        <v>15</v>
      </c>
      <c r="B19" s="64" t="s">
        <v>16</v>
      </c>
      <c r="C19" s="64" t="s">
        <v>120</v>
      </c>
      <c r="D19" s="67">
        <v>2000000</v>
      </c>
      <c r="E19" s="67">
        <v>3000</v>
      </c>
      <c r="F19" s="67">
        <v>0</v>
      </c>
      <c r="G19" s="67">
        <v>10000000</v>
      </c>
      <c r="H19" s="78">
        <v>5000000</v>
      </c>
      <c r="I19" s="78">
        <v>10000</v>
      </c>
      <c r="J19" s="71">
        <f t="shared" si="0"/>
        <v>3000000</v>
      </c>
      <c r="K19" s="71">
        <f t="shared" si="1"/>
        <v>7000</v>
      </c>
      <c r="L19" s="72">
        <f t="shared" si="2"/>
        <v>1.5</v>
      </c>
      <c r="M19" s="72">
        <f t="shared" si="3"/>
        <v>2.3333333333333335</v>
      </c>
    </row>
    <row r="20" spans="1:13" x14ac:dyDescent="0.3">
      <c r="A20" s="64" t="s">
        <v>15</v>
      </c>
      <c r="B20" s="64" t="s">
        <v>112</v>
      </c>
      <c r="C20" s="64" t="s">
        <v>120</v>
      </c>
      <c r="D20" s="67">
        <v>2000000</v>
      </c>
      <c r="E20" s="67">
        <v>3000</v>
      </c>
      <c r="F20" s="67">
        <v>0</v>
      </c>
      <c r="G20" s="67">
        <v>10000000</v>
      </c>
      <c r="H20" s="78">
        <v>5000000</v>
      </c>
      <c r="I20" s="78">
        <v>10000</v>
      </c>
      <c r="J20" s="71">
        <f t="shared" si="0"/>
        <v>3000000</v>
      </c>
      <c r="K20" s="71">
        <f t="shared" si="1"/>
        <v>7000</v>
      </c>
      <c r="L20" s="72">
        <f t="shared" si="2"/>
        <v>1.5</v>
      </c>
      <c r="M20" s="72">
        <f t="shared" si="3"/>
        <v>2.3333333333333335</v>
      </c>
    </row>
    <row r="21" spans="1:13" x14ac:dyDescent="0.3">
      <c r="A21" s="64" t="s">
        <v>15</v>
      </c>
      <c r="B21" s="64" t="s">
        <v>113</v>
      </c>
      <c r="C21" s="64" t="s">
        <v>122</v>
      </c>
      <c r="D21" s="67">
        <v>2000000</v>
      </c>
      <c r="E21" s="67">
        <v>3000</v>
      </c>
      <c r="F21" s="67">
        <v>0</v>
      </c>
      <c r="G21" s="67">
        <v>10000000</v>
      </c>
      <c r="H21" s="78">
        <v>5000000</v>
      </c>
      <c r="I21" s="78">
        <v>10000</v>
      </c>
      <c r="J21" s="71">
        <f t="shared" si="0"/>
        <v>3000000</v>
      </c>
      <c r="K21" s="71">
        <f t="shared" si="1"/>
        <v>7000</v>
      </c>
      <c r="L21" s="72">
        <f t="shared" si="2"/>
        <v>1.5</v>
      </c>
      <c r="M21" s="72">
        <f t="shared" si="3"/>
        <v>2.3333333333333335</v>
      </c>
    </row>
    <row r="22" spans="1:13" x14ac:dyDescent="0.3">
      <c r="A22" s="64" t="s">
        <v>15</v>
      </c>
      <c r="B22" s="64" t="s">
        <v>114</v>
      </c>
      <c r="C22" s="64" t="s">
        <v>121</v>
      </c>
      <c r="D22" s="67">
        <v>2000000</v>
      </c>
      <c r="E22" s="67">
        <v>3000</v>
      </c>
      <c r="F22" s="67">
        <v>0</v>
      </c>
      <c r="G22" s="67">
        <v>10000000</v>
      </c>
      <c r="H22" s="78">
        <v>5000000</v>
      </c>
      <c r="I22" s="78">
        <v>10000</v>
      </c>
      <c r="J22" s="71">
        <f t="shared" si="0"/>
        <v>3000000</v>
      </c>
      <c r="K22" s="71">
        <f t="shared" si="1"/>
        <v>7000</v>
      </c>
      <c r="L22" s="72">
        <f t="shared" si="2"/>
        <v>1.5</v>
      </c>
      <c r="M22" s="72">
        <f t="shared" si="3"/>
        <v>2.3333333333333335</v>
      </c>
    </row>
    <row r="23" spans="1:13" x14ac:dyDescent="0.3">
      <c r="A23" s="64" t="s">
        <v>15</v>
      </c>
      <c r="B23" s="64" t="s">
        <v>115</v>
      </c>
      <c r="C23" s="64" t="s">
        <v>120</v>
      </c>
      <c r="D23" s="67">
        <v>2000000</v>
      </c>
      <c r="E23" s="67">
        <v>3000</v>
      </c>
      <c r="F23" s="67">
        <v>0</v>
      </c>
      <c r="G23" s="67">
        <v>10000000</v>
      </c>
      <c r="H23" s="78">
        <v>5000000</v>
      </c>
      <c r="I23" s="78">
        <v>10000</v>
      </c>
      <c r="J23" s="71">
        <f t="shared" si="0"/>
        <v>3000000</v>
      </c>
      <c r="K23" s="71">
        <f t="shared" si="1"/>
        <v>7000</v>
      </c>
      <c r="L23" s="72">
        <f t="shared" si="2"/>
        <v>1.5</v>
      </c>
      <c r="M23" s="72">
        <f t="shared" si="3"/>
        <v>2.3333333333333335</v>
      </c>
    </row>
    <row r="24" spans="1:13" x14ac:dyDescent="0.3">
      <c r="A24" s="64" t="s">
        <v>15</v>
      </c>
      <c r="B24" s="64" t="s">
        <v>116</v>
      </c>
      <c r="C24" s="64" t="s">
        <v>121</v>
      </c>
      <c r="D24" s="67">
        <v>2000000</v>
      </c>
      <c r="E24" s="67">
        <v>3000</v>
      </c>
      <c r="F24" s="67">
        <v>0</v>
      </c>
      <c r="G24" s="67">
        <v>10000000</v>
      </c>
      <c r="H24" s="78">
        <v>5000000</v>
      </c>
      <c r="I24" s="78">
        <v>10000</v>
      </c>
      <c r="J24" s="71">
        <f t="shared" si="0"/>
        <v>3000000</v>
      </c>
      <c r="K24" s="71">
        <f t="shared" si="1"/>
        <v>7000</v>
      </c>
      <c r="L24" s="72">
        <f t="shared" si="2"/>
        <v>1.5</v>
      </c>
      <c r="M24" s="72">
        <f t="shared" si="3"/>
        <v>2.3333333333333335</v>
      </c>
    </row>
    <row r="25" spans="1:13" x14ac:dyDescent="0.3">
      <c r="A25" s="65" t="s">
        <v>15</v>
      </c>
      <c r="B25" s="65" t="s">
        <v>117</v>
      </c>
      <c r="C25" s="65" t="s">
        <v>121</v>
      </c>
      <c r="D25" s="68">
        <v>2000000</v>
      </c>
      <c r="E25" s="68">
        <v>3000</v>
      </c>
      <c r="F25" s="68">
        <v>0</v>
      </c>
      <c r="G25" s="68">
        <v>10000000</v>
      </c>
      <c r="H25" s="79">
        <v>5000000</v>
      </c>
      <c r="I25" s="79">
        <v>10000</v>
      </c>
      <c r="J25" s="73">
        <f t="shared" si="0"/>
        <v>3000000</v>
      </c>
      <c r="K25" s="73">
        <f t="shared" si="1"/>
        <v>7000</v>
      </c>
      <c r="L25" s="74">
        <f t="shared" si="2"/>
        <v>1.5</v>
      </c>
      <c r="M25" s="74">
        <f t="shared" si="3"/>
        <v>2.3333333333333335</v>
      </c>
    </row>
    <row r="26" spans="1:13" x14ac:dyDescent="0.3">
      <c r="A26" s="64" t="s">
        <v>118</v>
      </c>
      <c r="B26" s="64" t="s">
        <v>56</v>
      </c>
      <c r="C26" s="64" t="s">
        <v>119</v>
      </c>
      <c r="D26" s="67">
        <v>2000000</v>
      </c>
      <c r="E26" s="67">
        <v>3000</v>
      </c>
      <c r="F26" s="67">
        <v>0</v>
      </c>
      <c r="G26" s="67">
        <v>10000000</v>
      </c>
      <c r="H26" s="78">
        <v>5000000</v>
      </c>
      <c r="I26" s="78">
        <v>10000</v>
      </c>
      <c r="J26" s="71">
        <f t="shared" si="0"/>
        <v>3000000</v>
      </c>
      <c r="K26" s="71">
        <f t="shared" si="1"/>
        <v>7000</v>
      </c>
      <c r="L26" s="72">
        <f t="shared" si="2"/>
        <v>1.5</v>
      </c>
      <c r="M26" s="72">
        <f t="shared" si="3"/>
        <v>2.3333333333333335</v>
      </c>
    </row>
    <row r="27" spans="1:13" x14ac:dyDescent="0.3">
      <c r="A27" s="64" t="s">
        <v>118</v>
      </c>
      <c r="B27" s="64" t="s">
        <v>111</v>
      </c>
      <c r="C27" s="64" t="s">
        <v>122</v>
      </c>
      <c r="D27" s="67">
        <v>2000000</v>
      </c>
      <c r="E27" s="67">
        <v>3000</v>
      </c>
      <c r="F27" s="67">
        <v>0</v>
      </c>
      <c r="G27" s="67">
        <v>10000000</v>
      </c>
      <c r="H27" s="78">
        <v>5000000</v>
      </c>
      <c r="I27" s="78">
        <v>10000</v>
      </c>
      <c r="J27" s="71">
        <f t="shared" si="0"/>
        <v>3000000</v>
      </c>
      <c r="K27" s="71">
        <f t="shared" si="1"/>
        <v>7000</v>
      </c>
      <c r="L27" s="72">
        <f t="shared" si="2"/>
        <v>1.5</v>
      </c>
      <c r="M27" s="72">
        <f t="shared" si="3"/>
        <v>2.3333333333333335</v>
      </c>
    </row>
    <row r="28" spans="1:13" x14ac:dyDescent="0.3">
      <c r="A28" s="64" t="s">
        <v>118</v>
      </c>
      <c r="B28" s="64" t="s">
        <v>16</v>
      </c>
      <c r="C28" s="64" t="s">
        <v>120</v>
      </c>
      <c r="D28" s="67">
        <v>2000000</v>
      </c>
      <c r="E28" s="67">
        <v>3000</v>
      </c>
      <c r="F28" s="67">
        <v>0</v>
      </c>
      <c r="G28" s="67">
        <v>10000000</v>
      </c>
      <c r="H28" s="78">
        <v>5000000</v>
      </c>
      <c r="I28" s="78">
        <v>10000</v>
      </c>
      <c r="J28" s="71">
        <f t="shared" si="0"/>
        <v>3000000</v>
      </c>
      <c r="K28" s="71">
        <f t="shared" si="1"/>
        <v>7000</v>
      </c>
      <c r="L28" s="72">
        <f t="shared" si="2"/>
        <v>1.5</v>
      </c>
      <c r="M28" s="72">
        <f t="shared" si="3"/>
        <v>2.3333333333333335</v>
      </c>
    </row>
    <row r="29" spans="1:13" x14ac:dyDescent="0.3">
      <c r="A29" s="64" t="s">
        <v>118</v>
      </c>
      <c r="B29" s="64" t="s">
        <v>112</v>
      </c>
      <c r="C29" s="64" t="s">
        <v>120</v>
      </c>
      <c r="D29" s="67">
        <v>2000000</v>
      </c>
      <c r="E29" s="67">
        <v>3000</v>
      </c>
      <c r="F29" s="67">
        <v>0</v>
      </c>
      <c r="G29" s="67">
        <v>10000000</v>
      </c>
      <c r="H29" s="78">
        <v>5000000</v>
      </c>
      <c r="I29" s="78">
        <v>10000</v>
      </c>
      <c r="J29" s="71">
        <f t="shared" si="0"/>
        <v>3000000</v>
      </c>
      <c r="K29" s="71">
        <f t="shared" si="1"/>
        <v>7000</v>
      </c>
      <c r="L29" s="72">
        <f t="shared" si="2"/>
        <v>1.5</v>
      </c>
      <c r="M29" s="72">
        <f t="shared" si="3"/>
        <v>2.3333333333333335</v>
      </c>
    </row>
    <row r="30" spans="1:13" x14ac:dyDescent="0.3">
      <c r="A30" s="64" t="s">
        <v>118</v>
      </c>
      <c r="B30" s="64" t="s">
        <v>113</v>
      </c>
      <c r="C30" s="64" t="s">
        <v>122</v>
      </c>
      <c r="D30" s="67">
        <v>2000000</v>
      </c>
      <c r="E30" s="67">
        <v>3000</v>
      </c>
      <c r="F30" s="67">
        <v>0</v>
      </c>
      <c r="G30" s="67">
        <v>10000000</v>
      </c>
      <c r="H30" s="78">
        <v>5000000</v>
      </c>
      <c r="I30" s="78">
        <v>10000</v>
      </c>
      <c r="J30" s="71">
        <f t="shared" si="0"/>
        <v>3000000</v>
      </c>
      <c r="K30" s="71">
        <f t="shared" si="1"/>
        <v>7000</v>
      </c>
      <c r="L30" s="72">
        <f t="shared" si="2"/>
        <v>1.5</v>
      </c>
      <c r="M30" s="72">
        <f t="shared" si="3"/>
        <v>2.3333333333333335</v>
      </c>
    </row>
    <row r="31" spans="1:13" x14ac:dyDescent="0.3">
      <c r="A31" s="64" t="s">
        <v>118</v>
      </c>
      <c r="B31" s="64" t="s">
        <v>114</v>
      </c>
      <c r="C31" s="64" t="s">
        <v>121</v>
      </c>
      <c r="D31" s="67">
        <v>2000000</v>
      </c>
      <c r="E31" s="67">
        <v>3000</v>
      </c>
      <c r="F31" s="67">
        <v>0</v>
      </c>
      <c r="G31" s="67">
        <v>10000000</v>
      </c>
      <c r="H31" s="78">
        <v>5000000</v>
      </c>
      <c r="I31" s="78">
        <v>10000</v>
      </c>
      <c r="J31" s="71">
        <f t="shared" si="0"/>
        <v>3000000</v>
      </c>
      <c r="K31" s="71">
        <f t="shared" si="1"/>
        <v>7000</v>
      </c>
      <c r="L31" s="72">
        <f t="shared" si="2"/>
        <v>1.5</v>
      </c>
      <c r="M31" s="72">
        <f t="shared" si="3"/>
        <v>2.3333333333333335</v>
      </c>
    </row>
    <row r="32" spans="1:13" x14ac:dyDescent="0.3">
      <c r="A32" s="64" t="s">
        <v>118</v>
      </c>
      <c r="B32" s="64" t="s">
        <v>115</v>
      </c>
      <c r="C32" s="64" t="s">
        <v>120</v>
      </c>
      <c r="D32" s="67">
        <v>2000000</v>
      </c>
      <c r="E32" s="67">
        <v>3000</v>
      </c>
      <c r="F32" s="67">
        <v>0</v>
      </c>
      <c r="G32" s="67">
        <v>10000000</v>
      </c>
      <c r="H32" s="78">
        <v>5000000</v>
      </c>
      <c r="I32" s="78">
        <v>10000</v>
      </c>
      <c r="J32" s="71">
        <f t="shared" si="0"/>
        <v>3000000</v>
      </c>
      <c r="K32" s="71">
        <f t="shared" si="1"/>
        <v>7000</v>
      </c>
      <c r="L32" s="72">
        <f t="shared" si="2"/>
        <v>1.5</v>
      </c>
      <c r="M32" s="72">
        <f t="shared" si="3"/>
        <v>2.3333333333333335</v>
      </c>
    </row>
    <row r="33" spans="1:13" x14ac:dyDescent="0.3">
      <c r="A33" s="64" t="s">
        <v>118</v>
      </c>
      <c r="B33" s="64" t="s">
        <v>116</v>
      </c>
      <c r="C33" s="64" t="s">
        <v>121</v>
      </c>
      <c r="D33" s="67">
        <v>2000000</v>
      </c>
      <c r="E33" s="67">
        <v>3000</v>
      </c>
      <c r="F33" s="67">
        <v>0</v>
      </c>
      <c r="G33" s="67">
        <v>10000000</v>
      </c>
      <c r="H33" s="78">
        <v>5000000</v>
      </c>
      <c r="I33" s="78">
        <v>10000</v>
      </c>
      <c r="J33" s="71">
        <f t="shared" si="0"/>
        <v>3000000</v>
      </c>
      <c r="K33" s="71">
        <f t="shared" si="1"/>
        <v>7000</v>
      </c>
      <c r="L33" s="72">
        <f t="shared" si="2"/>
        <v>1.5</v>
      </c>
      <c r="M33" s="72">
        <f t="shared" si="3"/>
        <v>2.3333333333333335</v>
      </c>
    </row>
    <row r="34" spans="1:13" x14ac:dyDescent="0.3">
      <c r="A34" s="65" t="s">
        <v>118</v>
      </c>
      <c r="B34" s="65" t="s">
        <v>117</v>
      </c>
      <c r="C34" s="65" t="s">
        <v>121</v>
      </c>
      <c r="D34" s="68">
        <v>2000000</v>
      </c>
      <c r="E34" s="68">
        <v>3000</v>
      </c>
      <c r="F34" s="68">
        <v>0</v>
      </c>
      <c r="G34" s="68">
        <v>10000000</v>
      </c>
      <c r="H34" s="79">
        <v>5000000</v>
      </c>
      <c r="I34" s="79">
        <v>10000</v>
      </c>
      <c r="J34" s="73">
        <f t="shared" si="0"/>
        <v>3000000</v>
      </c>
      <c r="K34" s="73">
        <f t="shared" si="1"/>
        <v>7000</v>
      </c>
      <c r="L34" s="74">
        <f t="shared" si="2"/>
        <v>1.5</v>
      </c>
      <c r="M34" s="74">
        <f t="shared" si="3"/>
        <v>2.3333333333333335</v>
      </c>
    </row>
  </sheetData>
  <mergeCells count="10">
    <mergeCell ref="H15:I15"/>
    <mergeCell ref="J15:M15"/>
    <mergeCell ref="A11:A12"/>
    <mergeCell ref="E5:I5"/>
    <mergeCell ref="E6:I6"/>
    <mergeCell ref="A15:A16"/>
    <mergeCell ref="B15:B16"/>
    <mergeCell ref="C15:C16"/>
    <mergeCell ref="D15:E15"/>
    <mergeCell ref="F15:G1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4.9989318521683403E-2"/>
  </sheetPr>
  <dimension ref="A1:J42"/>
  <sheetViews>
    <sheetView workbookViewId="0">
      <selection activeCell="F4" sqref="F4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1.10937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0" ht="14.4" thickBot="1" x14ac:dyDescent="0.35">
      <c r="A1" s="6" t="s">
        <v>2</v>
      </c>
      <c r="B1" s="1" t="s">
        <v>3</v>
      </c>
    </row>
    <row r="2" spans="1:10" x14ac:dyDescent="0.3">
      <c r="A2" s="7" t="s">
        <v>4</v>
      </c>
      <c r="B2" s="8" t="s">
        <v>15</v>
      </c>
      <c r="C2" s="9" t="s">
        <v>6</v>
      </c>
      <c r="D2" s="10" t="s">
        <v>8</v>
      </c>
      <c r="F2" s="88" t="s">
        <v>52</v>
      </c>
      <c r="G2" s="89"/>
      <c r="H2" s="89"/>
      <c r="I2" s="89"/>
      <c r="J2" s="90"/>
    </row>
    <row r="3" spans="1:10" ht="14.4" thickBot="1" x14ac:dyDescent="0.35">
      <c r="A3" s="11" t="s">
        <v>5</v>
      </c>
      <c r="B3" s="12" t="s">
        <v>16</v>
      </c>
      <c r="C3" s="13" t="s">
        <v>7</v>
      </c>
      <c r="D3" s="14" t="s">
        <v>9</v>
      </c>
    </row>
    <row r="4" spans="1:10" ht="14.4" thickBot="1" x14ac:dyDescent="0.35">
      <c r="A4" s="31" t="s">
        <v>40</v>
      </c>
      <c r="B4" s="112" t="s">
        <v>41</v>
      </c>
      <c r="C4" s="112"/>
      <c r="D4" s="113"/>
    </row>
    <row r="6" spans="1:10" ht="14.4" thickBot="1" x14ac:dyDescent="0.35"/>
    <row r="7" spans="1:10" ht="27.6" customHeight="1" x14ac:dyDescent="0.3">
      <c r="A7" s="116" t="s">
        <v>10</v>
      </c>
      <c r="B7" s="114" t="s">
        <v>11</v>
      </c>
      <c r="C7" s="115"/>
      <c r="D7" s="119" t="s">
        <v>14</v>
      </c>
      <c r="E7" s="120"/>
      <c r="F7" s="121" t="s">
        <v>26</v>
      </c>
      <c r="G7" s="122"/>
    </row>
    <row r="8" spans="1:10" ht="27.6" x14ac:dyDescent="0.3">
      <c r="A8" s="117"/>
      <c r="B8" s="3" t="s">
        <v>12</v>
      </c>
      <c r="C8" s="17" t="s">
        <v>13</v>
      </c>
      <c r="D8" s="19" t="s">
        <v>22</v>
      </c>
      <c r="E8" s="17" t="s">
        <v>23</v>
      </c>
      <c r="F8" s="16" t="s">
        <v>24</v>
      </c>
      <c r="G8" s="4" t="s">
        <v>25</v>
      </c>
    </row>
    <row r="9" spans="1:10" ht="14.4" thickBot="1" x14ac:dyDescent="0.35">
      <c r="A9" s="118"/>
      <c r="B9" s="5">
        <v>0</v>
      </c>
      <c r="C9" s="18">
        <v>100</v>
      </c>
      <c r="D9" s="22">
        <f>F9</f>
        <v>20</v>
      </c>
      <c r="E9" s="23">
        <f>($J$12/(1+EXP($H$12+$I$12*D9)))-1</f>
        <v>29.563380281690133</v>
      </c>
      <c r="F9" s="20">
        <f>B12</f>
        <v>20</v>
      </c>
      <c r="G9" s="14">
        <f>C12</f>
        <v>30</v>
      </c>
    </row>
    <row r="10" spans="1:10" ht="14.4" thickBot="1" x14ac:dyDescent="0.35"/>
    <row r="11" spans="1:10" x14ac:dyDescent="0.3">
      <c r="A11" s="116" t="s">
        <v>17</v>
      </c>
      <c r="B11" s="21" t="s">
        <v>18</v>
      </c>
      <c r="C11" s="21" t="s">
        <v>19</v>
      </c>
      <c r="D11" s="21" t="s">
        <v>20</v>
      </c>
      <c r="E11" s="15" t="s">
        <v>21</v>
      </c>
      <c r="G11" s="116" t="s">
        <v>27</v>
      </c>
      <c r="H11" s="21" t="s">
        <v>28</v>
      </c>
      <c r="I11" s="21" t="s">
        <v>29</v>
      </c>
      <c r="J11" s="15" t="s">
        <v>30</v>
      </c>
    </row>
    <row r="12" spans="1:10" ht="14.4" thickBot="1" x14ac:dyDescent="0.35">
      <c r="A12" s="118"/>
      <c r="B12" s="12">
        <v>20</v>
      </c>
      <c r="C12" s="12">
        <v>30</v>
      </c>
      <c r="D12" s="12">
        <v>0</v>
      </c>
      <c r="E12" s="14">
        <v>70</v>
      </c>
      <c r="G12" s="118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0" ht="34.200000000000003" customHeight="1" x14ac:dyDescent="0.3">
      <c r="A13" s="103" t="s">
        <v>32</v>
      </c>
      <c r="B13" s="104"/>
      <c r="C13" s="104"/>
      <c r="D13" s="104"/>
      <c r="E13" s="105"/>
      <c r="G13" s="97" t="s">
        <v>31</v>
      </c>
      <c r="H13" s="98"/>
      <c r="I13" s="98"/>
      <c r="J13" s="99"/>
    </row>
    <row r="14" spans="1:10" ht="33.6" customHeight="1" x14ac:dyDescent="0.3">
      <c r="A14" s="106"/>
      <c r="B14" s="107"/>
      <c r="C14" s="107"/>
      <c r="D14" s="107"/>
      <c r="E14" s="108"/>
      <c r="G14" s="100"/>
      <c r="H14" s="101"/>
      <c r="I14" s="101"/>
      <c r="J14" s="102"/>
    </row>
    <row r="16" spans="1:10" ht="14.4" thickBot="1" x14ac:dyDescent="0.35"/>
    <row r="17" spans="1:4" ht="16.8" customHeight="1" x14ac:dyDescent="0.3">
      <c r="A17" s="109" t="s">
        <v>36</v>
      </c>
      <c r="B17" s="21" t="s">
        <v>34</v>
      </c>
      <c r="C17" s="21" t="s">
        <v>33</v>
      </c>
      <c r="D17" s="15" t="s">
        <v>35</v>
      </c>
    </row>
    <row r="18" spans="1:4" ht="23.4" customHeight="1" thickBot="1" x14ac:dyDescent="0.35">
      <c r="A18" s="110"/>
      <c r="B18" s="12">
        <v>0</v>
      </c>
      <c r="C18" s="12">
        <v>100</v>
      </c>
      <c r="D18" s="26">
        <v>20</v>
      </c>
    </row>
    <row r="20" spans="1:4" x14ac:dyDescent="0.3">
      <c r="A20" s="111" t="s">
        <v>39</v>
      </c>
      <c r="B20" s="111"/>
    </row>
    <row r="21" spans="1:4" x14ac:dyDescent="0.3">
      <c r="A21" s="3" t="s">
        <v>37</v>
      </c>
      <c r="B21" s="3" t="s">
        <v>38</v>
      </c>
    </row>
    <row r="22" spans="1:4" x14ac:dyDescent="0.3">
      <c r="A22" s="2">
        <f>B18</f>
        <v>0</v>
      </c>
      <c r="B22" s="2">
        <f>($J$12/(1+EXP($H$12+$I$12*A22)))-1</f>
        <v>-1.4084507042253946E-2</v>
      </c>
    </row>
    <row r="23" spans="1:4" x14ac:dyDescent="0.3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3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3">
      <c r="A25" s="2">
        <f t="shared" si="1"/>
        <v>15</v>
      </c>
      <c r="B25" s="2">
        <f t="shared" si="0"/>
        <v>14.549143800281053</v>
      </c>
    </row>
    <row r="26" spans="1:4" x14ac:dyDescent="0.3">
      <c r="A26" s="2">
        <f t="shared" si="1"/>
        <v>20</v>
      </c>
      <c r="B26" s="2">
        <f t="shared" si="0"/>
        <v>29.563380281690133</v>
      </c>
    </row>
    <row r="27" spans="1:4" x14ac:dyDescent="0.3">
      <c r="A27" s="2">
        <f t="shared" si="1"/>
        <v>25</v>
      </c>
      <c r="B27" s="2">
        <f t="shared" si="0"/>
        <v>46.443381393398674</v>
      </c>
    </row>
    <row r="28" spans="1:4" x14ac:dyDescent="0.3">
      <c r="A28" s="2">
        <f t="shared" si="1"/>
        <v>30</v>
      </c>
      <c r="B28" s="2">
        <f t="shared" si="0"/>
        <v>58.565058904816425</v>
      </c>
    </row>
    <row r="29" spans="1:4" x14ac:dyDescent="0.3">
      <c r="A29" s="2">
        <f t="shared" si="1"/>
        <v>35</v>
      </c>
      <c r="B29" s="2">
        <f t="shared" si="0"/>
        <v>64.755462936002587</v>
      </c>
    </row>
    <row r="30" spans="1:4" x14ac:dyDescent="0.3">
      <c r="A30" s="2">
        <f t="shared" si="1"/>
        <v>40</v>
      </c>
      <c r="B30" s="2">
        <f t="shared" si="0"/>
        <v>67.373747640482065</v>
      </c>
    </row>
    <row r="31" spans="1:4" x14ac:dyDescent="0.3">
      <c r="A31" s="2">
        <f t="shared" si="1"/>
        <v>45</v>
      </c>
      <c r="B31" s="2">
        <f t="shared" si="0"/>
        <v>68.391855033022836</v>
      </c>
    </row>
    <row r="32" spans="1:4" x14ac:dyDescent="0.3">
      <c r="A32" s="2">
        <f t="shared" si="1"/>
        <v>50</v>
      </c>
      <c r="B32" s="2">
        <f t="shared" si="0"/>
        <v>68.774681657683672</v>
      </c>
    </row>
    <row r="33" spans="1:2" x14ac:dyDescent="0.3">
      <c r="A33" s="2">
        <f t="shared" si="1"/>
        <v>55</v>
      </c>
      <c r="B33" s="2">
        <f t="shared" si="0"/>
        <v>68.91680823426843</v>
      </c>
    </row>
    <row r="34" spans="1:2" x14ac:dyDescent="0.3">
      <c r="A34" s="2">
        <f>A33+(($C$18-$B$18)/$D$18)</f>
        <v>60</v>
      </c>
      <c r="B34" s="2">
        <f t="shared" si="0"/>
        <v>68.969323452015516</v>
      </c>
    </row>
    <row r="35" spans="1:2" x14ac:dyDescent="0.3">
      <c r="A35" s="2">
        <f t="shared" si="1"/>
        <v>65</v>
      </c>
      <c r="B35" s="2">
        <f t="shared" si="0"/>
        <v>68.988693537060527</v>
      </c>
    </row>
    <row r="36" spans="1:2" x14ac:dyDescent="0.3">
      <c r="A36" s="2">
        <f t="shared" si="1"/>
        <v>70</v>
      </c>
      <c r="B36" s="2">
        <f t="shared" si="0"/>
        <v>68.995833502451546</v>
      </c>
    </row>
    <row r="37" spans="1:2" x14ac:dyDescent="0.3">
      <c r="A37" s="2">
        <f t="shared" si="1"/>
        <v>75</v>
      </c>
      <c r="B37" s="2">
        <f t="shared" si="0"/>
        <v>68.998464720255058</v>
      </c>
    </row>
    <row r="38" spans="1:2" x14ac:dyDescent="0.3">
      <c r="A38" s="2">
        <f t="shared" si="1"/>
        <v>80</v>
      </c>
      <c r="B38" s="2">
        <f t="shared" si="0"/>
        <v>68.999434290332985</v>
      </c>
    </row>
    <row r="39" spans="1:2" x14ac:dyDescent="0.3">
      <c r="A39" s="2">
        <f t="shared" si="1"/>
        <v>85</v>
      </c>
      <c r="B39" s="2">
        <f t="shared" si="0"/>
        <v>68.999791552888652</v>
      </c>
    </row>
    <row r="40" spans="1:2" x14ac:dyDescent="0.3">
      <c r="A40" s="2">
        <f t="shared" si="1"/>
        <v>90</v>
      </c>
      <c r="B40" s="2">
        <f t="shared" si="0"/>
        <v>68.999923193714523</v>
      </c>
    </row>
    <row r="41" spans="1:2" x14ac:dyDescent="0.3">
      <c r="A41" s="2">
        <f>A40+(($C$18-$B$18)/$D$18)</f>
        <v>95</v>
      </c>
      <c r="B41" s="2">
        <f t="shared" si="0"/>
        <v>68.999971699303273</v>
      </c>
    </row>
    <row r="42" spans="1:2" x14ac:dyDescent="0.3">
      <c r="A42" s="2">
        <f t="shared" si="1"/>
        <v>100</v>
      </c>
      <c r="B42" s="2">
        <f t="shared" si="0"/>
        <v>68.999989572089319</v>
      </c>
    </row>
  </sheetData>
  <mergeCells count="12">
    <mergeCell ref="F2:J2"/>
    <mergeCell ref="B7:C7"/>
    <mergeCell ref="A7:A9"/>
    <mergeCell ref="A11:A12"/>
    <mergeCell ref="D7:E7"/>
    <mergeCell ref="F7:G7"/>
    <mergeCell ref="G11:G12"/>
    <mergeCell ref="G13:J14"/>
    <mergeCell ref="A13:E14"/>
    <mergeCell ref="A17:A18"/>
    <mergeCell ref="A20:B20"/>
    <mergeCell ref="B4:D4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 tint="4.9989318521683403E-2"/>
  </sheetPr>
  <dimension ref="A1:J43"/>
  <sheetViews>
    <sheetView workbookViewId="0">
      <selection activeCell="F2" sqref="F2:J3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0" ht="14.4" thickBot="1" x14ac:dyDescent="0.35">
      <c r="A1" s="6" t="s">
        <v>2</v>
      </c>
      <c r="B1" s="1" t="s">
        <v>42</v>
      </c>
    </row>
    <row r="2" spans="1:10" x14ac:dyDescent="0.3">
      <c r="A2" s="7" t="s">
        <v>4</v>
      </c>
      <c r="B2" s="8" t="s">
        <v>15</v>
      </c>
      <c r="C2" s="9" t="s">
        <v>6</v>
      </c>
      <c r="D2" s="10" t="s">
        <v>8</v>
      </c>
      <c r="F2" s="88" t="s">
        <v>53</v>
      </c>
      <c r="G2" s="89"/>
      <c r="H2" s="89"/>
      <c r="I2" s="89"/>
      <c r="J2" s="90"/>
    </row>
    <row r="3" spans="1:10" ht="14.4" thickBot="1" x14ac:dyDescent="0.35">
      <c r="A3" s="11" t="s">
        <v>5</v>
      </c>
      <c r="B3" s="12" t="s">
        <v>56</v>
      </c>
      <c r="C3" s="13" t="s">
        <v>7</v>
      </c>
      <c r="D3" s="14" t="s">
        <v>9</v>
      </c>
      <c r="F3" s="91" t="s">
        <v>54</v>
      </c>
      <c r="G3" s="92"/>
      <c r="H3" s="92"/>
      <c r="I3" s="92"/>
      <c r="J3" s="93"/>
    </row>
    <row r="4" spans="1:10" ht="31.8" customHeight="1" thickBot="1" x14ac:dyDescent="0.35">
      <c r="A4" s="31" t="s">
        <v>40</v>
      </c>
      <c r="B4" s="125" t="s">
        <v>43</v>
      </c>
      <c r="C4" s="126"/>
      <c r="D4" s="127"/>
    </row>
    <row r="6" spans="1:10" ht="14.4" thickBot="1" x14ac:dyDescent="0.35"/>
    <row r="7" spans="1:10" ht="27.6" customHeight="1" x14ac:dyDescent="0.3">
      <c r="A7" s="116" t="s">
        <v>10</v>
      </c>
      <c r="B7" s="114" t="s">
        <v>11</v>
      </c>
      <c r="C7" s="115"/>
      <c r="D7" s="119" t="s">
        <v>14</v>
      </c>
      <c r="E7" s="120"/>
      <c r="F7" s="121" t="s">
        <v>26</v>
      </c>
      <c r="G7" s="122"/>
      <c r="H7" s="1" t="s">
        <v>57</v>
      </c>
    </row>
    <row r="8" spans="1:10" ht="27.6" x14ac:dyDescent="0.3">
      <c r="A8" s="117"/>
      <c r="B8" s="3" t="s">
        <v>12</v>
      </c>
      <c r="C8" s="17" t="s">
        <v>13</v>
      </c>
      <c r="D8" s="19" t="s">
        <v>22</v>
      </c>
      <c r="E8" s="17" t="s">
        <v>23</v>
      </c>
      <c r="F8" s="16" t="s">
        <v>24</v>
      </c>
      <c r="G8" s="4" t="s">
        <v>25</v>
      </c>
    </row>
    <row r="9" spans="1:10" ht="14.4" thickBot="1" x14ac:dyDescent="0.35">
      <c r="A9" s="118"/>
      <c r="B9" s="5">
        <v>0</v>
      </c>
      <c r="C9" s="18">
        <v>10000000</v>
      </c>
      <c r="D9" s="22">
        <v>1000000</v>
      </c>
      <c r="E9" s="36">
        <f>$C$13*D9</f>
        <v>10000</v>
      </c>
      <c r="F9" s="20">
        <v>0</v>
      </c>
      <c r="G9" s="37">
        <f>$C$13*F9</f>
        <v>0</v>
      </c>
    </row>
    <row r="10" spans="1:10" ht="14.4" thickBot="1" x14ac:dyDescent="0.35"/>
    <row r="11" spans="1:10" ht="27.6" customHeight="1" x14ac:dyDescent="0.3">
      <c r="A11" s="116" t="s">
        <v>44</v>
      </c>
      <c r="B11" s="94" t="s">
        <v>49</v>
      </c>
      <c r="C11" s="124" t="s">
        <v>48</v>
      </c>
      <c r="D11" s="121"/>
      <c r="E11" s="121"/>
      <c r="F11" s="3" t="s">
        <v>50</v>
      </c>
      <c r="G11" s="35"/>
      <c r="H11" s="34"/>
      <c r="I11" s="34"/>
      <c r="J11" s="34"/>
    </row>
    <row r="12" spans="1:10" x14ac:dyDescent="0.3">
      <c r="A12" s="128"/>
      <c r="B12" s="95"/>
      <c r="C12" s="32" t="s">
        <v>45</v>
      </c>
      <c r="D12" s="32" t="s">
        <v>46</v>
      </c>
      <c r="E12" s="33" t="s">
        <v>47</v>
      </c>
      <c r="F12" s="3" t="s">
        <v>51</v>
      </c>
      <c r="G12" s="35"/>
      <c r="H12" s="34"/>
      <c r="I12" s="34"/>
      <c r="J12" s="34"/>
    </row>
    <row r="13" spans="1:10" x14ac:dyDescent="0.3">
      <c r="A13" s="129"/>
      <c r="B13" s="29">
        <v>0</v>
      </c>
      <c r="C13" s="29">
        <v>0.01</v>
      </c>
      <c r="D13" s="29">
        <v>0</v>
      </c>
      <c r="E13" s="30">
        <v>0</v>
      </c>
      <c r="F13" s="39">
        <v>0</v>
      </c>
      <c r="G13" s="35"/>
      <c r="H13" s="34"/>
      <c r="I13" s="34"/>
      <c r="J13" s="34"/>
    </row>
    <row r="14" spans="1:10" ht="31.8" customHeight="1" x14ac:dyDescent="0.3">
      <c r="A14" s="123" t="s">
        <v>55</v>
      </c>
      <c r="B14" s="123"/>
      <c r="C14" s="123"/>
      <c r="D14" s="123"/>
      <c r="E14" s="123"/>
      <c r="F14" s="123"/>
      <c r="G14" s="40"/>
      <c r="H14" s="41"/>
      <c r="I14" s="41"/>
      <c r="J14" s="41"/>
    </row>
    <row r="15" spans="1:10" ht="30.6" customHeight="1" x14ac:dyDescent="0.3">
      <c r="A15" s="123"/>
      <c r="B15" s="123"/>
      <c r="C15" s="123"/>
      <c r="D15" s="123"/>
      <c r="E15" s="123"/>
      <c r="F15" s="123"/>
      <c r="G15" s="40"/>
      <c r="H15" s="41"/>
      <c r="I15" s="41"/>
      <c r="J15" s="41"/>
    </row>
    <row r="17" spans="1:4" ht="14.4" thickBot="1" x14ac:dyDescent="0.35"/>
    <row r="18" spans="1:4" ht="16.8" customHeight="1" x14ac:dyDescent="0.3">
      <c r="A18" s="109" t="s">
        <v>36</v>
      </c>
      <c r="B18" s="21" t="s">
        <v>34</v>
      </c>
      <c r="C18" s="21" t="s">
        <v>33</v>
      </c>
      <c r="D18" s="15" t="s">
        <v>35</v>
      </c>
    </row>
    <row r="19" spans="1:4" ht="23.4" customHeight="1" thickBot="1" x14ac:dyDescent="0.35">
      <c r="A19" s="110"/>
      <c r="B19" s="12">
        <v>0</v>
      </c>
      <c r="C19" s="12">
        <v>20000000</v>
      </c>
      <c r="D19" s="26">
        <v>20</v>
      </c>
    </row>
    <row r="21" spans="1:4" x14ac:dyDescent="0.3">
      <c r="A21" s="111" t="s">
        <v>39</v>
      </c>
      <c r="B21" s="111"/>
    </row>
    <row r="22" spans="1:4" x14ac:dyDescent="0.3">
      <c r="A22" s="3" t="s">
        <v>37</v>
      </c>
      <c r="B22" s="3" t="s">
        <v>38</v>
      </c>
    </row>
    <row r="23" spans="1:4" x14ac:dyDescent="0.3">
      <c r="A23" s="2">
        <f>B19</f>
        <v>0</v>
      </c>
      <c r="B23" s="38">
        <f t="shared" ref="B23:B43" si="0">$C$13*A23</f>
        <v>0</v>
      </c>
    </row>
    <row r="24" spans="1:4" x14ac:dyDescent="0.3">
      <c r="A24" s="2">
        <f>A23+(($C$19-$B$19)/$D$19)</f>
        <v>1000000</v>
      </c>
      <c r="B24" s="38">
        <f t="shared" si="0"/>
        <v>10000</v>
      </c>
    </row>
    <row r="25" spans="1:4" x14ac:dyDescent="0.3">
      <c r="A25" s="2">
        <f t="shared" ref="A25:A43" si="1">A24+(($C$19-$B$19)/$D$19)</f>
        <v>2000000</v>
      </c>
      <c r="B25" s="38">
        <f t="shared" si="0"/>
        <v>20000</v>
      </c>
    </row>
    <row r="26" spans="1:4" x14ac:dyDescent="0.3">
      <c r="A26" s="2">
        <f t="shared" si="1"/>
        <v>3000000</v>
      </c>
      <c r="B26" s="38">
        <f t="shared" si="0"/>
        <v>30000</v>
      </c>
    </row>
    <row r="27" spans="1:4" x14ac:dyDescent="0.3">
      <c r="A27" s="2">
        <f t="shared" si="1"/>
        <v>4000000</v>
      </c>
      <c r="B27" s="38">
        <f t="shared" si="0"/>
        <v>40000</v>
      </c>
    </row>
    <row r="28" spans="1:4" x14ac:dyDescent="0.3">
      <c r="A28" s="2">
        <f t="shared" si="1"/>
        <v>5000000</v>
      </c>
      <c r="B28" s="38">
        <f t="shared" si="0"/>
        <v>50000</v>
      </c>
    </row>
    <row r="29" spans="1:4" x14ac:dyDescent="0.3">
      <c r="A29" s="2">
        <f t="shared" si="1"/>
        <v>6000000</v>
      </c>
      <c r="B29" s="38">
        <f t="shared" si="0"/>
        <v>60000</v>
      </c>
    </row>
    <row r="30" spans="1:4" x14ac:dyDescent="0.3">
      <c r="A30" s="2">
        <f t="shared" si="1"/>
        <v>7000000</v>
      </c>
      <c r="B30" s="38">
        <f t="shared" si="0"/>
        <v>70000</v>
      </c>
    </row>
    <row r="31" spans="1:4" x14ac:dyDescent="0.3">
      <c r="A31" s="2">
        <f t="shared" si="1"/>
        <v>8000000</v>
      </c>
      <c r="B31" s="38">
        <f t="shared" si="0"/>
        <v>80000</v>
      </c>
    </row>
    <row r="32" spans="1:4" x14ac:dyDescent="0.3">
      <c r="A32" s="2">
        <f t="shared" si="1"/>
        <v>9000000</v>
      </c>
      <c r="B32" s="38">
        <f t="shared" si="0"/>
        <v>90000</v>
      </c>
    </row>
    <row r="33" spans="1:2" x14ac:dyDescent="0.3">
      <c r="A33" s="2">
        <f t="shared" si="1"/>
        <v>10000000</v>
      </c>
      <c r="B33" s="38">
        <f t="shared" si="0"/>
        <v>100000</v>
      </c>
    </row>
    <row r="34" spans="1:2" x14ac:dyDescent="0.3">
      <c r="A34" s="2">
        <f t="shared" si="1"/>
        <v>11000000</v>
      </c>
      <c r="B34" s="38">
        <f t="shared" si="0"/>
        <v>110000</v>
      </c>
    </row>
    <row r="35" spans="1:2" x14ac:dyDescent="0.3">
      <c r="A35" s="2">
        <f>A34+(($C$19-$B$19)/$D$19)</f>
        <v>12000000</v>
      </c>
      <c r="B35" s="38">
        <f t="shared" si="0"/>
        <v>120000</v>
      </c>
    </row>
    <row r="36" spans="1:2" x14ac:dyDescent="0.3">
      <c r="A36" s="2">
        <f t="shared" si="1"/>
        <v>13000000</v>
      </c>
      <c r="B36" s="38">
        <f t="shared" si="0"/>
        <v>130000</v>
      </c>
    </row>
    <row r="37" spans="1:2" x14ac:dyDescent="0.3">
      <c r="A37" s="2">
        <f t="shared" si="1"/>
        <v>14000000</v>
      </c>
      <c r="B37" s="38">
        <f t="shared" si="0"/>
        <v>140000</v>
      </c>
    </row>
    <row r="38" spans="1:2" x14ac:dyDescent="0.3">
      <c r="A38" s="2">
        <f t="shared" si="1"/>
        <v>15000000</v>
      </c>
      <c r="B38" s="38">
        <f t="shared" si="0"/>
        <v>150000</v>
      </c>
    </row>
    <row r="39" spans="1:2" x14ac:dyDescent="0.3">
      <c r="A39" s="2">
        <f t="shared" si="1"/>
        <v>16000000</v>
      </c>
      <c r="B39" s="38">
        <f t="shared" si="0"/>
        <v>160000</v>
      </c>
    </row>
    <row r="40" spans="1:2" x14ac:dyDescent="0.3">
      <c r="A40" s="2">
        <f t="shared" si="1"/>
        <v>17000000</v>
      </c>
      <c r="B40" s="38">
        <f t="shared" si="0"/>
        <v>170000</v>
      </c>
    </row>
    <row r="41" spans="1:2" x14ac:dyDescent="0.3">
      <c r="A41" s="2">
        <f t="shared" si="1"/>
        <v>18000000</v>
      </c>
      <c r="B41" s="38">
        <f t="shared" si="0"/>
        <v>180000</v>
      </c>
    </row>
    <row r="42" spans="1:2" x14ac:dyDescent="0.3">
      <c r="A42" s="2">
        <f>A41+(($C$19-$B$19)/$D$19)</f>
        <v>19000000</v>
      </c>
      <c r="B42" s="38">
        <f t="shared" si="0"/>
        <v>190000</v>
      </c>
    </row>
    <row r="43" spans="1:2" x14ac:dyDescent="0.3">
      <c r="A43" s="2">
        <f t="shared" si="1"/>
        <v>20000000</v>
      </c>
      <c r="B43" s="38">
        <f t="shared" si="0"/>
        <v>200000</v>
      </c>
    </row>
  </sheetData>
  <mergeCells count="13">
    <mergeCell ref="F3:J3"/>
    <mergeCell ref="F2:J2"/>
    <mergeCell ref="A14:F15"/>
    <mergeCell ref="A18:A19"/>
    <mergeCell ref="A21:B21"/>
    <mergeCell ref="B11:B12"/>
    <mergeCell ref="C11:E11"/>
    <mergeCell ref="B4:D4"/>
    <mergeCell ref="A7:A9"/>
    <mergeCell ref="B7:C7"/>
    <mergeCell ref="D7:E7"/>
    <mergeCell ref="F7:G7"/>
    <mergeCell ref="A11:A1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 tint="4.9989318521683403E-2"/>
  </sheetPr>
  <dimension ref="A1:N47"/>
  <sheetViews>
    <sheetView topLeftCell="A22" workbookViewId="0">
      <selection activeCell="A20" sqref="A20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4.88671875" style="1" customWidth="1"/>
    <col min="6" max="6" width="11.10937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4" ht="14.4" thickBot="1" x14ac:dyDescent="0.35">
      <c r="A1" s="6" t="s">
        <v>2</v>
      </c>
      <c r="B1" s="1" t="s">
        <v>58</v>
      </c>
    </row>
    <row r="2" spans="1:14" x14ac:dyDescent="0.3">
      <c r="A2" s="7" t="s">
        <v>4</v>
      </c>
      <c r="B2" s="8" t="s">
        <v>15</v>
      </c>
      <c r="C2" s="9" t="s">
        <v>6</v>
      </c>
      <c r="D2" s="10" t="s">
        <v>8</v>
      </c>
      <c r="F2" s="88" t="s">
        <v>52</v>
      </c>
      <c r="G2" s="89"/>
      <c r="H2" s="89"/>
      <c r="I2" s="89"/>
      <c r="J2" s="90"/>
    </row>
    <row r="3" spans="1:14" ht="14.4" thickBot="1" x14ac:dyDescent="0.35">
      <c r="A3" s="11" t="s">
        <v>5</v>
      </c>
      <c r="B3" s="12" t="s">
        <v>59</v>
      </c>
      <c r="C3" s="13" t="s">
        <v>7</v>
      </c>
      <c r="D3" s="14" t="s">
        <v>9</v>
      </c>
      <c r="F3" s="91" t="s">
        <v>75</v>
      </c>
      <c r="G3" s="92"/>
      <c r="H3" s="92"/>
      <c r="I3" s="92"/>
      <c r="J3" s="93"/>
    </row>
    <row r="4" spans="1:14" ht="14.4" thickBot="1" x14ac:dyDescent="0.35">
      <c r="A4" s="31" t="s">
        <v>40</v>
      </c>
      <c r="B4" s="112" t="s">
        <v>60</v>
      </c>
      <c r="C4" s="112"/>
      <c r="D4" s="113"/>
    </row>
    <row r="6" spans="1:14" ht="14.4" thickBot="1" x14ac:dyDescent="0.35"/>
    <row r="7" spans="1:14" ht="27.6" customHeight="1" x14ac:dyDescent="0.3">
      <c r="A7" s="116" t="s">
        <v>10</v>
      </c>
      <c r="B7" s="114" t="s">
        <v>11</v>
      </c>
      <c r="C7" s="115"/>
      <c r="D7" s="119" t="s">
        <v>14</v>
      </c>
      <c r="E7" s="120"/>
      <c r="F7" s="121" t="s">
        <v>26</v>
      </c>
      <c r="G7" s="122"/>
      <c r="I7" s="135" t="s">
        <v>76</v>
      </c>
      <c r="J7" s="135"/>
      <c r="K7" s="135"/>
      <c r="L7" s="135"/>
      <c r="N7" s="49" t="s">
        <v>61</v>
      </c>
    </row>
    <row r="8" spans="1:14" ht="27.6" x14ac:dyDescent="0.3">
      <c r="A8" s="117"/>
      <c r="B8" s="3" t="s">
        <v>12</v>
      </c>
      <c r="C8" s="17" t="s">
        <v>13</v>
      </c>
      <c r="D8" s="19" t="s">
        <v>22</v>
      </c>
      <c r="E8" s="17" t="s">
        <v>23</v>
      </c>
      <c r="F8" s="16" t="s">
        <v>24</v>
      </c>
      <c r="G8" s="4" t="s">
        <v>25</v>
      </c>
      <c r="I8" s="135"/>
      <c r="J8" s="135"/>
      <c r="K8" s="135"/>
      <c r="L8" s="135"/>
      <c r="N8" s="49" t="s">
        <v>62</v>
      </c>
    </row>
    <row r="9" spans="1:14" ht="14.4" thickBot="1" x14ac:dyDescent="0.35">
      <c r="A9" s="118"/>
      <c r="B9" s="5">
        <v>0</v>
      </c>
      <c r="C9" s="18">
        <v>5</v>
      </c>
      <c r="D9" s="22">
        <v>3.5</v>
      </c>
      <c r="E9" s="36">
        <f>csplinePred($B$12:$B$17,$C$12:$C$17,$F$12:$M$17,D9)</f>
        <v>0.89324162679425823</v>
      </c>
      <c r="F9" s="20">
        <v>1.5</v>
      </c>
      <c r="G9" s="14">
        <v>0.5</v>
      </c>
    </row>
    <row r="10" spans="1:14" ht="14.4" thickBot="1" x14ac:dyDescent="0.35"/>
    <row r="11" spans="1:14" ht="13.8" customHeight="1" x14ac:dyDescent="0.3">
      <c r="A11" s="111" t="s">
        <v>63</v>
      </c>
      <c r="B11" s="3" t="s">
        <v>64</v>
      </c>
      <c r="C11" s="3" t="s">
        <v>65</v>
      </c>
      <c r="D11" s="34"/>
      <c r="E11" s="133" t="s">
        <v>74</v>
      </c>
      <c r="F11" s="21" t="s">
        <v>66</v>
      </c>
      <c r="G11" s="21" t="s">
        <v>67</v>
      </c>
      <c r="H11" s="21" t="s">
        <v>68</v>
      </c>
      <c r="I11" s="21" t="s">
        <v>69</v>
      </c>
      <c r="J11" s="21" t="s">
        <v>70</v>
      </c>
      <c r="K11" s="21" t="s">
        <v>71</v>
      </c>
      <c r="L11" s="21" t="s">
        <v>72</v>
      </c>
      <c r="M11" s="21" t="s">
        <v>73</v>
      </c>
    </row>
    <row r="12" spans="1:14" ht="14.4" customHeight="1" x14ac:dyDescent="0.3">
      <c r="A12" s="111"/>
      <c r="B12" s="43">
        <v>0</v>
      </c>
      <c r="C12" s="43">
        <v>0</v>
      </c>
      <c r="D12" s="34"/>
      <c r="E12" s="134"/>
      <c r="F12" s="45">
        <f t="array" ref="F12:M17">csplinea($B$12:$B$17,$C$12:$C$17,$B$12:$B$17,2)</f>
        <v>1</v>
      </c>
      <c r="G12" s="45">
        <v>0</v>
      </c>
      <c r="H12" s="45">
        <v>1</v>
      </c>
      <c r="I12" s="46">
        <v>0</v>
      </c>
      <c r="J12" s="46">
        <v>0</v>
      </c>
      <c r="K12" s="46">
        <v>1.0191387559808613</v>
      </c>
      <c r="L12" s="46">
        <v>0</v>
      </c>
      <c r="M12" s="46">
        <v>-0.26913875598086129</v>
      </c>
    </row>
    <row r="13" spans="1:14" ht="14.4" customHeight="1" x14ac:dyDescent="0.3">
      <c r="A13" s="111"/>
      <c r="B13" s="43">
        <v>1</v>
      </c>
      <c r="C13" s="43">
        <v>0.75</v>
      </c>
      <c r="D13" s="34"/>
      <c r="E13" s="134"/>
      <c r="F13" s="45">
        <v>1</v>
      </c>
      <c r="G13" s="45">
        <v>-4.5</v>
      </c>
      <c r="H13" s="45">
        <v>4</v>
      </c>
      <c r="I13" s="46">
        <v>0.25</v>
      </c>
      <c r="J13" s="46">
        <v>-1.125</v>
      </c>
      <c r="K13" s="46">
        <v>0.21172248803827753</v>
      </c>
      <c r="L13" s="46">
        <v>-0.80741626794258381</v>
      </c>
      <c r="M13" s="46">
        <v>-0.15430622009569372</v>
      </c>
    </row>
    <row r="14" spans="1:14" ht="14.4" customHeight="1" x14ac:dyDescent="0.3">
      <c r="A14" s="111"/>
      <c r="B14" s="43">
        <v>2</v>
      </c>
      <c r="C14" s="43">
        <v>0</v>
      </c>
      <c r="D14" s="34"/>
      <c r="E14" s="134"/>
      <c r="F14" s="45">
        <v>1</v>
      </c>
      <c r="G14" s="45">
        <v>-0.75</v>
      </c>
      <c r="H14" s="45">
        <v>3.75</v>
      </c>
      <c r="I14" s="46">
        <v>0.26666666666666666</v>
      </c>
      <c r="J14" s="46">
        <v>0.1</v>
      </c>
      <c r="K14" s="46">
        <v>-1.866028708133971</v>
      </c>
      <c r="L14" s="46">
        <v>-1.270334928229665</v>
      </c>
      <c r="M14" s="46">
        <v>2.1363636363636362</v>
      </c>
    </row>
    <row r="15" spans="1:14" ht="14.4" customHeight="1" x14ac:dyDescent="0.3">
      <c r="A15" s="111"/>
      <c r="B15" s="43">
        <v>3</v>
      </c>
      <c r="C15" s="43">
        <v>-1</v>
      </c>
      <c r="D15" s="34"/>
      <c r="E15" s="134"/>
      <c r="F15" s="45">
        <v>1</v>
      </c>
      <c r="G15" s="45">
        <v>15</v>
      </c>
      <c r="H15" s="45">
        <v>3.7333333333333334</v>
      </c>
      <c r="I15" s="46">
        <v>0.26785714285714285</v>
      </c>
      <c r="J15" s="46">
        <v>3.9910714285714284</v>
      </c>
      <c r="K15" s="46">
        <v>2.0023923444976077</v>
      </c>
      <c r="L15" s="46">
        <v>5.1387559808612435</v>
      </c>
      <c r="M15" s="46">
        <v>-3.1411483253588517</v>
      </c>
    </row>
    <row r="16" spans="1:14" ht="14.4" customHeight="1" x14ac:dyDescent="0.3">
      <c r="A16" s="111"/>
      <c r="B16" s="43">
        <v>4</v>
      </c>
      <c r="C16" s="43">
        <v>3</v>
      </c>
      <c r="D16" s="34"/>
      <c r="E16" s="134"/>
      <c r="F16" s="45">
        <v>1</v>
      </c>
      <c r="G16" s="45">
        <v>-12</v>
      </c>
      <c r="H16" s="45">
        <v>3.7321428571428572</v>
      </c>
      <c r="I16" s="46">
        <v>0.26794258373205743</v>
      </c>
      <c r="J16" s="46">
        <v>-4.2846889952153111</v>
      </c>
      <c r="K16" s="46">
        <v>2.8564593301435406</v>
      </c>
      <c r="L16" s="46">
        <v>-4.2846889952153111</v>
      </c>
      <c r="M16" s="46">
        <v>1.4282296650717703</v>
      </c>
    </row>
    <row r="17" spans="1:13" ht="15" customHeight="1" x14ac:dyDescent="0.3">
      <c r="A17" s="111"/>
      <c r="B17" s="44">
        <v>5</v>
      </c>
      <c r="C17" s="44">
        <v>3</v>
      </c>
      <c r="D17" s="42"/>
      <c r="E17" s="134"/>
      <c r="F17" s="47">
        <v>0</v>
      </c>
      <c r="G17" s="47">
        <v>0</v>
      </c>
      <c r="H17" s="47">
        <v>1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</row>
    <row r="18" spans="1:13" ht="39" customHeight="1" x14ac:dyDescent="0.3">
      <c r="A18" s="130" t="s">
        <v>77</v>
      </c>
      <c r="B18" s="131"/>
      <c r="C18" s="132"/>
      <c r="D18" s="35"/>
      <c r="E18" s="123" t="s">
        <v>78</v>
      </c>
      <c r="F18" s="123"/>
      <c r="G18" s="123"/>
      <c r="H18" s="123"/>
      <c r="I18" s="123"/>
      <c r="J18" s="123"/>
      <c r="K18" s="123"/>
      <c r="L18" s="123"/>
      <c r="M18" s="123"/>
    </row>
    <row r="19" spans="1:13" ht="35.4" customHeight="1" x14ac:dyDescent="0.3">
      <c r="A19" s="106"/>
      <c r="B19" s="107"/>
      <c r="C19" s="108"/>
      <c r="D19" s="35"/>
      <c r="E19" s="123"/>
      <c r="F19" s="123"/>
      <c r="G19" s="123"/>
      <c r="H19" s="123"/>
      <c r="I19" s="123"/>
      <c r="J19" s="123"/>
      <c r="K19" s="123"/>
      <c r="L19" s="123"/>
      <c r="M19" s="123"/>
    </row>
    <row r="21" spans="1:13" ht="14.4" thickBot="1" x14ac:dyDescent="0.35"/>
    <row r="22" spans="1:13" ht="16.8" customHeight="1" x14ac:dyDescent="0.3">
      <c r="A22" s="109" t="s">
        <v>36</v>
      </c>
      <c r="B22" s="21" t="s">
        <v>34</v>
      </c>
      <c r="C22" s="21" t="s">
        <v>33</v>
      </c>
      <c r="D22" s="15" t="s">
        <v>35</v>
      </c>
    </row>
    <row r="23" spans="1:13" ht="23.4" customHeight="1" thickBot="1" x14ac:dyDescent="0.35">
      <c r="A23" s="110"/>
      <c r="B23" s="12">
        <v>0</v>
      </c>
      <c r="C23" s="12">
        <v>5</v>
      </c>
      <c r="D23" s="26">
        <v>20</v>
      </c>
    </row>
    <row r="25" spans="1:13" x14ac:dyDescent="0.3">
      <c r="A25" s="111" t="s">
        <v>39</v>
      </c>
      <c r="B25" s="111"/>
    </row>
    <row r="26" spans="1:13" x14ac:dyDescent="0.3">
      <c r="A26" s="3" t="s">
        <v>37</v>
      </c>
      <c r="B26" s="3" t="s">
        <v>38</v>
      </c>
    </row>
    <row r="27" spans="1:13" x14ac:dyDescent="0.3">
      <c r="A27" s="2">
        <f>B23</f>
        <v>0</v>
      </c>
      <c r="B27" s="38">
        <f>csplinePred($B$12:$B$17,$C$12:$C$17,$F$12:$M$17,A27)</f>
        <v>0</v>
      </c>
    </row>
    <row r="28" spans="1:13" x14ac:dyDescent="0.3">
      <c r="A28" s="2">
        <f>A27+(($C$23-$B$23)/$D$23)</f>
        <v>0.25</v>
      </c>
      <c r="B28" s="38">
        <f t="shared" ref="B28:B47" si="0">csplinePred($B$12:$B$17,$C$12:$C$17,$F$12:$M$17,A28)</f>
        <v>0.25057939593301437</v>
      </c>
    </row>
    <row r="29" spans="1:13" x14ac:dyDescent="0.3">
      <c r="A29" s="2">
        <f t="shared" ref="A29:A47" si="1">A28+(($C$23-$B$23)/$D$23)</f>
        <v>0.5</v>
      </c>
      <c r="B29" s="38">
        <f t="shared" si="0"/>
        <v>0.475927033492823</v>
      </c>
    </row>
    <row r="30" spans="1:13" x14ac:dyDescent="0.3">
      <c r="A30" s="2">
        <f t="shared" si="1"/>
        <v>0.75</v>
      </c>
      <c r="B30" s="38">
        <f t="shared" si="0"/>
        <v>0.65081115430622016</v>
      </c>
    </row>
    <row r="31" spans="1:13" x14ac:dyDescent="0.3">
      <c r="A31" s="2">
        <f t="shared" si="1"/>
        <v>1</v>
      </c>
      <c r="B31" s="38">
        <f t="shared" si="0"/>
        <v>0.75</v>
      </c>
    </row>
    <row r="32" spans="1:13" x14ac:dyDescent="0.3">
      <c r="A32" s="2">
        <f t="shared" si="1"/>
        <v>1.25</v>
      </c>
      <c r="B32" s="38">
        <f t="shared" si="0"/>
        <v>0.75005607057416268</v>
      </c>
    </row>
    <row r="33" spans="1:2" x14ac:dyDescent="0.3">
      <c r="A33" s="2">
        <f t="shared" si="1"/>
        <v>1.5</v>
      </c>
      <c r="B33" s="38">
        <f t="shared" si="0"/>
        <v>0.63471889952153115</v>
      </c>
    </row>
    <row r="34" spans="1:2" x14ac:dyDescent="0.3">
      <c r="A34" s="2">
        <f t="shared" si="1"/>
        <v>1.75</v>
      </c>
      <c r="B34" s="38">
        <f t="shared" si="0"/>
        <v>0.389522278708134</v>
      </c>
    </row>
    <row r="35" spans="1:2" x14ac:dyDescent="0.3">
      <c r="A35" s="2">
        <f t="shared" si="1"/>
        <v>2</v>
      </c>
      <c r="B35" s="38">
        <f t="shared" si="0"/>
        <v>0</v>
      </c>
    </row>
    <row r="36" spans="1:2" x14ac:dyDescent="0.3">
      <c r="A36" s="2">
        <f t="shared" si="1"/>
        <v>2.25</v>
      </c>
      <c r="B36" s="38">
        <f t="shared" si="0"/>
        <v>-0.51252242822966498</v>
      </c>
    </row>
    <row r="37" spans="1:2" x14ac:dyDescent="0.3">
      <c r="A37" s="2">
        <f t="shared" si="1"/>
        <v>2.5</v>
      </c>
      <c r="B37" s="38">
        <f t="shared" si="0"/>
        <v>-0.98355263157894723</v>
      </c>
    </row>
    <row r="38" spans="1:2" x14ac:dyDescent="0.3">
      <c r="A38" s="2">
        <f t="shared" si="1"/>
        <v>2.75</v>
      </c>
      <c r="B38" s="38">
        <f t="shared" si="0"/>
        <v>-1.2128065191387558</v>
      </c>
    </row>
    <row r="39" spans="1:2" x14ac:dyDescent="0.3">
      <c r="A39" s="2">
        <f>A38+(($C$23-$B$23)/$D$23)</f>
        <v>3</v>
      </c>
      <c r="B39" s="38">
        <f t="shared" si="0"/>
        <v>-1</v>
      </c>
    </row>
    <row r="40" spans="1:2" x14ac:dyDescent="0.3">
      <c r="A40" s="2">
        <f t="shared" si="1"/>
        <v>3.25</v>
      </c>
      <c r="B40" s="38">
        <f t="shared" si="0"/>
        <v>-0.22731010765550241</v>
      </c>
    </row>
    <row r="41" spans="1:2" x14ac:dyDescent="0.3">
      <c r="A41" s="2">
        <f t="shared" si="1"/>
        <v>3.5</v>
      </c>
      <c r="B41" s="38">
        <f t="shared" si="0"/>
        <v>0.89324162679425823</v>
      </c>
    </row>
    <row r="42" spans="1:2" x14ac:dyDescent="0.3">
      <c r="A42" s="2">
        <f t="shared" si="1"/>
        <v>3.75</v>
      </c>
      <c r="B42" s="38">
        <f t="shared" si="0"/>
        <v>2.0671725478468899</v>
      </c>
    </row>
    <row r="43" spans="1:2" x14ac:dyDescent="0.3">
      <c r="A43" s="2">
        <f t="shared" si="1"/>
        <v>4</v>
      </c>
      <c r="B43" s="38">
        <f t="shared" si="0"/>
        <v>3</v>
      </c>
    </row>
    <row r="44" spans="1:2" x14ac:dyDescent="0.3">
      <c r="A44" s="2">
        <f t="shared" si="1"/>
        <v>4.25</v>
      </c>
      <c r="B44" s="38">
        <f t="shared" si="0"/>
        <v>3.4686378588516744</v>
      </c>
    </row>
    <row r="45" spans="1:2" x14ac:dyDescent="0.3">
      <c r="A45" s="2">
        <f t="shared" si="1"/>
        <v>4.5</v>
      </c>
      <c r="B45" s="38">
        <f t="shared" si="0"/>
        <v>3.535586124401914</v>
      </c>
    </row>
    <row r="46" spans="1:2" x14ac:dyDescent="0.3">
      <c r="A46" s="2">
        <f>A45+(($C$23-$B$23)/$D$23)</f>
        <v>4.75</v>
      </c>
      <c r="B46" s="38">
        <f t="shared" si="0"/>
        <v>3.3347413277511961</v>
      </c>
    </row>
    <row r="47" spans="1:2" x14ac:dyDescent="0.3">
      <c r="A47" s="2">
        <f t="shared" si="1"/>
        <v>5</v>
      </c>
      <c r="B47" s="38">
        <f t="shared" si="0"/>
        <v>2.9999999999999996</v>
      </c>
    </row>
  </sheetData>
  <mergeCells count="14">
    <mergeCell ref="A22:A23"/>
    <mergeCell ref="A25:B25"/>
    <mergeCell ref="A18:C19"/>
    <mergeCell ref="F2:J2"/>
    <mergeCell ref="B4:D4"/>
    <mergeCell ref="A7:A9"/>
    <mergeCell ref="B7:C7"/>
    <mergeCell ref="D7:E7"/>
    <mergeCell ref="F7:G7"/>
    <mergeCell ref="E11:E17"/>
    <mergeCell ref="E18:M19"/>
    <mergeCell ref="F3:J3"/>
    <mergeCell ref="I7:L8"/>
    <mergeCell ref="A11:A1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A1:O42"/>
  <sheetViews>
    <sheetView tabSelected="1" workbookViewId="0">
      <selection activeCell="F18" sqref="F18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384" width="8.88671875" style="1"/>
  </cols>
  <sheetData>
    <row r="1" spans="1:15" ht="14.4" thickBot="1" x14ac:dyDescent="0.35">
      <c r="A1" s="6" t="s">
        <v>2</v>
      </c>
      <c r="B1" s="1" t="s">
        <v>3</v>
      </c>
    </row>
    <row r="2" spans="1:15" x14ac:dyDescent="0.3">
      <c r="A2" s="7" t="s">
        <v>4</v>
      </c>
      <c r="B2" s="8" t="s">
        <v>126</v>
      </c>
      <c r="C2" s="9" t="s">
        <v>6</v>
      </c>
      <c r="D2" s="10" t="s">
        <v>8</v>
      </c>
      <c r="H2" s="50" t="s">
        <v>52</v>
      </c>
      <c r="I2" s="51"/>
      <c r="J2" s="51"/>
      <c r="K2" s="51"/>
      <c r="L2" s="52"/>
    </row>
    <row r="3" spans="1:15" ht="14.4" thickBot="1" x14ac:dyDescent="0.35">
      <c r="A3" s="136" t="s">
        <v>5</v>
      </c>
      <c r="B3" s="29" t="s">
        <v>127</v>
      </c>
      <c r="C3" s="6" t="s">
        <v>7</v>
      </c>
      <c r="D3" s="30" t="s">
        <v>9</v>
      </c>
      <c r="E3" s="6" t="s">
        <v>128</v>
      </c>
      <c r="F3" s="30" t="s">
        <v>129</v>
      </c>
    </row>
    <row r="4" spans="1:15" ht="15" customHeight="1" thickBot="1" x14ac:dyDescent="0.35">
      <c r="A4" s="31" t="s">
        <v>40</v>
      </c>
      <c r="B4" s="137" t="s">
        <v>130</v>
      </c>
      <c r="C4" s="137"/>
      <c r="D4" s="137"/>
      <c r="E4" s="137"/>
      <c r="F4" s="138"/>
      <c r="H4" s="1" t="s">
        <v>131</v>
      </c>
    </row>
    <row r="5" spans="1:15" x14ac:dyDescent="0.3">
      <c r="H5" s="1" t="s">
        <v>132</v>
      </c>
    </row>
    <row r="6" spans="1:15" ht="14.4" thickBot="1" x14ac:dyDescent="0.35">
      <c r="B6" s="139">
        <v>0.6</v>
      </c>
      <c r="C6" s="139">
        <v>1.3</v>
      </c>
    </row>
    <row r="7" spans="1:15" ht="27.6" customHeight="1" x14ac:dyDescent="0.3">
      <c r="A7" s="116" t="s">
        <v>10</v>
      </c>
      <c r="B7" s="114" t="s">
        <v>11</v>
      </c>
      <c r="C7" s="115"/>
      <c r="D7" s="119" t="s">
        <v>14</v>
      </c>
      <c r="E7" s="120"/>
      <c r="F7" s="121" t="s">
        <v>26</v>
      </c>
      <c r="G7" s="122"/>
    </row>
    <row r="8" spans="1:15" ht="27.6" x14ac:dyDescent="0.3">
      <c r="A8" s="117"/>
      <c r="B8" s="54" t="s">
        <v>12</v>
      </c>
      <c r="C8" s="17" t="s">
        <v>13</v>
      </c>
      <c r="D8" s="19" t="s">
        <v>22</v>
      </c>
      <c r="E8" s="17" t="s">
        <v>23</v>
      </c>
      <c r="F8" s="62" t="s">
        <v>24</v>
      </c>
      <c r="G8" s="4" t="s">
        <v>25</v>
      </c>
    </row>
    <row r="9" spans="1:15" ht="14.4" thickBot="1" x14ac:dyDescent="0.35">
      <c r="A9" s="118"/>
      <c r="B9" s="140">
        <f>B6*B12</f>
        <v>13460703.6</v>
      </c>
      <c r="C9" s="140">
        <f>C6*B12</f>
        <v>29164857.800000001</v>
      </c>
      <c r="D9" s="141">
        <f>F9</f>
        <v>22434506</v>
      </c>
      <c r="E9" s="142">
        <f>(($O$12/(1+EXP($M$12+$N$12*D9)))-1) - ($F$12-$C$12)</f>
        <v>135699.36912083253</v>
      </c>
      <c r="F9" s="140">
        <f>B12</f>
        <v>22434506</v>
      </c>
      <c r="G9" s="143">
        <f>C12</f>
        <v>135699.3691208323</v>
      </c>
    </row>
    <row r="10" spans="1:15" ht="14.4" thickBot="1" x14ac:dyDescent="0.35"/>
    <row r="11" spans="1:15" ht="51.6" customHeight="1" x14ac:dyDescent="0.3">
      <c r="A11" s="116" t="s">
        <v>17</v>
      </c>
      <c r="B11" s="53" t="s">
        <v>18</v>
      </c>
      <c r="C11" s="53" t="s">
        <v>19</v>
      </c>
      <c r="D11" s="53" t="s">
        <v>20</v>
      </c>
      <c r="E11" s="53" t="s">
        <v>21</v>
      </c>
      <c r="F11" s="15" t="s">
        <v>133</v>
      </c>
      <c r="H11" s="109" t="s">
        <v>27</v>
      </c>
      <c r="I11" s="53" t="s">
        <v>134</v>
      </c>
      <c r="J11" s="53" t="s">
        <v>135</v>
      </c>
      <c r="K11" s="53" t="s">
        <v>136</v>
      </c>
      <c r="L11" s="53" t="s">
        <v>137</v>
      </c>
      <c r="M11" s="53" t="s">
        <v>28</v>
      </c>
      <c r="N11" s="53" t="s">
        <v>29</v>
      </c>
      <c r="O11" s="15" t="s">
        <v>30</v>
      </c>
    </row>
    <row r="12" spans="1:15" ht="15" customHeight="1" thickBot="1" x14ac:dyDescent="0.35">
      <c r="A12" s="118"/>
      <c r="B12" s="140">
        <v>22434506</v>
      </c>
      <c r="C12" s="143">
        <v>135699.3691208323</v>
      </c>
      <c r="D12" s="12">
        <v>0</v>
      </c>
      <c r="E12" s="143">
        <v>516500</v>
      </c>
      <c r="F12" s="144">
        <v>5165000</v>
      </c>
      <c r="H12" s="110"/>
      <c r="I12" s="145">
        <f>F12-C12</f>
        <v>5029300.6308791675</v>
      </c>
      <c r="J12" s="145">
        <f>I12+E12</f>
        <v>5545800.6308791675</v>
      </c>
      <c r="K12" s="146">
        <f>B12</f>
        <v>22434506</v>
      </c>
      <c r="L12" s="145">
        <f>F12</f>
        <v>5165000</v>
      </c>
      <c r="M12" s="24">
        <f>LN((($J$12+1)/($I$12+1))-1)</f>
        <v>-2.2759611241153297</v>
      </c>
      <c r="N12" s="147">
        <f>(LN((($J$12+1)/($L$12+1))-1)-$M$12)/$K$12</f>
        <v>-1.4772934666486198E-8</v>
      </c>
      <c r="O12" s="148">
        <f>J12+1</f>
        <v>5545801.6308791675</v>
      </c>
    </row>
    <row r="13" spans="1:15" ht="34.200000000000003" customHeight="1" x14ac:dyDescent="0.3">
      <c r="A13" s="103" t="s">
        <v>138</v>
      </c>
      <c r="B13" s="104"/>
      <c r="C13" s="104"/>
      <c r="D13" s="104"/>
      <c r="E13" s="104"/>
      <c r="F13" s="105"/>
      <c r="H13" s="103" t="s">
        <v>139</v>
      </c>
      <c r="I13" s="104"/>
      <c r="J13" s="104"/>
      <c r="K13" s="104"/>
      <c r="L13" s="104"/>
      <c r="M13" s="104"/>
      <c r="N13" s="104"/>
      <c r="O13" s="105"/>
    </row>
    <row r="14" spans="1:15" ht="33.6" customHeight="1" x14ac:dyDescent="0.3">
      <c r="A14" s="106"/>
      <c r="B14" s="107"/>
      <c r="C14" s="107"/>
      <c r="D14" s="107"/>
      <c r="E14" s="107"/>
      <c r="F14" s="108"/>
      <c r="H14" s="106"/>
      <c r="I14" s="107"/>
      <c r="J14" s="107"/>
      <c r="K14" s="107"/>
      <c r="L14" s="107"/>
      <c r="M14" s="107"/>
      <c r="N14" s="107"/>
      <c r="O14" s="108"/>
    </row>
    <row r="16" spans="1:15" ht="14.4" thickBot="1" x14ac:dyDescent="0.35"/>
    <row r="17" spans="1:4" ht="16.8" customHeight="1" x14ac:dyDescent="0.3">
      <c r="A17" s="109" t="s">
        <v>36</v>
      </c>
      <c r="B17" s="53" t="s">
        <v>34</v>
      </c>
      <c r="C17" s="53" t="s">
        <v>33</v>
      </c>
      <c r="D17" s="15" t="s">
        <v>35</v>
      </c>
    </row>
    <row r="18" spans="1:4" ht="23.4" customHeight="1" thickBot="1" x14ac:dyDescent="0.35">
      <c r="A18" s="110"/>
      <c r="B18" s="149">
        <v>0</v>
      </c>
      <c r="C18" s="150">
        <v>200000000</v>
      </c>
      <c r="D18" s="26">
        <v>20</v>
      </c>
    </row>
    <row r="20" spans="1:4" x14ac:dyDescent="0.3">
      <c r="A20" s="111" t="s">
        <v>39</v>
      </c>
      <c r="B20" s="111"/>
    </row>
    <row r="21" spans="1:4" x14ac:dyDescent="0.3">
      <c r="A21" s="54" t="s">
        <v>37</v>
      </c>
      <c r="B21" s="54" t="s">
        <v>38</v>
      </c>
    </row>
    <row r="22" spans="1:4" x14ac:dyDescent="0.3">
      <c r="A22" s="2">
        <f>B18</f>
        <v>0</v>
      </c>
      <c r="B22" s="2">
        <f>(($O$12/(1+EXP($M$12+$N$12*A22)))-1) - ($F$12-$C$12)</f>
        <v>0</v>
      </c>
    </row>
    <row r="23" spans="1:4" x14ac:dyDescent="0.3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151">
        <f>(B23-B22)/A23</f>
        <v>6.5160884199584835E-3</v>
      </c>
    </row>
    <row r="24" spans="1:4" x14ac:dyDescent="0.3">
      <c r="A24" s="2">
        <f t="shared" ref="A24:A42" si="1">A23+(($C$18-$B$18)/$D$18)</f>
        <v>20000000</v>
      </c>
      <c r="B24" s="2">
        <f t="shared" si="0"/>
        <v>122744.77582018357</v>
      </c>
      <c r="C24" s="151">
        <f t="shared" ref="C24:C42" si="2">(B24-B23)/A24</f>
        <v>2.8791945810299367E-3</v>
      </c>
    </row>
    <row r="25" spans="1:4" x14ac:dyDescent="0.3">
      <c r="A25" s="2">
        <f t="shared" si="1"/>
        <v>30000000</v>
      </c>
      <c r="B25" s="2">
        <f t="shared" si="0"/>
        <v>173476.53353370167</v>
      </c>
      <c r="C25" s="151">
        <f t="shared" si="2"/>
        <v>1.6910585904506036E-3</v>
      </c>
    </row>
    <row r="26" spans="1:4" x14ac:dyDescent="0.3">
      <c r="A26" s="2">
        <f t="shared" si="1"/>
        <v>40000000</v>
      </c>
      <c r="B26" s="2">
        <f t="shared" si="0"/>
        <v>218050.60666741617</v>
      </c>
      <c r="C26" s="151">
        <f t="shared" si="2"/>
        <v>1.1143518283428624E-3</v>
      </c>
    </row>
    <row r="27" spans="1:4" x14ac:dyDescent="0.3">
      <c r="A27" s="2">
        <f t="shared" si="1"/>
        <v>50000000</v>
      </c>
      <c r="B27" s="2">
        <f t="shared" si="0"/>
        <v>257121.2781913355</v>
      </c>
      <c r="C27" s="151">
        <f t="shared" si="2"/>
        <v>7.8141343047838656E-4</v>
      </c>
    </row>
    <row r="28" spans="1:4" x14ac:dyDescent="0.3">
      <c r="A28" s="2">
        <f t="shared" si="1"/>
        <v>60000000</v>
      </c>
      <c r="B28" s="2">
        <f t="shared" si="0"/>
        <v>291296.63727436401</v>
      </c>
      <c r="C28" s="151">
        <f t="shared" si="2"/>
        <v>5.6958931805047518E-4</v>
      </c>
    </row>
    <row r="29" spans="1:4" x14ac:dyDescent="0.3">
      <c r="A29" s="2">
        <f t="shared" si="1"/>
        <v>70000000</v>
      </c>
      <c r="B29" s="2">
        <f t="shared" si="0"/>
        <v>321135.50980218779</v>
      </c>
      <c r="C29" s="151">
        <f t="shared" si="2"/>
        <v>4.2626960754033977E-4</v>
      </c>
    </row>
    <row r="30" spans="1:4" x14ac:dyDescent="0.3">
      <c r="A30" s="2">
        <f t="shared" si="1"/>
        <v>80000000</v>
      </c>
      <c r="B30" s="2">
        <f t="shared" si="0"/>
        <v>347146.64896780811</v>
      </c>
      <c r="C30" s="151">
        <f t="shared" si="2"/>
        <v>3.2513923957025399E-4</v>
      </c>
    </row>
    <row r="31" spans="1:4" x14ac:dyDescent="0.3">
      <c r="A31" s="2">
        <f t="shared" si="1"/>
        <v>90000000</v>
      </c>
      <c r="B31" s="2">
        <f t="shared" si="0"/>
        <v>369789.58456045669</v>
      </c>
      <c r="C31" s="151">
        <f t="shared" si="2"/>
        <v>2.5158817325165084E-4</v>
      </c>
    </row>
    <row r="32" spans="1:4" x14ac:dyDescent="0.3">
      <c r="A32" s="2">
        <f t="shared" si="1"/>
        <v>100000000</v>
      </c>
      <c r="B32" s="2">
        <f t="shared" si="0"/>
        <v>389476.63249957375</v>
      </c>
      <c r="C32" s="151">
        <f t="shared" si="2"/>
        <v>1.9687047939117067E-4</v>
      </c>
    </row>
    <row r="33" spans="1:3" x14ac:dyDescent="0.3">
      <c r="A33" s="2">
        <f t="shared" si="1"/>
        <v>110000000</v>
      </c>
      <c r="B33" s="2">
        <f t="shared" si="0"/>
        <v>406575.66504135821</v>
      </c>
      <c r="C33" s="151">
        <f t="shared" si="2"/>
        <v>1.5544575037985871E-4</v>
      </c>
    </row>
    <row r="34" spans="1:3" x14ac:dyDescent="0.3">
      <c r="A34" s="2">
        <f>A33+(($C$18-$B$18)/$D$18)</f>
        <v>120000000</v>
      </c>
      <c r="B34" s="2">
        <f t="shared" si="0"/>
        <v>421413.33103184588</v>
      </c>
      <c r="C34" s="151">
        <f t="shared" si="2"/>
        <v>1.2364721658739727E-4</v>
      </c>
    </row>
    <row r="35" spans="1:3" x14ac:dyDescent="0.3">
      <c r="A35" s="2">
        <f t="shared" si="1"/>
        <v>130000000</v>
      </c>
      <c r="B35" s="2">
        <f t="shared" si="0"/>
        <v>434278.49192497414</v>
      </c>
      <c r="C35" s="151">
        <f t="shared" si="2"/>
        <v>9.896277610098657E-5</v>
      </c>
    </row>
    <row r="36" spans="1:3" x14ac:dyDescent="0.3">
      <c r="A36" s="2">
        <f t="shared" si="1"/>
        <v>140000000</v>
      </c>
      <c r="B36" s="2">
        <f t="shared" si="0"/>
        <v>445425.7024764372</v>
      </c>
      <c r="C36" s="151">
        <f t="shared" si="2"/>
        <v>7.9622932510450481E-5</v>
      </c>
    </row>
    <row r="37" spans="1:3" x14ac:dyDescent="0.3">
      <c r="A37" s="2">
        <f t="shared" si="1"/>
        <v>150000000</v>
      </c>
      <c r="B37" s="2">
        <f t="shared" si="0"/>
        <v>455078.61578376312</v>
      </c>
      <c r="C37" s="151">
        <f t="shared" si="2"/>
        <v>6.4352755382172757E-5</v>
      </c>
    </row>
    <row r="38" spans="1:3" x14ac:dyDescent="0.3">
      <c r="A38" s="2">
        <f t="shared" si="1"/>
        <v>160000000</v>
      </c>
      <c r="B38" s="2">
        <f t="shared" si="0"/>
        <v>463433.23205492459</v>
      </c>
      <c r="C38" s="151">
        <f t="shared" si="2"/>
        <v>5.2216351694759215E-5</v>
      </c>
    </row>
    <row r="39" spans="1:3" x14ac:dyDescent="0.3">
      <c r="A39" s="2">
        <f t="shared" si="1"/>
        <v>170000000</v>
      </c>
      <c r="B39" s="2">
        <f t="shared" si="0"/>
        <v>470660.94080024865</v>
      </c>
      <c r="C39" s="151">
        <f t="shared" si="2"/>
        <v>4.2515933796023838E-5</v>
      </c>
    </row>
    <row r="40" spans="1:3" x14ac:dyDescent="0.3">
      <c r="A40" s="2">
        <f t="shared" si="1"/>
        <v>180000000</v>
      </c>
      <c r="B40" s="2">
        <f t="shared" si="0"/>
        <v>476911.32871761266</v>
      </c>
      <c r="C40" s="151">
        <f t="shared" si="2"/>
        <v>3.4724377318688977E-5</v>
      </c>
    </row>
    <row r="41" spans="1:3" x14ac:dyDescent="0.3">
      <c r="A41" s="2">
        <f>A40+(($C$18-$B$18)/$D$18)</f>
        <v>190000000</v>
      </c>
      <c r="B41" s="2">
        <f t="shared" si="0"/>
        <v>482314.74191566277</v>
      </c>
      <c r="C41" s="151">
        <f t="shared" si="2"/>
        <v>2.8439016831842692E-5</v>
      </c>
    </row>
    <row r="42" spans="1:3" x14ac:dyDescent="0.3">
      <c r="A42" s="2">
        <f t="shared" si="1"/>
        <v>200000000</v>
      </c>
      <c r="B42" s="2">
        <f t="shared" si="0"/>
        <v>486984.60263799503</v>
      </c>
      <c r="C42" s="151">
        <f t="shared" si="2"/>
        <v>2.3349303611661307E-5</v>
      </c>
    </row>
  </sheetData>
  <mergeCells count="11">
    <mergeCell ref="H11:H12"/>
    <mergeCell ref="A13:F14"/>
    <mergeCell ref="H13:O14"/>
    <mergeCell ref="A17:A18"/>
    <mergeCell ref="A20:B20"/>
    <mergeCell ref="B4:F4"/>
    <mergeCell ref="A7:A9"/>
    <mergeCell ref="B7:C7"/>
    <mergeCell ref="D7:E7"/>
    <mergeCell ref="F7:G7"/>
    <mergeCell ref="A11:A1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Optimization_Scenario</vt:lpstr>
      <vt:lpstr>FT_SCurveEst</vt:lpstr>
      <vt:lpstr>FT_Equation</vt:lpstr>
      <vt:lpstr>FT_Interpolate</vt:lpstr>
      <vt:lpstr>FT_SCurve3Est</vt:lpstr>
      <vt:lpstr>Sheet3</vt:lpstr>
    </vt:vector>
  </TitlesOfParts>
  <Company>Merck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Merck &amp; Co., Inc.</cp:lastModifiedBy>
  <dcterms:created xsi:type="dcterms:W3CDTF">2013-03-17T16:17:06Z</dcterms:created>
  <dcterms:modified xsi:type="dcterms:W3CDTF">2013-04-09T15:48:11Z</dcterms:modified>
</cp:coreProperties>
</file>