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\"/>
    </mc:Choice>
  </mc:AlternateContent>
  <xr:revisionPtr revIDLastSave="0" documentId="13_ncr:1_{8EB2F487-6998-4F02-89A6-C9E0359135A6}" xr6:coauthVersionLast="47" xr6:coauthVersionMax="47" xr10:uidLastSave="{00000000-0000-0000-0000-000000000000}"/>
  <bookViews>
    <workbookView xWindow="-120" yWindow="-120" windowWidth="20730" windowHeight="11310" tabRatio="709" firstSheet="1" activeTab="7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" i="78" l="1"/>
  <c r="K8" i="78"/>
  <c r="K9" i="78"/>
  <c r="K6" i="78"/>
  <c r="X31" i="79" l="1"/>
  <c r="X23" i="79"/>
  <c r="X24" i="79"/>
  <c r="X25" i="79"/>
  <c r="X26" i="79"/>
  <c r="X27" i="79"/>
  <c r="X28" i="79"/>
  <c r="X29" i="79"/>
  <c r="X30" i="79"/>
  <c r="X22" i="79"/>
  <c r="T31" i="79"/>
  <c r="T23" i="79"/>
  <c r="T24" i="79"/>
  <c r="T25" i="79"/>
  <c r="T26" i="79"/>
  <c r="T27" i="79"/>
  <c r="T28" i="79"/>
  <c r="T29" i="79"/>
  <c r="T30" i="79"/>
  <c r="T22" i="79"/>
  <c r="L31" i="79"/>
  <c r="L23" i="79"/>
  <c r="L24" i="79"/>
  <c r="L25" i="79"/>
  <c r="L26" i="79"/>
  <c r="L27" i="79"/>
  <c r="L28" i="79"/>
  <c r="L29" i="79"/>
  <c r="L30" i="79"/>
  <c r="L22" i="79"/>
  <c r="H31" i="79"/>
  <c r="H23" i="79"/>
  <c r="H24" i="79"/>
  <c r="H25" i="79"/>
  <c r="H26" i="79"/>
  <c r="H27" i="79"/>
  <c r="H28" i="79"/>
  <c r="H29" i="79"/>
  <c r="H30" i="79"/>
  <c r="H22" i="79"/>
  <c r="D31" i="79"/>
  <c r="D23" i="79"/>
  <c r="D24" i="79"/>
  <c r="D25" i="79"/>
  <c r="D26" i="79"/>
  <c r="D27" i="79"/>
  <c r="D28" i="79"/>
  <c r="D29" i="79"/>
  <c r="D30" i="79"/>
  <c r="D22" i="79"/>
  <c r="F101" i="80" l="1"/>
  <c r="D4" i="80"/>
  <c r="D5" i="80"/>
  <c r="D6" i="80"/>
  <c r="D7" i="80"/>
  <c r="D8" i="80"/>
  <c r="D9" i="80"/>
  <c r="D10" i="80"/>
  <c r="D11" i="80"/>
  <c r="D12" i="80"/>
  <c r="F86" i="80"/>
  <c r="D86" i="80"/>
  <c r="E100" i="80"/>
  <c r="I100" i="80" s="1"/>
  <c r="E99" i="80"/>
  <c r="H99" i="80" s="1"/>
  <c r="E98" i="80"/>
  <c r="H98" i="80" s="1"/>
  <c r="E97" i="80"/>
  <c r="I97" i="80" s="1"/>
  <c r="E96" i="80"/>
  <c r="H96" i="80" s="1"/>
  <c r="E95" i="80"/>
  <c r="I95" i="80" s="1"/>
  <c r="E94" i="80"/>
  <c r="H94" i="80" s="1"/>
  <c r="E93" i="80"/>
  <c r="E92" i="80"/>
  <c r="H92" i="80" s="1"/>
  <c r="G101" i="80"/>
  <c r="G100" i="80"/>
  <c r="I99" i="80"/>
  <c r="G99" i="80"/>
  <c r="I98" i="80"/>
  <c r="G98" i="80"/>
  <c r="G97" i="80"/>
  <c r="I96" i="80"/>
  <c r="G96" i="80"/>
  <c r="H95" i="80"/>
  <c r="G95" i="80"/>
  <c r="I94" i="80"/>
  <c r="G94" i="80"/>
  <c r="I93" i="80"/>
  <c r="H93" i="80"/>
  <c r="G93" i="80"/>
  <c r="G92" i="80"/>
  <c r="I85" i="80"/>
  <c r="G85" i="80"/>
  <c r="G84" i="80"/>
  <c r="G83" i="80"/>
  <c r="G82" i="80"/>
  <c r="I81" i="80"/>
  <c r="G81" i="80"/>
  <c r="G80" i="80"/>
  <c r="G79" i="80"/>
  <c r="G78" i="80"/>
  <c r="I77" i="80"/>
  <c r="G77" i="80"/>
  <c r="E85" i="80"/>
  <c r="H85" i="80" s="1"/>
  <c r="E84" i="80"/>
  <c r="H84" i="80" s="1"/>
  <c r="E83" i="80"/>
  <c r="I83" i="80" s="1"/>
  <c r="E82" i="80"/>
  <c r="I82" i="80" s="1"/>
  <c r="E81" i="80"/>
  <c r="H81" i="80" s="1"/>
  <c r="E80" i="80"/>
  <c r="I80" i="80" s="1"/>
  <c r="E79" i="80"/>
  <c r="I79" i="80" s="1"/>
  <c r="E78" i="80"/>
  <c r="I78" i="80" s="1"/>
  <c r="E77" i="80"/>
  <c r="I72" i="80"/>
  <c r="I71" i="80"/>
  <c r="I70" i="80"/>
  <c r="I69" i="80"/>
  <c r="I68" i="80"/>
  <c r="I67" i="80"/>
  <c r="I66" i="80"/>
  <c r="I65" i="80"/>
  <c r="I64" i="80"/>
  <c r="I63" i="80"/>
  <c r="H72" i="80"/>
  <c r="H71" i="80"/>
  <c r="H70" i="80"/>
  <c r="H69" i="80"/>
  <c r="H68" i="80"/>
  <c r="H67" i="80"/>
  <c r="H66" i="80"/>
  <c r="H65" i="80"/>
  <c r="H64" i="80"/>
  <c r="H63" i="80"/>
  <c r="E72" i="80"/>
  <c r="E71" i="80"/>
  <c r="E70" i="80"/>
  <c r="E69" i="80"/>
  <c r="E68" i="80"/>
  <c r="E67" i="80"/>
  <c r="E66" i="80"/>
  <c r="E65" i="80"/>
  <c r="E64" i="80"/>
  <c r="E63" i="80"/>
  <c r="F72" i="80"/>
  <c r="G72" i="80" s="1"/>
  <c r="G71" i="80"/>
  <c r="G70" i="80"/>
  <c r="G69" i="80"/>
  <c r="G68" i="80"/>
  <c r="G67" i="80"/>
  <c r="G66" i="80"/>
  <c r="G65" i="80"/>
  <c r="G64" i="80"/>
  <c r="G63" i="80"/>
  <c r="D72" i="80"/>
  <c r="I10" i="23"/>
  <c r="G102" i="80"/>
  <c r="G87" i="80"/>
  <c r="G58" i="80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C6" i="78"/>
  <c r="C7" i="78"/>
  <c r="E6" i="78"/>
  <c r="E7" i="78"/>
  <c r="W30" i="79"/>
  <c r="V30" i="79"/>
  <c r="W29" i="79"/>
  <c r="V29" i="79"/>
  <c r="W28" i="79"/>
  <c r="V28" i="79"/>
  <c r="W27" i="79"/>
  <c r="V27" i="79"/>
  <c r="W26" i="79"/>
  <c r="V26" i="79"/>
  <c r="W25" i="79"/>
  <c r="V25" i="79"/>
  <c r="W24" i="79"/>
  <c r="V24" i="79"/>
  <c r="W23" i="79"/>
  <c r="V23" i="79"/>
  <c r="W22" i="79"/>
  <c r="V22" i="79"/>
  <c r="S30" i="79"/>
  <c r="R30" i="79"/>
  <c r="S29" i="79"/>
  <c r="R29" i="79"/>
  <c r="S28" i="79"/>
  <c r="R28" i="79"/>
  <c r="S27" i="79"/>
  <c r="R27" i="79"/>
  <c r="S26" i="79"/>
  <c r="R26" i="79"/>
  <c r="S25" i="79"/>
  <c r="R25" i="79"/>
  <c r="S24" i="79"/>
  <c r="R24" i="79"/>
  <c r="S23" i="79"/>
  <c r="R23" i="79"/>
  <c r="S22" i="79"/>
  <c r="R22" i="79"/>
  <c r="V20" i="79"/>
  <c r="R20" i="79"/>
  <c r="X16" i="79"/>
  <c r="G6" i="78" s="1"/>
  <c r="V16" i="79"/>
  <c r="W16" i="79" s="1"/>
  <c r="W31" i="79" s="1"/>
  <c r="T16" i="79"/>
  <c r="R16" i="79"/>
  <c r="S16" i="79" s="1"/>
  <c r="S31" i="79" s="1"/>
  <c r="R100" i="80" a="1"/>
  <c r="R39" i="80" a="1"/>
  <c r="Q51" i="80" a="1"/>
  <c r="Q48" i="80" a="1"/>
  <c r="R99" i="80" a="1"/>
  <c r="Q34" i="80" a="1"/>
  <c r="R63" i="80" a="1"/>
  <c r="R94" i="80" a="1"/>
  <c r="R49" i="80" a="1"/>
  <c r="Q95" i="80" a="1"/>
  <c r="R54" i="80" a="1"/>
  <c r="Q80" i="80" a="1"/>
  <c r="R83" i="80" a="1"/>
  <c r="R93" i="80" a="1"/>
  <c r="R67" i="80" a="1"/>
  <c r="R38" i="80" a="1"/>
  <c r="Q68" i="80" a="1"/>
  <c r="R71" i="80" a="1"/>
  <c r="R40" i="80" a="1"/>
  <c r="Q37" i="80" a="1"/>
  <c r="Q65" i="80" a="1"/>
  <c r="R68" i="80" a="1"/>
  <c r="R37" i="80" a="1"/>
  <c r="Q56" i="80" a="1"/>
  <c r="Q71" i="80" a="1"/>
  <c r="Q69" i="80" a="1"/>
  <c r="R51" i="80" a="1"/>
  <c r="Q55" i="80" a="1"/>
  <c r="R70" i="80" a="1"/>
  <c r="R48" i="80" a="1"/>
  <c r="R64" i="80" a="1"/>
  <c r="Q82" i="80" a="1"/>
  <c r="R92" i="80" a="1"/>
  <c r="Q84" i="80" a="1"/>
  <c r="R97" i="80" a="1"/>
  <c r="Q40" i="80" a="1"/>
  <c r="Q35" i="80" a="1"/>
  <c r="Q78" i="80" a="1"/>
  <c r="Q77" i="80" a="1"/>
  <c r="R84" i="80" a="1"/>
  <c r="Q94" i="80" a="1"/>
  <c r="Q49" i="80" a="1"/>
  <c r="R35" i="80" a="1"/>
  <c r="Q67" i="80" a="1"/>
  <c r="Q97" i="80" a="1"/>
  <c r="R95" i="80" a="1"/>
  <c r="R66" i="80" a="1"/>
  <c r="Q53" i="80" a="1"/>
  <c r="R85" i="80" a="1"/>
  <c r="Q92" i="80" a="1"/>
  <c r="R69" i="80" a="1"/>
  <c r="Q100" i="80" a="1"/>
  <c r="R80" i="80" a="1"/>
  <c r="R65" i="80" a="1"/>
  <c r="R52" i="80" a="1"/>
  <c r="Q64" i="80" a="1"/>
  <c r="Q38" i="80" a="1"/>
  <c r="Q52" i="80" a="1"/>
  <c r="R50" i="80" a="1"/>
  <c r="R82" i="80" a="1"/>
  <c r="Q50" i="80" a="1"/>
  <c r="Q99" i="80" a="1"/>
  <c r="R36" i="80" a="1"/>
  <c r="R33" i="80" a="1"/>
  <c r="Q32" i="80" a="1"/>
  <c r="Q66" i="80" a="1"/>
  <c r="Q81" i="80" a="1"/>
  <c r="R34" i="80" a="1"/>
  <c r="Q93" i="80" a="1"/>
  <c r="R96" i="80" a="1"/>
  <c r="Q36" i="80" a="1"/>
  <c r="R79" i="80" a="1"/>
  <c r="Q96" i="80" a="1"/>
  <c r="R32" i="80" a="1"/>
  <c r="R56" i="80" a="1"/>
  <c r="R78" i="80" a="1"/>
  <c r="R98" i="80" a="1"/>
  <c r="R53" i="80" a="1"/>
  <c r="R55" i="80" a="1"/>
  <c r="R77" i="80" a="1"/>
  <c r="Q70" i="80" a="1"/>
  <c r="Q79" i="80" a="1"/>
  <c r="Q83" i="80" a="1"/>
  <c r="Q39" i="80" a="1"/>
  <c r="Q33" i="80" a="1"/>
  <c r="Q63" i="80" a="1"/>
  <c r="Q85" i="80" a="1"/>
  <c r="Q98" i="80" a="1"/>
  <c r="Q54" i="80" a="1"/>
  <c r="R81" i="80" a="1"/>
  <c r="Q100" i="80" l="1"/>
  <c r="Q93" i="80"/>
  <c r="Q94" i="80"/>
  <c r="Q95" i="80"/>
  <c r="Q96" i="80"/>
  <c r="Q97" i="80"/>
  <c r="Q99" i="80"/>
  <c r="R92" i="80"/>
  <c r="R93" i="80"/>
  <c r="R94" i="80"/>
  <c r="R95" i="80"/>
  <c r="R96" i="80"/>
  <c r="R97" i="80"/>
  <c r="R98" i="80"/>
  <c r="R99" i="80"/>
  <c r="R100" i="80"/>
  <c r="Q92" i="80"/>
  <c r="Q98" i="80"/>
  <c r="Q85" i="80"/>
  <c r="Q77" i="80"/>
  <c r="Q79" i="80"/>
  <c r="Q80" i="80"/>
  <c r="Q81" i="80"/>
  <c r="Q82" i="80"/>
  <c r="Q83" i="80"/>
  <c r="R77" i="80"/>
  <c r="R78" i="80"/>
  <c r="R79" i="80"/>
  <c r="R80" i="80"/>
  <c r="R81" i="80"/>
  <c r="R82" i="80"/>
  <c r="R83" i="80"/>
  <c r="R84" i="80"/>
  <c r="R85" i="80"/>
  <c r="Q78" i="80"/>
  <c r="Q84" i="80"/>
  <c r="Q71" i="80"/>
  <c r="Q63" i="80"/>
  <c r="Q64" i="80"/>
  <c r="Q66" i="80"/>
  <c r="Q67" i="80"/>
  <c r="Q68" i="80"/>
  <c r="Q69" i="80"/>
  <c r="R63" i="80"/>
  <c r="R64" i="80"/>
  <c r="R65" i="80"/>
  <c r="R66" i="80"/>
  <c r="R67" i="80"/>
  <c r="R68" i="80"/>
  <c r="R69" i="80"/>
  <c r="R70" i="80"/>
  <c r="R71" i="80"/>
  <c r="Q65" i="80"/>
  <c r="Q70" i="80"/>
  <c r="Q49" i="80"/>
  <c r="Q51" i="80"/>
  <c r="Q52" i="80"/>
  <c r="Q54" i="80"/>
  <c r="Q55" i="80"/>
  <c r="Q56" i="80"/>
  <c r="R48" i="80"/>
  <c r="R49" i="80"/>
  <c r="R50" i="80"/>
  <c r="R51" i="80"/>
  <c r="R53" i="80"/>
  <c r="R54" i="80"/>
  <c r="R55" i="80"/>
  <c r="R56" i="80"/>
  <c r="Q48" i="80"/>
  <c r="Q50" i="80"/>
  <c r="Q53" i="80"/>
  <c r="R52" i="80"/>
  <c r="H100" i="80"/>
  <c r="I92" i="80"/>
  <c r="H97" i="80"/>
  <c r="E101" i="80"/>
  <c r="H101" i="80" s="1"/>
  <c r="H80" i="80"/>
  <c r="E86" i="80"/>
  <c r="H79" i="80"/>
  <c r="H83" i="80"/>
  <c r="I84" i="80"/>
  <c r="H78" i="80"/>
  <c r="H82" i="80"/>
  <c r="H77" i="80"/>
  <c r="G86" i="80"/>
  <c r="G73" i="80"/>
  <c r="V31" i="79"/>
  <c r="G7" i="78"/>
  <c r="R31" i="79"/>
  <c r="R37" i="80"/>
  <c r="Q37" i="80"/>
  <c r="D41" i="80"/>
  <c r="Q32" i="80"/>
  <c r="Q34" i="80"/>
  <c r="Q35" i="80"/>
  <c r="Q36" i="80"/>
  <c r="Q38" i="80"/>
  <c r="Q39" i="80"/>
  <c r="Q40" i="80"/>
  <c r="R33" i="80"/>
  <c r="R35" i="80"/>
  <c r="R38" i="80"/>
  <c r="R40" i="80"/>
  <c r="Q33" i="80"/>
  <c r="R32" i="80"/>
  <c r="R34" i="80"/>
  <c r="R36" i="80"/>
  <c r="R39" i="80"/>
  <c r="I101" i="80" l="1"/>
  <c r="I86" i="80"/>
  <c r="H86" i="80"/>
  <c r="F5" i="90"/>
  <c r="F6" i="90"/>
  <c r="F7" i="90"/>
  <c r="F8" i="90"/>
  <c r="F9" i="90"/>
  <c r="F10" i="90"/>
  <c r="F11" i="90"/>
  <c r="F12" i="90"/>
  <c r="F4" i="90"/>
  <c r="E13" i="90"/>
  <c r="E12" i="90"/>
  <c r="E5" i="90"/>
  <c r="E6" i="90"/>
  <c r="E7" i="90"/>
  <c r="E8" i="90"/>
  <c r="E9" i="90"/>
  <c r="E10" i="90"/>
  <c r="E11" i="90"/>
  <c r="E4" i="90"/>
  <c r="C5" i="90"/>
  <c r="C6" i="90"/>
  <c r="C7" i="90"/>
  <c r="C8" i="90"/>
  <c r="C9" i="90"/>
  <c r="C10" i="90"/>
  <c r="C11" i="90"/>
  <c r="C12" i="90"/>
  <c r="C4" i="90"/>
  <c r="H12" i="90"/>
  <c r="H11" i="90"/>
  <c r="H10" i="90"/>
  <c r="H9" i="90"/>
  <c r="H8" i="90"/>
  <c r="H7" i="90"/>
  <c r="H6" i="90"/>
  <c r="H5" i="90"/>
  <c r="H4" i="90"/>
  <c r="H13" i="90" s="1"/>
  <c r="F13" i="90" l="1"/>
  <c r="Q5" i="80" a="1"/>
  <c r="Q12" i="80" a="1"/>
  <c r="R11" i="80" a="1"/>
  <c r="Q4" i="80" a="1"/>
  <c r="Q8" i="80" a="1"/>
  <c r="R6" i="80" a="1"/>
  <c r="R9" i="80" a="1"/>
  <c r="Q7" i="80" a="1"/>
  <c r="R8" i="80" a="1"/>
  <c r="Q10" i="80" a="1"/>
  <c r="Q11" i="80" a="1"/>
  <c r="R7" i="80" a="1"/>
  <c r="Q9" i="80" a="1"/>
  <c r="R5" i="80" a="1"/>
  <c r="Q6" i="80" a="1"/>
  <c r="R10" i="80" a="1"/>
  <c r="R12" i="80" a="1"/>
  <c r="R4" i="80" a="1"/>
  <c r="Q8" i="80" l="1"/>
  <c r="R9" i="80"/>
  <c r="R4" i="80"/>
  <c r="Q6" i="80"/>
  <c r="R7" i="80"/>
  <c r="R11" i="80"/>
  <c r="R10" i="80"/>
  <c r="R6" i="80"/>
  <c r="Q10" i="80"/>
  <c r="Q7" i="80"/>
  <c r="Q9" i="80"/>
  <c r="Q11" i="80"/>
  <c r="R12" i="80"/>
  <c r="Q5" i="80"/>
  <c r="R8" i="80"/>
  <c r="Q4" i="80"/>
  <c r="Q12" i="80"/>
  <c r="R5" i="80"/>
  <c r="P16" i="79"/>
  <c r="N16" i="79"/>
  <c r="L16" i="79"/>
  <c r="G8" i="78" s="1"/>
  <c r="J16" i="79"/>
  <c r="F16" i="79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J97" i="80"/>
  <c r="J82" i="80"/>
  <c r="J68" i="80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5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53" i="80"/>
  <c r="J37" i="80"/>
  <c r="J9" i="80"/>
  <c r="I12" i="59" l="1"/>
  <c r="G9" i="59"/>
  <c r="D9" i="59"/>
  <c r="F12" i="82"/>
  <c r="B8" i="79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D12" i="90" s="1"/>
  <c r="I12" i="90" s="1"/>
  <c r="C14" i="79"/>
  <c r="C29" i="79" s="1"/>
  <c r="D11" i="90" s="1"/>
  <c r="I11" i="90" s="1"/>
  <c r="C13" i="79"/>
  <c r="C28" i="79" s="1"/>
  <c r="D10" i="90" s="1"/>
  <c r="I10" i="90" s="1"/>
  <c r="C12" i="79"/>
  <c r="C27" i="79" s="1"/>
  <c r="D9" i="90" s="1"/>
  <c r="I9" i="90" s="1"/>
  <c r="C11" i="79"/>
  <c r="C26" i="79" s="1"/>
  <c r="D8" i="90" s="1"/>
  <c r="I8" i="90" s="1"/>
  <c r="C10" i="79"/>
  <c r="C25" i="79" s="1"/>
  <c r="D7" i="90" s="1"/>
  <c r="I7" i="90" s="1"/>
  <c r="C9" i="79"/>
  <c r="C24" i="79" s="1"/>
  <c r="D6" i="90" s="1"/>
  <c r="I6" i="90" s="1"/>
  <c r="C8" i="79"/>
  <c r="C23" i="79" s="1"/>
  <c r="D5" i="90" s="1"/>
  <c r="I5" i="90" s="1"/>
  <c r="C7" i="79"/>
  <c r="B23" i="79"/>
  <c r="B25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P39" i="23"/>
  <c r="P26" i="79"/>
  <c r="G8" i="80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C11" i="79"/>
  <c r="AA11" i="79"/>
  <c r="AB11" i="79" s="1"/>
  <c r="B25" i="84"/>
  <c r="C25" i="84" s="1"/>
  <c r="A26" i="84"/>
  <c r="K39" i="23"/>
  <c r="M39" i="23" s="1"/>
  <c r="L39" i="23"/>
  <c r="N39" i="23" s="1"/>
  <c r="G36" i="80" l="1"/>
  <c r="O26" i="79"/>
  <c r="N26" i="79"/>
  <c r="K26" i="79"/>
  <c r="J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36" i="80"/>
  <c r="J96" i="80"/>
  <c r="J52" i="80"/>
  <c r="J67" i="80"/>
  <c r="J81" i="80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F37" i="23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J50" i="80"/>
  <c r="J65" i="80"/>
  <c r="J79" i="80"/>
  <c r="A30" i="82" l="1"/>
  <c r="B29" i="82"/>
  <c r="C29" i="82" s="1"/>
  <c r="J6" i="80"/>
  <c r="A31" i="82" l="1"/>
  <c r="B30" i="82"/>
  <c r="C30" i="82" s="1"/>
  <c r="A32" i="82" l="1"/>
  <c r="B31" i="82"/>
  <c r="C31" i="82" s="1"/>
  <c r="J94" i="80"/>
  <c r="J34" i="80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P63" i="79" l="1"/>
  <c r="O63" i="79"/>
  <c r="N63" i="79"/>
  <c r="L63" i="79"/>
  <c r="K63" i="79"/>
  <c r="J63" i="79"/>
  <c r="H63" i="79"/>
  <c r="G63" i="79"/>
  <c r="F63" i="79"/>
  <c r="D63" i="79"/>
  <c r="C63" i="79"/>
  <c r="P62" i="79"/>
  <c r="O62" i="79"/>
  <c r="N62" i="79"/>
  <c r="L62" i="79"/>
  <c r="K62" i="79"/>
  <c r="J62" i="79"/>
  <c r="H62" i="79"/>
  <c r="G62" i="79"/>
  <c r="F62" i="79"/>
  <c r="D62" i="79"/>
  <c r="C62" i="79"/>
  <c r="P61" i="79"/>
  <c r="O61" i="79"/>
  <c r="N61" i="79"/>
  <c r="L61" i="79"/>
  <c r="K61" i="79"/>
  <c r="J61" i="79"/>
  <c r="H61" i="79"/>
  <c r="G61" i="79"/>
  <c r="F61" i="79"/>
  <c r="D61" i="79"/>
  <c r="C61" i="79"/>
  <c r="P60" i="79"/>
  <c r="O60" i="79"/>
  <c r="N60" i="79"/>
  <c r="L60" i="79"/>
  <c r="K60" i="79"/>
  <c r="J60" i="79"/>
  <c r="H60" i="79"/>
  <c r="G60" i="79"/>
  <c r="F60" i="79"/>
  <c r="D60" i="79"/>
  <c r="C60" i="79"/>
  <c r="P59" i="79"/>
  <c r="O59" i="79"/>
  <c r="N59" i="79"/>
  <c r="L59" i="79"/>
  <c r="K59" i="79"/>
  <c r="J59" i="79"/>
  <c r="H59" i="79"/>
  <c r="G59" i="79"/>
  <c r="F59" i="79"/>
  <c r="D59" i="79"/>
  <c r="C59" i="79"/>
  <c r="P58" i="79"/>
  <c r="O58" i="79"/>
  <c r="N58" i="79"/>
  <c r="L58" i="79"/>
  <c r="K58" i="79"/>
  <c r="J58" i="79"/>
  <c r="H58" i="79"/>
  <c r="G58" i="79"/>
  <c r="F58" i="79"/>
  <c r="D58" i="79"/>
  <c r="C58" i="79"/>
  <c r="P57" i="79"/>
  <c r="O57" i="79"/>
  <c r="N57" i="79"/>
  <c r="L57" i="79"/>
  <c r="K57" i="79"/>
  <c r="J57" i="79"/>
  <c r="H57" i="79"/>
  <c r="G57" i="79"/>
  <c r="F57" i="79"/>
  <c r="D57" i="79"/>
  <c r="C57" i="79"/>
  <c r="P56" i="79"/>
  <c r="O56" i="79"/>
  <c r="N56" i="79"/>
  <c r="L56" i="79"/>
  <c r="K56" i="79"/>
  <c r="J56" i="79"/>
  <c r="H56" i="79"/>
  <c r="G56" i="79"/>
  <c r="F56" i="79"/>
  <c r="D56" i="79"/>
  <c r="C56" i="79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D4" i="90" s="1"/>
  <c r="C16" i="79"/>
  <c r="B3" i="79"/>
  <c r="D17" i="78"/>
  <c r="G16" i="78"/>
  <c r="D16" i="78"/>
  <c r="D15" i="78"/>
  <c r="D13" i="90" l="1"/>
  <c r="I4" i="90"/>
  <c r="K16" i="79"/>
  <c r="G16" i="79"/>
  <c r="O16" i="79"/>
  <c r="K50" i="79"/>
  <c r="K64" i="79" s="1"/>
  <c r="C10" i="78"/>
  <c r="C31" i="79"/>
  <c r="G50" i="79"/>
  <c r="G64" i="79" s="1"/>
  <c r="D13" i="80"/>
  <c r="L66" i="79"/>
  <c r="L67" i="79" s="1"/>
  <c r="H66" i="79"/>
  <c r="H67" i="79" s="1"/>
  <c r="P66" i="79"/>
  <c r="P67" i="79" s="1"/>
  <c r="O50" i="79"/>
  <c r="O64" i="79" s="1"/>
  <c r="D51" i="79"/>
  <c r="C17" i="78" l="1"/>
  <c r="E9" i="78"/>
  <c r="C9" i="78" s="1"/>
  <c r="E8" i="78"/>
  <c r="C8" i="78" s="1"/>
  <c r="E10" i="78"/>
  <c r="C15" i="78" l="1"/>
  <c r="L8" i="78"/>
  <c r="L9" i="78"/>
  <c r="C16" i="78"/>
  <c r="E16" i="78" s="1"/>
  <c r="F12" i="77"/>
  <c r="G9" i="77"/>
  <c r="D9" i="77"/>
  <c r="A21" i="77"/>
  <c r="A22" i="77" s="1"/>
  <c r="A23" i="77" s="1"/>
  <c r="I16" i="78" l="1"/>
  <c r="E15" i="78"/>
  <c r="H9" i="77"/>
  <c r="I9" i="77" s="1"/>
  <c r="F23" i="23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J54" i="80"/>
  <c r="H38" i="80" l="1"/>
  <c r="I38" i="80"/>
  <c r="E10" i="80"/>
  <c r="O23" i="23"/>
  <c r="I15" i="78"/>
  <c r="B24" i="77"/>
  <c r="C24" i="77" s="1"/>
  <c r="A25" i="77"/>
  <c r="J38" i="80"/>
  <c r="J83" i="80"/>
  <c r="J69" i="80"/>
  <c r="J98" i="80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E39" i="80" s="1"/>
  <c r="A21" i="74"/>
  <c r="A22" i="74" s="1"/>
  <c r="B22" i="74" s="1"/>
  <c r="C22" i="74" s="1"/>
  <c r="E9" i="74"/>
  <c r="F9" i="74" s="1"/>
  <c r="J25" i="23" s="1"/>
  <c r="E40" i="80" s="1"/>
  <c r="I39" i="80" l="1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J70" i="80"/>
  <c r="J55" i="80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J84" i="80"/>
  <c r="B31" i="74" l="1"/>
  <c r="C31" i="74" s="1"/>
  <c r="A32" i="74"/>
  <c r="B32" i="75"/>
  <c r="C32" i="75" s="1"/>
  <c r="A33" i="75"/>
  <c r="J99" i="80"/>
  <c r="J39" i="80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J85" i="80"/>
  <c r="J56" i="80"/>
  <c r="J71" i="80"/>
  <c r="J100" i="80"/>
  <c r="J40" i="80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A12" i="79"/>
  <c r="AB12" i="79" s="1"/>
  <c r="AA13" i="79"/>
  <c r="AB13" i="79" s="1"/>
  <c r="AA15" i="79"/>
  <c r="AB15" i="79" s="1"/>
  <c r="AA14" i="79"/>
  <c r="AB14" i="79" s="1"/>
  <c r="AA9" i="79"/>
  <c r="AB9" i="79" s="1"/>
  <c r="AA10" i="79"/>
  <c r="AB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K24" i="79"/>
  <c r="J24" i="79"/>
  <c r="G28" i="79"/>
  <c r="F28" i="79"/>
  <c r="K25" i="79"/>
  <c r="J25" i="79"/>
  <c r="K28" i="79"/>
  <c r="J28" i="79"/>
  <c r="O30" i="79"/>
  <c r="N30" i="79"/>
  <c r="G25" i="79"/>
  <c r="F25" i="79"/>
  <c r="O28" i="79"/>
  <c r="N28" i="79"/>
  <c r="O25" i="79"/>
  <c r="N25" i="79"/>
  <c r="G30" i="79"/>
  <c r="F30" i="79"/>
  <c r="O29" i="79"/>
  <c r="N29" i="79"/>
  <c r="K30" i="79"/>
  <c r="J30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P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AC10" i="79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1" i="80" s="1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AA7" i="79"/>
  <c r="AB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A8" i="79"/>
  <c r="AB8" i="79" s="1"/>
  <c r="K36" i="23"/>
  <c r="M36" i="23" s="1"/>
  <c r="N23" i="79" l="1"/>
  <c r="J23" i="79"/>
  <c r="G23" i="79"/>
  <c r="F23" i="79"/>
  <c r="O22" i="79"/>
  <c r="N22" i="79"/>
  <c r="J22" i="79"/>
  <c r="AA16" i="79"/>
  <c r="AB16" i="79" s="1"/>
  <c r="K23" i="79"/>
  <c r="O23" i="79"/>
  <c r="K22" i="79"/>
  <c r="G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G7" i="80" s="1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P29" i="79"/>
  <c r="P28" i="79"/>
  <c r="P40" i="23"/>
  <c r="P42" i="23"/>
  <c r="P41" i="23"/>
  <c r="G11" i="80"/>
  <c r="G10" i="80"/>
  <c r="H15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C12" i="79"/>
  <c r="AC14" i="79"/>
  <c r="AC13" i="79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51" i="80"/>
  <c r="J7" i="80"/>
  <c r="J35" i="80"/>
  <c r="J80" i="80"/>
  <c r="J95" i="80"/>
  <c r="J66" i="80"/>
  <c r="A25" i="79" l="1"/>
  <c r="A29" i="79"/>
  <c r="AB15" i="89"/>
  <c r="F40" i="80"/>
  <c r="G40" i="80" s="1"/>
  <c r="P13" i="87"/>
  <c r="R27" i="87"/>
  <c r="R13" i="87"/>
  <c r="P27" i="87"/>
  <c r="N13" i="87"/>
  <c r="N27" i="87"/>
  <c r="P43" i="23"/>
  <c r="P30" i="79"/>
  <c r="G12" i="80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C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I35" i="23" l="1"/>
  <c r="E32" i="80"/>
  <c r="F18" i="80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77" i="80"/>
  <c r="J48" i="80"/>
  <c r="J63" i="80"/>
  <c r="J92" i="80"/>
  <c r="J4" i="80"/>
  <c r="J32" i="80"/>
  <c r="I32" i="80" l="1"/>
  <c r="H32" i="80"/>
  <c r="F6" i="80"/>
  <c r="G6" i="80" s="1"/>
  <c r="E4" i="80"/>
  <c r="O17" i="23"/>
  <c r="L19" i="23"/>
  <c r="N19" i="23" s="1"/>
  <c r="I37" i="23"/>
  <c r="J37" i="23" s="1"/>
  <c r="F35" i="23"/>
  <c r="G35" i="23" s="1"/>
  <c r="J35" i="23"/>
  <c r="AB7" i="89" l="1"/>
  <c r="F32" i="80"/>
  <c r="AB9" i="89"/>
  <c r="F34" i="80"/>
  <c r="G34" i="80" s="1"/>
  <c r="H4" i="80"/>
  <c r="I4" i="80"/>
  <c r="F24" i="80" s="1"/>
  <c r="F4" i="80"/>
  <c r="G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P24" i="79"/>
  <c r="P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C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C9" i="79"/>
  <c r="F17" i="80"/>
  <c r="F22" i="80"/>
  <c r="C3" i="79"/>
  <c r="L37" i="23"/>
  <c r="N37" i="23" s="1"/>
  <c r="A24" i="79" l="1"/>
  <c r="A28" i="79"/>
  <c r="A22" i="79"/>
  <c r="G32" i="80"/>
  <c r="C9" i="51"/>
  <c r="B9" i="51"/>
  <c r="A26" i="79" l="1"/>
  <c r="A30" i="79"/>
  <c r="B9" i="50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6" i="23" l="1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35" i="5"/>
  <c r="B40" i="5"/>
  <c r="B34" i="5"/>
  <c r="B39" i="5"/>
  <c r="B41" i="5"/>
  <c r="B47" i="5"/>
  <c r="B29" i="5"/>
  <c r="B32" i="5"/>
  <c r="B45" i="5"/>
  <c r="B30" i="5"/>
  <c r="E9" i="5"/>
  <c r="B44" i="5"/>
  <c r="B42" i="5"/>
  <c r="B37" i="5"/>
  <c r="B46" i="5"/>
  <c r="B33" i="5"/>
  <c r="B38" i="5"/>
  <c r="B36" i="5"/>
  <c r="B28" i="5"/>
  <c r="B31" i="5"/>
  <c r="B2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49" i="80"/>
  <c r="J64" i="80"/>
  <c r="J93" i="80"/>
  <c r="J78" i="80"/>
  <c r="J33" i="80"/>
  <c r="J5" i="80"/>
  <c r="L18" i="23" l="1"/>
  <c r="N18" i="23" s="1"/>
  <c r="E5" i="80"/>
  <c r="I5" i="80" s="1"/>
  <c r="F36" i="23"/>
  <c r="F26" i="23"/>
  <c r="J36" i="23"/>
  <c r="I44" i="23"/>
  <c r="AB8" i="89" l="1"/>
  <c r="AB16" i="89" s="1"/>
  <c r="F33" i="80"/>
  <c r="R6" i="87"/>
  <c r="P6" i="87"/>
  <c r="N6" i="87"/>
  <c r="R20" i="87"/>
  <c r="P20" i="87"/>
  <c r="N20" i="87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C8" i="79"/>
  <c r="AC16" i="79" s="1"/>
  <c r="J44" i="23"/>
  <c r="M13" i="23" s="1"/>
  <c r="G36" i="23"/>
  <c r="F44" i="23"/>
  <c r="E13" i="80"/>
  <c r="I13" i="80" s="1"/>
  <c r="F25" i="80"/>
  <c r="G33" i="80" l="1"/>
  <c r="F41" i="80"/>
  <c r="G41" i="80" s="1"/>
  <c r="F5" i="80"/>
  <c r="G5" i="80" s="1"/>
  <c r="P36" i="23"/>
  <c r="L36" i="23"/>
  <c r="N36" i="23" s="1"/>
  <c r="G44" i="23"/>
  <c r="D16" i="79" l="1"/>
  <c r="L44" i="23"/>
  <c r="N44" i="23" s="1"/>
  <c r="L13" i="23"/>
  <c r="L35" i="79"/>
  <c r="P31" i="79"/>
  <c r="P35" i="79" s="1"/>
  <c r="F13" i="80"/>
  <c r="A23" i="79" l="1"/>
  <c r="A27" i="79"/>
  <c r="G13" i="80"/>
  <c r="F14" i="80"/>
  <c r="F10" i="78"/>
  <c r="I6" i="78" l="1"/>
  <c r="I7" i="78"/>
  <c r="J6" i="78"/>
  <c r="J7" i="78"/>
  <c r="C34" i="79"/>
  <c r="T33" i="79"/>
  <c r="T34" i="79" s="1"/>
  <c r="X33" i="79"/>
  <c r="X34" i="79" s="1"/>
  <c r="P33" i="79"/>
  <c r="P34" i="79" s="1"/>
  <c r="L33" i="79"/>
  <c r="L34" i="79" s="1"/>
  <c r="B10" i="78"/>
  <c r="J8" i="78"/>
  <c r="J9" i="78"/>
  <c r="I8" i="78"/>
  <c r="I13" i="90" l="1"/>
  <c r="H16" i="79" l="1"/>
  <c r="H33" i="79" l="1"/>
  <c r="H34" i="79" s="1"/>
  <c r="H35" i="79"/>
  <c r="G9" i="78"/>
  <c r="F15" i="78" l="1"/>
  <c r="H15" i="78" s="1"/>
  <c r="F16" i="78"/>
  <c r="H16" i="78" s="1"/>
  <c r="I9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<sst xmlns="http://schemas.openxmlformats.org/spreadsheetml/2006/main" count="1508" uniqueCount="313">
  <si>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</si>
  <si>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</si>
  <si>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</si>
  <si>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</si>
  <si>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</si>
  <si>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</si>
  <si>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</si>
  <si>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</si>
  <si>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</si>
  <si>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</si>
  <si>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</si>
  <si>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</si>
  <si>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</si>
  <si>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</si>
  <si>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</si>
  <si>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</si>
  <si>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</si>
  <si>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</si>
  <si>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</si>
  <si>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</si>
  <si>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</si>
  <si>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</si>
  <si>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</si>
  <si>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</si>
  <si>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</si>
  <si>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</si>
  <si>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</si>
  <si>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</si>
  <si>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</si>
  <si>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</si>
  <si>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</si>
  <si>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</si>
  <si>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</si>
  <si>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</si>
  <si>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</si>
  <si>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</si>
  <si>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</si>
  <si>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</si>
  <si>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</si>
  <si>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</si>
  <si>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</si>
  <si>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</si>
  <si>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</si>
  <si>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</si>
  <si>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</si>
  <si>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</si>
  <si>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</si>
  <si>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</si>
  <si>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</si>
  <si>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</si>
  <si>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</si>
  <si>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</si>
  <si>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</si>
  <si>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</si>
  <si>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</si>
  <si>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</si>
  <si>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</si>
  <si>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</si>
  <si>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</si>
  <si>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</si>
  <si>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</si>
  <si>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</si>
  <si>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</si>
  <si>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</si>
  <si>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</si>
  <si>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</si>
  <si>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</si>
  <si>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</si>
  <si>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</si>
  <si>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</si>
  <si>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</si>
  <si>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</si>
  <si>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</si>
  <si>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</si>
  <si>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</si>
  <si>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</si>
  <si>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</si>
  <si>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</si>
  <si>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</si>
  <si>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</si>
  <si>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</si>
  <si>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</si>
  <si>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</si>
  <si>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</si>
  <si>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</si>
  <si>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</si>
  <si>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</si>
  <si>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</si>
  <si>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</si>
  <si>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</si>
  <si>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</si>
  <si>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</si>
  <si>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</si>
  <si>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</si>
  <si>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</si>
  <si>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</si>
  <si>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</si>
  <si>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</si>
  <si>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</si>
  <si>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</si>
  <si>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</si>
  <si>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</si>
  <si>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</si>
  <si>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</si>
  <si>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</si>
  <si>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</si>
  <si>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</si>
  <si>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</si>
  <si>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</si>
  <si>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</si>
  <si>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</si>
  <si>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</si>
  <si>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</si>
  <si>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</si>
  <si>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</si>
  <si>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</si>
  <si>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</si>
  <si>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</si>
  <si>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</si>
  <si>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</si>
  <si>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</si>
  <si>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</si>
  <si>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</si>
  <si>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</si>
  <si>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</si>
  <si>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</si>
  <si>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</si>
  <si>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</si>
  <si>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</si>
  <si>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</si>
  <si>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</si>
  <si>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</si>
  <si>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</si>
  <si>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</si>
  <si>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</si>
  <si>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</si>
  <si>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</si>
  <si>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</si>
  <si>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</si>
  <si>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</si>
  <si>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</si>
  <si>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</si>
  <si>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</si>
  <si>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</si>
  <si>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</si>
  <si>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</si>
  <si>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</si>
  <si>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</si>
  <si>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</si>
  <si>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</si>
  <si>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</si>
  <si>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</si>
  <si>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</si>
  <si>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</si>
  <si>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</si>
  <si>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</si>
  <si>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</si>
  <si>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</si>
  <si>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</si>
  <si>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</si>
  <si>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</si>
  <si>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</si>
  <si>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</si>
  <si>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</si>
  <si>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</si>
  <si>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</si>
  <si>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</si>
  <si>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</si>
  <si>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</si>
  <si>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</si>
  <si>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</si>
  <si>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</si>
  <si>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</si>
  <si>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</si>
  <si>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</si>
  <si>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</si>
  <si>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</si>
  <si>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</si>
  <si>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</si>
  <si>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</si>
  <si>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</si>
  <si>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</si>
  <si>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</si>
  <si>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</si>
  <si>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</si>
  <si>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</si>
  <si>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</si>
  <si>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</si>
  <si>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</si>
  <si>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</si>
  <si>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</si>
  <si>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</si>
  <si>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</si>
  <si>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</si>
  <si>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</si>
  <si>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</si>
  <si>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</si>
  <si>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</si>
  <si>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</si>
  <si>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</si>
  <si>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</si>
  <si>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</si>
  <si>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</si>
  <si>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</si>
  <si>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</si>
  <si>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</si>
  <si>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</si>
  <si>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</si>
  <si>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</si>
  <si>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</si>
  <si>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</si>
  <si>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</si>
  <si>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</si>
  <si>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</si>
  <si>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</si>
  <si>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</si>
  <si>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</si>
  <si>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</si>
  <si>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</si>
  <si>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</si>
  <si>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</si>
  <si>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</si>
  <si>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</si>
  <si>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</si>
  <si>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</si>
  <si>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</si>
  <si>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</si>
  <si>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</si>
  <si>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</si>
  <si>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</si>
  <si>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</si>
  <si>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</si>
  <si>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</si>
  <si>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</si>
  <si>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</si>
  <si>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</si>
  <si>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</si>
  <si>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</si>
  <si>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</si>
  <si>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</si>
  <si>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</si>
  <si>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</si>
  <si>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</si>
  <si>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</si>
  <si>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</si>
  <si>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</si>
  <si>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</si>
  <si>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</si>
  <si>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</si>
  <si>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</si>
  <si>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</si>
  <si>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</si>
  <si>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</si>
  <si>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</si>
  <si>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</si>
  <si>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</si>
  <si>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</si>
  <si>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</si>
  <si>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</si>
  <si>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</si>
  <si>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</si>
  <si>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</si>
  <si>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</si>
  <si>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</si>
  <si>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</si>
  <si>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</si>
  <si>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</si>
  <si>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</si>
  <si>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</si>
  <si>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</si>
  <si>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2023 Current Baseline ($MM)</t>
  </si>
  <si>
    <t>-$14(-5.6%)</t>
  </si>
  <si>
    <t>2023 Estimated Pre-Tax NPV ('000)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</si>
  <si>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</si>
  <si>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</si>
  <si>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</si>
  <si>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</si>
  <si>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</si>
  <si>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</si>
  <si>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</si>
  <si>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</si>
  <si>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</si>
  <si>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</si>
  <si>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</si>
  <si>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</si>
  <si>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</si>
  <si>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1M increase In spend (33M)</t>
  </si>
  <si>
    <t>Optimal channel spend allowed to vary based on custom limits  for 2023 channel spend</t>
  </si>
  <si>
    <t>GSTRV</t>
  </si>
  <si>
    <t>2023 Current Custom Constrains ($MM)</t>
  </si>
  <si>
    <t>Current optimal ($60MM)</t>
  </si>
  <si>
    <t>In Scope Promotion</t>
  </si>
  <si>
    <t>Minimum spend</t>
  </si>
  <si>
    <t>Maximum Spend</t>
  </si>
  <si>
    <t>Total In Scope Budget</t>
  </si>
  <si>
    <t xml:space="preserve">4M increase in Spend (36M) </t>
  </si>
  <si>
    <t>Custom Constrains 2</t>
  </si>
  <si>
    <t>2023 (Current Spends)</t>
  </si>
  <si>
    <t>2023 (1M increase In spend (33M))</t>
  </si>
  <si>
    <t xml:space="preserve">6M increase in Spend (38M) </t>
  </si>
  <si>
    <t xml:space="preserve">8M increase in Spend (40M) </t>
  </si>
  <si>
    <t>2023 (4M increase in Spend (36M) )</t>
  </si>
  <si>
    <t>2023 (6M increase in Spend (38M) )</t>
  </si>
  <si>
    <t>2023 (8M increase in Spend (40M) )</t>
  </si>
  <si>
    <t>HCC Linear TV</t>
  </si>
  <si>
    <t>Expected Incr doses</t>
  </si>
  <si>
    <t>+177 (16.1%)</t>
  </si>
  <si>
    <t>+121 (11.0%)</t>
  </si>
  <si>
    <t>-10(-0.9%)</t>
  </si>
  <si>
    <t>+224 (20.4%)</t>
  </si>
  <si>
    <t>Pre-tax incr. Doses</t>
  </si>
  <si>
    <t>Δ Incr. doses w.r.t 2023 Current baseline</t>
  </si>
  <si>
    <t>Expected Incr. doses(K)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</si>
</sst>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#,##0.00000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14996795556505021"/>
      </left>
      <right/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9847407452621"/>
      </top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/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5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0" fillId="0" borderId="0" xfId="0" applyAlignment="1">
      <alignment horizontal="center"/>
    </xf>
    <xf numFmtId="0" fontId="42" fillId="0" borderId="0" xfId="0" applyFont="1"/>
    <xf numFmtId="0" fontId="43" fillId="0" borderId="0" xfId="0" applyFont="1"/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101" xfId="0" applyNumberFormat="1" applyFont="1" applyBorder="1" applyAlignment="1">
      <alignment horizontal="center" vertical="center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 indent="1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0" fontId="43" fillId="0" borderId="42" xfId="0" applyFont="1" applyBorder="1" applyAlignment="1">
      <alignment horizontal="center" vertical="center"/>
    </xf>
    <xf numFmtId="170" fontId="47" fillId="0" borderId="70" xfId="0" applyNumberFormat="1" applyFont="1" applyBorder="1" applyAlignment="1">
      <alignment horizontal="center" vertical="center"/>
    </xf>
    <xf numFmtId="170" fontId="49" fillId="48" borderId="89" xfId="0" applyNumberFormat="1" applyFont="1" applyFill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2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3" fillId="47" borderId="47" xfId="0" applyFont="1" applyFill="1" applyBorder="1" applyAlignment="1">
      <alignment horizontal="center" vertical="center" wrapText="1"/>
    </xf>
    <xf numFmtId="0" fontId="53" fillId="47" borderId="48" xfId="0" applyFont="1" applyFill="1" applyBorder="1" applyAlignment="1">
      <alignment horizontal="center" vertical="center" wrapText="1"/>
    </xf>
    <xf numFmtId="169" fontId="53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8" fillId="0" borderId="41" xfId="0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173" fontId="48" fillId="0" borderId="42" xfId="0" applyNumberFormat="1" applyFont="1" applyBorder="1" applyAlignment="1">
      <alignment horizontal="center" vertical="center"/>
    </xf>
    <xf numFmtId="3" fontId="48" fillId="0" borderId="42" xfId="0" applyNumberFormat="1" applyFont="1" applyBorder="1" applyAlignment="1">
      <alignment horizontal="center" vertical="center"/>
    </xf>
    <xf numFmtId="169" fontId="48" fillId="0" borderId="42" xfId="0" applyNumberFormat="1" applyFont="1" applyBorder="1" applyAlignment="1">
      <alignment horizontal="center" vertical="center"/>
    </xf>
    <xf numFmtId="171" fontId="48" fillId="0" borderId="42" xfId="0" applyNumberFormat="1" applyFont="1" applyBorder="1" applyAlignment="1">
      <alignment horizontal="center" vertical="center"/>
    </xf>
    <xf numFmtId="166" fontId="48" fillId="0" borderId="42" xfId="4" applyNumberFormat="1" applyFont="1" applyBorder="1" applyAlignment="1">
      <alignment horizontal="center" vertical="center"/>
    </xf>
    <xf numFmtId="172" fontId="48" fillId="0" borderId="13" xfId="0" applyNumberFormat="1" applyFont="1" applyBorder="1" applyAlignment="1">
      <alignment horizontal="center" vertical="center"/>
    </xf>
    <xf numFmtId="0" fontId="54" fillId="47" borderId="47" xfId="0" applyFont="1" applyFill="1" applyBorder="1" applyAlignment="1">
      <alignment horizontal="center" vertical="center" wrapText="1"/>
    </xf>
    <xf numFmtId="0" fontId="54" fillId="47" borderId="48" xfId="0" applyFont="1" applyFill="1" applyBorder="1" applyAlignment="1">
      <alignment horizontal="center" vertical="center" wrapText="1"/>
    </xf>
    <xf numFmtId="0" fontId="54" fillId="47" borderId="49" xfId="0" applyFont="1" applyFill="1" applyBorder="1" applyAlignment="1">
      <alignment horizontal="center" vertical="center" wrapText="1"/>
    </xf>
    <xf numFmtId="174" fontId="1" fillId="0" borderId="0" xfId="0" applyNumberFormat="1" applyFont="1"/>
    <xf numFmtId="2" fontId="0" fillId="0" borderId="0" xfId="0" applyNumberFormat="1"/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2" fontId="0" fillId="0" borderId="0" xfId="4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170" fontId="41" fillId="0" borderId="105" xfId="4" applyNumberFormat="1" applyFont="1" applyBorder="1" applyAlignment="1">
      <alignment horizontal="center" vertical="center"/>
    </xf>
    <xf numFmtId="168" fontId="41" fillId="0" borderId="105" xfId="4" applyNumberFormat="1" applyFont="1" applyBorder="1" applyAlignment="1">
      <alignment horizontal="center" vertical="center"/>
    </xf>
    <xf numFmtId="0" fontId="41" fillId="0" borderId="106" xfId="0" applyFont="1" applyBorder="1" applyAlignment="1">
      <alignment horizontal="center" vertical="center" wrapText="1"/>
    </xf>
    <xf numFmtId="170" fontId="43" fillId="48" borderId="107" xfId="0" applyNumberFormat="1" applyFont="1" applyFill="1" applyBorder="1" applyAlignment="1">
      <alignment horizontal="center" vertical="center"/>
    </xf>
    <xf numFmtId="0" fontId="43" fillId="0" borderId="108" xfId="0" applyFont="1" applyBorder="1" applyAlignment="1">
      <alignment horizontal="center" vertical="center"/>
    </xf>
    <xf numFmtId="170" fontId="43" fillId="48" borderId="109" xfId="0" applyNumberFormat="1" applyFont="1" applyFill="1" applyBorder="1" applyAlignment="1">
      <alignment horizontal="center" vertical="center"/>
    </xf>
    <xf numFmtId="170" fontId="41" fillId="0" borderId="110" xfId="4" applyNumberFormat="1" applyFont="1" applyBorder="1" applyAlignment="1">
      <alignment horizontal="center" vertical="center"/>
    </xf>
    <xf numFmtId="170" fontId="41" fillId="0" borderId="111" xfId="4" applyNumberFormat="1" applyFont="1" applyBorder="1" applyAlignment="1">
      <alignment horizontal="center" vertical="center"/>
    </xf>
    <xf numFmtId="9" fontId="41" fillId="0" borderId="104" xfId="3" applyFont="1" applyBorder="1" applyAlignment="1">
      <alignment horizontal="center" vertical="center"/>
    </xf>
    <xf numFmtId="9" fontId="41" fillId="0" borderId="105" xfId="3" applyFont="1" applyBorder="1" applyAlignment="1">
      <alignment horizontal="center" vertical="center"/>
    </xf>
    <xf numFmtId="1" fontId="0" fillId="0" borderId="113" xfId="4" applyNumberFormat="1" applyFont="1" applyBorder="1" applyAlignment="1">
      <alignment horizontal="center"/>
    </xf>
    <xf numFmtId="1" fontId="0" fillId="0" borderId="112" xfId="4" applyNumberFormat="1" applyFont="1" applyBorder="1" applyAlignment="1">
      <alignment horizontal="center"/>
    </xf>
    <xf numFmtId="1" fontId="28" fillId="48" borderId="93" xfId="4" applyNumberFormat="1" applyFont="1" applyFill="1" applyBorder="1" applyAlignment="1">
      <alignment horizontal="center" vertical="center" wrapText="1"/>
    </xf>
    <xf numFmtId="3" fontId="0" fillId="0" borderId="0" xfId="4" applyNumberFormat="1" applyFont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50" fillId="0" borderId="103" xfId="0" applyFont="1" applyBorder="1" applyAlignment="1">
      <alignment horizontal="center" vertical="center" wrapText="1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3" fontId="43" fillId="48" borderId="0" xfId="0" applyNumberFormat="1" applyFont="1" applyFill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39999999.98624029</c:v>
                </c:pt>
                <c:pt idx="1">
                  <c:v>38000000.013203636</c:v>
                </c:pt>
                <c:pt idx="2">
                  <c:v>36000000.01244311</c:v>
                </c:pt>
                <c:pt idx="3">
                  <c:v>33025004</c:v>
                </c:pt>
                <c:pt idx="4">
                  <c:v>32280505.600000001</c:v>
                </c:pt>
              </c:numCache>
            </c:numRef>
          </c:xVal>
          <c:yVal>
            <c:numRef>
              <c:f>'Scenario summary'!$G$6:$G$10</c:f>
              <c:numCache>
                <c:formatCode>#,##0</c:formatCode>
                <c:ptCount val="5"/>
                <c:pt idx="0">
                  <c:v>1323423.2751637709</c:v>
                </c:pt>
                <c:pt idx="1">
                  <c:v>1276061.2961730978</c:v>
                </c:pt>
                <c:pt idx="2">
                  <c:v>1219851.8878208876</c:v>
                </c:pt>
                <c:pt idx="3">
                  <c:v>1089397.2019400175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summary'!$C$10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summary'!$F$10</c:f>
              <c:numCache>
                <c:formatCode>#,##0</c:formatCode>
                <c:ptCount val="1"/>
                <c:pt idx="0">
                  <c:v>1099211.1195203364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summary'!$C$8:$C$10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36000000.01244311</c:v>
                      </c:pt>
                      <c:pt idx="1">
                        <c:v>33025004</c:v>
                      </c:pt>
                      <c:pt idx="2">
                        <c:v>32280505.600000001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summary'!$H$8:$H$10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8750000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379735.43931977358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14861790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271289.99209866516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390000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142490.56083211911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91114.039550668633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13095.1080400832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3500000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172806.84541229345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2334495.9858692377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81308.598139807553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6463714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149272.39229083114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8.75</c:v>
                </c:pt>
                <c:pt idx="1">
                  <c:v>8.75</c:v>
                </c:pt>
                <c:pt idx="2">
                  <c:v>8.75</c:v>
                </c:pt>
                <c:pt idx="3">
                  <c:v>8.75</c:v>
                </c:pt>
                <c:pt idx="4">
                  <c:v>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2.3344959858692378</c:v>
                </c:pt>
                <c:pt idx="1">
                  <c:v>2.3344959858692378</c:v>
                </c:pt>
                <c:pt idx="2">
                  <c:v>2.3344959858692378</c:v>
                </c:pt>
                <c:pt idx="3">
                  <c:v>2.3344959858692378</c:v>
                </c:pt>
                <c:pt idx="4">
                  <c:v>2.3344959858692378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6.4637140000000004</c:v>
                </c:pt>
                <c:pt idx="1">
                  <c:v>6.4637140000000004</c:v>
                </c:pt>
                <c:pt idx="2">
                  <c:v>6.4637140000000004</c:v>
                </c:pt>
                <c:pt idx="3">
                  <c:v>6.4637140000000004</c:v>
                </c:pt>
                <c:pt idx="4">
                  <c:v>6.4637140000000004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0.39</c:v>
                </c:pt>
                <c:pt idx="1">
                  <c:v>0.39</c:v>
                </c:pt>
                <c:pt idx="2">
                  <c:v>0.39</c:v>
                </c:pt>
                <c:pt idx="3">
                  <c:v>0.39</c:v>
                </c:pt>
                <c:pt idx="4">
                  <c:v>0.39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19</xdr:row>
      <xdr:rowOff>0</xdr:rowOff>
    </xdr:from>
    <xdr:to>
      <xdr:col>9</xdr:col>
      <xdr:colOff>975360</xdr:colOff>
      <xdr:row>41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/Radio%200.6/GARDADULT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>
        <row r="23">
          <cell r="F23">
            <v>0.9</v>
          </cell>
        </row>
        <row r="24">
          <cell r="F24">
            <v>12.572464406098238</v>
          </cell>
        </row>
        <row r="25">
          <cell r="F25">
            <v>1.8</v>
          </cell>
        </row>
        <row r="26">
          <cell r="F26">
            <v>1.1000000000000001</v>
          </cell>
        </row>
        <row r="27">
          <cell r="F27">
            <v>9.4</v>
          </cell>
        </row>
        <row r="28">
          <cell r="F28">
            <v>2.9</v>
          </cell>
        </row>
        <row r="29">
          <cell r="F29">
            <v>0.15</v>
          </cell>
        </row>
        <row r="30">
          <cell r="F30">
            <v>0.6644169243574567</v>
          </cell>
        </row>
        <row r="31">
          <cell r="F31">
            <v>28.089210840000003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1"/>
  <sheetViews>
    <sheetView zoomScale="75" zoomScaleNormal="75" workbookViewId="0">
      <selection activeCell="I5" sqref="I5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7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456" t="s">
        <v>310</v>
      </c>
      <c r="H4" s="456"/>
      <c r="I4" s="457" t="s">
        <v>200</v>
      </c>
      <c r="J4" s="457"/>
      <c r="K4" s="458" t="s">
        <v>201</v>
      </c>
      <c r="L4" s="458"/>
    </row>
    <row r="5" spans="2:13" ht="38.65" customHeight="1" x14ac:dyDescent="0.25">
      <c r="B5" s="197"/>
      <c r="C5" s="275" t="s">
        <v>202</v>
      </c>
      <c r="D5" s="275" t="s">
        <v>203</v>
      </c>
      <c r="E5" s="181" t="s">
        <v>204</v>
      </c>
      <c r="F5" s="275" t="s">
        <v>276</v>
      </c>
      <c r="G5" s="296" t="s">
        <v>296</v>
      </c>
      <c r="H5" s="296"/>
      <c r="I5" s="296" t="s">
        <v>296</v>
      </c>
      <c r="J5" s="296"/>
      <c r="K5" s="296" t="s">
        <v>296</v>
      </c>
      <c r="L5" s="296"/>
      <c r="M5" s="297"/>
    </row>
    <row r="6" spans="2:13" ht="15" customHeight="1" x14ac:dyDescent="0.25">
      <c r="B6" s="197"/>
      <c r="C6" s="183">
        <f t="shared" ref="C6:C7" si="0">$C$10+E6</f>
        <v>39999999.98624029</v>
      </c>
      <c r="D6" s="184">
        <v>0.23913796400513282</v>
      </c>
      <c r="E6" s="185">
        <f t="shared" ref="E6:E7" si="1">D6*$C$10</f>
        <v>7719494.3862402886</v>
      </c>
      <c r="F6" s="183"/>
      <c r="G6" s="455">
        <f>'Scenario deep dive'!X16</f>
        <v>1323423.2751637709</v>
      </c>
      <c r="H6" s="183"/>
      <c r="I6" s="455">
        <f t="shared" ref="I6:J9" si="2">G6-$F$10</f>
        <v>224212.1556434345</v>
      </c>
      <c r="J6" s="183">
        <f t="shared" si="2"/>
        <v>-1099211.1195203364</v>
      </c>
      <c r="K6" s="186">
        <f>G6*VAC_Optim_Scenario!$E$32/$C6</f>
        <v>7.4753563723340273</v>
      </c>
      <c r="L6" s="186"/>
      <c r="M6" s="297"/>
    </row>
    <row r="7" spans="2:13" ht="15" customHeight="1" x14ac:dyDescent="0.25">
      <c r="B7" s="197"/>
      <c r="C7" s="183">
        <f t="shared" si="0"/>
        <v>38000000.013203636</v>
      </c>
      <c r="D7" s="184">
        <v>0.17718106661884608</v>
      </c>
      <c r="E7" s="185">
        <f t="shared" si="1"/>
        <v>5719494.4132036343</v>
      </c>
      <c r="F7" s="183"/>
      <c r="G7" s="455">
        <f>'Scenario deep dive'!T16</f>
        <v>1276061.2961730978</v>
      </c>
      <c r="H7" s="183"/>
      <c r="I7" s="455">
        <f t="shared" si="2"/>
        <v>176850.17665276141</v>
      </c>
      <c r="J7" s="183">
        <f t="shared" si="2"/>
        <v>-1099211.1195203364</v>
      </c>
      <c r="K7" s="186">
        <f>G7*VAC_Optim_Scenario!$E$32/$C7</f>
        <v>7.5871918199255584</v>
      </c>
      <c r="L7" s="186"/>
      <c r="M7" s="297"/>
    </row>
    <row r="8" spans="2:13" x14ac:dyDescent="0.25">
      <c r="C8" s="183">
        <f>$C$10+E8</f>
        <v>36000000.01244311</v>
      </c>
      <c r="D8" s="184">
        <v>0.11522416837371682</v>
      </c>
      <c r="E8" s="185">
        <f>D8*$C$10</f>
        <v>3719494.4124431089</v>
      </c>
      <c r="F8" s="183"/>
      <c r="G8" s="455">
        <f>'Scenario deep dive'!L16</f>
        <v>1219851.8878208876</v>
      </c>
      <c r="H8" s="183"/>
      <c r="I8" s="455">
        <f t="shared" si="2"/>
        <v>120640.76830055122</v>
      </c>
      <c r="J8" s="183">
        <f t="shared" si="2"/>
        <v>-1099211.1195203364</v>
      </c>
      <c r="K8" s="186">
        <f>G8*VAC_Optim_Scenario!$E$32/$C8</f>
        <v>7.6559259844163279</v>
      </c>
      <c r="L8" s="186">
        <f t="shared" ref="L8:L9" si="3">H8/$C8</f>
        <v>0</v>
      </c>
    </row>
    <row r="9" spans="2:13" x14ac:dyDescent="0.25">
      <c r="C9" s="183">
        <f>$C$10+E9</f>
        <v>33025004</v>
      </c>
      <c r="D9" s="184">
        <v>2.3063405797460572E-2</v>
      </c>
      <c r="E9" s="185">
        <f>D9*$C$10</f>
        <v>744498.39999999851</v>
      </c>
      <c r="F9" s="183"/>
      <c r="G9" s="455">
        <f>'Scenario deep dive'!H16</f>
        <v>1089397.2019400175</v>
      </c>
      <c r="H9" s="187"/>
      <c r="I9" s="455">
        <f t="shared" si="2"/>
        <v>-9813.91758031887</v>
      </c>
      <c r="J9" s="183">
        <f t="shared" si="2"/>
        <v>-1099211.1195203364</v>
      </c>
      <c r="K9" s="186">
        <f>G9*VAC_Optim_Scenario!$E$32/$C9</f>
        <v>7.4530923238140279</v>
      </c>
      <c r="L9" s="186">
        <f t="shared" si="3"/>
        <v>0</v>
      </c>
    </row>
    <row r="10" spans="2:13" x14ac:dyDescent="0.25">
      <c r="B10" s="188">
        <f>F10/C10</f>
        <v>3.4051855728069402E-2</v>
      </c>
      <c r="C10" s="183">
        <f>'Scenario deep dive'!C16</f>
        <v>32280505.600000001</v>
      </c>
      <c r="D10" s="184">
        <v>0</v>
      </c>
      <c r="E10" s="185">
        <f>D10*$C$10</f>
        <v>0</v>
      </c>
      <c r="F10" s="455">
        <f>'Scenario deep dive'!D16</f>
        <v>1099211.1195203364</v>
      </c>
      <c r="G10" s="183"/>
      <c r="H10" s="183"/>
      <c r="I10" s="183"/>
      <c r="J10" s="183"/>
      <c r="K10" s="186"/>
      <c r="L10" s="186"/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459" t="s">
        <v>205</v>
      </c>
      <c r="G13" s="459"/>
      <c r="H13" s="459" t="s">
        <v>206</v>
      </c>
      <c r="I13" s="459"/>
    </row>
    <row r="14" spans="2:13" ht="30" x14ac:dyDescent="0.25">
      <c r="C14" s="180" t="s">
        <v>202</v>
      </c>
      <c r="D14" s="180" t="s">
        <v>203</v>
      </c>
      <c r="E14" s="97" t="s">
        <v>207</v>
      </c>
      <c r="F14" s="296" t="s">
        <v>296</v>
      </c>
      <c r="G14" s="182"/>
      <c r="H14" s="296" t="s">
        <v>296</v>
      </c>
      <c r="I14" s="182"/>
    </row>
    <row r="15" spans="2:13" x14ac:dyDescent="0.25">
      <c r="C15" s="190">
        <f t="shared" ref="C15:D17" si="4">C8</f>
        <v>36000000.01244311</v>
      </c>
      <c r="D15" s="191">
        <f t="shared" si="4"/>
        <v>0.11522416837371682</v>
      </c>
      <c r="E15" s="190">
        <f>C15-C16</f>
        <v>2974996.0124431103</v>
      </c>
      <c r="F15" s="192">
        <f>G8-G9</f>
        <v>130454.68588087009</v>
      </c>
      <c r="G15" s="192">
        <f>H8-H9</f>
        <v>0</v>
      </c>
      <c r="H15" s="186">
        <f t="shared" ref="H15:I16" si="5">F15/$E15</f>
        <v>4.3850373356883528E-2</v>
      </c>
      <c r="I15" s="186">
        <f t="shared" si="5"/>
        <v>0</v>
      </c>
    </row>
    <row r="16" spans="2:13" x14ac:dyDescent="0.25">
      <c r="C16" s="190">
        <f t="shared" si="4"/>
        <v>33025004</v>
      </c>
      <c r="D16" s="191">
        <f t="shared" si="4"/>
        <v>2.3063405797460572E-2</v>
      </c>
      <c r="E16" s="190">
        <f>C16-C17</f>
        <v>744498.39999999851</v>
      </c>
      <c r="F16" s="192">
        <f>G9-G10</f>
        <v>1089397.2019400175</v>
      </c>
      <c r="G16" s="192">
        <f>H9-H10</f>
        <v>0</v>
      </c>
      <c r="H16" s="186">
        <f>F16/$E16</f>
        <v>1.4632633219091131</v>
      </c>
      <c r="I16" s="186">
        <f t="shared" si="5"/>
        <v>0</v>
      </c>
    </row>
    <row r="17" spans="3:9" x14ac:dyDescent="0.25">
      <c r="C17" s="190">
        <f t="shared" si="4"/>
        <v>32280505.600000001</v>
      </c>
      <c r="D17" s="191">
        <f t="shared" si="4"/>
        <v>0</v>
      </c>
      <c r="E17" s="190"/>
      <c r="F17" s="192"/>
      <c r="G17" s="192"/>
      <c r="H17" s="186"/>
      <c r="I17" s="186"/>
    </row>
    <row r="18" spans="3:9" x14ac:dyDescent="0.25">
      <c r="H18" s="186"/>
    </row>
    <row r="54" spans="21:22" x14ac:dyDescent="0.25">
      <c r="U54" s="193"/>
      <c r="V54" s="193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0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463" t="s">
        <v>247</v>
      </c>
      <c r="G4" s="463"/>
      <c r="H4" s="463"/>
      <c r="I4" s="463"/>
      <c r="J4" s="463"/>
      <c r="K4" s="463"/>
      <c r="L4" s="463"/>
      <c r="M4" s="463"/>
      <c r="N4" s="463"/>
      <c r="O4" s="463"/>
      <c r="P4" s="463"/>
    </row>
    <row r="5" spans="1:28" x14ac:dyDescent="0.25">
      <c r="F5" s="460" t="s">
        <v>253</v>
      </c>
      <c r="G5" s="461"/>
      <c r="H5" s="462"/>
      <c r="I5" s="195"/>
      <c r="J5" s="460" t="s">
        <v>259</v>
      </c>
      <c r="K5" s="461"/>
      <c r="L5" s="462"/>
      <c r="M5" s="195"/>
      <c r="N5" s="460" t="s">
        <v>260</v>
      </c>
      <c r="O5" s="461"/>
      <c r="P5" s="462"/>
      <c r="R5" s="460" t="s">
        <v>261</v>
      </c>
      <c r="S5" s="461"/>
      <c r="T5" s="462"/>
      <c r="V5" s="460" t="s">
        <v>262</v>
      </c>
      <c r="W5" s="461"/>
      <c r="X5" s="462"/>
      <c r="Z5" s="97" t="s">
        <v>246</v>
      </c>
    </row>
    <row r="6" spans="1:28" ht="38.1" customHeight="1" x14ac:dyDescent="0.25">
      <c r="B6" s="196" t="s">
        <v>210</v>
      </c>
      <c r="C6" s="97" t="s">
        <v>211</v>
      </c>
      <c r="D6" s="197" t="s">
        <v>212</v>
      </c>
      <c r="E6" s="197"/>
      <c r="F6" s="197" t="s">
        <v>220</v>
      </c>
      <c r="G6" s="197" t="s">
        <v>213</v>
      </c>
      <c r="H6" s="197" t="s">
        <v>214</v>
      </c>
      <c r="I6" s="197"/>
      <c r="J6" s="197" t="s">
        <v>220</v>
      </c>
      <c r="K6" s="197" t="s">
        <v>213</v>
      </c>
      <c r="L6" s="197" t="s">
        <v>214</v>
      </c>
      <c r="N6" s="197" t="s">
        <v>220</v>
      </c>
      <c r="O6" s="197" t="s">
        <v>213</v>
      </c>
      <c r="P6" s="197" t="s">
        <v>214</v>
      </c>
      <c r="R6" s="197" t="s">
        <v>220</v>
      </c>
      <c r="S6" s="197" t="s">
        <v>213</v>
      </c>
      <c r="T6" s="197" t="s">
        <v>214</v>
      </c>
      <c r="V6" s="197" t="s">
        <v>220</v>
      </c>
      <c r="W6" s="197" t="s">
        <v>213</v>
      </c>
      <c r="X6" s="197" t="s">
        <v>214</v>
      </c>
      <c r="Z6" s="197" t="s">
        <v>220</v>
      </c>
      <c r="AA6" s="197" t="s">
        <v>213</v>
      </c>
      <c r="AB6" s="197" t="s">
        <v>214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1000000</v>
      </c>
      <c r="AA7" s="191">
        <f>(Z7-$C7)/$C7</f>
        <v>-0.41176470588235292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8750000</v>
      </c>
      <c r="AA8" s="191">
        <f t="shared" ref="AA8:AA15" si="0">(Z8-$C8)/$C8</f>
        <v>0.52336051588821497</v>
      </c>
      <c r="AB8" s="199">
        <f>VAC_Optim_Scenario!$J36</f>
        <v>85797425.159909636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2334495.9858692377</v>
      </c>
      <c r="AA9" s="191">
        <f t="shared" si="0"/>
        <v>0.2000859693146963</v>
      </c>
      <c r="AB9" s="199">
        <f>VAC_Optim_Scenario!$J37</f>
        <v>18370864.663708117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500000</v>
      </c>
      <c r="AA10" s="191">
        <f t="shared" si="0"/>
        <v>-3.0894915051349361E-2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6463714</v>
      </c>
      <c r="AA11" s="191">
        <f t="shared" si="0"/>
        <v>0.23180996508605661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3500000</v>
      </c>
      <c r="AA12" s="191">
        <f t="shared" si="0"/>
        <v>2.5253624445274152</v>
      </c>
      <c r="AB12" s="199">
        <f>VAC_Optim_Scenario!$J40</f>
        <v>39043978.652453579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390000</v>
      </c>
      <c r="AA13" s="191">
        <f t="shared" si="0"/>
        <v>-0.5125000060937499</v>
      </c>
      <c r="AB13" s="199">
        <f>VAC_Optim_Scenario!$J41</f>
        <v>32194317.314408991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2200000</v>
      </c>
      <c r="AA14" s="191">
        <f t="shared" si="0"/>
        <v>0.68604283699913415</v>
      </c>
      <c r="AB14" s="199">
        <f>VAC_Optim_Scenario!$J42</f>
        <v>20586306.096078072</v>
      </c>
    </row>
    <row r="15" spans="1:28" x14ac:dyDescent="0.2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14861790</v>
      </c>
      <c r="AA15" s="191">
        <f t="shared" si="0"/>
        <v>8.9712395656144167E-2</v>
      </c>
      <c r="AB15" s="199">
        <f>VAC_Optim_Scenario!$J43</f>
        <v>61295260.814772405</v>
      </c>
    </row>
    <row r="16" spans="1:28" ht="34.35" customHeight="1" x14ac:dyDescent="0.25">
      <c r="B16" s="201" t="s">
        <v>216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39999999.985869236</v>
      </c>
      <c r="AA16" s="203">
        <f>(Z16-$C$16)/$C$16</f>
        <v>0.2543774310550162</v>
      </c>
      <c r="AB16" s="202">
        <f>SUM(AB7:AB15)</f>
        <v>299014254.79050243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463" t="str">
        <f>F4</f>
        <v>Optimal channel spend allowed to vary between +/- 30% of the 2021 channel spend</v>
      </c>
      <c r="G19" s="463"/>
      <c r="H19" s="463"/>
      <c r="I19" s="463"/>
      <c r="J19" s="463"/>
      <c r="K19" s="463"/>
      <c r="L19" s="463"/>
      <c r="M19" s="463"/>
      <c r="N19" s="463"/>
      <c r="O19" s="463"/>
      <c r="P19" s="463"/>
    </row>
    <row r="20" spans="1:24" ht="30.4" customHeight="1" x14ac:dyDescent="0.25">
      <c r="C20" s="464" t="s">
        <v>264</v>
      </c>
      <c r="D20" s="465"/>
      <c r="E20" s="204"/>
      <c r="F20" s="460" t="str">
        <f>F5</f>
        <v>Current Optimal ($32MM)</v>
      </c>
      <c r="G20" s="461"/>
      <c r="H20" s="462"/>
      <c r="I20" s="205"/>
      <c r="J20" s="460" t="str">
        <f>J5</f>
        <v>10% reduction optimal ($29M)</v>
      </c>
      <c r="K20" s="461"/>
      <c r="L20" s="462"/>
      <c r="M20" s="205"/>
      <c r="N20" s="460" t="str">
        <f>N5</f>
        <v>20% reduction optimal ($26M)</v>
      </c>
      <c r="O20" s="461"/>
      <c r="P20" s="462"/>
      <c r="R20" s="460" t="str">
        <f>R5</f>
        <v>10% increase optimal ($35M)</v>
      </c>
      <c r="S20" s="461"/>
      <c r="T20" s="462"/>
      <c r="V20" s="460" t="str">
        <f>V5</f>
        <v>20% increase optimal ($38M)</v>
      </c>
      <c r="W20" s="461"/>
      <c r="X20" s="462"/>
    </row>
    <row r="21" spans="1:24" ht="45" x14ac:dyDescent="0.25">
      <c r="B21" s="196" t="s">
        <v>210</v>
      </c>
      <c r="C21" s="206" t="s">
        <v>217</v>
      </c>
      <c r="D21" s="207" t="s">
        <v>218</v>
      </c>
      <c r="E21" s="208"/>
      <c r="F21" s="231" t="s">
        <v>220</v>
      </c>
      <c r="G21" s="207" t="s">
        <v>213</v>
      </c>
      <c r="H21" s="209" t="s">
        <v>214</v>
      </c>
      <c r="I21" s="208"/>
      <c r="J21" s="231" t="s">
        <v>220</v>
      </c>
      <c r="K21" s="207" t="s">
        <v>213</v>
      </c>
      <c r="L21" s="209" t="s">
        <v>214</v>
      </c>
      <c r="M21" s="193"/>
      <c r="N21" s="231" t="s">
        <v>220</v>
      </c>
      <c r="O21" s="207" t="s">
        <v>213</v>
      </c>
      <c r="P21" s="209" t="s">
        <v>214</v>
      </c>
      <c r="R21" s="231" t="s">
        <v>220</v>
      </c>
      <c r="S21" s="207" t="s">
        <v>213</v>
      </c>
      <c r="T21" s="209" t="s">
        <v>214</v>
      </c>
      <c r="V21" s="231" t="s">
        <v>220</v>
      </c>
      <c r="W21" s="207" t="s">
        <v>213</v>
      </c>
      <c r="X21" s="209" t="s">
        <v>214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216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00" t="s">
        <v>263</v>
      </c>
      <c r="C32" s="222"/>
      <c r="D32" s="223"/>
      <c r="E32" s="224"/>
      <c r="F32" s="225"/>
      <c r="G32" s="226"/>
      <c r="H32" s="302" t="s">
        <v>254</v>
      </c>
      <c r="I32" s="224"/>
      <c r="J32" s="225"/>
      <c r="K32" s="226"/>
      <c r="L32" s="229" t="s">
        <v>255</v>
      </c>
      <c r="M32" s="224"/>
      <c r="N32" s="225"/>
      <c r="O32" s="226"/>
      <c r="P32" s="229" t="s">
        <v>256</v>
      </c>
      <c r="R32" s="225"/>
      <c r="S32" s="226"/>
      <c r="T32" s="302" t="s">
        <v>257</v>
      </c>
      <c r="V32" s="225"/>
      <c r="W32" s="226"/>
      <c r="X32" s="302" t="s">
        <v>258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25">
      <c r="B36" s="469" t="s">
        <v>248</v>
      </c>
      <c r="C36" s="469"/>
      <c r="D36" s="469"/>
      <c r="E36" s="469"/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469"/>
    </row>
    <row r="37" spans="2:24" x14ac:dyDescent="0.25">
      <c r="B37" s="469"/>
      <c r="C37" s="469"/>
      <c r="D37" s="469"/>
      <c r="E37" s="469"/>
      <c r="F37" s="469"/>
      <c r="G37" s="469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469"/>
    </row>
    <row r="39" spans="2:24" x14ac:dyDescent="0.25">
      <c r="F39" s="460" t="s">
        <v>241</v>
      </c>
      <c r="G39" s="461"/>
      <c r="H39" s="462"/>
      <c r="I39" s="195"/>
      <c r="J39" s="460" t="s">
        <v>208</v>
      </c>
      <c r="K39" s="461"/>
      <c r="L39" s="462"/>
      <c r="M39" s="195"/>
      <c r="N39" s="460" t="s">
        <v>209</v>
      </c>
      <c r="O39" s="461"/>
      <c r="P39" s="462"/>
      <c r="R39" s="470"/>
      <c r="S39" s="471"/>
      <c r="T39" s="472"/>
    </row>
    <row r="40" spans="2:24" ht="45" x14ac:dyDescent="0.25">
      <c r="B40" s="196" t="s">
        <v>210</v>
      </c>
      <c r="C40" s="97" t="s">
        <v>211</v>
      </c>
      <c r="D40" s="197" t="s">
        <v>212</v>
      </c>
      <c r="E40" s="197"/>
      <c r="F40" s="97" t="s">
        <v>211</v>
      </c>
      <c r="G40" s="197" t="s">
        <v>213</v>
      </c>
      <c r="H40" s="197" t="s">
        <v>214</v>
      </c>
      <c r="I40" s="197"/>
      <c r="J40" s="97" t="s">
        <v>211</v>
      </c>
      <c r="K40" s="197" t="s">
        <v>213</v>
      </c>
      <c r="L40" s="197" t="s">
        <v>214</v>
      </c>
      <c r="N40" s="97" t="s">
        <v>211</v>
      </c>
      <c r="O40" s="197" t="s">
        <v>213</v>
      </c>
      <c r="P40" s="197" t="s">
        <v>214</v>
      </c>
      <c r="R40" s="97" t="s">
        <v>211</v>
      </c>
      <c r="S40" s="197" t="s">
        <v>213</v>
      </c>
      <c r="T40" s="197" t="s">
        <v>214</v>
      </c>
    </row>
    <row r="41" spans="2:24" x14ac:dyDescent="0.25">
      <c r="B41" s="198" t="s">
        <v>223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224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225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236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226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227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228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216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73" t="str">
        <f>B36</f>
        <v>Optimal Channel Spend  allowed to vary between  of the 2021 spend</v>
      </c>
      <c r="G53" s="473"/>
      <c r="H53" s="473"/>
      <c r="I53" s="473"/>
      <c r="J53" s="473"/>
      <c r="K53" s="473"/>
      <c r="L53" s="473"/>
      <c r="M53" s="473"/>
      <c r="N53" s="473"/>
      <c r="O53" s="473"/>
      <c r="P53" s="473"/>
    </row>
    <row r="54" spans="2:20" x14ac:dyDescent="0.25">
      <c r="C54" s="464" t="s">
        <v>242</v>
      </c>
      <c r="D54" s="465"/>
      <c r="E54" s="204"/>
      <c r="F54" s="460" t="str">
        <f>F39</f>
        <v>Current Optimal ($MM)</v>
      </c>
      <c r="G54" s="461"/>
      <c r="H54" s="462"/>
      <c r="I54" s="205"/>
      <c r="J54" s="460" t="str">
        <f>J39</f>
        <v>10% reduction optimal ($)</v>
      </c>
      <c r="K54" s="461"/>
      <c r="L54" s="462"/>
      <c r="M54" s="205"/>
      <c r="N54" s="460" t="str">
        <f>N39</f>
        <v>20% reduction optimal ()</v>
      </c>
      <c r="O54" s="461"/>
      <c r="P54" s="462"/>
      <c r="R54" s="466"/>
      <c r="S54" s="467"/>
      <c r="T54" s="468"/>
    </row>
    <row r="55" spans="2:20" ht="45" x14ac:dyDescent="0.25">
      <c r="B55" s="196" t="s">
        <v>210</v>
      </c>
      <c r="C55" s="207" t="s">
        <v>220</v>
      </c>
      <c r="D55" s="207" t="s">
        <v>218</v>
      </c>
      <c r="E55" s="208"/>
      <c r="F55" s="231" t="s">
        <v>220</v>
      </c>
      <c r="G55" s="207" t="s">
        <v>213</v>
      </c>
      <c r="H55" s="209" t="s">
        <v>214</v>
      </c>
      <c r="I55" s="208"/>
      <c r="J55" s="231" t="s">
        <v>220</v>
      </c>
      <c r="K55" s="207" t="s">
        <v>213</v>
      </c>
      <c r="L55" s="209" t="s">
        <v>214</v>
      </c>
      <c r="M55" s="193"/>
      <c r="N55" s="231" t="s">
        <v>220</v>
      </c>
      <c r="O55" s="207" t="s">
        <v>213</v>
      </c>
      <c r="P55" s="209" t="s">
        <v>214</v>
      </c>
      <c r="R55" s="231" t="s">
        <v>220</v>
      </c>
      <c r="S55" s="207" t="s">
        <v>213</v>
      </c>
      <c r="T55" s="209" t="s">
        <v>214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215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216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219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51"/>
      <c r="J67" s="351"/>
      <c r="K67" s="351"/>
      <c r="L67" s="191" t="e">
        <f>L66/$D$64</f>
        <v>#DIV/0!</v>
      </c>
      <c r="M67" s="351"/>
      <c r="N67" s="351"/>
      <c r="O67" s="351"/>
      <c r="P67" s="191" t="e">
        <f>P66/$D$64</f>
        <v>#DIV/0!</v>
      </c>
      <c r="Q67" s="351"/>
      <c r="R67" s="351"/>
      <c r="S67" s="351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43" priority="17" operator="lessThan">
      <formula>0</formula>
    </cfRule>
    <cfRule type="cellIs" dxfId="42" priority="18" operator="greaterThan">
      <formula>0</formula>
    </cfRule>
  </conditionalFormatting>
  <conditionalFormatting sqref="K22:K30">
    <cfRule type="cellIs" dxfId="41" priority="15" operator="lessThan">
      <formula>0</formula>
    </cfRule>
    <cfRule type="cellIs" dxfId="40" priority="16" operator="greaterThan">
      <formula>0</formula>
    </cfRule>
  </conditionalFormatting>
  <conditionalFormatting sqref="O22:O30">
    <cfRule type="cellIs" dxfId="39" priority="13" operator="lessThan">
      <formula>0</formula>
    </cfRule>
    <cfRule type="cellIs" dxfId="38" priority="14" operator="greaterThan">
      <formula>0</formula>
    </cfRule>
  </conditionalFormatting>
  <conditionalFormatting sqref="S22:S30">
    <cfRule type="cellIs" dxfId="37" priority="11" operator="lessThan">
      <formula>0</formula>
    </cfRule>
    <cfRule type="cellIs" dxfId="36" priority="12" operator="greaterThan">
      <formula>0</formula>
    </cfRule>
  </conditionalFormatting>
  <conditionalFormatting sqref="G56:G63">
    <cfRule type="cellIs" dxfId="35" priority="9" operator="lessThan">
      <formula>0</formula>
    </cfRule>
    <cfRule type="cellIs" dxfId="34" priority="10" operator="greaterThan">
      <formula>0</formula>
    </cfRule>
  </conditionalFormatting>
  <conditionalFormatting sqref="K56:K63">
    <cfRule type="cellIs" dxfId="33" priority="7" operator="lessThan">
      <formula>0</formula>
    </cfRule>
    <cfRule type="cellIs" dxfId="32" priority="8" operator="greaterThan">
      <formula>0</formula>
    </cfRule>
  </conditionalFormatting>
  <conditionalFormatting sqref="O56:O63">
    <cfRule type="cellIs" dxfId="31" priority="5" operator="lessThan">
      <formula>0</formula>
    </cfRule>
    <cfRule type="cellIs" dxfId="30" priority="6" operator="greaterThan">
      <formula>0</formula>
    </cfRule>
  </conditionalFormatting>
  <conditionalFormatting sqref="S56:S63">
    <cfRule type="cellIs" dxfId="29" priority="3" operator="lessThan">
      <formula>0</formula>
    </cfRule>
    <cfRule type="cellIs" dxfId="28" priority="4" operator="greaterThan">
      <formula>0</formula>
    </cfRule>
  </conditionalFormatting>
  <conditionalFormatting sqref="W22:W30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230</v>
      </c>
    </row>
    <row r="2" spans="2:20" ht="15.75" thickBot="1" x14ac:dyDescent="0.3"/>
    <row r="3" spans="2:20" ht="30.2" customHeight="1" x14ac:dyDescent="0.25">
      <c r="B3" s="474" t="s">
        <v>2</v>
      </c>
      <c r="C3" s="476" t="s">
        <v>3</v>
      </c>
      <c r="D3" s="477" t="s">
        <v>231</v>
      </c>
      <c r="E3" s="478"/>
      <c r="F3" s="477" t="s">
        <v>232</v>
      </c>
      <c r="G3" s="478"/>
      <c r="H3" s="477" t="s">
        <v>233</v>
      </c>
      <c r="I3" s="478"/>
      <c r="K3" s="474" t="s">
        <v>2</v>
      </c>
      <c r="L3" s="476" t="s">
        <v>3</v>
      </c>
      <c r="M3" s="477" t="s">
        <v>231</v>
      </c>
      <c r="N3" s="478"/>
      <c r="O3" s="477" t="s">
        <v>232</v>
      </c>
      <c r="P3" s="478"/>
      <c r="Q3" s="477" t="s">
        <v>233</v>
      </c>
      <c r="R3" s="478"/>
    </row>
    <row r="4" spans="2:20" ht="25.5" x14ac:dyDescent="0.25">
      <c r="B4" s="475"/>
      <c r="C4" s="475"/>
      <c r="D4" s="245" t="s">
        <v>234</v>
      </c>
      <c r="E4" s="246" t="s">
        <v>235</v>
      </c>
      <c r="F4" s="245" t="s">
        <v>234</v>
      </c>
      <c r="G4" s="246" t="s">
        <v>235</v>
      </c>
      <c r="H4" s="245" t="s">
        <v>234</v>
      </c>
      <c r="I4" s="246" t="s">
        <v>235</v>
      </c>
      <c r="K4" s="475"/>
      <c r="L4" s="475"/>
      <c r="M4" s="245" t="s">
        <v>234</v>
      </c>
      <c r="N4" s="246" t="s">
        <v>235</v>
      </c>
      <c r="O4" s="245" t="s">
        <v>234</v>
      </c>
      <c r="P4" s="246" t="s">
        <v>235</v>
      </c>
      <c r="Q4" s="245" t="s">
        <v>234</v>
      </c>
      <c r="R4" s="246" t="s">
        <v>235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2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25">
      <c r="T14" s="310"/>
    </row>
    <row r="15" spans="2:20" x14ac:dyDescent="0.25">
      <c r="C15" s="244" t="s">
        <v>237</v>
      </c>
    </row>
    <row r="17" spans="2:19" ht="37.9" customHeight="1" x14ac:dyDescent="0.25">
      <c r="C17" s="476" t="s">
        <v>3</v>
      </c>
      <c r="D17" s="477" t="s">
        <v>231</v>
      </c>
      <c r="E17" s="478"/>
      <c r="F17" s="477" t="s">
        <v>238</v>
      </c>
      <c r="G17" s="478"/>
      <c r="H17" s="477" t="s">
        <v>239</v>
      </c>
      <c r="I17" s="478"/>
      <c r="L17" s="476" t="s">
        <v>3</v>
      </c>
      <c r="M17" s="477" t="s">
        <v>231</v>
      </c>
      <c r="N17" s="478"/>
      <c r="O17" s="477" t="s">
        <v>238</v>
      </c>
      <c r="P17" s="478"/>
      <c r="Q17" s="477" t="s">
        <v>239</v>
      </c>
      <c r="R17" s="478"/>
    </row>
    <row r="18" spans="2:19" ht="25.5" x14ac:dyDescent="0.25">
      <c r="C18" s="475"/>
      <c r="D18" s="55" t="s">
        <v>234</v>
      </c>
      <c r="E18" s="55" t="s">
        <v>235</v>
      </c>
      <c r="F18" s="55" t="s">
        <v>234</v>
      </c>
      <c r="G18" s="55" t="s">
        <v>235</v>
      </c>
      <c r="H18" s="55" t="s">
        <v>234</v>
      </c>
      <c r="I18" s="55" t="s">
        <v>235</v>
      </c>
      <c r="L18" s="475"/>
      <c r="M18" s="55" t="s">
        <v>234</v>
      </c>
      <c r="N18" s="55" t="s">
        <v>235</v>
      </c>
      <c r="O18" s="55" t="s">
        <v>234</v>
      </c>
      <c r="P18" s="55" t="s">
        <v>235</v>
      </c>
      <c r="Q18" s="55" t="s">
        <v>234</v>
      </c>
      <c r="R18" s="55" t="s">
        <v>235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35" customHeight="1" x14ac:dyDescent="0.25">
      <c r="C30" s="337" t="s">
        <v>3</v>
      </c>
      <c r="D30" s="338" t="s">
        <v>240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223</v>
      </c>
      <c r="L30" s="97" t="s">
        <v>224</v>
      </c>
      <c r="M30" s="97" t="s">
        <v>225</v>
      </c>
      <c r="N30" s="97" t="s">
        <v>243</v>
      </c>
      <c r="O30" s="97" t="s">
        <v>245</v>
      </c>
      <c r="P30" s="97" t="s">
        <v>226</v>
      </c>
      <c r="Q30" s="97" t="s">
        <v>227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339">
        <f>M19</f>
        <v>3.081</v>
      </c>
      <c r="E31" s="339">
        <f>O5</f>
        <v>1.659</v>
      </c>
      <c r="F31" s="339">
        <f>Q5</f>
        <v>3.081</v>
      </c>
      <c r="G31" s="339">
        <f>O19</f>
        <v>1.9760291300433497</v>
      </c>
      <c r="H31" s="339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25">
      <c r="B32" s="54" t="s">
        <v>154</v>
      </c>
      <c r="C32" s="312" t="str">
        <f>VAC_Optim_Scenario!B18</f>
        <v>HCP MCM</v>
      </c>
      <c r="D32" s="340">
        <f t="shared" ref="D32:D39" si="4">M20</f>
        <v>7.9137499886468206</v>
      </c>
      <c r="E32" s="340">
        <f t="shared" ref="E32:E39" si="5">O6</f>
        <v>7.9137499886468206</v>
      </c>
      <c r="F32" s="340">
        <f t="shared" ref="F32:F39" si="6">Q6</f>
        <v>7.9137499886468206</v>
      </c>
      <c r="G32" s="340">
        <f t="shared" ref="G32:G39" si="7">O20</f>
        <v>7.9137499886468206</v>
      </c>
      <c r="H32" s="340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25">
      <c r="B33" s="54" t="s">
        <v>154</v>
      </c>
      <c r="C33" s="312" t="str">
        <f>VAC_Optim_Scenario!B19</f>
        <v>HCC Social</v>
      </c>
      <c r="D33" s="340">
        <f t="shared" si="4"/>
        <v>2.9380000000000002</v>
      </c>
      <c r="E33" s="340">
        <f t="shared" si="5"/>
        <v>1.5820000000000001</v>
      </c>
      <c r="F33" s="340">
        <f t="shared" si="6"/>
        <v>2.9380000000000002</v>
      </c>
      <c r="G33" s="340">
        <f t="shared" si="7"/>
        <v>1.5820000000000001</v>
      </c>
      <c r="H33" s="340">
        <f t="shared" si="8"/>
        <v>2.9380000000000002</v>
      </c>
      <c r="J33" s="260" t="s">
        <v>240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25">
      <c r="B34" s="54" t="s">
        <v>154</v>
      </c>
      <c r="C34" s="312" t="str">
        <f>VAC_Optim_Scenario!B20</f>
        <v>HCC Online Video</v>
      </c>
      <c r="D34" s="340">
        <f t="shared" si="4"/>
        <v>0.69299999999999995</v>
      </c>
      <c r="E34" s="340">
        <f t="shared" si="5"/>
        <v>0.69299999999999995</v>
      </c>
      <c r="F34" s="340">
        <f t="shared" si="6"/>
        <v>1.2869999999999999</v>
      </c>
      <c r="G34" s="340">
        <f t="shared" si="7"/>
        <v>0.69299999999999995</v>
      </c>
      <c r="H34" s="340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25">
      <c r="B35" s="54" t="s">
        <v>154</v>
      </c>
      <c r="C35" s="312" t="str">
        <f>VAC_Optim_Scenario!B21</f>
        <v>HCC Streaming Video</v>
      </c>
      <c r="D35" s="340">
        <f t="shared" si="4"/>
        <v>3.9416439999999997</v>
      </c>
      <c r="E35" s="340">
        <f t="shared" si="5"/>
        <v>3.9416439999999997</v>
      </c>
      <c r="F35" s="340">
        <f t="shared" si="6"/>
        <v>7.3201960000000001</v>
      </c>
      <c r="G35" s="340">
        <f t="shared" si="7"/>
        <v>3.9416439999999997</v>
      </c>
      <c r="H35" s="340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25">
      <c r="B36" s="54" t="s">
        <v>154</v>
      </c>
      <c r="C36" s="312" t="str">
        <f>VAC_Optim_Scenario!B22</f>
        <v>HCC Display</v>
      </c>
      <c r="D36" s="340">
        <f t="shared" si="4"/>
        <v>1.9214</v>
      </c>
      <c r="E36" s="340">
        <f t="shared" si="5"/>
        <v>1.9214</v>
      </c>
      <c r="F36" s="340">
        <f t="shared" si="6"/>
        <v>1.9214</v>
      </c>
      <c r="G36" s="340">
        <f t="shared" si="7"/>
        <v>1.9214</v>
      </c>
      <c r="H36" s="340">
        <f t="shared" si="8"/>
        <v>1.9214</v>
      </c>
    </row>
    <row r="37" spans="2:22" x14ac:dyDescent="0.25">
      <c r="B37" s="54" t="s">
        <v>154</v>
      </c>
      <c r="C37" s="312" t="str">
        <f>VAC_Optim_Scenario!B23</f>
        <v>HCC Paid Search</v>
      </c>
      <c r="D37" s="340">
        <f t="shared" si="4"/>
        <v>1.232</v>
      </c>
      <c r="E37" s="340">
        <f t="shared" si="5"/>
        <v>1.232</v>
      </c>
      <c r="F37" s="340">
        <f t="shared" si="6"/>
        <v>1.232</v>
      </c>
      <c r="G37" s="340">
        <f t="shared" si="7"/>
        <v>1.232</v>
      </c>
      <c r="H37" s="340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340">
        <f t="shared" si="4"/>
        <v>1.5996707428443773</v>
      </c>
      <c r="E38" s="340">
        <f t="shared" si="5"/>
        <v>0.91370790000000002</v>
      </c>
      <c r="F38" s="340">
        <f t="shared" si="6"/>
        <v>1.6968861000000002</v>
      </c>
      <c r="G38" s="340">
        <f t="shared" si="7"/>
        <v>0.91370789999999991</v>
      </c>
      <c r="H38" s="340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340">
        <f t="shared" si="4"/>
        <v>15.034300118508808</v>
      </c>
      <c r="E39" s="340">
        <f t="shared" si="5"/>
        <v>11.531133494999999</v>
      </c>
      <c r="F39" s="340">
        <f t="shared" si="6"/>
        <v>18.498262961353184</v>
      </c>
      <c r="G39" s="340">
        <f t="shared" si="7"/>
        <v>11.531133494999999</v>
      </c>
      <c r="H39" s="340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230</v>
      </c>
    </row>
    <row r="2" spans="2:20" ht="15.75" thickBot="1" x14ac:dyDescent="0.3"/>
    <row r="3" spans="2:20" ht="30.2" customHeight="1" x14ac:dyDescent="0.25">
      <c r="B3" s="474" t="s">
        <v>2</v>
      </c>
      <c r="C3" s="476" t="s">
        <v>3</v>
      </c>
      <c r="D3" s="477" t="s">
        <v>231</v>
      </c>
      <c r="E3" s="478"/>
      <c r="F3" s="477" t="s">
        <v>232</v>
      </c>
      <c r="G3" s="478"/>
      <c r="H3" s="477" t="s">
        <v>233</v>
      </c>
      <c r="I3" s="478"/>
      <c r="K3" s="474" t="s">
        <v>2</v>
      </c>
      <c r="L3" s="476" t="s">
        <v>3</v>
      </c>
      <c r="M3" s="477" t="s">
        <v>231</v>
      </c>
      <c r="N3" s="478"/>
      <c r="O3" s="477" t="s">
        <v>232</v>
      </c>
      <c r="P3" s="478"/>
      <c r="Q3" s="477" t="s">
        <v>233</v>
      </c>
      <c r="R3" s="478"/>
    </row>
    <row r="4" spans="2:20" ht="25.5" x14ac:dyDescent="0.25">
      <c r="B4" s="475"/>
      <c r="C4" s="475"/>
      <c r="D4" s="245" t="s">
        <v>234</v>
      </c>
      <c r="E4" s="246" t="s">
        <v>235</v>
      </c>
      <c r="F4" s="245" t="s">
        <v>234</v>
      </c>
      <c r="G4" s="246" t="s">
        <v>235</v>
      </c>
      <c r="H4" s="245" t="s">
        <v>234</v>
      </c>
      <c r="I4" s="246" t="s">
        <v>235</v>
      </c>
      <c r="K4" s="475"/>
      <c r="L4" s="475"/>
      <c r="M4" s="245" t="s">
        <v>234</v>
      </c>
      <c r="N4" s="246" t="s">
        <v>235</v>
      </c>
      <c r="O4" s="245" t="s">
        <v>234</v>
      </c>
      <c r="P4" s="246" t="s">
        <v>235</v>
      </c>
      <c r="Q4" s="245" t="s">
        <v>234</v>
      </c>
      <c r="R4" s="246" t="s">
        <v>235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f>VAC_Optim_Scenario!$H35</f>
        <v>1000000</v>
      </c>
      <c r="E5" s="249">
        <f>VAC_Optim_Scenario!$J35</f>
        <v>5040789.0644048415</v>
      </c>
      <c r="F5" s="248">
        <f>VAC_Optim_Scenario!$H35</f>
        <v>1000000</v>
      </c>
      <c r="G5" s="249">
        <f>VAC_Optim_Scenario!$J35</f>
        <v>5040789.0644048415</v>
      </c>
      <c r="H5" s="248">
        <f>VAC_Optim_Scenario!$H35</f>
        <v>1000000</v>
      </c>
      <c r="I5" s="249">
        <f>VAC_Optim_Scenario!$J35</f>
        <v>5040789.0644048415</v>
      </c>
      <c r="J5" s="250"/>
      <c r="K5" s="53" t="s">
        <v>154</v>
      </c>
      <c r="L5" s="53" t="str">
        <f>VAC_Optim_Scenario!B17</f>
        <v>HCC In Office</v>
      </c>
      <c r="M5" s="251">
        <f>D5/1000000</f>
        <v>1</v>
      </c>
      <c r="N5" s="252">
        <f t="shared" ref="N5:R13" si="0">E5/1000000</f>
        <v>5.0407890644048416</v>
      </c>
      <c r="O5" s="251">
        <f t="shared" si="0"/>
        <v>1</v>
      </c>
      <c r="P5" s="252">
        <f t="shared" si="0"/>
        <v>5.0407890644048416</v>
      </c>
      <c r="Q5" s="251">
        <f t="shared" si="0"/>
        <v>1</v>
      </c>
      <c r="R5" s="252">
        <f t="shared" si="0"/>
        <v>5.0407890644048416</v>
      </c>
    </row>
    <row r="6" spans="2:20" x14ac:dyDescent="0.25">
      <c r="B6" s="54" t="s">
        <v>154</v>
      </c>
      <c r="C6" s="253" t="str">
        <f>VAC_Optim_Scenario!B18</f>
        <v>HCP MCM</v>
      </c>
      <c r="D6" s="254">
        <f>VAC_Optim_Scenario!$H36</f>
        <v>8750000</v>
      </c>
      <c r="E6" s="255">
        <f>VAC_Optim_Scenario!$J36</f>
        <v>85797425.159909636</v>
      </c>
      <c r="F6" s="254">
        <f>VAC_Optim_Scenario!$H36</f>
        <v>8750000</v>
      </c>
      <c r="G6" s="255">
        <f>VAC_Optim_Scenario!$J36</f>
        <v>85797425.159909636</v>
      </c>
      <c r="H6" s="254">
        <f>VAC_Optim_Scenario!$H36</f>
        <v>8750000</v>
      </c>
      <c r="I6" s="255">
        <f>VAC_Optim_Scenario!$J36</f>
        <v>85797425.159909636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8.75</v>
      </c>
      <c r="N6" s="257">
        <f t="shared" si="0"/>
        <v>85.797425159909636</v>
      </c>
      <c r="O6" s="256">
        <f t="shared" si="0"/>
        <v>8.75</v>
      </c>
      <c r="P6" s="257">
        <f t="shared" si="0"/>
        <v>85.797425159909636</v>
      </c>
      <c r="Q6" s="256">
        <f t="shared" si="0"/>
        <v>8.75</v>
      </c>
      <c r="R6" s="257">
        <f t="shared" si="0"/>
        <v>85.797425159909636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f>VAC_Optim_Scenario!$H37</f>
        <v>2334495.9858692377</v>
      </c>
      <c r="E7" s="255">
        <f>VAC_Optim_Scenario!$J37</f>
        <v>18370864.663708117</v>
      </c>
      <c r="F7" s="254">
        <f>VAC_Optim_Scenario!$H37</f>
        <v>2334495.9858692377</v>
      </c>
      <c r="G7" s="255">
        <f>VAC_Optim_Scenario!$J37</f>
        <v>18370864.663708117</v>
      </c>
      <c r="H7" s="254">
        <f>VAC_Optim_Scenario!$H37</f>
        <v>2334495.9858692377</v>
      </c>
      <c r="I7" s="255">
        <f>VAC_Optim_Scenario!$J37</f>
        <v>18370864.663708117</v>
      </c>
      <c r="J7" s="258"/>
      <c r="K7" s="54" t="s">
        <v>154</v>
      </c>
      <c r="L7" s="54" t="str">
        <f>VAC_Optim_Scenario!B19</f>
        <v>HCC Social</v>
      </c>
      <c r="M7" s="256">
        <f t="shared" si="1"/>
        <v>2.3344959858692378</v>
      </c>
      <c r="N7" s="257">
        <f t="shared" si="0"/>
        <v>18.370864663708115</v>
      </c>
      <c r="O7" s="256">
        <f t="shared" si="0"/>
        <v>2.3344959858692378</v>
      </c>
      <c r="P7" s="257">
        <f t="shared" si="0"/>
        <v>18.370864663708115</v>
      </c>
      <c r="Q7" s="256">
        <f t="shared" si="0"/>
        <v>2.3344959858692378</v>
      </c>
      <c r="R7" s="257">
        <f t="shared" si="0"/>
        <v>18.370864663708115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f>VAC_Optim_Scenario!$H38</f>
        <v>500000</v>
      </c>
      <c r="E8" s="255">
        <f>VAC_Optim_Scenario!$J38</f>
        <v>2958708.7105763983</v>
      </c>
      <c r="F8" s="254">
        <f>VAC_Optim_Scenario!$H38</f>
        <v>500000</v>
      </c>
      <c r="G8" s="255">
        <f>VAC_Optim_Scenario!$J38</f>
        <v>2958708.7105763983</v>
      </c>
      <c r="H8" s="254">
        <f>VAC_Optim_Scenario!$H38</f>
        <v>500000</v>
      </c>
      <c r="I8" s="255">
        <f>VAC_Optim_Scenario!$J38</f>
        <v>2958708.7105763983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0.5</v>
      </c>
      <c r="N8" s="257">
        <f t="shared" si="0"/>
        <v>2.9587087105763983</v>
      </c>
      <c r="O8" s="256">
        <f t="shared" si="0"/>
        <v>0.5</v>
      </c>
      <c r="P8" s="257">
        <f t="shared" si="0"/>
        <v>2.9587087105763983</v>
      </c>
      <c r="Q8" s="256">
        <f t="shared" si="0"/>
        <v>0.5</v>
      </c>
      <c r="R8" s="257">
        <f t="shared" si="0"/>
        <v>2.9587087105763983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f>VAC_Optim_Scenario!$H39</f>
        <v>6463714</v>
      </c>
      <c r="E9" s="255">
        <f>VAC_Optim_Scenario!$J39</f>
        <v>33726604.314190388</v>
      </c>
      <c r="F9" s="254">
        <f>VAC_Optim_Scenario!$H39</f>
        <v>6463714</v>
      </c>
      <c r="G9" s="255">
        <f>VAC_Optim_Scenario!$J39</f>
        <v>33726604.314190388</v>
      </c>
      <c r="H9" s="254">
        <f>VAC_Optim_Scenario!$H39</f>
        <v>6463714</v>
      </c>
      <c r="I9" s="255">
        <f>VAC_Optim_Scenario!$J39</f>
        <v>33726604.314190388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6.4637140000000004</v>
      </c>
      <c r="N9" s="257">
        <f t="shared" si="0"/>
        <v>33.726604314190389</v>
      </c>
      <c r="O9" s="256">
        <f t="shared" si="0"/>
        <v>6.4637140000000004</v>
      </c>
      <c r="P9" s="257">
        <f t="shared" si="0"/>
        <v>33.726604314190389</v>
      </c>
      <c r="Q9" s="256">
        <f t="shared" si="0"/>
        <v>6.4637140000000004</v>
      </c>
      <c r="R9" s="257">
        <f t="shared" si="0"/>
        <v>33.726604314190389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f>VAC_Optim_Scenario!$H40</f>
        <v>3500000</v>
      </c>
      <c r="E10" s="255">
        <f>VAC_Optim_Scenario!$J40</f>
        <v>39043978.652453579</v>
      </c>
      <c r="F10" s="254">
        <f>VAC_Optim_Scenario!$H40</f>
        <v>3500000</v>
      </c>
      <c r="G10" s="255">
        <f>VAC_Optim_Scenario!$J40</f>
        <v>39043978.652453579</v>
      </c>
      <c r="H10" s="254">
        <f>VAC_Optim_Scenario!$H40</f>
        <v>3500000</v>
      </c>
      <c r="I10" s="255">
        <f>VAC_Optim_Scenario!$J40</f>
        <v>39043978.652453579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3.5</v>
      </c>
      <c r="N10" s="257">
        <f t="shared" si="0"/>
        <v>39.043978652453582</v>
      </c>
      <c r="O10" s="256">
        <f t="shared" si="0"/>
        <v>3.5</v>
      </c>
      <c r="P10" s="257">
        <f t="shared" si="0"/>
        <v>39.043978652453582</v>
      </c>
      <c r="Q10" s="256">
        <f t="shared" si="0"/>
        <v>3.5</v>
      </c>
      <c r="R10" s="257">
        <f t="shared" si="0"/>
        <v>39.043978652453582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f>VAC_Optim_Scenario!$H41</f>
        <v>390000</v>
      </c>
      <c r="E11" s="255">
        <f>VAC_Optim_Scenario!$J41</f>
        <v>32194317.314408991</v>
      </c>
      <c r="F11" s="254">
        <f>VAC_Optim_Scenario!$H41</f>
        <v>390000</v>
      </c>
      <c r="G11" s="255">
        <f>VAC_Optim_Scenario!$J41</f>
        <v>32194317.314408991</v>
      </c>
      <c r="H11" s="254">
        <f>VAC_Optim_Scenario!$H41</f>
        <v>390000</v>
      </c>
      <c r="I11" s="255">
        <f>VAC_Optim_Scenario!$J41</f>
        <v>32194317.314408991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0.39</v>
      </c>
      <c r="N11" s="257">
        <f t="shared" si="0"/>
        <v>32.194317314408991</v>
      </c>
      <c r="O11" s="256">
        <f t="shared" si="0"/>
        <v>0.39</v>
      </c>
      <c r="P11" s="257">
        <f t="shared" si="0"/>
        <v>32.194317314408991</v>
      </c>
      <c r="Q11" s="256">
        <f t="shared" si="0"/>
        <v>0.39</v>
      </c>
      <c r="R11" s="257">
        <f t="shared" si="0"/>
        <v>32.194317314408991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f>VAC_Optim_Scenario!$H42</f>
        <v>2200000</v>
      </c>
      <c r="E12" s="255">
        <f>VAC_Optim_Scenario!$J42</f>
        <v>20586306.096078072</v>
      </c>
      <c r="F12" s="254">
        <f>VAC_Optim_Scenario!$H42</f>
        <v>2200000</v>
      </c>
      <c r="G12" s="255">
        <f>VAC_Optim_Scenario!$J42</f>
        <v>20586306.096078072</v>
      </c>
      <c r="H12" s="254">
        <f>VAC_Optim_Scenario!$H42</f>
        <v>2200000</v>
      </c>
      <c r="I12" s="255">
        <f>VAC_Optim_Scenario!$J42</f>
        <v>20586306.096078072</v>
      </c>
      <c r="J12" s="250"/>
      <c r="K12" s="54" t="s">
        <v>154</v>
      </c>
      <c r="L12" s="54" t="str">
        <f>VAC_Optim_Scenario!B24</f>
        <v>HCC Audio</v>
      </c>
      <c r="M12" s="256">
        <f t="shared" si="1"/>
        <v>2.2000000000000002</v>
      </c>
      <c r="N12" s="257">
        <f t="shared" si="0"/>
        <v>20.586306096078072</v>
      </c>
      <c r="O12" s="256">
        <f t="shared" si="0"/>
        <v>2.2000000000000002</v>
      </c>
      <c r="P12" s="257">
        <f t="shared" si="0"/>
        <v>20.586306096078072</v>
      </c>
      <c r="Q12" s="256">
        <f t="shared" si="0"/>
        <v>2.2000000000000002</v>
      </c>
      <c r="R12" s="257">
        <f t="shared" si="0"/>
        <v>20.586306096078072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f>VAC_Optim_Scenario!$H43</f>
        <v>14861790</v>
      </c>
      <c r="E13" s="268">
        <f>VAC_Optim_Scenario!$J43</f>
        <v>61295260.814772405</v>
      </c>
      <c r="F13" s="268">
        <f>VAC_Optim_Scenario!$H43</f>
        <v>14861790</v>
      </c>
      <c r="G13" s="268">
        <f>VAC_Optim_Scenario!$J43</f>
        <v>61295260.814772405</v>
      </c>
      <c r="H13" s="268">
        <f>VAC_Optim_Scenario!$H43</f>
        <v>14861790</v>
      </c>
      <c r="I13" s="268">
        <f>VAC_Optim_Scenario!$J43</f>
        <v>61295260.814772405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14.861789999999999</v>
      </c>
      <c r="N13" s="261">
        <f t="shared" si="0"/>
        <v>61.295260814772405</v>
      </c>
      <c r="O13" s="261">
        <f t="shared" si="0"/>
        <v>14.861789999999999</v>
      </c>
      <c r="P13" s="261">
        <f t="shared" si="0"/>
        <v>61.295260814772405</v>
      </c>
      <c r="Q13" s="261">
        <f t="shared" si="0"/>
        <v>14.861789999999999</v>
      </c>
      <c r="R13" s="261">
        <f t="shared" si="0"/>
        <v>61.295260814772405</v>
      </c>
    </row>
    <row r="14" spans="2:20" x14ac:dyDescent="0.25">
      <c r="T14" s="310"/>
    </row>
    <row r="15" spans="2:20" x14ac:dyDescent="0.25">
      <c r="C15" s="244" t="s">
        <v>237</v>
      </c>
    </row>
    <row r="17" spans="2:19" ht="37.9" customHeight="1" x14ac:dyDescent="0.25">
      <c r="C17" s="476" t="s">
        <v>3</v>
      </c>
      <c r="D17" s="477" t="s">
        <v>231</v>
      </c>
      <c r="E17" s="478"/>
      <c r="F17" s="477" t="s">
        <v>238</v>
      </c>
      <c r="G17" s="478"/>
      <c r="H17" s="477" t="s">
        <v>239</v>
      </c>
      <c r="I17" s="478"/>
      <c r="L17" s="476" t="s">
        <v>3</v>
      </c>
      <c r="M17" s="477" t="s">
        <v>231</v>
      </c>
      <c r="N17" s="478"/>
      <c r="O17" s="477" t="s">
        <v>238</v>
      </c>
      <c r="P17" s="478"/>
      <c r="Q17" s="477" t="s">
        <v>239</v>
      </c>
      <c r="R17" s="478"/>
    </row>
    <row r="18" spans="2:19" ht="25.5" x14ac:dyDescent="0.25">
      <c r="C18" s="475"/>
      <c r="D18" s="55" t="s">
        <v>234</v>
      </c>
      <c r="E18" s="55" t="s">
        <v>235</v>
      </c>
      <c r="F18" s="55" t="s">
        <v>234</v>
      </c>
      <c r="G18" s="55" t="s">
        <v>235</v>
      </c>
      <c r="H18" s="55" t="s">
        <v>234</v>
      </c>
      <c r="I18" s="55" t="s">
        <v>235</v>
      </c>
      <c r="L18" s="475"/>
      <c r="M18" s="55" t="s">
        <v>234</v>
      </c>
      <c r="N18" s="55" t="s">
        <v>235</v>
      </c>
      <c r="O18" s="55" t="s">
        <v>234</v>
      </c>
      <c r="P18" s="55" t="s">
        <v>235</v>
      </c>
      <c r="Q18" s="55" t="s">
        <v>234</v>
      </c>
      <c r="R18" s="55" t="s">
        <v>235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f>VAC_Optim_Scenario!$H35</f>
        <v>1000000</v>
      </c>
      <c r="E19" s="249">
        <f>VAC_Optim_Scenario!$J35</f>
        <v>5040789.0644048415</v>
      </c>
      <c r="F19" s="248">
        <f>VAC_Optim_Scenario!$H35</f>
        <v>1000000</v>
      </c>
      <c r="G19" s="249">
        <f>VAC_Optim_Scenario!$J35</f>
        <v>5040789.0644048415</v>
      </c>
      <c r="H19" s="248">
        <f>VAC_Optim_Scenario!$H35</f>
        <v>1000000</v>
      </c>
      <c r="I19" s="249">
        <f>VAC_Optim_Scenario!$J35</f>
        <v>5040789.0644048415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</v>
      </c>
      <c r="N19" s="252">
        <f t="shared" ref="N19:R27" si="2">E19/1000000</f>
        <v>5.0407890644048416</v>
      </c>
      <c r="O19" s="251">
        <f t="shared" si="2"/>
        <v>1</v>
      </c>
      <c r="P19" s="252">
        <f t="shared" si="2"/>
        <v>5.0407890644048416</v>
      </c>
      <c r="Q19" s="251">
        <f t="shared" si="2"/>
        <v>1</v>
      </c>
      <c r="R19" s="252">
        <f t="shared" si="2"/>
        <v>5.0407890644048416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f>VAC_Optim_Scenario!$H36</f>
        <v>8750000</v>
      </c>
      <c r="E20" s="255">
        <f>VAC_Optim_Scenario!$J36</f>
        <v>85797425.159909636</v>
      </c>
      <c r="F20" s="254">
        <f>VAC_Optim_Scenario!$H36</f>
        <v>8750000</v>
      </c>
      <c r="G20" s="255">
        <f>VAC_Optim_Scenario!$J36</f>
        <v>85797425.159909636</v>
      </c>
      <c r="H20" s="254">
        <f>VAC_Optim_Scenario!$H36</f>
        <v>8750000</v>
      </c>
      <c r="I20" s="255">
        <f>VAC_Optim_Scenario!$J36</f>
        <v>85797425.159909636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8.75</v>
      </c>
      <c r="N20" s="257">
        <f t="shared" si="2"/>
        <v>85.797425159909636</v>
      </c>
      <c r="O20" s="256">
        <f t="shared" si="2"/>
        <v>8.75</v>
      </c>
      <c r="P20" s="257">
        <f t="shared" si="2"/>
        <v>85.797425159909636</v>
      </c>
      <c r="Q20" s="256">
        <f t="shared" si="2"/>
        <v>8.75</v>
      </c>
      <c r="R20" s="257">
        <f t="shared" si="2"/>
        <v>85.797425159909636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f>VAC_Optim_Scenario!$H37</f>
        <v>2334495.9858692377</v>
      </c>
      <c r="E21" s="255">
        <f>VAC_Optim_Scenario!$J37</f>
        <v>18370864.663708117</v>
      </c>
      <c r="F21" s="254">
        <f>VAC_Optim_Scenario!$H37</f>
        <v>2334495.9858692377</v>
      </c>
      <c r="G21" s="255">
        <f>VAC_Optim_Scenario!$J37</f>
        <v>18370864.663708117</v>
      </c>
      <c r="H21" s="254">
        <f>VAC_Optim_Scenario!$H37</f>
        <v>2334495.9858692377</v>
      </c>
      <c r="I21" s="255">
        <f>VAC_Optim_Scenario!$J37</f>
        <v>18370864.663708117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2.3344959858692378</v>
      </c>
      <c r="N21" s="257">
        <f t="shared" si="2"/>
        <v>18.370864663708115</v>
      </c>
      <c r="O21" s="256">
        <f t="shared" si="2"/>
        <v>2.3344959858692378</v>
      </c>
      <c r="P21" s="257">
        <f t="shared" si="2"/>
        <v>18.370864663708115</v>
      </c>
      <c r="Q21" s="256">
        <f t="shared" si="2"/>
        <v>2.3344959858692378</v>
      </c>
      <c r="R21" s="257">
        <f t="shared" si="2"/>
        <v>18.370864663708115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f>VAC_Optim_Scenario!$H38</f>
        <v>500000</v>
      </c>
      <c r="E22" s="255">
        <f>VAC_Optim_Scenario!$J38</f>
        <v>2958708.7105763983</v>
      </c>
      <c r="F22" s="254">
        <f>VAC_Optim_Scenario!$H38</f>
        <v>500000</v>
      </c>
      <c r="G22" s="255">
        <f>VAC_Optim_Scenario!$J38</f>
        <v>2958708.7105763983</v>
      </c>
      <c r="H22" s="254">
        <f>VAC_Optim_Scenario!$H38</f>
        <v>500000</v>
      </c>
      <c r="I22" s="255">
        <f>VAC_Optim_Scenario!$J38</f>
        <v>2958708.7105763983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0.5</v>
      </c>
      <c r="N22" s="257">
        <f t="shared" si="2"/>
        <v>2.9587087105763983</v>
      </c>
      <c r="O22" s="256">
        <f t="shared" si="2"/>
        <v>0.5</v>
      </c>
      <c r="P22" s="257">
        <f t="shared" si="2"/>
        <v>2.9587087105763983</v>
      </c>
      <c r="Q22" s="256">
        <f t="shared" si="2"/>
        <v>0.5</v>
      </c>
      <c r="R22" s="257">
        <f t="shared" si="2"/>
        <v>2.9587087105763983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f>VAC_Optim_Scenario!$H39</f>
        <v>6463714</v>
      </c>
      <c r="E23" s="255">
        <f>VAC_Optim_Scenario!$J39</f>
        <v>33726604.314190388</v>
      </c>
      <c r="F23" s="254">
        <f>VAC_Optim_Scenario!$H39</f>
        <v>6463714</v>
      </c>
      <c r="G23" s="255">
        <f>VAC_Optim_Scenario!$J39</f>
        <v>33726604.314190388</v>
      </c>
      <c r="H23" s="254">
        <f>VAC_Optim_Scenario!$H39</f>
        <v>6463714</v>
      </c>
      <c r="I23" s="255">
        <f>VAC_Optim_Scenario!$J39</f>
        <v>33726604.314190388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6.4637140000000004</v>
      </c>
      <c r="N23" s="257">
        <f t="shared" si="2"/>
        <v>33.726604314190389</v>
      </c>
      <c r="O23" s="256">
        <f t="shared" si="2"/>
        <v>6.4637140000000004</v>
      </c>
      <c r="P23" s="257">
        <f t="shared" si="2"/>
        <v>33.726604314190389</v>
      </c>
      <c r="Q23" s="256">
        <f t="shared" si="2"/>
        <v>6.4637140000000004</v>
      </c>
      <c r="R23" s="257">
        <f t="shared" si="2"/>
        <v>33.726604314190389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f>VAC_Optim_Scenario!$H40</f>
        <v>3500000</v>
      </c>
      <c r="E24" s="255">
        <f>VAC_Optim_Scenario!$J40</f>
        <v>39043978.652453579</v>
      </c>
      <c r="F24" s="254">
        <f>VAC_Optim_Scenario!$H40</f>
        <v>3500000</v>
      </c>
      <c r="G24" s="255">
        <f>VAC_Optim_Scenario!$J40</f>
        <v>39043978.652453579</v>
      </c>
      <c r="H24" s="254">
        <f>VAC_Optim_Scenario!$H40</f>
        <v>3500000</v>
      </c>
      <c r="I24" s="255">
        <f>VAC_Optim_Scenario!$J40</f>
        <v>39043978.652453579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3.5</v>
      </c>
      <c r="N24" s="257">
        <f t="shared" si="2"/>
        <v>39.043978652453582</v>
      </c>
      <c r="O24" s="256">
        <f t="shared" si="2"/>
        <v>3.5</v>
      </c>
      <c r="P24" s="257">
        <f t="shared" si="2"/>
        <v>39.043978652453582</v>
      </c>
      <c r="Q24" s="256">
        <f t="shared" si="2"/>
        <v>3.5</v>
      </c>
      <c r="R24" s="257">
        <f t="shared" si="2"/>
        <v>39.043978652453582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f>VAC_Optim_Scenario!$H41</f>
        <v>390000</v>
      </c>
      <c r="E25" s="255">
        <f>VAC_Optim_Scenario!$J41</f>
        <v>32194317.314408991</v>
      </c>
      <c r="F25" s="254">
        <f>VAC_Optim_Scenario!$H41</f>
        <v>390000</v>
      </c>
      <c r="G25" s="255">
        <f>VAC_Optim_Scenario!$J41</f>
        <v>32194317.314408991</v>
      </c>
      <c r="H25" s="254">
        <f>VAC_Optim_Scenario!$H41</f>
        <v>390000</v>
      </c>
      <c r="I25" s="255">
        <f>VAC_Optim_Scenario!$J41</f>
        <v>32194317.314408991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0.39</v>
      </c>
      <c r="N25" s="257">
        <f t="shared" si="2"/>
        <v>32.194317314408991</v>
      </c>
      <c r="O25" s="256">
        <f t="shared" si="2"/>
        <v>0.39</v>
      </c>
      <c r="P25" s="257">
        <f t="shared" si="2"/>
        <v>32.194317314408991</v>
      </c>
      <c r="Q25" s="256">
        <f t="shared" si="2"/>
        <v>0.39</v>
      </c>
      <c r="R25" s="257">
        <f t="shared" si="2"/>
        <v>32.194317314408991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f>VAC_Optim_Scenario!$H42</f>
        <v>2200000</v>
      </c>
      <c r="E26" s="255">
        <f>VAC_Optim_Scenario!$J42</f>
        <v>20586306.096078072</v>
      </c>
      <c r="F26" s="254">
        <f>VAC_Optim_Scenario!$H42</f>
        <v>2200000</v>
      </c>
      <c r="G26" s="255">
        <f>VAC_Optim_Scenario!$J42</f>
        <v>20586306.096078072</v>
      </c>
      <c r="H26" s="254">
        <f>VAC_Optim_Scenario!$H42</f>
        <v>2200000</v>
      </c>
      <c r="I26" s="255">
        <f>VAC_Optim_Scenario!$J42</f>
        <v>20586306.096078072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2.2000000000000002</v>
      </c>
      <c r="N26" s="257">
        <f t="shared" si="2"/>
        <v>20.586306096078072</v>
      </c>
      <c r="O26" s="256">
        <f t="shared" si="2"/>
        <v>2.2000000000000002</v>
      </c>
      <c r="P26" s="257">
        <f t="shared" si="2"/>
        <v>20.586306096078072</v>
      </c>
      <c r="Q26" s="256">
        <f t="shared" si="2"/>
        <v>2.2000000000000002</v>
      </c>
      <c r="R26" s="257">
        <f t="shared" si="2"/>
        <v>20.586306096078072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f>VAC_Optim_Scenario!$H43</f>
        <v>14861790</v>
      </c>
      <c r="E27" s="268">
        <f>VAC_Optim_Scenario!$J43</f>
        <v>61295260.814772405</v>
      </c>
      <c r="F27" s="268">
        <f>VAC_Optim_Scenario!$H43</f>
        <v>14861790</v>
      </c>
      <c r="G27" s="268">
        <f>VAC_Optim_Scenario!$J43</f>
        <v>61295260.814772405</v>
      </c>
      <c r="H27" s="268">
        <f>VAC_Optim_Scenario!$H43</f>
        <v>14861790</v>
      </c>
      <c r="I27" s="268">
        <f>VAC_Optim_Scenario!$J43</f>
        <v>61295260.814772405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14.861789999999999</v>
      </c>
      <c r="N27" s="261">
        <f t="shared" si="2"/>
        <v>61.295260814772405</v>
      </c>
      <c r="O27" s="261">
        <f t="shared" si="2"/>
        <v>14.861789999999999</v>
      </c>
      <c r="P27" s="261">
        <f t="shared" si="2"/>
        <v>61.295260814772405</v>
      </c>
      <c r="Q27" s="261">
        <f t="shared" si="2"/>
        <v>14.861789999999999</v>
      </c>
      <c r="R27" s="261">
        <f t="shared" si="2"/>
        <v>61.295260814772405</v>
      </c>
    </row>
    <row r="30" spans="2:19" ht="34.35" customHeight="1" x14ac:dyDescent="0.25">
      <c r="C30" s="293" t="s">
        <v>3</v>
      </c>
      <c r="D30" s="294" t="s">
        <v>240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223</v>
      </c>
      <c r="L30" s="97" t="s">
        <v>224</v>
      </c>
      <c r="M30" s="97" t="s">
        <v>225</v>
      </c>
      <c r="N30" s="97" t="s">
        <v>243</v>
      </c>
      <c r="O30" s="97" t="s">
        <v>245</v>
      </c>
      <c r="P30" s="97" t="s">
        <v>226</v>
      </c>
      <c r="Q30" s="97" t="s">
        <v>227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251">
        <f>M19</f>
        <v>1</v>
      </c>
      <c r="E31" s="251">
        <f>O5</f>
        <v>1</v>
      </c>
      <c r="F31" s="251">
        <f>Q5</f>
        <v>1</v>
      </c>
      <c r="G31" s="251">
        <f>O19</f>
        <v>1</v>
      </c>
      <c r="H31" s="251">
        <f>Q19</f>
        <v>1</v>
      </c>
      <c r="J31" s="260">
        <v>-0.5</v>
      </c>
      <c r="K31" s="261">
        <f>E$31</f>
        <v>1</v>
      </c>
      <c r="L31" s="261">
        <f>E$32</f>
        <v>8.75</v>
      </c>
      <c r="M31" s="261">
        <f>E$33</f>
        <v>2.3344959858692378</v>
      </c>
      <c r="N31" s="261">
        <f>E$34</f>
        <v>0.5</v>
      </c>
      <c r="O31" s="261">
        <f>E$35</f>
        <v>6.4637140000000004</v>
      </c>
      <c r="P31" s="261">
        <f>E$36</f>
        <v>3.5</v>
      </c>
      <c r="Q31" s="261">
        <f>E$37</f>
        <v>0.39</v>
      </c>
      <c r="R31" s="261">
        <f>E$38</f>
        <v>2.2000000000000002</v>
      </c>
      <c r="S31" s="261">
        <f>E$39</f>
        <v>14.861789999999999</v>
      </c>
    </row>
    <row r="32" spans="2:19" x14ac:dyDescent="0.25">
      <c r="B32" s="54" t="s">
        <v>154</v>
      </c>
      <c r="C32" s="312" t="str">
        <f>VAC_Optim_Scenario!B18</f>
        <v>HCP MCM</v>
      </c>
      <c r="D32" s="256">
        <f t="shared" ref="D32:D39" si="4">M20</f>
        <v>8.75</v>
      </c>
      <c r="E32" s="256">
        <f t="shared" ref="E32:E39" si="5">O6</f>
        <v>8.75</v>
      </c>
      <c r="F32" s="256">
        <f t="shared" ref="F32:F39" si="6">Q6</f>
        <v>8.75</v>
      </c>
      <c r="G32" s="256">
        <f t="shared" ref="G32:G39" si="7">O20</f>
        <v>8.75</v>
      </c>
      <c r="H32" s="256">
        <f t="shared" ref="H32:H39" si="8">Q20</f>
        <v>8.75</v>
      </c>
      <c r="J32" s="260">
        <v>-0.4</v>
      </c>
      <c r="K32" s="261">
        <f>G$31</f>
        <v>1</v>
      </c>
      <c r="L32" s="261">
        <f>G$32</f>
        <v>8.75</v>
      </c>
      <c r="M32" s="261">
        <f>G$33</f>
        <v>2.3344959858692378</v>
      </c>
      <c r="N32" s="261">
        <f>G$34</f>
        <v>0.5</v>
      </c>
      <c r="O32" s="261">
        <f>G$35</f>
        <v>6.4637140000000004</v>
      </c>
      <c r="P32" s="261">
        <f>G$36</f>
        <v>3.5</v>
      </c>
      <c r="Q32" s="261">
        <f>G$37</f>
        <v>0.39</v>
      </c>
      <c r="R32" s="261">
        <f>G$38</f>
        <v>2.2000000000000002</v>
      </c>
      <c r="S32" s="261">
        <f>G$39</f>
        <v>14.861789999999999</v>
      </c>
    </row>
    <row r="33" spans="2:22" x14ac:dyDescent="0.25">
      <c r="B33" s="54" t="s">
        <v>154</v>
      </c>
      <c r="C33" s="312" t="str">
        <f>VAC_Optim_Scenario!B19</f>
        <v>HCC Social</v>
      </c>
      <c r="D33" s="256">
        <f t="shared" si="4"/>
        <v>2.3344959858692378</v>
      </c>
      <c r="E33" s="256">
        <f t="shared" si="5"/>
        <v>2.3344959858692378</v>
      </c>
      <c r="F33" s="256">
        <f t="shared" si="6"/>
        <v>2.3344959858692378</v>
      </c>
      <c r="G33" s="256">
        <f t="shared" si="7"/>
        <v>2.3344959858692378</v>
      </c>
      <c r="H33" s="256">
        <f t="shared" si="8"/>
        <v>2.3344959858692378</v>
      </c>
      <c r="J33" s="260" t="s">
        <v>240</v>
      </c>
      <c r="K33" s="261">
        <f>D$31</f>
        <v>1</v>
      </c>
      <c r="L33" s="261">
        <f>D$32</f>
        <v>8.75</v>
      </c>
      <c r="M33" s="261">
        <f>D$33</f>
        <v>2.3344959858692378</v>
      </c>
      <c r="N33" s="261">
        <f>D$34</f>
        <v>0.5</v>
      </c>
      <c r="O33" s="261">
        <f>D$35</f>
        <v>6.4637140000000004</v>
      </c>
      <c r="P33" s="261">
        <f>D$36</f>
        <v>3.5</v>
      </c>
      <c r="Q33" s="261">
        <f>D$37</f>
        <v>0.39</v>
      </c>
      <c r="R33" s="261">
        <f>D$38</f>
        <v>2.2000000000000002</v>
      </c>
      <c r="S33" s="261">
        <f>D$39</f>
        <v>14.861789999999999</v>
      </c>
    </row>
    <row r="34" spans="2:22" x14ac:dyDescent="0.25">
      <c r="B34" s="54" t="s">
        <v>154</v>
      </c>
      <c r="C34" s="312" t="str">
        <f>VAC_Optim_Scenario!B20</f>
        <v>HCC Online Video</v>
      </c>
      <c r="D34" s="256">
        <f t="shared" si="4"/>
        <v>0.5</v>
      </c>
      <c r="E34" s="256">
        <f t="shared" si="5"/>
        <v>0.5</v>
      </c>
      <c r="F34" s="256">
        <f t="shared" si="6"/>
        <v>0.5</v>
      </c>
      <c r="G34" s="256">
        <f t="shared" si="7"/>
        <v>0.5</v>
      </c>
      <c r="H34" s="256">
        <f t="shared" si="8"/>
        <v>0.5</v>
      </c>
      <c r="J34" s="260">
        <v>0.4</v>
      </c>
      <c r="K34" s="261">
        <f>H$31</f>
        <v>1</v>
      </c>
      <c r="L34" s="261">
        <f>H$32</f>
        <v>8.75</v>
      </c>
      <c r="M34" s="261">
        <f>H$33</f>
        <v>2.3344959858692378</v>
      </c>
      <c r="N34" s="261">
        <f>H$34</f>
        <v>0.5</v>
      </c>
      <c r="O34" s="261">
        <f>H$35</f>
        <v>6.4637140000000004</v>
      </c>
      <c r="P34" s="261">
        <f>H$36</f>
        <v>3.5</v>
      </c>
      <c r="Q34" s="261">
        <f>H$37</f>
        <v>0.39</v>
      </c>
      <c r="R34" s="261">
        <f>H$38</f>
        <v>2.2000000000000002</v>
      </c>
      <c r="S34" s="261">
        <f>H$39</f>
        <v>14.861789999999999</v>
      </c>
    </row>
    <row r="35" spans="2:22" x14ac:dyDescent="0.25">
      <c r="B35" s="54" t="s">
        <v>154</v>
      </c>
      <c r="C35" s="312" t="str">
        <f>VAC_Optim_Scenario!B21</f>
        <v>HCC Streaming Video</v>
      </c>
      <c r="D35" s="256">
        <f t="shared" si="4"/>
        <v>6.4637140000000004</v>
      </c>
      <c r="E35" s="256">
        <f t="shared" si="5"/>
        <v>6.4637140000000004</v>
      </c>
      <c r="F35" s="256">
        <f t="shared" si="6"/>
        <v>6.4637140000000004</v>
      </c>
      <c r="G35" s="256">
        <f t="shared" si="7"/>
        <v>6.4637140000000004</v>
      </c>
      <c r="H35" s="256">
        <f t="shared" si="8"/>
        <v>6.4637140000000004</v>
      </c>
      <c r="J35" s="259">
        <v>2</v>
      </c>
      <c r="K35" s="261">
        <f>F$31</f>
        <v>1</v>
      </c>
      <c r="L35" s="261">
        <f>F$32</f>
        <v>8.75</v>
      </c>
      <c r="M35" s="261">
        <f>F$33</f>
        <v>2.3344959858692378</v>
      </c>
      <c r="N35" s="261">
        <f>F$34</f>
        <v>0.5</v>
      </c>
      <c r="O35" s="261">
        <f>F$35</f>
        <v>6.4637140000000004</v>
      </c>
      <c r="P35" s="261">
        <f>F$36</f>
        <v>3.5</v>
      </c>
      <c r="Q35" s="261">
        <f>F$37</f>
        <v>0.39</v>
      </c>
      <c r="R35" s="261">
        <f>F$38</f>
        <v>2.2000000000000002</v>
      </c>
      <c r="S35" s="261">
        <f>F$39</f>
        <v>14.861789999999999</v>
      </c>
    </row>
    <row r="36" spans="2:22" x14ac:dyDescent="0.25">
      <c r="B36" s="54" t="s">
        <v>154</v>
      </c>
      <c r="C36" s="312" t="str">
        <f>VAC_Optim_Scenario!B22</f>
        <v>HCC Display</v>
      </c>
      <c r="D36" s="256">
        <f t="shared" si="4"/>
        <v>3.5</v>
      </c>
      <c r="E36" s="256">
        <f t="shared" si="5"/>
        <v>3.5</v>
      </c>
      <c r="F36" s="256">
        <f t="shared" si="6"/>
        <v>3.5</v>
      </c>
      <c r="G36" s="256">
        <f t="shared" si="7"/>
        <v>3.5</v>
      </c>
      <c r="H36" s="256">
        <f t="shared" si="8"/>
        <v>3.5</v>
      </c>
    </row>
    <row r="37" spans="2:22" x14ac:dyDescent="0.25">
      <c r="B37" s="54" t="s">
        <v>154</v>
      </c>
      <c r="C37" s="312" t="str">
        <f>VAC_Optim_Scenario!B23</f>
        <v>HCC Paid Search</v>
      </c>
      <c r="D37" s="256">
        <f t="shared" si="4"/>
        <v>0.39</v>
      </c>
      <c r="E37" s="256">
        <f t="shared" si="5"/>
        <v>0.39</v>
      </c>
      <c r="F37" s="256">
        <f t="shared" si="6"/>
        <v>0.39</v>
      </c>
      <c r="G37" s="256">
        <f t="shared" si="7"/>
        <v>0.39</v>
      </c>
      <c r="H37" s="256">
        <f t="shared" si="8"/>
        <v>0.39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256">
        <f t="shared" si="4"/>
        <v>2.2000000000000002</v>
      </c>
      <c r="E38" s="256">
        <f t="shared" si="5"/>
        <v>2.2000000000000002</v>
      </c>
      <c r="F38" s="256">
        <f t="shared" si="6"/>
        <v>2.2000000000000002</v>
      </c>
      <c r="G38" s="256">
        <f t="shared" si="7"/>
        <v>2.2000000000000002</v>
      </c>
      <c r="H38" s="256">
        <f t="shared" si="8"/>
        <v>2.2000000000000002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256">
        <f t="shared" si="4"/>
        <v>14.861789999999999</v>
      </c>
      <c r="E39" s="256">
        <f t="shared" si="5"/>
        <v>14.861789999999999</v>
      </c>
      <c r="F39" s="256">
        <f t="shared" si="6"/>
        <v>14.861789999999999</v>
      </c>
      <c r="G39" s="256">
        <f t="shared" si="7"/>
        <v>14.861789999999999</v>
      </c>
      <c r="H39" s="256">
        <f t="shared" si="8"/>
        <v>14.861789999999999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zoomScale="75" zoomScaleNormal="75" workbookViewId="0">
      <selection activeCell="E63" sqref="E63"/>
    </sheetView>
  </sheetViews>
  <sheetFormatPr defaultColWidth="8.7109375" defaultRowHeight="15" x14ac:dyDescent="0.25"/>
  <cols>
    <col min="1" max="1" width="8.7109375" style="97"/>
    <col min="2" max="2" width="20.28515625" style="97" bestFit="1" customWidth="1"/>
    <col min="3" max="3" width="20.5703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479" t="s">
        <v>297</v>
      </c>
      <c r="E2" s="479"/>
      <c r="F2" s="479"/>
      <c r="G2" s="479"/>
      <c r="H2" s="479"/>
      <c r="I2" s="479"/>
      <c r="L2" s="97" t="s">
        <v>273</v>
      </c>
    </row>
    <row r="3" spans="1:18" ht="57" x14ac:dyDescent="0.25">
      <c r="B3" s="420" t="s">
        <v>2</v>
      </c>
      <c r="C3" s="421" t="s">
        <v>3</v>
      </c>
      <c r="D3" s="421" t="s">
        <v>267</v>
      </c>
      <c r="E3" s="421" t="s">
        <v>268</v>
      </c>
      <c r="F3" s="421" t="s">
        <v>272</v>
      </c>
      <c r="G3" s="421" t="s">
        <v>269</v>
      </c>
      <c r="H3" s="421" t="s">
        <v>221</v>
      </c>
      <c r="I3" s="421" t="s">
        <v>222</v>
      </c>
      <c r="J3" s="422" t="s">
        <v>206</v>
      </c>
      <c r="K3"/>
      <c r="L3" s="353">
        <v>8799842</v>
      </c>
      <c r="M3" s="235" t="s">
        <v>249</v>
      </c>
    </row>
    <row r="4" spans="1:18" x14ac:dyDescent="0.25">
      <c r="A4" s="97" t="s">
        <v>277</v>
      </c>
      <c r="B4" s="357" t="s">
        <v>173</v>
      </c>
      <c r="C4" s="358" t="str">
        <f>VAC_Optim_Scenario!B17</f>
        <v>HCC In Office</v>
      </c>
      <c r="D4" s="356">
        <f>VAC_Optim_Scenario!E17</f>
        <v>1755293</v>
      </c>
      <c r="E4" s="359">
        <f>VAC_Optim_Scenario!F17</f>
        <v>34079.723304951563</v>
      </c>
      <c r="F4" s="356">
        <f>VAC_Optim_Scenario!G35</f>
        <v>7699972.6835207557</v>
      </c>
      <c r="G4" s="362">
        <f>F4/D4</f>
        <v>4.3867164533332925</v>
      </c>
      <c r="H4" s="417">
        <f>E4/$L$3</f>
        <v>3.8727653638498923E-3</v>
      </c>
      <c r="I4" s="365">
        <f>(D4)/E4</f>
        <v>51.50549446347668</v>
      </c>
      <c r="J4" s="415">
        <f ca="1">(VLOOKUP($Q4,INDIRECT("'"&amp;A4&amp;"'!"&amp;"A20:E42"),5,0)-VLOOKUP($R4,INDIRECT("'"&amp;A4&amp;"'!"&amp;"A20:E42"),5,0))/(Q4-R4)</f>
        <v>3.0770541370015128</v>
      </c>
      <c r="K4"/>
      <c r="Q4" s="366" cm="1">
        <f t="array" aca="1" ref="Q4" ca="1">MAX(_xlfn._xlws.FILTER(INDIRECT("'"&amp;A4&amp;"'!"&amp;"A20:A42"),INDIRECT("'"&amp;A4&amp;"'!"&amp;"A20:A42")&lt;$D4))</f>
        <v>1600000</v>
      </c>
      <c r="R4" s="366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278</v>
      </c>
      <c r="B5" s="357" t="s">
        <v>173</v>
      </c>
      <c r="C5" s="358" t="str">
        <f>VAC_Optim_Scenario!B18</f>
        <v>HCP MCM</v>
      </c>
      <c r="D5" s="356">
        <f>VAC_Optim_Scenario!E18</f>
        <v>5365372.8900000006</v>
      </c>
      <c r="E5" s="359">
        <f>VAC_Optim_Scenario!F18</f>
        <v>282596.87941192184</v>
      </c>
      <c r="F5" s="356">
        <f>VAC_Optim_Scenario!G36</f>
        <v>63849938.934329621</v>
      </c>
      <c r="G5" s="362">
        <f>F5/D5</f>
        <v>11.900373048317544</v>
      </c>
      <c r="H5" s="418">
        <f t="shared" ref="H5:H12" si="0">E5/$L$3</f>
        <v>3.2113858341084059E-2</v>
      </c>
      <c r="I5" s="365">
        <f t="shared" ref="I5:I12" si="1">(D5)/E5</f>
        <v>18.98595943863651</v>
      </c>
      <c r="J5" s="416">
        <f t="shared" ref="J5:J9" ca="1" si="2">(VLOOKUP($Q5,INDIRECT("'"&amp;A5&amp;"'!"&amp;"A20:E42"),5,0)-VLOOKUP($R5,INDIRECT("'"&amp;A5&amp;"'!"&amp;"A20:E42"),5,0))/(Q5-R5)</f>
        <v>8.3357790163863541</v>
      </c>
      <c r="K5"/>
      <c r="Q5" s="366" cm="1">
        <f t="array" aca="1" ref="Q5" ca="1">MAX(_xlfn._xlws.FILTER(INDIRECT("'"&amp;A5&amp;"'!"&amp;"A20:A42"),INDIRECT("'"&amp;A5&amp;"'!"&amp;"A20:A42")&lt;$D5))</f>
        <v>4950000</v>
      </c>
      <c r="R5" s="366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281</v>
      </c>
      <c r="B6" s="357" t="s">
        <v>173</v>
      </c>
      <c r="C6" s="358" t="str">
        <f>VAC_Optim_Scenario!B19</f>
        <v>HCC Social</v>
      </c>
      <c r="D6" s="356">
        <f>VAC_Optim_Scenario!E19</f>
        <v>1873000</v>
      </c>
      <c r="E6" s="359">
        <f>VAC_Optim_Scenario!F19</f>
        <v>71243.17418511775</v>
      </c>
      <c r="F6" s="356">
        <f>VAC_Optim_Scenario!G37</f>
        <v>16096682.775385505</v>
      </c>
      <c r="G6" s="362">
        <f t="shared" ref="G6:G12" si="3">F6/D6</f>
        <v>8.5940644823200767</v>
      </c>
      <c r="H6" s="418">
        <f t="shared" si="0"/>
        <v>8.0959606076015621E-3</v>
      </c>
      <c r="I6" s="365">
        <f t="shared" si="1"/>
        <v>26.290237926979646</v>
      </c>
      <c r="J6" s="416">
        <f ca="1">(VLOOKUP($Q6,INDIRECT("'"&amp;A6&amp;"'!"&amp;"A20:E42"),3,0)-VLOOKUP($R6,INDIRECT("'"&amp;A6&amp;"'!"&amp;"A20:E42"),3,0))/(Q6-R6)</f>
        <v>5.1563798454813883</v>
      </c>
      <c r="K6"/>
      <c r="Q6" s="366" cm="1">
        <f t="array" aca="1" ref="Q6" ca="1">MAX(_xlfn._xlws.FILTER(INDIRECT("'"&amp;A6&amp;"'!"&amp;"A20:A42"),INDIRECT("'"&amp;A6&amp;"'!"&amp;"A20:A42")&lt;$D6))</f>
        <v>1750000</v>
      </c>
      <c r="R6" s="366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279</v>
      </c>
      <c r="B7" s="357" t="s">
        <v>173</v>
      </c>
      <c r="C7" s="358" t="str">
        <f>VAC_Optim_Scenario!B20</f>
        <v>HCC Online Video</v>
      </c>
      <c r="D7" s="356">
        <f>VAC_Optim_Scenario!E20</f>
        <v>173076.94</v>
      </c>
      <c r="E7" s="359">
        <f>VAC_Optim_Scenario!F20</f>
        <v>7568.2941111773252</v>
      </c>
      <c r="F7" s="356">
        <f>VAC_Optim_Scenario!G38</f>
        <v>1709980.3714794049</v>
      </c>
      <c r="G7" s="362">
        <f t="shared" si="3"/>
        <v>9.8798856247366338</v>
      </c>
      <c r="H7" s="418">
        <f t="shared" si="0"/>
        <v>8.6004886351110906E-4</v>
      </c>
      <c r="I7" s="365">
        <f t="shared" si="1"/>
        <v>22.868685790684225</v>
      </c>
      <c r="J7" s="416">
        <f t="shared" ca="1" si="2"/>
        <v>7.3949364813552894</v>
      </c>
      <c r="K7"/>
      <c r="Q7" s="367" cm="1">
        <f t="array" aca="1" ref="Q7" ca="1">MAX(_xlfn._xlws.FILTER(INDIRECT("'"&amp;A7&amp;"'!"&amp;"A20:A42"),INDIRECT("'"&amp;A7&amp;"'!"&amp;"A20:A42")&lt;$D7))</f>
        <v>103851.36184614981</v>
      </c>
      <c r="R7" s="367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288</v>
      </c>
      <c r="B8" s="357" t="s">
        <v>173</v>
      </c>
      <c r="C8" s="358" t="str">
        <f>VAC_Optim_Scenario!B21</f>
        <v>HCC Streaming Video</v>
      </c>
      <c r="D8" s="356">
        <f>VAC_Optim_Scenario!E21</f>
        <v>6180125</v>
      </c>
      <c r="E8" s="359">
        <f>VAC_Optim_Scenario!F21</f>
        <v>144657.20917756393</v>
      </c>
      <c r="F8" s="356">
        <f>VAC_Optim_Scenario!G39</f>
        <v>32683849.841578793</v>
      </c>
      <c r="G8" s="362">
        <f t="shared" si="3"/>
        <v>5.2885418727904039</v>
      </c>
      <c r="H8" s="418">
        <f t="shared" si="0"/>
        <v>1.6438614372572137E-2</v>
      </c>
      <c r="I8" s="365">
        <f t="shared" si="1"/>
        <v>42.722551023461378</v>
      </c>
      <c r="J8" s="416">
        <f ca="1">(VLOOKUP($Q8,INDIRECT("'"&amp;A8&amp;"'!"&amp;"A20:E42"),3,0)-VLOOKUP($R8,INDIRECT("'"&amp;A8&amp;"'!"&amp;"A20:E42"),3,0))/(Q8-R8)</f>
        <v>3.6898979193167833</v>
      </c>
      <c r="K8"/>
      <c r="Q8" s="366" cm="1">
        <f t="array" aca="1" ref="Q8" ca="1">MAX(_xlfn._xlws.FILTER(INDIRECT("'"&amp;A8&amp;"'!"&amp;"A20:A42"),INDIRECT("'"&amp;A8&amp;"'!"&amp;"A20:A42")&lt;$D8))</f>
        <v>6000000</v>
      </c>
      <c r="R8" s="366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280</v>
      </c>
      <c r="B9" s="357" t="s">
        <v>173</v>
      </c>
      <c r="C9" s="358" t="str">
        <f>VAC_Optim_Scenario!B22</f>
        <v>HCC Display</v>
      </c>
      <c r="D9" s="356">
        <f>VAC_Optim_Scenario!E22</f>
        <v>1648357.37</v>
      </c>
      <c r="E9" s="359">
        <f>VAC_Optim_Scenario!F22</f>
        <v>104116.36986385845</v>
      </c>
      <c r="F9" s="356">
        <f>VAC_Optim_Scenario!G40</f>
        <v>23524052.607040178</v>
      </c>
      <c r="G9" s="362">
        <f t="shared" si="3"/>
        <v>14.271209044334952</v>
      </c>
      <c r="H9" s="418">
        <f t="shared" si="0"/>
        <v>1.1831618097672487E-2</v>
      </c>
      <c r="I9" s="365">
        <f t="shared" si="1"/>
        <v>15.831875161949808</v>
      </c>
      <c r="J9" s="416">
        <f t="shared" ca="1" si="2"/>
        <v>11.127128917540322</v>
      </c>
      <c r="K9"/>
      <c r="Q9" s="367" cm="1">
        <f t="array" aca="1" ref="Q9" ca="1">MAX(_xlfn._xlws.FILTER(INDIRECT("'"&amp;A9&amp;"'!"&amp;"A20:A42"),INDIRECT("'"&amp;A9&amp;"'!"&amp;"A20:A42")&lt;$D9))</f>
        <v>1557770.4276922471</v>
      </c>
      <c r="R9" s="367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282</v>
      </c>
      <c r="B10" s="357" t="s">
        <v>173</v>
      </c>
      <c r="C10" s="358" t="str">
        <f>VAC_Optim_Scenario!B23</f>
        <v>HCC Paid Search</v>
      </c>
      <c r="D10" s="356">
        <f>VAC_Optim_Scenario!E23</f>
        <v>344707</v>
      </c>
      <c r="E10" s="359">
        <f>VAC_Optim_Scenario!F23</f>
        <v>130694.08808973072</v>
      </c>
      <c r="F10" s="356">
        <f>VAC_Optim_Scenario!G41</f>
        <v>29529022.26299376</v>
      </c>
      <c r="G10" s="362">
        <f t="shared" si="3"/>
        <v>85.664121305902583</v>
      </c>
      <c r="H10" s="418">
        <f t="shared" si="0"/>
        <v>1.4851867577819092E-2</v>
      </c>
      <c r="I10" s="365">
        <f t="shared" si="1"/>
        <v>2.6375102733287696</v>
      </c>
      <c r="J10" s="416">
        <f ca="1">(VLOOKUP($Q10,INDIRECT("'"&amp;A10&amp;"'!"&amp;"A20:E42"),3,0)-VLOOKUP($R10,INDIRECT("'"&amp;A10&amp;"'!"&amp;"A20:E42"),3,0))/(Q10-R10)</f>
        <v>58.622972004453118</v>
      </c>
      <c r="K10"/>
      <c r="Q10" s="366" cm="1">
        <f t="array" aca="1" ref="Q10" ca="1">MAX(_xlfn._xlws.FILTER(INDIRECT("'"&amp;A10&amp;"'!"&amp;"A20:A42"),INDIRECT("'"&amp;A10&amp;"'!"&amp;"A20:A42")&lt;$D10))</f>
        <v>300000</v>
      </c>
      <c r="R10" s="366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283</v>
      </c>
      <c r="B11" s="357" t="s">
        <v>173</v>
      </c>
      <c r="C11" s="358" t="str">
        <f>VAC_Optim_Scenario!B24</f>
        <v>HCC Audio</v>
      </c>
      <c r="D11" s="356">
        <f>VAC_Optim_Scenario!E24</f>
        <v>1437048.41</v>
      </c>
      <c r="E11" s="359">
        <f>VAC_Optim_Scenario!F24</f>
        <v>70569.092436493243</v>
      </c>
      <c r="F11" s="356">
        <f>VAC_Optim_Scenario!G42</f>
        <v>15944380.745101282</v>
      </c>
      <c r="G11" s="362">
        <f t="shared" si="3"/>
        <v>11.095228688295395</v>
      </c>
      <c r="H11" s="418">
        <f t="shared" si="0"/>
        <v>8.0193590335477898E-3</v>
      </c>
      <c r="I11" s="365">
        <f t="shared" si="1"/>
        <v>20.363708252210174</v>
      </c>
      <c r="J11" s="416">
        <f ca="1">(VLOOKUP($Q11,INDIRECT("'"&amp;A11&amp;"'!"&amp;"A20:E42"),3,0)-VLOOKUP($R11,INDIRECT("'"&amp;A11&amp;"'!"&amp;"A20:E42"),3,0))/(Q11-R11)</f>
        <v>6.5466633097348268</v>
      </c>
      <c r="K11"/>
      <c r="Q11" s="366" cm="1">
        <f t="array" aca="1" ref="Q11" ca="1">MAX(_xlfn._xlws.FILTER(INDIRECT("'"&amp;A11&amp;"'!"&amp;"A20:A42"),INDIRECT("'"&amp;A11&amp;"'!"&amp;"A20:A42")&lt;$D11))</f>
        <v>1400000</v>
      </c>
      <c r="R11" s="366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284</v>
      </c>
      <c r="B12" s="357" t="s">
        <v>173</v>
      </c>
      <c r="C12" s="358" t="str">
        <f>VAC_Optim_Scenario!B25</f>
        <v>HCC Linear TV</v>
      </c>
      <c r="D12" s="356">
        <f>VAC_Optim_Scenario!E25</f>
        <v>13503524.99</v>
      </c>
      <c r="E12" s="359">
        <f>VAC_Optim_Scenario!F25</f>
        <v>253686.28893952153</v>
      </c>
      <c r="F12" s="356">
        <f>VAC_Optim_Scenario!G43</f>
        <v>57317880.122995496</v>
      </c>
      <c r="G12" s="362">
        <f t="shared" si="3"/>
        <v>4.2446605731053264</v>
      </c>
      <c r="H12" s="418">
        <f t="shared" si="0"/>
        <v>2.8828504982194171E-2</v>
      </c>
      <c r="I12" s="365">
        <f t="shared" si="1"/>
        <v>53.229226721114685</v>
      </c>
      <c r="J12" s="416">
        <f ca="1">(VLOOKUP($Q12,INDIRECT("'"&amp;A12&amp;"'!"&amp;"A20:E42"),3,0)-VLOOKUP($R12,INDIRECT("'"&amp;A12&amp;"'!"&amp;"A20:E42"),3,0))/(Q12-R12)</f>
        <v>2.9971565057842673</v>
      </c>
      <c r="K12"/>
      <c r="Q12" s="366" cm="1">
        <f t="array" aca="1" ref="Q12" ca="1">MAX(_xlfn._xlws.FILTER(INDIRECT("'"&amp;A12&amp;"'!"&amp;"A20:A42"),INDIRECT("'"&amp;A12&amp;"'!"&amp;"A20:A42")&lt;$D12))</f>
        <v>12500000</v>
      </c>
      <c r="R12" s="366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B13" s="423" t="s">
        <v>154</v>
      </c>
      <c r="C13" s="424" t="s">
        <v>229</v>
      </c>
      <c r="D13" s="360">
        <f>SUM(D4:D12)</f>
        <v>32280505.600000001</v>
      </c>
      <c r="E13" s="361">
        <f>SUM(E4:E12)</f>
        <v>1099211.1195203364</v>
      </c>
      <c r="F13" s="360">
        <f>SUM(F4:F12)</f>
        <v>248355760.34442478</v>
      </c>
      <c r="G13" s="363">
        <f>F13/D13</f>
        <v>7.6936762831999994</v>
      </c>
      <c r="H13" s="419">
        <f>SUM(H4:H12)</f>
        <v>0.12491259723985232</v>
      </c>
      <c r="I13" s="364">
        <f>(D13)/E13</f>
        <v>29.366975121290867</v>
      </c>
      <c r="J13" s="369"/>
    </row>
    <row r="14" spans="1:18" x14ac:dyDescent="0.25">
      <c r="F14" s="97">
        <f>F13/D13</f>
        <v>7.6936762831999994</v>
      </c>
      <c r="G14" s="242"/>
      <c r="H14" s="243"/>
    </row>
    <row r="15" spans="1:18" x14ac:dyDescent="0.25">
      <c r="H15" s="97">
        <f>G10/5</f>
        <v>17.132824261180517</v>
      </c>
    </row>
    <row r="16" spans="1:18" ht="25.5" x14ac:dyDescent="0.25">
      <c r="E16" s="234" t="s">
        <v>3</v>
      </c>
      <c r="F16" s="235" t="s">
        <v>275</v>
      </c>
    </row>
    <row r="17" spans="1:18" x14ac:dyDescent="0.25">
      <c r="E17" s="236" t="s">
        <v>227</v>
      </c>
      <c r="F17" s="276">
        <f t="shared" ref="F17:F25" si="4">VLOOKUP(E17,$C$4:$I$12,7,0)</f>
        <v>2.6375102733287696</v>
      </c>
    </row>
    <row r="18" spans="1:18" x14ac:dyDescent="0.25">
      <c r="E18" s="238" t="s">
        <v>226</v>
      </c>
      <c r="F18" s="276">
        <f t="shared" si="4"/>
        <v>15.831875161949808</v>
      </c>
    </row>
    <row r="19" spans="1:18" x14ac:dyDescent="0.25">
      <c r="E19" s="238" t="s">
        <v>224</v>
      </c>
      <c r="F19" s="276">
        <f t="shared" si="4"/>
        <v>18.98595943863651</v>
      </c>
    </row>
    <row r="20" spans="1:18" x14ac:dyDescent="0.25">
      <c r="E20" s="238" t="s">
        <v>285</v>
      </c>
      <c r="F20" s="276">
        <f>VLOOKUP(E20,$C$4:$I$12,7,0)</f>
        <v>20.363708252210174</v>
      </c>
    </row>
    <row r="21" spans="1:18" x14ac:dyDescent="0.25">
      <c r="E21" s="238" t="s">
        <v>243</v>
      </c>
      <c r="F21" s="276">
        <f t="shared" si="4"/>
        <v>22.868685790684225</v>
      </c>
    </row>
    <row r="22" spans="1:18" x14ac:dyDescent="0.25">
      <c r="E22" s="238" t="s">
        <v>225</v>
      </c>
      <c r="F22" s="276">
        <f t="shared" si="4"/>
        <v>26.290237926979646</v>
      </c>
    </row>
    <row r="23" spans="1:18" x14ac:dyDescent="0.25">
      <c r="E23" s="238" t="s">
        <v>245</v>
      </c>
      <c r="F23" s="276">
        <f t="shared" si="4"/>
        <v>42.722551023461378</v>
      </c>
    </row>
    <row r="24" spans="1:18" x14ac:dyDescent="0.25">
      <c r="E24" s="238" t="s">
        <v>223</v>
      </c>
      <c r="F24" s="276">
        <f t="shared" si="4"/>
        <v>51.50549446347668</v>
      </c>
    </row>
    <row r="25" spans="1:18" x14ac:dyDescent="0.25">
      <c r="E25" s="240" t="s">
        <v>187</v>
      </c>
      <c r="F25" s="276" t="e">
        <f t="shared" si="4"/>
        <v>#N/A</v>
      </c>
    </row>
    <row r="30" spans="1:18" x14ac:dyDescent="0.25">
      <c r="D30" s="479" t="s">
        <v>297</v>
      </c>
      <c r="E30" s="479"/>
      <c r="F30" s="479"/>
      <c r="G30" s="479"/>
      <c r="H30" s="479"/>
      <c r="I30" s="479"/>
    </row>
    <row r="31" spans="1:18" ht="51" x14ac:dyDescent="0.25">
      <c r="B31" s="233" t="s">
        <v>2</v>
      </c>
      <c r="C31" s="234" t="s">
        <v>3</v>
      </c>
      <c r="D31" s="234" t="s">
        <v>267</v>
      </c>
      <c r="E31" s="234" t="s">
        <v>268</v>
      </c>
      <c r="F31" s="234" t="s">
        <v>272</v>
      </c>
      <c r="G31" s="234" t="s">
        <v>269</v>
      </c>
      <c r="H31" s="234" t="s">
        <v>221</v>
      </c>
      <c r="I31" s="234" t="s">
        <v>222</v>
      </c>
      <c r="J31" s="309" t="s">
        <v>206</v>
      </c>
    </row>
    <row r="32" spans="1:18" x14ac:dyDescent="0.25">
      <c r="A32" s="97" t="s">
        <v>277</v>
      </c>
      <c r="B32" s="391" t="s">
        <v>173</v>
      </c>
      <c r="C32" s="392" t="str">
        <f>VAC_Optim_Scenario!B17</f>
        <v>HCC In Office</v>
      </c>
      <c r="D32" s="356">
        <f>VAC_Optim_Scenario!I17</f>
        <v>1000000</v>
      </c>
      <c r="E32" s="359">
        <f>VAC_Optim_Scenario!J17</f>
        <v>22310.299479529262</v>
      </c>
      <c r="F32" s="356">
        <f>VAC_Optim_Scenario!J35</f>
        <v>5040789.0644048415</v>
      </c>
      <c r="G32" s="362">
        <f>F32/D32</f>
        <v>5.0407890644048416</v>
      </c>
      <c r="H32" s="237">
        <f>E32/$L$3</f>
        <v>2.5353068247735882E-3</v>
      </c>
      <c r="I32" s="365">
        <f>(D32)/E32</f>
        <v>44.822347674783416</v>
      </c>
      <c r="J32" s="370">
        <f ca="1">(VLOOKUP($Q32,INDIRECT("'"&amp;A32&amp;"'!"&amp;"A20:E42"),5,0)-VLOOKUP($R32,INDIRECT("'"&amp;A32&amp;"'!"&amp;"A20:E42"),5,0))/(Q32-R32)</f>
        <v>4.2588353994034396</v>
      </c>
      <c r="Q32" s="366" cm="1">
        <f t="array" aca="1" ref="Q32" ca="1">MAX(_xlfn._xlws.FILTER(INDIRECT("'"&amp;A32&amp;"'!"&amp;"A20:A42"),INDIRECT("'"&amp;A32&amp;"'!"&amp;"A20:A42")&lt;$D32))</f>
        <v>800000</v>
      </c>
      <c r="R32" s="366" cm="1">
        <f t="array" aca="1" ref="R32" ca="1">MIN(_xlfn._xlws.FILTER(INDIRECT("'"&amp;A32&amp;"'!"&amp;"A20:A42"),INDIRECT("'"&amp;A32&amp;"'!"&amp;"A20:A42")&gt;=$D32))</f>
        <v>1000000</v>
      </c>
    </row>
    <row r="33" spans="1:18" x14ac:dyDescent="0.25">
      <c r="A33" s="97" t="s">
        <v>278</v>
      </c>
      <c r="B33" s="391" t="s">
        <v>173</v>
      </c>
      <c r="C33" s="392" t="str">
        <f>VAC_Optim_Scenario!B18</f>
        <v>HCP MCM</v>
      </c>
      <c r="D33" s="356">
        <f>VAC_Optim_Scenario!I18</f>
        <v>8750000</v>
      </c>
      <c r="E33" s="359">
        <f>VAC_Optim_Scenario!J18</f>
        <v>379735.43931977358</v>
      </c>
      <c r="F33" s="356">
        <f>VAC_Optim_Scenario!J36</f>
        <v>85797425.159909636</v>
      </c>
      <c r="G33" s="362">
        <f>F33/D33</f>
        <v>9.8054200182753863</v>
      </c>
      <c r="H33" s="239">
        <f t="shared" ref="H33:H40" si="5">E33/$L$3</f>
        <v>4.3152529252204024E-2</v>
      </c>
      <c r="I33" s="365">
        <f t="shared" ref="I33:I40" si="6">(D33)/E33</f>
        <v>23.042358163025344</v>
      </c>
      <c r="J33" s="368">
        <f t="shared" ref="J33:J35" ca="1" si="7">(VLOOKUP($Q33,INDIRECT("'"&amp;A33&amp;"'!"&amp;"A20:E42"),5,0)-VLOOKUP($R33,INDIRECT("'"&amp;A33&amp;"'!"&amp;"A20:E42"),5,0))/(Q33-R33)</f>
        <v>5.0580985034890311</v>
      </c>
      <c r="Q33" s="366" cm="1">
        <f t="array" aca="1" ref="Q33" ca="1">MAX(_xlfn._xlws.FILTER(INDIRECT("'"&amp;A33&amp;"'!"&amp;"A20:A42"),INDIRECT("'"&amp;A33&amp;"'!"&amp;"A20:A42")&lt;$D33))</f>
        <v>8550000</v>
      </c>
      <c r="R33" s="366" cm="1">
        <f t="array" aca="1" ref="R33" ca="1">MIN(_xlfn._xlws.FILTER(INDIRECT("'"&amp;A33&amp;"'!"&amp;"A20:A42"),INDIRECT("'"&amp;A33&amp;"'!"&amp;"A20:A42")&gt;=$D33))</f>
        <v>9000000</v>
      </c>
    </row>
    <row r="34" spans="1:18" x14ac:dyDescent="0.25">
      <c r="A34" s="97" t="s">
        <v>281</v>
      </c>
      <c r="B34" s="391" t="s">
        <v>173</v>
      </c>
      <c r="C34" s="392" t="str">
        <f>VAC_Optim_Scenario!B19</f>
        <v>HCC Social</v>
      </c>
      <c r="D34" s="356">
        <f>VAC_Optim_Scenario!I19</f>
        <v>2334495.9858692377</v>
      </c>
      <c r="E34" s="359">
        <f>VAC_Optim_Scenario!J19</f>
        <v>81308.598139807553</v>
      </c>
      <c r="F34" s="356">
        <f>VAC_Optim_Scenario!J37</f>
        <v>18370864.663708117</v>
      </c>
      <c r="G34" s="362">
        <f t="shared" ref="G34:G40" si="8">F34/D34</f>
        <v>7.8693065976156813</v>
      </c>
      <c r="H34" s="239">
        <f t="shared" si="5"/>
        <v>9.2397793210159396E-3</v>
      </c>
      <c r="I34" s="365">
        <f t="shared" si="6"/>
        <v>28.71155129073983</v>
      </c>
      <c r="J34" s="368">
        <f ca="1">(VLOOKUP($Q34,INDIRECT("'"&amp;A34&amp;"'!"&amp;"A20:E42"),3,0)-VLOOKUP($R34,INDIRECT("'"&amp;A34&amp;"'!"&amp;"A20:E42"),3,0))/(Q34-R34)</f>
        <v>4.6904220107766088</v>
      </c>
      <c r="Q34" s="366" cm="1">
        <f t="array" aca="1" ref="Q34" ca="1">MAX(_xlfn._xlws.FILTER(INDIRECT("'"&amp;A34&amp;"'!"&amp;"A20:A42"),INDIRECT("'"&amp;A34&amp;"'!"&amp;"A20:A42")&lt;$D34))</f>
        <v>2250000</v>
      </c>
      <c r="R34" s="366" cm="1">
        <f t="array" aca="1" ref="R34" ca="1">MIN(_xlfn._xlws.FILTER(INDIRECT("'"&amp;A34&amp;"'!"&amp;"A20:A42"),INDIRECT("'"&amp;A34&amp;"'!"&amp;"A20:A42")&gt;=$D34))</f>
        <v>2500000</v>
      </c>
    </row>
    <row r="35" spans="1:18" x14ac:dyDescent="0.25">
      <c r="A35" s="97" t="s">
        <v>279</v>
      </c>
      <c r="B35" s="391" t="s">
        <v>173</v>
      </c>
      <c r="C35" s="392" t="str">
        <f>VAC_Optim_Scenario!B20</f>
        <v>HCC Online Video</v>
      </c>
      <c r="D35" s="356">
        <f>VAC_Optim_Scenario!I20</f>
        <v>500000</v>
      </c>
      <c r="E35" s="359">
        <f>VAC_Optim_Scenario!J20</f>
        <v>13095.1080400832</v>
      </c>
      <c r="F35" s="356">
        <f>VAC_Optim_Scenario!J38</f>
        <v>2958708.7105763983</v>
      </c>
      <c r="G35" s="362">
        <f t="shared" si="8"/>
        <v>5.9174174211527966</v>
      </c>
      <c r="H35" s="239">
        <f t="shared" si="5"/>
        <v>1.4881071773883213E-3</v>
      </c>
      <c r="I35" s="365">
        <f t="shared" si="6"/>
        <v>38.182197387721835</v>
      </c>
      <c r="J35" s="368">
        <f t="shared" ca="1" si="7"/>
        <v>2.1230601661533521</v>
      </c>
      <c r="Q35" s="367" cm="1">
        <f t="array" aca="1" ref="Q35" ca="1">MAX(_xlfn._xlws.FILTER(INDIRECT("'"&amp;A35&amp;"'!"&amp;"A20:A42"),INDIRECT("'"&amp;A35&amp;"'!"&amp;"A20:A42")&lt;$D35))</f>
        <v>415405.44738459925</v>
      </c>
      <c r="R35" s="367" cm="1">
        <f t="array" aca="1" ref="R35" ca="1">MIN(_xlfn._xlws.FILTER(INDIRECT("'"&amp;A35&amp;"'!"&amp;"A20:A42"),INDIRECT("'"&amp;A35&amp;"'!"&amp;"A20:A42")&gt;=$D35))</f>
        <v>519256.80923074903</v>
      </c>
    </row>
    <row r="36" spans="1:18" x14ac:dyDescent="0.25">
      <c r="A36" s="97" t="s">
        <v>288</v>
      </c>
      <c r="B36" s="391" t="s">
        <v>173</v>
      </c>
      <c r="C36" s="392" t="str">
        <f>VAC_Optim_Scenario!B21</f>
        <v>HCC Streaming Video</v>
      </c>
      <c r="D36" s="356">
        <f>VAC_Optim_Scenario!I21</f>
        <v>6463714</v>
      </c>
      <c r="E36" s="359">
        <f>VAC_Optim_Scenario!J21</f>
        <v>149272.39229083114</v>
      </c>
      <c r="F36" s="356">
        <f>VAC_Optim_Scenario!J39</f>
        <v>33726604.314190388</v>
      </c>
      <c r="G36" s="362">
        <f t="shared" si="8"/>
        <v>5.2178367288822471</v>
      </c>
      <c r="H36" s="239">
        <f t="shared" si="5"/>
        <v>1.6963076415557363E-2</v>
      </c>
      <c r="I36" s="365">
        <f t="shared" si="6"/>
        <v>43.301469888729216</v>
      </c>
      <c r="J36" s="368">
        <f ca="1">(VLOOKUP($Q36,INDIRECT("'"&amp;A36&amp;"'!"&amp;"A20:E42"),3,0)-VLOOKUP($R36,INDIRECT("'"&amp;A36&amp;"'!"&amp;"A20:E42"),3,0))/(Q36-R36)</f>
        <v>3.6898979193167833</v>
      </c>
      <c r="Q36" s="366" cm="1">
        <f t="array" aca="1" ref="Q36" ca="1">MAX(_xlfn._xlws.FILTER(INDIRECT("'"&amp;A36&amp;"'!"&amp;"A20:A42"),INDIRECT("'"&amp;A36&amp;"'!"&amp;"A20:A42")&lt;$D36))</f>
        <v>6000000</v>
      </c>
      <c r="R36" s="366" cm="1">
        <f t="array" aca="1" ref="R36" ca="1">MIN(_xlfn._xlws.FILTER(INDIRECT("'"&amp;A36&amp;"'!"&amp;"A20:A42"),INDIRECT("'"&amp;A36&amp;"'!"&amp;"A20:A42")&gt;=$D36))</f>
        <v>6500000</v>
      </c>
    </row>
    <row r="37" spans="1:18" x14ac:dyDescent="0.25">
      <c r="A37" s="97" t="s">
        <v>280</v>
      </c>
      <c r="B37" s="391" t="s">
        <v>173</v>
      </c>
      <c r="C37" s="392" t="str">
        <f>VAC_Optim_Scenario!B22</f>
        <v>HCC Display</v>
      </c>
      <c r="D37" s="356">
        <f>VAC_Optim_Scenario!I22</f>
        <v>3500000</v>
      </c>
      <c r="E37" s="359">
        <f>VAC_Optim_Scenario!J22</f>
        <v>172806.84541229345</v>
      </c>
      <c r="F37" s="356">
        <f>VAC_Optim_Scenario!J40</f>
        <v>39043978.652453579</v>
      </c>
      <c r="G37" s="362">
        <f t="shared" si="8"/>
        <v>11.155422472129594</v>
      </c>
      <c r="H37" s="239">
        <f t="shared" si="5"/>
        <v>1.9637494106404804E-2</v>
      </c>
      <c r="I37" s="365">
        <f t="shared" si="6"/>
        <v>20.253827281260065</v>
      </c>
      <c r="J37" s="368">
        <f ca="1">(VLOOKUP($Q37,INDIRECT("'"&amp;A37&amp;"'!"&amp;"A20:E100"),5,0)-VLOOKUP($R37,INDIRECT("'"&amp;A37&amp;"'!"&amp;"A20:E100"),5,0))/(Q37-R37)</f>
        <v>6.2493452356722443</v>
      </c>
      <c r="Q37" s="367" cm="1">
        <f t="array" aca="1" ref="Q37" ca="1">MAX(_xlfn._xlws.FILTER(INDIRECT("'"&amp;A37&amp;"'!"&amp;"A20:A100"),INDIRECT("'"&amp;A37&amp;"'!"&amp;"A20:A100")&lt;$D37))</f>
        <v>3427094.9409229401</v>
      </c>
      <c r="R37" s="367" cm="1">
        <f t="array" aca="1" ref="R37" ca="1">MIN(_xlfn._xlws.FILTER(INDIRECT("'"&amp;A37&amp;"'!"&amp;"A20:A100"),INDIRECT("'"&amp;A37&amp;"'!"&amp;"A20:A100")&gt;=$D37))</f>
        <v>3530946.30276909</v>
      </c>
    </row>
    <row r="38" spans="1:18" x14ac:dyDescent="0.25">
      <c r="A38" s="97" t="s">
        <v>282</v>
      </c>
      <c r="B38" s="391" t="s">
        <v>173</v>
      </c>
      <c r="C38" s="392" t="str">
        <f>VAC_Optim_Scenario!B23</f>
        <v>HCC Paid Search</v>
      </c>
      <c r="D38" s="356">
        <f>VAC_Optim_Scenario!I23</f>
        <v>390000</v>
      </c>
      <c r="E38" s="359">
        <f>VAC_Optim_Scenario!J23</f>
        <v>142490.56083211911</v>
      </c>
      <c r="F38" s="356">
        <f>VAC_Optim_Scenario!J41</f>
        <v>32194317.314408991</v>
      </c>
      <c r="G38" s="362">
        <f t="shared" si="8"/>
        <v>82.54953157540767</v>
      </c>
      <c r="H38" s="239">
        <f t="shared" si="5"/>
        <v>1.6192399912648332E-2</v>
      </c>
      <c r="I38" s="365">
        <f t="shared" si="6"/>
        <v>2.7370234050765925</v>
      </c>
      <c r="J38" s="368">
        <f ca="1">(VLOOKUP($Q38,INDIRECT("'"&amp;A38&amp;"'!"&amp;"A20:E42"),3,0)-VLOOKUP($R38,INDIRECT("'"&amp;A38&amp;"'!"&amp;"A20:E42"),3,0))/(Q38-R38)</f>
        <v>58.622972004453118</v>
      </c>
      <c r="Q38" s="366" cm="1">
        <f t="array" aca="1" ref="Q38" ca="1">MAX(_xlfn._xlws.FILTER(INDIRECT("'"&amp;A38&amp;"'!"&amp;"A20:A42"),INDIRECT("'"&amp;A38&amp;"'!"&amp;"A20:A42")&lt;$D38))</f>
        <v>300000</v>
      </c>
      <c r="R38" s="366" cm="1">
        <f t="array" aca="1" ref="R38" ca="1">MIN(_xlfn._xlws.FILTER(INDIRECT("'"&amp;A38&amp;"'!"&amp;"A20:A42"),INDIRECT("'"&amp;A38&amp;"'!"&amp;"A20:A42")&gt;=$D38))</f>
        <v>450000</v>
      </c>
    </row>
    <row r="39" spans="1:18" x14ac:dyDescent="0.25">
      <c r="A39" s="97" t="s">
        <v>283</v>
      </c>
      <c r="B39" s="391" t="s">
        <v>173</v>
      </c>
      <c r="C39" s="392" t="str">
        <f>VAC_Optim_Scenario!B24</f>
        <v>HCC Audio</v>
      </c>
      <c r="D39" s="356">
        <f>VAC_Optim_Scenario!I24</f>
        <v>2200000</v>
      </c>
      <c r="E39" s="359">
        <f>VAC_Optim_Scenario!J24</f>
        <v>91114.039550668633</v>
      </c>
      <c r="F39" s="356">
        <f>VAC_Optim_Scenario!J42</f>
        <v>20586306.096078072</v>
      </c>
      <c r="G39" s="362">
        <f t="shared" si="8"/>
        <v>9.3574118618536684</v>
      </c>
      <c r="H39" s="239">
        <f t="shared" si="5"/>
        <v>1.0354054033091574E-2</v>
      </c>
      <c r="I39" s="365">
        <f t="shared" si="6"/>
        <v>24.145565390903091</v>
      </c>
      <c r="J39" s="368">
        <f ca="1">(VLOOKUP($Q39,INDIRECT("'"&amp;A39&amp;"'!"&amp;"A20:E42"),3,0)-VLOOKUP($R39,INDIRECT("'"&amp;A39&amp;"'!"&amp;"A20:E42"),3,0))/(Q39-R39)</f>
        <v>5.7211105468156003</v>
      </c>
      <c r="Q39" s="366" cm="1">
        <f t="array" aca="1" ref="Q39" ca="1">MAX(_xlfn._xlws.FILTER(INDIRECT("'"&amp;A39&amp;"'!"&amp;"A20:A42"),INDIRECT("'"&amp;A39&amp;"'!"&amp;"A20:A42")&lt;$D39))</f>
        <v>2000000</v>
      </c>
      <c r="R39" s="366" cm="1">
        <f t="array" aca="1" ref="R39" ca="1">MIN(_xlfn._xlws.FILTER(INDIRECT("'"&amp;A39&amp;"'!"&amp;"A20:A42"),INDIRECT("'"&amp;A39&amp;"'!"&amp;"A20:A42")&gt;=$D39))</f>
        <v>2200000</v>
      </c>
    </row>
    <row r="40" spans="1:18" x14ac:dyDescent="0.25">
      <c r="A40" s="97" t="s">
        <v>284</v>
      </c>
      <c r="B40" s="391" t="s">
        <v>173</v>
      </c>
      <c r="C40" s="392" t="str">
        <f>VAC_Optim_Scenario!B25</f>
        <v>HCC Linear TV</v>
      </c>
      <c r="D40" s="356">
        <f>VAC_Optim_Scenario!I25</f>
        <v>14861790</v>
      </c>
      <c r="E40" s="359">
        <f>VAC_Optim_Scenario!J25</f>
        <v>271289.99209866516</v>
      </c>
      <c r="F40" s="356">
        <f>VAC_Optim_Scenario!J43</f>
        <v>61295260.814772405</v>
      </c>
      <c r="G40" s="362">
        <f t="shared" si="8"/>
        <v>4.1243525049655796</v>
      </c>
      <c r="H40" s="239">
        <f t="shared" si="5"/>
        <v>3.0828961713024523E-2</v>
      </c>
      <c r="I40" s="365">
        <f t="shared" si="6"/>
        <v>54.78193237071175</v>
      </c>
      <c r="J40" s="368">
        <f ca="1">(VLOOKUP($Q40,INDIRECT("'"&amp;A40&amp;"'!"&amp;"A20:E42"),3,0)-VLOOKUP($R40,INDIRECT("'"&amp;A40&amp;"'!"&amp;"A20:E42"),3,0))/(Q40-R40)</f>
        <v>2.9163939951273141</v>
      </c>
      <c r="Q40" s="366" cm="1">
        <f t="array" aca="1" ref="Q40" ca="1">MAX(_xlfn._xlws.FILTER(INDIRECT("'"&amp;A40&amp;"'!"&amp;"A20:A42"),INDIRECT("'"&amp;A40&amp;"'!"&amp;"A20:A42")&lt;$D40))</f>
        <v>13750000</v>
      </c>
      <c r="R40" s="366" cm="1">
        <f t="array" aca="1" ref="R40" ca="1">MIN(_xlfn._xlws.FILTER(INDIRECT("'"&amp;A40&amp;"'!"&amp;"A20:A42"),INDIRECT("'"&amp;A40&amp;"'!"&amp;"A20:A42")&gt;=$D40))</f>
        <v>15000000</v>
      </c>
    </row>
    <row r="41" spans="1:18" x14ac:dyDescent="0.25">
      <c r="B41" s="393" t="s">
        <v>154</v>
      </c>
      <c r="C41" s="394" t="s">
        <v>229</v>
      </c>
      <c r="D41" s="360">
        <f>SUM(D32:D40)</f>
        <v>39999999.985869236</v>
      </c>
      <c r="E41" s="361">
        <f>SUM(E32:E40)</f>
        <v>1323423.2751637709</v>
      </c>
      <c r="F41" s="360">
        <f>SUM(F32:F40)</f>
        <v>299014254.79050243</v>
      </c>
      <c r="G41" s="363">
        <f>F41/D41</f>
        <v>7.4753563724033727</v>
      </c>
      <c r="H41" s="241">
        <f>SUM(H32:H40)</f>
        <v>0.15039170875610847</v>
      </c>
      <c r="I41" s="364">
        <f>(D41)/E41</f>
        <v>30.224645989333471</v>
      </c>
      <c r="J41" s="369"/>
    </row>
    <row r="46" spans="1:18" x14ac:dyDescent="0.25">
      <c r="D46" s="479" t="s">
        <v>298</v>
      </c>
      <c r="E46" s="479"/>
      <c r="F46" s="479"/>
      <c r="G46" s="479"/>
      <c r="H46" s="479"/>
      <c r="I46" s="479"/>
    </row>
    <row r="47" spans="1:18" ht="60" x14ac:dyDescent="0.25">
      <c r="B47" s="433" t="s">
        <v>2</v>
      </c>
      <c r="C47" s="434" t="s">
        <v>3</v>
      </c>
      <c r="D47" s="434" t="s">
        <v>267</v>
      </c>
      <c r="E47" s="434" t="s">
        <v>268</v>
      </c>
      <c r="F47" s="434" t="s">
        <v>272</v>
      </c>
      <c r="G47" s="434" t="s">
        <v>269</v>
      </c>
      <c r="H47" s="434" t="s">
        <v>221</v>
      </c>
      <c r="I47" s="434" t="s">
        <v>222</v>
      </c>
      <c r="J47" s="435" t="s">
        <v>206</v>
      </c>
    </row>
    <row r="48" spans="1:18" x14ac:dyDescent="0.25">
      <c r="A48" s="97" t="s">
        <v>277</v>
      </c>
      <c r="B48" s="391" t="s">
        <v>173</v>
      </c>
      <c r="C48" s="392" t="s">
        <v>223</v>
      </c>
      <c r="D48" s="356">
        <v>1000000</v>
      </c>
      <c r="E48" s="359">
        <v>22310.299479529262</v>
      </c>
      <c r="F48" s="356">
        <v>5040789.0644048415</v>
      </c>
      <c r="G48" s="362">
        <v>5.0407890644048416</v>
      </c>
      <c r="H48" s="237">
        <v>2.5353068247735882E-3</v>
      </c>
      <c r="I48" s="365">
        <v>44.822347674783416</v>
      </c>
      <c r="J48" s="370">
        <f ca="1">(VLOOKUP($Q48,INDIRECT("'"&amp;A48&amp;"'!"&amp;"A20:E42"),5,0)-VLOOKUP($R48,INDIRECT("'"&amp;A48&amp;"'!"&amp;"A20:E42"),5,0))/(Q48-R48)</f>
        <v>4.2588353994034396</v>
      </c>
      <c r="L48" s="437"/>
      <c r="Q48" s="366" cm="1">
        <f t="array" aca="1" ref="Q48" ca="1">MAX(_xlfn._xlws.FILTER(INDIRECT("'"&amp;A48&amp;"'!"&amp;"A20:A42"),INDIRECT("'"&amp;A48&amp;"'!"&amp;"A20:A42")&lt;$D48))</f>
        <v>800000</v>
      </c>
      <c r="R48" s="366" cm="1">
        <f t="array" aca="1" ref="R48" ca="1">MIN(_xlfn._xlws.FILTER(INDIRECT("'"&amp;A48&amp;"'!"&amp;"A20:A42"),INDIRECT("'"&amp;A48&amp;"'!"&amp;"A20:A42")&gt;=$D48))</f>
        <v>1000000</v>
      </c>
    </row>
    <row r="49" spans="1:18" x14ac:dyDescent="0.25">
      <c r="A49" s="97" t="s">
        <v>278</v>
      </c>
      <c r="B49" s="391" t="s">
        <v>173</v>
      </c>
      <c r="C49" s="392" t="s">
        <v>224</v>
      </c>
      <c r="D49" s="356">
        <v>5400000</v>
      </c>
      <c r="E49" s="359">
        <v>283838.37274381984</v>
      </c>
      <c r="F49" s="356">
        <v>64130441.937738657</v>
      </c>
      <c r="G49" s="362">
        <v>11.8760077662479</v>
      </c>
      <c r="H49" s="239">
        <v>3.225493966185073E-2</v>
      </c>
      <c r="I49" s="365">
        <v>19.024911775666798</v>
      </c>
      <c r="J49" s="368">
        <f t="shared" ref="J49:J51" ca="1" si="9">(VLOOKUP($Q49,INDIRECT("'"&amp;A49&amp;"'!"&amp;"A20:E42"),5,0)-VLOOKUP($R49,INDIRECT("'"&amp;A49&amp;"'!"&amp;"A20:E42"),5,0))/(Q49-R49)</f>
        <v>8.3357790163863541</v>
      </c>
      <c r="L49" s="437"/>
      <c r="Q49" s="366" cm="1">
        <f t="array" aca="1" ref="Q49" ca="1">MAX(_xlfn._xlws.FILTER(INDIRECT("'"&amp;A49&amp;"'!"&amp;"A20:A42"),INDIRECT("'"&amp;A49&amp;"'!"&amp;"A20:A42")&lt;$D49))</f>
        <v>4950000</v>
      </c>
      <c r="R49" s="366" cm="1">
        <f t="array" aca="1" ref="R49" ca="1">MIN(_xlfn._xlws.FILTER(INDIRECT("'"&amp;A49&amp;"'!"&amp;"A20:A42"),INDIRECT("'"&amp;A49&amp;"'!"&amp;"A20:A42")&gt;=$D49))</f>
        <v>5400000</v>
      </c>
    </row>
    <row r="50" spans="1:18" x14ac:dyDescent="0.25">
      <c r="A50" s="97" t="s">
        <v>281</v>
      </c>
      <c r="B50" s="391" t="s">
        <v>173</v>
      </c>
      <c r="C50" s="392" t="s">
        <v>225</v>
      </c>
      <c r="D50" s="356">
        <v>1599500</v>
      </c>
      <c r="E50" s="359">
        <v>64805.391873188775</v>
      </c>
      <c r="F50" s="356">
        <v>14642130.239828272</v>
      </c>
      <c r="G50" s="362">
        <v>9.1541920849192078</v>
      </c>
      <c r="H50" s="239">
        <v>7.3643813006175306E-3</v>
      </c>
      <c r="I50" s="365">
        <v>24.681588271696626</v>
      </c>
      <c r="J50" s="368">
        <f ca="1">(VLOOKUP($Q50,INDIRECT("'"&amp;A50&amp;"'!"&amp;"A20:E42"),3,0)-VLOOKUP($R50,INDIRECT("'"&amp;A50&amp;"'!"&amp;"A20:E42"),3,0))/(Q50-R50)</f>
        <v>5.4608969926852584</v>
      </c>
      <c r="L50" s="437"/>
      <c r="Q50" s="366" cm="1">
        <f t="array" aca="1" ref="Q50" ca="1">MAX(_xlfn._xlws.FILTER(INDIRECT("'"&amp;A50&amp;"'!"&amp;"A20:A42"),INDIRECT("'"&amp;A50&amp;"'!"&amp;"A20:A42")&lt;$D50))</f>
        <v>1500000</v>
      </c>
      <c r="R50" s="366" cm="1">
        <f t="array" aca="1" ref="R50" ca="1">MIN(_xlfn._xlws.FILTER(INDIRECT("'"&amp;A50&amp;"'!"&amp;"A20:A42"),INDIRECT("'"&amp;A50&amp;"'!"&amp;"A20:A42")&gt;=$D50))</f>
        <v>1750000</v>
      </c>
    </row>
    <row r="51" spans="1:18" x14ac:dyDescent="0.25">
      <c r="A51" s="97" t="s">
        <v>279</v>
      </c>
      <c r="B51" s="391" t="s">
        <v>173</v>
      </c>
      <c r="C51" s="392" t="s">
        <v>243</v>
      </c>
      <c r="D51" s="356">
        <v>500000</v>
      </c>
      <c r="E51" s="359">
        <v>13095.1080400832</v>
      </c>
      <c r="F51" s="356">
        <v>2958708.7105763983</v>
      </c>
      <c r="G51" s="362">
        <v>5.9174174211527966</v>
      </c>
      <c r="H51" s="239">
        <v>1.4881071773883213E-3</v>
      </c>
      <c r="I51" s="365">
        <v>38.182197387721835</v>
      </c>
      <c r="J51" s="368">
        <f t="shared" ca="1" si="9"/>
        <v>2.1230601661533521</v>
      </c>
      <c r="L51" s="437"/>
      <c r="Q51" s="367" cm="1">
        <f t="array" aca="1" ref="Q51" ca="1">MAX(_xlfn._xlws.FILTER(INDIRECT("'"&amp;A51&amp;"'!"&amp;"A20:A42"),INDIRECT("'"&amp;A51&amp;"'!"&amp;"A20:A42")&lt;$D51))</f>
        <v>415405.44738459925</v>
      </c>
      <c r="R51" s="367" cm="1">
        <f t="array" aca="1" ref="R51" ca="1">MIN(_xlfn._xlws.FILTER(INDIRECT("'"&amp;A51&amp;"'!"&amp;"A20:A42"),INDIRECT("'"&amp;A51&amp;"'!"&amp;"A20:A42")&gt;=$D51))</f>
        <v>519256.80923074903</v>
      </c>
    </row>
    <row r="52" spans="1:18" x14ac:dyDescent="0.25">
      <c r="A52" s="97" t="s">
        <v>288</v>
      </c>
      <c r="B52" s="391" t="s">
        <v>173</v>
      </c>
      <c r="C52" s="392" t="s">
        <v>245</v>
      </c>
      <c r="D52" s="356">
        <v>6463714</v>
      </c>
      <c r="E52" s="359">
        <v>149272.39229083114</v>
      </c>
      <c r="F52" s="356">
        <v>33726604.314190388</v>
      </c>
      <c r="G52" s="362">
        <v>5.2178367288822471</v>
      </c>
      <c r="H52" s="239">
        <v>1.6963076415557363E-2</v>
      </c>
      <c r="I52" s="365">
        <v>43.301469888729216</v>
      </c>
      <c r="J52" s="368">
        <f ca="1">(VLOOKUP($Q52,INDIRECT("'"&amp;A52&amp;"'!"&amp;"A20:E42"),3,0)-VLOOKUP($R52,INDIRECT("'"&amp;A52&amp;"'!"&amp;"A20:E42"),3,0))/(Q52-R52)</f>
        <v>3.6898979193167833</v>
      </c>
      <c r="L52" s="437"/>
      <c r="Q52" s="366" cm="1">
        <f t="array" aca="1" ref="Q52" ca="1">MAX(_xlfn._xlws.FILTER(INDIRECT("'"&amp;A52&amp;"'!"&amp;"A20:A42"),INDIRECT("'"&amp;A52&amp;"'!"&amp;"A20:A42")&lt;$D52))</f>
        <v>6000000</v>
      </c>
      <c r="R52" s="366" cm="1">
        <f t="array" aca="1" ref="R52" ca="1">MIN(_xlfn._xlws.FILTER(INDIRECT("'"&amp;A52&amp;"'!"&amp;"A20:A42"),INDIRECT("'"&amp;A52&amp;"'!"&amp;"A20:A42")&gt;=$D52))</f>
        <v>6500000</v>
      </c>
    </row>
    <row r="53" spans="1:18" x14ac:dyDescent="0.25">
      <c r="A53" s="97" t="s">
        <v>280</v>
      </c>
      <c r="B53" s="391" t="s">
        <v>173</v>
      </c>
      <c r="C53" s="392" t="s">
        <v>226</v>
      </c>
      <c r="D53" s="356">
        <v>1500000</v>
      </c>
      <c r="E53" s="359">
        <v>96729.945919783786</v>
      </c>
      <c r="F53" s="356">
        <v>21855163.981115948</v>
      </c>
      <c r="G53" s="362">
        <v>14.570109320743965</v>
      </c>
      <c r="H53" s="239">
        <v>1.0992236669679273E-2</v>
      </c>
      <c r="I53" s="365">
        <v>15.507090237018431</v>
      </c>
      <c r="J53" s="368">
        <f ca="1">(VLOOKUP($Q53,INDIRECT("'"&amp;A53&amp;"'!"&amp;"A20:E100"),5,0)-VLOOKUP($R53,INDIRECT("'"&amp;A53&amp;"'!"&amp;"A20:E100"),5,0))/(Q53-R53)</f>
        <v>11.486016598810298</v>
      </c>
      <c r="L53" s="437"/>
      <c r="Q53" s="367" cm="1">
        <f t="array" aca="1" ref="Q53" ca="1">MAX(_xlfn._xlws.FILTER(INDIRECT("'"&amp;A53&amp;"'!"&amp;"A20:A100"),INDIRECT("'"&amp;A53&amp;"'!"&amp;"A20:A100")&lt;$D53))</f>
        <v>1453919.0658460972</v>
      </c>
      <c r="R53" s="367" cm="1">
        <f t="array" aca="1" ref="R53" ca="1">MIN(_xlfn._xlws.FILTER(INDIRECT("'"&amp;A53&amp;"'!"&amp;"A20:A100"),INDIRECT("'"&amp;A53&amp;"'!"&amp;"A20:A100")&gt;=$D53))</f>
        <v>1557770.4276922471</v>
      </c>
    </row>
    <row r="54" spans="1:18" x14ac:dyDescent="0.25">
      <c r="A54" s="97" t="s">
        <v>282</v>
      </c>
      <c r="B54" s="391" t="s">
        <v>173</v>
      </c>
      <c r="C54" s="392" t="s">
        <v>227</v>
      </c>
      <c r="D54" s="356">
        <v>300000</v>
      </c>
      <c r="E54" s="359">
        <v>118583.90541759932</v>
      </c>
      <c r="F54" s="356">
        <v>26792847.590052392</v>
      </c>
      <c r="G54" s="362">
        <v>89.309491966841307</v>
      </c>
      <c r="H54" s="239">
        <v>1.347568574726675E-2</v>
      </c>
      <c r="I54" s="365">
        <v>2.5298542744357642</v>
      </c>
      <c r="J54" s="368">
        <f ca="1">(VLOOKUP($Q54,INDIRECT("'"&amp;A54&amp;"'!"&amp;"A20:E42"),3,0)-VLOOKUP($R54,INDIRECT("'"&amp;A54&amp;"'!"&amp;"A20:E42"),3,0))/(Q54-R54)</f>
        <v>68.666101840033249</v>
      </c>
      <c r="L54" s="437"/>
      <c r="Q54" s="366" cm="1">
        <f t="array" aca="1" ref="Q54" ca="1">MAX(_xlfn._xlws.FILTER(INDIRECT("'"&amp;A54&amp;"'!"&amp;"A20:A42"),INDIRECT("'"&amp;A54&amp;"'!"&amp;"A20:A42")&lt;$D54))</f>
        <v>150000</v>
      </c>
      <c r="R54" s="366" cm="1">
        <f t="array" aca="1" ref="R54" ca="1">MIN(_xlfn._xlws.FILTER(INDIRECT("'"&amp;A54&amp;"'!"&amp;"A20:A42"),INDIRECT("'"&amp;A54&amp;"'!"&amp;"A20:A42")&gt;=$D54))</f>
        <v>300000</v>
      </c>
    </row>
    <row r="55" spans="1:18" x14ac:dyDescent="0.25">
      <c r="A55" s="97" t="s">
        <v>283</v>
      </c>
      <c r="B55" s="391" t="s">
        <v>173</v>
      </c>
      <c r="C55" s="392" t="s">
        <v>285</v>
      </c>
      <c r="D55" s="356">
        <v>1400000</v>
      </c>
      <c r="E55" s="359">
        <v>69471.794076517137</v>
      </c>
      <c r="F55" s="356">
        <v>15696457.153648281</v>
      </c>
      <c r="G55" s="362">
        <v>11.211755109748772</v>
      </c>
      <c r="H55" s="239">
        <v>7.894663799249706E-3</v>
      </c>
      <c r="I55" s="365">
        <v>20.152063418112132</v>
      </c>
      <c r="J55" s="368">
        <f ca="1">(VLOOKUP($Q55,INDIRECT("'"&amp;A55&amp;"'!"&amp;"A20:E42"),3,0)-VLOOKUP($R55,INDIRECT("'"&amp;A55&amp;"'!"&amp;"A20:E42"),3,0))/(Q55-R55)</f>
        <v>6.9332855708026697</v>
      </c>
      <c r="L55" s="437"/>
      <c r="Q55" s="366" cm="1">
        <f t="array" aca="1" ref="Q55" ca="1">MAX(_xlfn._xlws.FILTER(INDIRECT("'"&amp;A55&amp;"'!"&amp;"A20:A42"),INDIRECT("'"&amp;A55&amp;"'!"&amp;"A20:A42")&lt;$D55))</f>
        <v>1200000</v>
      </c>
      <c r="R55" s="366" cm="1">
        <f t="array" aca="1" ref="R55" ca="1">MIN(_xlfn._xlws.FILTER(INDIRECT("'"&amp;A55&amp;"'!"&amp;"A20:A42"),INDIRECT("'"&amp;A55&amp;"'!"&amp;"A20:A42")&gt;=$D55))</f>
        <v>1400000</v>
      </c>
    </row>
    <row r="56" spans="1:18" x14ac:dyDescent="0.25">
      <c r="A56" s="97" t="s">
        <v>284</v>
      </c>
      <c r="B56" s="391" t="s">
        <v>173</v>
      </c>
      <c r="C56" s="392" t="s">
        <v>187</v>
      </c>
      <c r="D56" s="356">
        <v>14861790</v>
      </c>
      <c r="E56" s="359">
        <v>271289.99209866516</v>
      </c>
      <c r="F56" s="356">
        <v>61295260.814772405</v>
      </c>
      <c r="G56" s="362">
        <v>4.1243525049655796</v>
      </c>
      <c r="H56" s="239">
        <v>3.0828961713024523E-2</v>
      </c>
      <c r="I56" s="365">
        <v>54.78193237071175</v>
      </c>
      <c r="J56" s="368">
        <f ca="1">(VLOOKUP($Q56,INDIRECT("'"&amp;A56&amp;"'!"&amp;"A20:E42"),3,0)-VLOOKUP($R56,INDIRECT("'"&amp;A56&amp;"'!"&amp;"A20:E42"),3,0))/(Q56-R56)</f>
        <v>2.9163939951273141</v>
      </c>
      <c r="L56" s="437"/>
      <c r="Q56" s="366" cm="1">
        <f t="array" aca="1" ref="Q56" ca="1">MAX(_xlfn._xlws.FILTER(INDIRECT("'"&amp;A56&amp;"'!"&amp;"A20:A42"),INDIRECT("'"&amp;A56&amp;"'!"&amp;"A20:A42")&lt;$D56))</f>
        <v>13750000</v>
      </c>
      <c r="R56" s="366" cm="1">
        <f t="array" aca="1" ref="R56" ca="1">MIN(_xlfn._xlws.FILTER(INDIRECT("'"&amp;A56&amp;"'!"&amp;"A20:A42"),INDIRECT("'"&amp;A56&amp;"'!"&amp;"A20:A42")&gt;=$D56))</f>
        <v>15000000</v>
      </c>
    </row>
    <row r="57" spans="1:18" ht="15.75" x14ac:dyDescent="0.25">
      <c r="B57" s="425" t="s">
        <v>154</v>
      </c>
      <c r="C57" s="426" t="s">
        <v>229</v>
      </c>
      <c r="D57" s="427">
        <v>33025004</v>
      </c>
      <c r="E57" s="428">
        <v>1089397.2019400175</v>
      </c>
      <c r="F57" s="427">
        <v>246138403.80632758</v>
      </c>
      <c r="G57" s="429">
        <v>7.4530923238140288</v>
      </c>
      <c r="H57" s="430">
        <v>0.1237973593094078</v>
      </c>
      <c r="I57" s="431">
        <v>30.314933746101513</v>
      </c>
      <c r="J57" s="432"/>
    </row>
    <row r="58" spans="1:18" x14ac:dyDescent="0.25">
      <c r="G58" s="97">
        <f>F57/D57</f>
        <v>7.4530923238140288</v>
      </c>
    </row>
    <row r="61" spans="1:18" x14ac:dyDescent="0.25">
      <c r="D61" s="479" t="s">
        <v>301</v>
      </c>
      <c r="E61" s="479"/>
      <c r="F61" s="479"/>
      <c r="G61" s="479"/>
      <c r="H61" s="479"/>
      <c r="I61" s="479"/>
    </row>
    <row r="62" spans="1:18" ht="60" x14ac:dyDescent="0.25">
      <c r="B62" s="433" t="s">
        <v>2</v>
      </c>
      <c r="C62" s="434" t="s">
        <v>3</v>
      </c>
      <c r="D62" s="434" t="s">
        <v>267</v>
      </c>
      <c r="E62" s="434" t="s">
        <v>268</v>
      </c>
      <c r="F62" s="434" t="s">
        <v>272</v>
      </c>
      <c r="G62" s="434" t="s">
        <v>269</v>
      </c>
      <c r="H62" s="434" t="s">
        <v>221</v>
      </c>
      <c r="I62" s="434" t="s">
        <v>222</v>
      </c>
      <c r="J62" s="435" t="s">
        <v>206</v>
      </c>
    </row>
    <row r="63" spans="1:18" x14ac:dyDescent="0.25">
      <c r="A63" s="97" t="s">
        <v>277</v>
      </c>
      <c r="B63" s="391" t="s">
        <v>173</v>
      </c>
      <c r="C63" s="392" t="s">
        <v>223</v>
      </c>
      <c r="D63" s="356">
        <v>1000000</v>
      </c>
      <c r="E63" s="359">
        <f>F63/VAC_Optim_Scenario!$F$32</f>
        <v>22310.299479529262</v>
      </c>
      <c r="F63" s="356">
        <v>5040789.0644048415</v>
      </c>
      <c r="G63" s="362">
        <f>F63/D63</f>
        <v>5.0407890644048416</v>
      </c>
      <c r="H63" s="438">
        <f>E63/$L$3</f>
        <v>2.5353068247735882E-3</v>
      </c>
      <c r="I63" s="365">
        <f>D63/E63</f>
        <v>44.822347674783416</v>
      </c>
      <c r="J63" s="415">
        <f ca="1">(VLOOKUP($Q63,INDIRECT("'"&amp;A63&amp;"'!"&amp;"A20:E42"),5,0)-VLOOKUP($R63,INDIRECT("'"&amp;A63&amp;"'!"&amp;"A20:E42"),5,0))/(Q63-R63)</f>
        <v>4.2588353994034396</v>
      </c>
      <c r="Q63" s="97" cm="1">
        <f t="array" aca="1" ref="Q63" ca="1">MAX(_xlfn._xlws.FILTER(INDIRECT("'"&amp;A63&amp;"'!"&amp;"A20:A42"),INDIRECT("'"&amp;A63&amp;"'!"&amp;"A20:A42")&lt;$D63))</f>
        <v>800000</v>
      </c>
      <c r="R63" s="97" cm="1">
        <f t="array" aca="1" ref="R63" ca="1">MIN(_xlfn._xlws.FILTER(INDIRECT("'"&amp;A63&amp;"'!"&amp;"A20:A42"),INDIRECT("'"&amp;A63&amp;"'!"&amp;"A20:A42")&gt;=$D63))</f>
        <v>1000000</v>
      </c>
    </row>
    <row r="64" spans="1:18" x14ac:dyDescent="0.25">
      <c r="A64" s="97" t="s">
        <v>278</v>
      </c>
      <c r="B64" s="391" t="s">
        <v>173</v>
      </c>
      <c r="C64" s="392" t="s">
        <v>224</v>
      </c>
      <c r="D64" s="356">
        <v>6600872.0516149877</v>
      </c>
      <c r="E64" s="359">
        <f>F64/VAC_Optim_Scenario!$F$32</f>
        <v>323429.4936188375</v>
      </c>
      <c r="F64" s="356">
        <v>73075659.78824015</v>
      </c>
      <c r="G64" s="362">
        <f t="shared" ref="G64:G72" si="10">F64/D64</f>
        <v>11.070606916303014</v>
      </c>
      <c r="H64" s="439">
        <f t="shared" ref="H64:H72" si="11">E64/$L$3</f>
        <v>3.6754011449164369E-2</v>
      </c>
      <c r="I64" s="365">
        <f t="shared" ref="I64:I72" si="12">D64/E64</f>
        <v>20.408998504614217</v>
      </c>
      <c r="J64" s="416">
        <f t="shared" ref="J64:J66" ca="1" si="13">(VLOOKUP($Q64,INDIRECT("'"&amp;A64&amp;"'!"&amp;"A20:E42"),5,0)-VLOOKUP($R64,INDIRECT("'"&amp;A64&amp;"'!"&amp;"A20:E42"),5,0))/(Q64-R64)</f>
        <v>6.9218682644031775</v>
      </c>
      <c r="Q64" s="97" cm="1">
        <f t="array" aca="1" ref="Q64" ca="1">MAX(_xlfn._xlws.FILTER(INDIRECT("'"&amp;A64&amp;"'!"&amp;"A20:A42"),INDIRECT("'"&amp;A64&amp;"'!"&amp;"A20:A42")&lt;$D64))</f>
        <v>6300000</v>
      </c>
      <c r="R64" s="97" cm="1">
        <f t="array" aca="1" ref="R64" ca="1">MIN(_xlfn._xlws.FILTER(INDIRECT("'"&amp;A64&amp;"'!"&amp;"A20:A42"),INDIRECT("'"&amp;A64&amp;"'!"&amp;"A20:A42")&gt;=$D64))</f>
        <v>6750000</v>
      </c>
    </row>
    <row r="65" spans="1:18" x14ac:dyDescent="0.25">
      <c r="A65" s="97" t="s">
        <v>281</v>
      </c>
      <c r="B65" s="391" t="s">
        <v>173</v>
      </c>
      <c r="C65" s="392" t="s">
        <v>225</v>
      </c>
      <c r="D65" s="356">
        <v>1599500</v>
      </c>
      <c r="E65" s="359">
        <f>F65/VAC_Optim_Scenario!$F$32</f>
        <v>64805.391873188775</v>
      </c>
      <c r="F65" s="356">
        <v>14642130.239828272</v>
      </c>
      <c r="G65" s="362">
        <f t="shared" si="10"/>
        <v>9.1541920849192078</v>
      </c>
      <c r="H65" s="439">
        <f t="shared" si="11"/>
        <v>7.3643813006175306E-3</v>
      </c>
      <c r="I65" s="365">
        <f t="shared" si="12"/>
        <v>24.681588271696626</v>
      </c>
      <c r="J65" s="416">
        <f ca="1">(VLOOKUP($Q65,INDIRECT("'"&amp;A65&amp;"'!"&amp;"A20:E42"),3,0)-VLOOKUP($R65,INDIRECT("'"&amp;A65&amp;"'!"&amp;"A20:E42"),3,0))/(Q65-R65)</f>
        <v>5.4608969926852584</v>
      </c>
      <c r="Q65" s="97" cm="1">
        <f t="array" aca="1" ref="Q65" ca="1">MAX(_xlfn._xlws.FILTER(INDIRECT("'"&amp;A65&amp;"'!"&amp;"A20:A42"),INDIRECT("'"&amp;A65&amp;"'!"&amp;"A20:A42")&lt;$D65))</f>
        <v>1500000</v>
      </c>
      <c r="R65" s="97" cm="1">
        <f t="array" aca="1" ref="R65" ca="1">MIN(_xlfn._xlws.FILTER(INDIRECT("'"&amp;A65&amp;"'!"&amp;"A20:A42"),INDIRECT("'"&amp;A65&amp;"'!"&amp;"A20:A42")&gt;=$D65))</f>
        <v>1750000</v>
      </c>
    </row>
    <row r="66" spans="1:18" x14ac:dyDescent="0.25">
      <c r="A66" s="97" t="s">
        <v>279</v>
      </c>
      <c r="B66" s="391" t="s">
        <v>173</v>
      </c>
      <c r="C66" s="392" t="s">
        <v>243</v>
      </c>
      <c r="D66" s="356">
        <v>500000</v>
      </c>
      <c r="E66" s="359">
        <f>F66/VAC_Optim_Scenario!$F$32</f>
        <v>13095.1080400832</v>
      </c>
      <c r="F66" s="356">
        <v>2958708.7105763983</v>
      </c>
      <c r="G66" s="362">
        <f t="shared" si="10"/>
        <v>5.9174174211527966</v>
      </c>
      <c r="H66" s="439">
        <f t="shared" si="11"/>
        <v>1.4881071773883213E-3</v>
      </c>
      <c r="I66" s="365">
        <f t="shared" si="12"/>
        <v>38.182197387721835</v>
      </c>
      <c r="J66" s="416">
        <f t="shared" ca="1" si="13"/>
        <v>2.1230601661533521</v>
      </c>
      <c r="Q66" s="97" cm="1">
        <f t="array" aca="1" ref="Q66" ca="1">MAX(_xlfn._xlws.FILTER(INDIRECT("'"&amp;A66&amp;"'!"&amp;"A20:A42"),INDIRECT("'"&amp;A66&amp;"'!"&amp;"A20:A42")&lt;$D66))</f>
        <v>415405.44738459925</v>
      </c>
      <c r="R66" s="97" cm="1">
        <f t="array" aca="1" ref="R66" ca="1">MIN(_xlfn._xlws.FILTER(INDIRECT("'"&amp;A66&amp;"'!"&amp;"A20:A42"),INDIRECT("'"&amp;A66&amp;"'!"&amp;"A20:A42")&gt;=$D66))</f>
        <v>519256.80923074903</v>
      </c>
    </row>
    <row r="67" spans="1:18" x14ac:dyDescent="0.25">
      <c r="A67" s="97" t="s">
        <v>288</v>
      </c>
      <c r="B67" s="391" t="s">
        <v>173</v>
      </c>
      <c r="C67" s="392" t="s">
        <v>245</v>
      </c>
      <c r="D67" s="356">
        <v>6463714.0003559459</v>
      </c>
      <c r="E67" s="359">
        <f>F67/VAC_Optim_Scenario!$F$32</f>
        <v>149272.39229658525</v>
      </c>
      <c r="F67" s="356">
        <v>33726604.315490469</v>
      </c>
      <c r="G67" s="362">
        <f t="shared" si="10"/>
        <v>5.217836728796045</v>
      </c>
      <c r="H67" s="439">
        <f t="shared" si="11"/>
        <v>1.6963076416211254E-2</v>
      </c>
      <c r="I67" s="365">
        <f t="shared" si="12"/>
        <v>43.301469889444583</v>
      </c>
      <c r="J67" s="416">
        <f ca="1">(VLOOKUP($Q67,INDIRECT("'"&amp;A67&amp;"'!"&amp;"A20:E42"),3,0)-VLOOKUP($R67,INDIRECT("'"&amp;A67&amp;"'!"&amp;"A20:E42"),3,0))/(Q67-R67)</f>
        <v>3.6898979193167833</v>
      </c>
      <c r="Q67" s="97" cm="1">
        <f t="array" aca="1" ref="Q67" ca="1">MAX(_xlfn._xlws.FILTER(INDIRECT("'"&amp;A67&amp;"'!"&amp;"A20:A42"),INDIRECT("'"&amp;A67&amp;"'!"&amp;"A20:A42")&lt;$D67))</f>
        <v>6000000</v>
      </c>
      <c r="R67" s="97" cm="1">
        <f t="array" aca="1" ref="R67" ca="1">MIN(_xlfn._xlws.FILTER(INDIRECT("'"&amp;A67&amp;"'!"&amp;"A20:A42"),INDIRECT("'"&amp;A67&amp;"'!"&amp;"A20:A42")&gt;=$D67))</f>
        <v>6500000</v>
      </c>
    </row>
    <row r="68" spans="1:18" x14ac:dyDescent="0.25">
      <c r="A68" s="97" t="s">
        <v>280</v>
      </c>
      <c r="B68" s="391" t="s">
        <v>173</v>
      </c>
      <c r="C68" s="392" t="s">
        <v>226</v>
      </c>
      <c r="D68" s="356">
        <v>3184123.9461473175</v>
      </c>
      <c r="E68" s="359">
        <f>F68/VAC_Optim_Scenario!$F$32</f>
        <v>163686.85548131724</v>
      </c>
      <c r="F68" s="356">
        <v>36983408.12744882</v>
      </c>
      <c r="G68" s="362">
        <f t="shared" si="10"/>
        <v>11.614939855654017</v>
      </c>
      <c r="H68" s="439">
        <f t="shared" si="11"/>
        <v>1.8601113006496847E-2</v>
      </c>
      <c r="I68" s="365">
        <f t="shared" si="12"/>
        <v>19.452532928099071</v>
      </c>
      <c r="J68" s="416">
        <f ca="1">(VLOOKUP($Q68,INDIRECT("'"&amp;A68&amp;"'!"&amp;"A20:E100"),5,0)-VLOOKUP($R68,INDIRECT("'"&amp;A68&amp;"'!"&amp;"A20:E100"),5,0))/(Q68-R68)</f>
        <v>6.8842699769585991</v>
      </c>
      <c r="Q68" s="97" cm="1">
        <f t="array" aca="1" ref="Q68" ca="1">MAX(_xlfn._xlws.FILTER(INDIRECT("'"&amp;A68&amp;"'!"&amp;"A20:A100"),INDIRECT("'"&amp;A68&amp;"'!"&amp;"A20:A100")&lt;$D68))</f>
        <v>3115540.85538449</v>
      </c>
      <c r="R68" s="97" cm="1">
        <f t="array" aca="1" ref="R68" ca="1">MIN(_xlfn._xlws.FILTER(INDIRECT("'"&amp;A68&amp;"'!"&amp;"A20:A100"),INDIRECT("'"&amp;A68&amp;"'!"&amp;"A20:A100")&gt;=$D68))</f>
        <v>3219392.2172306399</v>
      </c>
    </row>
    <row r="69" spans="1:18" x14ac:dyDescent="0.25">
      <c r="A69" s="97" t="s">
        <v>282</v>
      </c>
      <c r="B69" s="391" t="s">
        <v>173</v>
      </c>
      <c r="C69" s="392" t="s">
        <v>227</v>
      </c>
      <c r="D69" s="356">
        <v>390000</v>
      </c>
      <c r="E69" s="359">
        <f>F69/VAC_Optim_Scenario!$F$32</f>
        <v>142490.56083211911</v>
      </c>
      <c r="F69" s="356">
        <v>32194317.314408991</v>
      </c>
      <c r="G69" s="362">
        <f t="shared" si="10"/>
        <v>82.54953157540767</v>
      </c>
      <c r="H69" s="439">
        <f t="shared" si="11"/>
        <v>1.6192399912648332E-2</v>
      </c>
      <c r="I69" s="365">
        <f t="shared" si="12"/>
        <v>2.7370234050765925</v>
      </c>
      <c r="J69" s="416">
        <f ca="1">(VLOOKUP($Q69,INDIRECT("'"&amp;A69&amp;"'!"&amp;"A20:E42"),3,0)-VLOOKUP($R69,INDIRECT("'"&amp;A69&amp;"'!"&amp;"A20:E42"),3,0))/(Q69-R69)</f>
        <v>58.622972004453118</v>
      </c>
      <c r="Q69" s="97" cm="1">
        <f t="array" aca="1" ref="Q69" ca="1">MAX(_xlfn._xlws.FILTER(INDIRECT("'"&amp;A69&amp;"'!"&amp;"A20:A42"),INDIRECT("'"&amp;A69&amp;"'!"&amp;"A20:A42")&lt;$D69))</f>
        <v>300000</v>
      </c>
      <c r="R69" s="97" cm="1">
        <f t="array" aca="1" ref="R69" ca="1">MIN(_xlfn._xlws.FILTER(INDIRECT("'"&amp;A69&amp;"'!"&amp;"A20:A42"),INDIRECT("'"&amp;A69&amp;"'!"&amp;"A20:A42")&gt;=$D69))</f>
        <v>450000</v>
      </c>
    </row>
    <row r="70" spans="1:18" x14ac:dyDescent="0.25">
      <c r="A70" s="97" t="s">
        <v>283</v>
      </c>
      <c r="B70" s="391" t="s">
        <v>173</v>
      </c>
      <c r="C70" s="392" t="s">
        <v>285</v>
      </c>
      <c r="D70" s="356">
        <v>1400000</v>
      </c>
      <c r="E70" s="359">
        <f>F70/VAC_Optim_Scenario!$F$32</f>
        <v>69471.794076517137</v>
      </c>
      <c r="F70" s="356">
        <v>15696457.153648281</v>
      </c>
      <c r="G70" s="362">
        <f t="shared" si="10"/>
        <v>11.211755109748772</v>
      </c>
      <c r="H70" s="439">
        <f t="shared" si="11"/>
        <v>7.894663799249706E-3</v>
      </c>
      <c r="I70" s="365">
        <f t="shared" si="12"/>
        <v>20.152063418112132</v>
      </c>
      <c r="J70" s="416">
        <f ca="1">(VLOOKUP($Q70,INDIRECT("'"&amp;A70&amp;"'!"&amp;"A20:E42"),3,0)-VLOOKUP($R70,INDIRECT("'"&amp;A70&amp;"'!"&amp;"A20:E42"),3,0))/(Q70-R70)</f>
        <v>6.9332855708026697</v>
      </c>
      <c r="Q70" s="97" cm="1">
        <f t="array" aca="1" ref="Q70" ca="1">MAX(_xlfn._xlws.FILTER(INDIRECT("'"&amp;A70&amp;"'!"&amp;"A20:A42"),INDIRECT("'"&amp;A70&amp;"'!"&amp;"A20:A42")&lt;$D70))</f>
        <v>1200000</v>
      </c>
      <c r="R70" s="97" cm="1">
        <f t="array" aca="1" ref="R70" ca="1">MIN(_xlfn._xlws.FILTER(INDIRECT("'"&amp;A70&amp;"'!"&amp;"A20:A42"),INDIRECT("'"&amp;A70&amp;"'!"&amp;"A20:A42")&gt;=$D70))</f>
        <v>1400000</v>
      </c>
    </row>
    <row r="71" spans="1:18" x14ac:dyDescent="0.25">
      <c r="A71" s="97" t="s">
        <v>284</v>
      </c>
      <c r="B71" s="391" t="s">
        <v>173</v>
      </c>
      <c r="C71" s="392" t="s">
        <v>187</v>
      </c>
      <c r="D71" s="356">
        <v>14861790.00188175</v>
      </c>
      <c r="E71" s="359">
        <f>F71/VAC_Optim_Scenario!$F$32</f>
        <v>271289.99212271004</v>
      </c>
      <c r="F71" s="356">
        <v>61295260.820205107</v>
      </c>
      <c r="G71" s="362">
        <f t="shared" si="10"/>
        <v>4.1243525048089165</v>
      </c>
      <c r="H71" s="439">
        <f t="shared" si="11"/>
        <v>3.0828961715756945E-2</v>
      </c>
      <c r="I71" s="365">
        <f t="shared" si="12"/>
        <v>54.781932372792646</v>
      </c>
      <c r="J71" s="416">
        <f ca="1">(VLOOKUP($Q71,INDIRECT("'"&amp;A71&amp;"'!"&amp;"A20:E42"),3,0)-VLOOKUP($R71,INDIRECT("'"&amp;A71&amp;"'!"&amp;"A20:E42"),3,0))/(Q71-R71)</f>
        <v>2.9163939951273141</v>
      </c>
      <c r="Q71" s="97" cm="1">
        <f t="array" aca="1" ref="Q71" ca="1">MAX(_xlfn._xlws.FILTER(INDIRECT("'"&amp;A71&amp;"'!"&amp;"A20:A42"),INDIRECT("'"&amp;A71&amp;"'!"&amp;"A20:A42")&lt;$D71))</f>
        <v>13750000</v>
      </c>
      <c r="R71" s="97" cm="1">
        <f t="array" aca="1" ref="R71" ca="1">MIN(_xlfn._xlws.FILTER(INDIRECT("'"&amp;A71&amp;"'!"&amp;"A20:A42"),INDIRECT("'"&amp;A71&amp;"'!"&amp;"A20:A42")&gt;=$D71))</f>
        <v>15000000</v>
      </c>
    </row>
    <row r="72" spans="1:18" ht="15.75" x14ac:dyDescent="0.25">
      <c r="B72" s="425" t="s">
        <v>154</v>
      </c>
      <c r="C72" s="426" t="s">
        <v>229</v>
      </c>
      <c r="D72" s="427">
        <f>SUM(D63:D71)</f>
        <v>36000000</v>
      </c>
      <c r="E72" s="428">
        <f>SUM(E63:E71)</f>
        <v>1219851.8878208876</v>
      </c>
      <c r="F72" s="427">
        <f>SUM(F63:F71)</f>
        <v>275613335.53425133</v>
      </c>
      <c r="G72" s="429">
        <f t="shared" si="10"/>
        <v>7.6559259870625374</v>
      </c>
      <c r="H72" s="430">
        <f t="shared" si="11"/>
        <v>0.13862202160230691</v>
      </c>
      <c r="I72" s="431">
        <f t="shared" si="12"/>
        <v>29.511779552441801</v>
      </c>
      <c r="J72" s="432"/>
    </row>
    <row r="73" spans="1:18" x14ac:dyDescent="0.25">
      <c r="G73" s="97">
        <f>F72/D72</f>
        <v>7.6559259870625374</v>
      </c>
    </row>
    <row r="75" spans="1:18" x14ac:dyDescent="0.25">
      <c r="D75" s="479" t="s">
        <v>302</v>
      </c>
      <c r="E75" s="479"/>
      <c r="F75" s="479"/>
      <c r="G75" s="479"/>
      <c r="H75" s="479"/>
      <c r="I75" s="479"/>
    </row>
    <row r="76" spans="1:18" ht="60" x14ac:dyDescent="0.25">
      <c r="B76" s="433" t="s">
        <v>2</v>
      </c>
      <c r="C76" s="434" t="s">
        <v>3</v>
      </c>
      <c r="D76" s="434" t="s">
        <v>267</v>
      </c>
      <c r="E76" s="434" t="s">
        <v>268</v>
      </c>
      <c r="F76" s="434" t="s">
        <v>272</v>
      </c>
      <c r="G76" s="434" t="s">
        <v>269</v>
      </c>
      <c r="H76" s="434" t="s">
        <v>221</v>
      </c>
      <c r="I76" s="434" t="s">
        <v>222</v>
      </c>
      <c r="J76" s="435" t="s">
        <v>206</v>
      </c>
    </row>
    <row r="77" spans="1:18" x14ac:dyDescent="0.25">
      <c r="A77" s="97" t="s">
        <v>277</v>
      </c>
      <c r="B77" s="391" t="s">
        <v>173</v>
      </c>
      <c r="C77" s="392" t="s">
        <v>223</v>
      </c>
      <c r="D77" s="356">
        <v>1000000</v>
      </c>
      <c r="E77" s="359">
        <f>F77/VAC_Optim_Scenario!$F$32</f>
        <v>22310.299479529262</v>
      </c>
      <c r="F77" s="356">
        <v>5040789.0644048415</v>
      </c>
      <c r="G77" s="362">
        <f>F77/D77</f>
        <v>5.0407890644048416</v>
      </c>
      <c r="H77" s="438">
        <f>E77/$L$3</f>
        <v>2.5353068247735882E-3</v>
      </c>
      <c r="I77" s="365">
        <f>D77/E77</f>
        <v>44.822347674783416</v>
      </c>
      <c r="J77" s="415">
        <f ca="1">(VLOOKUP($Q77,INDIRECT("'"&amp;A77&amp;"'!"&amp;"A20:E42"),5,0)-VLOOKUP($R77,INDIRECT("'"&amp;A77&amp;"'!"&amp;"A20:E42"),5,0))/(Q77-R77)</f>
        <v>4.2588353994034396</v>
      </c>
      <c r="Q77" s="97" cm="1">
        <f t="array" aca="1" ref="Q77" ca="1">MAX(_xlfn._xlws.FILTER(INDIRECT("'"&amp;A77&amp;"'!"&amp;"A20:A42"),INDIRECT("'"&amp;A77&amp;"'!"&amp;"A20:A42")&lt;$D77))</f>
        <v>800000</v>
      </c>
      <c r="R77" s="97" cm="1">
        <f t="array" aca="1" ref="R77" ca="1">MIN(_xlfn._xlws.FILTER(INDIRECT("'"&amp;A77&amp;"'!"&amp;"A20:A42"),INDIRECT("'"&amp;A77&amp;"'!"&amp;"A20:A42")&gt;=$D77))</f>
        <v>1000000</v>
      </c>
    </row>
    <row r="78" spans="1:18" x14ac:dyDescent="0.25">
      <c r="A78" s="97" t="s">
        <v>278</v>
      </c>
      <c r="B78" s="391" t="s">
        <v>173</v>
      </c>
      <c r="C78" s="392" t="s">
        <v>224</v>
      </c>
      <c r="D78" s="356">
        <v>7713963.2766997935</v>
      </c>
      <c r="E78" s="359">
        <f>F78/VAC_Optim_Scenario!$F$32</f>
        <v>354690.90968408715</v>
      </c>
      <c r="F78" s="356">
        <v>80138864.134022653</v>
      </c>
      <c r="G78" s="362">
        <f t="shared" ref="G78:G86" si="14">F78/D78</f>
        <v>10.388805502365297</v>
      </c>
      <c r="H78" s="439">
        <f t="shared" ref="H78:H86" si="15">E78/$L$3</f>
        <v>4.0306508876419275E-2</v>
      </c>
      <c r="I78" s="365">
        <f t="shared" ref="I78:I86" si="16">D78/E78</f>
        <v>21.748409857953213</v>
      </c>
      <c r="J78" s="416">
        <f t="shared" ref="J78:J80" ca="1" si="17">(VLOOKUP($Q78,INDIRECT("'"&amp;A78&amp;"'!"&amp;"A20:E42"),5,0)-VLOOKUP($R78,INDIRECT("'"&amp;A78&amp;"'!"&amp;"A20:E42"),5,0))/(Q78-R78)</f>
        <v>5.7372760813294521</v>
      </c>
      <c r="Q78" s="97" cm="1">
        <f t="array" aca="1" ref="Q78" ca="1">MAX(_xlfn._xlws.FILTER(INDIRECT("'"&amp;A78&amp;"'!"&amp;"A20:A42"),INDIRECT("'"&amp;A78&amp;"'!"&amp;"A20:A42")&lt;$D78))</f>
        <v>7650000</v>
      </c>
      <c r="R78" s="97" cm="1">
        <f t="array" aca="1" ref="R78" ca="1">MIN(_xlfn._xlws.FILTER(INDIRECT("'"&amp;A78&amp;"'!"&amp;"A20:A42"),INDIRECT("'"&amp;A78&amp;"'!"&amp;"A20:A42")&gt;=$D78))</f>
        <v>8100000</v>
      </c>
    </row>
    <row r="79" spans="1:18" x14ac:dyDescent="0.25">
      <c r="A79" s="97" t="s">
        <v>281</v>
      </c>
      <c r="B79" s="391" t="s">
        <v>173</v>
      </c>
      <c r="C79" s="392" t="s">
        <v>225</v>
      </c>
      <c r="D79" s="356">
        <v>1599500</v>
      </c>
      <c r="E79" s="359">
        <f>F79/VAC_Optim_Scenario!$F$32</f>
        <v>64805.391873188775</v>
      </c>
      <c r="F79" s="356">
        <v>14642130.239828272</v>
      </c>
      <c r="G79" s="362">
        <f t="shared" si="14"/>
        <v>9.1541920849192078</v>
      </c>
      <c r="H79" s="439">
        <f t="shared" si="15"/>
        <v>7.3643813006175306E-3</v>
      </c>
      <c r="I79" s="365">
        <f t="shared" si="16"/>
        <v>24.681588271696626</v>
      </c>
      <c r="J79" s="416">
        <f ca="1">(VLOOKUP($Q79,INDIRECT("'"&amp;A79&amp;"'!"&amp;"A20:E42"),3,0)-VLOOKUP($R79,INDIRECT("'"&amp;A79&amp;"'!"&amp;"A20:E42"),3,0))/(Q79-R79)</f>
        <v>5.4608969926852584</v>
      </c>
      <c r="Q79" s="97" cm="1">
        <f t="array" aca="1" ref="Q79" ca="1">MAX(_xlfn._xlws.FILTER(INDIRECT("'"&amp;A79&amp;"'!"&amp;"A20:A42"),INDIRECT("'"&amp;A79&amp;"'!"&amp;"A20:A42")&lt;$D79))</f>
        <v>1500000</v>
      </c>
      <c r="R79" s="97" cm="1">
        <f t="array" aca="1" ref="R79" ca="1">MIN(_xlfn._xlws.FILTER(INDIRECT("'"&amp;A79&amp;"'!"&amp;"A20:A42"),INDIRECT("'"&amp;A79&amp;"'!"&amp;"A20:A42")&gt;=$D79))</f>
        <v>1750000</v>
      </c>
    </row>
    <row r="80" spans="1:18" x14ac:dyDescent="0.25">
      <c r="A80" s="97" t="s">
        <v>279</v>
      </c>
      <c r="B80" s="391" t="s">
        <v>173</v>
      </c>
      <c r="C80" s="392" t="s">
        <v>243</v>
      </c>
      <c r="D80" s="356">
        <v>500000</v>
      </c>
      <c r="E80" s="359">
        <f>F80/VAC_Optim_Scenario!$F$32</f>
        <v>13095.1080400832</v>
      </c>
      <c r="F80" s="356">
        <v>2958708.7105763983</v>
      </c>
      <c r="G80" s="362">
        <f t="shared" si="14"/>
        <v>5.9174174211527966</v>
      </c>
      <c r="H80" s="439">
        <f t="shared" si="15"/>
        <v>1.4881071773883213E-3</v>
      </c>
      <c r="I80" s="365">
        <f t="shared" si="16"/>
        <v>38.182197387721835</v>
      </c>
      <c r="J80" s="416">
        <f t="shared" ca="1" si="17"/>
        <v>2.1230601661533521</v>
      </c>
      <c r="Q80" s="97" cm="1">
        <f t="array" aca="1" ref="Q80" ca="1">MAX(_xlfn._xlws.FILTER(INDIRECT("'"&amp;A80&amp;"'!"&amp;"A20:A42"),INDIRECT("'"&amp;A80&amp;"'!"&amp;"A20:A42")&lt;$D80))</f>
        <v>415405.44738459925</v>
      </c>
      <c r="R80" s="97" cm="1">
        <f t="array" aca="1" ref="R80" ca="1">MIN(_xlfn._xlws.FILTER(INDIRECT("'"&amp;A80&amp;"'!"&amp;"A20:A42"),INDIRECT("'"&amp;A80&amp;"'!"&amp;"A20:A42")&gt;=$D80))</f>
        <v>519256.80923074903</v>
      </c>
    </row>
    <row r="81" spans="1:18" x14ac:dyDescent="0.25">
      <c r="A81" s="97" t="s">
        <v>288</v>
      </c>
      <c r="B81" s="391" t="s">
        <v>173</v>
      </c>
      <c r="C81" s="392" t="s">
        <v>245</v>
      </c>
      <c r="D81" s="356">
        <v>6463714</v>
      </c>
      <c r="E81" s="359">
        <f>F81/VAC_Optim_Scenario!$F$32</f>
        <v>149272.39229083114</v>
      </c>
      <c r="F81" s="356">
        <v>33726604.314190388</v>
      </c>
      <c r="G81" s="362">
        <f t="shared" si="14"/>
        <v>5.2178367288822471</v>
      </c>
      <c r="H81" s="439">
        <f t="shared" si="15"/>
        <v>1.6963076415557363E-2</v>
      </c>
      <c r="I81" s="365">
        <f t="shared" si="16"/>
        <v>43.301469888729216</v>
      </c>
      <c r="J81" s="416">
        <f ca="1">(VLOOKUP($Q81,INDIRECT("'"&amp;A81&amp;"'!"&amp;"A20:E42"),3,0)-VLOOKUP($R81,INDIRECT("'"&amp;A81&amp;"'!"&amp;"A20:E42"),3,0))/(Q81-R81)</f>
        <v>3.6898979193167833</v>
      </c>
      <c r="Q81" s="97" cm="1">
        <f t="array" aca="1" ref="Q81" ca="1">MAX(_xlfn._xlws.FILTER(INDIRECT("'"&amp;A81&amp;"'!"&amp;"A20:A42"),INDIRECT("'"&amp;A81&amp;"'!"&amp;"A20:A42")&lt;$D81))</f>
        <v>6000000</v>
      </c>
      <c r="R81" s="97" cm="1">
        <f t="array" aca="1" ref="R81" ca="1">MIN(_xlfn._xlws.FILTER(INDIRECT("'"&amp;A81&amp;"'!"&amp;"A20:A42"),INDIRECT("'"&amp;A81&amp;"'!"&amp;"A20:A42")&gt;=$D81))</f>
        <v>6500000</v>
      </c>
    </row>
    <row r="82" spans="1:18" x14ac:dyDescent="0.25">
      <c r="A82" s="97" t="s">
        <v>280</v>
      </c>
      <c r="B82" s="391" t="s">
        <v>173</v>
      </c>
      <c r="C82" s="392" t="s">
        <v>226</v>
      </c>
      <c r="D82" s="356">
        <v>3500000</v>
      </c>
      <c r="E82" s="359">
        <f>F82/VAC_Optim_Scenario!$F$32</f>
        <v>172806.84541229345</v>
      </c>
      <c r="F82" s="356">
        <v>39043978.652453579</v>
      </c>
      <c r="G82" s="362">
        <f t="shared" si="14"/>
        <v>11.155422472129594</v>
      </c>
      <c r="H82" s="439">
        <f t="shared" si="15"/>
        <v>1.9637494106404804E-2</v>
      </c>
      <c r="I82" s="365">
        <f t="shared" si="16"/>
        <v>20.253827281260065</v>
      </c>
      <c r="J82" s="416">
        <f ca="1">(VLOOKUP($Q82,INDIRECT("'"&amp;A82&amp;"'!"&amp;"A20:E100"),5,0)-VLOOKUP($R82,INDIRECT("'"&amp;A82&amp;"'!"&amp;"A20:E100"),5,0))/(Q82-R82)</f>
        <v>6.2493452356722443</v>
      </c>
      <c r="Q82" s="97" cm="1">
        <f t="array" aca="1" ref="Q82" ca="1">MAX(_xlfn._xlws.FILTER(INDIRECT("'"&amp;A82&amp;"'!"&amp;"A20:A100"),INDIRECT("'"&amp;A82&amp;"'!"&amp;"A20:A100")&lt;$D82))</f>
        <v>3427094.9409229401</v>
      </c>
      <c r="R82" s="97" cm="1">
        <f t="array" aca="1" ref="R82" ca="1">MIN(_xlfn._xlws.FILTER(INDIRECT("'"&amp;A82&amp;"'!"&amp;"A20:A100"),INDIRECT("'"&amp;A82&amp;"'!"&amp;"A20:A100")&gt;=$D82))</f>
        <v>3530946.30276909</v>
      </c>
    </row>
    <row r="83" spans="1:18" x14ac:dyDescent="0.25">
      <c r="A83" s="97" t="s">
        <v>282</v>
      </c>
      <c r="B83" s="391" t="s">
        <v>173</v>
      </c>
      <c r="C83" s="392" t="s">
        <v>227</v>
      </c>
      <c r="D83" s="356">
        <v>390000</v>
      </c>
      <c r="E83" s="359">
        <f>F83/VAC_Optim_Scenario!$F$32</f>
        <v>142490.56083211911</v>
      </c>
      <c r="F83" s="356">
        <v>32194317.314408991</v>
      </c>
      <c r="G83" s="362">
        <f t="shared" si="14"/>
        <v>82.54953157540767</v>
      </c>
      <c r="H83" s="439">
        <f t="shared" si="15"/>
        <v>1.6192399912648332E-2</v>
      </c>
      <c r="I83" s="365">
        <f t="shared" si="16"/>
        <v>2.7370234050765925</v>
      </c>
      <c r="J83" s="416">
        <f ca="1">(VLOOKUP($Q83,INDIRECT("'"&amp;A83&amp;"'!"&amp;"A20:E42"),3,0)-VLOOKUP($R83,INDIRECT("'"&amp;A83&amp;"'!"&amp;"A20:E42"),3,0))/(Q83-R83)</f>
        <v>58.622972004453118</v>
      </c>
      <c r="Q83" s="97" cm="1">
        <f t="array" aca="1" ref="Q83" ca="1">MAX(_xlfn._xlws.FILTER(INDIRECT("'"&amp;A83&amp;"'!"&amp;"A20:A42"),INDIRECT("'"&amp;A83&amp;"'!"&amp;"A20:A42")&lt;$D83))</f>
        <v>300000</v>
      </c>
      <c r="R83" s="97" cm="1">
        <f t="array" aca="1" ref="R83" ca="1">MIN(_xlfn._xlws.FILTER(INDIRECT("'"&amp;A83&amp;"'!"&amp;"A20:A42"),INDIRECT("'"&amp;A83&amp;"'!"&amp;"A20:A42")&gt;=$D83))</f>
        <v>450000</v>
      </c>
    </row>
    <row r="84" spans="1:18" x14ac:dyDescent="0.25">
      <c r="A84" s="97" t="s">
        <v>283</v>
      </c>
      <c r="B84" s="391" t="s">
        <v>173</v>
      </c>
      <c r="C84" s="392" t="s">
        <v>285</v>
      </c>
      <c r="D84" s="356">
        <v>1971032.7315392788</v>
      </c>
      <c r="E84" s="359">
        <f>F84/VAC_Optim_Scenario!$F$32</f>
        <v>85299.796462300597</v>
      </c>
      <c r="F84" s="356">
        <v>19272636.012692198</v>
      </c>
      <c r="G84" s="362">
        <f t="shared" si="14"/>
        <v>9.7779380850977677</v>
      </c>
      <c r="H84" s="439">
        <f t="shared" si="15"/>
        <v>9.6933327282808703E-3</v>
      </c>
      <c r="I84" s="365">
        <f t="shared" si="16"/>
        <v>23.107121157204677</v>
      </c>
      <c r="J84" s="416">
        <f ca="1">(VLOOKUP($Q84,INDIRECT("'"&amp;A84&amp;"'!"&amp;"A20:E42"),3,0)-VLOOKUP($R84,INDIRECT("'"&amp;A84&amp;"'!"&amp;"A20:E42"),3,0))/(Q84-R84)</f>
        <v>5.955072086481862</v>
      </c>
      <c r="Q84" s="97" cm="1">
        <f t="array" aca="1" ref="Q84" ca="1">MAX(_xlfn._xlws.FILTER(INDIRECT("'"&amp;A84&amp;"'!"&amp;"A20:A42"),INDIRECT("'"&amp;A84&amp;"'!"&amp;"A20:A42")&lt;$D84))</f>
        <v>1800000</v>
      </c>
      <c r="R84" s="97" cm="1">
        <f t="array" aca="1" ref="R84" ca="1">MIN(_xlfn._xlws.FILTER(INDIRECT("'"&amp;A84&amp;"'!"&amp;"A20:A42"),INDIRECT("'"&amp;A84&amp;"'!"&amp;"A20:A42")&gt;=$D84))</f>
        <v>2000000</v>
      </c>
    </row>
    <row r="85" spans="1:18" x14ac:dyDescent="0.25">
      <c r="A85" s="97" t="s">
        <v>284</v>
      </c>
      <c r="B85" s="391" t="s">
        <v>173</v>
      </c>
      <c r="C85" s="392" t="s">
        <v>187</v>
      </c>
      <c r="D85" s="356">
        <v>14861790</v>
      </c>
      <c r="E85" s="359">
        <f>F85/VAC_Optim_Scenario!$F$32</f>
        <v>271289.99209866516</v>
      </c>
      <c r="F85" s="356">
        <v>61295260.814772405</v>
      </c>
      <c r="G85" s="362">
        <f t="shared" si="14"/>
        <v>4.1243525049655796</v>
      </c>
      <c r="H85" s="439">
        <f t="shared" si="15"/>
        <v>3.0828961713024523E-2</v>
      </c>
      <c r="I85" s="365">
        <f t="shared" si="16"/>
        <v>54.78193237071175</v>
      </c>
      <c r="J85" s="416">
        <f ca="1">(VLOOKUP($Q85,INDIRECT("'"&amp;A85&amp;"'!"&amp;"A20:E42"),3,0)-VLOOKUP($R85,INDIRECT("'"&amp;A85&amp;"'!"&amp;"A20:E42"),3,0))/(Q85-R85)</f>
        <v>2.9163939951273141</v>
      </c>
      <c r="Q85" s="97" cm="1">
        <f t="array" aca="1" ref="Q85" ca="1">MAX(_xlfn._xlws.FILTER(INDIRECT("'"&amp;A85&amp;"'!"&amp;"A20:A42"),INDIRECT("'"&amp;A85&amp;"'!"&amp;"A20:A42")&lt;$D85))</f>
        <v>13750000</v>
      </c>
      <c r="R85" s="97" cm="1">
        <f t="array" aca="1" ref="R85" ca="1">MIN(_xlfn._xlws.FILTER(INDIRECT("'"&amp;A85&amp;"'!"&amp;"A20:A42"),INDIRECT("'"&amp;A85&amp;"'!"&amp;"A20:A42")&gt;=$D85))</f>
        <v>15000000</v>
      </c>
    </row>
    <row r="86" spans="1:18" ht="15.75" x14ac:dyDescent="0.25">
      <c r="B86" s="425" t="s">
        <v>154</v>
      </c>
      <c r="C86" s="426" t="s">
        <v>229</v>
      </c>
      <c r="D86" s="427">
        <f>SUM(D77:D85)</f>
        <v>38000000.008239076</v>
      </c>
      <c r="E86" s="428">
        <f>SUM(E77:E85)</f>
        <v>1276061.2961730978</v>
      </c>
      <c r="F86" s="427">
        <f>SUM(F77:F85)</f>
        <v>288313289.25734973</v>
      </c>
      <c r="G86" s="429">
        <f t="shared" si="14"/>
        <v>7.5871918209167966</v>
      </c>
      <c r="H86" s="430">
        <f t="shared" si="15"/>
        <v>0.14500956905511461</v>
      </c>
      <c r="I86" s="431">
        <f t="shared" si="16"/>
        <v>29.779133747102048</v>
      </c>
      <c r="J86" s="432"/>
    </row>
    <row r="87" spans="1:18" x14ac:dyDescent="0.25">
      <c r="G87" s="97">
        <f>F86/D86</f>
        <v>7.5871918209167966</v>
      </c>
    </row>
    <row r="90" spans="1:18" x14ac:dyDescent="0.25">
      <c r="D90" s="479" t="s">
        <v>303</v>
      </c>
      <c r="E90" s="479"/>
      <c r="F90" s="479"/>
      <c r="G90" s="479"/>
      <c r="H90" s="479"/>
      <c r="I90" s="479"/>
    </row>
    <row r="91" spans="1:18" ht="60" x14ac:dyDescent="0.25">
      <c r="B91" s="433" t="s">
        <v>2</v>
      </c>
      <c r="C91" s="434" t="s">
        <v>3</v>
      </c>
      <c r="D91" s="434" t="s">
        <v>267</v>
      </c>
      <c r="E91" s="434" t="s">
        <v>268</v>
      </c>
      <c r="F91" s="434" t="s">
        <v>272</v>
      </c>
      <c r="G91" s="434" t="s">
        <v>269</v>
      </c>
      <c r="H91" s="434" t="s">
        <v>221</v>
      </c>
      <c r="I91" s="434" t="s">
        <v>222</v>
      </c>
      <c r="J91" s="435" t="s">
        <v>206</v>
      </c>
    </row>
    <row r="92" spans="1:18" x14ac:dyDescent="0.25">
      <c r="A92" s="97" t="s">
        <v>277</v>
      </c>
      <c r="B92" s="391" t="s">
        <v>173</v>
      </c>
      <c r="C92" s="392" t="s">
        <v>223</v>
      </c>
      <c r="D92" s="356">
        <v>1000000</v>
      </c>
      <c r="E92" s="359">
        <f>F92/VAC_Optim_Scenario!$F$32</f>
        <v>22310.299479529262</v>
      </c>
      <c r="F92" s="356">
        <v>5040789.0644048415</v>
      </c>
      <c r="G92" s="362">
        <f>F92/D92</f>
        <v>5.0407890644048416</v>
      </c>
      <c r="H92" s="438">
        <f>E92/$L$3</f>
        <v>2.5353068247735882E-3</v>
      </c>
      <c r="I92" s="365">
        <f>D92/E92</f>
        <v>44.822347674783416</v>
      </c>
      <c r="J92" s="415">
        <f ca="1">(VLOOKUP($Q92,INDIRECT("'"&amp;A92&amp;"'!"&amp;"A20:E42"),5,0)-VLOOKUP($R92,INDIRECT("'"&amp;A92&amp;"'!"&amp;"A20:E42"),5,0))/(Q92-R92)</f>
        <v>4.2588353994034396</v>
      </c>
      <c r="Q92" s="97" cm="1">
        <f t="array" aca="1" ref="Q92" ca="1">MAX(_xlfn._xlws.FILTER(INDIRECT("'"&amp;A92&amp;"'!"&amp;"A20:A42"),INDIRECT("'"&amp;A92&amp;"'!"&amp;"A20:A42")&lt;$D92))</f>
        <v>800000</v>
      </c>
      <c r="R92" s="97" cm="1">
        <f t="array" aca="1" ref="R92" ca="1">MIN(_xlfn._xlws.FILTER(INDIRECT("'"&amp;A92&amp;"'!"&amp;"A20:A42"),INDIRECT("'"&amp;A92&amp;"'!"&amp;"A20:A42")&gt;=$D92))</f>
        <v>1000000</v>
      </c>
    </row>
    <row r="93" spans="1:18" x14ac:dyDescent="0.25">
      <c r="A93" s="97" t="s">
        <v>278</v>
      </c>
      <c r="B93" s="391" t="s">
        <v>173</v>
      </c>
      <c r="C93" s="392" t="s">
        <v>224</v>
      </c>
      <c r="D93" s="356">
        <v>8750000</v>
      </c>
      <c r="E93" s="359">
        <f>F93/VAC_Optim_Scenario!$F$32</f>
        <v>379735.43931977358</v>
      </c>
      <c r="F93" s="356">
        <v>85797425.159909636</v>
      </c>
      <c r="G93" s="362">
        <f t="shared" ref="G93:G101" si="18">F93/D93</f>
        <v>9.8054200182753863</v>
      </c>
      <c r="H93" s="439">
        <f t="shared" ref="H93:H101" si="19">E93/$L$3</f>
        <v>4.3152529252204024E-2</v>
      </c>
      <c r="I93" s="365">
        <f t="shared" ref="I93:I101" si="20">D93/E93</f>
        <v>23.042358163025344</v>
      </c>
      <c r="J93" s="416">
        <f t="shared" ref="J93:J95" ca="1" si="21">(VLOOKUP($Q93,INDIRECT("'"&amp;A93&amp;"'!"&amp;"A20:E42"),5,0)-VLOOKUP($R93,INDIRECT("'"&amp;A93&amp;"'!"&amp;"A20:E42"),5,0))/(Q93-R93)</f>
        <v>5.0580985034890311</v>
      </c>
      <c r="Q93" s="97" cm="1">
        <f t="array" aca="1" ref="Q93" ca="1">MAX(_xlfn._xlws.FILTER(INDIRECT("'"&amp;A93&amp;"'!"&amp;"A20:A42"),INDIRECT("'"&amp;A93&amp;"'!"&amp;"A20:A42")&lt;$D93))</f>
        <v>8550000</v>
      </c>
      <c r="R93" s="97" cm="1">
        <f t="array" aca="1" ref="R93" ca="1">MIN(_xlfn._xlws.FILTER(INDIRECT("'"&amp;A93&amp;"'!"&amp;"A20:A42"),INDIRECT("'"&amp;A93&amp;"'!"&amp;"A20:A42")&gt;=$D93))</f>
        <v>9000000</v>
      </c>
    </row>
    <row r="94" spans="1:18" x14ac:dyDescent="0.25">
      <c r="A94" s="97" t="s">
        <v>281</v>
      </c>
      <c r="B94" s="391" t="s">
        <v>173</v>
      </c>
      <c r="C94" s="392" t="s">
        <v>225</v>
      </c>
      <c r="D94" s="356">
        <v>2334495.9858692377</v>
      </c>
      <c r="E94" s="359">
        <f>F94/VAC_Optim_Scenario!$F$32</f>
        <v>81308.598139807553</v>
      </c>
      <c r="F94" s="356">
        <v>18370864.663708117</v>
      </c>
      <c r="G94" s="362">
        <f t="shared" si="18"/>
        <v>7.8693065976156813</v>
      </c>
      <c r="H94" s="439">
        <f t="shared" si="19"/>
        <v>9.2397793210159396E-3</v>
      </c>
      <c r="I94" s="365">
        <f t="shared" si="20"/>
        <v>28.71155129073983</v>
      </c>
      <c r="J94" s="416">
        <f ca="1">(VLOOKUP($Q94,INDIRECT("'"&amp;A94&amp;"'!"&amp;"A20:E42"),3,0)-VLOOKUP($R94,INDIRECT("'"&amp;A94&amp;"'!"&amp;"A20:E42"),3,0))/(Q94-R94)</f>
        <v>4.6904220107766088</v>
      </c>
      <c r="Q94" s="97" cm="1">
        <f t="array" aca="1" ref="Q94" ca="1">MAX(_xlfn._xlws.FILTER(INDIRECT("'"&amp;A94&amp;"'!"&amp;"A20:A42"),INDIRECT("'"&amp;A94&amp;"'!"&amp;"A20:A42")&lt;$D94))</f>
        <v>2250000</v>
      </c>
      <c r="R94" s="97" cm="1">
        <f t="array" aca="1" ref="R94" ca="1">MIN(_xlfn._xlws.FILTER(INDIRECT("'"&amp;A94&amp;"'!"&amp;"A20:A42"),INDIRECT("'"&amp;A94&amp;"'!"&amp;"A20:A42")&gt;=$D94))</f>
        <v>2500000</v>
      </c>
    </row>
    <row r="95" spans="1:18" x14ac:dyDescent="0.25">
      <c r="A95" s="97" t="s">
        <v>279</v>
      </c>
      <c r="B95" s="391" t="s">
        <v>173</v>
      </c>
      <c r="C95" s="392" t="s">
        <v>243</v>
      </c>
      <c r="D95" s="356">
        <v>500000</v>
      </c>
      <c r="E95" s="359">
        <f>F95/VAC_Optim_Scenario!$F$32</f>
        <v>13095.1080400832</v>
      </c>
      <c r="F95" s="356">
        <v>2958708.7105763983</v>
      </c>
      <c r="G95" s="362">
        <f t="shared" si="18"/>
        <v>5.9174174211527966</v>
      </c>
      <c r="H95" s="439">
        <f t="shared" si="19"/>
        <v>1.4881071773883213E-3</v>
      </c>
      <c r="I95" s="365">
        <f t="shared" si="20"/>
        <v>38.182197387721835</v>
      </c>
      <c r="J95" s="416">
        <f t="shared" ca="1" si="21"/>
        <v>2.1230601661533521</v>
      </c>
      <c r="Q95" s="97" cm="1">
        <f t="array" aca="1" ref="Q95" ca="1">MAX(_xlfn._xlws.FILTER(INDIRECT("'"&amp;A95&amp;"'!"&amp;"A20:A42"),INDIRECT("'"&amp;A95&amp;"'!"&amp;"A20:A42")&lt;$D95))</f>
        <v>415405.44738459925</v>
      </c>
      <c r="R95" s="97" cm="1">
        <f t="array" aca="1" ref="R95" ca="1">MIN(_xlfn._xlws.FILTER(INDIRECT("'"&amp;A95&amp;"'!"&amp;"A20:A42"),INDIRECT("'"&amp;A95&amp;"'!"&amp;"A20:A42")&gt;=$D95))</f>
        <v>519256.80923074903</v>
      </c>
    </row>
    <row r="96" spans="1:18" x14ac:dyDescent="0.25">
      <c r="A96" s="97" t="s">
        <v>288</v>
      </c>
      <c r="B96" s="391" t="s">
        <v>173</v>
      </c>
      <c r="C96" s="392" t="s">
        <v>245</v>
      </c>
      <c r="D96" s="356">
        <v>6463714</v>
      </c>
      <c r="E96" s="359">
        <f>F96/VAC_Optim_Scenario!$F$32</f>
        <v>149272.39229083114</v>
      </c>
      <c r="F96" s="356">
        <v>33726604.314190388</v>
      </c>
      <c r="G96" s="362">
        <f t="shared" si="18"/>
        <v>5.2178367288822471</v>
      </c>
      <c r="H96" s="439">
        <f t="shared" si="19"/>
        <v>1.6963076415557363E-2</v>
      </c>
      <c r="I96" s="365">
        <f t="shared" si="20"/>
        <v>43.301469888729216</v>
      </c>
      <c r="J96" s="416">
        <f ca="1">(VLOOKUP($Q96,INDIRECT("'"&amp;A96&amp;"'!"&amp;"A20:E42"),3,0)-VLOOKUP($R96,INDIRECT("'"&amp;A96&amp;"'!"&amp;"A20:E42"),3,0))/(Q96-R96)</f>
        <v>3.6898979193167833</v>
      </c>
      <c r="Q96" s="97" cm="1">
        <f t="array" aca="1" ref="Q96" ca="1">MAX(_xlfn._xlws.FILTER(INDIRECT("'"&amp;A96&amp;"'!"&amp;"A20:A42"),INDIRECT("'"&amp;A96&amp;"'!"&amp;"A20:A42")&lt;$D96))</f>
        <v>6000000</v>
      </c>
      <c r="R96" s="97" cm="1">
        <f t="array" aca="1" ref="R96" ca="1">MIN(_xlfn._xlws.FILTER(INDIRECT("'"&amp;A96&amp;"'!"&amp;"A20:A42"),INDIRECT("'"&amp;A96&amp;"'!"&amp;"A20:A42")&gt;=$D96))</f>
        <v>6500000</v>
      </c>
    </row>
    <row r="97" spans="1:18" x14ac:dyDescent="0.25">
      <c r="A97" s="97" t="s">
        <v>280</v>
      </c>
      <c r="B97" s="391" t="s">
        <v>173</v>
      </c>
      <c r="C97" s="392" t="s">
        <v>226</v>
      </c>
      <c r="D97" s="356">
        <v>3500000</v>
      </c>
      <c r="E97" s="359">
        <f>F97/VAC_Optim_Scenario!$F$32</f>
        <v>172806.84541229345</v>
      </c>
      <c r="F97" s="356">
        <v>39043978.652453579</v>
      </c>
      <c r="G97" s="362">
        <f t="shared" si="18"/>
        <v>11.155422472129594</v>
      </c>
      <c r="H97" s="439">
        <f t="shared" si="19"/>
        <v>1.9637494106404804E-2</v>
      </c>
      <c r="I97" s="365">
        <f t="shared" si="20"/>
        <v>20.253827281260065</v>
      </c>
      <c r="J97" s="416">
        <f ca="1">(VLOOKUP($Q97,INDIRECT("'"&amp;A97&amp;"'!"&amp;"A20:E100"),5,0)-VLOOKUP($R97,INDIRECT("'"&amp;A97&amp;"'!"&amp;"A20:E100"),5,0))/(Q97-R97)</f>
        <v>6.2493452356722443</v>
      </c>
      <c r="Q97" s="97" cm="1">
        <f t="array" aca="1" ref="Q97" ca="1">MAX(_xlfn._xlws.FILTER(INDIRECT("'"&amp;A97&amp;"'!"&amp;"A20:A100"),INDIRECT("'"&amp;A97&amp;"'!"&amp;"A20:A100")&lt;$D97))</f>
        <v>3427094.9409229401</v>
      </c>
      <c r="R97" s="97" cm="1">
        <f t="array" aca="1" ref="R97" ca="1">MIN(_xlfn._xlws.FILTER(INDIRECT("'"&amp;A97&amp;"'!"&amp;"A20:A100"),INDIRECT("'"&amp;A97&amp;"'!"&amp;"A20:A100")&gt;=$D97))</f>
        <v>3530946.30276909</v>
      </c>
    </row>
    <row r="98" spans="1:18" x14ac:dyDescent="0.25">
      <c r="A98" s="97" t="s">
        <v>282</v>
      </c>
      <c r="B98" s="391" t="s">
        <v>173</v>
      </c>
      <c r="C98" s="392" t="s">
        <v>227</v>
      </c>
      <c r="D98" s="356">
        <v>390000</v>
      </c>
      <c r="E98" s="359">
        <f>F98/VAC_Optim_Scenario!$F$32</f>
        <v>142490.56083211911</v>
      </c>
      <c r="F98" s="356">
        <v>32194317.314408991</v>
      </c>
      <c r="G98" s="362">
        <f t="shared" si="18"/>
        <v>82.54953157540767</v>
      </c>
      <c r="H98" s="439">
        <f t="shared" si="19"/>
        <v>1.6192399912648332E-2</v>
      </c>
      <c r="I98" s="365">
        <f t="shared" si="20"/>
        <v>2.7370234050765925</v>
      </c>
      <c r="J98" s="416">
        <f ca="1">(VLOOKUP($Q98,INDIRECT("'"&amp;A98&amp;"'!"&amp;"A20:E42"),3,0)-VLOOKUP($R98,INDIRECT("'"&amp;A98&amp;"'!"&amp;"A20:E42"),3,0))/(Q98-R98)</f>
        <v>58.622972004453118</v>
      </c>
      <c r="Q98" s="97" cm="1">
        <f t="array" aca="1" ref="Q98" ca="1">MAX(_xlfn._xlws.FILTER(INDIRECT("'"&amp;A98&amp;"'!"&amp;"A20:A42"),INDIRECT("'"&amp;A98&amp;"'!"&amp;"A20:A42")&lt;$D98))</f>
        <v>300000</v>
      </c>
      <c r="R98" s="97" cm="1">
        <f t="array" aca="1" ref="R98" ca="1">MIN(_xlfn._xlws.FILTER(INDIRECT("'"&amp;A98&amp;"'!"&amp;"A20:A42"),INDIRECT("'"&amp;A98&amp;"'!"&amp;"A20:A42")&gt;=$D98))</f>
        <v>450000</v>
      </c>
    </row>
    <row r="99" spans="1:18" x14ac:dyDescent="0.25">
      <c r="A99" s="97" t="s">
        <v>283</v>
      </c>
      <c r="B99" s="391" t="s">
        <v>173</v>
      </c>
      <c r="C99" s="392" t="s">
        <v>285</v>
      </c>
      <c r="D99" s="356">
        <v>2200000</v>
      </c>
      <c r="E99" s="359">
        <f>F99/VAC_Optim_Scenario!$F$32</f>
        <v>91114.039550668633</v>
      </c>
      <c r="F99" s="356">
        <v>20586306.096078072</v>
      </c>
      <c r="G99" s="362">
        <f t="shared" si="18"/>
        <v>9.3574118618536684</v>
      </c>
      <c r="H99" s="439">
        <f t="shared" si="19"/>
        <v>1.0354054033091574E-2</v>
      </c>
      <c r="I99" s="365">
        <f t="shared" si="20"/>
        <v>24.145565390903091</v>
      </c>
      <c r="J99" s="416">
        <f ca="1">(VLOOKUP($Q99,INDIRECT("'"&amp;A99&amp;"'!"&amp;"A20:E42"),3,0)-VLOOKUP($R99,INDIRECT("'"&amp;A99&amp;"'!"&amp;"A20:E42"),3,0))/(Q99-R99)</f>
        <v>5.7211105468156003</v>
      </c>
      <c r="Q99" s="97" cm="1">
        <f t="array" aca="1" ref="Q99" ca="1">MAX(_xlfn._xlws.FILTER(INDIRECT("'"&amp;A99&amp;"'!"&amp;"A20:A42"),INDIRECT("'"&amp;A99&amp;"'!"&amp;"A20:A42")&lt;$D99))</f>
        <v>2000000</v>
      </c>
      <c r="R99" s="97" cm="1">
        <f t="array" aca="1" ref="R99" ca="1">MIN(_xlfn._xlws.FILTER(INDIRECT("'"&amp;A99&amp;"'!"&amp;"A20:A42"),INDIRECT("'"&amp;A99&amp;"'!"&amp;"A20:A42")&gt;=$D99))</f>
        <v>2200000</v>
      </c>
    </row>
    <row r="100" spans="1:18" x14ac:dyDescent="0.25">
      <c r="A100" s="97" t="s">
        <v>284</v>
      </c>
      <c r="B100" s="391" t="s">
        <v>173</v>
      </c>
      <c r="C100" s="392" t="s">
        <v>187</v>
      </c>
      <c r="D100" s="356">
        <v>14861790</v>
      </c>
      <c r="E100" s="359">
        <f>F100/VAC_Optim_Scenario!$F$32</f>
        <v>271289.99209866516</v>
      </c>
      <c r="F100" s="356">
        <v>61295260.814772405</v>
      </c>
      <c r="G100" s="362">
        <f t="shared" si="18"/>
        <v>4.1243525049655796</v>
      </c>
      <c r="H100" s="439">
        <f t="shared" si="19"/>
        <v>3.0828961713024523E-2</v>
      </c>
      <c r="I100" s="365">
        <f t="shared" si="20"/>
        <v>54.78193237071175</v>
      </c>
      <c r="J100" s="416">
        <f ca="1">(VLOOKUP($Q100,INDIRECT("'"&amp;A100&amp;"'!"&amp;"A20:E42"),3,0)-VLOOKUP($R100,INDIRECT("'"&amp;A100&amp;"'!"&amp;"A20:E42"),3,0))/(Q100-R100)</f>
        <v>2.9163939951273141</v>
      </c>
      <c r="Q100" s="97" cm="1">
        <f t="array" aca="1" ref="Q100" ca="1">MAX(_xlfn._xlws.FILTER(INDIRECT("'"&amp;A100&amp;"'!"&amp;"A20:A42"),INDIRECT("'"&amp;A100&amp;"'!"&amp;"A20:A42")&lt;$D100))</f>
        <v>13750000</v>
      </c>
      <c r="R100" s="97" cm="1">
        <f t="array" aca="1" ref="R100" ca="1">MIN(_xlfn._xlws.FILTER(INDIRECT("'"&amp;A100&amp;"'!"&amp;"A20:A42"),INDIRECT("'"&amp;A100&amp;"'!"&amp;"A20:A42")&gt;=$D100))</f>
        <v>15000000</v>
      </c>
    </row>
    <row r="101" spans="1:18" ht="15.75" x14ac:dyDescent="0.25">
      <c r="B101" s="425" t="s">
        <v>154</v>
      </c>
      <c r="C101" s="426" t="s">
        <v>229</v>
      </c>
      <c r="D101" s="427">
        <v>39999999.985653713</v>
      </c>
      <c r="E101" s="428">
        <f>SUM(E92:E100)</f>
        <v>1323423.2751637709</v>
      </c>
      <c r="F101" s="427">
        <f>SUM(F92:F100)</f>
        <v>299014254.79050243</v>
      </c>
      <c r="G101" s="429">
        <f t="shared" si="18"/>
        <v>7.4753563724436507</v>
      </c>
      <c r="H101" s="430">
        <f t="shared" si="19"/>
        <v>0.15039170875610844</v>
      </c>
      <c r="I101" s="431">
        <f t="shared" si="20"/>
        <v>30.224645989170622</v>
      </c>
      <c r="J101" s="432"/>
    </row>
    <row r="102" spans="1:18" x14ac:dyDescent="0.25">
      <c r="G102" s="97">
        <f>F101/D101</f>
        <v>7.4753563724436507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D67"/>
  <sheetViews>
    <sheetView showGridLines="0" tabSelected="1" topLeftCell="A19" zoomScale="75" zoomScaleNormal="75" workbookViewId="0">
      <selection activeCell="C21" sqref="C21:X21"/>
    </sheetView>
  </sheetViews>
  <sheetFormatPr defaultColWidth="8.7109375" defaultRowHeight="15" x14ac:dyDescent="0.25"/>
  <cols>
    <col min="1" max="1" width="5.28515625" style="97" bestFit="1" customWidth="1"/>
    <col min="2" max="2" width="26.140625" style="97" customWidth="1"/>
    <col min="3" max="3" width="13" style="97" customWidth="1"/>
    <col min="4" max="4" width="14" style="97" customWidth="1"/>
    <col min="5" max="5" width="0.85546875" style="97" customWidth="1"/>
    <col min="6" max="6" width="12.7109375" style="97" bestFit="1" customWidth="1"/>
    <col min="7" max="7" width="12.5703125" style="97" bestFit="1" customWidth="1"/>
    <col min="8" max="8" width="13.85546875" style="97" bestFit="1" customWidth="1"/>
    <col min="9" max="9" width="0.85546875" style="97" customWidth="1"/>
    <col min="10" max="10" width="12.7109375" style="97" bestFit="1" customWidth="1"/>
    <col min="11" max="11" width="12.5703125" style="97" bestFit="1" customWidth="1"/>
    <col min="12" max="12" width="13.85546875" style="97" bestFit="1" customWidth="1"/>
    <col min="13" max="13" width="0.85546875" style="97" customWidth="1"/>
    <col min="14" max="14" width="12.7109375" style="97" hidden="1" customWidth="1"/>
    <col min="15" max="15" width="12.5703125" style="97" hidden="1" customWidth="1"/>
    <col min="16" max="16" width="13.85546875" style="97" hidden="1" customWidth="1"/>
    <col min="17" max="17" width="0.85546875" style="97" hidden="1" customWidth="1"/>
    <col min="18" max="18" width="12.7109375" style="97" bestFit="1" customWidth="1"/>
    <col min="19" max="19" width="12.5703125" style="97" bestFit="1" customWidth="1"/>
    <col min="20" max="20" width="13.85546875" style="97" bestFit="1" customWidth="1"/>
    <col min="21" max="21" width="0.85546875" style="97" customWidth="1"/>
    <col min="22" max="22" width="12.7109375" style="97" bestFit="1" customWidth="1"/>
    <col min="23" max="23" width="12.5703125" style="97" bestFit="1" customWidth="1"/>
    <col min="24" max="24" width="13.85546875" style="97" bestFit="1" customWidth="1"/>
    <col min="25" max="25" width="0.85546875" style="97" customWidth="1"/>
    <col min="26" max="26" width="13.85546875" style="97" bestFit="1" customWidth="1"/>
    <col min="27" max="27" width="17.85546875" style="97" bestFit="1" customWidth="1"/>
    <col min="28" max="28" width="12.5703125" style="97" bestFit="1" customWidth="1"/>
    <col min="29" max="29" width="13.85546875" style="97" bestFit="1" customWidth="1"/>
    <col min="30" max="16384" width="8.7109375" style="97"/>
  </cols>
  <sheetData>
    <row r="3" spans="1:30" x14ac:dyDescent="0.25">
      <c r="B3" s="194">
        <f>SUM(C9:C13)</f>
        <v>10219266.309999999</v>
      </c>
      <c r="C3" s="194">
        <f>SUM(D9:D13)</f>
        <v>458279.13542744814</v>
      </c>
    </row>
    <row r="4" spans="1:30" x14ac:dyDescent="0.25">
      <c r="F4" s="463" t="s">
        <v>287</v>
      </c>
      <c r="G4" s="463"/>
      <c r="H4" s="463"/>
      <c r="I4" s="463"/>
      <c r="J4" s="463"/>
      <c r="K4" s="463"/>
      <c r="L4" s="463"/>
      <c r="M4" s="463"/>
      <c r="N4" s="463"/>
      <c r="O4" s="463"/>
      <c r="P4" s="463"/>
    </row>
    <row r="5" spans="1:30" x14ac:dyDescent="0.25">
      <c r="F5" s="460" t="s">
        <v>286</v>
      </c>
      <c r="G5" s="461"/>
      <c r="H5" s="462"/>
      <c r="I5" s="195"/>
      <c r="J5" s="460" t="s">
        <v>295</v>
      </c>
      <c r="K5" s="461"/>
      <c r="L5" s="462"/>
      <c r="M5" s="195"/>
      <c r="N5" s="460" t="s">
        <v>260</v>
      </c>
      <c r="O5" s="461"/>
      <c r="P5" s="462"/>
      <c r="R5" s="460" t="s">
        <v>299</v>
      </c>
      <c r="S5" s="461"/>
      <c r="T5" s="462"/>
      <c r="U5" s="195"/>
      <c r="V5" s="460" t="s">
        <v>300</v>
      </c>
      <c r="W5" s="461"/>
      <c r="X5" s="462"/>
      <c r="Y5" s="195"/>
      <c r="AA5" s="97" t="s">
        <v>246</v>
      </c>
    </row>
    <row r="6" spans="1:30" ht="38.1" customHeight="1" x14ac:dyDescent="0.25">
      <c r="B6" s="196" t="s">
        <v>210</v>
      </c>
      <c r="C6" s="97" t="s">
        <v>211</v>
      </c>
      <c r="D6" s="197" t="s">
        <v>305</v>
      </c>
      <c r="E6" s="197"/>
      <c r="F6" s="197" t="s">
        <v>220</v>
      </c>
      <c r="G6" s="197" t="s">
        <v>213</v>
      </c>
      <c r="H6" s="197" t="s">
        <v>305</v>
      </c>
      <c r="I6" s="197"/>
      <c r="J6" s="197" t="s">
        <v>220</v>
      </c>
      <c r="K6" s="197" t="s">
        <v>213</v>
      </c>
      <c r="L6" s="197" t="s">
        <v>305</v>
      </c>
      <c r="N6" s="197" t="s">
        <v>220</v>
      </c>
      <c r="O6" s="197" t="s">
        <v>213</v>
      </c>
      <c r="P6" s="197" t="s">
        <v>214</v>
      </c>
      <c r="R6" s="197" t="s">
        <v>220</v>
      </c>
      <c r="S6" s="197" t="s">
        <v>213</v>
      </c>
      <c r="T6" s="197" t="s">
        <v>305</v>
      </c>
      <c r="V6" s="197" t="s">
        <v>220</v>
      </c>
      <c r="W6" s="197" t="s">
        <v>213</v>
      </c>
      <c r="X6" s="197" t="s">
        <v>305</v>
      </c>
      <c r="AA6" s="197" t="s">
        <v>220</v>
      </c>
      <c r="AB6" s="197" t="s">
        <v>213</v>
      </c>
      <c r="AC6" s="197" t="s">
        <v>214</v>
      </c>
    </row>
    <row r="7" spans="1:30" x14ac:dyDescent="0.25">
      <c r="A7" s="194"/>
      <c r="B7" s="198" t="str">
        <f>VAC_Optim_Scenario!B17</f>
        <v>HCC In Office</v>
      </c>
      <c r="C7" s="199">
        <f>VAC_Optim_Scenario!E17</f>
        <v>1755293</v>
      </c>
      <c r="D7" s="440">
        <v>34079.723304951563</v>
      </c>
      <c r="E7" s="199"/>
      <c r="F7" s="199">
        <v>1000000</v>
      </c>
      <c r="G7" s="191">
        <v>-0.43029454341810741</v>
      </c>
      <c r="H7" s="440">
        <v>22310.299479529262</v>
      </c>
      <c r="I7" s="199"/>
      <c r="J7" s="199">
        <v>1000000</v>
      </c>
      <c r="K7" s="191">
        <v>-0.43029454341810741</v>
      </c>
      <c r="L7" s="440">
        <v>22310.299479529262</v>
      </c>
      <c r="N7" s="199">
        <v>1228705.0999999999</v>
      </c>
      <c r="O7" s="191">
        <v>-0.3000000000000001</v>
      </c>
      <c r="P7" s="199">
        <v>5933732.8283146154</v>
      </c>
      <c r="R7" s="199">
        <v>1000000</v>
      </c>
      <c r="S7" s="191">
        <v>-0.43029454341810741</v>
      </c>
      <c r="T7" s="440">
        <v>22310.299479529262</v>
      </c>
      <c r="V7" s="199">
        <v>1000000</v>
      </c>
      <c r="W7" s="191">
        <v>-0.43029454341810741</v>
      </c>
      <c r="X7" s="440">
        <v>22310.299479529262</v>
      </c>
      <c r="Z7" s="437"/>
      <c r="AA7" s="199">
        <f>VAC_Optim_Scenario!$H35</f>
        <v>1000000</v>
      </c>
      <c r="AB7" s="191">
        <f>(AA7-$C7)/$C7</f>
        <v>-0.43029454341810741</v>
      </c>
      <c r="AC7" s="199">
        <f>VAC_Optim_Scenario!$J35</f>
        <v>5040789.0644048415</v>
      </c>
      <c r="AD7" s="194"/>
    </row>
    <row r="8" spans="1:30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440">
        <v>282596.87941192184</v>
      </c>
      <c r="E8" s="199"/>
      <c r="F8" s="199">
        <v>5400000</v>
      </c>
      <c r="G8" s="191">
        <v>6.4538123835786929E-3</v>
      </c>
      <c r="H8" s="440">
        <v>283838.37274381984</v>
      </c>
      <c r="I8" s="199"/>
      <c r="J8" s="199">
        <v>6600872.0516149877</v>
      </c>
      <c r="K8" s="191">
        <v>0.23027274840817019</v>
      </c>
      <c r="L8" s="440">
        <v>323429.4936188375</v>
      </c>
      <c r="N8" s="199">
        <v>5764800.4637740301</v>
      </c>
      <c r="O8" s="191">
        <v>7.4445445258517609E-2</v>
      </c>
      <c r="P8" s="199">
        <v>67005931.278226942</v>
      </c>
      <c r="R8" s="199">
        <v>7713963.2766997935</v>
      </c>
      <c r="S8" s="191">
        <v>0.437731064522487</v>
      </c>
      <c r="T8" s="440">
        <v>354690.90968408715</v>
      </c>
      <c r="V8" s="199">
        <v>8750000</v>
      </c>
      <c r="W8" s="191">
        <v>0.6308279367326507</v>
      </c>
      <c r="X8" s="440">
        <v>379735.43931977358</v>
      </c>
      <c r="Z8" s="437"/>
      <c r="AA8" s="199">
        <f>VAC_Optim_Scenario!$H36</f>
        <v>8750000</v>
      </c>
      <c r="AB8" s="191">
        <f t="shared" ref="AB8:AB15" si="0">(AA8-$C8)/$C8</f>
        <v>0.6308279367326507</v>
      </c>
      <c r="AC8" s="199">
        <f>VAC_Optim_Scenario!$J36</f>
        <v>85797425.159909636</v>
      </c>
      <c r="AD8" s="194"/>
    </row>
    <row r="9" spans="1:30" x14ac:dyDescent="0.25">
      <c r="A9" s="194"/>
      <c r="B9" s="198" t="str">
        <f>VAC_Optim_Scenario!B19</f>
        <v>HCC Social</v>
      </c>
      <c r="C9" s="199">
        <f>VAC_Optim_Scenario!E19</f>
        <v>1873000</v>
      </c>
      <c r="D9" s="440">
        <v>71243.17418511775</v>
      </c>
      <c r="E9" s="199"/>
      <c r="F9" s="199">
        <v>1599500</v>
      </c>
      <c r="G9" s="191">
        <v>-0.14602242391884676</v>
      </c>
      <c r="H9" s="440">
        <v>64805.391873188775</v>
      </c>
      <c r="I9" s="199"/>
      <c r="J9" s="199">
        <v>1599500</v>
      </c>
      <c r="K9" s="191">
        <v>-0.14602242391884676</v>
      </c>
      <c r="L9" s="440">
        <v>64805.391873188775</v>
      </c>
      <c r="N9" s="199">
        <v>1311099.9999999998</v>
      </c>
      <c r="O9" s="191">
        <v>-0.3000000000000001</v>
      </c>
      <c r="P9" s="199">
        <v>12995566.302066876</v>
      </c>
      <c r="R9" s="199">
        <v>1599500</v>
      </c>
      <c r="S9" s="191">
        <v>-0.14602242391884676</v>
      </c>
      <c r="T9" s="440">
        <v>64805.391873188775</v>
      </c>
      <c r="V9" s="199">
        <v>2334495.9858692377</v>
      </c>
      <c r="W9" s="191">
        <v>0.24639401274385353</v>
      </c>
      <c r="X9" s="440">
        <v>81308.598139807553</v>
      </c>
      <c r="Z9" s="437"/>
      <c r="AA9" s="199">
        <f>VAC_Optim_Scenario!$H37</f>
        <v>2334495.9858692377</v>
      </c>
      <c r="AB9" s="191">
        <f t="shared" si="0"/>
        <v>0.24639401274385353</v>
      </c>
      <c r="AC9" s="199">
        <f>VAC_Optim_Scenario!$J37</f>
        <v>18370864.663708117</v>
      </c>
      <c r="AD9" s="194"/>
    </row>
    <row r="10" spans="1:30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440">
        <v>7568.2941111773252</v>
      </c>
      <c r="E10" s="199"/>
      <c r="F10" s="199">
        <v>500000</v>
      </c>
      <c r="G10" s="191">
        <v>1.8888886064197807</v>
      </c>
      <c r="H10" s="440">
        <v>13095.1080400832</v>
      </c>
      <c r="I10" s="199"/>
      <c r="J10" s="199">
        <v>500000</v>
      </c>
      <c r="K10" s="191">
        <v>1.8888886064197807</v>
      </c>
      <c r="L10" s="440">
        <v>13095.1080400832</v>
      </c>
      <c r="N10" s="199">
        <v>144326.36168477585</v>
      </c>
      <c r="O10" s="191">
        <v>-0.16611443624566133</v>
      </c>
      <c r="P10" s="199">
        <v>1501233.1818446149</v>
      </c>
      <c r="R10" s="199">
        <v>500000</v>
      </c>
      <c r="S10" s="191">
        <v>1.8888886064197807</v>
      </c>
      <c r="T10" s="440">
        <v>13095.1080400832</v>
      </c>
      <c r="V10" s="199">
        <v>500000</v>
      </c>
      <c r="W10" s="191">
        <v>1.8888886064197807</v>
      </c>
      <c r="X10" s="440">
        <v>13095.1080400832</v>
      </c>
      <c r="Z10" s="437"/>
      <c r="AA10" s="199">
        <f>VAC_Optim_Scenario!$H38</f>
        <v>500000</v>
      </c>
      <c r="AB10" s="191">
        <f t="shared" si="0"/>
        <v>1.8888886064197807</v>
      </c>
      <c r="AC10" s="199">
        <f>VAC_Optim_Scenario!$J38</f>
        <v>2958708.7105763983</v>
      </c>
      <c r="AD10" s="194"/>
    </row>
    <row r="11" spans="1:30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440">
        <v>144657.20917756393</v>
      </c>
      <c r="E11" s="199"/>
      <c r="F11" s="199">
        <v>6463714</v>
      </c>
      <c r="G11" s="191">
        <v>4.5887259561902066E-2</v>
      </c>
      <c r="H11" s="440">
        <v>149272.39229083114</v>
      </c>
      <c r="I11" s="199"/>
      <c r="J11" s="199">
        <v>6463714.0003559459</v>
      </c>
      <c r="K11" s="191">
        <v>4.5887259619497321E-2</v>
      </c>
      <c r="L11" s="440">
        <v>149272.39229658525</v>
      </c>
      <c r="N11" s="199">
        <v>4326087.5</v>
      </c>
      <c r="O11" s="191">
        <v>-0.3</v>
      </c>
      <c r="P11" s="199">
        <v>25462546.467915077</v>
      </c>
      <c r="R11" s="199">
        <v>6463714</v>
      </c>
      <c r="S11" s="191">
        <v>4.5887259561902066E-2</v>
      </c>
      <c r="T11" s="440">
        <v>149272.39229083114</v>
      </c>
      <c r="V11" s="199">
        <v>6463714</v>
      </c>
      <c r="W11" s="191">
        <v>4.5887259561902066E-2</v>
      </c>
      <c r="X11" s="440">
        <v>149272.39229083114</v>
      </c>
      <c r="Z11" s="437"/>
      <c r="AA11" s="199">
        <f>VAC_Optim_Scenario!$H39</f>
        <v>6463714</v>
      </c>
      <c r="AB11" s="191">
        <f t="shared" si="0"/>
        <v>4.5887259561902066E-2</v>
      </c>
      <c r="AC11" s="199">
        <f>VAC_Optim_Scenario!$J39</f>
        <v>33726604.314190388</v>
      </c>
      <c r="AD11" s="194"/>
    </row>
    <row r="12" spans="1:30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440">
        <v>104116.36986385845</v>
      </c>
      <c r="E12" s="199"/>
      <c r="F12" s="199">
        <v>1500000</v>
      </c>
      <c r="G12" s="191">
        <v>-9.0003158720369056E-2</v>
      </c>
      <c r="H12" s="440">
        <v>96729.945919783786</v>
      </c>
      <c r="I12" s="199"/>
      <c r="J12" s="199">
        <v>3184123.9461473175</v>
      </c>
      <c r="K12" s="191">
        <v>0.93169515549126181</v>
      </c>
      <c r="L12" s="440">
        <v>163686.85548131724</v>
      </c>
      <c r="N12" s="199">
        <v>2142864.5810000002</v>
      </c>
      <c r="O12" s="191">
        <v>0.30000000000000004</v>
      </c>
      <c r="P12" s="199">
        <v>28569508.760968704</v>
      </c>
      <c r="R12" s="199">
        <v>3500000</v>
      </c>
      <c r="S12" s="191">
        <v>1.1233259629858054</v>
      </c>
      <c r="T12" s="440">
        <v>172806.84541229345</v>
      </c>
      <c r="V12" s="199">
        <v>3500000</v>
      </c>
      <c r="W12" s="191">
        <v>1.1233259629858054</v>
      </c>
      <c r="X12" s="440">
        <v>172806.84541229345</v>
      </c>
      <c r="Z12" s="437"/>
      <c r="AA12" s="199">
        <f>VAC_Optim_Scenario!$H40</f>
        <v>3500000</v>
      </c>
      <c r="AB12" s="191">
        <f t="shared" si="0"/>
        <v>1.1233259629858054</v>
      </c>
      <c r="AC12" s="199">
        <f>VAC_Optim_Scenario!$J40</f>
        <v>39043978.652453579</v>
      </c>
      <c r="AD12" s="194"/>
    </row>
    <row r="13" spans="1:30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440">
        <v>130694.08808973072</v>
      </c>
      <c r="E13" s="199"/>
      <c r="F13" s="199">
        <v>300000</v>
      </c>
      <c r="G13" s="191">
        <v>-0.12969565457040327</v>
      </c>
      <c r="H13" s="440">
        <v>118583.90541759934</v>
      </c>
      <c r="I13" s="199"/>
      <c r="J13" s="199">
        <v>390000</v>
      </c>
      <c r="K13" s="191">
        <v>0.13139564905847576</v>
      </c>
      <c r="L13" s="440">
        <v>142490.56083211911</v>
      </c>
      <c r="N13" s="199">
        <v>448119.10000000003</v>
      </c>
      <c r="O13" s="191">
        <v>0.3000000000000001</v>
      </c>
      <c r="P13" s="199">
        <v>35482108.0336392</v>
      </c>
      <c r="R13" s="199">
        <v>390000</v>
      </c>
      <c r="S13" s="191">
        <v>0.13139564905847576</v>
      </c>
      <c r="T13" s="440">
        <v>142490.56083211911</v>
      </c>
      <c r="V13" s="199">
        <v>390000</v>
      </c>
      <c r="W13" s="191">
        <v>0.13139564905847576</v>
      </c>
      <c r="X13" s="440">
        <v>142490.56083211911</v>
      </c>
      <c r="Z13" s="437"/>
      <c r="AA13" s="199">
        <f>VAC_Optim_Scenario!$H41</f>
        <v>390000</v>
      </c>
      <c r="AB13" s="191">
        <f t="shared" si="0"/>
        <v>0.13139564905847576</v>
      </c>
      <c r="AC13" s="199">
        <f>VAC_Optim_Scenario!$J41</f>
        <v>32194317.314408991</v>
      </c>
      <c r="AD13" s="194"/>
    </row>
    <row r="14" spans="1:30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440">
        <v>70569.092436493243</v>
      </c>
      <c r="E14" s="199"/>
      <c r="F14" s="199">
        <v>1400000</v>
      </c>
      <c r="G14" s="191">
        <v>-2.5780906016937815E-2</v>
      </c>
      <c r="H14" s="440">
        <v>69471.794076517137</v>
      </c>
      <c r="I14" s="199"/>
      <c r="J14" s="199">
        <v>1400000</v>
      </c>
      <c r="K14" s="191">
        <v>-2.5780906016937815E-2</v>
      </c>
      <c r="L14" s="440">
        <v>69471.794076517137</v>
      </c>
      <c r="N14" s="199">
        <v>1005933.8870000001</v>
      </c>
      <c r="O14" s="191">
        <v>-0.29999999999999988</v>
      </c>
      <c r="P14" s="199">
        <v>12872606.114547707</v>
      </c>
      <c r="R14" s="199">
        <v>1971032.7315392788</v>
      </c>
      <c r="S14" s="191">
        <v>0.37158408709368312</v>
      </c>
      <c r="T14" s="440">
        <v>85299.796462300597</v>
      </c>
      <c r="V14" s="199">
        <v>2200000</v>
      </c>
      <c r="W14" s="191">
        <v>0.53091571911624058</v>
      </c>
      <c r="X14" s="440">
        <v>91114.039550668633</v>
      </c>
      <c r="Z14" s="437"/>
      <c r="AA14" s="199">
        <f>VAC_Optim_Scenario!$H42</f>
        <v>2200000</v>
      </c>
      <c r="AB14" s="191">
        <f t="shared" si="0"/>
        <v>0.53091571911624058</v>
      </c>
      <c r="AC14" s="199">
        <f>VAC_Optim_Scenario!$J42</f>
        <v>20586306.096078072</v>
      </c>
      <c r="AD14" s="194"/>
    </row>
    <row r="15" spans="1:30" x14ac:dyDescent="0.25">
      <c r="A15" s="194"/>
      <c r="B15" s="198" t="str">
        <f>VAC_Optim_Scenario!B25</f>
        <v>HCC Linear TV</v>
      </c>
      <c r="C15" s="199">
        <f>VAC_Optim_Scenario!E25</f>
        <v>13503524.99</v>
      </c>
      <c r="D15" s="440">
        <v>253686.28893952153</v>
      </c>
      <c r="E15" s="199"/>
      <c r="F15" s="199">
        <v>14861790</v>
      </c>
      <c r="G15" s="191">
        <v>0.10058595892597373</v>
      </c>
      <c r="H15" s="440">
        <v>271289.99209866516</v>
      </c>
      <c r="I15" s="199"/>
      <c r="J15" s="199">
        <v>14861790.00188175</v>
      </c>
      <c r="K15" s="191">
        <v>0.10058595906532625</v>
      </c>
      <c r="L15" s="440">
        <v>271289.99212271004</v>
      </c>
      <c r="N15" s="199">
        <v>9452467.4929999989</v>
      </c>
      <c r="O15" s="191">
        <v>-0.3000000000000001</v>
      </c>
      <c r="P15" s="199">
        <v>44653833.41155564</v>
      </c>
      <c r="R15" s="199">
        <v>14861790</v>
      </c>
      <c r="S15" s="191">
        <v>0.10058595892597373</v>
      </c>
      <c r="T15" s="440">
        <v>271289.99209866516</v>
      </c>
      <c r="V15" s="199">
        <v>14861790</v>
      </c>
      <c r="W15" s="191">
        <v>0.10058595892597373</v>
      </c>
      <c r="X15" s="440">
        <v>271289.99209866516</v>
      </c>
      <c r="Z15" s="437"/>
      <c r="AA15" s="199">
        <f>VAC_Optim_Scenario!$H43</f>
        <v>14861790</v>
      </c>
      <c r="AB15" s="191">
        <f t="shared" si="0"/>
        <v>0.10058595892597373</v>
      </c>
      <c r="AC15" s="199">
        <f>VAC_Optim_Scenario!$J43</f>
        <v>61295260.814772405</v>
      </c>
      <c r="AD15" s="194"/>
    </row>
    <row r="16" spans="1:30" ht="34.35" customHeight="1" x14ac:dyDescent="0.25">
      <c r="B16" s="201" t="s">
        <v>216</v>
      </c>
      <c r="C16" s="202">
        <f>SUM(C7:C15)</f>
        <v>32280505.600000001</v>
      </c>
      <c r="D16" s="202">
        <f>SUM(D7:D15)</f>
        <v>1099211.1195203364</v>
      </c>
      <c r="E16" s="193"/>
      <c r="F16" s="202">
        <f>SUM(F7:F15)</f>
        <v>33025004</v>
      </c>
      <c r="G16" s="203">
        <f>(F16-$C$16)/$C$16</f>
        <v>2.3063405797460572E-2</v>
      </c>
      <c r="H16" s="441">
        <f>SUM(H7:H15)</f>
        <v>1089397.2019400175</v>
      </c>
      <c r="I16" s="193"/>
      <c r="J16" s="202">
        <f>SUM(J7:J15)</f>
        <v>36000000</v>
      </c>
      <c r="K16" s="203">
        <f>(J16-$C$16)/$C$16</f>
        <v>0.11522416798824855</v>
      </c>
      <c r="L16" s="441">
        <f>SUM(L7:L15)</f>
        <v>1219851.8878208876</v>
      </c>
      <c r="M16" s="193"/>
      <c r="N16" s="202">
        <f>SUM(N7:N15)</f>
        <v>25824404.486458804</v>
      </c>
      <c r="O16" s="203">
        <f>(N16-$C$16)/$C$16</f>
        <v>-0.19999999979991628</v>
      </c>
      <c r="P16" s="202">
        <f>SUM(P7:P15)</f>
        <v>234477066.37907937</v>
      </c>
      <c r="Q16" s="193"/>
      <c r="R16" s="212">
        <f>SUM(R7:R15)</f>
        <v>38000000.008239076</v>
      </c>
      <c r="S16" s="203">
        <f>(R16-$C$16)/$C$16</f>
        <v>0.17718106646505172</v>
      </c>
      <c r="T16" s="441">
        <f>SUM(T7:T15)</f>
        <v>1276061.2961730978</v>
      </c>
      <c r="U16" s="193"/>
      <c r="V16" s="202">
        <f>SUM(V7:V15)</f>
        <v>39999999.985869236</v>
      </c>
      <c r="W16" s="203">
        <f>(V16-$C$16)/$C$16</f>
        <v>0.23913796399363815</v>
      </c>
      <c r="X16" s="441">
        <f>SUM(X7:X15)</f>
        <v>1323423.2751637709</v>
      </c>
      <c r="Y16" s="193"/>
      <c r="Z16" s="194"/>
      <c r="AA16" s="202">
        <f>SUM(AA7:AA15)</f>
        <v>39999999.985869236</v>
      </c>
      <c r="AB16" s="203">
        <f>(AA16-$C$16)/$C$16</f>
        <v>0.23913796399363815</v>
      </c>
      <c r="AC16" s="202">
        <f>SUM(AC7:AC15)</f>
        <v>299014254.79050243</v>
      </c>
    </row>
    <row r="18" spans="1:27" x14ac:dyDescent="0.25">
      <c r="J18" s="194"/>
      <c r="R18" s="194"/>
    </row>
    <row r="19" spans="1:27" ht="15" customHeight="1" x14ac:dyDescent="0.25">
      <c r="B19" s="397"/>
      <c r="C19" s="397"/>
      <c r="D19" s="397"/>
      <c r="E19" s="397"/>
      <c r="F19" s="483" t="str">
        <f>F4</f>
        <v>Optimal channel spend allowed to vary based on custom limits  for 2023 channel spend</v>
      </c>
      <c r="G19" s="484"/>
      <c r="H19" s="484"/>
      <c r="I19" s="484"/>
      <c r="J19" s="484"/>
      <c r="K19" s="484"/>
      <c r="L19" s="484"/>
      <c r="M19" s="484"/>
      <c r="N19" s="484"/>
      <c r="O19" s="484"/>
      <c r="P19" s="484"/>
      <c r="Q19" s="484"/>
      <c r="R19" s="484"/>
      <c r="S19" s="484"/>
      <c r="T19" s="484"/>
      <c r="U19" s="484"/>
      <c r="V19" s="484"/>
      <c r="W19" s="484"/>
      <c r="X19" s="485"/>
      <c r="Y19"/>
      <c r="AA19" s="371"/>
    </row>
    <row r="20" spans="1:27" ht="30.4" customHeight="1" x14ac:dyDescent="0.25">
      <c r="B20" s="397"/>
      <c r="C20" s="486" t="s">
        <v>270</v>
      </c>
      <c r="D20" s="487"/>
      <c r="E20" s="374"/>
      <c r="F20" s="480" t="str">
        <f>F5</f>
        <v>1M increase In spend (33M)</v>
      </c>
      <c r="G20" s="481"/>
      <c r="H20" s="482"/>
      <c r="I20" s="398"/>
      <c r="J20" s="480" t="str">
        <f>J5</f>
        <v xml:space="preserve">4M increase in Spend (36M) </v>
      </c>
      <c r="K20" s="481"/>
      <c r="L20" s="482"/>
      <c r="M20" s="398"/>
      <c r="N20" s="480" t="str">
        <f>N5</f>
        <v>20% reduction optimal ($26M)</v>
      </c>
      <c r="O20" s="481"/>
      <c r="P20" s="482"/>
      <c r="Q20" s="397"/>
      <c r="R20" s="480" t="str">
        <f>R5</f>
        <v xml:space="preserve">6M increase in Spend (38M) </v>
      </c>
      <c r="S20" s="481"/>
      <c r="T20" s="482"/>
      <c r="U20" s="398"/>
      <c r="V20" s="480" t="str">
        <f>V5</f>
        <v xml:space="preserve">8M increase in Spend (40M) </v>
      </c>
      <c r="W20" s="481"/>
      <c r="X20" s="482"/>
      <c r="Y20" s="205"/>
    </row>
    <row r="21" spans="1:27" ht="25.5" x14ac:dyDescent="0.25">
      <c r="B21" s="381" t="s">
        <v>210</v>
      </c>
      <c r="C21" s="399" t="s">
        <v>217</v>
      </c>
      <c r="D21" s="444" t="s">
        <v>312</v>
      </c>
      <c r="E21" s="378"/>
      <c r="F21" s="379" t="s">
        <v>220</v>
      </c>
      <c r="G21" s="380" t="s">
        <v>213</v>
      </c>
      <c r="H21" s="444" t="s">
        <v>312</v>
      </c>
      <c r="I21" s="378"/>
      <c r="J21" s="379" t="s">
        <v>220</v>
      </c>
      <c r="K21" s="380" t="s">
        <v>213</v>
      </c>
      <c r="L21" s="444" t="s">
        <v>312</v>
      </c>
      <c r="M21" s="392"/>
      <c r="N21" s="379" t="s">
        <v>220</v>
      </c>
      <c r="O21" s="380" t="s">
        <v>213</v>
      </c>
      <c r="P21" s="400" t="s">
        <v>214</v>
      </c>
      <c r="Q21" s="397"/>
      <c r="R21" s="379" t="s">
        <v>220</v>
      </c>
      <c r="S21" s="380" t="s">
        <v>213</v>
      </c>
      <c r="T21" s="444" t="s">
        <v>312</v>
      </c>
      <c r="U21" s="392"/>
      <c r="V21" s="379" t="s">
        <v>220</v>
      </c>
      <c r="W21" s="380" t="s">
        <v>213</v>
      </c>
      <c r="X21" s="444" t="s">
        <v>312</v>
      </c>
      <c r="Y21" s="193"/>
    </row>
    <row r="22" spans="1:27" x14ac:dyDescent="0.25">
      <c r="A22" s="186">
        <f>D22/C22</f>
        <v>19.415404325631997</v>
      </c>
      <c r="B22" s="401" t="str">
        <f>B7</f>
        <v>HCC In Office</v>
      </c>
      <c r="C22" s="448">
        <f>C7/1000000</f>
        <v>1.755293</v>
      </c>
      <c r="D22" s="452">
        <f>D7/1000</f>
        <v>34.079723304951564</v>
      </c>
      <c r="E22" s="402"/>
      <c r="F22" s="384">
        <f>F7/1000000</f>
        <v>1</v>
      </c>
      <c r="G22" s="385">
        <f>G7</f>
        <v>-0.43029454341810741</v>
      </c>
      <c r="H22" s="452">
        <f>H7/1000</f>
        <v>22.310299479529263</v>
      </c>
      <c r="I22" s="402"/>
      <c r="J22" s="384">
        <f>J7/1000000</f>
        <v>1</v>
      </c>
      <c r="K22" s="450">
        <f>K7</f>
        <v>-0.43029454341810741</v>
      </c>
      <c r="L22" s="453">
        <f>L7/1000</f>
        <v>22.310299479529263</v>
      </c>
      <c r="M22" s="392"/>
      <c r="N22" s="384">
        <f>N7/1000000</f>
        <v>1.2287050999999998</v>
      </c>
      <c r="O22" s="385">
        <f>O7</f>
        <v>-0.3000000000000001</v>
      </c>
      <c r="P22" s="403">
        <f>P7/1000000</f>
        <v>5.9337328283146151</v>
      </c>
      <c r="Q22" s="392"/>
      <c r="R22" s="384">
        <f>R7/1000000</f>
        <v>1</v>
      </c>
      <c r="S22" s="450">
        <f>S7</f>
        <v>-0.43029454341810741</v>
      </c>
      <c r="T22" s="453">
        <f>T7/1000</f>
        <v>22.310299479529263</v>
      </c>
      <c r="U22" s="392"/>
      <c r="V22" s="384">
        <f>V7/1000000</f>
        <v>1</v>
      </c>
      <c r="W22" s="450">
        <f>W7</f>
        <v>-0.43029454341810741</v>
      </c>
      <c r="X22" s="453">
        <f>X7/1000</f>
        <v>22.310299479529263</v>
      </c>
      <c r="Y22" s="193"/>
      <c r="AA22"/>
    </row>
    <row r="23" spans="1:27" x14ac:dyDescent="0.25">
      <c r="A23" s="186">
        <f t="shared" ref="A23:A30" si="1">D23/C23</f>
        <v>52.670501231820595</v>
      </c>
      <c r="B23" s="404" t="str">
        <f t="shared" ref="B23:B30" si="2">B8</f>
        <v>HCP MCM</v>
      </c>
      <c r="C23" s="449">
        <f t="shared" ref="C23" si="3">C8/1000000</f>
        <v>5.3653728900000006</v>
      </c>
      <c r="D23" s="452">
        <f t="shared" ref="D23:D30" si="4">D8/1000</f>
        <v>282.59687941192186</v>
      </c>
      <c r="E23" s="402"/>
      <c r="F23" s="405">
        <f t="shared" ref="F23:F30" si="5">F8/1000000</f>
        <v>5.4</v>
      </c>
      <c r="G23" s="406">
        <f t="shared" ref="G23:G30" si="6">G8</f>
        <v>6.4538123835786929E-3</v>
      </c>
      <c r="H23" s="452">
        <f t="shared" ref="H23:H30" si="7">H8/1000</f>
        <v>283.83837274381983</v>
      </c>
      <c r="I23" s="402"/>
      <c r="J23" s="405">
        <f t="shared" ref="J23:J30" si="8">J8/1000000</f>
        <v>6.6008720516149877</v>
      </c>
      <c r="K23" s="451">
        <f t="shared" ref="K23:K30" si="9">K8</f>
        <v>0.23027274840817019</v>
      </c>
      <c r="L23" s="453">
        <f t="shared" ref="L23:L30" si="10">L8/1000</f>
        <v>323.42949361883751</v>
      </c>
      <c r="M23" s="392"/>
      <c r="N23" s="405">
        <f t="shared" ref="N23:N30" si="11">N8/1000000</f>
        <v>5.76480046377403</v>
      </c>
      <c r="O23" s="406">
        <f t="shared" ref="O23:O30" si="12">O8</f>
        <v>7.4445445258517609E-2</v>
      </c>
      <c r="P23" s="407">
        <f t="shared" ref="P23:P30" si="13">P8/1000000</f>
        <v>67.005931278226939</v>
      </c>
      <c r="Q23" s="392"/>
      <c r="R23" s="405">
        <f t="shared" ref="R23:R30" si="14">R8/1000000</f>
        <v>7.7139632766997934</v>
      </c>
      <c r="S23" s="451">
        <f t="shared" ref="S23:S30" si="15">S8</f>
        <v>0.437731064522487</v>
      </c>
      <c r="T23" s="453">
        <f t="shared" ref="T23:T30" si="16">T8/1000</f>
        <v>354.69090968408716</v>
      </c>
      <c r="U23" s="392"/>
      <c r="V23" s="405">
        <f t="shared" ref="V23:V30" si="17">V8/1000000</f>
        <v>8.75</v>
      </c>
      <c r="W23" s="451">
        <f t="shared" ref="W23:W30" si="18">W8</f>
        <v>0.6308279367326507</v>
      </c>
      <c r="X23" s="453">
        <f t="shared" ref="X23:X30" si="19">X8/1000</f>
        <v>379.7354393197736</v>
      </c>
      <c r="Y23" s="193"/>
      <c r="AA23"/>
    </row>
    <row r="24" spans="1:27" x14ac:dyDescent="0.25">
      <c r="A24" s="186">
        <f t="shared" si="1"/>
        <v>38.036932293175525</v>
      </c>
      <c r="B24" s="404" t="str">
        <f t="shared" si="2"/>
        <v>HCC Social</v>
      </c>
      <c r="C24" s="449">
        <f t="shared" ref="C24" si="20">C9/1000000</f>
        <v>1.873</v>
      </c>
      <c r="D24" s="452">
        <f t="shared" si="4"/>
        <v>71.243174185117752</v>
      </c>
      <c r="E24" s="402"/>
      <c r="F24" s="405">
        <f t="shared" si="5"/>
        <v>1.5994999999999999</v>
      </c>
      <c r="G24" s="406">
        <f t="shared" si="6"/>
        <v>-0.14602242391884676</v>
      </c>
      <c r="H24" s="452">
        <f t="shared" si="7"/>
        <v>64.805391873188782</v>
      </c>
      <c r="I24" s="402"/>
      <c r="J24" s="405">
        <f t="shared" si="8"/>
        <v>1.5994999999999999</v>
      </c>
      <c r="K24" s="451">
        <f t="shared" si="9"/>
        <v>-0.14602242391884676</v>
      </c>
      <c r="L24" s="453">
        <f t="shared" si="10"/>
        <v>64.805391873188782</v>
      </c>
      <c r="M24" s="392"/>
      <c r="N24" s="405">
        <f t="shared" si="11"/>
        <v>1.3110999999999997</v>
      </c>
      <c r="O24" s="406">
        <f t="shared" si="12"/>
        <v>-0.3000000000000001</v>
      </c>
      <c r="P24" s="407">
        <f t="shared" si="13"/>
        <v>12.995566302066875</v>
      </c>
      <c r="Q24" s="392"/>
      <c r="R24" s="405">
        <f t="shared" si="14"/>
        <v>1.5994999999999999</v>
      </c>
      <c r="S24" s="451">
        <f t="shared" si="15"/>
        <v>-0.14602242391884676</v>
      </c>
      <c r="T24" s="453">
        <f t="shared" si="16"/>
        <v>64.805391873188782</v>
      </c>
      <c r="U24" s="392"/>
      <c r="V24" s="405">
        <f t="shared" si="17"/>
        <v>2.3344959858692378</v>
      </c>
      <c r="W24" s="451">
        <f t="shared" si="18"/>
        <v>0.24639401274385353</v>
      </c>
      <c r="X24" s="453">
        <f t="shared" si="19"/>
        <v>81.308598139807557</v>
      </c>
      <c r="Y24" s="193"/>
      <c r="AA24"/>
    </row>
    <row r="25" spans="1:27" x14ac:dyDescent="0.25">
      <c r="A25" s="186">
        <f t="shared" si="1"/>
        <v>43.727917255628185</v>
      </c>
      <c r="B25" s="404" t="str">
        <f t="shared" si="2"/>
        <v>HCC Online Video</v>
      </c>
      <c r="C25" s="449">
        <f t="shared" ref="C25" si="21">C10/1000000</f>
        <v>0.17307694000000001</v>
      </c>
      <c r="D25" s="452">
        <f t="shared" si="4"/>
        <v>7.568294111177325</v>
      </c>
      <c r="E25" s="402"/>
      <c r="F25" s="405">
        <f t="shared" si="5"/>
        <v>0.5</v>
      </c>
      <c r="G25" s="406">
        <f t="shared" si="6"/>
        <v>1.8888886064197807</v>
      </c>
      <c r="H25" s="452">
        <f t="shared" si="7"/>
        <v>13.095108040083201</v>
      </c>
      <c r="I25" s="402"/>
      <c r="J25" s="405">
        <f t="shared" si="8"/>
        <v>0.5</v>
      </c>
      <c r="K25" s="451">
        <f t="shared" si="9"/>
        <v>1.8888886064197807</v>
      </c>
      <c r="L25" s="453">
        <f t="shared" si="10"/>
        <v>13.095108040083201</v>
      </c>
      <c r="M25" s="392"/>
      <c r="N25" s="405">
        <f t="shared" si="11"/>
        <v>0.14432636168477586</v>
      </c>
      <c r="O25" s="406">
        <f t="shared" si="12"/>
        <v>-0.16611443624566133</v>
      </c>
      <c r="P25" s="407">
        <f t="shared" si="13"/>
        <v>1.501233181844615</v>
      </c>
      <c r="Q25" s="392"/>
      <c r="R25" s="405">
        <f t="shared" si="14"/>
        <v>0.5</v>
      </c>
      <c r="S25" s="451">
        <f t="shared" si="15"/>
        <v>1.8888886064197807</v>
      </c>
      <c r="T25" s="453">
        <f t="shared" si="16"/>
        <v>13.095108040083201</v>
      </c>
      <c r="U25" s="392"/>
      <c r="V25" s="405">
        <f t="shared" si="17"/>
        <v>0.5</v>
      </c>
      <c r="W25" s="451">
        <f t="shared" si="18"/>
        <v>1.8888886064197807</v>
      </c>
      <c r="X25" s="453">
        <f t="shared" si="19"/>
        <v>13.095108040083201</v>
      </c>
      <c r="Y25" s="193"/>
      <c r="AA25"/>
    </row>
    <row r="26" spans="1:27" x14ac:dyDescent="0.25">
      <c r="A26" s="186">
        <f t="shared" si="1"/>
        <v>23.406841961540245</v>
      </c>
      <c r="B26" s="404" t="str">
        <f t="shared" si="2"/>
        <v>HCC Streaming Video</v>
      </c>
      <c r="C26" s="449">
        <f t="shared" ref="C26" si="22">C11/1000000</f>
        <v>6.1801250000000003</v>
      </c>
      <c r="D26" s="452">
        <f t="shared" si="4"/>
        <v>144.65720917756391</v>
      </c>
      <c r="E26" s="402"/>
      <c r="F26" s="405">
        <f t="shared" si="5"/>
        <v>6.4637140000000004</v>
      </c>
      <c r="G26" s="406">
        <f t="shared" si="6"/>
        <v>4.5887259561902066E-2</v>
      </c>
      <c r="H26" s="452">
        <f t="shared" si="7"/>
        <v>149.27239229083114</v>
      </c>
      <c r="I26" s="402"/>
      <c r="J26" s="405">
        <f t="shared" si="8"/>
        <v>6.4637140003559459</v>
      </c>
      <c r="K26" s="451">
        <f t="shared" si="9"/>
        <v>4.5887259619497321E-2</v>
      </c>
      <c r="L26" s="453">
        <f t="shared" si="10"/>
        <v>149.27239229658525</v>
      </c>
      <c r="M26" s="392"/>
      <c r="N26" s="405">
        <f t="shared" si="11"/>
        <v>4.3260874999999999</v>
      </c>
      <c r="O26" s="406">
        <f t="shared" si="12"/>
        <v>-0.3</v>
      </c>
      <c r="P26" s="407">
        <f t="shared" si="13"/>
        <v>25.462546467915075</v>
      </c>
      <c r="Q26" s="392"/>
      <c r="R26" s="405">
        <f t="shared" si="14"/>
        <v>6.4637140000000004</v>
      </c>
      <c r="S26" s="451">
        <f t="shared" si="15"/>
        <v>4.5887259561902066E-2</v>
      </c>
      <c r="T26" s="453">
        <f t="shared" si="16"/>
        <v>149.27239229083114</v>
      </c>
      <c r="U26" s="392"/>
      <c r="V26" s="405">
        <f t="shared" si="17"/>
        <v>6.4637140000000004</v>
      </c>
      <c r="W26" s="451">
        <f t="shared" si="18"/>
        <v>4.5887259561902066E-2</v>
      </c>
      <c r="X26" s="453">
        <f t="shared" si="19"/>
        <v>149.27239229083114</v>
      </c>
      <c r="Y26" s="193"/>
      <c r="AA26"/>
    </row>
    <row r="27" spans="1:27" x14ac:dyDescent="0.25">
      <c r="A27" s="186">
        <f t="shared" si="1"/>
        <v>63.163711801075301</v>
      </c>
      <c r="B27" s="404" t="str">
        <f t="shared" si="2"/>
        <v>HCC Display</v>
      </c>
      <c r="C27" s="442">
        <f t="shared" ref="C27" si="23">C12/1000000</f>
        <v>1.64835737</v>
      </c>
      <c r="D27" s="453">
        <f t="shared" si="4"/>
        <v>104.11636986385845</v>
      </c>
      <c r="E27" s="402"/>
      <c r="F27" s="405">
        <f t="shared" si="5"/>
        <v>1.5</v>
      </c>
      <c r="G27" s="406">
        <f t="shared" si="6"/>
        <v>-9.0003158720369056E-2</v>
      </c>
      <c r="H27" s="453">
        <f t="shared" si="7"/>
        <v>96.729945919783788</v>
      </c>
      <c r="I27" s="402"/>
      <c r="J27" s="405">
        <f t="shared" si="8"/>
        <v>3.1841239461473174</v>
      </c>
      <c r="K27" s="451">
        <f t="shared" si="9"/>
        <v>0.93169515549126181</v>
      </c>
      <c r="L27" s="453">
        <f t="shared" si="10"/>
        <v>163.68685548131722</v>
      </c>
      <c r="M27" s="392"/>
      <c r="N27" s="405">
        <f t="shared" si="11"/>
        <v>2.1428645810000004</v>
      </c>
      <c r="O27" s="406">
        <f t="shared" si="12"/>
        <v>0.30000000000000004</v>
      </c>
      <c r="P27" s="407">
        <f t="shared" si="13"/>
        <v>28.569508760968702</v>
      </c>
      <c r="Q27" s="392"/>
      <c r="R27" s="405">
        <f t="shared" si="14"/>
        <v>3.5</v>
      </c>
      <c r="S27" s="451">
        <f t="shared" si="15"/>
        <v>1.1233259629858054</v>
      </c>
      <c r="T27" s="453">
        <f t="shared" si="16"/>
        <v>172.80684541229346</v>
      </c>
      <c r="U27" s="392"/>
      <c r="V27" s="405">
        <f t="shared" si="17"/>
        <v>3.5</v>
      </c>
      <c r="W27" s="451">
        <f t="shared" si="18"/>
        <v>1.1233259629858054</v>
      </c>
      <c r="X27" s="453">
        <f t="shared" si="19"/>
        <v>172.80684541229346</v>
      </c>
      <c r="Y27" s="193"/>
      <c r="AA27"/>
    </row>
    <row r="28" spans="1:27" x14ac:dyDescent="0.25">
      <c r="A28" s="186">
        <f t="shared" si="1"/>
        <v>379.14544262150383</v>
      </c>
      <c r="B28" s="404" t="str">
        <f t="shared" si="2"/>
        <v>HCC Paid Search</v>
      </c>
      <c r="C28" s="443">
        <f t="shared" ref="C28" si="24">C13/1000000</f>
        <v>0.34470699999999999</v>
      </c>
      <c r="D28" s="453">
        <f t="shared" si="4"/>
        <v>130.69408808973071</v>
      </c>
      <c r="E28" s="408"/>
      <c r="F28" s="409">
        <f t="shared" si="5"/>
        <v>0.3</v>
      </c>
      <c r="G28" s="406">
        <f t="shared" si="6"/>
        <v>-0.12969565457040327</v>
      </c>
      <c r="H28" s="453">
        <f t="shared" si="7"/>
        <v>118.58390541759934</v>
      </c>
      <c r="I28" s="402"/>
      <c r="J28" s="405">
        <f t="shared" si="8"/>
        <v>0.39</v>
      </c>
      <c r="K28" s="451">
        <f t="shared" si="9"/>
        <v>0.13139564905847576</v>
      </c>
      <c r="L28" s="453">
        <f t="shared" si="10"/>
        <v>142.49056083211912</v>
      </c>
      <c r="M28" s="392"/>
      <c r="N28" s="405">
        <f t="shared" si="11"/>
        <v>0.44811910000000005</v>
      </c>
      <c r="O28" s="406">
        <f t="shared" si="12"/>
        <v>0.3000000000000001</v>
      </c>
      <c r="P28" s="407">
        <f t="shared" si="13"/>
        <v>35.4821080336392</v>
      </c>
      <c r="Q28" s="392"/>
      <c r="R28" s="405">
        <f t="shared" si="14"/>
        <v>0.39</v>
      </c>
      <c r="S28" s="451">
        <f t="shared" si="15"/>
        <v>0.13139564905847576</v>
      </c>
      <c r="T28" s="453">
        <f t="shared" si="16"/>
        <v>142.49056083211912</v>
      </c>
      <c r="U28" s="392"/>
      <c r="V28" s="405">
        <f t="shared" si="17"/>
        <v>0.39</v>
      </c>
      <c r="W28" s="451">
        <f t="shared" si="18"/>
        <v>0.13139564905847576</v>
      </c>
      <c r="X28" s="453">
        <f t="shared" si="19"/>
        <v>142.49056083211912</v>
      </c>
      <c r="Y28" s="193"/>
      <c r="AA28"/>
    </row>
    <row r="29" spans="1:27" x14ac:dyDescent="0.25">
      <c r="A29" s="186">
        <f t="shared" si="1"/>
        <v>49.106969497633877</v>
      </c>
      <c r="B29" s="404" t="str">
        <f t="shared" si="2"/>
        <v>HCC Audio</v>
      </c>
      <c r="C29" s="442">
        <f t="shared" ref="C29" si="25">C14/1000000</f>
        <v>1.4370484099999998</v>
      </c>
      <c r="D29" s="453">
        <f t="shared" si="4"/>
        <v>70.56909243649325</v>
      </c>
      <c r="E29" s="402"/>
      <c r="F29" s="405">
        <f t="shared" si="5"/>
        <v>1.4</v>
      </c>
      <c r="G29" s="406">
        <f t="shared" si="6"/>
        <v>-2.5780906016937815E-2</v>
      </c>
      <c r="H29" s="453">
        <f t="shared" si="7"/>
        <v>69.471794076517142</v>
      </c>
      <c r="I29" s="402"/>
      <c r="J29" s="405">
        <f t="shared" si="8"/>
        <v>1.4</v>
      </c>
      <c r="K29" s="451">
        <f t="shared" si="9"/>
        <v>-2.5780906016937815E-2</v>
      </c>
      <c r="L29" s="453">
        <f t="shared" si="10"/>
        <v>69.471794076517142</v>
      </c>
      <c r="M29" s="392"/>
      <c r="N29" s="405">
        <f t="shared" si="11"/>
        <v>1.0059338870000001</v>
      </c>
      <c r="O29" s="406">
        <f t="shared" si="12"/>
        <v>-0.29999999999999988</v>
      </c>
      <c r="P29" s="407">
        <f t="shared" si="13"/>
        <v>12.872606114547708</v>
      </c>
      <c r="Q29" s="392"/>
      <c r="R29" s="405">
        <f t="shared" si="14"/>
        <v>1.9710327315392788</v>
      </c>
      <c r="S29" s="451">
        <f t="shared" si="15"/>
        <v>0.37158408709368312</v>
      </c>
      <c r="T29" s="453">
        <f t="shared" si="16"/>
        <v>85.299796462300591</v>
      </c>
      <c r="U29" s="392"/>
      <c r="V29" s="405">
        <f t="shared" si="17"/>
        <v>2.2000000000000002</v>
      </c>
      <c r="W29" s="451">
        <f t="shared" si="18"/>
        <v>0.53091571911624058</v>
      </c>
      <c r="X29" s="453">
        <f t="shared" si="19"/>
        <v>91.114039550668636</v>
      </c>
      <c r="Y29" s="193"/>
      <c r="AA29"/>
    </row>
    <row r="30" spans="1:27" x14ac:dyDescent="0.25">
      <c r="A30" s="186">
        <f t="shared" si="1"/>
        <v>18.786671563713046</v>
      </c>
      <c r="B30" s="404" t="str">
        <f t="shared" si="2"/>
        <v>HCC Linear TV</v>
      </c>
      <c r="C30" s="442">
        <f t="shared" ref="C30" si="26">C15/1000000</f>
        <v>13.503524990000001</v>
      </c>
      <c r="D30" s="453">
        <f t="shared" si="4"/>
        <v>253.68628893952152</v>
      </c>
      <c r="E30" s="402"/>
      <c r="F30" s="405">
        <f t="shared" si="5"/>
        <v>14.861789999999999</v>
      </c>
      <c r="G30" s="406">
        <f t="shared" si="6"/>
        <v>0.10058595892597373</v>
      </c>
      <c r="H30" s="453">
        <f t="shared" si="7"/>
        <v>271.28999209866515</v>
      </c>
      <c r="I30" s="402"/>
      <c r="J30" s="405">
        <f t="shared" si="8"/>
        <v>14.861790001881751</v>
      </c>
      <c r="K30" s="451">
        <f t="shared" si="9"/>
        <v>0.10058595906532625</v>
      </c>
      <c r="L30" s="453">
        <f t="shared" si="10"/>
        <v>271.28999212271003</v>
      </c>
      <c r="M30" s="392"/>
      <c r="N30" s="405">
        <f t="shared" si="11"/>
        <v>9.4524674929999986</v>
      </c>
      <c r="O30" s="406">
        <f t="shared" si="12"/>
        <v>-0.3000000000000001</v>
      </c>
      <c r="P30" s="407">
        <f t="shared" si="13"/>
        <v>44.653833411555638</v>
      </c>
      <c r="Q30" s="392"/>
      <c r="R30" s="405">
        <f t="shared" si="14"/>
        <v>14.861789999999999</v>
      </c>
      <c r="S30" s="451">
        <f t="shared" si="15"/>
        <v>0.10058595892597373</v>
      </c>
      <c r="T30" s="453">
        <f t="shared" si="16"/>
        <v>271.28999209866515</v>
      </c>
      <c r="U30" s="392"/>
      <c r="V30" s="405">
        <f t="shared" si="17"/>
        <v>14.861789999999999</v>
      </c>
      <c r="W30" s="451">
        <f t="shared" si="18"/>
        <v>0.10058595892597373</v>
      </c>
      <c r="X30" s="453">
        <f t="shared" si="19"/>
        <v>271.28999209866515</v>
      </c>
      <c r="Y30" s="193"/>
      <c r="AA30"/>
    </row>
    <row r="31" spans="1:27" ht="29.65" customHeight="1" x14ac:dyDescent="0.25">
      <c r="B31" s="410" t="s">
        <v>216</v>
      </c>
      <c r="C31" s="447">
        <f>C16/1000000</f>
        <v>32.280505600000005</v>
      </c>
      <c r="D31" s="554">
        <f>D16/1000</f>
        <v>1099.2111195203363</v>
      </c>
      <c r="E31" s="446"/>
      <c r="F31" s="389">
        <f>F16/1000000</f>
        <v>33.025004000000003</v>
      </c>
      <c r="G31" s="390">
        <f>G16</f>
        <v>2.3063405797460572E-2</v>
      </c>
      <c r="H31" s="554">
        <f>H16/1000</f>
        <v>1089.3972019400176</v>
      </c>
      <c r="I31" s="411"/>
      <c r="J31" s="389">
        <f>J16/1000000</f>
        <v>36</v>
      </c>
      <c r="K31" s="390">
        <f>K16</f>
        <v>0.11522416798824855</v>
      </c>
      <c r="L31" s="554">
        <f>L16/1000</f>
        <v>1219.8518878208877</v>
      </c>
      <c r="M31" s="411"/>
      <c r="N31" s="389">
        <f>N16/1000000</f>
        <v>25.824404486458803</v>
      </c>
      <c r="O31" s="390">
        <f>O16</f>
        <v>-0.19999999979991628</v>
      </c>
      <c r="P31" s="412">
        <f>P16/1000000</f>
        <v>234.47706637907936</v>
      </c>
      <c r="Q31" s="397"/>
      <c r="R31" s="389">
        <f>R16/1000000</f>
        <v>38.000000008239077</v>
      </c>
      <c r="S31" s="390">
        <f>S16</f>
        <v>0.17718106646505172</v>
      </c>
      <c r="T31" s="554">
        <f>T16/1000</f>
        <v>1276.0612961730978</v>
      </c>
      <c r="U31" s="411"/>
      <c r="V31" s="389">
        <f>V16/1000000</f>
        <v>39.999999985869238</v>
      </c>
      <c r="W31" s="390">
        <f>W16</f>
        <v>0.23913796399363815</v>
      </c>
      <c r="X31" s="554">
        <f>X16/1000</f>
        <v>1323.423275163771</v>
      </c>
      <c r="Y31" s="224"/>
    </row>
    <row r="32" spans="1:27" ht="39.75" customHeight="1" x14ac:dyDescent="0.25">
      <c r="B32" s="410" t="s">
        <v>311</v>
      </c>
      <c r="C32" s="388"/>
      <c r="D32" s="445"/>
      <c r="E32" s="411"/>
      <c r="F32" s="389"/>
      <c r="G32" s="390"/>
      <c r="H32" s="413" t="s">
        <v>308</v>
      </c>
      <c r="I32" s="411"/>
      <c r="J32" s="389"/>
      <c r="K32" s="390"/>
      <c r="L32" s="414" t="s">
        <v>307</v>
      </c>
      <c r="M32" s="411"/>
      <c r="N32" s="389"/>
      <c r="O32" s="390"/>
      <c r="P32" s="413" t="s">
        <v>271</v>
      </c>
      <c r="Q32" s="397"/>
      <c r="R32" s="389"/>
      <c r="S32" s="390"/>
      <c r="T32" s="414" t="s">
        <v>306</v>
      </c>
      <c r="U32" s="411"/>
      <c r="V32" s="389"/>
      <c r="W32" s="390"/>
      <c r="X32" s="414" t="s">
        <v>309</v>
      </c>
      <c r="Y32" s="224"/>
    </row>
    <row r="33" spans="2:25" x14ac:dyDescent="0.25">
      <c r="H33" s="454">
        <f>(H31-$D$31)</f>
        <v>-9.81391758031873</v>
      </c>
      <c r="L33" s="454">
        <f>(L31-$D$31)</f>
        <v>120.64076830055137</v>
      </c>
      <c r="P33" s="230">
        <f>(P31-$D$31)</f>
        <v>-864.73405314125694</v>
      </c>
      <c r="T33" s="454">
        <f>(T31-$D$31)</f>
        <v>176.85017665276155</v>
      </c>
      <c r="X33" s="454">
        <f>(X31-$D$31)</f>
        <v>224.2121556434347</v>
      </c>
    </row>
    <row r="34" spans="2:25" x14ac:dyDescent="0.25">
      <c r="C34" s="97">
        <f>D31/C31</f>
        <v>34.051855728069391</v>
      </c>
      <c r="H34" s="301">
        <f>H33/$D$31</f>
        <v>-8.9281462005235523E-3</v>
      </c>
      <c r="L34" s="301">
        <f>L33/$D$31</f>
        <v>0.1097521360165966</v>
      </c>
      <c r="P34" s="301">
        <f>P33/$D$31</f>
        <v>-0.78668604946300191</v>
      </c>
      <c r="T34" s="301">
        <f>T33/$D$31</f>
        <v>0.16088827115389245</v>
      </c>
      <c r="X34" s="301">
        <f>X33/$D$31</f>
        <v>0.20397551631507727</v>
      </c>
    </row>
    <row r="35" spans="2:25" x14ac:dyDescent="0.25">
      <c r="H35" s="186">
        <f>H31/F31</f>
        <v>32.987042240479894</v>
      </c>
      <c r="L35" s="186">
        <f>L31/J31</f>
        <v>33.884774661691324</v>
      </c>
      <c r="P35" s="186">
        <f>P31/N31</f>
        <v>9.0796698333171229</v>
      </c>
      <c r="T35" s="186"/>
      <c r="X35" s="186"/>
    </row>
    <row r="36" spans="2:25" x14ac:dyDescent="0.25">
      <c r="B36" s="469" t="s">
        <v>248</v>
      </c>
      <c r="C36" s="469"/>
      <c r="D36" s="469"/>
      <c r="E36" s="469"/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  <c r="Q36" s="469"/>
    </row>
    <row r="37" spans="2:25" x14ac:dyDescent="0.25">
      <c r="B37" s="469"/>
      <c r="C37" s="469"/>
      <c r="D37" s="469"/>
      <c r="E37" s="469"/>
      <c r="F37" s="469"/>
      <c r="G37" s="469"/>
      <c r="H37" s="469"/>
      <c r="I37" s="469"/>
      <c r="J37" s="469"/>
      <c r="K37" s="469"/>
      <c r="L37" s="469"/>
      <c r="M37" s="469"/>
      <c r="N37" s="469"/>
      <c r="O37" s="469"/>
      <c r="P37" s="469"/>
      <c r="Q37" s="469"/>
    </row>
    <row r="39" spans="2:25" x14ac:dyDescent="0.25">
      <c r="F39" s="460" t="s">
        <v>241</v>
      </c>
      <c r="G39" s="461"/>
      <c r="H39" s="462"/>
      <c r="I39" s="195"/>
      <c r="J39" s="460" t="s">
        <v>208</v>
      </c>
      <c r="K39" s="461"/>
      <c r="L39" s="462"/>
      <c r="M39" s="195"/>
      <c r="N39" s="460" t="s">
        <v>209</v>
      </c>
      <c r="O39" s="461"/>
      <c r="P39" s="462"/>
      <c r="R39" s="460"/>
      <c r="S39" s="461"/>
      <c r="T39" s="462"/>
      <c r="U39" s="195"/>
      <c r="V39" s="460"/>
      <c r="W39" s="461"/>
      <c r="X39" s="462"/>
      <c r="Y39" s="195"/>
    </row>
    <row r="40" spans="2:25" ht="30" x14ac:dyDescent="0.25">
      <c r="B40" s="196" t="s">
        <v>210</v>
      </c>
      <c r="C40" s="97" t="s">
        <v>211</v>
      </c>
      <c r="D40" s="197" t="s">
        <v>212</v>
      </c>
      <c r="E40" s="197"/>
      <c r="F40" s="97" t="s">
        <v>211</v>
      </c>
      <c r="G40" s="197" t="s">
        <v>213</v>
      </c>
      <c r="H40" s="197" t="s">
        <v>214</v>
      </c>
      <c r="I40" s="197"/>
      <c r="J40" s="97" t="s">
        <v>211</v>
      </c>
      <c r="K40" s="197" t="s">
        <v>213</v>
      </c>
      <c r="L40" s="197" t="s">
        <v>214</v>
      </c>
      <c r="N40" s="97" t="s">
        <v>211</v>
      </c>
      <c r="O40" s="197" t="s">
        <v>213</v>
      </c>
      <c r="P40" s="197" t="s">
        <v>214</v>
      </c>
      <c r="S40" s="197"/>
      <c r="T40" s="197"/>
      <c r="W40" s="197"/>
      <c r="X40" s="197"/>
    </row>
    <row r="41" spans="2:25" x14ac:dyDescent="0.25">
      <c r="B41" s="198" t="s">
        <v>223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  <c r="V41" s="199"/>
      <c r="W41" s="191"/>
      <c r="X41" s="199"/>
    </row>
    <row r="42" spans="2:25" x14ac:dyDescent="0.25">
      <c r="B42" s="200" t="s">
        <v>224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  <c r="V42" s="199"/>
      <c r="W42" s="191"/>
      <c r="X42" s="199"/>
    </row>
    <row r="43" spans="2:25" x14ac:dyDescent="0.25">
      <c r="B43" s="200" t="s">
        <v>225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  <c r="V43" s="199"/>
      <c r="W43" s="191"/>
      <c r="X43" s="199"/>
    </row>
    <row r="44" spans="2:25" x14ac:dyDescent="0.25">
      <c r="B44" s="200" t="s">
        <v>236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  <c r="V44" s="199"/>
      <c r="W44" s="191"/>
      <c r="X44" s="199"/>
    </row>
    <row r="45" spans="2:25" x14ac:dyDescent="0.25">
      <c r="B45" s="200" t="s">
        <v>226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  <c r="V45" s="199"/>
      <c r="W45" s="191"/>
      <c r="X45" s="199"/>
    </row>
    <row r="46" spans="2:25" x14ac:dyDescent="0.25">
      <c r="B46" s="200" t="s">
        <v>227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  <c r="V46" s="199"/>
      <c r="W46" s="191"/>
      <c r="X46" s="199"/>
    </row>
    <row r="47" spans="2:25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  <c r="V47" s="199"/>
      <c r="W47" s="191"/>
      <c r="X47" s="199"/>
    </row>
    <row r="48" spans="2:25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  <c r="V48" s="199"/>
      <c r="W48" s="191"/>
      <c r="X48" s="199"/>
    </row>
    <row r="49" spans="2:25" x14ac:dyDescent="0.25">
      <c r="B49" s="200" t="s">
        <v>228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  <c r="V49" s="199"/>
      <c r="W49" s="191"/>
      <c r="X49" s="199"/>
    </row>
    <row r="50" spans="2:25" x14ac:dyDescent="0.25">
      <c r="B50" s="201" t="s">
        <v>216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/>
      <c r="S50" s="203"/>
      <c r="T50" s="202"/>
      <c r="U50" s="193"/>
      <c r="V50" s="202"/>
      <c r="W50" s="203"/>
      <c r="X50" s="202"/>
      <c r="Y50" s="193"/>
    </row>
    <row r="51" spans="2:25" x14ac:dyDescent="0.25">
      <c r="D51" s="97" t="e">
        <f>D50/C50</f>
        <v>#DIV/0!</v>
      </c>
    </row>
    <row r="53" spans="2:25" ht="27.6" customHeight="1" x14ac:dyDescent="0.25">
      <c r="F53" s="473" t="str">
        <f>B36</f>
        <v>Optimal Channel Spend  allowed to vary between  of the 2021 spend</v>
      </c>
      <c r="G53" s="473"/>
      <c r="H53" s="473"/>
      <c r="I53" s="473"/>
      <c r="J53" s="473"/>
      <c r="K53" s="473"/>
      <c r="L53" s="473"/>
      <c r="M53" s="473"/>
      <c r="N53" s="473"/>
      <c r="O53" s="473"/>
      <c r="P53" s="473"/>
    </row>
    <row r="54" spans="2:25" x14ac:dyDescent="0.25">
      <c r="C54" s="464" t="s">
        <v>242</v>
      </c>
      <c r="D54" s="465"/>
      <c r="E54" s="204"/>
      <c r="F54" s="460" t="str">
        <f>F39</f>
        <v>Current Optimal ($MM)</v>
      </c>
      <c r="G54" s="461"/>
      <c r="H54" s="462"/>
      <c r="I54" s="205"/>
      <c r="J54" s="460" t="str">
        <f>J39</f>
        <v>10% reduction optimal ($)</v>
      </c>
      <c r="K54" s="461"/>
      <c r="L54" s="462"/>
      <c r="M54" s="205"/>
      <c r="N54" s="460" t="str">
        <f>N39</f>
        <v>20% reduction optimal ()</v>
      </c>
      <c r="O54" s="461"/>
      <c r="P54" s="462"/>
      <c r="R54" s="460"/>
      <c r="S54" s="461"/>
      <c r="T54" s="462"/>
      <c r="U54" s="205"/>
      <c r="V54" s="460"/>
      <c r="W54" s="461"/>
      <c r="X54" s="462"/>
      <c r="Y54" s="205"/>
    </row>
    <row r="55" spans="2:25" ht="30" x14ac:dyDescent="0.25">
      <c r="B55" s="196" t="s">
        <v>210</v>
      </c>
      <c r="C55" s="207" t="s">
        <v>220</v>
      </c>
      <c r="D55" s="207" t="s">
        <v>218</v>
      </c>
      <c r="E55" s="208"/>
      <c r="F55" s="231" t="s">
        <v>220</v>
      </c>
      <c r="G55" s="207" t="s">
        <v>213</v>
      </c>
      <c r="H55" s="209" t="s">
        <v>214</v>
      </c>
      <c r="I55" s="208"/>
      <c r="J55" s="231" t="s">
        <v>220</v>
      </c>
      <c r="K55" s="207" t="s">
        <v>213</v>
      </c>
      <c r="L55" s="209" t="s">
        <v>214</v>
      </c>
      <c r="M55" s="193"/>
      <c r="N55" s="231" t="s">
        <v>220</v>
      </c>
      <c r="O55" s="207" t="s">
        <v>213</v>
      </c>
      <c r="P55" s="209" t="s">
        <v>214</v>
      </c>
      <c r="R55" s="231"/>
      <c r="S55" s="207"/>
      <c r="T55" s="209"/>
      <c r="U55" s="193"/>
      <c r="V55" s="231"/>
      <c r="W55" s="207"/>
      <c r="X55" s="209"/>
      <c r="Y55" s="193"/>
    </row>
    <row r="56" spans="2:25" x14ac:dyDescent="0.25">
      <c r="B56" s="198" t="s">
        <v>155</v>
      </c>
      <c r="C56" s="210">
        <f t="shared" ref="C56:D62" si="27">C41/1000000</f>
        <v>0</v>
      </c>
      <c r="D56" s="211">
        <f t="shared" si="27"/>
        <v>0</v>
      </c>
      <c r="E56" s="212"/>
      <c r="F56" s="213">
        <f t="shared" ref="F56:F62" si="28">F41/1000000</f>
        <v>0</v>
      </c>
      <c r="G56" s="214">
        <f t="shared" ref="G56:G62" si="29">G41</f>
        <v>0</v>
      </c>
      <c r="H56" s="215">
        <f t="shared" ref="H56:H62" si="30">H41/1000000</f>
        <v>0</v>
      </c>
      <c r="I56" s="212"/>
      <c r="J56" s="213">
        <f t="shared" ref="J56:J62" si="31">J41/1000000</f>
        <v>0</v>
      </c>
      <c r="K56" s="214">
        <f t="shared" ref="K56:K62" si="32">K41</f>
        <v>0</v>
      </c>
      <c r="L56" s="215">
        <f t="shared" ref="L56:L62" si="33">L41/1000000</f>
        <v>0</v>
      </c>
      <c r="M56" s="193"/>
      <c r="N56" s="213">
        <f t="shared" ref="N56:N62" si="34">N41/1000000</f>
        <v>0</v>
      </c>
      <c r="O56" s="214">
        <f t="shared" ref="O56:O62" si="35">O41</f>
        <v>0</v>
      </c>
      <c r="P56" s="215">
        <f t="shared" ref="P56:P62" si="36">P41/1000000</f>
        <v>0</v>
      </c>
      <c r="Q56" s="193"/>
      <c r="R56" s="213"/>
      <c r="S56" s="214"/>
      <c r="T56" s="215"/>
      <c r="U56" s="193"/>
      <c r="V56" s="213"/>
      <c r="W56" s="214"/>
      <c r="X56" s="215"/>
      <c r="Y56" s="193"/>
    </row>
    <row r="57" spans="2:25" x14ac:dyDescent="0.25">
      <c r="B57" s="200" t="s">
        <v>93</v>
      </c>
      <c r="C57" s="216">
        <f t="shared" si="27"/>
        <v>0</v>
      </c>
      <c r="D57" s="217">
        <f t="shared" si="27"/>
        <v>0</v>
      </c>
      <c r="E57" s="212"/>
      <c r="F57" s="218">
        <f t="shared" si="28"/>
        <v>0</v>
      </c>
      <c r="G57" s="219">
        <f t="shared" si="29"/>
        <v>0</v>
      </c>
      <c r="H57" s="220">
        <f t="shared" si="30"/>
        <v>0</v>
      </c>
      <c r="I57" s="212"/>
      <c r="J57" s="218">
        <f t="shared" si="31"/>
        <v>0</v>
      </c>
      <c r="K57" s="219">
        <f t="shared" si="32"/>
        <v>0</v>
      </c>
      <c r="L57" s="220">
        <f t="shared" si="33"/>
        <v>0</v>
      </c>
      <c r="M57" s="193"/>
      <c r="N57" s="218">
        <f t="shared" si="34"/>
        <v>0</v>
      </c>
      <c r="O57" s="219">
        <f t="shared" si="35"/>
        <v>0</v>
      </c>
      <c r="P57" s="220">
        <f t="shared" si="36"/>
        <v>0</v>
      </c>
      <c r="Q57" s="193"/>
      <c r="R57" s="218"/>
      <c r="S57" s="219"/>
      <c r="T57" s="220"/>
      <c r="U57" s="193"/>
      <c r="V57" s="218"/>
      <c r="W57" s="219"/>
      <c r="X57" s="220"/>
      <c r="Y57" s="193"/>
    </row>
    <row r="58" spans="2:25" x14ac:dyDescent="0.25">
      <c r="B58" s="200" t="s">
        <v>162</v>
      </c>
      <c r="C58" s="216">
        <f t="shared" si="27"/>
        <v>0</v>
      </c>
      <c r="D58" s="217">
        <f t="shared" si="27"/>
        <v>0</v>
      </c>
      <c r="E58" s="212"/>
      <c r="F58" s="218">
        <f t="shared" si="28"/>
        <v>0</v>
      </c>
      <c r="G58" s="219">
        <f t="shared" si="29"/>
        <v>0</v>
      </c>
      <c r="H58" s="220">
        <f t="shared" si="30"/>
        <v>0</v>
      </c>
      <c r="I58" s="212"/>
      <c r="J58" s="218">
        <f t="shared" si="31"/>
        <v>0</v>
      </c>
      <c r="K58" s="219">
        <f t="shared" si="32"/>
        <v>0</v>
      </c>
      <c r="L58" s="220">
        <f t="shared" si="33"/>
        <v>0</v>
      </c>
      <c r="M58" s="193"/>
      <c r="N58" s="218">
        <f t="shared" si="34"/>
        <v>0</v>
      </c>
      <c r="O58" s="219">
        <f t="shared" si="35"/>
        <v>0</v>
      </c>
      <c r="P58" s="220">
        <f t="shared" si="36"/>
        <v>0</v>
      </c>
      <c r="Q58" s="193"/>
      <c r="R58" s="218"/>
      <c r="S58" s="219"/>
      <c r="T58" s="220"/>
      <c r="U58" s="193"/>
      <c r="V58" s="218"/>
      <c r="W58" s="219"/>
      <c r="X58" s="220"/>
      <c r="Y58" s="193"/>
    </row>
    <row r="59" spans="2:25" x14ac:dyDescent="0.25">
      <c r="B59" s="200" t="s">
        <v>163</v>
      </c>
      <c r="C59" s="216">
        <f t="shared" si="27"/>
        <v>0</v>
      </c>
      <c r="D59" s="217">
        <f t="shared" si="27"/>
        <v>0</v>
      </c>
      <c r="E59" s="212"/>
      <c r="F59" s="218">
        <f t="shared" si="28"/>
        <v>0</v>
      </c>
      <c r="G59" s="219">
        <f t="shared" si="29"/>
        <v>0</v>
      </c>
      <c r="H59" s="220">
        <f t="shared" si="30"/>
        <v>0</v>
      </c>
      <c r="I59" s="212"/>
      <c r="J59" s="218">
        <f t="shared" si="31"/>
        <v>0</v>
      </c>
      <c r="K59" s="219">
        <f t="shared" si="32"/>
        <v>0</v>
      </c>
      <c r="L59" s="220">
        <f t="shared" si="33"/>
        <v>0</v>
      </c>
      <c r="M59" s="193"/>
      <c r="N59" s="218">
        <f t="shared" si="34"/>
        <v>0</v>
      </c>
      <c r="O59" s="219">
        <f t="shared" si="35"/>
        <v>0</v>
      </c>
      <c r="P59" s="220">
        <f t="shared" si="36"/>
        <v>0</v>
      </c>
      <c r="Q59" s="193"/>
      <c r="R59" s="218"/>
      <c r="S59" s="219"/>
      <c r="T59" s="220"/>
      <c r="U59" s="193"/>
      <c r="V59" s="218"/>
      <c r="W59" s="219"/>
      <c r="X59" s="220"/>
      <c r="Y59" s="193"/>
    </row>
    <row r="60" spans="2:25" x14ac:dyDescent="0.25">
      <c r="B60" s="200" t="s">
        <v>165</v>
      </c>
      <c r="C60" s="216">
        <f t="shared" si="27"/>
        <v>0</v>
      </c>
      <c r="D60" s="217">
        <f t="shared" si="27"/>
        <v>0</v>
      </c>
      <c r="E60" s="212"/>
      <c r="F60" s="218">
        <f t="shared" si="28"/>
        <v>0</v>
      </c>
      <c r="G60" s="219">
        <f t="shared" si="29"/>
        <v>0</v>
      </c>
      <c r="H60" s="220">
        <f t="shared" si="30"/>
        <v>0</v>
      </c>
      <c r="I60" s="212"/>
      <c r="J60" s="218">
        <f t="shared" si="31"/>
        <v>0</v>
      </c>
      <c r="K60" s="219">
        <f t="shared" si="32"/>
        <v>0</v>
      </c>
      <c r="L60" s="220">
        <f t="shared" si="33"/>
        <v>0</v>
      </c>
      <c r="M60" s="193"/>
      <c r="N60" s="218">
        <f t="shared" si="34"/>
        <v>0</v>
      </c>
      <c r="O60" s="219">
        <f t="shared" si="35"/>
        <v>0</v>
      </c>
      <c r="P60" s="220">
        <f t="shared" si="36"/>
        <v>0</v>
      </c>
      <c r="Q60" s="193"/>
      <c r="R60" s="218"/>
      <c r="S60" s="219"/>
      <c r="T60" s="220"/>
      <c r="U60" s="193"/>
      <c r="V60" s="218"/>
      <c r="W60" s="219"/>
      <c r="X60" s="220"/>
      <c r="Y60" s="193"/>
    </row>
    <row r="61" spans="2:25" x14ac:dyDescent="0.25">
      <c r="B61" s="200" t="s">
        <v>164</v>
      </c>
      <c r="C61" s="216">
        <f t="shared" si="27"/>
        <v>0</v>
      </c>
      <c r="D61" s="217">
        <f t="shared" si="27"/>
        <v>0</v>
      </c>
      <c r="E61" s="212"/>
      <c r="F61" s="218">
        <f t="shared" si="28"/>
        <v>0</v>
      </c>
      <c r="G61" s="219">
        <f t="shared" si="29"/>
        <v>0</v>
      </c>
      <c r="H61" s="220">
        <f t="shared" si="30"/>
        <v>0</v>
      </c>
      <c r="I61" s="212"/>
      <c r="J61" s="218">
        <f t="shared" si="31"/>
        <v>0</v>
      </c>
      <c r="K61" s="219">
        <f t="shared" si="32"/>
        <v>0</v>
      </c>
      <c r="L61" s="220">
        <f t="shared" si="33"/>
        <v>0</v>
      </c>
      <c r="M61" s="193"/>
      <c r="N61" s="218">
        <f t="shared" si="34"/>
        <v>0</v>
      </c>
      <c r="O61" s="219">
        <f t="shared" si="35"/>
        <v>0</v>
      </c>
      <c r="P61" s="220">
        <f t="shared" si="36"/>
        <v>0</v>
      </c>
      <c r="Q61" s="193"/>
      <c r="R61" s="218"/>
      <c r="S61" s="219"/>
      <c r="T61" s="220"/>
      <c r="U61" s="193"/>
      <c r="V61" s="218"/>
      <c r="W61" s="219"/>
      <c r="X61" s="220"/>
      <c r="Y61" s="193"/>
    </row>
    <row r="62" spans="2:25" x14ac:dyDescent="0.25">
      <c r="B62" s="200" t="s">
        <v>161</v>
      </c>
      <c r="C62" s="216">
        <f t="shared" si="27"/>
        <v>0</v>
      </c>
      <c r="D62" s="217">
        <f t="shared" si="27"/>
        <v>0</v>
      </c>
      <c r="E62" s="212"/>
      <c r="F62" s="218">
        <f t="shared" si="28"/>
        <v>0</v>
      </c>
      <c r="G62" s="219">
        <f t="shared" si="29"/>
        <v>0</v>
      </c>
      <c r="H62" s="220">
        <f t="shared" si="30"/>
        <v>0</v>
      </c>
      <c r="I62" s="212"/>
      <c r="J62" s="218">
        <f t="shared" si="31"/>
        <v>0</v>
      </c>
      <c r="K62" s="219">
        <f t="shared" si="32"/>
        <v>0</v>
      </c>
      <c r="L62" s="220">
        <f t="shared" si="33"/>
        <v>0</v>
      </c>
      <c r="M62" s="193"/>
      <c r="N62" s="218">
        <f t="shared" si="34"/>
        <v>0</v>
      </c>
      <c r="O62" s="219">
        <f t="shared" si="35"/>
        <v>0</v>
      </c>
      <c r="P62" s="220">
        <f t="shared" si="36"/>
        <v>0</v>
      </c>
      <c r="Q62" s="193"/>
      <c r="R62" s="218"/>
      <c r="S62" s="219"/>
      <c r="T62" s="220"/>
      <c r="U62" s="193"/>
      <c r="V62" s="218"/>
      <c r="W62" s="219"/>
      <c r="X62" s="220"/>
      <c r="Y62" s="193"/>
    </row>
    <row r="63" spans="2:25" x14ac:dyDescent="0.25">
      <c r="B63" s="200" t="s">
        <v>215</v>
      </c>
      <c r="C63" s="216">
        <f t="shared" ref="C63:D64" si="37">C49/1000000</f>
        <v>0</v>
      </c>
      <c r="D63" s="217">
        <f t="shared" si="37"/>
        <v>0</v>
      </c>
      <c r="E63" s="212"/>
      <c r="F63" s="218">
        <f t="shared" ref="F63:F64" si="38">F49/1000000</f>
        <v>0</v>
      </c>
      <c r="G63" s="219">
        <f t="shared" ref="G63" si="39">G49</f>
        <v>0</v>
      </c>
      <c r="H63" s="220">
        <f t="shared" ref="H63:H64" si="40">H49/1000000</f>
        <v>0</v>
      </c>
      <c r="I63" s="212"/>
      <c r="J63" s="218">
        <f t="shared" ref="J63:J64" si="41">J49/1000000</f>
        <v>0</v>
      </c>
      <c r="K63" s="219">
        <f t="shared" ref="K63" si="42">K49</f>
        <v>0</v>
      </c>
      <c r="L63" s="220">
        <f t="shared" ref="L63:L64" si="43">L49/1000000</f>
        <v>0</v>
      </c>
      <c r="M63" s="193"/>
      <c r="N63" s="218">
        <f t="shared" ref="N63:N64" si="44">N49/1000000</f>
        <v>0</v>
      </c>
      <c r="O63" s="219">
        <f t="shared" ref="O63" si="45">O49</f>
        <v>0</v>
      </c>
      <c r="P63" s="220">
        <f t="shared" ref="P63:P64" si="46">P49/1000000</f>
        <v>0</v>
      </c>
      <c r="Q63" s="193"/>
      <c r="R63" s="218"/>
      <c r="S63" s="219"/>
      <c r="T63" s="220"/>
      <c r="U63" s="193"/>
      <c r="V63" s="218"/>
      <c r="W63" s="219"/>
      <c r="X63" s="220"/>
      <c r="Y63" s="193"/>
    </row>
    <row r="64" spans="2:25" x14ac:dyDescent="0.25">
      <c r="B64" s="221" t="s">
        <v>216</v>
      </c>
      <c r="C64" s="222">
        <f t="shared" si="37"/>
        <v>0</v>
      </c>
      <c r="D64" s="223">
        <f t="shared" si="37"/>
        <v>0</v>
      </c>
      <c r="E64" s="224"/>
      <c r="F64" s="225">
        <f t="shared" si="38"/>
        <v>0</v>
      </c>
      <c r="G64" s="226">
        <f>G50</f>
        <v>-1</v>
      </c>
      <c r="H64" s="227">
        <f t="shared" si="40"/>
        <v>0</v>
      </c>
      <c r="I64" s="224"/>
      <c r="J64" s="225">
        <f t="shared" si="41"/>
        <v>0</v>
      </c>
      <c r="K64" s="226">
        <f>K50</f>
        <v>-1</v>
      </c>
      <c r="L64" s="227">
        <f t="shared" si="43"/>
        <v>0</v>
      </c>
      <c r="M64" s="224"/>
      <c r="N64" s="225">
        <f t="shared" si="44"/>
        <v>0</v>
      </c>
      <c r="O64" s="226">
        <f>O50</f>
        <v>-1</v>
      </c>
      <c r="P64" s="227">
        <f t="shared" si="46"/>
        <v>0</v>
      </c>
      <c r="R64" s="225"/>
      <c r="S64" s="226"/>
      <c r="T64" s="227"/>
      <c r="U64" s="224"/>
      <c r="V64" s="225"/>
      <c r="W64" s="226"/>
      <c r="X64" s="227"/>
      <c r="Y64" s="224"/>
    </row>
    <row r="65" spans="2:25" x14ac:dyDescent="0.25">
      <c r="B65" s="221" t="s">
        <v>219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28"/>
      <c r="U65" s="224"/>
      <c r="V65" s="225"/>
      <c r="W65" s="226"/>
      <c r="X65" s="228"/>
      <c r="Y65" s="224"/>
    </row>
    <row r="66" spans="2:25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/>
      <c r="X66" s="232"/>
    </row>
    <row r="67" spans="2:25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372"/>
      <c r="S67" s="372"/>
      <c r="T67" s="191"/>
      <c r="U67" s="372"/>
      <c r="V67" s="372"/>
      <c r="W67" s="372"/>
      <c r="X67" s="191"/>
      <c r="Y67" s="372"/>
    </row>
  </sheetData>
  <mergeCells count="26">
    <mergeCell ref="F4:P4"/>
    <mergeCell ref="B36:Q37"/>
    <mergeCell ref="F39:H39"/>
    <mergeCell ref="J39:L39"/>
    <mergeCell ref="N39:P39"/>
    <mergeCell ref="C20:D20"/>
    <mergeCell ref="F5:H5"/>
    <mergeCell ref="J5:L5"/>
    <mergeCell ref="N5:P5"/>
    <mergeCell ref="F20:H20"/>
    <mergeCell ref="J20:L20"/>
    <mergeCell ref="N20:P20"/>
    <mergeCell ref="C54:D54"/>
    <mergeCell ref="F54:H54"/>
    <mergeCell ref="J54:L54"/>
    <mergeCell ref="N54:P54"/>
    <mergeCell ref="F53:P53"/>
    <mergeCell ref="R5:T5"/>
    <mergeCell ref="R20:T20"/>
    <mergeCell ref="R39:T39"/>
    <mergeCell ref="R54:T54"/>
    <mergeCell ref="V5:X5"/>
    <mergeCell ref="V20:X20"/>
    <mergeCell ref="V39:X39"/>
    <mergeCell ref="V54:X54"/>
    <mergeCell ref="F19:X19"/>
  </mergeCells>
  <conditionalFormatting sqref="G22:G30">
    <cfRule type="cellIs" dxfId="25" priority="33" operator="lessThan">
      <formula>0</formula>
    </cfRule>
    <cfRule type="cellIs" dxfId="24" priority="34" operator="greaterThan">
      <formula>0</formula>
    </cfRule>
  </conditionalFormatting>
  <conditionalFormatting sqref="K22:K30">
    <cfRule type="cellIs" dxfId="23" priority="31" operator="lessThan">
      <formula>0</formula>
    </cfRule>
    <cfRule type="cellIs" dxfId="22" priority="32" operator="greaterThan">
      <formula>0</formula>
    </cfRule>
  </conditionalFormatting>
  <conditionalFormatting sqref="O22:O30">
    <cfRule type="cellIs" dxfId="21" priority="29" operator="lessThan">
      <formula>0</formula>
    </cfRule>
    <cfRule type="cellIs" dxfId="20" priority="30" operator="greaterThan">
      <formula>0</formula>
    </cfRule>
  </conditionalFormatting>
  <conditionalFormatting sqref="G56:G63">
    <cfRule type="cellIs" dxfId="19" priority="25" operator="lessThan">
      <formula>0</formula>
    </cfRule>
    <cfRule type="cellIs" dxfId="18" priority="26" operator="greaterThan">
      <formula>0</formula>
    </cfRule>
  </conditionalFormatting>
  <conditionalFormatting sqref="K56:K63">
    <cfRule type="cellIs" dxfId="17" priority="23" operator="lessThan">
      <formula>0</formula>
    </cfRule>
    <cfRule type="cellIs" dxfId="16" priority="24" operator="greaterThan">
      <formula>0</formula>
    </cfRule>
  </conditionalFormatting>
  <conditionalFormatting sqref="O56:O63">
    <cfRule type="cellIs" dxfId="15" priority="21" operator="lessThan">
      <formula>0</formula>
    </cfRule>
    <cfRule type="cellIs" dxfId="14" priority="22" operator="greaterThan">
      <formula>0</formula>
    </cfRule>
  </conditionalFormatting>
  <conditionalFormatting sqref="S56:S63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W56:W63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S22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S23:S30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W22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W23:W30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C2:I13"/>
  <sheetViews>
    <sheetView showGridLines="0" workbookViewId="0">
      <selection activeCell="E10" sqref="E10"/>
    </sheetView>
  </sheetViews>
  <sheetFormatPr defaultColWidth="9.140625" defaultRowHeight="15" x14ac:dyDescent="0.25"/>
  <cols>
    <col min="1" max="2" width="9.140625" style="97"/>
    <col min="3" max="3" width="27.140625" style="97" customWidth="1"/>
    <col min="4" max="4" width="11.7109375" style="97" bestFit="1" customWidth="1"/>
    <col min="5" max="5" width="16" style="97" customWidth="1"/>
    <col min="6" max="6" width="20.71093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373"/>
      <c r="D2" s="480" t="s">
        <v>289</v>
      </c>
      <c r="E2" s="481"/>
      <c r="F2" s="481"/>
      <c r="G2" s="374"/>
      <c r="H2" s="480" t="s">
        <v>290</v>
      </c>
      <c r="I2" s="481"/>
    </row>
    <row r="3" spans="3:9" ht="25.5" x14ac:dyDescent="0.25">
      <c r="C3" s="375" t="s">
        <v>291</v>
      </c>
      <c r="D3" s="375" t="s">
        <v>217</v>
      </c>
      <c r="E3" s="376" t="s">
        <v>292</v>
      </c>
      <c r="F3" s="377" t="s">
        <v>293</v>
      </c>
      <c r="G3" s="378"/>
      <c r="H3" s="379" t="s">
        <v>220</v>
      </c>
      <c r="I3" s="380" t="s">
        <v>213</v>
      </c>
    </row>
    <row r="4" spans="3:9" x14ac:dyDescent="0.25">
      <c r="C4" s="381" t="str">
        <f>VAC_Optim_Scenario!B17</f>
        <v>HCC In Office</v>
      </c>
      <c r="D4" s="382">
        <f>'Scenario deep dive'!C22</f>
        <v>1.755293</v>
      </c>
      <c r="E4" s="382">
        <f>VAC_Optim_Scenario!G17/1000000</f>
        <v>1</v>
      </c>
      <c r="F4" s="395">
        <f>VAC_Optim_Scenario!H17/1000000</f>
        <v>7.5</v>
      </c>
      <c r="G4" s="383"/>
      <c r="H4" s="384">
        <f>'[1]Scenario deep dive'!F23</f>
        <v>0.9</v>
      </c>
      <c r="I4" s="385">
        <f>(H4-D4)/D4</f>
        <v>-0.48726508907629668</v>
      </c>
    </row>
    <row r="5" spans="3:9" x14ac:dyDescent="0.25">
      <c r="C5" s="381" t="str">
        <f>VAC_Optim_Scenario!B18</f>
        <v>HCP MCM</v>
      </c>
      <c r="D5" s="382">
        <f>'Scenario deep dive'!C23</f>
        <v>5.3653728900000006</v>
      </c>
      <c r="E5" s="382">
        <f>VAC_Optim_Scenario!G18/1000000</f>
        <v>5.4</v>
      </c>
      <c r="F5" s="395">
        <f>VAC_Optim_Scenario!H18/1000000</f>
        <v>8.75</v>
      </c>
      <c r="G5" s="386"/>
      <c r="H5" s="384">
        <f>'[1]Scenario deep dive'!F24</f>
        <v>12.572464406098238</v>
      </c>
      <c r="I5" s="385">
        <f t="shared" ref="I5:I12" si="0">(H5-D5)/D5</f>
        <v>1.3432601356619291</v>
      </c>
    </row>
    <row r="6" spans="3:9" x14ac:dyDescent="0.25">
      <c r="C6" s="381" t="str">
        <f>VAC_Optim_Scenario!B19</f>
        <v>HCC Social</v>
      </c>
      <c r="D6" s="382">
        <f>'Scenario deep dive'!C24</f>
        <v>1.873</v>
      </c>
      <c r="E6" s="382">
        <f>VAC_Optim_Scenario!G19/1000000</f>
        <v>1.5994999999999999</v>
      </c>
      <c r="F6" s="395">
        <f>VAC_Optim_Scenario!H19/1000000</f>
        <v>6.5</v>
      </c>
      <c r="G6" s="386"/>
      <c r="H6" s="384">
        <f>'[1]Scenario deep dive'!F25</f>
        <v>1.8</v>
      </c>
      <c r="I6" s="385">
        <f t="shared" si="0"/>
        <v>-3.897490656700478E-2</v>
      </c>
    </row>
    <row r="7" spans="3:9" x14ac:dyDescent="0.25">
      <c r="C7" s="381" t="str">
        <f>VAC_Optim_Scenario!B20</f>
        <v>HCC Online Video</v>
      </c>
      <c r="D7" s="382">
        <f>'Scenario deep dive'!C25</f>
        <v>0.17307694000000001</v>
      </c>
      <c r="E7" s="382">
        <f>VAC_Optim_Scenario!G20/1000000</f>
        <v>0.5</v>
      </c>
      <c r="F7" s="395">
        <f>VAC_Optim_Scenario!H20/1000000</f>
        <v>3.5</v>
      </c>
      <c r="G7" s="386"/>
      <c r="H7" s="384">
        <f>'[1]Scenario deep dive'!F26</f>
        <v>1.1000000000000001</v>
      </c>
      <c r="I7" s="385">
        <f t="shared" si="0"/>
        <v>5.3555549341235169</v>
      </c>
    </row>
    <row r="8" spans="3:9" x14ac:dyDescent="0.25">
      <c r="C8" s="381" t="str">
        <f>VAC_Optim_Scenario!B21</f>
        <v>HCC Streaming Video</v>
      </c>
      <c r="D8" s="382">
        <f>'Scenario deep dive'!C26</f>
        <v>6.1801250000000003</v>
      </c>
      <c r="E8" s="382">
        <f>VAC_Optim_Scenario!G21/1000000</f>
        <v>6.4637140000000004</v>
      </c>
      <c r="F8" s="395">
        <f>VAC_Optim_Scenario!H21/1000000</f>
        <v>12.070112999999999</v>
      </c>
      <c r="G8" s="386"/>
      <c r="H8" s="384">
        <f>'[1]Scenario deep dive'!F27</f>
        <v>9.4</v>
      </c>
      <c r="I8" s="385">
        <f t="shared" si="0"/>
        <v>0.52100483404461884</v>
      </c>
    </row>
    <row r="9" spans="3:9" x14ac:dyDescent="0.25">
      <c r="C9" s="381" t="str">
        <f>VAC_Optim_Scenario!B22</f>
        <v>HCC Display</v>
      </c>
      <c r="D9" s="382">
        <f>'Scenario deep dive'!C27</f>
        <v>1.64835737</v>
      </c>
      <c r="E9" s="382">
        <f>VAC_Optim_Scenario!G22/1000000</f>
        <v>1.5</v>
      </c>
      <c r="F9" s="395">
        <f>VAC_Optim_Scenario!H22/1000000</f>
        <v>3.5</v>
      </c>
      <c r="G9" s="386"/>
      <c r="H9" s="384">
        <f>'[1]Scenario deep dive'!F28</f>
        <v>2.9</v>
      </c>
      <c r="I9" s="385">
        <f t="shared" si="0"/>
        <v>0.75932722647395323</v>
      </c>
    </row>
    <row r="10" spans="3:9" x14ac:dyDescent="0.25">
      <c r="C10" s="381" t="str">
        <f>VAC_Optim_Scenario!B23</f>
        <v>HCC Paid Search</v>
      </c>
      <c r="D10" s="382">
        <f>'Scenario deep dive'!C28</f>
        <v>0.34470699999999999</v>
      </c>
      <c r="E10" s="382">
        <f>VAC_Optim_Scenario!G23/1000000</f>
        <v>0.3</v>
      </c>
      <c r="F10" s="395">
        <f>VAC_Optim_Scenario!H23/1000000</f>
        <v>0.39</v>
      </c>
      <c r="G10" s="386"/>
      <c r="H10" s="384">
        <f>'[1]Scenario deep dive'!F29</f>
        <v>0.15</v>
      </c>
      <c r="I10" s="385">
        <f t="shared" si="0"/>
        <v>-0.56484782728520166</v>
      </c>
    </row>
    <row r="11" spans="3:9" x14ac:dyDescent="0.25">
      <c r="C11" s="381" t="str">
        <f>VAC_Optim_Scenario!B24</f>
        <v>HCC Audio</v>
      </c>
      <c r="D11" s="382">
        <f>'Scenario deep dive'!C29</f>
        <v>1.4370484099999998</v>
      </c>
      <c r="E11" s="382">
        <f>VAC_Optim_Scenario!G24/1000000</f>
        <v>1.4</v>
      </c>
      <c r="F11" s="395">
        <f>VAC_Optim_Scenario!H24/1000000</f>
        <v>2.2000000000000002</v>
      </c>
      <c r="G11" s="386"/>
      <c r="H11" s="384">
        <f>'[1]Scenario deep dive'!F30</f>
        <v>0.6644169243574567</v>
      </c>
      <c r="I11" s="385">
        <f t="shared" si="0"/>
        <v>-0.53765167566104699</v>
      </c>
    </row>
    <row r="12" spans="3:9" x14ac:dyDescent="0.25">
      <c r="C12" s="381" t="str">
        <f>VAC_Optim_Scenario!B25</f>
        <v>HCC Linear TV</v>
      </c>
      <c r="D12" s="382">
        <f>'Scenario deep dive'!C30</f>
        <v>13.503524990000001</v>
      </c>
      <c r="E12" s="382">
        <f>VAC_Optim_Scenario!G25/1000000</f>
        <v>14.861789999999999</v>
      </c>
      <c r="F12" s="395">
        <f>VAC_Optim_Scenario!H25/1000000</f>
        <v>26.728065999999998</v>
      </c>
      <c r="G12" s="386"/>
      <c r="H12" s="384">
        <f>'[1]Scenario deep dive'!F31</f>
        <v>28.089210840000003</v>
      </c>
      <c r="I12" s="385">
        <f t="shared" si="0"/>
        <v>1.0801391385435575</v>
      </c>
    </row>
    <row r="13" spans="3:9" ht="20.25" x14ac:dyDescent="0.25">
      <c r="C13" s="387" t="s">
        <v>294</v>
      </c>
      <c r="D13" s="388">
        <f>SUM(D4:D12)</f>
        <v>32.280505599999998</v>
      </c>
      <c r="E13" s="388">
        <f>SUM(E4:E12)</f>
        <v>33.025003999999996</v>
      </c>
      <c r="F13" s="396">
        <f>SUM(F4:F12)</f>
        <v>71.138179000000008</v>
      </c>
      <c r="G13" s="386"/>
      <c r="H13" s="389">
        <f>SUM(H4:H12)</f>
        <v>57.576092170455695</v>
      </c>
      <c r="I13" s="390">
        <f>(H13-D13)/D13</f>
        <v>0.78361804130031032</v>
      </c>
    </row>
  </sheetData>
  <mergeCells count="2">
    <mergeCell ref="D2:F2"/>
    <mergeCell ref="H2:I2"/>
  </mergeCells>
  <conditionalFormatting sqref="I4:I1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16" zoomScale="90" zoomScaleNormal="90" workbookViewId="0">
      <selection activeCell="E32" sqref="E32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90" t="s">
        <v>274</v>
      </c>
      <c r="C4" s="491"/>
      <c r="D4" s="491"/>
      <c r="E4" s="491"/>
      <c r="F4" s="491"/>
      <c r="G4" s="491"/>
      <c r="H4" s="491"/>
      <c r="I4" s="491"/>
    </row>
    <row r="5" spans="1:14" x14ac:dyDescent="0.2">
      <c r="A5" s="48" t="s">
        <v>79</v>
      </c>
      <c r="B5" s="1" t="s">
        <v>127</v>
      </c>
      <c r="E5" s="492" t="s">
        <v>50</v>
      </c>
      <c r="F5" s="493"/>
      <c r="G5" s="493"/>
      <c r="H5" s="493"/>
      <c r="I5" s="494"/>
    </row>
    <row r="6" spans="1:14" x14ac:dyDescent="0.2">
      <c r="A6" s="48" t="s">
        <v>80</v>
      </c>
      <c r="B6" s="1" t="s">
        <v>193</v>
      </c>
      <c r="E6" s="495" t="s">
        <v>51</v>
      </c>
      <c r="F6" s="496"/>
      <c r="G6" s="496"/>
      <c r="H6" s="496"/>
      <c r="I6" s="497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J26</f>
        <v>1323423.2751637709</v>
      </c>
      <c r="I9" s="149">
        <v>40000000</v>
      </c>
    </row>
    <row r="10" spans="1:14" ht="13.5" thickBot="1" x14ac:dyDescent="0.25">
      <c r="A10" s="50"/>
      <c r="B10" s="1">
        <v>1.2391379644313874</v>
      </c>
      <c r="E10" s="1" t="s">
        <v>94</v>
      </c>
      <c r="I10" s="436">
        <f>I9/E26</f>
        <v>1.2391379644313874</v>
      </c>
    </row>
    <row r="11" spans="1:14" ht="26.25" thickBot="1" x14ac:dyDescent="0.2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25">
      <c r="A12" s="157" t="s">
        <v>158</v>
      </c>
      <c r="B12" s="158">
        <f>E26*B10</f>
        <v>40000000</v>
      </c>
      <c r="C12" s="159">
        <f>B12*E12</f>
        <v>0</v>
      </c>
      <c r="D12" s="159">
        <f>B12*F12</f>
        <v>40000000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25">
      <c r="L13" s="149">
        <f>G44</f>
        <v>248355760.34442478</v>
      </c>
      <c r="M13" s="113">
        <f>J44</f>
        <v>299014254.79050243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295"/>
      <c r="I14" s="56" t="s">
        <v>95</v>
      </c>
      <c r="J14" s="56" t="s">
        <v>96</v>
      </c>
    </row>
    <row r="15" spans="1:14" ht="27.75" customHeight="1" x14ac:dyDescent="0.2">
      <c r="A15" s="474" t="s">
        <v>2</v>
      </c>
      <c r="B15" s="476" t="s">
        <v>3</v>
      </c>
      <c r="C15" s="476" t="s">
        <v>38</v>
      </c>
      <c r="D15" s="476" t="s">
        <v>128</v>
      </c>
      <c r="E15" s="498" t="s">
        <v>86</v>
      </c>
      <c r="F15" s="500"/>
      <c r="G15" s="477" t="s">
        <v>131</v>
      </c>
      <c r="H15" s="478"/>
      <c r="I15" s="477" t="s">
        <v>89</v>
      </c>
      <c r="J15" s="478"/>
      <c r="K15" s="498" t="s">
        <v>90</v>
      </c>
      <c r="L15" s="499"/>
      <c r="M15" s="499"/>
      <c r="N15" s="500"/>
    </row>
    <row r="16" spans="1:14" ht="25.5" x14ac:dyDescent="0.2">
      <c r="A16" s="475"/>
      <c r="B16" s="475"/>
      <c r="C16" s="475"/>
      <c r="D16" s="475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8" t="s">
        <v>173</v>
      </c>
      <c r="B17" s="306" t="s">
        <v>223</v>
      </c>
      <c r="C17" s="54" t="s">
        <v>129</v>
      </c>
      <c r="D17" s="315">
        <v>1</v>
      </c>
      <c r="E17" s="326">
        <v>1755293</v>
      </c>
      <c r="F17" s="316">
        <f>GINOFF!I9</f>
        <v>34079.723304951563</v>
      </c>
      <c r="G17" s="329">
        <v>1000000</v>
      </c>
      <c r="H17" s="329">
        <v>7500000</v>
      </c>
      <c r="I17" s="330">
        <v>1000000</v>
      </c>
      <c r="J17" s="317">
        <f>GINOFF!F9</f>
        <v>22310.299479529262</v>
      </c>
      <c r="K17" s="318">
        <f>I17-E17</f>
        <v>-755293</v>
      </c>
      <c r="L17" s="318">
        <f>J17-F17</f>
        <v>-11769.423825422302</v>
      </c>
      <c r="M17" s="319">
        <f>K17/E17</f>
        <v>-0.43029454341810741</v>
      </c>
      <c r="N17" s="319">
        <f>L17/F17</f>
        <v>-0.34534974712404076</v>
      </c>
      <c r="O17" s="352">
        <f>E17/F17</f>
        <v>51.50549446347668</v>
      </c>
      <c r="P17" s="308">
        <f>G17/1000000</f>
        <v>1</v>
      </c>
      <c r="Q17" s="308">
        <f>H17/1000000</f>
        <v>7.5</v>
      </c>
    </row>
    <row r="18" spans="1:17" x14ac:dyDescent="0.2">
      <c r="A18" s="289" t="s">
        <v>173</v>
      </c>
      <c r="B18" s="307" t="s">
        <v>224</v>
      </c>
      <c r="C18" s="54" t="s">
        <v>129</v>
      </c>
      <c r="D18" s="320">
        <v>1</v>
      </c>
      <c r="E18" s="327">
        <v>5365372.8900000006</v>
      </c>
      <c r="F18" s="321">
        <f>GMCM!I9</f>
        <v>282596.87941192184</v>
      </c>
      <c r="G18" s="331">
        <v>5400000</v>
      </c>
      <c r="H18" s="331">
        <v>8750000</v>
      </c>
      <c r="I18" s="332">
        <v>8750000</v>
      </c>
      <c r="J18" s="322">
        <f>GMCM!F9</f>
        <v>379735.43931977358</v>
      </c>
      <c r="K18" s="323">
        <f>I18-E18</f>
        <v>3384627.1099999994</v>
      </c>
      <c r="L18" s="323">
        <f t="shared" ref="L18" si="0">J18-F18</f>
        <v>97138.559907851741</v>
      </c>
      <c r="M18" s="324">
        <f>K18/E18</f>
        <v>0.6308279367326507</v>
      </c>
      <c r="N18" s="324">
        <f t="shared" ref="N18:N24" si="1">L18/F18</f>
        <v>0.343735430164675</v>
      </c>
      <c r="O18" s="352">
        <f t="shared" ref="O18:O25" si="2">E18/F18</f>
        <v>18.98595943863651</v>
      </c>
      <c r="P18" s="308">
        <f t="shared" ref="P18:Q25" si="3">G18/1000000</f>
        <v>5.4</v>
      </c>
      <c r="Q18" s="308">
        <f t="shared" si="3"/>
        <v>8.75</v>
      </c>
    </row>
    <row r="19" spans="1:17" s="98" customFormat="1" x14ac:dyDescent="0.2">
      <c r="A19" s="289" t="s">
        <v>173</v>
      </c>
      <c r="B19" s="307" t="s">
        <v>225</v>
      </c>
      <c r="C19" s="54" t="s">
        <v>167</v>
      </c>
      <c r="D19" s="320">
        <v>1</v>
      </c>
      <c r="E19" s="327">
        <v>1873000</v>
      </c>
      <c r="F19" s="321">
        <f>GSOC!I9</f>
        <v>71243.17418511775</v>
      </c>
      <c r="G19" s="331">
        <v>1599500</v>
      </c>
      <c r="H19" s="331">
        <v>6500000</v>
      </c>
      <c r="I19" s="332">
        <v>2334495.9858692377</v>
      </c>
      <c r="J19" s="322">
        <f>GSOC!F9</f>
        <v>81308.598139807553</v>
      </c>
      <c r="K19" s="323">
        <f t="shared" ref="K19:K25" si="4">I19-E19</f>
        <v>461495.98586923769</v>
      </c>
      <c r="L19" s="323">
        <f t="shared" ref="L19:L25" si="5">J19-F19</f>
        <v>10065.423954689802</v>
      </c>
      <c r="M19" s="324">
        <f t="shared" ref="M19:M25" si="6">K19/E19</f>
        <v>0.24639401274385353</v>
      </c>
      <c r="N19" s="324">
        <f t="shared" si="1"/>
        <v>0.14128264314186617</v>
      </c>
      <c r="O19" s="352">
        <f t="shared" si="2"/>
        <v>26.290237926979646</v>
      </c>
      <c r="P19" s="308">
        <f t="shared" si="3"/>
        <v>1.5994999999999999</v>
      </c>
      <c r="Q19" s="308">
        <f t="shared" si="3"/>
        <v>6.5</v>
      </c>
    </row>
    <row r="20" spans="1:17" s="98" customFormat="1" x14ac:dyDescent="0.2">
      <c r="A20" s="289" t="s">
        <v>173</v>
      </c>
      <c r="B20" s="307" t="s">
        <v>243</v>
      </c>
      <c r="C20" s="54" t="s">
        <v>129</v>
      </c>
      <c r="D20" s="320">
        <v>1</v>
      </c>
      <c r="E20" s="327">
        <v>173076.94</v>
      </c>
      <c r="F20" s="321">
        <f>GOLV!I9</f>
        <v>7568.2941111773252</v>
      </c>
      <c r="G20" s="331">
        <v>500000</v>
      </c>
      <c r="H20" s="331">
        <v>3500000</v>
      </c>
      <c r="I20" s="332">
        <v>500000</v>
      </c>
      <c r="J20" s="322">
        <f>GOLV!F9</f>
        <v>13095.1080400832</v>
      </c>
      <c r="K20" s="323">
        <f t="shared" si="4"/>
        <v>326923.06</v>
      </c>
      <c r="L20" s="323">
        <f t="shared" si="5"/>
        <v>5526.8139289058745</v>
      </c>
      <c r="M20" s="324">
        <f t="shared" si="6"/>
        <v>1.8888886064197807</v>
      </c>
      <c r="N20" s="324">
        <f t="shared" si="1"/>
        <v>0.73025887309843485</v>
      </c>
      <c r="O20" s="352">
        <f t="shared" si="2"/>
        <v>22.868685790684225</v>
      </c>
      <c r="P20" s="308">
        <f t="shared" si="3"/>
        <v>0.5</v>
      </c>
      <c r="Q20" s="308">
        <f t="shared" si="3"/>
        <v>3.5</v>
      </c>
    </row>
    <row r="21" spans="1:17" s="98" customFormat="1" x14ac:dyDescent="0.2">
      <c r="A21" s="289" t="s">
        <v>173</v>
      </c>
      <c r="B21" s="307" t="s">
        <v>245</v>
      </c>
      <c r="C21" s="54" t="s">
        <v>167</v>
      </c>
      <c r="D21" s="320">
        <v>1</v>
      </c>
      <c r="E21" s="327">
        <v>6180125</v>
      </c>
      <c r="F21" s="321">
        <f>GSTRV!H9</f>
        <v>144657.20917756393</v>
      </c>
      <c r="G21" s="331">
        <v>6463714</v>
      </c>
      <c r="H21" s="331">
        <v>12070113</v>
      </c>
      <c r="I21" s="332">
        <v>6463714</v>
      </c>
      <c r="J21" s="322">
        <f>GSTRV!F9</f>
        <v>149272.39229083114</v>
      </c>
      <c r="K21" s="323">
        <f t="shared" si="4"/>
        <v>283589</v>
      </c>
      <c r="L21" s="323">
        <f t="shared" si="5"/>
        <v>4615.1831132672087</v>
      </c>
      <c r="M21" s="324">
        <f t="shared" si="6"/>
        <v>4.5887259561902066E-2</v>
      </c>
      <c r="N21" s="324">
        <f t="shared" si="1"/>
        <v>3.1904273139973002E-2</v>
      </c>
      <c r="O21" s="352">
        <f t="shared" si="2"/>
        <v>42.722551023461378</v>
      </c>
      <c r="P21" s="308">
        <f t="shared" si="3"/>
        <v>6.4637140000000004</v>
      </c>
      <c r="Q21" s="308">
        <f t="shared" si="3"/>
        <v>12.070112999999999</v>
      </c>
    </row>
    <row r="22" spans="1:17" s="98" customFormat="1" x14ac:dyDescent="0.2">
      <c r="A22" s="289" t="s">
        <v>173</v>
      </c>
      <c r="B22" s="307" t="s">
        <v>226</v>
      </c>
      <c r="C22" s="54" t="s">
        <v>129</v>
      </c>
      <c r="D22" s="320">
        <v>1</v>
      </c>
      <c r="E22" s="327">
        <v>1648357.37</v>
      </c>
      <c r="F22" s="321">
        <f>GDISP!I9</f>
        <v>104116.36986385845</v>
      </c>
      <c r="G22" s="331">
        <v>1500000</v>
      </c>
      <c r="H22" s="331">
        <v>3500000</v>
      </c>
      <c r="I22" s="332">
        <v>3500000</v>
      </c>
      <c r="J22" s="322">
        <f>GDISP!F9</f>
        <v>172806.84541229345</v>
      </c>
      <c r="K22" s="323">
        <f t="shared" si="4"/>
        <v>1851642.63</v>
      </c>
      <c r="L22" s="323">
        <f t="shared" si="5"/>
        <v>68690.475548435003</v>
      </c>
      <c r="M22" s="324">
        <f t="shared" si="6"/>
        <v>1.1233259629858054</v>
      </c>
      <c r="N22" s="324">
        <f t="shared" si="1"/>
        <v>0.65974712370642585</v>
      </c>
      <c r="O22" s="352">
        <f t="shared" si="2"/>
        <v>15.831875161949808</v>
      </c>
      <c r="P22" s="308">
        <f t="shared" si="3"/>
        <v>1.5</v>
      </c>
      <c r="Q22" s="308">
        <f t="shared" si="3"/>
        <v>3.5</v>
      </c>
    </row>
    <row r="23" spans="1:17" s="98" customFormat="1" x14ac:dyDescent="0.2">
      <c r="A23" s="289" t="s">
        <v>173</v>
      </c>
      <c r="B23" s="307" t="s">
        <v>227</v>
      </c>
      <c r="C23" s="54" t="s">
        <v>167</v>
      </c>
      <c r="D23" s="320">
        <v>1</v>
      </c>
      <c r="E23" s="327">
        <v>344707</v>
      </c>
      <c r="F23" s="321">
        <f>GSEARCH!I9</f>
        <v>130694.08808973072</v>
      </c>
      <c r="G23" s="331">
        <v>300000</v>
      </c>
      <c r="H23" s="331">
        <v>390000</v>
      </c>
      <c r="I23" s="332">
        <v>390000</v>
      </c>
      <c r="J23" s="322">
        <f>GSEARCH!F9</f>
        <v>142490.56083211911</v>
      </c>
      <c r="K23" s="323">
        <f t="shared" si="4"/>
        <v>45293</v>
      </c>
      <c r="L23" s="323">
        <f t="shared" si="5"/>
        <v>11796.472742388389</v>
      </c>
      <c r="M23" s="324">
        <f t="shared" si="6"/>
        <v>0.13139564905847576</v>
      </c>
      <c r="N23" s="324">
        <f t="shared" si="1"/>
        <v>9.0260186323724734E-2</v>
      </c>
      <c r="O23" s="352">
        <f t="shared" si="2"/>
        <v>2.6375102733287696</v>
      </c>
      <c r="P23" s="308">
        <f t="shared" si="3"/>
        <v>0.3</v>
      </c>
      <c r="Q23" s="308">
        <f t="shared" si="3"/>
        <v>0.39</v>
      </c>
    </row>
    <row r="24" spans="1:17" x14ac:dyDescent="0.2">
      <c r="A24" s="289" t="s">
        <v>173</v>
      </c>
      <c r="B24" s="307" t="s">
        <v>285</v>
      </c>
      <c r="C24" s="54" t="s">
        <v>167</v>
      </c>
      <c r="D24" s="320">
        <v>1</v>
      </c>
      <c r="E24" s="327">
        <v>1437048.41</v>
      </c>
      <c r="F24" s="321">
        <f>GRADIO!I9</f>
        <v>70569.092436493243</v>
      </c>
      <c r="G24" s="331">
        <v>1400000</v>
      </c>
      <c r="H24" s="331">
        <v>2200000</v>
      </c>
      <c r="I24" s="332">
        <v>2200000</v>
      </c>
      <c r="J24" s="322">
        <f>GRADIO!F9</f>
        <v>91114.039550668633</v>
      </c>
      <c r="K24" s="323">
        <f t="shared" si="4"/>
        <v>762951.59000000008</v>
      </c>
      <c r="L24" s="323">
        <f t="shared" si="5"/>
        <v>20544.947114175389</v>
      </c>
      <c r="M24" s="324">
        <f t="shared" si="6"/>
        <v>0.53091571911624058</v>
      </c>
      <c r="N24" s="324">
        <f t="shared" si="1"/>
        <v>0.29113236977879886</v>
      </c>
      <c r="O24" s="352">
        <f t="shared" si="2"/>
        <v>20.363708252210174</v>
      </c>
      <c r="P24" s="308">
        <f t="shared" si="3"/>
        <v>1.4</v>
      </c>
      <c r="Q24" s="308">
        <f t="shared" si="3"/>
        <v>2.2000000000000002</v>
      </c>
    </row>
    <row r="25" spans="1:17" s="98" customFormat="1" x14ac:dyDescent="0.2">
      <c r="A25" s="289" t="s">
        <v>173</v>
      </c>
      <c r="B25" s="307" t="s">
        <v>304</v>
      </c>
      <c r="C25" s="54" t="s">
        <v>167</v>
      </c>
      <c r="D25" s="320">
        <v>1</v>
      </c>
      <c r="E25" s="327">
        <v>13503524.99</v>
      </c>
      <c r="F25" s="321">
        <f>GTV!I9</f>
        <v>253686.28893952153</v>
      </c>
      <c r="G25" s="355">
        <v>14861790</v>
      </c>
      <c r="H25" s="355">
        <v>26728066</v>
      </c>
      <c r="I25" s="332">
        <v>14861790</v>
      </c>
      <c r="J25" s="322">
        <f>GTV!F9</f>
        <v>271289.99209866516</v>
      </c>
      <c r="K25" s="323">
        <f t="shared" si="4"/>
        <v>1358265.0099999998</v>
      </c>
      <c r="L25" s="323">
        <f t="shared" si="5"/>
        <v>17603.703159143624</v>
      </c>
      <c r="M25" s="324">
        <f t="shared" si="6"/>
        <v>0.10058595892597373</v>
      </c>
      <c r="N25" s="324">
        <f t="shared" ref="N25" si="7">L25/F25</f>
        <v>6.9391622356619845E-2</v>
      </c>
      <c r="O25" s="352">
        <f t="shared" si="2"/>
        <v>53.229226721114685</v>
      </c>
      <c r="P25" s="308">
        <f t="shared" si="3"/>
        <v>14.861789999999999</v>
      </c>
      <c r="Q25" s="308">
        <f t="shared" si="3"/>
        <v>26.728065999999998</v>
      </c>
    </row>
    <row r="26" spans="1:17" s="98" customFormat="1" x14ac:dyDescent="0.2">
      <c r="A26" s="127" t="s">
        <v>154</v>
      </c>
      <c r="B26" s="127" t="s">
        <v>99</v>
      </c>
      <c r="C26" s="127"/>
      <c r="D26" s="325"/>
      <c r="E26" s="328">
        <f>SUM(E17:E25)</f>
        <v>32280505.600000001</v>
      </c>
      <c r="F26" s="334">
        <f t="shared" ref="F26:L26" si="8">SUM(F17:F25)</f>
        <v>1099211.1195203364</v>
      </c>
      <c r="G26" s="333">
        <f t="shared" si="8"/>
        <v>33025004</v>
      </c>
      <c r="H26" s="333">
        <f t="shared" si="8"/>
        <v>71138179</v>
      </c>
      <c r="I26" s="333">
        <f t="shared" si="8"/>
        <v>39999999.985869236</v>
      </c>
      <c r="J26" s="334">
        <f t="shared" si="8"/>
        <v>1323423.2751637709</v>
      </c>
      <c r="K26" s="333">
        <f t="shared" si="8"/>
        <v>7719494.3858692367</v>
      </c>
      <c r="L26" s="165">
        <f t="shared" si="8"/>
        <v>224212.1556434347</v>
      </c>
      <c r="M26" s="166">
        <f>K26/E26</f>
        <v>0.23913796399363821</v>
      </c>
      <c r="N26" s="166">
        <f>L26/F26</f>
        <v>0.20397551631507724</v>
      </c>
    </row>
    <row r="27" spans="1:17" x14ac:dyDescent="0.2">
      <c r="E27" s="113"/>
    </row>
    <row r="29" spans="1:17" x14ac:dyDescent="0.2">
      <c r="J29" s="342"/>
      <c r="K29" s="87"/>
    </row>
    <row r="30" spans="1:17" s="98" customFormat="1" x14ac:dyDescent="0.2">
      <c r="D30" s="505" t="s">
        <v>154</v>
      </c>
      <c r="E30" s="505"/>
      <c r="F30" s="505"/>
      <c r="G30" s="505"/>
      <c r="H30" s="505"/>
      <c r="I30" s="505"/>
      <c r="J30" s="504"/>
      <c r="K30" s="504"/>
      <c r="L30" s="504"/>
      <c r="M30" s="504"/>
      <c r="N30" s="504"/>
      <c r="O30" s="504"/>
      <c r="P30" s="134"/>
    </row>
    <row r="31" spans="1:17" ht="51" x14ac:dyDescent="0.2">
      <c r="A31" s="507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507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506" t="s">
        <v>2</v>
      </c>
      <c r="B33" s="476" t="s">
        <v>3</v>
      </c>
      <c r="C33" s="476" t="str">
        <f t="shared" ref="C33:C43" si="9">D15</f>
        <v>Response Scaling Factor for Sensitivity Analysis</v>
      </c>
      <c r="D33" s="501" t="s">
        <v>86</v>
      </c>
      <c r="E33" s="502"/>
      <c r="F33" s="502"/>
      <c r="G33" s="503"/>
      <c r="H33" s="488" t="s">
        <v>89</v>
      </c>
      <c r="I33" s="489"/>
      <c r="J33" s="489"/>
      <c r="K33" s="501" t="s">
        <v>136</v>
      </c>
      <c r="L33" s="502"/>
      <c r="M33" s="502"/>
      <c r="N33" s="503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75"/>
      <c r="B34" s="475"/>
      <c r="C34" s="475">
        <f t="shared" si="9"/>
        <v>0</v>
      </c>
      <c r="D34" s="93" t="s">
        <v>265</v>
      </c>
      <c r="E34" s="93" t="s">
        <v>133</v>
      </c>
      <c r="F34" s="93" t="s">
        <v>134</v>
      </c>
      <c r="G34" s="93" t="s">
        <v>146</v>
      </c>
      <c r="H34" s="55" t="s">
        <v>266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206</v>
      </c>
    </row>
    <row r="35" spans="1:22" x14ac:dyDescent="0.2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1755293</v>
      </c>
      <c r="E35" s="269" t="s">
        <v>166</v>
      </c>
      <c r="F35" s="101">
        <f t="shared" ref="F35:F43" si="12">F17/$D$32</f>
        <v>34079.723304951563</v>
      </c>
      <c r="G35" s="103">
        <f>F35*$F$32</f>
        <v>7699972.6835207557</v>
      </c>
      <c r="H35" s="105">
        <f t="shared" ref="H35:H43" si="13">I17</f>
        <v>1000000</v>
      </c>
      <c r="I35" s="101">
        <f>J17/$D$32</f>
        <v>22310.299479529262</v>
      </c>
      <c r="J35" s="107">
        <f>I35*$F$32</f>
        <v>5040789.0644048415</v>
      </c>
      <c r="K35" s="99">
        <f>H35-D35</f>
        <v>-755293</v>
      </c>
      <c r="L35" s="99">
        <f>J35-G35</f>
        <v>-2659183.6191159142</v>
      </c>
      <c r="M35" s="109">
        <f>K35/D35</f>
        <v>-0.43029454341810741</v>
      </c>
      <c r="N35" s="110">
        <f>L35/G35</f>
        <v>-0.34534974712404071</v>
      </c>
      <c r="O35" s="148"/>
      <c r="P35" s="336">
        <f>(J35-G35)/1000000</f>
        <v>-2.6591836191159142</v>
      </c>
    </row>
    <row r="36" spans="1:22" x14ac:dyDescent="0.2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5365372.8900000006</v>
      </c>
      <c r="E36" s="270" t="s">
        <v>166</v>
      </c>
      <c r="F36" s="102">
        <f t="shared" si="12"/>
        <v>282596.87941192184</v>
      </c>
      <c r="G36" s="104">
        <f t="shared" ref="G36:G43" si="14">F36*$F$32</f>
        <v>63849938.934329621</v>
      </c>
      <c r="H36" s="106">
        <f t="shared" si="13"/>
        <v>8750000</v>
      </c>
      <c r="I36" s="102">
        <f t="shared" ref="I36:I43" si="15">J18/$D$32</f>
        <v>379735.43931977358</v>
      </c>
      <c r="J36" s="108">
        <f t="shared" ref="J36" si="16">I36*$F$32</f>
        <v>85797425.159909636</v>
      </c>
      <c r="K36" s="100">
        <f t="shared" ref="K36" si="17">H36-D36</f>
        <v>3384627.1099999994</v>
      </c>
      <c r="L36" s="100">
        <f t="shared" ref="L36" si="18">J36-G36</f>
        <v>21947486.225580014</v>
      </c>
      <c r="M36" s="111">
        <f t="shared" ref="M36" si="19">K36/D36</f>
        <v>0.6308279367326507</v>
      </c>
      <c r="N36" s="112">
        <f t="shared" ref="N36" si="20">L36/G36</f>
        <v>0.34373543016467484</v>
      </c>
      <c r="O36" s="148"/>
      <c r="P36" s="336">
        <f t="shared" ref="P36:P43" si="21">(J36-G36)/1000000</f>
        <v>21.947486225580015</v>
      </c>
    </row>
    <row r="37" spans="1:22" s="98" customFormat="1" x14ac:dyDescent="0.2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1873000</v>
      </c>
      <c r="E37" s="270" t="s">
        <v>166</v>
      </c>
      <c r="F37" s="102">
        <f t="shared" si="12"/>
        <v>71243.17418511775</v>
      </c>
      <c r="G37" s="104">
        <f t="shared" si="14"/>
        <v>16096682.775385505</v>
      </c>
      <c r="H37" s="106">
        <f t="shared" si="13"/>
        <v>2334495.9858692377</v>
      </c>
      <c r="I37" s="102">
        <f t="shared" si="15"/>
        <v>81308.598139807553</v>
      </c>
      <c r="J37" s="108">
        <f t="shared" ref="J37:J43" si="22">I37*$F$32</f>
        <v>18370864.663708117</v>
      </c>
      <c r="K37" s="100">
        <f t="shared" ref="K37:K43" si="23">H37-D37</f>
        <v>461495.98586923769</v>
      </c>
      <c r="L37" s="100">
        <f t="shared" ref="L37:L43" si="24">J37-G37</f>
        <v>2274181.8883226123</v>
      </c>
      <c r="M37" s="111">
        <f t="shared" ref="M37:M43" si="25">K37/D37</f>
        <v>0.24639401274385353</v>
      </c>
      <c r="N37" s="112">
        <f t="shared" ref="N37:N43" si="26">L37/G37</f>
        <v>0.14128264314186606</v>
      </c>
      <c r="O37" s="148"/>
      <c r="P37" s="336">
        <f t="shared" si="21"/>
        <v>2.2741818883226124</v>
      </c>
    </row>
    <row r="38" spans="1:22" s="98" customFormat="1" x14ac:dyDescent="0.2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173076.94</v>
      </c>
      <c r="E38" s="270" t="s">
        <v>166</v>
      </c>
      <c r="F38" s="102">
        <f t="shared" si="12"/>
        <v>7568.2941111773252</v>
      </c>
      <c r="G38" s="104">
        <f t="shared" si="14"/>
        <v>1709980.3714794049</v>
      </c>
      <c r="H38" s="106">
        <f t="shared" si="13"/>
        <v>500000</v>
      </c>
      <c r="I38" s="102">
        <f t="shared" si="15"/>
        <v>13095.1080400832</v>
      </c>
      <c r="J38" s="108">
        <f t="shared" si="22"/>
        <v>2958708.7105763983</v>
      </c>
      <c r="K38" s="100">
        <f t="shared" si="23"/>
        <v>326923.06</v>
      </c>
      <c r="L38" s="100">
        <f t="shared" si="24"/>
        <v>1248728.3390969934</v>
      </c>
      <c r="M38" s="111">
        <f t="shared" si="25"/>
        <v>1.8888886064197807</v>
      </c>
      <c r="N38" s="112">
        <f t="shared" si="26"/>
        <v>0.73025887309843496</v>
      </c>
      <c r="O38" s="148"/>
      <c r="P38" s="336">
        <f t="shared" si="21"/>
        <v>1.2487283390969934</v>
      </c>
    </row>
    <row r="39" spans="1:22" s="98" customFormat="1" x14ac:dyDescent="0.2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6180125</v>
      </c>
      <c r="E39" s="270" t="s">
        <v>166</v>
      </c>
      <c r="F39" s="102">
        <f t="shared" si="12"/>
        <v>144657.20917756393</v>
      </c>
      <c r="G39" s="104">
        <f t="shared" si="14"/>
        <v>32683849.841578793</v>
      </c>
      <c r="H39" s="106">
        <f t="shared" si="13"/>
        <v>6463714</v>
      </c>
      <c r="I39" s="102">
        <f t="shared" si="15"/>
        <v>149272.39229083114</v>
      </c>
      <c r="J39" s="108">
        <f t="shared" si="22"/>
        <v>33726604.314190388</v>
      </c>
      <c r="K39" s="100">
        <f t="shared" si="23"/>
        <v>283589</v>
      </c>
      <c r="L39" s="100">
        <f t="shared" si="24"/>
        <v>1042754.4726115949</v>
      </c>
      <c r="M39" s="111">
        <f t="shared" si="25"/>
        <v>4.5887259561902066E-2</v>
      </c>
      <c r="N39" s="112">
        <f t="shared" si="26"/>
        <v>3.1904273139973058E-2</v>
      </c>
      <c r="O39" s="148"/>
      <c r="P39" s="336">
        <f t="shared" si="21"/>
        <v>1.0427544726115949</v>
      </c>
    </row>
    <row r="40" spans="1:22" s="98" customFormat="1" x14ac:dyDescent="0.2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1648357.37</v>
      </c>
      <c r="E40" s="270" t="s">
        <v>166</v>
      </c>
      <c r="F40" s="102">
        <f t="shared" si="12"/>
        <v>104116.36986385845</v>
      </c>
      <c r="G40" s="104">
        <f t="shared" si="14"/>
        <v>23524052.607040178</v>
      </c>
      <c r="H40" s="106">
        <f t="shared" si="13"/>
        <v>3500000</v>
      </c>
      <c r="I40" s="102">
        <f t="shared" si="15"/>
        <v>172806.84541229345</v>
      </c>
      <c r="J40" s="108">
        <f t="shared" si="22"/>
        <v>39043978.652453579</v>
      </c>
      <c r="K40" s="100">
        <f t="shared" si="23"/>
        <v>1851642.63</v>
      </c>
      <c r="L40" s="100">
        <f t="shared" si="24"/>
        <v>15519926.045413401</v>
      </c>
      <c r="M40" s="111">
        <f t="shared" si="25"/>
        <v>1.1233259629858054</v>
      </c>
      <c r="N40" s="112">
        <f t="shared" si="26"/>
        <v>0.65974712370642563</v>
      </c>
      <c r="O40" s="148"/>
      <c r="P40" s="336">
        <f t="shared" si="21"/>
        <v>15.519926045413401</v>
      </c>
    </row>
    <row r="41" spans="1:22" x14ac:dyDescent="0.2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344707</v>
      </c>
      <c r="E41" s="270" t="s">
        <v>166</v>
      </c>
      <c r="F41" s="102">
        <f t="shared" si="12"/>
        <v>130694.08808973072</v>
      </c>
      <c r="G41" s="104">
        <f t="shared" si="14"/>
        <v>29529022.26299376</v>
      </c>
      <c r="H41" s="106">
        <f t="shared" si="13"/>
        <v>390000</v>
      </c>
      <c r="I41" s="102">
        <f t="shared" si="15"/>
        <v>142490.56083211911</v>
      </c>
      <c r="J41" s="108">
        <f t="shared" si="22"/>
        <v>32194317.314408991</v>
      </c>
      <c r="K41" s="100">
        <f t="shared" si="23"/>
        <v>45293</v>
      </c>
      <c r="L41" s="100">
        <f t="shared" si="24"/>
        <v>2665295.0514152311</v>
      </c>
      <c r="M41" s="111">
        <f t="shared" si="25"/>
        <v>0.13139564905847576</v>
      </c>
      <c r="N41" s="112">
        <f t="shared" si="26"/>
        <v>9.0260186323724678E-2</v>
      </c>
      <c r="O41" s="148"/>
      <c r="P41" s="336">
        <f t="shared" si="21"/>
        <v>2.6652950514152312</v>
      </c>
    </row>
    <row r="42" spans="1:22" s="98" customFormat="1" x14ac:dyDescent="0.2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1437048.41</v>
      </c>
      <c r="E42" s="270" t="s">
        <v>166</v>
      </c>
      <c r="F42" s="102">
        <f t="shared" si="12"/>
        <v>70569.092436493243</v>
      </c>
      <c r="G42" s="104">
        <f t="shared" si="14"/>
        <v>15944380.745101282</v>
      </c>
      <c r="H42" s="106">
        <f t="shared" si="13"/>
        <v>2200000</v>
      </c>
      <c r="I42" s="102">
        <f t="shared" si="15"/>
        <v>91114.039550668633</v>
      </c>
      <c r="J42" s="108">
        <f t="shared" si="22"/>
        <v>20586306.096078072</v>
      </c>
      <c r="K42" s="100">
        <f t="shared" si="23"/>
        <v>762951.59000000008</v>
      </c>
      <c r="L42" s="100">
        <f t="shared" si="24"/>
        <v>4641925.3509767894</v>
      </c>
      <c r="M42" s="111">
        <f t="shared" si="25"/>
        <v>0.53091571911624058</v>
      </c>
      <c r="N42" s="112">
        <f t="shared" si="26"/>
        <v>0.29113236977879903</v>
      </c>
      <c r="O42" s="148"/>
      <c r="P42" s="336">
        <f t="shared" si="21"/>
        <v>4.6419253509767895</v>
      </c>
    </row>
    <row r="43" spans="1:22" s="98" customFormat="1" x14ac:dyDescent="0.2">
      <c r="A43" s="253" t="str">
        <f>A25</f>
        <v>Gardasil Adolescents</v>
      </c>
      <c r="B43" s="253" t="str">
        <f>B25</f>
        <v>HCC Linear TV</v>
      </c>
      <c r="C43" s="320">
        <f t="shared" si="9"/>
        <v>1</v>
      </c>
      <c r="D43" s="100">
        <f t="shared" si="11"/>
        <v>13503524.99</v>
      </c>
      <c r="E43" s="270" t="s">
        <v>166</v>
      </c>
      <c r="F43" s="102">
        <f t="shared" si="12"/>
        <v>253686.28893952153</v>
      </c>
      <c r="G43" s="104">
        <f t="shared" si="14"/>
        <v>57317880.122995496</v>
      </c>
      <c r="H43" s="106">
        <f t="shared" si="13"/>
        <v>14861790</v>
      </c>
      <c r="I43" s="102">
        <f t="shared" si="15"/>
        <v>271289.99209866516</v>
      </c>
      <c r="J43" s="108">
        <f t="shared" si="22"/>
        <v>61295260.814772405</v>
      </c>
      <c r="K43" s="100">
        <f t="shared" si="23"/>
        <v>1358265.0099999998</v>
      </c>
      <c r="L43" s="100">
        <f t="shared" si="24"/>
        <v>3977380.6917769089</v>
      </c>
      <c r="M43" s="111">
        <f t="shared" si="25"/>
        <v>0.10058595892597373</v>
      </c>
      <c r="N43" s="112">
        <f t="shared" si="26"/>
        <v>6.9391622356619817E-2</v>
      </c>
      <c r="O43" s="148"/>
      <c r="P43" s="336">
        <f t="shared" si="21"/>
        <v>3.9773806917769088</v>
      </c>
    </row>
    <row r="44" spans="1:22" s="98" customFormat="1" x14ac:dyDescent="0.2">
      <c r="A44" s="128" t="s">
        <v>154</v>
      </c>
      <c r="B44" s="128" t="s">
        <v>99</v>
      </c>
      <c r="C44" s="335"/>
      <c r="D44" s="131">
        <f>SUM(D35:D43)</f>
        <v>32280505.600000001</v>
      </c>
      <c r="E44" s="271"/>
      <c r="F44" s="130">
        <f>SUM(F35:F43)</f>
        <v>1099211.1195203364</v>
      </c>
      <c r="G44" s="131">
        <f>SUM(G35:G43)</f>
        <v>248355760.34442478</v>
      </c>
      <c r="H44" s="131">
        <f>SUM(H35:H43)</f>
        <v>39999999.985869236</v>
      </c>
      <c r="I44" s="130">
        <f>SUM(I35:I43)</f>
        <v>1323423.2751637709</v>
      </c>
      <c r="J44" s="131">
        <f>SUM(J35:J43)</f>
        <v>299014254.79050243</v>
      </c>
      <c r="K44" s="131">
        <f t="shared" ref="K44" si="27">H44-D44</f>
        <v>7719494.3858692348</v>
      </c>
      <c r="L44" s="131">
        <f t="shared" ref="L44" si="28">J44-G44</f>
        <v>50658494.446077645</v>
      </c>
      <c r="M44" s="129">
        <f t="shared" ref="M44" si="29">K44/D44</f>
        <v>0.23913796399363815</v>
      </c>
      <c r="N44" s="132">
        <f t="shared" ref="N44" si="30">L44/G44</f>
        <v>0.20397551631507729</v>
      </c>
    </row>
    <row r="45" spans="1:22" x14ac:dyDescent="0.2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3"/>
      <c r="F48" s="35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3"/>
      <c r="F49" s="35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3"/>
      <c r="F50" s="354"/>
    </row>
    <row r="51" spans="4:14" x14ac:dyDescent="0.2">
      <c r="E51" s="274"/>
      <c r="F51" s="354"/>
    </row>
    <row r="52" spans="4:14" x14ac:dyDescent="0.2">
      <c r="E52" s="274"/>
      <c r="F52" s="354"/>
    </row>
    <row r="53" spans="4:14" x14ac:dyDescent="0.2">
      <c r="E53" s="274"/>
      <c r="F53" s="354"/>
    </row>
    <row r="54" spans="4:14" x14ac:dyDescent="0.2">
      <c r="E54" s="274"/>
      <c r="F54" s="354"/>
    </row>
    <row r="55" spans="4:14" x14ac:dyDescent="0.2">
      <c r="E55" s="274"/>
      <c r="F55" s="354"/>
    </row>
    <row r="56" spans="4:14" x14ac:dyDescent="0.2">
      <c r="F56" s="354"/>
    </row>
    <row r="57" spans="4:14" x14ac:dyDescent="0.2">
      <c r="F57" s="354"/>
    </row>
    <row r="58" spans="4:14" x14ac:dyDescent="0.2">
      <c r="F58" s="354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C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08" t="s">
        <v>106</v>
      </c>
      <c r="C4" s="508"/>
      <c r="D4" s="508"/>
      <c r="E4" s="508"/>
      <c r="F4" s="509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0" t="s">
        <v>8</v>
      </c>
      <c r="B7" s="513" t="s">
        <v>9</v>
      </c>
      <c r="C7" s="514"/>
      <c r="D7" s="515" t="s">
        <v>12</v>
      </c>
      <c r="E7" s="516"/>
      <c r="F7" s="517"/>
      <c r="G7" s="513" t="s">
        <v>124</v>
      </c>
      <c r="H7" s="513"/>
      <c r="I7" s="518"/>
      <c r="J7" s="98" t="s">
        <v>125</v>
      </c>
    </row>
    <row r="8" spans="1:18" ht="28.15" customHeight="1" x14ac:dyDescent="0.2">
      <c r="A8" s="51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2"/>
      <c r="B9" s="95">
        <f>VAC_Optim_Scenario!G17</f>
        <v>1000000</v>
      </c>
      <c r="C9" s="95">
        <f>VAC_Optim_Scenario!H17</f>
        <v>7500000</v>
      </c>
      <c r="D9" s="68">
        <f>VAC_Optim_Scenario!I17</f>
        <v>1000000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51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1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2"/>
      <c r="B12" s="95">
        <f>'[2]HCC Inoffice Curve'!$B$12</f>
        <v>1700000</v>
      </c>
      <c r="C12" s="167">
        <f>'[2]HCC Inoffice Curve'!$C$12</f>
        <v>33335.304822477454</v>
      </c>
      <c r="D12" s="167">
        <f>'[2]HCC Inoffice Curve'!$D$12</f>
        <v>0</v>
      </c>
      <c r="E12" s="167">
        <f>'[2]HCC Inoffice Curve'!$E$12</f>
        <v>66670.609644954908</v>
      </c>
      <c r="F12" s="167">
        <f>'[2]HCC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20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21" t="s">
        <v>180</v>
      </c>
      <c r="B13" s="522"/>
      <c r="C13" s="522"/>
      <c r="D13" s="522"/>
      <c r="E13" s="522"/>
      <c r="F13" s="523"/>
      <c r="G13" s="119" t="s">
        <v>150</v>
      </c>
      <c r="H13" s="119" t="s">
        <v>151</v>
      </c>
      <c r="K13" s="521" t="s">
        <v>115</v>
      </c>
      <c r="L13" s="522"/>
      <c r="M13" s="522"/>
      <c r="N13" s="522"/>
      <c r="O13" s="522"/>
      <c r="P13" s="522"/>
      <c r="Q13" s="522"/>
      <c r="R13" s="523"/>
    </row>
    <row r="14" spans="1:18" ht="33.6" customHeight="1" thickBot="1" x14ac:dyDescent="0.25">
      <c r="A14" s="524"/>
      <c r="B14" s="525"/>
      <c r="C14" s="525"/>
      <c r="D14" s="525"/>
      <c r="E14" s="525"/>
      <c r="F14" s="526"/>
      <c r="G14" s="95">
        <f>VAC_Optim_Scenario!$I$32</f>
        <v>225.94</v>
      </c>
      <c r="H14" s="95">
        <f>VAC_Optim_Scenario!$F$32</f>
        <v>225.94</v>
      </c>
      <c r="K14" s="524"/>
      <c r="L14" s="525"/>
      <c r="M14" s="525"/>
      <c r="N14" s="525"/>
      <c r="O14" s="525"/>
      <c r="P14" s="525"/>
      <c r="Q14" s="525"/>
      <c r="R14" s="526"/>
    </row>
    <row r="16" spans="1:18" ht="13.5" thickBot="1" x14ac:dyDescent="0.25"/>
    <row r="17" spans="1:8" ht="42.6" customHeight="1" x14ac:dyDescent="0.2">
      <c r="A17" s="51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20"/>
      <c r="B18" s="75">
        <v>0</v>
      </c>
      <c r="C18" s="76">
        <v>4000000</v>
      </c>
      <c r="D18" s="26">
        <v>20</v>
      </c>
    </row>
    <row r="20" spans="1:8" x14ac:dyDescent="0.2">
      <c r="A20" s="507" t="s">
        <v>37</v>
      </c>
      <c r="B20" s="507"/>
      <c r="C20" s="507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08" t="s">
        <v>106</v>
      </c>
      <c r="C4" s="508"/>
      <c r="D4" s="508"/>
      <c r="E4" s="508"/>
      <c r="F4" s="509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0" t="s">
        <v>8</v>
      </c>
      <c r="B7" s="513" t="s">
        <v>9</v>
      </c>
      <c r="C7" s="514"/>
      <c r="D7" s="515" t="s">
        <v>12</v>
      </c>
      <c r="E7" s="516"/>
      <c r="F7" s="517"/>
      <c r="G7" s="513" t="s">
        <v>124</v>
      </c>
      <c r="H7" s="513"/>
      <c r="I7" s="518"/>
      <c r="J7" s="98" t="s">
        <v>125</v>
      </c>
    </row>
    <row r="8" spans="1:18" ht="28.15" customHeight="1" x14ac:dyDescent="0.2">
      <c r="A8" s="51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2"/>
      <c r="B9" s="95">
        <f>VAC_Optim_Scenario!G18</f>
        <v>5400000</v>
      </c>
      <c r="C9" s="95">
        <f>VAC_Optim_Scenario!H18</f>
        <v>8750000</v>
      </c>
      <c r="D9" s="68">
        <f>VAC_Optim_Scenario!I18</f>
        <v>8750000</v>
      </c>
      <c r="E9" s="84">
        <f>((($R$12/(1+EXP($P$12+$Q$12*D9)))-1) - ($F$12-$C$12))*$I$12</f>
        <v>379735.43931977358</v>
      </c>
      <c r="F9" s="89">
        <f>E9*$G$12</f>
        <v>379735.43931977358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51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1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2"/>
      <c r="B12" s="95">
        <f>'[3]HCP MCM SCurve'!$B$12</f>
        <v>5365372.8900000006</v>
      </c>
      <c r="C12" s="95">
        <f>'[3]HCP MCM SCurve'!$C$12</f>
        <v>282596.87941192201</v>
      </c>
      <c r="D12" s="95">
        <f>'[3]HCP MCM SCurve'!$D$12</f>
        <v>0</v>
      </c>
      <c r="E12" s="95">
        <f>'[3]HCP MCM SCurve'!$E$12</f>
        <v>536934.07088265184</v>
      </c>
      <c r="F12" s="95">
        <f>'[3]HCP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20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21" t="s">
        <v>185</v>
      </c>
      <c r="B13" s="522"/>
      <c r="C13" s="522"/>
      <c r="D13" s="522"/>
      <c r="E13" s="522"/>
      <c r="F13" s="523"/>
      <c r="G13" s="119" t="s">
        <v>150</v>
      </c>
      <c r="H13" s="119" t="s">
        <v>151</v>
      </c>
      <c r="K13" s="521" t="s">
        <v>115</v>
      </c>
      <c r="L13" s="522"/>
      <c r="M13" s="522"/>
      <c r="N13" s="522"/>
      <c r="O13" s="522"/>
      <c r="P13" s="522"/>
      <c r="Q13" s="522"/>
      <c r="R13" s="523"/>
    </row>
    <row r="14" spans="1:18" ht="33.6" customHeight="1" thickBot="1" x14ac:dyDescent="0.25">
      <c r="A14" s="524"/>
      <c r="B14" s="525"/>
      <c r="C14" s="525"/>
      <c r="D14" s="525"/>
      <c r="E14" s="525"/>
      <c r="F14" s="526"/>
      <c r="G14" s="95">
        <f>VAC_Optim_Scenario!$I$32</f>
        <v>225.94</v>
      </c>
      <c r="H14" s="95">
        <f>VAC_Optim_Scenario!$F$32</f>
        <v>225.94</v>
      </c>
      <c r="K14" s="524"/>
      <c r="L14" s="525"/>
      <c r="M14" s="525"/>
      <c r="N14" s="525"/>
      <c r="O14" s="525"/>
      <c r="P14" s="525"/>
      <c r="Q14" s="525"/>
      <c r="R14" s="526"/>
    </row>
    <row r="16" spans="1:18" ht="13.5" thickBot="1" x14ac:dyDescent="0.25"/>
    <row r="17" spans="1:8" ht="42.6" customHeight="1" x14ac:dyDescent="0.2">
      <c r="A17" s="51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20"/>
      <c r="B18" s="75">
        <v>0</v>
      </c>
      <c r="C18" s="76">
        <v>9000000</v>
      </c>
      <c r="D18" s="26">
        <v>20</v>
      </c>
    </row>
    <row r="20" spans="1:8" x14ac:dyDescent="0.2">
      <c r="A20" s="507" t="s">
        <v>37</v>
      </c>
      <c r="B20" s="507"/>
      <c r="C20" s="507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31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7"/>
      <c r="C4" s="528"/>
      <c r="D4" s="528"/>
      <c r="E4" s="528"/>
      <c r="F4" s="52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10" t="s">
        <v>8</v>
      </c>
      <c r="B7" s="513" t="s">
        <v>9</v>
      </c>
      <c r="C7" s="513"/>
      <c r="D7" s="513" t="s">
        <v>12</v>
      </c>
      <c r="E7" s="513"/>
      <c r="F7" s="513"/>
      <c r="G7" s="513" t="s">
        <v>124</v>
      </c>
      <c r="H7" s="513"/>
      <c r="I7" s="518"/>
    </row>
    <row r="8" spans="1:9" x14ac:dyDescent="0.25">
      <c r="A8" s="511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.75" thickBot="1" x14ac:dyDescent="0.3">
      <c r="A9" s="512"/>
      <c r="B9" s="171">
        <f>VAC_Optim_Scenario!G$19</f>
        <v>1599500</v>
      </c>
      <c r="C9" s="171">
        <f>VAC_Optim_Scenario!H$19</f>
        <v>6500000</v>
      </c>
      <c r="D9" s="172">
        <f>VAC_Optim_Scenario!I$19</f>
        <v>2334495.9858692377</v>
      </c>
      <c r="E9" s="84">
        <f>((GSOC!D9/$B$12)^$D$12)*$C$12*$F$12</f>
        <v>81308.598139807553</v>
      </c>
      <c r="F9" s="84">
        <f>E9*F11</f>
        <v>81308.598139807553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507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3">
      <c r="A12" s="507"/>
      <c r="B12" s="176">
        <f>'[4]HCC Social - Power'!$B$12</f>
        <v>1873000</v>
      </c>
      <c r="C12" s="176">
        <f>'[4]HCC Social - Power'!$C$12</f>
        <v>71243.17418511775</v>
      </c>
      <c r="D12" s="341">
        <f>'[4]HCC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25">
      <c r="A13" s="521" t="s">
        <v>169</v>
      </c>
      <c r="B13" s="522"/>
      <c r="C13" s="522"/>
      <c r="D13" s="522"/>
      <c r="E13" s="280" t="s">
        <v>170</v>
      </c>
      <c r="F13" s="280" t="s">
        <v>171</v>
      </c>
    </row>
    <row r="14" spans="1:9" ht="15.75" thickBot="1" x14ac:dyDescent="0.3">
      <c r="A14" s="524"/>
      <c r="B14" s="525"/>
      <c r="C14" s="525"/>
      <c r="D14" s="52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19" t="s">
        <v>34</v>
      </c>
      <c r="B16" s="281" t="s">
        <v>32</v>
      </c>
      <c r="C16" s="281" t="s">
        <v>31</v>
      </c>
      <c r="D16" s="282" t="s">
        <v>33</v>
      </c>
    </row>
    <row r="17" spans="1:4" ht="15.75" thickBot="1" x14ac:dyDescent="0.3">
      <c r="A17" s="52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07" t="s">
        <v>37</v>
      </c>
      <c r="B19" s="507"/>
      <c r="C19" s="507"/>
      <c r="D19" s="98"/>
    </row>
    <row r="20" spans="1:4" ht="25.5" x14ac:dyDescent="0.25">
      <c r="A20" s="280" t="s">
        <v>35</v>
      </c>
      <c r="B20" s="280" t="s">
        <v>175</v>
      </c>
      <c r="C20" s="280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3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244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08" t="s">
        <v>106</v>
      </c>
      <c r="C4" s="508"/>
      <c r="D4" s="508"/>
      <c r="E4" s="508"/>
      <c r="F4" s="50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0" t="s">
        <v>8</v>
      </c>
      <c r="B7" s="513" t="s">
        <v>9</v>
      </c>
      <c r="C7" s="514"/>
      <c r="D7" s="515" t="s">
        <v>12</v>
      </c>
      <c r="E7" s="516"/>
      <c r="F7" s="517"/>
      <c r="G7" s="513" t="s">
        <v>124</v>
      </c>
      <c r="H7" s="513"/>
      <c r="I7" s="518"/>
      <c r="J7" s="98" t="s">
        <v>125</v>
      </c>
    </row>
    <row r="8" spans="1:18" ht="28.15" customHeight="1" x14ac:dyDescent="0.2">
      <c r="A8" s="511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512"/>
      <c r="B9" s="95">
        <f>VAC_Optim_Scenario!G20</f>
        <v>500000</v>
      </c>
      <c r="C9" s="95">
        <f>VAC_Optim_Scenario!H20</f>
        <v>3500000</v>
      </c>
      <c r="D9" s="68">
        <f>VAC_Optim_Scenario!I20</f>
        <v>500000</v>
      </c>
      <c r="E9" s="84">
        <f>((($R$12/(1+EXP($P$12+$Q$12*D9)))-1) - ($F$12-$C$12))*$I$12</f>
        <v>13095.1080400832</v>
      </c>
      <c r="F9" s="89">
        <f>E9*$G$12</f>
        <v>13095.1080400832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510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19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512"/>
      <c r="B12" s="95">
        <f>'[5]HCC Online Video Curve'!$B$12</f>
        <v>173076.94</v>
      </c>
      <c r="C12" s="95">
        <f>'[5]HCC Online Video Curve'!$C$12</f>
        <v>7568.2941111774026</v>
      </c>
      <c r="D12" s="95">
        <f>'[5]HCC Online Video Curve'!$D$12</f>
        <v>0</v>
      </c>
      <c r="E12" s="95">
        <f>'[5]HCC Online Video Curve'!$E$12</f>
        <v>15136.588222354803</v>
      </c>
      <c r="F12" s="95">
        <f>'[5]HCC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20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21" t="s">
        <v>114</v>
      </c>
      <c r="B13" s="522"/>
      <c r="C13" s="522"/>
      <c r="D13" s="522"/>
      <c r="E13" s="522"/>
      <c r="F13" s="523"/>
      <c r="G13" s="139" t="s">
        <v>150</v>
      </c>
      <c r="H13" s="139" t="s">
        <v>151</v>
      </c>
      <c r="K13" s="521" t="s">
        <v>115</v>
      </c>
      <c r="L13" s="522"/>
      <c r="M13" s="522"/>
      <c r="N13" s="522"/>
      <c r="O13" s="522"/>
      <c r="P13" s="522"/>
      <c r="Q13" s="522"/>
      <c r="R13" s="523"/>
    </row>
    <row r="14" spans="1:18" ht="33.6" customHeight="1" thickBot="1" x14ac:dyDescent="0.25">
      <c r="A14" s="524"/>
      <c r="B14" s="525"/>
      <c r="C14" s="525"/>
      <c r="D14" s="525"/>
      <c r="E14" s="525"/>
      <c r="F14" s="526"/>
      <c r="G14" s="95">
        <f>VAC_Optim_Scenario!$I$32</f>
        <v>225.94</v>
      </c>
      <c r="H14" s="95">
        <f>VAC_Optim_Scenario!$F$32</f>
        <v>225.94</v>
      </c>
      <c r="K14" s="524"/>
      <c r="L14" s="525"/>
      <c r="M14" s="525"/>
      <c r="N14" s="525"/>
      <c r="O14" s="525"/>
      <c r="P14" s="525"/>
      <c r="Q14" s="525"/>
      <c r="R14" s="526"/>
    </row>
    <row r="16" spans="1:18" ht="13.5" thickBot="1" x14ac:dyDescent="0.25"/>
    <row r="17" spans="1:8" ht="42.6" customHeight="1" x14ac:dyDescent="0.2">
      <c r="A17" s="519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520"/>
      <c r="B18" s="75">
        <v>0</v>
      </c>
      <c r="C18" s="76">
        <v>2000000</v>
      </c>
      <c r="D18" s="26">
        <v>20</v>
      </c>
    </row>
    <row r="20" spans="1:8" x14ac:dyDescent="0.2">
      <c r="A20" s="507" t="s">
        <v>37</v>
      </c>
      <c r="B20" s="507"/>
      <c r="C20" s="507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3" workbookViewId="0">
      <selection activeCell="B21" sqref="B2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7"/>
      <c r="C4" s="528"/>
      <c r="D4" s="528"/>
      <c r="E4" s="528"/>
      <c r="F4" s="52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510" t="s">
        <v>8</v>
      </c>
      <c r="B7" s="513" t="s">
        <v>9</v>
      </c>
      <c r="C7" s="513"/>
      <c r="D7" s="513" t="s">
        <v>12</v>
      </c>
      <c r="E7" s="513"/>
      <c r="F7" s="513"/>
      <c r="G7" s="513" t="s">
        <v>124</v>
      </c>
      <c r="H7" s="513"/>
      <c r="I7" s="518"/>
    </row>
    <row r="8" spans="1:9" x14ac:dyDescent="0.25">
      <c r="A8" s="511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.75" thickBot="1" x14ac:dyDescent="0.3">
      <c r="A9" s="512"/>
      <c r="B9" s="171">
        <f>VAC_Optim_Scenario!G21</f>
        <v>6463714</v>
      </c>
      <c r="C9" s="171">
        <f>VAC_Optim_Scenario!H21</f>
        <v>12070113</v>
      </c>
      <c r="D9" s="172">
        <f>VAC_Optim_Scenario!I21</f>
        <v>6463714</v>
      </c>
      <c r="E9" s="84">
        <f>((GSTRV!D9/$B$12)^$D$12)*$C$12*$F$12</f>
        <v>149272.39229083114</v>
      </c>
      <c r="F9" s="84">
        <f>E9*F11</f>
        <v>149272.39229083114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507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3">
      <c r="A12" s="507"/>
      <c r="B12" s="176">
        <f>'[6]Streaming Video - Power'!$B$12</f>
        <v>5935125</v>
      </c>
      <c r="C12" s="176">
        <f>'[6]Streaming Video - Power'!$C$12</f>
        <v>140618.64530883348</v>
      </c>
      <c r="D12" s="341">
        <f>'[6]Streaming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25">
      <c r="A13" s="521" t="s">
        <v>169</v>
      </c>
      <c r="B13" s="522"/>
      <c r="C13" s="522"/>
      <c r="D13" s="522"/>
      <c r="E13" s="290" t="s">
        <v>170</v>
      </c>
      <c r="F13" s="290" t="s">
        <v>171</v>
      </c>
    </row>
    <row r="14" spans="1:9" ht="15.75" thickBot="1" x14ac:dyDescent="0.3">
      <c r="A14" s="524"/>
      <c r="B14" s="525"/>
      <c r="C14" s="525"/>
      <c r="D14" s="52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19" t="s">
        <v>34</v>
      </c>
      <c r="B16" s="291" t="s">
        <v>32</v>
      </c>
      <c r="C16" s="291" t="s">
        <v>31</v>
      </c>
      <c r="D16" s="292" t="s">
        <v>33</v>
      </c>
    </row>
    <row r="17" spans="1:4" ht="15.75" thickBot="1" x14ac:dyDescent="0.3">
      <c r="A17" s="520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07" t="s">
        <v>37</v>
      </c>
      <c r="B19" s="507"/>
      <c r="C19" s="507"/>
      <c r="D19" s="98"/>
    </row>
    <row r="20" spans="1:4" ht="25.5" x14ac:dyDescent="0.25">
      <c r="A20" s="290" t="s">
        <v>35</v>
      </c>
      <c r="B20" s="290" t="s">
        <v>175</v>
      </c>
      <c r="C20" s="290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topLeftCell="A39" workbookViewId="0">
      <selection activeCell="F55" sqref="F5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250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3" t="s">
        <v>102</v>
      </c>
      <c r="I2" s="344"/>
      <c r="J2" s="344"/>
      <c r="K2" s="344"/>
      <c r="L2" s="345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08" t="s">
        <v>106</v>
      </c>
      <c r="C4" s="508"/>
      <c r="D4" s="508"/>
      <c r="E4" s="508"/>
      <c r="F4" s="50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  <c r="F6" s="336"/>
    </row>
    <row r="7" spans="1:18" ht="27.75" customHeight="1" x14ac:dyDescent="0.2">
      <c r="A7" s="510" t="s">
        <v>8</v>
      </c>
      <c r="B7" s="513" t="s">
        <v>9</v>
      </c>
      <c r="C7" s="514"/>
      <c r="D7" s="515" t="s">
        <v>12</v>
      </c>
      <c r="E7" s="516"/>
      <c r="F7" s="517"/>
      <c r="G7" s="513" t="s">
        <v>124</v>
      </c>
      <c r="H7" s="513"/>
      <c r="I7" s="518"/>
      <c r="J7" s="98" t="s">
        <v>125</v>
      </c>
    </row>
    <row r="8" spans="1:18" ht="28.15" customHeight="1" x14ac:dyDescent="0.2">
      <c r="A8" s="511"/>
      <c r="B8" s="347" t="s">
        <v>10</v>
      </c>
      <c r="C8" s="17" t="s">
        <v>11</v>
      </c>
      <c r="D8" s="19" t="s">
        <v>20</v>
      </c>
      <c r="E8" s="347" t="s">
        <v>21</v>
      </c>
      <c r="F8" s="81" t="s">
        <v>117</v>
      </c>
      <c r="G8" s="346" t="s">
        <v>22</v>
      </c>
      <c r="H8" s="347" t="s">
        <v>23</v>
      </c>
      <c r="I8" s="88" t="s">
        <v>123</v>
      </c>
    </row>
    <row r="9" spans="1:18" ht="14.65" customHeight="1" thickBot="1" x14ac:dyDescent="0.25">
      <c r="A9" s="512"/>
      <c r="B9" s="95">
        <f>VAC_Optim_Scenario!G22</f>
        <v>1500000</v>
      </c>
      <c r="C9" s="95">
        <f>VAC_Optim_Scenario!H22</f>
        <v>3500000</v>
      </c>
      <c r="D9" s="68">
        <f>VAC_Optim_Scenario!I22</f>
        <v>3500000</v>
      </c>
      <c r="E9" s="84">
        <f>((($R$12/(1+EXP($P$12+$Q$12*D9)))-1) - ($F$12-$C$12))*$I$12</f>
        <v>172806.84541229345</v>
      </c>
      <c r="F9" s="89">
        <f>E9*$G$12</f>
        <v>172806.84541229345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510" t="s">
        <v>15</v>
      </c>
      <c r="B11" s="349" t="s">
        <v>16</v>
      </c>
      <c r="C11" s="349" t="s">
        <v>17</v>
      </c>
      <c r="D11" s="349" t="s">
        <v>18</v>
      </c>
      <c r="E11" s="349" t="s">
        <v>19</v>
      </c>
      <c r="F11" s="350" t="s">
        <v>109</v>
      </c>
      <c r="G11" s="348" t="s">
        <v>118</v>
      </c>
      <c r="H11" s="349" t="s">
        <v>119</v>
      </c>
      <c r="I11" s="92" t="s">
        <v>122</v>
      </c>
      <c r="K11" s="519" t="s">
        <v>25</v>
      </c>
      <c r="L11" s="349" t="s">
        <v>110</v>
      </c>
      <c r="M11" s="349" t="s">
        <v>111</v>
      </c>
      <c r="N11" s="349" t="s">
        <v>112</v>
      </c>
      <c r="O11" s="349" t="s">
        <v>113</v>
      </c>
      <c r="P11" s="349" t="s">
        <v>26</v>
      </c>
      <c r="Q11" s="349" t="s">
        <v>27</v>
      </c>
      <c r="R11" s="350" t="s">
        <v>28</v>
      </c>
    </row>
    <row r="12" spans="1:18" ht="15" customHeight="1" thickBot="1" x14ac:dyDescent="0.25">
      <c r="A12" s="512"/>
      <c r="B12" s="95">
        <f>'[7]HCC Display'!$B$12</f>
        <v>1648357.37</v>
      </c>
      <c r="C12" s="95">
        <f>'[7]HCC Display'!$C$12</f>
        <v>104116.3698638577</v>
      </c>
      <c r="D12" s="95">
        <f>'[7]HCC Display'!$D$12</f>
        <v>0</v>
      </c>
      <c r="E12" s="95">
        <f>'[7]HCC Display'!$E$12</f>
        <v>260290.92465964428</v>
      </c>
      <c r="F12" s="95">
        <f>'[7]HCC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20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21" t="s">
        <v>114</v>
      </c>
      <c r="B13" s="522"/>
      <c r="C13" s="522"/>
      <c r="D13" s="522"/>
      <c r="E13" s="522"/>
      <c r="F13" s="523"/>
      <c r="G13" s="347" t="s">
        <v>150</v>
      </c>
      <c r="H13" s="347" t="s">
        <v>151</v>
      </c>
      <c r="K13" s="521" t="s">
        <v>115</v>
      </c>
      <c r="L13" s="522"/>
      <c r="M13" s="522"/>
      <c r="N13" s="522"/>
      <c r="O13" s="522"/>
      <c r="P13" s="522"/>
      <c r="Q13" s="522"/>
      <c r="R13" s="523"/>
    </row>
    <row r="14" spans="1:18" ht="33.6" customHeight="1" thickBot="1" x14ac:dyDescent="0.25">
      <c r="A14" s="524"/>
      <c r="B14" s="525"/>
      <c r="C14" s="525"/>
      <c r="D14" s="525"/>
      <c r="E14" s="525"/>
      <c r="F14" s="526"/>
      <c r="G14" s="95">
        <f>VAC_Optim_Scenario!$I$32</f>
        <v>225.94</v>
      </c>
      <c r="H14" s="95">
        <f>VAC_Optim_Scenario!$F$32</f>
        <v>225.94</v>
      </c>
      <c r="K14" s="524"/>
      <c r="L14" s="525"/>
      <c r="M14" s="525"/>
      <c r="N14" s="525"/>
      <c r="O14" s="525"/>
      <c r="P14" s="525"/>
      <c r="Q14" s="525"/>
      <c r="R14" s="526"/>
    </row>
    <row r="16" spans="1:18" ht="13.5" thickBot="1" x14ac:dyDescent="0.25"/>
    <row r="17" spans="1:8" ht="42.6" customHeight="1" x14ac:dyDescent="0.2">
      <c r="A17" s="519" t="s">
        <v>34</v>
      </c>
      <c r="B17" s="349" t="s">
        <v>32</v>
      </c>
      <c r="C17" s="349" t="s">
        <v>31</v>
      </c>
      <c r="D17" s="350" t="s">
        <v>33</v>
      </c>
      <c r="F17" s="82"/>
      <c r="G17" s="82"/>
      <c r="H17" s="83"/>
    </row>
    <row r="18" spans="1:8" ht="23.65" customHeight="1" thickBot="1" x14ac:dyDescent="0.25">
      <c r="A18" s="520"/>
      <c r="B18" s="75">
        <v>0</v>
      </c>
      <c r="C18" s="76">
        <v>2000000</v>
      </c>
      <c r="D18" s="26">
        <v>20</v>
      </c>
    </row>
    <row r="20" spans="1:8" x14ac:dyDescent="0.2">
      <c r="A20" s="507" t="s">
        <v>37</v>
      </c>
      <c r="B20" s="507"/>
      <c r="C20" s="507"/>
    </row>
    <row r="21" spans="1:8" ht="25.5" x14ac:dyDescent="0.2">
      <c r="A21" s="347" t="s">
        <v>35</v>
      </c>
      <c r="B21" s="347" t="s">
        <v>120</v>
      </c>
      <c r="C21" s="347" t="s">
        <v>197</v>
      </c>
      <c r="D21" s="98" t="s">
        <v>121</v>
      </c>
      <c r="E21" s="347" t="s">
        <v>152</v>
      </c>
    </row>
    <row r="22" spans="1:8" x14ac:dyDescent="0.2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2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2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2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2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2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2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2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2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2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2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2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2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2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2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2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7"/>
      <c r="C4" s="528"/>
      <c r="D4" s="528"/>
      <c r="E4" s="528"/>
      <c r="F4" s="52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10" t="s">
        <v>8</v>
      </c>
      <c r="B7" s="513" t="s">
        <v>9</v>
      </c>
      <c r="C7" s="513"/>
      <c r="D7" s="513" t="s">
        <v>12</v>
      </c>
      <c r="E7" s="513"/>
      <c r="F7" s="513"/>
      <c r="G7" s="513" t="s">
        <v>124</v>
      </c>
      <c r="H7" s="513"/>
      <c r="I7" s="518"/>
    </row>
    <row r="8" spans="1:9" x14ac:dyDescent="0.25">
      <c r="A8" s="511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512"/>
      <c r="B9" s="171">
        <f>VAC_Optim_Scenario!G23</f>
        <v>300000</v>
      </c>
      <c r="C9" s="171">
        <f>VAC_Optim_Scenario!H23</f>
        <v>390000</v>
      </c>
      <c r="D9" s="172">
        <f>VAC_Optim_Scenario!I23</f>
        <v>390000</v>
      </c>
      <c r="E9" s="84">
        <f>((GSEARCH!D9/$B$12)^$D$12)*$C$12*$F$12</f>
        <v>142490.56083211911</v>
      </c>
      <c r="F9" s="84">
        <f>E9*F11</f>
        <v>142490.56083211911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507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507"/>
      <c r="B12" s="176">
        <f>'[8]HCC Paid Search - Power'!$B$12</f>
        <v>344707</v>
      </c>
      <c r="C12" s="176">
        <f>'[8]HCC Paid Search - Power'!$C$12</f>
        <v>130694.08808973072</v>
      </c>
      <c r="D12" s="341">
        <f>'[8]HCC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521" t="s">
        <v>169</v>
      </c>
      <c r="B13" s="522"/>
      <c r="C13" s="522"/>
      <c r="D13" s="522"/>
      <c r="E13" s="153" t="s">
        <v>170</v>
      </c>
      <c r="F13" s="153" t="s">
        <v>171</v>
      </c>
    </row>
    <row r="14" spans="1:9" ht="15.75" thickBot="1" x14ac:dyDescent="0.3">
      <c r="A14" s="524"/>
      <c r="B14" s="525"/>
      <c r="C14" s="525"/>
      <c r="D14" s="52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19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520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07" t="s">
        <v>37</v>
      </c>
      <c r="B19" s="507"/>
      <c r="C19" s="507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7"/>
      <c r="C4" s="528"/>
      <c r="D4" s="528"/>
      <c r="E4" s="528"/>
      <c r="F4" s="52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10" t="s">
        <v>8</v>
      </c>
      <c r="B7" s="513" t="s">
        <v>9</v>
      </c>
      <c r="C7" s="513"/>
      <c r="D7" s="513" t="s">
        <v>12</v>
      </c>
      <c r="E7" s="513"/>
      <c r="F7" s="513"/>
      <c r="G7" s="513" t="s">
        <v>124</v>
      </c>
      <c r="H7" s="513"/>
      <c r="I7" s="518"/>
    </row>
    <row r="8" spans="1:9" x14ac:dyDescent="0.25">
      <c r="A8" s="511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12"/>
      <c r="B9" s="171">
        <f>VAC_Optim_Scenario!G24</f>
        <v>1400000</v>
      </c>
      <c r="C9" s="171">
        <f>VAC_Optim_Scenario!H24</f>
        <v>2200000</v>
      </c>
      <c r="D9" s="172">
        <f>VAC_Optim_Scenario!I24</f>
        <v>2200000</v>
      </c>
      <c r="E9" s="173">
        <f>((GRADIO!D9/$B$12)^$D$12)*$C$12*$F$12</f>
        <v>91114.039550668633</v>
      </c>
      <c r="F9" s="84">
        <f>E9*F11</f>
        <v>91114.039550668633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507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507"/>
      <c r="B12" s="176">
        <f>'[9]Radio - Power'!$B$12</f>
        <v>1437048.41</v>
      </c>
      <c r="C12" s="176">
        <f>'[9]Radio - Power'!$C$12</f>
        <v>70569.092436493243</v>
      </c>
      <c r="D12" s="341">
        <f>'[9]Radio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521" t="s">
        <v>169</v>
      </c>
      <c r="B13" s="522"/>
      <c r="C13" s="522"/>
      <c r="D13" s="522"/>
      <c r="E13" s="150" t="s">
        <v>170</v>
      </c>
      <c r="F13" s="150" t="s">
        <v>171</v>
      </c>
    </row>
    <row r="14" spans="1:9" ht="15.75" thickBot="1" x14ac:dyDescent="0.3">
      <c r="A14" s="524"/>
      <c r="B14" s="525"/>
      <c r="C14" s="525"/>
      <c r="D14" s="52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19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20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07" t="s">
        <v>37</v>
      </c>
      <c r="B19" s="507"/>
      <c r="C19" s="507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25" workbookViewId="0">
      <selection activeCell="B34" sqref="B3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7"/>
      <c r="C4" s="528"/>
      <c r="D4" s="528"/>
      <c r="E4" s="528"/>
      <c r="F4" s="52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10" t="s">
        <v>8</v>
      </c>
      <c r="B7" s="513" t="s">
        <v>9</v>
      </c>
      <c r="C7" s="513"/>
      <c r="D7" s="513" t="s">
        <v>12</v>
      </c>
      <c r="E7" s="513"/>
      <c r="F7" s="513"/>
      <c r="G7" s="513" t="s">
        <v>124</v>
      </c>
      <c r="H7" s="513"/>
      <c r="I7" s="518"/>
    </row>
    <row r="8" spans="1:9" x14ac:dyDescent="0.25">
      <c r="A8" s="511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12"/>
      <c r="B9" s="171">
        <f>VAC_Optim_Scenario!G25</f>
        <v>14861790</v>
      </c>
      <c r="C9" s="171">
        <f>VAC_Optim_Scenario!H25</f>
        <v>26728066</v>
      </c>
      <c r="D9" s="172">
        <f>VAC_Optim_Scenario!I25</f>
        <v>14861790</v>
      </c>
      <c r="E9" s="84">
        <f>((GTV!D9/$B$12)^$D$12)*$C$12*$F$12</f>
        <v>271289.99209866516</v>
      </c>
      <c r="F9" s="84">
        <f>E9*F11</f>
        <v>271289.99209866516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507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507"/>
      <c r="B12" s="176">
        <f>'[10]TV - Power'!$B$12</f>
        <v>13503524.99</v>
      </c>
      <c r="C12" s="176">
        <f>'[10]TV - Power'!$C$12</f>
        <v>253686.28893952153</v>
      </c>
      <c r="D12" s="341">
        <f>'[10]TV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521" t="s">
        <v>169</v>
      </c>
      <c r="B13" s="522"/>
      <c r="C13" s="522"/>
      <c r="D13" s="522"/>
      <c r="E13" s="150" t="s">
        <v>170</v>
      </c>
      <c r="F13" s="150" t="s">
        <v>171</v>
      </c>
    </row>
    <row r="14" spans="1:9" ht="15.75" thickBot="1" x14ac:dyDescent="0.3">
      <c r="A14" s="524"/>
      <c r="B14" s="525"/>
      <c r="C14" s="525"/>
      <c r="D14" s="52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19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20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07" t="s">
        <v>37</v>
      </c>
      <c r="B19" s="507"/>
      <c r="C19" s="507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08" t="s">
        <v>106</v>
      </c>
      <c r="C4" s="508"/>
      <c r="D4" s="508"/>
      <c r="E4" s="508"/>
      <c r="F4" s="50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0" t="s">
        <v>8</v>
      </c>
      <c r="B7" s="513" t="s">
        <v>9</v>
      </c>
      <c r="C7" s="514"/>
      <c r="D7" s="515" t="s">
        <v>12</v>
      </c>
      <c r="E7" s="516"/>
      <c r="F7" s="517"/>
      <c r="G7" s="513" t="s">
        <v>124</v>
      </c>
      <c r="H7" s="513"/>
      <c r="I7" s="518"/>
      <c r="J7" s="98" t="s">
        <v>125</v>
      </c>
    </row>
    <row r="8" spans="1:18" ht="28.15" customHeight="1" x14ac:dyDescent="0.2">
      <c r="A8" s="51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2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51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1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2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2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21" t="s">
        <v>114</v>
      </c>
      <c r="B13" s="522"/>
      <c r="C13" s="522"/>
      <c r="D13" s="522"/>
      <c r="E13" s="522"/>
      <c r="F13" s="523"/>
      <c r="G13" s="119" t="s">
        <v>150</v>
      </c>
      <c r="H13" s="119" t="s">
        <v>151</v>
      </c>
      <c r="K13" s="521" t="s">
        <v>115</v>
      </c>
      <c r="L13" s="522"/>
      <c r="M13" s="522"/>
      <c r="N13" s="522"/>
      <c r="O13" s="522"/>
      <c r="P13" s="522"/>
      <c r="Q13" s="522"/>
      <c r="R13" s="523"/>
    </row>
    <row r="14" spans="1:18" ht="33.6" customHeight="1" thickBot="1" x14ac:dyDescent="0.25">
      <c r="A14" s="524"/>
      <c r="B14" s="525"/>
      <c r="C14" s="525"/>
      <c r="D14" s="525"/>
      <c r="E14" s="525"/>
      <c r="F14" s="526"/>
      <c r="G14" s="95">
        <f>VAC_Optim_Scenario!I32</f>
        <v>225.94</v>
      </c>
      <c r="H14" s="95">
        <f>VAC_Optim_Scenario!G32</f>
        <v>225.94</v>
      </c>
      <c r="K14" s="524"/>
      <c r="L14" s="525"/>
      <c r="M14" s="525"/>
      <c r="N14" s="525"/>
      <c r="O14" s="525"/>
      <c r="P14" s="525"/>
      <c r="Q14" s="525"/>
      <c r="R14" s="526"/>
    </row>
    <row r="16" spans="1:18" ht="13.5" thickBot="1" x14ac:dyDescent="0.25"/>
    <row r="17" spans="1:8" ht="42.6" customHeight="1" x14ac:dyDescent="0.2">
      <c r="A17" s="51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20"/>
      <c r="B18" s="75">
        <v>0</v>
      </c>
      <c r="C18" s="76">
        <v>4000000</v>
      </c>
      <c r="D18" s="26">
        <v>20</v>
      </c>
    </row>
    <row r="20" spans="1:8" x14ac:dyDescent="0.2">
      <c r="A20" s="507" t="s">
        <v>37</v>
      </c>
      <c r="B20" s="507"/>
      <c r="C20" s="507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92" t="s">
        <v>100</v>
      </c>
      <c r="G2" s="493"/>
      <c r="H2" s="493"/>
      <c r="I2" s="493"/>
      <c r="J2" s="493"/>
      <c r="K2" s="493"/>
      <c r="L2" s="494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95" t="s">
        <v>72</v>
      </c>
      <c r="G3" s="496"/>
      <c r="H3" s="496"/>
      <c r="I3" s="496"/>
      <c r="J3" s="496"/>
      <c r="K3" s="496"/>
      <c r="L3" s="497"/>
    </row>
    <row r="4" spans="1:12" ht="13.5" thickBot="1" x14ac:dyDescent="0.25">
      <c r="A4" s="29" t="s">
        <v>38</v>
      </c>
      <c r="B4" s="530" t="s">
        <v>39</v>
      </c>
      <c r="C4" s="530"/>
      <c r="D4" s="531"/>
    </row>
    <row r="6" spans="1:12" ht="13.5" thickBot="1" x14ac:dyDescent="0.25"/>
    <row r="7" spans="1:12" ht="27.75" customHeight="1" x14ac:dyDescent="0.2">
      <c r="A7" s="510" t="s">
        <v>8</v>
      </c>
      <c r="B7" s="513" t="s">
        <v>9</v>
      </c>
      <c r="C7" s="514"/>
      <c r="D7" s="515" t="s">
        <v>12</v>
      </c>
      <c r="E7" s="517"/>
      <c r="F7" s="516" t="s">
        <v>24</v>
      </c>
      <c r="G7" s="538"/>
    </row>
    <row r="8" spans="1:12" ht="25.5" x14ac:dyDescent="0.2">
      <c r="A8" s="51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12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1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10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12"/>
      <c r="B12" s="12">
        <v>20</v>
      </c>
      <c r="C12" s="12">
        <v>30</v>
      </c>
      <c r="D12" s="12">
        <v>0</v>
      </c>
      <c r="E12" s="14">
        <v>70</v>
      </c>
      <c r="G12" s="512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21" t="s">
        <v>30</v>
      </c>
      <c r="B13" s="522"/>
      <c r="C13" s="522"/>
      <c r="D13" s="522"/>
      <c r="E13" s="523"/>
      <c r="G13" s="532" t="s">
        <v>29</v>
      </c>
      <c r="H13" s="533"/>
      <c r="I13" s="533"/>
      <c r="J13" s="534"/>
    </row>
    <row r="14" spans="1:12" ht="33.6" customHeight="1" x14ac:dyDescent="0.2">
      <c r="A14" s="524"/>
      <c r="B14" s="525"/>
      <c r="C14" s="525"/>
      <c r="D14" s="525"/>
      <c r="E14" s="526"/>
      <c r="G14" s="535"/>
      <c r="H14" s="536"/>
      <c r="I14" s="536"/>
      <c r="J14" s="537"/>
    </row>
    <row r="16" spans="1:12" ht="13.5" thickBot="1" x14ac:dyDescent="0.25"/>
    <row r="17" spans="1:4" ht="16.899999999999999" customHeight="1" x14ac:dyDescent="0.2">
      <c r="A17" s="519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20"/>
      <c r="B18" s="12">
        <v>0</v>
      </c>
      <c r="C18" s="12">
        <v>100</v>
      </c>
      <c r="D18" s="26">
        <v>20</v>
      </c>
    </row>
    <row r="20" spans="1:4" x14ac:dyDescent="0.2">
      <c r="A20" s="507" t="s">
        <v>37</v>
      </c>
      <c r="B20" s="507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92" t="s">
        <v>100</v>
      </c>
      <c r="G2" s="493"/>
      <c r="H2" s="493"/>
      <c r="I2" s="493"/>
      <c r="J2" s="493"/>
      <c r="K2" s="493"/>
      <c r="L2" s="494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95" t="s">
        <v>72</v>
      </c>
      <c r="G3" s="496"/>
      <c r="H3" s="496"/>
      <c r="I3" s="496"/>
      <c r="J3" s="496"/>
      <c r="K3" s="496"/>
      <c r="L3" s="497"/>
    </row>
    <row r="4" spans="1:12" ht="31.9" customHeight="1" thickBot="1" x14ac:dyDescent="0.25">
      <c r="A4" s="29" t="s">
        <v>38</v>
      </c>
      <c r="B4" s="543" t="s">
        <v>41</v>
      </c>
      <c r="C4" s="544"/>
      <c r="D4" s="545"/>
    </row>
    <row r="6" spans="1:12" ht="13.5" thickBot="1" x14ac:dyDescent="0.25"/>
    <row r="7" spans="1:12" ht="27.75" customHeight="1" x14ac:dyDescent="0.2">
      <c r="A7" s="510" t="s">
        <v>8</v>
      </c>
      <c r="B7" s="513" t="s">
        <v>9</v>
      </c>
      <c r="C7" s="514"/>
      <c r="D7" s="515" t="s">
        <v>12</v>
      </c>
      <c r="E7" s="517"/>
      <c r="F7" s="516" t="s">
        <v>24</v>
      </c>
      <c r="G7" s="538"/>
      <c r="H7" s="1" t="s">
        <v>54</v>
      </c>
    </row>
    <row r="8" spans="1:12" ht="25.5" x14ac:dyDescent="0.2">
      <c r="A8" s="51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12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10" t="s">
        <v>42</v>
      </c>
      <c r="B11" s="474" t="s">
        <v>47</v>
      </c>
      <c r="C11" s="540" t="s">
        <v>46</v>
      </c>
      <c r="D11" s="516"/>
      <c r="E11" s="516"/>
      <c r="F11" s="3" t="s">
        <v>48</v>
      </c>
      <c r="G11" s="33"/>
      <c r="H11" s="32"/>
      <c r="I11" s="32"/>
      <c r="J11" s="32"/>
    </row>
    <row r="12" spans="1:12" x14ac:dyDescent="0.2">
      <c r="A12" s="541"/>
      <c r="B12" s="475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4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39" t="s">
        <v>52</v>
      </c>
      <c r="B14" s="539"/>
      <c r="C14" s="539"/>
      <c r="D14" s="539"/>
      <c r="E14" s="539"/>
      <c r="F14" s="539"/>
      <c r="G14" s="38"/>
      <c r="H14" s="39"/>
      <c r="I14" s="39"/>
      <c r="J14" s="39"/>
    </row>
    <row r="15" spans="1:12" ht="30.6" customHeight="1" x14ac:dyDescent="0.2">
      <c r="A15" s="539"/>
      <c r="B15" s="539"/>
      <c r="C15" s="539"/>
      <c r="D15" s="539"/>
      <c r="E15" s="539"/>
      <c r="F15" s="539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19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20"/>
      <c r="B19" s="12">
        <v>0</v>
      </c>
      <c r="C19" s="12">
        <v>20000000</v>
      </c>
      <c r="D19" s="26">
        <v>20</v>
      </c>
    </row>
    <row r="21" spans="1:4" x14ac:dyDescent="0.2">
      <c r="A21" s="507" t="s">
        <v>37</v>
      </c>
      <c r="B21" s="507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46" t="s">
        <v>106</v>
      </c>
      <c r="C4" s="546"/>
      <c r="D4" s="546"/>
      <c r="E4" s="546"/>
      <c r="F4" s="547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10" t="s">
        <v>8</v>
      </c>
      <c r="B7" s="513" t="s">
        <v>9</v>
      </c>
      <c r="C7" s="514"/>
      <c r="D7" s="515" t="s">
        <v>12</v>
      </c>
      <c r="E7" s="517"/>
      <c r="F7" s="516" t="s">
        <v>24</v>
      </c>
      <c r="G7" s="538"/>
    </row>
    <row r="8" spans="1:15" ht="25.5" x14ac:dyDescent="0.2">
      <c r="A8" s="51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12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10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1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12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2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21" t="s">
        <v>114</v>
      </c>
      <c r="B13" s="522"/>
      <c r="C13" s="522"/>
      <c r="D13" s="522"/>
      <c r="E13" s="522"/>
      <c r="F13" s="523"/>
      <c r="H13" s="521" t="s">
        <v>115</v>
      </c>
      <c r="I13" s="522"/>
      <c r="J13" s="522"/>
      <c r="K13" s="522"/>
      <c r="L13" s="522"/>
      <c r="M13" s="522"/>
      <c r="N13" s="522"/>
      <c r="O13" s="523"/>
    </row>
    <row r="14" spans="1:15" ht="33.6" customHeight="1" x14ac:dyDescent="0.2">
      <c r="A14" s="524"/>
      <c r="B14" s="525"/>
      <c r="C14" s="525"/>
      <c r="D14" s="525"/>
      <c r="E14" s="525"/>
      <c r="F14" s="526"/>
      <c r="H14" s="524"/>
      <c r="I14" s="525"/>
      <c r="J14" s="525"/>
      <c r="K14" s="525"/>
      <c r="L14" s="525"/>
      <c r="M14" s="525"/>
      <c r="N14" s="525"/>
      <c r="O14" s="526"/>
    </row>
    <row r="16" spans="1:15" ht="13.5" thickBot="1" x14ac:dyDescent="0.25"/>
    <row r="17" spans="1:4" ht="16.899999999999999" customHeight="1" x14ac:dyDescent="0.2">
      <c r="A17" s="519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20"/>
      <c r="B18" s="75">
        <v>0</v>
      </c>
      <c r="C18" s="76">
        <v>200000000</v>
      </c>
      <c r="D18" s="26">
        <v>20</v>
      </c>
    </row>
    <row r="20" spans="1:4" x14ac:dyDescent="0.2">
      <c r="A20" s="507" t="s">
        <v>37</v>
      </c>
      <c r="B20" s="507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92" t="s">
        <v>100</v>
      </c>
      <c r="G2" s="493"/>
      <c r="H2" s="493"/>
      <c r="I2" s="493"/>
      <c r="J2" s="493"/>
      <c r="K2" s="493"/>
      <c r="L2" s="494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95" t="s">
        <v>72</v>
      </c>
      <c r="G3" s="496"/>
      <c r="H3" s="496"/>
      <c r="I3" s="496"/>
      <c r="J3" s="496"/>
      <c r="K3" s="496"/>
      <c r="L3" s="497"/>
    </row>
    <row r="4" spans="1:14" ht="13.5" thickBot="1" x14ac:dyDescent="0.25">
      <c r="A4" s="29" t="s">
        <v>38</v>
      </c>
      <c r="B4" s="530" t="s">
        <v>57</v>
      </c>
      <c r="C4" s="530"/>
      <c r="D4" s="531"/>
    </row>
    <row r="6" spans="1:14" ht="13.5" thickBot="1" x14ac:dyDescent="0.25"/>
    <row r="7" spans="1:14" ht="27.75" customHeight="1" x14ac:dyDescent="0.2">
      <c r="A7" s="510" t="s">
        <v>8</v>
      </c>
      <c r="B7" s="513" t="s">
        <v>9</v>
      </c>
      <c r="C7" s="514"/>
      <c r="D7" s="515" t="s">
        <v>12</v>
      </c>
      <c r="E7" s="517"/>
      <c r="F7" s="516" t="s">
        <v>24</v>
      </c>
      <c r="G7" s="538"/>
      <c r="I7" s="553" t="s">
        <v>73</v>
      </c>
      <c r="J7" s="553"/>
      <c r="K7" s="553"/>
      <c r="L7" s="553"/>
      <c r="N7" s="47" t="s">
        <v>58</v>
      </c>
    </row>
    <row r="8" spans="1:14" ht="25.5" x14ac:dyDescent="0.2">
      <c r="A8" s="51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53"/>
      <c r="J8" s="553"/>
      <c r="K8" s="553"/>
      <c r="L8" s="553"/>
      <c r="N8" s="47" t="s">
        <v>59</v>
      </c>
    </row>
    <row r="9" spans="1:14" ht="13.5" thickBot="1" x14ac:dyDescent="0.25">
      <c r="A9" s="512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07" t="s">
        <v>60</v>
      </c>
      <c r="B11" s="3" t="s">
        <v>61</v>
      </c>
      <c r="C11" s="3" t="s">
        <v>62</v>
      </c>
      <c r="D11" s="32"/>
      <c r="E11" s="55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07"/>
      <c r="B12" s="41">
        <v>0</v>
      </c>
      <c r="C12" s="41">
        <v>0</v>
      </c>
      <c r="D12" s="32"/>
      <c r="E12" s="55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07"/>
      <c r="B13" s="41">
        <v>1</v>
      </c>
      <c r="C13" s="41">
        <v>0.75</v>
      </c>
      <c r="D13" s="32"/>
      <c r="E13" s="55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07"/>
      <c r="B14" s="41">
        <v>2</v>
      </c>
      <c r="C14" s="41">
        <v>0</v>
      </c>
      <c r="D14" s="32"/>
      <c r="E14" s="55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07"/>
      <c r="B15" s="41">
        <v>3</v>
      </c>
      <c r="C15" s="41">
        <v>-1</v>
      </c>
      <c r="D15" s="32"/>
      <c r="E15" s="55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07"/>
      <c r="B16" s="41">
        <v>4</v>
      </c>
      <c r="C16" s="41">
        <v>3</v>
      </c>
      <c r="D16" s="32"/>
      <c r="E16" s="55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07"/>
      <c r="B17" s="42">
        <v>5</v>
      </c>
      <c r="C17" s="42">
        <v>3</v>
      </c>
      <c r="D17" s="40"/>
      <c r="E17" s="55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48" t="s">
        <v>74</v>
      </c>
      <c r="B18" s="549"/>
      <c r="C18" s="550"/>
      <c r="D18" s="33"/>
      <c r="E18" s="539" t="s">
        <v>75</v>
      </c>
      <c r="F18" s="539"/>
      <c r="G18" s="539"/>
      <c r="H18" s="539"/>
      <c r="I18" s="539"/>
      <c r="J18" s="539"/>
      <c r="K18" s="539"/>
      <c r="L18" s="539"/>
      <c r="M18" s="539"/>
    </row>
    <row r="19" spans="1:13" ht="35.65" customHeight="1" x14ac:dyDescent="0.2">
      <c r="A19" s="524"/>
      <c r="B19" s="525"/>
      <c r="C19" s="526"/>
      <c r="D19" s="33"/>
      <c r="E19" s="539"/>
      <c r="F19" s="539"/>
      <c r="G19" s="539"/>
      <c r="H19" s="539"/>
      <c r="I19" s="539"/>
      <c r="J19" s="539"/>
      <c r="K19" s="539"/>
      <c r="L19" s="539"/>
      <c r="M19" s="539"/>
    </row>
    <row r="21" spans="1:13" ht="13.5" thickBot="1" x14ac:dyDescent="0.25"/>
    <row r="22" spans="1:13" ht="16.899999999999999" customHeight="1" x14ac:dyDescent="0.2">
      <c r="A22" s="519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20"/>
      <c r="B23" s="12">
        <v>0</v>
      </c>
      <c r="C23" s="12">
        <v>5</v>
      </c>
      <c r="D23" s="26">
        <v>20</v>
      </c>
    </row>
    <row r="25" spans="1:13" x14ac:dyDescent="0.2">
      <c r="A25" s="507" t="s">
        <v>37</v>
      </c>
      <c r="B25" s="507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2023-09-11T18:18:41Z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