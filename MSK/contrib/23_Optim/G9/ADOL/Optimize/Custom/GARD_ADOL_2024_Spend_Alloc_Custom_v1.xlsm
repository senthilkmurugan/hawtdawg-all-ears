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\"/>
    </mc:Choice>
  </mc:AlternateContent>
  <xr:revisionPtr revIDLastSave="0" documentId="13_ncr:1_{0B42E522-ED36-406B-AF16-26D090E1B65C}" xr6:coauthVersionLast="47" xr6:coauthVersionMax="47" xr10:uidLastSave="{00000000-0000-0000-0000-000000000000}"/>
  <bookViews>
    <workbookView xWindow="-120" yWindow="-120" windowWidth="20730" windowHeight="11160" tabRatio="709" firstSheet="2" activeTab="6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3" i="90" l="1"/>
  <c r="F5" i="90"/>
  <c r="F6" i="90"/>
  <c r="F7" i="90"/>
  <c r="F8" i="90"/>
  <c r="F9" i="90"/>
  <c r="F10" i="90"/>
  <c r="F11" i="90"/>
  <c r="F12" i="90"/>
  <c r="F4" i="90"/>
  <c r="E13" i="90"/>
  <c r="E12" i="90"/>
  <c r="E5" i="90"/>
  <c r="E6" i="90"/>
  <c r="E7" i="90"/>
  <c r="E8" i="90"/>
  <c r="E9" i="90"/>
  <c r="E10" i="90"/>
  <c r="E11" i="90"/>
  <c r="E4" i="90"/>
  <c r="D13" i="90"/>
  <c r="D5" i="90"/>
  <c r="D6" i="90"/>
  <c r="D7" i="90"/>
  <c r="D8" i="90"/>
  <c r="D9" i="90"/>
  <c r="D10" i="90"/>
  <c r="D11" i="90"/>
  <c r="D12" i="90"/>
  <c r="D4" i="90"/>
  <c r="C5" i="90"/>
  <c r="C6" i="90"/>
  <c r="C7" i="90"/>
  <c r="C8" i="90"/>
  <c r="C9" i="90"/>
  <c r="C10" i="90"/>
  <c r="C11" i="90"/>
  <c r="C12" i="90"/>
  <c r="C4" i="90"/>
  <c r="H12" i="90"/>
  <c r="H11" i="90"/>
  <c r="H10" i="90"/>
  <c r="H9" i="90"/>
  <c r="I9" i="90" s="1"/>
  <c r="H8" i="90"/>
  <c r="H7" i="90"/>
  <c r="I7" i="90" s="1"/>
  <c r="H6" i="90"/>
  <c r="H5" i="90"/>
  <c r="I5" i="90" s="1"/>
  <c r="H4" i="90"/>
  <c r="H13" i="90" s="1"/>
  <c r="I12" i="90" l="1"/>
  <c r="I11" i="90"/>
  <c r="I4" i="90"/>
  <c r="I6" i="90"/>
  <c r="I8" i="90"/>
  <c r="I10" i="90"/>
  <c r="C34" i="79" l="1"/>
  <c r="S23" i="79"/>
  <c r="S24" i="79"/>
  <c r="S25" i="79"/>
  <c r="S26" i="79"/>
  <c r="S27" i="79"/>
  <c r="S28" i="79"/>
  <c r="S29" i="79"/>
  <c r="S30" i="79"/>
  <c r="S22" i="79"/>
  <c r="D5" i="80"/>
  <c r="D6" i="80"/>
  <c r="D7" i="80"/>
  <c r="D8" i="80"/>
  <c r="D9" i="80"/>
  <c r="D10" i="80"/>
  <c r="D11" i="80"/>
  <c r="D12" i="80"/>
  <c r="D4" i="80"/>
  <c r="R8" i="80" a="1"/>
  <c r="Q9" i="80" a="1"/>
  <c r="Q6" i="80" a="1"/>
  <c r="R11" i="80" a="1"/>
  <c r="R12" i="80" a="1"/>
  <c r="R6" i="80" a="1"/>
  <c r="R10" i="80" a="1"/>
  <c r="R5" i="80" a="1"/>
  <c r="R9" i="80" a="1"/>
  <c r="Q10" i="80" a="1"/>
  <c r="R4" i="80" a="1"/>
  <c r="Q5" i="80" a="1"/>
  <c r="Q11" i="80" a="1"/>
  <c r="R7" i="80" a="1"/>
  <c r="Q4" i="80" a="1"/>
  <c r="Q7" i="80" a="1"/>
  <c r="Q12" i="80" a="1"/>
  <c r="Q8" i="80" a="1"/>
  <c r="Q8" i="80" l="1"/>
  <c r="R9" i="80"/>
  <c r="R4" i="80"/>
  <c r="Q6" i="80"/>
  <c r="R7" i="80"/>
  <c r="R11" i="80"/>
  <c r="R10" i="80"/>
  <c r="R6" i="80"/>
  <c r="Q10" i="80"/>
  <c r="Q7" i="80"/>
  <c r="Q9" i="80"/>
  <c r="Q11" i="80"/>
  <c r="R12" i="80"/>
  <c r="Q5" i="80"/>
  <c r="R8" i="80"/>
  <c r="Q4" i="80"/>
  <c r="Q12" i="80"/>
  <c r="R5" i="80"/>
  <c r="P16" i="79"/>
  <c r="N16" i="79"/>
  <c r="L16" i="79"/>
  <c r="G6" i="78" s="1"/>
  <c r="J16" i="79"/>
  <c r="H16" i="79"/>
  <c r="G7" i="78" s="1"/>
  <c r="F16" i="79"/>
  <c r="J12" i="80"/>
  <c r="J7" i="80"/>
  <c r="J4" i="80"/>
  <c r="J10" i="80"/>
  <c r="F12" i="50" l="1"/>
  <c r="E12" i="50"/>
  <c r="D12" i="50"/>
  <c r="C12" i="50"/>
  <c r="B12" i="50"/>
  <c r="J11" i="80"/>
  <c r="J9" i="80"/>
  <c r="J6" i="80"/>
  <c r="J5" i="80"/>
  <c r="J8" i="8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3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I12" i="59" l="1"/>
  <c r="G9" i="59"/>
  <c r="D9" i="59"/>
  <c r="F12" i="82"/>
  <c r="B8" i="79"/>
  <c r="B9" i="79"/>
  <c r="B24" i="79" s="1"/>
  <c r="B10" i="79"/>
  <c r="B11" i="79"/>
  <c r="B26" i="79" s="1"/>
  <c r="B12" i="79"/>
  <c r="B27" i="79" s="1"/>
  <c r="B13" i="79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8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P39" i="23"/>
  <c r="P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U11" i="79"/>
  <c r="S11" i="79"/>
  <c r="T11" i="79" s="1"/>
  <c r="B25" i="84"/>
  <c r="C25" i="84" s="1"/>
  <c r="A26" i="84"/>
  <c r="K39" i="23"/>
  <c r="M39" i="23" s="1"/>
  <c r="L39" i="23"/>
  <c r="N39" i="23" s="1"/>
  <c r="O26" i="79" l="1"/>
  <c r="N26" i="79"/>
  <c r="K26" i="79"/>
  <c r="J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P63" i="79" l="1"/>
  <c r="O63" i="79"/>
  <c r="N63" i="79"/>
  <c r="L63" i="79"/>
  <c r="K63" i="79"/>
  <c r="J63" i="79"/>
  <c r="H63" i="79"/>
  <c r="G63" i="79"/>
  <c r="F63" i="79"/>
  <c r="D63" i="79"/>
  <c r="C63" i="79"/>
  <c r="P62" i="79"/>
  <c r="O62" i="79"/>
  <c r="N62" i="79"/>
  <c r="L62" i="79"/>
  <c r="K62" i="79"/>
  <c r="J62" i="79"/>
  <c r="H62" i="79"/>
  <c r="G62" i="79"/>
  <c r="F62" i="79"/>
  <c r="D62" i="79"/>
  <c r="C62" i="79"/>
  <c r="P61" i="79"/>
  <c r="O61" i="79"/>
  <c r="N61" i="79"/>
  <c r="L61" i="79"/>
  <c r="K61" i="79"/>
  <c r="J61" i="79"/>
  <c r="H61" i="79"/>
  <c r="G61" i="79"/>
  <c r="F61" i="79"/>
  <c r="D61" i="79"/>
  <c r="C61" i="79"/>
  <c r="P60" i="79"/>
  <c r="O60" i="79"/>
  <c r="N60" i="79"/>
  <c r="L60" i="79"/>
  <c r="K60" i="79"/>
  <c r="J60" i="79"/>
  <c r="H60" i="79"/>
  <c r="G60" i="79"/>
  <c r="F60" i="79"/>
  <c r="D60" i="79"/>
  <c r="C60" i="79"/>
  <c r="P59" i="79"/>
  <c r="O59" i="79"/>
  <c r="N59" i="79"/>
  <c r="L59" i="79"/>
  <c r="K59" i="79"/>
  <c r="J59" i="79"/>
  <c r="H59" i="79"/>
  <c r="G59" i="79"/>
  <c r="F59" i="79"/>
  <c r="D59" i="79"/>
  <c r="C59" i="79"/>
  <c r="P58" i="79"/>
  <c r="O58" i="79"/>
  <c r="N58" i="79"/>
  <c r="L58" i="79"/>
  <c r="K58" i="79"/>
  <c r="J58" i="79"/>
  <c r="H58" i="79"/>
  <c r="G58" i="79"/>
  <c r="F58" i="79"/>
  <c r="D58" i="79"/>
  <c r="C58" i="79"/>
  <c r="P57" i="79"/>
  <c r="O57" i="79"/>
  <c r="N57" i="79"/>
  <c r="L57" i="79"/>
  <c r="K57" i="79"/>
  <c r="J57" i="79"/>
  <c r="H57" i="79"/>
  <c r="G57" i="79"/>
  <c r="F57" i="79"/>
  <c r="D57" i="79"/>
  <c r="C57" i="79"/>
  <c r="P56" i="79"/>
  <c r="O56" i="79"/>
  <c r="N56" i="79"/>
  <c r="L56" i="79"/>
  <c r="K56" i="79"/>
  <c r="J56" i="79"/>
  <c r="H56" i="79"/>
  <c r="G56" i="79"/>
  <c r="F56" i="79"/>
  <c r="D56" i="79"/>
  <c r="C56" i="79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5" i="78"/>
  <c r="G14" i="78"/>
  <c r="D14" i="78"/>
  <c r="D13" i="78"/>
  <c r="K16" i="79" l="1"/>
  <c r="G16" i="79"/>
  <c r="O16" i="79"/>
  <c r="K50" i="79"/>
  <c r="K64" i="79" s="1"/>
  <c r="C8" i="78"/>
  <c r="C31" i="79"/>
  <c r="G50" i="79"/>
  <c r="G64" i="79" s="1"/>
  <c r="D13" i="80"/>
  <c r="L66" i="79"/>
  <c r="L67" i="79" s="1"/>
  <c r="H66" i="79"/>
  <c r="H67" i="79" s="1"/>
  <c r="P66" i="79"/>
  <c r="P67" i="79" s="1"/>
  <c r="O50" i="79"/>
  <c r="O64" i="79" s="1"/>
  <c r="D51" i="79"/>
  <c r="C15" i="78" l="1"/>
  <c r="E7" i="78"/>
  <c r="C7" i="78" s="1"/>
  <c r="E6" i="78"/>
  <c r="C6" i="78" s="1"/>
  <c r="E8" i="78"/>
  <c r="C13" i="78" l="1"/>
  <c r="L6" i="78"/>
  <c r="L7" i="78"/>
  <c r="C14" i="78"/>
  <c r="E14" i="78" s="1"/>
  <c r="F12" i="77"/>
  <c r="G9" i="77"/>
  <c r="D9" i="77"/>
  <c r="A21" i="77"/>
  <c r="A22" i="77" s="1"/>
  <c r="A23" i="77" s="1"/>
  <c r="I14" i="78" l="1"/>
  <c r="E13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3" i="78"/>
  <c r="B24" i="77"/>
  <c r="C24" i="77" s="1"/>
  <c r="A25" i="77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S12" i="79"/>
  <c r="T12" i="79" s="1"/>
  <c r="S13" i="79"/>
  <c r="T13" i="79" s="1"/>
  <c r="S15" i="79"/>
  <c r="T15" i="79" s="1"/>
  <c r="S14" i="79"/>
  <c r="T14" i="79" s="1"/>
  <c r="S9" i="79"/>
  <c r="T9" i="79" s="1"/>
  <c r="S10" i="79"/>
  <c r="T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K24" i="79"/>
  <c r="J24" i="79"/>
  <c r="G28" i="79"/>
  <c r="F28" i="79"/>
  <c r="K25" i="79"/>
  <c r="J25" i="79"/>
  <c r="K28" i="79"/>
  <c r="J28" i="79"/>
  <c r="O30" i="79"/>
  <c r="N30" i="79"/>
  <c r="G25" i="79"/>
  <c r="F25" i="79"/>
  <c r="O28" i="79"/>
  <c r="N28" i="79"/>
  <c r="O25" i="79"/>
  <c r="N25" i="79"/>
  <c r="G30" i="79"/>
  <c r="F30" i="79"/>
  <c r="O29" i="79"/>
  <c r="N29" i="79"/>
  <c r="K30" i="79"/>
  <c r="J30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O20" i="23"/>
  <c r="N8" i="87"/>
  <c r="R22" i="87"/>
  <c r="N22" i="87"/>
  <c r="P8" i="87"/>
  <c r="P22" i="87"/>
  <c r="R8" i="87"/>
  <c r="H25" i="79"/>
  <c r="P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U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H7" i="80" l="1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S7" i="79"/>
  <c r="T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S8" i="79"/>
  <c r="T8" i="79" s="1"/>
  <c r="K36" i="23"/>
  <c r="M36" i="23" s="1"/>
  <c r="N23" i="79" l="1"/>
  <c r="J23" i="79"/>
  <c r="G23" i="79"/>
  <c r="F23" i="79"/>
  <c r="O22" i="79"/>
  <c r="N22" i="79"/>
  <c r="J22" i="79"/>
  <c r="S16" i="79"/>
  <c r="T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G41" i="23"/>
  <c r="F10" i="80" s="1"/>
  <c r="G38" i="23"/>
  <c r="G42" i="23"/>
  <c r="F11" i="80" s="1"/>
  <c r="H14" i="59"/>
  <c r="P38" i="23" l="1"/>
  <c r="F7" i="80"/>
  <c r="G9" i="80"/>
  <c r="F9" i="80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P29" i="79"/>
  <c r="L29" i="79"/>
  <c r="P28" i="79"/>
  <c r="P40" i="23"/>
  <c r="P42" i="23"/>
  <c r="P41" i="23"/>
  <c r="L28" i="79"/>
  <c r="H28" i="79"/>
  <c r="L27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U12" i="79"/>
  <c r="U14" i="79"/>
  <c r="U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F12" i="80" s="1"/>
  <c r="P13" i="87" l="1"/>
  <c r="R27" i="87"/>
  <c r="R13" i="87"/>
  <c r="P27" i="87"/>
  <c r="N13" i="87"/>
  <c r="N27" i="87"/>
  <c r="P43" i="23"/>
  <c r="H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U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I35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F18" i="80" l="1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F6" i="80" l="1"/>
  <c r="G6" i="80" s="1"/>
  <c r="E4" i="80"/>
  <c r="O17" i="23"/>
  <c r="D9" i="79"/>
  <c r="L19" i="23"/>
  <c r="N19" i="23" s="1"/>
  <c r="I37" i="23"/>
  <c r="J37" i="23" s="1"/>
  <c r="AB9" i="89" s="1"/>
  <c r="F35" i="23"/>
  <c r="G35" i="23" s="1"/>
  <c r="J35" i="23"/>
  <c r="AB7" i="89" s="1"/>
  <c r="H4" i="80" l="1"/>
  <c r="I4" i="80"/>
  <c r="F24" i="80" s="1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P24" i="79"/>
  <c r="H24" i="79"/>
  <c r="L24" i="79"/>
  <c r="L22" i="79"/>
  <c r="P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U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U9" i="79"/>
  <c r="D7" i="79"/>
  <c r="D22" i="79" s="1"/>
  <c r="A22" i="79" s="1"/>
  <c r="F17" i="80"/>
  <c r="F22" i="80"/>
  <c r="D24" i="79"/>
  <c r="A24" i="79" s="1"/>
  <c r="C3" i="79"/>
  <c r="L37" i="23"/>
  <c r="N37" i="23" s="1"/>
  <c r="H22" i="79" l="1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2" i="5"/>
  <c r="B47" i="5"/>
  <c r="B33" i="5"/>
  <c r="B29" i="5"/>
  <c r="B37" i="5"/>
  <c r="B45" i="5"/>
  <c r="B44" i="5"/>
  <c r="B28" i="5"/>
  <c r="B42" i="5"/>
  <c r="B38" i="5"/>
  <c r="B27" i="5"/>
  <c r="B46" i="5"/>
  <c r="E9" i="5"/>
  <c r="B35" i="5"/>
  <c r="B40" i="5"/>
  <c r="B31" i="5"/>
  <c r="B41" i="5"/>
  <c r="B36" i="5"/>
  <c r="B39" i="5"/>
  <c r="B30" i="5"/>
  <c r="B34" i="5"/>
  <c r="B43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L18" i="23" l="1"/>
  <c r="N18" i="23" s="1"/>
  <c r="E5" i="80"/>
  <c r="I5" i="80" s="1"/>
  <c r="F36" i="23"/>
  <c r="F26" i="23"/>
  <c r="J36" i="23"/>
  <c r="AB8" i="89" s="1"/>
  <c r="AB16" i="89" s="1"/>
  <c r="I44" i="23"/>
  <c r="R6" i="87" l="1"/>
  <c r="P6" i="87"/>
  <c r="N6" i="87"/>
  <c r="R20" i="87"/>
  <c r="P20" i="87"/>
  <c r="N20" i="87"/>
  <c r="L23" i="79"/>
  <c r="H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U8" i="79"/>
  <c r="U16" i="79" s="1"/>
  <c r="J44" i="23"/>
  <c r="M13" i="23" s="1"/>
  <c r="G36" i="23"/>
  <c r="F44" i="23"/>
  <c r="E13" i="80"/>
  <c r="I13" i="80" s="1"/>
  <c r="F25" i="80"/>
  <c r="F5" i="80" l="1"/>
  <c r="G5" i="80" s="1"/>
  <c r="P36" i="23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P31" i="79"/>
  <c r="P35" i="79" s="1"/>
  <c r="H31" i="79"/>
  <c r="H35" i="79" s="1"/>
  <c r="F13" i="80"/>
  <c r="F14" i="78" l="1"/>
  <c r="H14" i="78" s="1"/>
  <c r="G13" i="80"/>
  <c r="F14" i="80"/>
  <c r="F8" i="78"/>
  <c r="D17" i="79"/>
  <c r="D31" i="79"/>
  <c r="K6" i="78"/>
  <c r="K7" i="78"/>
  <c r="F13" i="78"/>
  <c r="H13" i="78" s="1"/>
  <c r="P33" i="79" l="1"/>
  <c r="P34" i="79" s="1"/>
  <c r="L33" i="79"/>
  <c r="L34" i="79" s="1"/>
  <c r="H33" i="79"/>
  <c r="H34" i="79" s="1"/>
  <c r="I7" i="78"/>
  <c r="B8" i="78"/>
  <c r="J6" i="78"/>
  <c r="J7" i="78"/>
  <c r="I6" i="78"/>
  <c r="I13" i="9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<sst xmlns="http://schemas.openxmlformats.org/spreadsheetml/2006/main" count="1305" uniqueCount="301">
  <si>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</si>
  <si>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</si>
  <si>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</si>
  <si>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</si>
  <si>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</si>
  <si>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</si>
  <si>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</si>
  <si>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</si>
  <si>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</si>
  <si>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</si>
  <si>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</si>
  <si>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</si>
  <si>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</si>
  <si>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</si>
  <si>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</si>
  <si>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</si>
  <si>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</si>
  <si>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</si>
  <si>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</si>
  <si>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</si>
  <si>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</si>
  <si>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</si>
  <si>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</si>
  <si>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</si>
  <si>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</si>
  <si>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</si>
  <si>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</si>
  <si>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</si>
  <si>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</si>
  <si>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</si>
  <si>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</si>
  <si>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</si>
  <si>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</si>
  <si>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</si>
  <si>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</si>
  <si>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</si>
  <si>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</si>
  <si>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</si>
  <si>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</si>
  <si>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</si>
  <si>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</si>
  <si>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</si>
  <si>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</si>
  <si>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</si>
  <si>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</si>
  <si>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</si>
  <si>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</si>
  <si>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</si>
  <si>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</si>
  <si>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</si>
  <si>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</si>
  <si>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</si>
  <si>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</si>
  <si>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</si>
  <si>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</si>
  <si>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</si>
  <si>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</si>
  <si>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</si>
  <si>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</si>
  <si>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</si>
  <si>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</si>
  <si>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</si>
  <si>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</si>
  <si>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</si>
  <si>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</si>
  <si>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</si>
  <si>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</si>
  <si>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</si>
  <si>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</si>
  <si>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</si>
  <si>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</si>
  <si>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</si>
  <si>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</si>
  <si>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</si>
  <si>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</si>
  <si>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</si>
  <si>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</si>
  <si>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</si>
  <si>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</si>
  <si>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</si>
  <si>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</si>
  <si>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</si>
  <si>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</si>
  <si>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</si>
  <si>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</si>
  <si>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</si>
  <si>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</si>
  <si>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</si>
  <si>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</si>
  <si>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</si>
  <si>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</si>
  <si>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</si>
  <si>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</si>
  <si>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</si>
  <si>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</si>
  <si>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</si>
  <si>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</si>
  <si>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</si>
  <si>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</si>
  <si>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</si>
  <si>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</si>
  <si>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</si>
  <si>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</si>
  <si>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</si>
  <si>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</si>
  <si>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</si>
  <si>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</si>
  <si>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</si>
  <si>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</si>
  <si>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</si>
  <si>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</si>
  <si>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</si>
  <si>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</si>
  <si>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</si>
  <si>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</si>
  <si>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</si>
  <si>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</si>
  <si>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</si>
  <si>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</si>
  <si>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</si>
  <si>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</si>
  <si>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</si>
  <si>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</si>
  <si>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</si>
  <si>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</si>
  <si>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</si>
  <si>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</si>
  <si>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</si>
  <si>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</si>
  <si>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</si>
  <si>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</si>
  <si>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</si>
  <si>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</si>
  <si>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</si>
  <si>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</si>
  <si>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</si>
  <si>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</si>
  <si>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</si>
  <si>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</si>
  <si>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</si>
  <si>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</si>
  <si>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</si>
  <si>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</si>
  <si>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</si>
  <si>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</si>
  <si>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</si>
  <si>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</si>
  <si>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</si>
  <si>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</si>
  <si>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</si>
  <si>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</si>
  <si>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</si>
  <si>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</si>
  <si>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</si>
  <si>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</si>
  <si>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</si>
  <si>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</si>
  <si>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</si>
  <si>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</si>
  <si>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</si>
  <si>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</si>
  <si>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</si>
  <si>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</si>
  <si>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</si>
  <si>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</si>
  <si>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</si>
  <si>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</si>
  <si>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</si>
  <si>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</si>
  <si>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</si>
  <si>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</si>
  <si>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</si>
  <si>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</si>
  <si>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</si>
  <si>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</si>
  <si>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</si>
  <si>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</si>
  <si>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</si>
  <si>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</si>
  <si>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</si>
  <si>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</si>
  <si>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</si>
  <si>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</si>
  <si>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</si>
  <si>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</si>
  <si>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</si>
  <si>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</si>
  <si>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</si>
  <si>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</si>
  <si>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</si>
  <si>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</si>
  <si>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</si>
  <si>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</si>
  <si>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</si>
  <si>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</si>
  <si>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</si>
  <si>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</si>
  <si>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</si>
  <si>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</si>
  <si>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</si>
  <si>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</si>
  <si>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</si>
  <si>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</si>
  <si>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</si>
  <si>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</si>
  <si>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</si>
  <si>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</si>
  <si>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</si>
  <si>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</si>
  <si>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</si>
  <si>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</si>
  <si>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</si>
  <si>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</si>
  <si>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</si>
  <si>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</si>
  <si>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</si>
  <si>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</si>
  <si>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</si>
  <si>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</si>
  <si>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</si>
  <si>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</si>
  <si>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</si>
  <si>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</si>
  <si>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</si>
  <si>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</si>
  <si>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</si>
  <si>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</si>
  <si>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</si>
  <si>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</si>
  <si>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</si>
  <si>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</si>
  <si>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</si>
  <si>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</si>
  <si>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</si>
  <si>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</si>
  <si>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</si>
  <si>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</si>
  <si>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</si>
  <si>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</si>
  <si>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</si>
  <si>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</si>
  <si>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</si>
  <si>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</si>
  <si>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</si>
  <si>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</si>
  <si>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</si>
  <si>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</si>
  <si>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</si>
  <si>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</si>
  <si>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Δ Pre-tax Revenue w.r.t 2021 Current baseline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</si>
  <si>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</si>
  <si>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</si>
  <si>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</si>
  <si>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</si>
  <si>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</si>
  <si>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</si>
  <si>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</si>
  <si>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</si>
  <si>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</si>
  <si>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</si>
  <si>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</si>
  <si>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</si>
  <si>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</si>
  <si>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</si>
  <si>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</si>
  <si>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</si>
  <si>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</si>
  <si>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</si>
  <si>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</si>
  <si>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</si>
  <si>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</si>
  <si>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</si>
  <si>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2023 Current Baseline ($MM)</t>
  </si>
  <si>
    <t>-$14(-5.6%)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</si>
  <si>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</si>
  <si>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</si>
  <si>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</si>
  <si>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</si>
  <si>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</si>
  <si>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</si>
  <si>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</si>
  <si>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</si>
  <si>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</si>
  <si>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</si>
  <si>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</si>
  <si>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</si>
  <si>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</si>
  <si>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</si>
  <si>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1M increase In spend (33M)</t>
  </si>
  <si>
    <t xml:space="preserve">3M increase in Spend (36M) </t>
  </si>
  <si>
    <t>Optimal channel spend allowed to vary based on custom limits  for 2023 channel spend</t>
  </si>
  <si>
    <t>GSTRV</t>
  </si>
  <si>
    <t>Custom Constrains</t>
  </si>
  <si>
    <t>+$25(10.2%)</t>
  </si>
  <si>
    <t>-$2(-0.9%)</t>
  </si>
  <si>
    <t>2023 Current Custom Constrains ($MM)</t>
  </si>
  <si>
    <t>Current optimal ($60MM)</t>
  </si>
  <si>
    <t>In Scope Promotion</t>
  </si>
  <si>
    <t>Minimum spend</t>
  </si>
  <si>
    <t>Maximum Spend</t>
  </si>
  <si>
    <t>Total In Scope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</si>
</sst>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9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68" fontId="0" fillId="0" borderId="84" xfId="4" applyNumberFormat="1" applyFont="1" applyBorder="1" applyAlignment="1">
      <alignment horizontal="center" vertical="center"/>
    </xf>
    <xf numFmtId="168" fontId="0" fillId="0" borderId="85" xfId="4" applyNumberFormat="1" applyFont="1" applyBorder="1" applyAlignment="1">
      <alignment horizontal="center" vertical="center"/>
    </xf>
    <xf numFmtId="168" fontId="0" fillId="0" borderId="0" xfId="4" applyNumberFormat="1" applyFont="1" applyAlignment="1">
      <alignment horizontal="center" vertical="center"/>
    </xf>
    <xf numFmtId="168" fontId="0" fillId="0" borderId="86" xfId="4" applyNumberFormat="1" applyFont="1" applyBorder="1" applyAlignment="1">
      <alignment horizontal="center" vertic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42" fillId="0" borderId="0" xfId="0" applyFont="1"/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3" fillId="0" borderId="0" xfId="0" applyFont="1"/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101" xfId="0" applyNumberFormat="1" applyFont="1" applyBorder="1" applyAlignment="1">
      <alignment horizontal="center" vertical="center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 indent="1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9" fontId="0" fillId="0" borderId="71" xfId="3" applyFont="1" applyBorder="1" applyAlignment="1">
      <alignment horizontal="left" vertical="center" indent="1"/>
    </xf>
    <xf numFmtId="0" fontId="26" fillId="0" borderId="102" xfId="0" applyFont="1" applyBorder="1" applyAlignment="1">
      <alignment horizontal="center" vertical="center" wrapText="1"/>
    </xf>
    <xf numFmtId="0" fontId="26" fillId="0" borderId="101" xfId="0" applyFont="1" applyBorder="1" applyAlignment="1">
      <alignment horizontal="center" vertical="center" wrapText="1"/>
    </xf>
    <xf numFmtId="0" fontId="26" fillId="0" borderId="103" xfId="0" applyFont="1" applyBorder="1" applyAlignment="1">
      <alignment horizontal="center" vertical="center" wrapText="1"/>
    </xf>
    <xf numFmtId="0" fontId="28" fillId="48" borderId="88" xfId="0" applyFont="1" applyFill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36000000.01244311</c:v>
                </c:pt>
                <c:pt idx="1">
                  <c:v>33025004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273601130.3784526</c:v>
                </c:pt>
                <c:pt idx="1">
                  <c:v>246138403.80632758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36000000.01244311</c:v>
                </c:pt>
                <c:pt idx="1">
                  <c:v>33025004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118583.90541759932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96729.945919783786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17</xdr:row>
      <xdr:rowOff>0</xdr:rowOff>
    </xdr:from>
    <xdr:to>
      <xdr:col>9</xdr:col>
      <xdr:colOff>975360</xdr:colOff>
      <xdr:row>39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444500</xdr:colOff>
      <xdr:row>16</xdr:row>
      <xdr:rowOff>8466</xdr:rowOff>
    </xdr:from>
    <xdr:to>
      <xdr:col>19</xdr:col>
      <xdr:colOff>348333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/Radio%200.6/GARDADULT_2024_Spend_Alloc_Custom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>
        <row r="23">
          <cell r="F23">
            <v>0.9</v>
          </cell>
        </row>
        <row r="24">
          <cell r="F24">
            <v>12.572464406098238</v>
          </cell>
        </row>
        <row r="25">
          <cell r="F25">
            <v>1.8</v>
          </cell>
        </row>
        <row r="26">
          <cell r="F26">
            <v>1.1000000000000001</v>
          </cell>
        </row>
        <row r="27">
          <cell r="F27">
            <v>9.4</v>
          </cell>
        </row>
        <row r="28">
          <cell r="F28">
            <v>2.9</v>
          </cell>
        </row>
        <row r="29">
          <cell r="F29">
            <v>0.15</v>
          </cell>
        </row>
        <row r="30">
          <cell r="F30">
            <v>0.6644169243574567</v>
          </cell>
        </row>
        <row r="31">
          <cell r="F31">
            <v>28.089210840000003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9"/>
  <sheetViews>
    <sheetView topLeftCell="A19" zoomScale="75" zoomScaleNormal="75" workbookViewId="0">
      <selection activeCell="L35" sqref="L35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78" t="s">
        <v>200</v>
      </c>
      <c r="H4" s="378"/>
      <c r="I4" s="379" t="s">
        <v>201</v>
      </c>
      <c r="J4" s="379"/>
      <c r="K4" s="380" t="s">
        <v>202</v>
      </c>
      <c r="L4" s="380"/>
    </row>
    <row r="5" spans="2:13" ht="38.65" customHeight="1" x14ac:dyDescent="0.25">
      <c r="B5" s="197"/>
      <c r="C5" s="275" t="s">
        <v>203</v>
      </c>
      <c r="D5" s="275" t="s">
        <v>204</v>
      </c>
      <c r="E5" s="181" t="s">
        <v>205</v>
      </c>
      <c r="F5" s="275" t="s">
        <v>278</v>
      </c>
      <c r="G5" s="296" t="s">
        <v>292</v>
      </c>
      <c r="H5" s="296"/>
      <c r="I5" s="296" t="s">
        <v>292</v>
      </c>
      <c r="J5" s="296"/>
      <c r="K5" s="296" t="s">
        <v>292</v>
      </c>
      <c r="L5" s="296"/>
      <c r="M5" s="297"/>
    </row>
    <row r="6" spans="2:13" x14ac:dyDescent="0.25">
      <c r="C6" s="183">
        <f>$C$8+E6</f>
        <v>36000000.01244311</v>
      </c>
      <c r="D6" s="184">
        <v>0.11522416837371682</v>
      </c>
      <c r="E6" s="185">
        <f>D6*$C$8</f>
        <v>3719494.4124431089</v>
      </c>
      <c r="F6" s="183"/>
      <c r="G6" s="183">
        <f>'Scenario deep dive'!L16</f>
        <v>273601130.3784526</v>
      </c>
      <c r="H6" s="183"/>
      <c r="I6" s="183">
        <f t="shared" ref="I6:J7" si="0">G6-$F$8</f>
        <v>25245370.034027815</v>
      </c>
      <c r="J6" s="183">
        <f t="shared" si="0"/>
        <v>-248355760.34442478</v>
      </c>
      <c r="K6" s="186">
        <f t="shared" ref="K6:L7" si="1">G6/$C6</f>
        <v>7.600031396774571</v>
      </c>
      <c r="L6" s="186">
        <f t="shared" si="1"/>
        <v>0</v>
      </c>
    </row>
    <row r="7" spans="2:13" x14ac:dyDescent="0.25">
      <c r="C7" s="183">
        <f>$C$8+E7</f>
        <v>33025004</v>
      </c>
      <c r="D7" s="184">
        <v>2.3063405797460572E-2</v>
      </c>
      <c r="E7" s="185">
        <f>D7*$C$8</f>
        <v>744498.39999999851</v>
      </c>
      <c r="F7" s="183"/>
      <c r="G7" s="183">
        <f>'Scenario deep dive'!H16</f>
        <v>246138403.80632758</v>
      </c>
      <c r="H7" s="187"/>
      <c r="I7" s="183">
        <f t="shared" si="0"/>
        <v>-2217356.5380972028</v>
      </c>
      <c r="J7" s="183">
        <f t="shared" si="0"/>
        <v>-248355760.34442478</v>
      </c>
      <c r="K7" s="186">
        <f t="shared" si="1"/>
        <v>7.4530923238140288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/>
      <c r="H8" s="183"/>
      <c r="I8" s="183"/>
      <c r="J8" s="183"/>
      <c r="K8" s="186"/>
      <c r="L8" s="186"/>
    </row>
    <row r="9" spans="2:13" x14ac:dyDescent="0.25">
      <c r="D9" s="189"/>
      <c r="E9" s="189"/>
      <c r="F9" s="183"/>
    </row>
    <row r="10" spans="2:13" x14ac:dyDescent="0.25">
      <c r="D10" s="189"/>
      <c r="E10" s="189"/>
    </row>
    <row r="11" spans="2:13" x14ac:dyDescent="0.25">
      <c r="F11" s="381" t="s">
        <v>206</v>
      </c>
      <c r="G11" s="381"/>
      <c r="H11" s="381" t="s">
        <v>207</v>
      </c>
      <c r="I11" s="381"/>
    </row>
    <row r="12" spans="2:13" ht="30" x14ac:dyDescent="0.25">
      <c r="C12" s="180" t="s">
        <v>203</v>
      </c>
      <c r="D12" s="180" t="s">
        <v>204</v>
      </c>
      <c r="E12" s="97" t="s">
        <v>208</v>
      </c>
      <c r="F12" s="296" t="s">
        <v>292</v>
      </c>
      <c r="G12" s="182"/>
      <c r="H12" s="296" t="s">
        <v>292</v>
      </c>
      <c r="I12" s="182"/>
    </row>
    <row r="13" spans="2:13" x14ac:dyDescent="0.25">
      <c r="C13" s="190">
        <f t="shared" ref="C13:D15" si="2">C6</f>
        <v>36000000.01244311</v>
      </c>
      <c r="D13" s="191">
        <f t="shared" si="2"/>
        <v>0.11522416837371682</v>
      </c>
      <c r="E13" s="190">
        <f>C13-C14</f>
        <v>2974996.0124431103</v>
      </c>
      <c r="F13" s="192">
        <f>G6-G7</f>
        <v>27462726.572125018</v>
      </c>
      <c r="G13" s="192">
        <f>H6-H7</f>
        <v>0</v>
      </c>
      <c r="H13" s="186">
        <f t="shared" ref="H13:I14" si="3">F13/$E13</f>
        <v>9.2311809687342148</v>
      </c>
      <c r="I13" s="186">
        <f t="shared" si="3"/>
        <v>0</v>
      </c>
    </row>
    <row r="14" spans="2:13" x14ac:dyDescent="0.25">
      <c r="C14" s="190">
        <f t="shared" si="2"/>
        <v>33025004</v>
      </c>
      <c r="D14" s="191">
        <f t="shared" si="2"/>
        <v>2.3063405797460572E-2</v>
      </c>
      <c r="E14" s="190">
        <f>C14-C15</f>
        <v>744498.39999999851</v>
      </c>
      <c r="F14" s="192">
        <f>G7-G8</f>
        <v>246138403.80632758</v>
      </c>
      <c r="G14" s="192">
        <f>H7-H8</f>
        <v>0</v>
      </c>
      <c r="H14" s="186">
        <f>F14/$E14</f>
        <v>330.60971495214505</v>
      </c>
      <c r="I14" s="186">
        <f t="shared" si="3"/>
        <v>0</v>
      </c>
    </row>
    <row r="15" spans="2:13" x14ac:dyDescent="0.25">
      <c r="C15" s="190">
        <f t="shared" si="2"/>
        <v>32280505.600000001</v>
      </c>
      <c r="D15" s="191">
        <f t="shared" si="2"/>
        <v>0</v>
      </c>
      <c r="E15" s="190"/>
      <c r="F15" s="192"/>
      <c r="G15" s="192"/>
      <c r="H15" s="186"/>
      <c r="I15" s="186"/>
    </row>
    <row r="16" spans="2:13" x14ac:dyDescent="0.25">
      <c r="H16" s="186"/>
    </row>
    <row r="52" spans="21:22" x14ac:dyDescent="0.25">
      <c r="U52" s="193"/>
      <c r="V52" s="193"/>
    </row>
    <row r="53" spans="21:22" x14ac:dyDescent="0.25">
      <c r="U53" s="193"/>
      <c r="V53" s="193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385" t="s">
        <v>248</v>
      </c>
      <c r="G4" s="385"/>
      <c r="H4" s="385"/>
      <c r="I4" s="385"/>
      <c r="J4" s="385"/>
      <c r="K4" s="385"/>
      <c r="L4" s="385"/>
      <c r="M4" s="385"/>
      <c r="N4" s="385"/>
      <c r="O4" s="385"/>
      <c r="P4" s="385"/>
    </row>
    <row r="5" spans="1:28" x14ac:dyDescent="0.25">
      <c r="F5" s="382" t="s">
        <v>255</v>
      </c>
      <c r="G5" s="383"/>
      <c r="H5" s="384"/>
      <c r="I5" s="195"/>
      <c r="J5" s="382" t="s">
        <v>261</v>
      </c>
      <c r="K5" s="383"/>
      <c r="L5" s="384"/>
      <c r="M5" s="195"/>
      <c r="N5" s="382" t="s">
        <v>262</v>
      </c>
      <c r="O5" s="383"/>
      <c r="P5" s="384"/>
      <c r="R5" s="382" t="s">
        <v>263</v>
      </c>
      <c r="S5" s="383"/>
      <c r="T5" s="384"/>
      <c r="V5" s="382" t="s">
        <v>264</v>
      </c>
      <c r="W5" s="383"/>
      <c r="X5" s="384"/>
      <c r="Z5" s="97" t="s">
        <v>247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5400000</v>
      </c>
      <c r="AA8" s="191">
        <f t="shared" ref="AA8:AA15" si="0">(Z8-$C8)/$C8</f>
        <v>-5.9868938766130211E-2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1599500</v>
      </c>
      <c r="AA9" s="191">
        <f t="shared" si="0"/>
        <v>-0.17775077809605799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500000</v>
      </c>
      <c r="AA10" s="191">
        <f t="shared" si="0"/>
        <v>-3.0894915051349361E-2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6463714</v>
      </c>
      <c r="AA11" s="191">
        <f t="shared" si="0"/>
        <v>0.23180996508605661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1500000</v>
      </c>
      <c r="AA12" s="191">
        <f t="shared" si="0"/>
        <v>0.51086961908317774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300000</v>
      </c>
      <c r="AA13" s="191">
        <f t="shared" si="0"/>
        <v>-0.62500000468749994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1400000</v>
      </c>
      <c r="AA14" s="191">
        <f t="shared" si="0"/>
        <v>7.2936350817630821E-2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14861790</v>
      </c>
      <c r="AA15" s="191">
        <f t="shared" si="0"/>
        <v>8.9712395656144167E-2</v>
      </c>
      <c r="AB15" s="199">
        <f>VAC_Optim_Scenario!$J43</f>
        <v>61295260.814772405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33025004</v>
      </c>
      <c r="AA16" s="203">
        <f>(Z16-$C$16)/$C$16</f>
        <v>3.5645492318402396E-2</v>
      </c>
      <c r="AB16" s="202">
        <f>SUM(AB7:AB15)</f>
        <v>246138403.80632758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385" t="str">
        <f>F4</f>
        <v>Optimal channel spend allowed to vary between +/- 30% of the 2021 channel spend</v>
      </c>
      <c r="G19" s="385"/>
      <c r="H19" s="385"/>
      <c r="I19" s="385"/>
      <c r="J19" s="385"/>
      <c r="K19" s="385"/>
      <c r="L19" s="385"/>
      <c r="M19" s="385"/>
      <c r="N19" s="385"/>
      <c r="O19" s="385"/>
      <c r="P19" s="385"/>
    </row>
    <row r="20" spans="1:24" ht="30.4" customHeight="1" x14ac:dyDescent="0.25">
      <c r="C20" s="386" t="s">
        <v>266</v>
      </c>
      <c r="D20" s="387"/>
      <c r="E20" s="204"/>
      <c r="F20" s="382" t="str">
        <f>F5</f>
        <v>Current Optimal ($32MM)</v>
      </c>
      <c r="G20" s="383"/>
      <c r="H20" s="384"/>
      <c r="I20" s="205"/>
      <c r="J20" s="382" t="str">
        <f>J5</f>
        <v>10% reduction optimal ($29M)</v>
      </c>
      <c r="K20" s="383"/>
      <c r="L20" s="384"/>
      <c r="M20" s="205"/>
      <c r="N20" s="382" t="str">
        <f>N5</f>
        <v>20% reduction optimal ($26M)</v>
      </c>
      <c r="O20" s="383"/>
      <c r="P20" s="384"/>
      <c r="R20" s="382" t="str">
        <f>R5</f>
        <v>10% increase optimal ($35M)</v>
      </c>
      <c r="S20" s="383"/>
      <c r="T20" s="384"/>
      <c r="V20" s="382" t="str">
        <f>V5</f>
        <v>20% increase optimal ($38M)</v>
      </c>
      <c r="W20" s="383"/>
      <c r="X20" s="384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265</v>
      </c>
      <c r="C32" s="222"/>
      <c r="D32" s="223"/>
      <c r="E32" s="224"/>
      <c r="F32" s="225"/>
      <c r="G32" s="226"/>
      <c r="H32" s="302" t="s">
        <v>256</v>
      </c>
      <c r="I32" s="224"/>
      <c r="J32" s="225"/>
      <c r="K32" s="226"/>
      <c r="L32" s="229" t="s">
        <v>257</v>
      </c>
      <c r="M32" s="224"/>
      <c r="N32" s="225"/>
      <c r="O32" s="226"/>
      <c r="P32" s="229" t="s">
        <v>258</v>
      </c>
      <c r="R32" s="225"/>
      <c r="S32" s="226"/>
      <c r="T32" s="302" t="s">
        <v>259</v>
      </c>
      <c r="V32" s="225"/>
      <c r="W32" s="226"/>
      <c r="X32" s="302" t="s">
        <v>260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391" t="s">
        <v>250</v>
      </c>
      <c r="C36" s="391"/>
      <c r="D36" s="391"/>
      <c r="E36" s="391"/>
      <c r="F36" s="391"/>
      <c r="G36" s="391"/>
      <c r="H36" s="391"/>
      <c r="I36" s="391"/>
      <c r="J36" s="391"/>
      <c r="K36" s="391"/>
      <c r="L36" s="391"/>
      <c r="M36" s="391"/>
      <c r="N36" s="391"/>
      <c r="O36" s="391"/>
      <c r="P36" s="391"/>
      <c r="Q36" s="391"/>
      <c r="R36" s="391"/>
      <c r="S36" s="391"/>
      <c r="T36" s="391"/>
    </row>
    <row r="37" spans="2:24" x14ac:dyDescent="0.25">
      <c r="B37" s="391"/>
      <c r="C37" s="391"/>
      <c r="D37" s="391"/>
      <c r="E37" s="391"/>
      <c r="F37" s="391"/>
      <c r="G37" s="391"/>
      <c r="H37" s="391"/>
      <c r="I37" s="391"/>
      <c r="J37" s="391"/>
      <c r="K37" s="391"/>
      <c r="L37" s="391"/>
      <c r="M37" s="391"/>
      <c r="N37" s="391"/>
      <c r="O37" s="391"/>
      <c r="P37" s="391"/>
      <c r="Q37" s="391"/>
      <c r="R37" s="391"/>
      <c r="S37" s="391"/>
      <c r="T37" s="391"/>
    </row>
    <row r="39" spans="2:24" x14ac:dyDescent="0.25">
      <c r="F39" s="382" t="s">
        <v>242</v>
      </c>
      <c r="G39" s="383"/>
      <c r="H39" s="384"/>
      <c r="I39" s="195"/>
      <c r="J39" s="382" t="s">
        <v>209</v>
      </c>
      <c r="K39" s="383"/>
      <c r="L39" s="384"/>
      <c r="M39" s="195"/>
      <c r="N39" s="382" t="s">
        <v>210</v>
      </c>
      <c r="O39" s="383"/>
      <c r="P39" s="384"/>
      <c r="R39" s="392"/>
      <c r="S39" s="393"/>
      <c r="T39" s="394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5" t="str">
        <f>B36</f>
        <v>Optimal Channel Spend  allowed to vary between  of the 2021 spend</v>
      </c>
      <c r="G53" s="395"/>
      <c r="H53" s="395"/>
      <c r="I53" s="395"/>
      <c r="J53" s="395"/>
      <c r="K53" s="395"/>
      <c r="L53" s="395"/>
      <c r="M53" s="395"/>
      <c r="N53" s="395"/>
      <c r="O53" s="395"/>
      <c r="P53" s="395"/>
    </row>
    <row r="54" spans="2:20" x14ac:dyDescent="0.25">
      <c r="C54" s="386" t="s">
        <v>243</v>
      </c>
      <c r="D54" s="387"/>
      <c r="E54" s="204"/>
      <c r="F54" s="382" t="str">
        <f>F39</f>
        <v>Current Optimal ($MM)</v>
      </c>
      <c r="G54" s="383"/>
      <c r="H54" s="384"/>
      <c r="I54" s="205"/>
      <c r="J54" s="382" t="str">
        <f>J39</f>
        <v>10% reduction optimal ($)</v>
      </c>
      <c r="K54" s="383"/>
      <c r="L54" s="384"/>
      <c r="M54" s="205"/>
      <c r="N54" s="382" t="str">
        <f>N39</f>
        <v>20% reduction optimal ()</v>
      </c>
      <c r="O54" s="383"/>
      <c r="P54" s="384"/>
      <c r="R54" s="388"/>
      <c r="S54" s="389"/>
      <c r="T54" s="390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31" priority="17" operator="lessThan">
      <formula>0</formula>
    </cfRule>
    <cfRule type="cellIs" dxfId="30" priority="18" operator="greaterThan">
      <formula>0</formula>
    </cfRule>
  </conditionalFormatting>
  <conditionalFormatting sqref="K22:K30">
    <cfRule type="cellIs" dxfId="29" priority="15" operator="lessThan">
      <formula>0</formula>
    </cfRule>
    <cfRule type="cellIs" dxfId="28" priority="16" operator="greaterThan">
      <formula>0</formula>
    </cfRule>
  </conditionalFormatting>
  <conditionalFormatting sqref="O22:O30">
    <cfRule type="cellIs" dxfId="27" priority="13" operator="lessThan">
      <formula>0</formula>
    </cfRule>
    <cfRule type="cellIs" dxfId="26" priority="14" operator="greaterThan">
      <formula>0</formula>
    </cfRule>
  </conditionalFormatting>
  <conditionalFormatting sqref="S22:S30">
    <cfRule type="cellIs" dxfId="25" priority="11" operator="lessThan">
      <formula>0</formula>
    </cfRule>
    <cfRule type="cellIs" dxfId="24" priority="12" operator="greaterThan">
      <formula>0</formula>
    </cfRule>
  </conditionalFormatting>
  <conditionalFormatting sqref="G56:G63">
    <cfRule type="cellIs" dxfId="23" priority="9" operator="lessThan">
      <formula>0</formula>
    </cfRule>
    <cfRule type="cellIs" dxfId="22" priority="10" operator="greaterThan">
      <formula>0</formula>
    </cfRule>
  </conditionalFormatting>
  <conditionalFormatting sqref="K56:K63">
    <cfRule type="cellIs" dxfId="21" priority="7" operator="lessThan">
      <formula>0</formula>
    </cfRule>
    <cfRule type="cellIs" dxfId="20" priority="8" operator="greaterThan">
      <formula>0</formula>
    </cfRule>
  </conditionalFormatting>
  <conditionalFormatting sqref="O56:O63">
    <cfRule type="cellIs" dxfId="19" priority="5" operator="lessThan">
      <formula>0</formula>
    </cfRule>
    <cfRule type="cellIs" dxfId="18" priority="6" operator="greaterThan">
      <formula>0</formula>
    </cfRule>
  </conditionalFormatting>
  <conditionalFormatting sqref="S56:S63">
    <cfRule type="cellIs" dxfId="17" priority="3" operator="lessThan">
      <formula>0</formula>
    </cfRule>
    <cfRule type="cellIs" dxfId="16" priority="4" operator="greaterThan">
      <formula>0</formula>
    </cfRule>
  </conditionalFormatting>
  <conditionalFormatting sqref="W22:W30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396" t="s">
        <v>2</v>
      </c>
      <c r="C3" s="398" t="s">
        <v>3</v>
      </c>
      <c r="D3" s="399" t="s">
        <v>232</v>
      </c>
      <c r="E3" s="400"/>
      <c r="F3" s="399" t="s">
        <v>233</v>
      </c>
      <c r="G3" s="400"/>
      <c r="H3" s="399" t="s">
        <v>234</v>
      </c>
      <c r="I3" s="400"/>
      <c r="K3" s="396" t="s">
        <v>2</v>
      </c>
      <c r="L3" s="398" t="s">
        <v>3</v>
      </c>
      <c r="M3" s="399" t="s">
        <v>232</v>
      </c>
      <c r="N3" s="400"/>
      <c r="O3" s="399" t="s">
        <v>233</v>
      </c>
      <c r="P3" s="400"/>
      <c r="Q3" s="399" t="s">
        <v>234</v>
      </c>
      <c r="R3" s="400"/>
    </row>
    <row r="4" spans="2:20" ht="25.5" x14ac:dyDescent="0.25">
      <c r="B4" s="397"/>
      <c r="C4" s="397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397"/>
      <c r="L4" s="397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398" t="s">
        <v>3</v>
      </c>
      <c r="D17" s="399" t="s">
        <v>232</v>
      </c>
      <c r="E17" s="400"/>
      <c r="F17" s="399" t="s">
        <v>239</v>
      </c>
      <c r="G17" s="400"/>
      <c r="H17" s="399" t="s">
        <v>240</v>
      </c>
      <c r="I17" s="400"/>
      <c r="L17" s="398" t="s">
        <v>3</v>
      </c>
      <c r="M17" s="399" t="s">
        <v>232</v>
      </c>
      <c r="N17" s="400"/>
      <c r="O17" s="399" t="s">
        <v>239</v>
      </c>
      <c r="P17" s="400"/>
      <c r="Q17" s="399" t="s">
        <v>240</v>
      </c>
      <c r="R17" s="400"/>
    </row>
    <row r="18" spans="2:19" ht="25.5" x14ac:dyDescent="0.25">
      <c r="C18" s="397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397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396" t="s">
        <v>2</v>
      </c>
      <c r="C3" s="398" t="s">
        <v>3</v>
      </c>
      <c r="D3" s="399" t="s">
        <v>232</v>
      </c>
      <c r="E3" s="400"/>
      <c r="F3" s="399" t="s">
        <v>233</v>
      </c>
      <c r="G3" s="400"/>
      <c r="H3" s="399" t="s">
        <v>234</v>
      </c>
      <c r="I3" s="400"/>
      <c r="K3" s="396" t="s">
        <v>2</v>
      </c>
      <c r="L3" s="398" t="s">
        <v>3</v>
      </c>
      <c r="M3" s="399" t="s">
        <v>232</v>
      </c>
      <c r="N3" s="400"/>
      <c r="O3" s="399" t="s">
        <v>233</v>
      </c>
      <c r="P3" s="400"/>
      <c r="Q3" s="399" t="s">
        <v>234</v>
      </c>
      <c r="R3" s="400"/>
    </row>
    <row r="4" spans="2:20" ht="25.5" x14ac:dyDescent="0.25">
      <c r="B4" s="397"/>
      <c r="C4" s="397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397"/>
      <c r="L4" s="397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1000000</v>
      </c>
      <c r="E5" s="249">
        <f>VAC_Optim_Scenario!$J35</f>
        <v>5040789.0644048415</v>
      </c>
      <c r="F5" s="248">
        <f>VAC_Optim_Scenario!$H35</f>
        <v>1000000</v>
      </c>
      <c r="G5" s="249">
        <f>VAC_Optim_Scenario!$J35</f>
        <v>5040789.0644048415</v>
      </c>
      <c r="H5" s="248">
        <f>VAC_Optim_Scenario!$H35</f>
        <v>1000000</v>
      </c>
      <c r="I5" s="249">
        <f>VAC_Optim_Scenario!$J35</f>
        <v>5040789.0644048415</v>
      </c>
      <c r="J5" s="250"/>
      <c r="K5" s="53" t="s">
        <v>154</v>
      </c>
      <c r="L5" s="53" t="str">
        <f>VAC_Optim_Scenario!B17</f>
        <v>HCC In Office</v>
      </c>
      <c r="M5" s="251">
        <f>D5/1000000</f>
        <v>1</v>
      </c>
      <c r="N5" s="252">
        <f t="shared" ref="N5:R13" si="0">E5/1000000</f>
        <v>5.0407890644048416</v>
      </c>
      <c r="O5" s="251">
        <f t="shared" si="0"/>
        <v>1</v>
      </c>
      <c r="P5" s="252">
        <f t="shared" si="0"/>
        <v>5.0407890644048416</v>
      </c>
      <c r="Q5" s="251">
        <f t="shared" si="0"/>
        <v>1</v>
      </c>
      <c r="R5" s="252">
        <f t="shared" si="0"/>
        <v>5.0407890644048416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5400000</v>
      </c>
      <c r="E6" s="255">
        <f>VAC_Optim_Scenario!$J36</f>
        <v>64130441.937738657</v>
      </c>
      <c r="F6" s="254">
        <f>VAC_Optim_Scenario!$H36</f>
        <v>5400000</v>
      </c>
      <c r="G6" s="255">
        <f>VAC_Optim_Scenario!$J36</f>
        <v>64130441.937738657</v>
      </c>
      <c r="H6" s="254">
        <f>VAC_Optim_Scenario!$H36</f>
        <v>5400000</v>
      </c>
      <c r="I6" s="255">
        <f>VAC_Optim_Scenario!$J36</f>
        <v>64130441.937738657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5.4</v>
      </c>
      <c r="N6" s="257">
        <f t="shared" si="0"/>
        <v>64.130441937738652</v>
      </c>
      <c r="O6" s="256">
        <f t="shared" si="0"/>
        <v>5.4</v>
      </c>
      <c r="P6" s="257">
        <f t="shared" si="0"/>
        <v>64.130441937738652</v>
      </c>
      <c r="Q6" s="256">
        <f t="shared" si="0"/>
        <v>5.4</v>
      </c>
      <c r="R6" s="257">
        <f t="shared" si="0"/>
        <v>64.130441937738652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1599500</v>
      </c>
      <c r="E7" s="255">
        <f>VAC_Optim_Scenario!$J37</f>
        <v>14642130.239828272</v>
      </c>
      <c r="F7" s="254">
        <f>VAC_Optim_Scenario!$H37</f>
        <v>1599500</v>
      </c>
      <c r="G7" s="255">
        <f>VAC_Optim_Scenario!$J37</f>
        <v>14642130.239828272</v>
      </c>
      <c r="H7" s="254">
        <f>VAC_Optim_Scenario!$H37</f>
        <v>1599500</v>
      </c>
      <c r="I7" s="255">
        <f>VAC_Optim_Scenario!$J37</f>
        <v>14642130.239828272</v>
      </c>
      <c r="J7" s="258"/>
      <c r="K7" s="54" t="s">
        <v>154</v>
      </c>
      <c r="L7" s="54" t="str">
        <f>VAC_Optim_Scenario!B19</f>
        <v>HCC Social</v>
      </c>
      <c r="M7" s="256">
        <f t="shared" si="1"/>
        <v>1.5994999999999999</v>
      </c>
      <c r="N7" s="257">
        <f t="shared" si="0"/>
        <v>14.642130239828273</v>
      </c>
      <c r="O7" s="256">
        <f t="shared" si="0"/>
        <v>1.5994999999999999</v>
      </c>
      <c r="P7" s="257">
        <f t="shared" si="0"/>
        <v>14.642130239828273</v>
      </c>
      <c r="Q7" s="256">
        <f t="shared" si="0"/>
        <v>1.5994999999999999</v>
      </c>
      <c r="R7" s="257">
        <f t="shared" si="0"/>
        <v>14.642130239828273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500000</v>
      </c>
      <c r="E8" s="255">
        <f>VAC_Optim_Scenario!$J38</f>
        <v>2958708.7105763983</v>
      </c>
      <c r="F8" s="254">
        <f>VAC_Optim_Scenario!$H38</f>
        <v>500000</v>
      </c>
      <c r="G8" s="255">
        <f>VAC_Optim_Scenario!$J38</f>
        <v>2958708.7105763983</v>
      </c>
      <c r="H8" s="254">
        <f>VAC_Optim_Scenario!$H38</f>
        <v>500000</v>
      </c>
      <c r="I8" s="255">
        <f>VAC_Optim_Scenario!$J38</f>
        <v>2958708.7105763983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0.5</v>
      </c>
      <c r="N8" s="257">
        <f t="shared" si="0"/>
        <v>2.9587087105763983</v>
      </c>
      <c r="O8" s="256">
        <f t="shared" si="0"/>
        <v>0.5</v>
      </c>
      <c r="P8" s="257">
        <f t="shared" si="0"/>
        <v>2.9587087105763983</v>
      </c>
      <c r="Q8" s="256">
        <f t="shared" si="0"/>
        <v>0.5</v>
      </c>
      <c r="R8" s="257">
        <f t="shared" si="0"/>
        <v>2.9587087105763983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6463714</v>
      </c>
      <c r="E9" s="255">
        <f>VAC_Optim_Scenario!$J39</f>
        <v>33726604.314190388</v>
      </c>
      <c r="F9" s="254">
        <f>VAC_Optim_Scenario!$H39</f>
        <v>6463714</v>
      </c>
      <c r="G9" s="255">
        <f>VAC_Optim_Scenario!$J39</f>
        <v>33726604.314190388</v>
      </c>
      <c r="H9" s="254">
        <f>VAC_Optim_Scenario!$H39</f>
        <v>6463714</v>
      </c>
      <c r="I9" s="255">
        <f>VAC_Optim_Scenario!$J39</f>
        <v>33726604.314190388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6.4637140000000004</v>
      </c>
      <c r="N9" s="257">
        <f t="shared" si="0"/>
        <v>33.726604314190389</v>
      </c>
      <c r="O9" s="256">
        <f t="shared" si="0"/>
        <v>6.4637140000000004</v>
      </c>
      <c r="P9" s="257">
        <f t="shared" si="0"/>
        <v>33.726604314190389</v>
      </c>
      <c r="Q9" s="256">
        <f t="shared" si="0"/>
        <v>6.4637140000000004</v>
      </c>
      <c r="R9" s="257">
        <f t="shared" si="0"/>
        <v>33.726604314190389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1500000</v>
      </c>
      <c r="E10" s="255">
        <f>VAC_Optim_Scenario!$J40</f>
        <v>21855163.981115948</v>
      </c>
      <c r="F10" s="254">
        <f>VAC_Optim_Scenario!$H40</f>
        <v>1500000</v>
      </c>
      <c r="G10" s="255">
        <f>VAC_Optim_Scenario!$J40</f>
        <v>21855163.981115948</v>
      </c>
      <c r="H10" s="254">
        <f>VAC_Optim_Scenario!$H40</f>
        <v>1500000</v>
      </c>
      <c r="I10" s="255">
        <f>VAC_Optim_Scenario!$J40</f>
        <v>21855163.981115948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1.5</v>
      </c>
      <c r="N10" s="257">
        <f t="shared" si="0"/>
        <v>21.855163981115947</v>
      </c>
      <c r="O10" s="256">
        <f t="shared" si="0"/>
        <v>1.5</v>
      </c>
      <c r="P10" s="257">
        <f t="shared" si="0"/>
        <v>21.855163981115947</v>
      </c>
      <c r="Q10" s="256">
        <f t="shared" si="0"/>
        <v>1.5</v>
      </c>
      <c r="R10" s="257">
        <f t="shared" si="0"/>
        <v>21.855163981115947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300000</v>
      </c>
      <c r="E11" s="255">
        <f>VAC_Optim_Scenario!$J41</f>
        <v>26792847.590052392</v>
      </c>
      <c r="F11" s="254">
        <f>VAC_Optim_Scenario!$H41</f>
        <v>300000</v>
      </c>
      <c r="G11" s="255">
        <f>VAC_Optim_Scenario!$J41</f>
        <v>26792847.590052392</v>
      </c>
      <c r="H11" s="254">
        <f>VAC_Optim_Scenario!$H41</f>
        <v>300000</v>
      </c>
      <c r="I11" s="255">
        <f>VAC_Optim_Scenario!$J41</f>
        <v>26792847.590052392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0.3</v>
      </c>
      <c r="N11" s="257">
        <f t="shared" si="0"/>
        <v>26.792847590052393</v>
      </c>
      <c r="O11" s="256">
        <f t="shared" si="0"/>
        <v>0.3</v>
      </c>
      <c r="P11" s="257">
        <f t="shared" si="0"/>
        <v>26.792847590052393</v>
      </c>
      <c r="Q11" s="256">
        <f t="shared" si="0"/>
        <v>0.3</v>
      </c>
      <c r="R11" s="257">
        <f t="shared" si="0"/>
        <v>26.792847590052393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1400000</v>
      </c>
      <c r="E12" s="255">
        <f>VAC_Optim_Scenario!$J42</f>
        <v>15696457.153648281</v>
      </c>
      <c r="F12" s="254">
        <f>VAC_Optim_Scenario!$H42</f>
        <v>1400000</v>
      </c>
      <c r="G12" s="255">
        <f>VAC_Optim_Scenario!$J42</f>
        <v>15696457.153648281</v>
      </c>
      <c r="H12" s="254">
        <f>VAC_Optim_Scenario!$H42</f>
        <v>1400000</v>
      </c>
      <c r="I12" s="255">
        <f>VAC_Optim_Scenario!$J42</f>
        <v>15696457.153648281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1.4</v>
      </c>
      <c r="N12" s="257">
        <f t="shared" si="0"/>
        <v>15.696457153648282</v>
      </c>
      <c r="O12" s="256">
        <f t="shared" si="0"/>
        <v>1.4</v>
      </c>
      <c r="P12" s="257">
        <f t="shared" si="0"/>
        <v>15.696457153648282</v>
      </c>
      <c r="Q12" s="256">
        <f t="shared" si="0"/>
        <v>1.4</v>
      </c>
      <c r="R12" s="257">
        <f t="shared" si="0"/>
        <v>15.696457153648282</v>
      </c>
    </row>
    <row r="13" spans="2:20" x14ac:dyDescent="0.25">
      <c r="B13" s="267" t="s">
        <v>154</v>
      </c>
      <c r="C13" s="238" t="str">
        <f>VAC_Optim_Scenario!B25</f>
        <v>HCC TV</v>
      </c>
      <c r="D13" s="268">
        <f>VAC_Optim_Scenario!$H43</f>
        <v>14861790</v>
      </c>
      <c r="E13" s="268">
        <f>VAC_Optim_Scenario!$J43</f>
        <v>61295260.814772405</v>
      </c>
      <c r="F13" s="268">
        <f>VAC_Optim_Scenario!$H43</f>
        <v>14861790</v>
      </c>
      <c r="G13" s="268">
        <f>VAC_Optim_Scenario!$J43</f>
        <v>61295260.814772405</v>
      </c>
      <c r="H13" s="268">
        <f>VAC_Optim_Scenario!$H43</f>
        <v>14861790</v>
      </c>
      <c r="I13" s="268">
        <f>VAC_Optim_Scenario!$J43</f>
        <v>61295260.814772405</v>
      </c>
      <c r="J13" s="250"/>
      <c r="K13" s="267" t="s">
        <v>154</v>
      </c>
      <c r="L13" s="267" t="str">
        <f>VAC_Optim_Scenario!B25</f>
        <v>HCC TV</v>
      </c>
      <c r="M13" s="261">
        <f t="shared" si="1"/>
        <v>14.861789999999999</v>
      </c>
      <c r="N13" s="261">
        <f t="shared" si="0"/>
        <v>61.295260814772405</v>
      </c>
      <c r="O13" s="261">
        <f t="shared" si="0"/>
        <v>14.861789999999999</v>
      </c>
      <c r="P13" s="261">
        <f t="shared" si="0"/>
        <v>61.295260814772405</v>
      </c>
      <c r="Q13" s="261">
        <f t="shared" si="0"/>
        <v>14.861789999999999</v>
      </c>
      <c r="R13" s="261">
        <f t="shared" si="0"/>
        <v>61.295260814772405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398" t="s">
        <v>3</v>
      </c>
      <c r="D17" s="399" t="s">
        <v>232</v>
      </c>
      <c r="E17" s="400"/>
      <c r="F17" s="399" t="s">
        <v>239</v>
      </c>
      <c r="G17" s="400"/>
      <c r="H17" s="399" t="s">
        <v>240</v>
      </c>
      <c r="I17" s="400"/>
      <c r="L17" s="398" t="s">
        <v>3</v>
      </c>
      <c r="M17" s="399" t="s">
        <v>232</v>
      </c>
      <c r="N17" s="400"/>
      <c r="O17" s="399" t="s">
        <v>239</v>
      </c>
      <c r="P17" s="400"/>
      <c r="Q17" s="399" t="s">
        <v>240</v>
      </c>
      <c r="R17" s="400"/>
    </row>
    <row r="18" spans="2:19" ht="25.5" x14ac:dyDescent="0.25">
      <c r="C18" s="397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397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1000000</v>
      </c>
      <c r="E19" s="249">
        <f>VAC_Optim_Scenario!$J35</f>
        <v>5040789.0644048415</v>
      </c>
      <c r="F19" s="248">
        <f>VAC_Optim_Scenario!$H35</f>
        <v>1000000</v>
      </c>
      <c r="G19" s="249">
        <f>VAC_Optim_Scenario!$J35</f>
        <v>5040789.0644048415</v>
      </c>
      <c r="H19" s="248">
        <f>VAC_Optim_Scenario!$H35</f>
        <v>1000000</v>
      </c>
      <c r="I19" s="249">
        <f>VAC_Optim_Scenario!$J35</f>
        <v>5040789.0644048415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</v>
      </c>
      <c r="N19" s="252">
        <f t="shared" ref="N19:R27" si="2">E19/1000000</f>
        <v>5.0407890644048416</v>
      </c>
      <c r="O19" s="251">
        <f t="shared" si="2"/>
        <v>1</v>
      </c>
      <c r="P19" s="252">
        <f t="shared" si="2"/>
        <v>5.0407890644048416</v>
      </c>
      <c r="Q19" s="251">
        <f t="shared" si="2"/>
        <v>1</v>
      </c>
      <c r="R19" s="252">
        <f t="shared" si="2"/>
        <v>5.0407890644048416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5400000</v>
      </c>
      <c r="E20" s="255">
        <f>VAC_Optim_Scenario!$J36</f>
        <v>64130441.937738657</v>
      </c>
      <c r="F20" s="254">
        <f>VAC_Optim_Scenario!$H36</f>
        <v>5400000</v>
      </c>
      <c r="G20" s="255">
        <f>VAC_Optim_Scenario!$J36</f>
        <v>64130441.937738657</v>
      </c>
      <c r="H20" s="254">
        <f>VAC_Optim_Scenario!$H36</f>
        <v>5400000</v>
      </c>
      <c r="I20" s="255">
        <f>VAC_Optim_Scenario!$J36</f>
        <v>64130441.937738657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5.4</v>
      </c>
      <c r="N20" s="257">
        <f t="shared" si="2"/>
        <v>64.130441937738652</v>
      </c>
      <c r="O20" s="256">
        <f t="shared" si="2"/>
        <v>5.4</v>
      </c>
      <c r="P20" s="257">
        <f t="shared" si="2"/>
        <v>64.130441937738652</v>
      </c>
      <c r="Q20" s="256">
        <f t="shared" si="2"/>
        <v>5.4</v>
      </c>
      <c r="R20" s="257">
        <f t="shared" si="2"/>
        <v>64.130441937738652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1599500</v>
      </c>
      <c r="E21" s="255">
        <f>VAC_Optim_Scenario!$J37</f>
        <v>14642130.239828272</v>
      </c>
      <c r="F21" s="254">
        <f>VAC_Optim_Scenario!$H37</f>
        <v>1599500</v>
      </c>
      <c r="G21" s="255">
        <f>VAC_Optim_Scenario!$J37</f>
        <v>14642130.239828272</v>
      </c>
      <c r="H21" s="254">
        <f>VAC_Optim_Scenario!$H37</f>
        <v>1599500</v>
      </c>
      <c r="I21" s="255">
        <f>VAC_Optim_Scenario!$J37</f>
        <v>14642130.239828272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1.5994999999999999</v>
      </c>
      <c r="N21" s="257">
        <f t="shared" si="2"/>
        <v>14.642130239828273</v>
      </c>
      <c r="O21" s="256">
        <f t="shared" si="2"/>
        <v>1.5994999999999999</v>
      </c>
      <c r="P21" s="257">
        <f t="shared" si="2"/>
        <v>14.642130239828273</v>
      </c>
      <c r="Q21" s="256">
        <f t="shared" si="2"/>
        <v>1.5994999999999999</v>
      </c>
      <c r="R21" s="257">
        <f t="shared" si="2"/>
        <v>14.642130239828273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500000</v>
      </c>
      <c r="E22" s="255">
        <f>VAC_Optim_Scenario!$J38</f>
        <v>2958708.7105763983</v>
      </c>
      <c r="F22" s="254">
        <f>VAC_Optim_Scenario!$H38</f>
        <v>500000</v>
      </c>
      <c r="G22" s="255">
        <f>VAC_Optim_Scenario!$J38</f>
        <v>2958708.7105763983</v>
      </c>
      <c r="H22" s="254">
        <f>VAC_Optim_Scenario!$H38</f>
        <v>500000</v>
      </c>
      <c r="I22" s="255">
        <f>VAC_Optim_Scenario!$J38</f>
        <v>2958708.7105763983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0.5</v>
      </c>
      <c r="N22" s="257">
        <f t="shared" si="2"/>
        <v>2.9587087105763983</v>
      </c>
      <c r="O22" s="256">
        <f t="shared" si="2"/>
        <v>0.5</v>
      </c>
      <c r="P22" s="257">
        <f t="shared" si="2"/>
        <v>2.9587087105763983</v>
      </c>
      <c r="Q22" s="256">
        <f t="shared" si="2"/>
        <v>0.5</v>
      </c>
      <c r="R22" s="257">
        <f t="shared" si="2"/>
        <v>2.9587087105763983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6463714</v>
      </c>
      <c r="E23" s="255">
        <f>VAC_Optim_Scenario!$J39</f>
        <v>33726604.314190388</v>
      </c>
      <c r="F23" s="254">
        <f>VAC_Optim_Scenario!$H39</f>
        <v>6463714</v>
      </c>
      <c r="G23" s="255">
        <f>VAC_Optim_Scenario!$J39</f>
        <v>33726604.314190388</v>
      </c>
      <c r="H23" s="254">
        <f>VAC_Optim_Scenario!$H39</f>
        <v>6463714</v>
      </c>
      <c r="I23" s="255">
        <f>VAC_Optim_Scenario!$J39</f>
        <v>33726604.314190388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6.4637140000000004</v>
      </c>
      <c r="N23" s="257">
        <f t="shared" si="2"/>
        <v>33.726604314190389</v>
      </c>
      <c r="O23" s="256">
        <f t="shared" si="2"/>
        <v>6.4637140000000004</v>
      </c>
      <c r="P23" s="257">
        <f t="shared" si="2"/>
        <v>33.726604314190389</v>
      </c>
      <c r="Q23" s="256">
        <f t="shared" si="2"/>
        <v>6.4637140000000004</v>
      </c>
      <c r="R23" s="257">
        <f t="shared" si="2"/>
        <v>33.726604314190389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1500000</v>
      </c>
      <c r="E24" s="255">
        <f>VAC_Optim_Scenario!$J40</f>
        <v>21855163.981115948</v>
      </c>
      <c r="F24" s="254">
        <f>VAC_Optim_Scenario!$H40</f>
        <v>1500000</v>
      </c>
      <c r="G24" s="255">
        <f>VAC_Optim_Scenario!$J40</f>
        <v>21855163.981115948</v>
      </c>
      <c r="H24" s="254">
        <f>VAC_Optim_Scenario!$H40</f>
        <v>1500000</v>
      </c>
      <c r="I24" s="255">
        <f>VAC_Optim_Scenario!$J40</f>
        <v>21855163.981115948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1.5</v>
      </c>
      <c r="N24" s="257">
        <f t="shared" si="2"/>
        <v>21.855163981115947</v>
      </c>
      <c r="O24" s="256">
        <f t="shared" si="2"/>
        <v>1.5</v>
      </c>
      <c r="P24" s="257">
        <f t="shared" si="2"/>
        <v>21.855163981115947</v>
      </c>
      <c r="Q24" s="256">
        <f t="shared" si="2"/>
        <v>1.5</v>
      </c>
      <c r="R24" s="257">
        <f t="shared" si="2"/>
        <v>21.855163981115947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300000</v>
      </c>
      <c r="E25" s="255">
        <f>VAC_Optim_Scenario!$J41</f>
        <v>26792847.590052392</v>
      </c>
      <c r="F25" s="254">
        <f>VAC_Optim_Scenario!$H41</f>
        <v>300000</v>
      </c>
      <c r="G25" s="255">
        <f>VAC_Optim_Scenario!$J41</f>
        <v>26792847.590052392</v>
      </c>
      <c r="H25" s="254">
        <f>VAC_Optim_Scenario!$H41</f>
        <v>300000</v>
      </c>
      <c r="I25" s="255">
        <f>VAC_Optim_Scenario!$J41</f>
        <v>26792847.590052392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0.3</v>
      </c>
      <c r="N25" s="257">
        <f t="shared" si="2"/>
        <v>26.792847590052393</v>
      </c>
      <c r="O25" s="256">
        <f t="shared" si="2"/>
        <v>0.3</v>
      </c>
      <c r="P25" s="257">
        <f t="shared" si="2"/>
        <v>26.792847590052393</v>
      </c>
      <c r="Q25" s="256">
        <f t="shared" si="2"/>
        <v>0.3</v>
      </c>
      <c r="R25" s="257">
        <f t="shared" si="2"/>
        <v>26.792847590052393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1400000</v>
      </c>
      <c r="E26" s="255">
        <f>VAC_Optim_Scenario!$J42</f>
        <v>15696457.153648281</v>
      </c>
      <c r="F26" s="254">
        <f>VAC_Optim_Scenario!$H42</f>
        <v>1400000</v>
      </c>
      <c r="G26" s="255">
        <f>VAC_Optim_Scenario!$J42</f>
        <v>15696457.153648281</v>
      </c>
      <c r="H26" s="254">
        <f>VAC_Optim_Scenario!$H42</f>
        <v>1400000</v>
      </c>
      <c r="I26" s="255">
        <f>VAC_Optim_Scenario!$J42</f>
        <v>15696457.153648281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1.4</v>
      </c>
      <c r="N26" s="257">
        <f t="shared" si="2"/>
        <v>15.696457153648282</v>
      </c>
      <c r="O26" s="256">
        <f t="shared" si="2"/>
        <v>1.4</v>
      </c>
      <c r="P26" s="257">
        <f t="shared" si="2"/>
        <v>15.696457153648282</v>
      </c>
      <c r="Q26" s="256">
        <f t="shared" si="2"/>
        <v>1.4</v>
      </c>
      <c r="R26" s="257">
        <f t="shared" si="2"/>
        <v>15.696457153648282</v>
      </c>
    </row>
    <row r="27" spans="2:19" x14ac:dyDescent="0.25">
      <c r="B27" s="267" t="s">
        <v>154</v>
      </c>
      <c r="C27" s="238" t="str">
        <f>VAC_Optim_Scenario!B25</f>
        <v>HCC TV</v>
      </c>
      <c r="D27" s="268">
        <f>VAC_Optim_Scenario!$H43</f>
        <v>14861790</v>
      </c>
      <c r="E27" s="268">
        <f>VAC_Optim_Scenario!$J43</f>
        <v>61295260.814772405</v>
      </c>
      <c r="F27" s="268">
        <f>VAC_Optim_Scenario!$H43</f>
        <v>14861790</v>
      </c>
      <c r="G27" s="268">
        <f>VAC_Optim_Scenario!$J43</f>
        <v>61295260.814772405</v>
      </c>
      <c r="H27" s="268">
        <f>VAC_Optim_Scenario!$H43</f>
        <v>14861790</v>
      </c>
      <c r="I27" s="268">
        <f>VAC_Optim_Scenario!$J43</f>
        <v>61295260.814772405</v>
      </c>
      <c r="J27" s="258"/>
      <c r="K27" s="267" t="s">
        <v>154</v>
      </c>
      <c r="L27" s="238" t="str">
        <f>VAC_Optim_Scenario!B25</f>
        <v>HCC TV</v>
      </c>
      <c r="M27" s="261">
        <f t="shared" si="3"/>
        <v>14.861789999999999</v>
      </c>
      <c r="N27" s="261">
        <f t="shared" si="2"/>
        <v>61.295260814772405</v>
      </c>
      <c r="O27" s="261">
        <f t="shared" si="2"/>
        <v>14.861789999999999</v>
      </c>
      <c r="P27" s="261">
        <f t="shared" si="2"/>
        <v>61.295260814772405</v>
      </c>
      <c r="Q27" s="261">
        <f t="shared" si="2"/>
        <v>14.861789999999999</v>
      </c>
      <c r="R27" s="261">
        <f t="shared" si="2"/>
        <v>61.295260814772405</v>
      </c>
    </row>
    <row r="30" spans="2:19" ht="34.35" customHeight="1" x14ac:dyDescent="0.2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</v>
      </c>
      <c r="E31" s="251">
        <f>O5</f>
        <v>1</v>
      </c>
      <c r="F31" s="251">
        <f>Q5</f>
        <v>1</v>
      </c>
      <c r="G31" s="251">
        <f>O19</f>
        <v>1</v>
      </c>
      <c r="H31" s="251">
        <f>Q19</f>
        <v>1</v>
      </c>
      <c r="J31" s="260">
        <v>-0.5</v>
      </c>
      <c r="K31" s="261">
        <f>E$31</f>
        <v>1</v>
      </c>
      <c r="L31" s="261">
        <f>E$32</f>
        <v>5.4</v>
      </c>
      <c r="M31" s="261">
        <f>E$33</f>
        <v>1.5994999999999999</v>
      </c>
      <c r="N31" s="261">
        <f>E$34</f>
        <v>0.5</v>
      </c>
      <c r="O31" s="261">
        <f>E$35</f>
        <v>6.4637140000000004</v>
      </c>
      <c r="P31" s="261">
        <f>E$36</f>
        <v>1.5</v>
      </c>
      <c r="Q31" s="261">
        <f>E$37</f>
        <v>0.3</v>
      </c>
      <c r="R31" s="261">
        <f>E$38</f>
        <v>1.4</v>
      </c>
      <c r="S31" s="261">
        <f>E$39</f>
        <v>14.861789999999999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5.4</v>
      </c>
      <c r="E32" s="256">
        <f t="shared" ref="E32:E39" si="5">O6</f>
        <v>5.4</v>
      </c>
      <c r="F32" s="256">
        <f t="shared" ref="F32:F39" si="6">Q6</f>
        <v>5.4</v>
      </c>
      <c r="G32" s="256">
        <f t="shared" ref="G32:G39" si="7">O20</f>
        <v>5.4</v>
      </c>
      <c r="H32" s="256">
        <f t="shared" ref="H32:H39" si="8">Q20</f>
        <v>5.4</v>
      </c>
      <c r="J32" s="260">
        <v>-0.4</v>
      </c>
      <c r="K32" s="261">
        <f>G$31</f>
        <v>1</v>
      </c>
      <c r="L32" s="261">
        <f>G$32</f>
        <v>5.4</v>
      </c>
      <c r="M32" s="261">
        <f>G$33</f>
        <v>1.5994999999999999</v>
      </c>
      <c r="N32" s="261">
        <f>G$34</f>
        <v>0.5</v>
      </c>
      <c r="O32" s="261">
        <f>G$35</f>
        <v>6.4637140000000004</v>
      </c>
      <c r="P32" s="261">
        <f>G$36</f>
        <v>1.5</v>
      </c>
      <c r="Q32" s="261">
        <f>G$37</f>
        <v>0.3</v>
      </c>
      <c r="R32" s="261">
        <f>G$38</f>
        <v>1.4</v>
      </c>
      <c r="S32" s="261">
        <f>G$39</f>
        <v>14.861789999999999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1.5994999999999999</v>
      </c>
      <c r="E33" s="256">
        <f t="shared" si="5"/>
        <v>1.5994999999999999</v>
      </c>
      <c r="F33" s="256">
        <f t="shared" si="6"/>
        <v>1.5994999999999999</v>
      </c>
      <c r="G33" s="256">
        <f t="shared" si="7"/>
        <v>1.5994999999999999</v>
      </c>
      <c r="H33" s="256">
        <f t="shared" si="8"/>
        <v>1.5994999999999999</v>
      </c>
      <c r="J33" s="260" t="s">
        <v>241</v>
      </c>
      <c r="K33" s="261">
        <f>D$31</f>
        <v>1</v>
      </c>
      <c r="L33" s="261">
        <f>D$32</f>
        <v>5.4</v>
      </c>
      <c r="M33" s="261">
        <f>D$33</f>
        <v>1.5994999999999999</v>
      </c>
      <c r="N33" s="261">
        <f>D$34</f>
        <v>0.5</v>
      </c>
      <c r="O33" s="261">
        <f>D$35</f>
        <v>6.4637140000000004</v>
      </c>
      <c r="P33" s="261">
        <f>D$36</f>
        <v>1.5</v>
      </c>
      <c r="Q33" s="261">
        <f>D$37</f>
        <v>0.3</v>
      </c>
      <c r="R33" s="261">
        <f>D$38</f>
        <v>1.4</v>
      </c>
      <c r="S33" s="261">
        <f>D$39</f>
        <v>14.861789999999999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0.5</v>
      </c>
      <c r="E34" s="256">
        <f t="shared" si="5"/>
        <v>0.5</v>
      </c>
      <c r="F34" s="256">
        <f t="shared" si="6"/>
        <v>0.5</v>
      </c>
      <c r="G34" s="256">
        <f t="shared" si="7"/>
        <v>0.5</v>
      </c>
      <c r="H34" s="256">
        <f t="shared" si="8"/>
        <v>0.5</v>
      </c>
      <c r="J34" s="260">
        <v>0.4</v>
      </c>
      <c r="K34" s="261">
        <f>H$31</f>
        <v>1</v>
      </c>
      <c r="L34" s="261">
        <f>H$32</f>
        <v>5.4</v>
      </c>
      <c r="M34" s="261">
        <f>H$33</f>
        <v>1.5994999999999999</v>
      </c>
      <c r="N34" s="261">
        <f>H$34</f>
        <v>0.5</v>
      </c>
      <c r="O34" s="261">
        <f>H$35</f>
        <v>6.4637140000000004</v>
      </c>
      <c r="P34" s="261">
        <f>H$36</f>
        <v>1.5</v>
      </c>
      <c r="Q34" s="261">
        <f>H$37</f>
        <v>0.3</v>
      </c>
      <c r="R34" s="261">
        <f>H$38</f>
        <v>1.4</v>
      </c>
      <c r="S34" s="261">
        <f>H$39</f>
        <v>14.861789999999999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6.4637140000000004</v>
      </c>
      <c r="E35" s="256">
        <f t="shared" si="5"/>
        <v>6.4637140000000004</v>
      </c>
      <c r="F35" s="256">
        <f t="shared" si="6"/>
        <v>6.4637140000000004</v>
      </c>
      <c r="G35" s="256">
        <f t="shared" si="7"/>
        <v>6.4637140000000004</v>
      </c>
      <c r="H35" s="256">
        <f t="shared" si="8"/>
        <v>6.4637140000000004</v>
      </c>
      <c r="J35" s="259">
        <v>2</v>
      </c>
      <c r="K35" s="261">
        <f>F$31</f>
        <v>1</v>
      </c>
      <c r="L35" s="261">
        <f>F$32</f>
        <v>5.4</v>
      </c>
      <c r="M35" s="261">
        <f>F$33</f>
        <v>1.5994999999999999</v>
      </c>
      <c r="N35" s="261">
        <f>F$34</f>
        <v>0.5</v>
      </c>
      <c r="O35" s="261">
        <f>F$35</f>
        <v>6.4637140000000004</v>
      </c>
      <c r="P35" s="261">
        <f>F$36</f>
        <v>1.5</v>
      </c>
      <c r="Q35" s="261">
        <f>F$37</f>
        <v>0.3</v>
      </c>
      <c r="R35" s="261">
        <f>F$38</f>
        <v>1.4</v>
      </c>
      <c r="S35" s="261">
        <f>F$39</f>
        <v>14.861789999999999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1.5</v>
      </c>
      <c r="E36" s="256">
        <f t="shared" si="5"/>
        <v>1.5</v>
      </c>
      <c r="F36" s="256">
        <f t="shared" si="6"/>
        <v>1.5</v>
      </c>
      <c r="G36" s="256">
        <f t="shared" si="7"/>
        <v>1.5</v>
      </c>
      <c r="H36" s="256">
        <f t="shared" si="8"/>
        <v>1.5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0.3</v>
      </c>
      <c r="E37" s="256">
        <f t="shared" si="5"/>
        <v>0.3</v>
      </c>
      <c r="F37" s="256">
        <f t="shared" si="6"/>
        <v>0.3</v>
      </c>
      <c r="G37" s="256">
        <f t="shared" si="7"/>
        <v>0.3</v>
      </c>
      <c r="H37" s="256">
        <f t="shared" si="8"/>
        <v>0.3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1.4</v>
      </c>
      <c r="E38" s="256">
        <f t="shared" si="5"/>
        <v>1.4</v>
      </c>
      <c r="F38" s="256">
        <f t="shared" si="6"/>
        <v>1.4</v>
      </c>
      <c r="G38" s="256">
        <f t="shared" si="7"/>
        <v>1.4</v>
      </c>
      <c r="H38" s="256">
        <f t="shared" si="8"/>
        <v>1.4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TV</v>
      </c>
      <c r="D39" s="256">
        <f t="shared" si="4"/>
        <v>14.861789999999999</v>
      </c>
      <c r="E39" s="256">
        <f t="shared" si="5"/>
        <v>14.861789999999999</v>
      </c>
      <c r="F39" s="256">
        <f t="shared" si="6"/>
        <v>14.861789999999999</v>
      </c>
      <c r="G39" s="256">
        <f t="shared" si="7"/>
        <v>14.861789999999999</v>
      </c>
      <c r="H39" s="256">
        <f t="shared" si="8"/>
        <v>14.861789999999999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5"/>
  <sheetViews>
    <sheetView showGridLines="0" tabSelected="1" zoomScale="75" zoomScaleNormal="75" workbookViewId="0">
      <selection activeCell="L10" sqref="L10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401">
        <v>2023</v>
      </c>
      <c r="E2" s="401"/>
      <c r="F2" s="401"/>
      <c r="G2" s="401"/>
      <c r="H2" s="401"/>
      <c r="I2" s="401"/>
      <c r="L2" s="97" t="s">
        <v>275</v>
      </c>
    </row>
    <row r="3" spans="1:18" ht="51" x14ac:dyDescent="0.25">
      <c r="B3" s="233" t="s">
        <v>2</v>
      </c>
      <c r="C3" s="234" t="s">
        <v>3</v>
      </c>
      <c r="D3" s="234" t="s">
        <v>269</v>
      </c>
      <c r="E3" s="234" t="s">
        <v>270</v>
      </c>
      <c r="F3" s="234" t="s">
        <v>274</v>
      </c>
      <c r="G3" s="234" t="s">
        <v>271</v>
      </c>
      <c r="H3" s="234" t="s">
        <v>222</v>
      </c>
      <c r="I3" s="234" t="s">
        <v>223</v>
      </c>
      <c r="J3" s="309" t="s">
        <v>207</v>
      </c>
      <c r="K3"/>
      <c r="L3" s="353">
        <v>8649234</v>
      </c>
      <c r="M3" s="235" t="s">
        <v>251</v>
      </c>
    </row>
    <row r="4" spans="1:18" x14ac:dyDescent="0.25">
      <c r="A4" s="97" t="s">
        <v>279</v>
      </c>
      <c r="B4" s="361" t="s">
        <v>173</v>
      </c>
      <c r="C4" s="362" t="str">
        <f>VAC_Optim_Scenario!B17</f>
        <v>HCC In Office</v>
      </c>
      <c r="D4" s="360">
        <f>VAC_Optim_Scenario!E17</f>
        <v>1755293</v>
      </c>
      <c r="E4" s="363">
        <f>VAC_Optim_Scenario!F17</f>
        <v>34079.723304951563</v>
      </c>
      <c r="F4" s="360">
        <f>VAC_Optim_Scenario!G35</f>
        <v>7699972.6835207557</v>
      </c>
      <c r="G4" s="368">
        <f>F4/D4</f>
        <v>4.3867164533332925</v>
      </c>
      <c r="H4" s="237">
        <f>E4/$L$3</f>
        <v>3.9402013293838006E-3</v>
      </c>
      <c r="I4" s="371">
        <f>(D4)/E4</f>
        <v>51.50549446347668</v>
      </c>
      <c r="J4" s="376">
        <f ca="1">(VLOOKUP($Q4,INDIRECT("'"&amp;A4&amp;"'!"&amp;"A20:E42"),5,0)-VLOOKUP($R4,INDIRECT("'"&amp;A4&amp;"'!"&amp;"A20:E42"),5,0))/(Q4-R4)</f>
        <v>3.0770541370015128</v>
      </c>
      <c r="K4"/>
      <c r="Q4" s="372" cm="1">
        <f t="array" aca="1" ref="Q4" ca="1">MAX(_xlfn._xlws.FILTER(INDIRECT("'"&amp;A4&amp;"'!"&amp;"A20:A42"),INDIRECT("'"&amp;A4&amp;"'!"&amp;"A20:A42")&lt;$D4))</f>
        <v>1600000</v>
      </c>
      <c r="R4" s="372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280</v>
      </c>
      <c r="B5" s="361" t="s">
        <v>173</v>
      </c>
      <c r="C5" s="362" t="str">
        <f>VAC_Optim_Scenario!B18</f>
        <v>HCP MCM</v>
      </c>
      <c r="D5" s="360">
        <f>VAC_Optim_Scenario!E18</f>
        <v>5365372.8900000006</v>
      </c>
      <c r="E5" s="363">
        <f>VAC_Optim_Scenario!F18</f>
        <v>282596.87941192184</v>
      </c>
      <c r="F5" s="360">
        <f>VAC_Optim_Scenario!G36</f>
        <v>63849938.934329621</v>
      </c>
      <c r="G5" s="368">
        <f>F5/D5</f>
        <v>11.900373048317544</v>
      </c>
      <c r="H5" s="239">
        <f t="shared" ref="H5:H12" si="0">E5/$L$3</f>
        <v>3.2673052828946683E-2</v>
      </c>
      <c r="I5" s="371">
        <f t="shared" ref="I5:I12" si="1">(D5)/E5</f>
        <v>18.98595943863651</v>
      </c>
      <c r="J5" s="374">
        <f t="shared" ref="J5:J9" ca="1" si="2">(VLOOKUP($Q5,INDIRECT("'"&amp;A5&amp;"'!"&amp;"A20:E42"),5,0)-VLOOKUP($R5,INDIRECT("'"&amp;A5&amp;"'!"&amp;"A20:E42"),5,0))/(Q5-R5)</f>
        <v>8.3357790163863541</v>
      </c>
      <c r="K5"/>
      <c r="Q5" s="372" cm="1">
        <f t="array" aca="1" ref="Q5" ca="1">MAX(_xlfn._xlws.FILTER(INDIRECT("'"&amp;A5&amp;"'!"&amp;"A20:A42"),INDIRECT("'"&amp;A5&amp;"'!"&amp;"A20:A42")&lt;$D5))</f>
        <v>4950000</v>
      </c>
      <c r="R5" s="372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283</v>
      </c>
      <c r="B6" s="361" t="s">
        <v>173</v>
      </c>
      <c r="C6" s="362" t="str">
        <f>VAC_Optim_Scenario!B19</f>
        <v>HCC Social</v>
      </c>
      <c r="D6" s="360">
        <f>VAC_Optim_Scenario!E19</f>
        <v>1873000</v>
      </c>
      <c r="E6" s="363">
        <f>VAC_Optim_Scenario!F19</f>
        <v>71243.17418511775</v>
      </c>
      <c r="F6" s="360">
        <f>VAC_Optim_Scenario!G37</f>
        <v>16096682.775385505</v>
      </c>
      <c r="G6" s="368">
        <f t="shared" ref="G6:G12" si="3">F6/D6</f>
        <v>8.5940644823200767</v>
      </c>
      <c r="H6" s="239">
        <f t="shared" si="0"/>
        <v>8.2369345291291411E-3</v>
      </c>
      <c r="I6" s="371">
        <f t="shared" si="1"/>
        <v>26.290237926979646</v>
      </c>
      <c r="J6" s="374">
        <f ca="1">(VLOOKUP($Q6,INDIRECT("'"&amp;A6&amp;"'!"&amp;"A20:E42"),3,0)-VLOOKUP($R6,INDIRECT("'"&amp;A6&amp;"'!"&amp;"A20:E42"),3,0))/(Q6-R6)</f>
        <v>5.1563798454813883</v>
      </c>
      <c r="K6"/>
      <c r="Q6" s="372" cm="1">
        <f t="array" aca="1" ref="Q6" ca="1">MAX(_xlfn._xlws.FILTER(INDIRECT("'"&amp;A6&amp;"'!"&amp;"A20:A42"),INDIRECT("'"&amp;A6&amp;"'!"&amp;"A20:A42")&lt;$D6))</f>
        <v>1750000</v>
      </c>
      <c r="R6" s="372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281</v>
      </c>
      <c r="B7" s="361" t="s">
        <v>173</v>
      </c>
      <c r="C7" s="362" t="str">
        <f>VAC_Optim_Scenario!B20</f>
        <v>HCC Online Video</v>
      </c>
      <c r="D7" s="360">
        <f>VAC_Optim_Scenario!E20</f>
        <v>173076.94</v>
      </c>
      <c r="E7" s="363">
        <f>VAC_Optim_Scenario!F20</f>
        <v>7568.2941111773252</v>
      </c>
      <c r="F7" s="360">
        <f>VAC_Optim_Scenario!G38</f>
        <v>1709980.3714794049</v>
      </c>
      <c r="G7" s="368">
        <f t="shared" si="3"/>
        <v>9.8798856247366338</v>
      </c>
      <c r="H7" s="239">
        <f t="shared" si="0"/>
        <v>8.7502478383372738E-4</v>
      </c>
      <c r="I7" s="371">
        <f t="shared" si="1"/>
        <v>22.868685790684225</v>
      </c>
      <c r="J7" s="374">
        <f t="shared" ca="1" si="2"/>
        <v>7.3949364813552894</v>
      </c>
      <c r="K7"/>
      <c r="Q7" s="373" cm="1">
        <f t="array" aca="1" ref="Q7" ca="1">MAX(_xlfn._xlws.FILTER(INDIRECT("'"&amp;A7&amp;"'!"&amp;"A20:A42"),INDIRECT("'"&amp;A7&amp;"'!"&amp;"A20:A42")&lt;$D7))</f>
        <v>103851.36184614981</v>
      </c>
      <c r="R7" s="373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291</v>
      </c>
      <c r="B8" s="361" t="s">
        <v>173</v>
      </c>
      <c r="C8" s="362" t="str">
        <f>VAC_Optim_Scenario!B21</f>
        <v>HCC Streaming Video</v>
      </c>
      <c r="D8" s="360">
        <f>VAC_Optim_Scenario!E21</f>
        <v>6180125</v>
      </c>
      <c r="E8" s="363">
        <f>VAC_Optim_Scenario!F21</f>
        <v>144657.20917756393</v>
      </c>
      <c r="F8" s="360">
        <f>VAC_Optim_Scenario!G39</f>
        <v>32683849.841578793</v>
      </c>
      <c r="G8" s="368">
        <f t="shared" si="3"/>
        <v>5.2885418727904039</v>
      </c>
      <c r="H8" s="239">
        <f t="shared" si="0"/>
        <v>1.6724857851870341E-2</v>
      </c>
      <c r="I8" s="371">
        <f t="shared" si="1"/>
        <v>42.722551023461378</v>
      </c>
      <c r="J8" s="374">
        <f ca="1">(VLOOKUP($Q8,INDIRECT("'"&amp;A8&amp;"'!"&amp;"A20:E42"),3,0)-VLOOKUP($R8,INDIRECT("'"&amp;A8&amp;"'!"&amp;"A20:E42"),3,0))/(Q8-R8)</f>
        <v>3.6898979193167833</v>
      </c>
      <c r="K8"/>
      <c r="Q8" s="372" cm="1">
        <f t="array" aca="1" ref="Q8" ca="1">MAX(_xlfn._xlws.FILTER(INDIRECT("'"&amp;A8&amp;"'!"&amp;"A20:A42"),INDIRECT("'"&amp;A8&amp;"'!"&amp;"A20:A42")&lt;$D8))</f>
        <v>6000000</v>
      </c>
      <c r="R8" s="372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282</v>
      </c>
      <c r="B9" s="361" t="s">
        <v>173</v>
      </c>
      <c r="C9" s="362" t="str">
        <f>VAC_Optim_Scenario!B22</f>
        <v>HCC Display</v>
      </c>
      <c r="D9" s="360">
        <f>VAC_Optim_Scenario!E22</f>
        <v>1648357.37</v>
      </c>
      <c r="E9" s="363">
        <f>VAC_Optim_Scenario!F22</f>
        <v>104116.36986385845</v>
      </c>
      <c r="F9" s="360">
        <f>VAC_Optim_Scenario!G40</f>
        <v>23524052.607040178</v>
      </c>
      <c r="G9" s="368">
        <f t="shared" si="3"/>
        <v>14.271209044334952</v>
      </c>
      <c r="H9" s="239">
        <f t="shared" si="0"/>
        <v>1.2037640542949635E-2</v>
      </c>
      <c r="I9" s="371">
        <f t="shared" si="1"/>
        <v>15.831875161949808</v>
      </c>
      <c r="J9" s="374">
        <f t="shared" ca="1" si="2"/>
        <v>11.127128917540322</v>
      </c>
      <c r="K9"/>
      <c r="Q9" s="373" cm="1">
        <f t="array" aca="1" ref="Q9" ca="1">MAX(_xlfn._xlws.FILTER(INDIRECT("'"&amp;A9&amp;"'!"&amp;"A20:A42"),INDIRECT("'"&amp;A9&amp;"'!"&amp;"A20:A42")&lt;$D9))</f>
        <v>1557770.4276922471</v>
      </c>
      <c r="R9" s="373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284</v>
      </c>
      <c r="B10" s="361" t="s">
        <v>173</v>
      </c>
      <c r="C10" s="362" t="str">
        <f>VAC_Optim_Scenario!B23</f>
        <v>HCC Paid Search</v>
      </c>
      <c r="D10" s="360">
        <f>VAC_Optim_Scenario!E23</f>
        <v>344707</v>
      </c>
      <c r="E10" s="363">
        <f>VAC_Optim_Scenario!F23</f>
        <v>130694.08808973072</v>
      </c>
      <c r="F10" s="360">
        <f>VAC_Optim_Scenario!G41</f>
        <v>29529022.26299376</v>
      </c>
      <c r="G10" s="368">
        <f t="shared" si="3"/>
        <v>85.664121305902583</v>
      </c>
      <c r="H10" s="239">
        <f t="shared" si="0"/>
        <v>1.5110481239116749E-2</v>
      </c>
      <c r="I10" s="371">
        <f t="shared" si="1"/>
        <v>2.6375102733287696</v>
      </c>
      <c r="J10" s="374">
        <f ca="1">(VLOOKUP($Q10,INDIRECT("'"&amp;A10&amp;"'!"&amp;"A20:E42"),3,0)-VLOOKUP($R10,INDIRECT("'"&amp;A10&amp;"'!"&amp;"A20:E42"),3,0))/(Q10-R10)</f>
        <v>58.622972004453118</v>
      </c>
      <c r="K10"/>
      <c r="Q10" s="372" cm="1">
        <f t="array" aca="1" ref="Q10" ca="1">MAX(_xlfn._xlws.FILTER(INDIRECT("'"&amp;A10&amp;"'!"&amp;"A20:A42"),INDIRECT("'"&amp;A10&amp;"'!"&amp;"A20:A42")&lt;$D10))</f>
        <v>300000</v>
      </c>
      <c r="R10" s="372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285</v>
      </c>
      <c r="B11" s="361" t="s">
        <v>173</v>
      </c>
      <c r="C11" s="362" t="str">
        <f>VAC_Optim_Scenario!B24</f>
        <v>HCC Audio</v>
      </c>
      <c r="D11" s="360">
        <f>VAC_Optim_Scenario!E24</f>
        <v>1437048.41</v>
      </c>
      <c r="E11" s="363">
        <f>VAC_Optim_Scenario!F24</f>
        <v>70569.092436493243</v>
      </c>
      <c r="F11" s="360">
        <f>VAC_Optim_Scenario!G42</f>
        <v>15944380.745101282</v>
      </c>
      <c r="G11" s="368">
        <f t="shared" si="3"/>
        <v>11.095228688295395</v>
      </c>
      <c r="H11" s="239">
        <f t="shared" si="0"/>
        <v>8.1589991017115785E-3</v>
      </c>
      <c r="I11" s="371">
        <f t="shared" si="1"/>
        <v>20.363708252210174</v>
      </c>
      <c r="J11" s="374">
        <f ca="1">(VLOOKUP($Q11,INDIRECT("'"&amp;A11&amp;"'!"&amp;"A20:E42"),3,0)-VLOOKUP($R11,INDIRECT("'"&amp;A11&amp;"'!"&amp;"A20:E42"),3,0))/(Q11-R11)</f>
        <v>6.5466633097348268</v>
      </c>
      <c r="K11"/>
      <c r="Q11" s="372" cm="1">
        <f t="array" aca="1" ref="Q11" ca="1">MAX(_xlfn._xlws.FILTER(INDIRECT("'"&amp;A11&amp;"'!"&amp;"A20:A42"),INDIRECT("'"&amp;A11&amp;"'!"&amp;"A20:A42")&lt;$D11))</f>
        <v>1400000</v>
      </c>
      <c r="R11" s="372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286</v>
      </c>
      <c r="B12" s="361" t="s">
        <v>173</v>
      </c>
      <c r="C12" s="362" t="str">
        <f>VAC_Optim_Scenario!B25</f>
        <v>HCC TV</v>
      </c>
      <c r="D12" s="360">
        <f>VAC_Optim_Scenario!E25</f>
        <v>13503524.99</v>
      </c>
      <c r="E12" s="363">
        <f>VAC_Optim_Scenario!F25</f>
        <v>253686.28893952153</v>
      </c>
      <c r="F12" s="360">
        <f>VAC_Optim_Scenario!G43</f>
        <v>57317880.122995496</v>
      </c>
      <c r="G12" s="368">
        <f t="shared" si="3"/>
        <v>4.2446605731053264</v>
      </c>
      <c r="H12" s="239">
        <f t="shared" si="0"/>
        <v>2.9330492034268182E-2</v>
      </c>
      <c r="I12" s="371">
        <f t="shared" si="1"/>
        <v>53.229226721114685</v>
      </c>
      <c r="J12" s="374">
        <f ca="1">(VLOOKUP($Q12,INDIRECT("'"&amp;A12&amp;"'!"&amp;"A20:E42"),3,0)-VLOOKUP($R12,INDIRECT("'"&amp;A12&amp;"'!"&amp;"A20:E42"),3,0))/(Q12-R12)</f>
        <v>2.9971565057842673</v>
      </c>
      <c r="K12"/>
      <c r="Q12" s="372" cm="1">
        <f t="array" aca="1" ref="Q12" ca="1">MAX(_xlfn._xlws.FILTER(INDIRECT("'"&amp;A12&amp;"'!"&amp;"A20:A42"),INDIRECT("'"&amp;A12&amp;"'!"&amp;"A20:A42")&lt;$D12))</f>
        <v>12500000</v>
      </c>
      <c r="R12" s="372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B13" s="364" t="s">
        <v>154</v>
      </c>
      <c r="C13" s="365" t="s">
        <v>230</v>
      </c>
      <c r="D13" s="366">
        <f>SUM(D4:D12)</f>
        <v>32280505.600000001</v>
      </c>
      <c r="E13" s="367">
        <f>SUM(E4:E12)</f>
        <v>1099211.1195203364</v>
      </c>
      <c r="F13" s="366">
        <f>SUM(F4:F12)</f>
        <v>248355760.34442478</v>
      </c>
      <c r="G13" s="369">
        <f>F13/D13</f>
        <v>7.6936762831999994</v>
      </c>
      <c r="H13" s="241">
        <f>SUM(H4:H12)</f>
        <v>0.12708768424120984</v>
      </c>
      <c r="I13" s="370">
        <f>(D13)/E13</f>
        <v>29.366975121290867</v>
      </c>
      <c r="J13" s="375"/>
    </row>
    <row r="14" spans="1:18" x14ac:dyDescent="0.25">
      <c r="F14" s="97">
        <f>F13/D13</f>
        <v>7.6936762831999994</v>
      </c>
      <c r="G14" s="242"/>
      <c r="H14" s="243"/>
    </row>
    <row r="15" spans="1:18" x14ac:dyDescent="0.25">
      <c r="H15" s="97">
        <f>G10/5</f>
        <v>17.132824261180517</v>
      </c>
    </row>
    <row r="16" spans="1:18" ht="25.5" x14ac:dyDescent="0.25">
      <c r="E16" s="234" t="s">
        <v>3</v>
      </c>
      <c r="F16" s="235" t="s">
        <v>277</v>
      </c>
    </row>
    <row r="17" spans="5:6" x14ac:dyDescent="0.25">
      <c r="E17" s="236" t="s">
        <v>228</v>
      </c>
      <c r="F17" s="276">
        <f t="shared" ref="F17:F25" si="4">VLOOKUP(E17,$C$4:$I$12,7,0)</f>
        <v>2.6375102733287696</v>
      </c>
    </row>
    <row r="18" spans="5:6" x14ac:dyDescent="0.25">
      <c r="E18" s="238" t="s">
        <v>227</v>
      </c>
      <c r="F18" s="276">
        <f t="shared" si="4"/>
        <v>15.831875161949808</v>
      </c>
    </row>
    <row r="19" spans="5:6" x14ac:dyDescent="0.25">
      <c r="E19" s="238" t="s">
        <v>225</v>
      </c>
      <c r="F19" s="276">
        <f t="shared" si="4"/>
        <v>18.98595943863651</v>
      </c>
    </row>
    <row r="20" spans="5:6" x14ac:dyDescent="0.25">
      <c r="E20" s="238" t="s">
        <v>287</v>
      </c>
      <c r="F20" s="276">
        <f>VLOOKUP(E20,$C$4:$I$12,7,0)</f>
        <v>20.363708252210174</v>
      </c>
    </row>
    <row r="21" spans="5:6" x14ac:dyDescent="0.25">
      <c r="E21" s="238" t="s">
        <v>244</v>
      </c>
      <c r="F21" s="276">
        <f t="shared" si="4"/>
        <v>22.868685790684225</v>
      </c>
    </row>
    <row r="22" spans="5:6" x14ac:dyDescent="0.25">
      <c r="E22" s="238" t="s">
        <v>226</v>
      </c>
      <c r="F22" s="276">
        <f t="shared" si="4"/>
        <v>26.290237926979646</v>
      </c>
    </row>
    <row r="23" spans="5:6" x14ac:dyDescent="0.25">
      <c r="E23" s="238" t="s">
        <v>246</v>
      </c>
      <c r="F23" s="276">
        <f t="shared" si="4"/>
        <v>42.722551023461378</v>
      </c>
    </row>
    <row r="24" spans="5:6" x14ac:dyDescent="0.25">
      <c r="E24" s="238" t="s">
        <v>224</v>
      </c>
      <c r="F24" s="276">
        <f t="shared" si="4"/>
        <v>51.50549446347668</v>
      </c>
    </row>
    <row r="25" spans="5:6" x14ac:dyDescent="0.25">
      <c r="E25" s="240" t="s">
        <v>187</v>
      </c>
      <c r="F25" s="276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U67"/>
  <sheetViews>
    <sheetView showGridLines="0" topLeftCell="A16" zoomScale="75" zoomScaleNormal="75" workbookViewId="0">
      <selection activeCell="B19" sqref="B19:L32"/>
    </sheetView>
  </sheetViews>
  <sheetFormatPr defaultColWidth="8.7109375" defaultRowHeight="15" x14ac:dyDescent="0.25"/>
  <cols>
    <col min="1" max="1" width="5.28515625" style="97" bestFit="1" customWidth="1"/>
    <col min="2" max="2" width="26.140625" style="97" customWidth="1"/>
    <col min="3" max="3" width="13.140625" style="97" bestFit="1" customWidth="1"/>
    <col min="4" max="4" width="14" style="97" bestFit="1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hidden="1" customWidth="1"/>
    <col min="15" max="15" width="12.5703125" style="97" hidden="1" customWidth="1"/>
    <col min="16" max="16" width="13.85546875" style="97" hidden="1" customWidth="1"/>
    <col min="17" max="17" width="0.85546875" style="97" hidden="1" customWidth="1"/>
    <col min="18" max="18" width="12" style="97" bestFit="1" customWidth="1"/>
    <col min="19" max="19" width="17.85546875" style="97" bestFit="1" customWidth="1"/>
    <col min="20" max="20" width="12.5703125" style="97" bestFit="1" customWidth="1"/>
    <col min="21" max="21" width="13.85546875" style="97" bestFit="1" customWidth="1"/>
    <col min="22" max="16384" width="8.7109375" style="97"/>
  </cols>
  <sheetData>
    <row r="3" spans="1:21" x14ac:dyDescent="0.25">
      <c r="B3" s="194">
        <f>SUM(C9:C13)</f>
        <v>10219266.309999999</v>
      </c>
      <c r="C3" s="194">
        <f>SUM(D9:D13)</f>
        <v>103543587.85847765</v>
      </c>
    </row>
    <row r="4" spans="1:21" x14ac:dyDescent="0.25">
      <c r="F4" s="385" t="s">
        <v>290</v>
      </c>
      <c r="G4" s="385"/>
      <c r="H4" s="385"/>
      <c r="I4" s="385"/>
      <c r="J4" s="385"/>
      <c r="K4" s="385"/>
      <c r="L4" s="385"/>
      <c r="M4" s="385"/>
      <c r="N4" s="385"/>
      <c r="O4" s="385"/>
      <c r="P4" s="385"/>
    </row>
    <row r="5" spans="1:21" x14ac:dyDescent="0.25">
      <c r="F5" s="382" t="s">
        <v>288</v>
      </c>
      <c r="G5" s="383"/>
      <c r="H5" s="384"/>
      <c r="I5" s="195"/>
      <c r="J5" s="382" t="s">
        <v>289</v>
      </c>
      <c r="K5" s="383"/>
      <c r="L5" s="384"/>
      <c r="M5" s="195"/>
      <c r="N5" s="382" t="s">
        <v>262</v>
      </c>
      <c r="O5" s="383"/>
      <c r="P5" s="384"/>
      <c r="S5" s="97" t="s">
        <v>247</v>
      </c>
    </row>
    <row r="6" spans="1:21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S6" s="197" t="s">
        <v>221</v>
      </c>
      <c r="T6" s="197" t="s">
        <v>214</v>
      </c>
      <c r="U6" s="197" t="s">
        <v>215</v>
      </c>
    </row>
    <row r="7" spans="1:21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1000000</v>
      </c>
      <c r="G7" s="191">
        <v>-0.43029454341810741</v>
      </c>
      <c r="H7" s="199">
        <v>5040789.0644048415</v>
      </c>
      <c r="I7" s="199"/>
      <c r="J7" s="199">
        <v>1000000</v>
      </c>
      <c r="K7" s="191">
        <v>-0.43029454341810741</v>
      </c>
      <c r="L7" s="199">
        <v>5040789.0644048415</v>
      </c>
      <c r="N7" s="199">
        <v>1228705.0999999999</v>
      </c>
      <c r="O7" s="191">
        <v>-0.3000000000000001</v>
      </c>
      <c r="P7" s="199">
        <v>5933732.8283146154</v>
      </c>
      <c r="S7" s="199">
        <f>VAC_Optim_Scenario!$H35</f>
        <v>1000000</v>
      </c>
      <c r="T7" s="191">
        <f>(S7-$C7)/$C7</f>
        <v>-0.43029454341810741</v>
      </c>
      <c r="U7" s="199">
        <f>VAC_Optim_Scenario!$J35</f>
        <v>5040789.0644048415</v>
      </c>
    </row>
    <row r="8" spans="1:21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5400000</v>
      </c>
      <c r="G8" s="191">
        <v>6.4538123835786929E-3</v>
      </c>
      <c r="H8" s="199">
        <v>64130441.937738657</v>
      </c>
      <c r="I8" s="199"/>
      <c r="J8" s="199">
        <v>7000000</v>
      </c>
      <c r="K8" s="191">
        <v>0.30466234938612052</v>
      </c>
      <c r="L8" s="199">
        <v>75734848.580214694</v>
      </c>
      <c r="N8" s="199">
        <v>5764800.4637740301</v>
      </c>
      <c r="O8" s="191">
        <v>7.4445445258517609E-2</v>
      </c>
      <c r="P8" s="199">
        <v>67005931.278226942</v>
      </c>
      <c r="S8" s="199">
        <f>VAC_Optim_Scenario!$H36</f>
        <v>5400000</v>
      </c>
      <c r="T8" s="191">
        <f t="shared" ref="T8:T15" si="0">(S8-$C8)/$C8</f>
        <v>6.4538123835786929E-3</v>
      </c>
      <c r="U8" s="199">
        <f>VAC_Optim_Scenario!$J36</f>
        <v>64130441.937738657</v>
      </c>
    </row>
    <row r="9" spans="1:21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1599500</v>
      </c>
      <c r="G9" s="191">
        <v>-0.14602242391884676</v>
      </c>
      <c r="H9" s="199">
        <v>14642130.239828272</v>
      </c>
      <c r="I9" s="199"/>
      <c r="J9" s="199">
        <v>1784496.015447913</v>
      </c>
      <c r="K9" s="191">
        <v>-4.7252527790756553E-2</v>
      </c>
      <c r="L9" s="199">
        <v>15635906.631539322</v>
      </c>
      <c r="N9" s="199">
        <v>1311099.9999999998</v>
      </c>
      <c r="O9" s="191">
        <v>-0.3000000000000001</v>
      </c>
      <c r="P9" s="199">
        <v>12995566.302066876</v>
      </c>
      <c r="S9" s="199">
        <f>VAC_Optim_Scenario!$H37</f>
        <v>1599500</v>
      </c>
      <c r="T9" s="191">
        <f t="shared" si="0"/>
        <v>-0.14602242391884676</v>
      </c>
      <c r="U9" s="199">
        <f>VAC_Optim_Scenario!$J37</f>
        <v>14642130.239828272</v>
      </c>
    </row>
    <row r="10" spans="1:21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500000</v>
      </c>
      <c r="G10" s="191">
        <v>1.8888886064197807</v>
      </c>
      <c r="H10" s="199">
        <v>2958708.7105763983</v>
      </c>
      <c r="I10" s="199"/>
      <c r="J10" s="199">
        <v>500000</v>
      </c>
      <c r="K10" s="191">
        <v>1.8888886064197807</v>
      </c>
      <c r="L10" s="199">
        <v>2958708.7105763983</v>
      </c>
      <c r="N10" s="199">
        <v>144326.36168477585</v>
      </c>
      <c r="O10" s="191">
        <v>-0.16611443624566133</v>
      </c>
      <c r="P10" s="199">
        <v>1501233.1818446149</v>
      </c>
      <c r="S10" s="199">
        <f>VAC_Optim_Scenario!$H38</f>
        <v>500000</v>
      </c>
      <c r="T10" s="191">
        <f t="shared" si="0"/>
        <v>1.8888886064197807</v>
      </c>
      <c r="U10" s="199">
        <f>VAC_Optim_Scenario!$J38</f>
        <v>2958708.7105763983</v>
      </c>
    </row>
    <row r="11" spans="1:21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6463714</v>
      </c>
      <c r="G11" s="191">
        <v>4.5887259561902066E-2</v>
      </c>
      <c r="H11" s="199">
        <v>33726604.314190388</v>
      </c>
      <c r="I11" s="199"/>
      <c r="J11" s="199">
        <v>6463714</v>
      </c>
      <c r="K11" s="191">
        <v>4.5887259561902066E-2</v>
      </c>
      <c r="L11" s="199">
        <v>33726604.314190388</v>
      </c>
      <c r="N11" s="199">
        <v>4326087.5</v>
      </c>
      <c r="O11" s="191">
        <v>-0.3</v>
      </c>
      <c r="P11" s="199">
        <v>25462546.467915077</v>
      </c>
      <c r="S11" s="199">
        <f>VAC_Optim_Scenario!$H39</f>
        <v>6463714</v>
      </c>
      <c r="T11" s="191">
        <f t="shared" si="0"/>
        <v>4.5887259561902066E-2</v>
      </c>
      <c r="U11" s="199">
        <f>VAC_Optim_Scenario!$J39</f>
        <v>33726604.314190388</v>
      </c>
    </row>
    <row r="12" spans="1:21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1500000</v>
      </c>
      <c r="G12" s="191">
        <v>-9.0003158720369056E-2</v>
      </c>
      <c r="H12" s="199">
        <v>21855163.981115948</v>
      </c>
      <c r="I12" s="199"/>
      <c r="J12" s="199">
        <v>2100000</v>
      </c>
      <c r="K12" s="191">
        <v>0.27399557779148331</v>
      </c>
      <c r="L12" s="199">
        <v>28161846.427964535</v>
      </c>
      <c r="N12" s="199">
        <v>2142864.5810000002</v>
      </c>
      <c r="O12" s="191">
        <v>0.30000000000000004</v>
      </c>
      <c r="P12" s="199">
        <v>28569508.760968704</v>
      </c>
      <c r="S12" s="199">
        <f>VAC_Optim_Scenario!$H40</f>
        <v>1500000</v>
      </c>
      <c r="T12" s="191">
        <f t="shared" si="0"/>
        <v>-9.0003158720369056E-2</v>
      </c>
      <c r="U12" s="199">
        <f>VAC_Optim_Scenario!$J40</f>
        <v>21855163.981115948</v>
      </c>
    </row>
    <row r="13" spans="1:21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300000</v>
      </c>
      <c r="G13" s="191">
        <v>-0.12969565457040327</v>
      </c>
      <c r="H13" s="199">
        <v>26792847.590052392</v>
      </c>
      <c r="I13" s="199"/>
      <c r="J13" s="199">
        <v>390000</v>
      </c>
      <c r="K13" s="191">
        <v>0.13139564905847576</v>
      </c>
      <c r="L13" s="199">
        <v>32194317.314408991</v>
      </c>
      <c r="N13" s="199">
        <v>448119.10000000003</v>
      </c>
      <c r="O13" s="191">
        <v>0.3000000000000001</v>
      </c>
      <c r="P13" s="199">
        <v>35482108.0336392</v>
      </c>
      <c r="S13" s="199">
        <f>VAC_Optim_Scenario!$H41</f>
        <v>300000</v>
      </c>
      <c r="T13" s="191">
        <f t="shared" si="0"/>
        <v>-0.12969565457040327</v>
      </c>
      <c r="U13" s="199">
        <f>VAC_Optim_Scenario!$J41</f>
        <v>26792847.590052392</v>
      </c>
    </row>
    <row r="14" spans="1:21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1400000</v>
      </c>
      <c r="G14" s="191">
        <v>-2.5780906016937815E-2</v>
      </c>
      <c r="H14" s="199">
        <v>15696457.153648281</v>
      </c>
      <c r="I14" s="199"/>
      <c r="J14" s="199">
        <v>1900000</v>
      </c>
      <c r="K14" s="191">
        <v>0.3221544846912987</v>
      </c>
      <c r="L14" s="199">
        <v>18852848.520381015</v>
      </c>
      <c r="N14" s="199">
        <v>1005933.8870000001</v>
      </c>
      <c r="O14" s="191">
        <v>-0.29999999999999988</v>
      </c>
      <c r="P14" s="199">
        <v>12872606.114547707</v>
      </c>
      <c r="S14" s="199">
        <f>VAC_Optim_Scenario!$H42</f>
        <v>1400000</v>
      </c>
      <c r="T14" s="191">
        <f t="shared" si="0"/>
        <v>-2.5780906016937815E-2</v>
      </c>
      <c r="U14" s="199">
        <f>VAC_Optim_Scenario!$J42</f>
        <v>15696457.153648281</v>
      </c>
    </row>
    <row r="15" spans="1:21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14861790</v>
      </c>
      <c r="G15" s="191">
        <v>0.10058595892597373</v>
      </c>
      <c r="H15" s="199">
        <v>61295260.814772405</v>
      </c>
      <c r="I15" s="199"/>
      <c r="J15" s="199">
        <v>14861790</v>
      </c>
      <c r="K15" s="191">
        <v>0.10058595892597373</v>
      </c>
      <c r="L15" s="199">
        <v>61295260.814772405</v>
      </c>
      <c r="N15" s="199">
        <v>9452467.4929999989</v>
      </c>
      <c r="O15" s="191">
        <v>-0.3000000000000001</v>
      </c>
      <c r="P15" s="199">
        <v>44653833.41155564</v>
      </c>
      <c r="S15" s="199">
        <f>VAC_Optim_Scenario!$H43</f>
        <v>14861790</v>
      </c>
      <c r="T15" s="191">
        <f t="shared" si="0"/>
        <v>0.10058595892597373</v>
      </c>
      <c r="U15" s="199">
        <f>VAC_Optim_Scenario!$J43</f>
        <v>61295260.814772405</v>
      </c>
    </row>
    <row r="16" spans="1:21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33025004</v>
      </c>
      <c r="G16" s="203">
        <f>(F16-$C$16)/$C$16</f>
        <v>2.3063405797460572E-2</v>
      </c>
      <c r="H16" s="202">
        <f>SUM(H7:H15)</f>
        <v>246138403.80632758</v>
      </c>
      <c r="I16" s="193"/>
      <c r="J16" s="202">
        <f>SUM(J7:J15)</f>
        <v>36000000.015447915</v>
      </c>
      <c r="K16" s="203">
        <f>(J16-$C$16)/$C$16</f>
        <v>0.11522416846680099</v>
      </c>
      <c r="L16" s="202">
        <f>SUM(L7:L15)</f>
        <v>273601130.3784526</v>
      </c>
      <c r="M16" s="193"/>
      <c r="N16" s="202">
        <f>SUM(N7:N15)</f>
        <v>25824404.486458804</v>
      </c>
      <c r="O16" s="203">
        <f>(N16-$C$16)/$C$16</f>
        <v>-0.19999999979991628</v>
      </c>
      <c r="P16" s="202">
        <f>SUM(P7:P15)</f>
        <v>234477066.37907937</v>
      </c>
      <c r="Q16" s="193"/>
      <c r="S16" s="202">
        <f>SUM(S7:S15)</f>
        <v>33025004</v>
      </c>
      <c r="T16" s="203">
        <f>(S16-$C$16)/$C$16</f>
        <v>2.3063405797460572E-2</v>
      </c>
      <c r="U16" s="202">
        <f>SUM(U7:U15)</f>
        <v>246138403.80632758</v>
      </c>
    </row>
    <row r="17" spans="1:19" x14ac:dyDescent="0.25">
      <c r="D17" s="97">
        <f>D16/C16</f>
        <v>7.6936762831999994</v>
      </c>
    </row>
    <row r="19" spans="1:19" ht="15" customHeight="1" x14ac:dyDescent="0.25">
      <c r="F19" s="489" t="str">
        <f>F4</f>
        <v>Optimal channel spend allowed to vary based on custom limits  for 2023 channel spend</v>
      </c>
      <c r="G19" s="490"/>
      <c r="H19" s="490"/>
      <c r="I19" s="490"/>
      <c r="J19" s="490"/>
      <c r="K19" s="490"/>
      <c r="L19" s="491"/>
      <c r="M19" s="196"/>
      <c r="N19" s="196"/>
      <c r="O19" s="196"/>
      <c r="P19" s="196"/>
      <c r="S19" s="377"/>
    </row>
    <row r="20" spans="1:19" ht="30.4" customHeight="1" x14ac:dyDescent="0.25">
      <c r="C20" s="386" t="s">
        <v>272</v>
      </c>
      <c r="D20" s="387"/>
      <c r="E20" s="204"/>
      <c r="F20" s="382" t="str">
        <f>F5</f>
        <v>1M increase In spend (33M)</v>
      </c>
      <c r="G20" s="383"/>
      <c r="H20" s="384"/>
      <c r="I20" s="205"/>
      <c r="J20" s="382" t="str">
        <f>J5</f>
        <v xml:space="preserve">3M increase in Spend (36M) </v>
      </c>
      <c r="K20" s="383"/>
      <c r="L20" s="384"/>
      <c r="M20" s="205"/>
      <c r="N20" s="382" t="str">
        <f>N5</f>
        <v>20% reduction optimal ($26M)</v>
      </c>
      <c r="O20" s="383"/>
      <c r="P20" s="384"/>
    </row>
    <row r="21" spans="1:19" ht="30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</row>
    <row r="22" spans="1:19" x14ac:dyDescent="0.25">
      <c r="A22" s="186">
        <f>D22/C22</f>
        <v>4.3867164533332925</v>
      </c>
      <c r="B22" s="488" t="str">
        <f>B7</f>
        <v>HCC In Office</v>
      </c>
      <c r="C22" s="210">
        <f>C7/1000000</f>
        <v>1.755293</v>
      </c>
      <c r="D22" s="303">
        <f>D7/1000000</f>
        <v>7.6999726835207554</v>
      </c>
      <c r="E22" s="212"/>
      <c r="F22" s="213">
        <f>F7/1000000</f>
        <v>1</v>
      </c>
      <c r="G22" s="214">
        <f>G7</f>
        <v>-0.43029454341810741</v>
      </c>
      <c r="H22" s="298">
        <f>H7/1000000</f>
        <v>5.0407890644048416</v>
      </c>
      <c r="I22" s="212"/>
      <c r="J22" s="213">
        <f>J7/1000000</f>
        <v>1</v>
      </c>
      <c r="K22" s="214">
        <f>K7</f>
        <v>-0.43029454341810741</v>
      </c>
      <c r="L22" s="298">
        <f>L7/1000000</f>
        <v>5.0407890644048416</v>
      </c>
      <c r="M22" s="193"/>
      <c r="N22" s="213">
        <f>N7/1000000</f>
        <v>1.2287050999999998</v>
      </c>
      <c r="O22" s="214">
        <f>O7</f>
        <v>-0.3000000000000001</v>
      </c>
      <c r="P22" s="298">
        <f>P7/1000000</f>
        <v>5.9337328283146151</v>
      </c>
      <c r="Q22" s="193"/>
      <c r="R22" s="329">
        <v>1000000</v>
      </c>
      <c r="S22" s="377">
        <f>R22-(F22*1000000)</f>
        <v>0</v>
      </c>
    </row>
    <row r="23" spans="1:19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04">
        <f t="shared" si="3"/>
        <v>63.849938934329622</v>
      </c>
      <c r="E23" s="212"/>
      <c r="F23" s="218">
        <f t="shared" ref="F23:F30" si="4">F8/1000000</f>
        <v>5.4</v>
      </c>
      <c r="G23" s="219">
        <f t="shared" ref="G23:G30" si="5">G8</f>
        <v>6.4538123835786929E-3</v>
      </c>
      <c r="H23" s="299">
        <f t="shared" ref="H23:H30" si="6">H8/1000000</f>
        <v>64.130441937738652</v>
      </c>
      <c r="I23" s="212"/>
      <c r="J23" s="218">
        <f t="shared" ref="J23:J30" si="7">J8/1000000</f>
        <v>7</v>
      </c>
      <c r="K23" s="219">
        <f t="shared" ref="K23:K30" si="8">K8</f>
        <v>0.30466234938612052</v>
      </c>
      <c r="L23" s="299">
        <f t="shared" ref="L23:L30" si="9">L8/1000000</f>
        <v>75.734848580214688</v>
      </c>
      <c r="M23" s="193"/>
      <c r="N23" s="218">
        <f t="shared" ref="N23:N30" si="10">N8/1000000</f>
        <v>5.76480046377403</v>
      </c>
      <c r="O23" s="219">
        <f t="shared" ref="O23:O30" si="11">O8</f>
        <v>7.4445445258517609E-2</v>
      </c>
      <c r="P23" s="299">
        <f t="shared" ref="P23:P30" si="12">P8/1000000</f>
        <v>67.005931278226939</v>
      </c>
      <c r="Q23" s="193"/>
      <c r="R23" s="331">
        <v>5400000</v>
      </c>
      <c r="S23" s="377">
        <f t="shared" ref="S23:S30" si="13">R23-(F23*1000000)</f>
        <v>0</v>
      </c>
    </row>
    <row r="24" spans="1:19" x14ac:dyDescent="0.25">
      <c r="A24" s="186">
        <f t="shared" si="1"/>
        <v>8.5940644823200767</v>
      </c>
      <c r="B24" s="198" t="str">
        <f t="shared" si="2"/>
        <v>HCC Social</v>
      </c>
      <c r="C24" s="216">
        <f t="shared" ref="C24:D24" si="14">C9/1000000</f>
        <v>1.873</v>
      </c>
      <c r="D24" s="304">
        <f t="shared" si="14"/>
        <v>16.096682775385503</v>
      </c>
      <c r="E24" s="212"/>
      <c r="F24" s="218">
        <f t="shared" si="4"/>
        <v>1.5994999999999999</v>
      </c>
      <c r="G24" s="219">
        <f t="shared" si="5"/>
        <v>-0.14602242391884676</v>
      </c>
      <c r="H24" s="299">
        <f t="shared" si="6"/>
        <v>14.642130239828273</v>
      </c>
      <c r="I24" s="212"/>
      <c r="J24" s="218">
        <f t="shared" si="7"/>
        <v>1.784496015447913</v>
      </c>
      <c r="K24" s="219">
        <f t="shared" si="8"/>
        <v>-4.7252527790756553E-2</v>
      </c>
      <c r="L24" s="299">
        <f t="shared" si="9"/>
        <v>15.635906631539322</v>
      </c>
      <c r="M24" s="193"/>
      <c r="N24" s="218">
        <f t="shared" si="10"/>
        <v>1.3110999999999997</v>
      </c>
      <c r="O24" s="219">
        <f t="shared" si="11"/>
        <v>-0.3000000000000001</v>
      </c>
      <c r="P24" s="299">
        <f t="shared" si="12"/>
        <v>12.995566302066875</v>
      </c>
      <c r="Q24" s="193"/>
      <c r="R24" s="331">
        <v>1599500</v>
      </c>
      <c r="S24" s="377">
        <f t="shared" si="13"/>
        <v>0</v>
      </c>
    </row>
    <row r="25" spans="1:19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15">C10/1000000</f>
        <v>0.17307694000000001</v>
      </c>
      <c r="D25" s="304">
        <f t="shared" si="15"/>
        <v>1.7099803714794048</v>
      </c>
      <c r="E25" s="212"/>
      <c r="F25" s="218">
        <f t="shared" si="4"/>
        <v>0.5</v>
      </c>
      <c r="G25" s="219">
        <f t="shared" si="5"/>
        <v>1.8888886064197807</v>
      </c>
      <c r="H25" s="299">
        <f t="shared" si="6"/>
        <v>2.9587087105763983</v>
      </c>
      <c r="I25" s="212"/>
      <c r="J25" s="218">
        <f t="shared" si="7"/>
        <v>0.5</v>
      </c>
      <c r="K25" s="219">
        <f t="shared" si="8"/>
        <v>1.8888886064197807</v>
      </c>
      <c r="L25" s="299">
        <f t="shared" si="9"/>
        <v>2.9587087105763983</v>
      </c>
      <c r="M25" s="193"/>
      <c r="N25" s="218">
        <f t="shared" si="10"/>
        <v>0.14432636168477586</v>
      </c>
      <c r="O25" s="219">
        <f t="shared" si="11"/>
        <v>-0.16611443624566133</v>
      </c>
      <c r="P25" s="299">
        <f t="shared" si="12"/>
        <v>1.501233181844615</v>
      </c>
      <c r="Q25" s="193"/>
      <c r="R25" s="331">
        <v>500000</v>
      </c>
      <c r="S25" s="377">
        <f t="shared" si="13"/>
        <v>0</v>
      </c>
    </row>
    <row r="26" spans="1:19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16">C11/1000000</f>
        <v>6.1801250000000003</v>
      </c>
      <c r="D26" s="304">
        <f t="shared" si="16"/>
        <v>32.683849841578791</v>
      </c>
      <c r="E26" s="212"/>
      <c r="F26" s="218">
        <f t="shared" si="4"/>
        <v>6.4637140000000004</v>
      </c>
      <c r="G26" s="219">
        <f t="shared" si="5"/>
        <v>4.5887259561902066E-2</v>
      </c>
      <c r="H26" s="299">
        <f t="shared" si="6"/>
        <v>33.726604314190389</v>
      </c>
      <c r="I26" s="212"/>
      <c r="J26" s="218">
        <f t="shared" si="7"/>
        <v>6.4637140000000004</v>
      </c>
      <c r="K26" s="219">
        <f t="shared" si="8"/>
        <v>4.5887259561902066E-2</v>
      </c>
      <c r="L26" s="299">
        <f t="shared" si="9"/>
        <v>33.726604314190389</v>
      </c>
      <c r="M26" s="193"/>
      <c r="N26" s="218">
        <f t="shared" si="10"/>
        <v>4.3260874999999999</v>
      </c>
      <c r="O26" s="219">
        <f t="shared" si="11"/>
        <v>-0.3</v>
      </c>
      <c r="P26" s="299">
        <f t="shared" si="12"/>
        <v>25.462546467915075</v>
      </c>
      <c r="Q26" s="193"/>
      <c r="R26" s="331">
        <v>6463714</v>
      </c>
      <c r="S26" s="377">
        <f t="shared" si="13"/>
        <v>0</v>
      </c>
    </row>
    <row r="27" spans="1:19" x14ac:dyDescent="0.25">
      <c r="A27" s="186">
        <f t="shared" si="1"/>
        <v>14.271209044334954</v>
      </c>
      <c r="B27" s="198" t="str">
        <f t="shared" si="2"/>
        <v>HCC Display</v>
      </c>
      <c r="C27" s="216">
        <f t="shared" ref="C27:D27" si="17">C12/1000000</f>
        <v>1.64835737</v>
      </c>
      <c r="D27" s="304">
        <f t="shared" si="17"/>
        <v>23.524052607040179</v>
      </c>
      <c r="E27" s="212"/>
      <c r="F27" s="218">
        <f t="shared" si="4"/>
        <v>1.5</v>
      </c>
      <c r="G27" s="219">
        <f t="shared" si="5"/>
        <v>-9.0003158720369056E-2</v>
      </c>
      <c r="H27" s="299">
        <f t="shared" si="6"/>
        <v>21.855163981115947</v>
      </c>
      <c r="I27" s="212"/>
      <c r="J27" s="218">
        <f t="shared" si="7"/>
        <v>2.1</v>
      </c>
      <c r="K27" s="219">
        <f t="shared" si="8"/>
        <v>0.27399557779148331</v>
      </c>
      <c r="L27" s="299">
        <f t="shared" si="9"/>
        <v>28.161846427964534</v>
      </c>
      <c r="M27" s="193"/>
      <c r="N27" s="218">
        <f t="shared" si="10"/>
        <v>2.1428645810000004</v>
      </c>
      <c r="O27" s="219">
        <f t="shared" si="11"/>
        <v>0.30000000000000004</v>
      </c>
      <c r="P27" s="299">
        <f t="shared" si="12"/>
        <v>28.569508760968702</v>
      </c>
      <c r="Q27" s="193"/>
      <c r="R27" s="331">
        <v>1500000</v>
      </c>
      <c r="S27" s="377">
        <f t="shared" si="13"/>
        <v>0</v>
      </c>
    </row>
    <row r="28" spans="1:19" x14ac:dyDescent="0.25">
      <c r="A28" s="186">
        <f t="shared" si="1"/>
        <v>85.664121305902583</v>
      </c>
      <c r="B28" s="198" t="str">
        <f t="shared" si="2"/>
        <v>HCC Paid Search</v>
      </c>
      <c r="C28" s="356">
        <f t="shared" ref="C28:D28" si="18">C13/1000000</f>
        <v>0.34470699999999999</v>
      </c>
      <c r="D28" s="357">
        <f t="shared" si="18"/>
        <v>29.52902226299376</v>
      </c>
      <c r="E28" s="358"/>
      <c r="F28" s="359">
        <f t="shared" si="4"/>
        <v>0.3</v>
      </c>
      <c r="G28" s="219">
        <f t="shared" si="5"/>
        <v>-0.12969565457040327</v>
      </c>
      <c r="H28" s="299">
        <f t="shared" si="6"/>
        <v>26.792847590052393</v>
      </c>
      <c r="I28" s="212"/>
      <c r="J28" s="218">
        <f t="shared" si="7"/>
        <v>0.39</v>
      </c>
      <c r="K28" s="219">
        <f t="shared" si="8"/>
        <v>0.13139564905847576</v>
      </c>
      <c r="L28" s="299">
        <f t="shared" si="9"/>
        <v>32.194317314408991</v>
      </c>
      <c r="M28" s="193"/>
      <c r="N28" s="218">
        <f t="shared" si="10"/>
        <v>0.44811910000000005</v>
      </c>
      <c r="O28" s="219">
        <f t="shared" si="11"/>
        <v>0.3000000000000001</v>
      </c>
      <c r="P28" s="299">
        <f t="shared" si="12"/>
        <v>35.4821080336392</v>
      </c>
      <c r="Q28" s="193"/>
      <c r="R28" s="331">
        <v>300000</v>
      </c>
      <c r="S28" s="377">
        <f t="shared" si="13"/>
        <v>0</v>
      </c>
    </row>
    <row r="29" spans="1:19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19">C14/1000000</f>
        <v>1.4370484099999998</v>
      </c>
      <c r="D29" s="304">
        <f t="shared" si="19"/>
        <v>15.944380745101283</v>
      </c>
      <c r="E29" s="212"/>
      <c r="F29" s="218">
        <f t="shared" si="4"/>
        <v>1.4</v>
      </c>
      <c r="G29" s="219">
        <f t="shared" si="5"/>
        <v>-2.5780906016937815E-2</v>
      </c>
      <c r="H29" s="299">
        <f t="shared" si="6"/>
        <v>15.696457153648282</v>
      </c>
      <c r="I29" s="212"/>
      <c r="J29" s="218">
        <f t="shared" si="7"/>
        <v>1.9</v>
      </c>
      <c r="K29" s="219">
        <f t="shared" si="8"/>
        <v>0.3221544846912987</v>
      </c>
      <c r="L29" s="299">
        <f t="shared" si="9"/>
        <v>18.852848520381016</v>
      </c>
      <c r="M29" s="193"/>
      <c r="N29" s="218">
        <f t="shared" si="10"/>
        <v>1.0059338870000001</v>
      </c>
      <c r="O29" s="219">
        <f t="shared" si="11"/>
        <v>-0.29999999999999988</v>
      </c>
      <c r="P29" s="299">
        <f t="shared" si="12"/>
        <v>12.872606114547708</v>
      </c>
      <c r="Q29" s="193"/>
      <c r="R29" s="331">
        <v>1400000</v>
      </c>
      <c r="S29" s="377">
        <f t="shared" si="13"/>
        <v>0</v>
      </c>
    </row>
    <row r="30" spans="1:19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0">C15/1000000</f>
        <v>13.503524990000001</v>
      </c>
      <c r="D30" s="304">
        <f t="shared" si="20"/>
        <v>57.317880122995497</v>
      </c>
      <c r="E30" s="212"/>
      <c r="F30" s="218">
        <f t="shared" si="4"/>
        <v>14.861789999999999</v>
      </c>
      <c r="G30" s="219">
        <f t="shared" si="5"/>
        <v>0.10058595892597373</v>
      </c>
      <c r="H30" s="299">
        <f t="shared" si="6"/>
        <v>61.295260814772405</v>
      </c>
      <c r="I30" s="212"/>
      <c r="J30" s="218">
        <f t="shared" si="7"/>
        <v>14.861789999999999</v>
      </c>
      <c r="K30" s="219">
        <f t="shared" si="8"/>
        <v>0.10058595892597373</v>
      </c>
      <c r="L30" s="299">
        <f t="shared" si="9"/>
        <v>61.295260814772405</v>
      </c>
      <c r="M30" s="193"/>
      <c r="N30" s="218">
        <f t="shared" si="10"/>
        <v>9.4524674929999986</v>
      </c>
      <c r="O30" s="219">
        <f t="shared" si="11"/>
        <v>-0.3000000000000001</v>
      </c>
      <c r="P30" s="299">
        <f t="shared" si="12"/>
        <v>44.653833411555638</v>
      </c>
      <c r="Q30" s="193"/>
      <c r="R30" s="355">
        <v>14861790</v>
      </c>
      <c r="S30" s="377">
        <f t="shared" si="13"/>
        <v>0</v>
      </c>
    </row>
    <row r="31" spans="1:19" ht="29.65" customHeight="1" x14ac:dyDescent="0.25">
      <c r="B31" s="492" t="s">
        <v>217</v>
      </c>
      <c r="C31" s="222">
        <f>C16/1000000</f>
        <v>32.280505600000005</v>
      </c>
      <c r="D31" s="305">
        <f>D16/1000000</f>
        <v>248.35576034442479</v>
      </c>
      <c r="E31" s="224"/>
      <c r="F31" s="225">
        <f>F16/1000000</f>
        <v>33.025004000000003</v>
      </c>
      <c r="G31" s="226">
        <f>G16</f>
        <v>2.3063405797460572E-2</v>
      </c>
      <c r="H31" s="230">
        <f>H16/1000000</f>
        <v>246.13840380632757</v>
      </c>
      <c r="I31" s="224"/>
      <c r="J31" s="225">
        <f>J16/1000000</f>
        <v>36.000000015447917</v>
      </c>
      <c r="K31" s="226">
        <f>K16</f>
        <v>0.11522416846680099</v>
      </c>
      <c r="L31" s="230">
        <f>L16/1000000</f>
        <v>273.60113037845258</v>
      </c>
      <c r="M31" s="224"/>
      <c r="N31" s="225">
        <f>N16/1000000</f>
        <v>25.824404486458803</v>
      </c>
      <c r="O31" s="226">
        <f>O16</f>
        <v>-0.19999999979991628</v>
      </c>
      <c r="P31" s="230">
        <f>P16/1000000</f>
        <v>234.47706637907936</v>
      </c>
    </row>
    <row r="32" spans="1:19" ht="39.75" customHeight="1" x14ac:dyDescent="0.25">
      <c r="B32" s="492" t="s">
        <v>249</v>
      </c>
      <c r="C32" s="222"/>
      <c r="D32" s="223"/>
      <c r="E32" s="224"/>
      <c r="F32" s="225"/>
      <c r="G32" s="226"/>
      <c r="H32" s="229" t="s">
        <v>294</v>
      </c>
      <c r="I32" s="224"/>
      <c r="J32" s="225"/>
      <c r="K32" s="226"/>
      <c r="L32" s="302" t="s">
        <v>293</v>
      </c>
      <c r="M32" s="224"/>
      <c r="N32" s="225"/>
      <c r="O32" s="226"/>
      <c r="P32" s="229" t="s">
        <v>273</v>
      </c>
    </row>
    <row r="33" spans="2:17" x14ac:dyDescent="0.25">
      <c r="H33" s="230">
        <f>(H31-$D$31)</f>
        <v>-2.2173565380972207</v>
      </c>
      <c r="L33" s="230">
        <f>(L31-$D$31)</f>
        <v>25.245370034027786</v>
      </c>
      <c r="P33" s="230">
        <f>(P31-$D$31)</f>
        <v>-13.878693965345434</v>
      </c>
    </row>
    <row r="34" spans="2:17" x14ac:dyDescent="0.25">
      <c r="C34" s="97">
        <f>D31/C31</f>
        <v>7.6936762831999994</v>
      </c>
      <c r="H34" s="301">
        <f>H33/$D$31</f>
        <v>-8.9281462005235783E-3</v>
      </c>
      <c r="L34" s="301">
        <f>L33/$D$31</f>
        <v>0.1016500281653101</v>
      </c>
      <c r="P34" s="301">
        <f>P33/$D$31</f>
        <v>-5.5882311511914119E-2</v>
      </c>
    </row>
    <row r="35" spans="2:17" x14ac:dyDescent="0.25">
      <c r="H35" s="186">
        <f>H31/F31</f>
        <v>7.4530923238140279</v>
      </c>
      <c r="L35" s="186">
        <f>L31/J31</f>
        <v>7.6000313961402206</v>
      </c>
      <c r="P35" s="186">
        <f>P31/N31</f>
        <v>9.0796698333171229</v>
      </c>
    </row>
    <row r="36" spans="2:17" x14ac:dyDescent="0.25">
      <c r="B36" s="391" t="s">
        <v>250</v>
      </c>
      <c r="C36" s="391"/>
      <c r="D36" s="391"/>
      <c r="E36" s="391"/>
      <c r="F36" s="391"/>
      <c r="G36" s="391"/>
      <c r="H36" s="391"/>
      <c r="I36" s="391"/>
      <c r="J36" s="391"/>
      <c r="K36" s="391"/>
      <c r="L36" s="391"/>
      <c r="M36" s="391"/>
      <c r="N36" s="391"/>
      <c r="O36" s="391"/>
      <c r="P36" s="391"/>
      <c r="Q36" s="391"/>
    </row>
    <row r="37" spans="2:17" x14ac:dyDescent="0.25">
      <c r="B37" s="391"/>
      <c r="C37" s="391"/>
      <c r="D37" s="391"/>
      <c r="E37" s="391"/>
      <c r="F37" s="391"/>
      <c r="G37" s="391"/>
      <c r="H37" s="391"/>
      <c r="I37" s="391"/>
      <c r="J37" s="391"/>
      <c r="K37" s="391"/>
      <c r="L37" s="391"/>
      <c r="M37" s="391"/>
      <c r="N37" s="391"/>
      <c r="O37" s="391"/>
      <c r="P37" s="391"/>
      <c r="Q37" s="391"/>
    </row>
    <row r="39" spans="2:17" x14ac:dyDescent="0.25">
      <c r="F39" s="382" t="s">
        <v>242</v>
      </c>
      <c r="G39" s="383"/>
      <c r="H39" s="384"/>
      <c r="I39" s="195"/>
      <c r="J39" s="382" t="s">
        <v>209</v>
      </c>
      <c r="K39" s="383"/>
      <c r="L39" s="384"/>
      <c r="M39" s="195"/>
      <c r="N39" s="382" t="s">
        <v>210</v>
      </c>
      <c r="O39" s="383"/>
      <c r="P39" s="384"/>
    </row>
    <row r="40" spans="2:17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</row>
    <row r="41" spans="2:17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</row>
    <row r="42" spans="2:17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</row>
    <row r="43" spans="2:17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</row>
    <row r="44" spans="2:17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</row>
    <row r="45" spans="2:17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</row>
    <row r="46" spans="2:17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</row>
    <row r="47" spans="2:17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</row>
    <row r="48" spans="2:17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</row>
    <row r="49" spans="2:17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</row>
    <row r="50" spans="2:17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</row>
    <row r="51" spans="2:17" x14ac:dyDescent="0.25">
      <c r="D51" s="97" t="e">
        <f>D50/C50</f>
        <v>#DIV/0!</v>
      </c>
    </row>
    <row r="53" spans="2:17" ht="27.6" customHeight="1" x14ac:dyDescent="0.25">
      <c r="F53" s="395" t="str">
        <f>B36</f>
        <v>Optimal Channel Spend  allowed to vary between  of the 2021 spend</v>
      </c>
      <c r="G53" s="395"/>
      <c r="H53" s="395"/>
      <c r="I53" s="395"/>
      <c r="J53" s="395"/>
      <c r="K53" s="395"/>
      <c r="L53" s="395"/>
      <c r="M53" s="395"/>
      <c r="N53" s="395"/>
      <c r="O53" s="395"/>
      <c r="P53" s="395"/>
    </row>
    <row r="54" spans="2:17" x14ac:dyDescent="0.25">
      <c r="C54" s="386" t="s">
        <v>243</v>
      </c>
      <c r="D54" s="387"/>
      <c r="E54" s="204"/>
      <c r="F54" s="382" t="str">
        <f>F39</f>
        <v>Current Optimal ($MM)</v>
      </c>
      <c r="G54" s="383"/>
      <c r="H54" s="384"/>
      <c r="I54" s="205"/>
      <c r="J54" s="382" t="str">
        <f>J39</f>
        <v>10% reduction optimal ($)</v>
      </c>
      <c r="K54" s="383"/>
      <c r="L54" s="384"/>
      <c r="M54" s="205"/>
      <c r="N54" s="382" t="str">
        <f>N39</f>
        <v>20% reduction optimal ()</v>
      </c>
      <c r="O54" s="383"/>
      <c r="P54" s="384"/>
    </row>
    <row r="55" spans="2:17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</row>
    <row r="56" spans="2:17" x14ac:dyDescent="0.25">
      <c r="B56" s="198" t="s">
        <v>155</v>
      </c>
      <c r="C56" s="210">
        <f t="shared" ref="C56:D62" si="21">C41/1000000</f>
        <v>0</v>
      </c>
      <c r="D56" s="211">
        <f t="shared" si="21"/>
        <v>0</v>
      </c>
      <c r="E56" s="212"/>
      <c r="F56" s="213">
        <f t="shared" ref="F56:F62" si="22">F41/1000000</f>
        <v>0</v>
      </c>
      <c r="G56" s="214">
        <f t="shared" ref="G56:G62" si="23">G41</f>
        <v>0</v>
      </c>
      <c r="H56" s="215">
        <f t="shared" ref="H56:H62" si="24">H41/1000000</f>
        <v>0</v>
      </c>
      <c r="I56" s="212"/>
      <c r="J56" s="213">
        <f t="shared" ref="J56:J62" si="25">J41/1000000</f>
        <v>0</v>
      </c>
      <c r="K56" s="214">
        <f t="shared" ref="K56:K62" si="26">K41</f>
        <v>0</v>
      </c>
      <c r="L56" s="215">
        <f t="shared" ref="L56:L62" si="27">L41/1000000</f>
        <v>0</v>
      </c>
      <c r="M56" s="193"/>
      <c r="N56" s="213">
        <f t="shared" ref="N56:N62" si="28">N41/1000000</f>
        <v>0</v>
      </c>
      <c r="O56" s="214">
        <f t="shared" ref="O56:O62" si="29">O41</f>
        <v>0</v>
      </c>
      <c r="P56" s="215">
        <f t="shared" ref="P56:P62" si="30">P41/1000000</f>
        <v>0</v>
      </c>
      <c r="Q56" s="193"/>
    </row>
    <row r="57" spans="2:17" x14ac:dyDescent="0.25">
      <c r="B57" s="200" t="s">
        <v>93</v>
      </c>
      <c r="C57" s="216">
        <f t="shared" si="21"/>
        <v>0</v>
      </c>
      <c r="D57" s="217">
        <f t="shared" si="21"/>
        <v>0</v>
      </c>
      <c r="E57" s="212"/>
      <c r="F57" s="218">
        <f t="shared" si="22"/>
        <v>0</v>
      </c>
      <c r="G57" s="219">
        <f t="shared" si="23"/>
        <v>0</v>
      </c>
      <c r="H57" s="220">
        <f t="shared" si="24"/>
        <v>0</v>
      </c>
      <c r="I57" s="212"/>
      <c r="J57" s="218">
        <f t="shared" si="25"/>
        <v>0</v>
      </c>
      <c r="K57" s="219">
        <f t="shared" si="26"/>
        <v>0</v>
      </c>
      <c r="L57" s="220">
        <f t="shared" si="27"/>
        <v>0</v>
      </c>
      <c r="M57" s="193"/>
      <c r="N57" s="218">
        <f t="shared" si="28"/>
        <v>0</v>
      </c>
      <c r="O57" s="219">
        <f t="shared" si="29"/>
        <v>0</v>
      </c>
      <c r="P57" s="220">
        <f t="shared" si="30"/>
        <v>0</v>
      </c>
      <c r="Q57" s="193"/>
    </row>
    <row r="58" spans="2:17" x14ac:dyDescent="0.25">
      <c r="B58" s="200" t="s">
        <v>162</v>
      </c>
      <c r="C58" s="216">
        <f t="shared" si="21"/>
        <v>0</v>
      </c>
      <c r="D58" s="217">
        <f t="shared" si="21"/>
        <v>0</v>
      </c>
      <c r="E58" s="212"/>
      <c r="F58" s="218">
        <f t="shared" si="22"/>
        <v>0</v>
      </c>
      <c r="G58" s="219">
        <f t="shared" si="23"/>
        <v>0</v>
      </c>
      <c r="H58" s="220">
        <f t="shared" si="24"/>
        <v>0</v>
      </c>
      <c r="I58" s="212"/>
      <c r="J58" s="218">
        <f t="shared" si="25"/>
        <v>0</v>
      </c>
      <c r="K58" s="219">
        <f t="shared" si="26"/>
        <v>0</v>
      </c>
      <c r="L58" s="220">
        <f t="shared" si="27"/>
        <v>0</v>
      </c>
      <c r="M58" s="193"/>
      <c r="N58" s="218">
        <f t="shared" si="28"/>
        <v>0</v>
      </c>
      <c r="O58" s="219">
        <f t="shared" si="29"/>
        <v>0</v>
      </c>
      <c r="P58" s="220">
        <f t="shared" si="30"/>
        <v>0</v>
      </c>
      <c r="Q58" s="193"/>
    </row>
    <row r="59" spans="2:17" x14ac:dyDescent="0.25">
      <c r="B59" s="200" t="s">
        <v>163</v>
      </c>
      <c r="C59" s="216">
        <f t="shared" si="21"/>
        <v>0</v>
      </c>
      <c r="D59" s="217">
        <f t="shared" si="21"/>
        <v>0</v>
      </c>
      <c r="E59" s="212"/>
      <c r="F59" s="218">
        <f t="shared" si="22"/>
        <v>0</v>
      </c>
      <c r="G59" s="219">
        <f t="shared" si="23"/>
        <v>0</v>
      </c>
      <c r="H59" s="220">
        <f t="shared" si="24"/>
        <v>0</v>
      </c>
      <c r="I59" s="212"/>
      <c r="J59" s="218">
        <f t="shared" si="25"/>
        <v>0</v>
      </c>
      <c r="K59" s="219">
        <f t="shared" si="26"/>
        <v>0</v>
      </c>
      <c r="L59" s="220">
        <f t="shared" si="27"/>
        <v>0</v>
      </c>
      <c r="M59" s="193"/>
      <c r="N59" s="218">
        <f t="shared" si="28"/>
        <v>0</v>
      </c>
      <c r="O59" s="219">
        <f t="shared" si="29"/>
        <v>0</v>
      </c>
      <c r="P59" s="220">
        <f t="shared" si="30"/>
        <v>0</v>
      </c>
      <c r="Q59" s="193"/>
    </row>
    <row r="60" spans="2:17" x14ac:dyDescent="0.25">
      <c r="B60" s="200" t="s">
        <v>165</v>
      </c>
      <c r="C60" s="216">
        <f t="shared" si="21"/>
        <v>0</v>
      </c>
      <c r="D60" s="217">
        <f t="shared" si="21"/>
        <v>0</v>
      </c>
      <c r="E60" s="212"/>
      <c r="F60" s="218">
        <f t="shared" si="22"/>
        <v>0</v>
      </c>
      <c r="G60" s="219">
        <f t="shared" si="23"/>
        <v>0</v>
      </c>
      <c r="H60" s="220">
        <f t="shared" si="24"/>
        <v>0</v>
      </c>
      <c r="I60" s="212"/>
      <c r="J60" s="218">
        <f t="shared" si="25"/>
        <v>0</v>
      </c>
      <c r="K60" s="219">
        <f t="shared" si="26"/>
        <v>0</v>
      </c>
      <c r="L60" s="220">
        <f t="shared" si="27"/>
        <v>0</v>
      </c>
      <c r="M60" s="193"/>
      <c r="N60" s="218">
        <f t="shared" si="28"/>
        <v>0</v>
      </c>
      <c r="O60" s="219">
        <f t="shared" si="29"/>
        <v>0</v>
      </c>
      <c r="P60" s="220">
        <f t="shared" si="30"/>
        <v>0</v>
      </c>
      <c r="Q60" s="193"/>
    </row>
    <row r="61" spans="2:17" x14ac:dyDescent="0.25">
      <c r="B61" s="200" t="s">
        <v>164</v>
      </c>
      <c r="C61" s="216">
        <f t="shared" si="21"/>
        <v>0</v>
      </c>
      <c r="D61" s="217">
        <f t="shared" si="21"/>
        <v>0</v>
      </c>
      <c r="E61" s="212"/>
      <c r="F61" s="218">
        <f t="shared" si="22"/>
        <v>0</v>
      </c>
      <c r="G61" s="219">
        <f t="shared" si="23"/>
        <v>0</v>
      </c>
      <c r="H61" s="220">
        <f t="shared" si="24"/>
        <v>0</v>
      </c>
      <c r="I61" s="212"/>
      <c r="J61" s="218">
        <f t="shared" si="25"/>
        <v>0</v>
      </c>
      <c r="K61" s="219">
        <f t="shared" si="26"/>
        <v>0</v>
      </c>
      <c r="L61" s="220">
        <f t="shared" si="27"/>
        <v>0</v>
      </c>
      <c r="M61" s="193"/>
      <c r="N61" s="218">
        <f t="shared" si="28"/>
        <v>0</v>
      </c>
      <c r="O61" s="219">
        <f t="shared" si="29"/>
        <v>0</v>
      </c>
      <c r="P61" s="220">
        <f t="shared" si="30"/>
        <v>0</v>
      </c>
      <c r="Q61" s="193"/>
    </row>
    <row r="62" spans="2:17" x14ac:dyDescent="0.25">
      <c r="B62" s="200" t="s">
        <v>161</v>
      </c>
      <c r="C62" s="216">
        <f t="shared" si="21"/>
        <v>0</v>
      </c>
      <c r="D62" s="217">
        <f t="shared" si="21"/>
        <v>0</v>
      </c>
      <c r="E62" s="212"/>
      <c r="F62" s="218">
        <f t="shared" si="22"/>
        <v>0</v>
      </c>
      <c r="G62" s="219">
        <f t="shared" si="23"/>
        <v>0</v>
      </c>
      <c r="H62" s="220">
        <f t="shared" si="24"/>
        <v>0</v>
      </c>
      <c r="I62" s="212"/>
      <c r="J62" s="218">
        <f t="shared" si="25"/>
        <v>0</v>
      </c>
      <c r="K62" s="219">
        <f t="shared" si="26"/>
        <v>0</v>
      </c>
      <c r="L62" s="220">
        <f t="shared" si="27"/>
        <v>0</v>
      </c>
      <c r="M62" s="193"/>
      <c r="N62" s="218">
        <f t="shared" si="28"/>
        <v>0</v>
      </c>
      <c r="O62" s="219">
        <f t="shared" si="29"/>
        <v>0</v>
      </c>
      <c r="P62" s="220">
        <f t="shared" si="30"/>
        <v>0</v>
      </c>
      <c r="Q62" s="193"/>
    </row>
    <row r="63" spans="2:17" x14ac:dyDescent="0.25">
      <c r="B63" s="200" t="s">
        <v>216</v>
      </c>
      <c r="C63" s="216">
        <f t="shared" ref="C63:D64" si="31">C49/1000000</f>
        <v>0</v>
      </c>
      <c r="D63" s="217">
        <f t="shared" si="31"/>
        <v>0</v>
      </c>
      <c r="E63" s="212"/>
      <c r="F63" s="218">
        <f t="shared" ref="F63:F64" si="32">F49/1000000</f>
        <v>0</v>
      </c>
      <c r="G63" s="219">
        <f t="shared" ref="G63" si="33">G49</f>
        <v>0</v>
      </c>
      <c r="H63" s="220">
        <f t="shared" ref="H63:H64" si="34">H49/1000000</f>
        <v>0</v>
      </c>
      <c r="I63" s="212"/>
      <c r="J63" s="218">
        <f t="shared" ref="J63:J64" si="35">J49/1000000</f>
        <v>0</v>
      </c>
      <c r="K63" s="219">
        <f t="shared" ref="K63" si="36">K49</f>
        <v>0</v>
      </c>
      <c r="L63" s="220">
        <f t="shared" ref="L63:L64" si="37">L49/1000000</f>
        <v>0</v>
      </c>
      <c r="M63" s="193"/>
      <c r="N63" s="218">
        <f t="shared" ref="N63:N64" si="38">N49/1000000</f>
        <v>0</v>
      </c>
      <c r="O63" s="219">
        <f t="shared" ref="O63" si="39">O49</f>
        <v>0</v>
      </c>
      <c r="P63" s="220">
        <f t="shared" ref="P63:P64" si="40">P49/1000000</f>
        <v>0</v>
      </c>
      <c r="Q63" s="193"/>
    </row>
    <row r="64" spans="2:17" x14ac:dyDescent="0.25">
      <c r="B64" s="221" t="s">
        <v>217</v>
      </c>
      <c r="C64" s="222">
        <f t="shared" si="31"/>
        <v>0</v>
      </c>
      <c r="D64" s="223">
        <f t="shared" si="31"/>
        <v>0</v>
      </c>
      <c r="E64" s="224"/>
      <c r="F64" s="225">
        <f t="shared" si="32"/>
        <v>0</v>
      </c>
      <c r="G64" s="226">
        <f>G50</f>
        <v>-1</v>
      </c>
      <c r="H64" s="227">
        <f t="shared" si="34"/>
        <v>0</v>
      </c>
      <c r="I64" s="224"/>
      <c r="J64" s="225">
        <f t="shared" si="35"/>
        <v>0</v>
      </c>
      <c r="K64" s="226">
        <f>K50</f>
        <v>-1</v>
      </c>
      <c r="L64" s="227">
        <f t="shared" si="37"/>
        <v>0</v>
      </c>
      <c r="M64" s="224"/>
      <c r="N64" s="225">
        <f t="shared" si="38"/>
        <v>0</v>
      </c>
      <c r="O64" s="226">
        <f>O50</f>
        <v>-1</v>
      </c>
      <c r="P64" s="227">
        <f t="shared" si="40"/>
        <v>0</v>
      </c>
    </row>
    <row r="65" spans="2:17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</row>
    <row r="66" spans="2:17" x14ac:dyDescent="0.25">
      <c r="H66" s="232">
        <f>H64-$D$64</f>
        <v>0</v>
      </c>
      <c r="L66" s="232">
        <f>L64-$D$64</f>
        <v>0</v>
      </c>
      <c r="P66" s="232">
        <f>P64-$D$64</f>
        <v>0</v>
      </c>
    </row>
    <row r="67" spans="2:17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</row>
  </sheetData>
  <mergeCells count="18">
    <mergeCell ref="F4:P4"/>
    <mergeCell ref="B36:Q37"/>
    <mergeCell ref="F39:H39"/>
    <mergeCell ref="J39:L39"/>
    <mergeCell ref="N39:P39"/>
    <mergeCell ref="C20:D20"/>
    <mergeCell ref="F5:H5"/>
    <mergeCell ref="J5:L5"/>
    <mergeCell ref="N5:P5"/>
    <mergeCell ref="F20:H20"/>
    <mergeCell ref="J20:L20"/>
    <mergeCell ref="N20:P20"/>
    <mergeCell ref="F19:L19"/>
    <mergeCell ref="C54:D54"/>
    <mergeCell ref="F54:H54"/>
    <mergeCell ref="J54:L54"/>
    <mergeCell ref="N54:P54"/>
    <mergeCell ref="F53:P53"/>
  </mergeCells>
  <conditionalFormatting sqref="G22:G30">
    <cfRule type="cellIs" dxfId="13" priority="17" operator="lessThan">
      <formula>0</formula>
    </cfRule>
    <cfRule type="cellIs" dxfId="12" priority="18" operator="greaterThan">
      <formula>0</formula>
    </cfRule>
  </conditionalFormatting>
  <conditionalFormatting sqref="K22:K30">
    <cfRule type="cellIs" dxfId="11" priority="15" operator="lessThan">
      <formula>0</formula>
    </cfRule>
    <cfRule type="cellIs" dxfId="10" priority="16" operator="greaterThan">
      <formula>0</formula>
    </cfRule>
  </conditionalFormatting>
  <conditionalFormatting sqref="O22:O30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G56:G63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K56:K63">
    <cfRule type="cellIs" dxfId="5" priority="7" operator="lessThan">
      <formula>0</formula>
    </cfRule>
    <cfRule type="cellIs" dxfId="4" priority="8" operator="greaterThan">
      <formula>0</formula>
    </cfRule>
  </conditionalFormatting>
  <conditionalFormatting sqref="O56:O63">
    <cfRule type="cellIs" dxfId="3" priority="5" operator="lessThan">
      <formula>0</formula>
    </cfRule>
    <cfRule type="cellIs" dxfId="2" priority="6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C2:I13"/>
  <sheetViews>
    <sheetView showGridLines="0" workbookViewId="0">
      <selection activeCell="C2" sqref="C2:F13"/>
    </sheetView>
  </sheetViews>
  <sheetFormatPr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6" style="97" customWidth="1"/>
    <col min="6" max="6" width="20.71093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468"/>
      <c r="D2" s="469" t="s">
        <v>295</v>
      </c>
      <c r="E2" s="470"/>
      <c r="F2" s="470"/>
      <c r="G2" s="471"/>
      <c r="H2" s="469" t="s">
        <v>296</v>
      </c>
      <c r="I2" s="470"/>
    </row>
    <row r="3" spans="3:9" ht="25.5" x14ac:dyDescent="0.25">
      <c r="C3" s="472" t="s">
        <v>297</v>
      </c>
      <c r="D3" s="472" t="s">
        <v>218</v>
      </c>
      <c r="E3" s="473" t="s">
        <v>298</v>
      </c>
      <c r="F3" s="474" t="s">
        <v>299</v>
      </c>
      <c r="G3" s="475"/>
      <c r="H3" s="476" t="s">
        <v>221</v>
      </c>
      <c r="I3" s="477" t="s">
        <v>214</v>
      </c>
    </row>
    <row r="4" spans="3:9" x14ac:dyDescent="0.25">
      <c r="C4" s="478" t="str">
        <f>VAC_Optim_Scenario!B17</f>
        <v>HCC In Office</v>
      </c>
      <c r="D4" s="479">
        <f>'Scenario deep dive'!C22</f>
        <v>1.755293</v>
      </c>
      <c r="E4" s="479">
        <f>VAC_Optim_Scenario!G17/1000000</f>
        <v>1</v>
      </c>
      <c r="F4" s="479">
        <f>VAC_Optim_Scenario!H17/1000000</f>
        <v>1.7</v>
      </c>
      <c r="G4" s="480"/>
      <c r="H4" s="481">
        <f>'[10]Scenario deep dive'!F23</f>
        <v>0.9</v>
      </c>
      <c r="I4" s="482">
        <f>(H4-D4)/D4</f>
        <v>-0.48726508907629668</v>
      </c>
    </row>
    <row r="5" spans="3:9" x14ac:dyDescent="0.25">
      <c r="C5" s="478" t="str">
        <f>VAC_Optim_Scenario!B18</f>
        <v>HCP MCM</v>
      </c>
      <c r="D5" s="479">
        <f>'Scenario deep dive'!C23</f>
        <v>5.3653728900000006</v>
      </c>
      <c r="E5" s="479">
        <f>VAC_Optim_Scenario!G18/1000000</f>
        <v>5.4</v>
      </c>
      <c r="F5" s="479">
        <f>VAC_Optim_Scenario!H18/1000000</f>
        <v>7</v>
      </c>
      <c r="G5" s="483"/>
      <c r="H5" s="481">
        <f>'[10]Scenario deep dive'!F24</f>
        <v>12.572464406098238</v>
      </c>
      <c r="I5" s="482">
        <f t="shared" ref="I5:I12" si="0">(H5-D5)/D5</f>
        <v>1.3432601356619291</v>
      </c>
    </row>
    <row r="6" spans="3:9" x14ac:dyDescent="0.25">
      <c r="C6" s="478" t="str">
        <f>VAC_Optim_Scenario!B19</f>
        <v>HCC Social</v>
      </c>
      <c r="D6" s="479">
        <f>'Scenario deep dive'!C24</f>
        <v>1.873</v>
      </c>
      <c r="E6" s="479">
        <f>VAC_Optim_Scenario!G19/1000000</f>
        <v>1.5994999999999999</v>
      </c>
      <c r="F6" s="479">
        <f>VAC_Optim_Scenario!H19/1000000</f>
        <v>1.9495</v>
      </c>
      <c r="G6" s="483"/>
      <c r="H6" s="481">
        <f>'[10]Scenario deep dive'!F25</f>
        <v>1.8</v>
      </c>
      <c r="I6" s="482">
        <f t="shared" si="0"/>
        <v>-3.897490656700478E-2</v>
      </c>
    </row>
    <row r="7" spans="3:9" x14ac:dyDescent="0.25">
      <c r="C7" s="478" t="str">
        <f>VAC_Optim_Scenario!B20</f>
        <v>HCC Online Video</v>
      </c>
      <c r="D7" s="479">
        <f>'Scenario deep dive'!C25</f>
        <v>0.17307694000000001</v>
      </c>
      <c r="E7" s="479">
        <f>VAC_Optim_Scenario!G20/1000000</f>
        <v>0.5</v>
      </c>
      <c r="F7" s="479">
        <f>VAC_Optim_Scenario!H20/1000000</f>
        <v>1.2</v>
      </c>
      <c r="G7" s="483"/>
      <c r="H7" s="481">
        <f>'[10]Scenario deep dive'!F26</f>
        <v>1.1000000000000001</v>
      </c>
      <c r="I7" s="482">
        <f t="shared" si="0"/>
        <v>5.3555549341235169</v>
      </c>
    </row>
    <row r="8" spans="3:9" x14ac:dyDescent="0.25">
      <c r="C8" s="478" t="str">
        <f>VAC_Optim_Scenario!B21</f>
        <v>HCC Streaming Video</v>
      </c>
      <c r="D8" s="479">
        <f>'Scenario deep dive'!C26</f>
        <v>6.1801250000000003</v>
      </c>
      <c r="E8" s="479">
        <f>VAC_Optim_Scenario!G21/1000000</f>
        <v>6.4637140000000004</v>
      </c>
      <c r="F8" s="479">
        <f>VAC_Optim_Scenario!H21/1000000</f>
        <v>6.4637140000000004</v>
      </c>
      <c r="G8" s="483"/>
      <c r="H8" s="481">
        <f>'[10]Scenario deep dive'!F27</f>
        <v>9.4</v>
      </c>
      <c r="I8" s="482">
        <f t="shared" si="0"/>
        <v>0.52100483404461884</v>
      </c>
    </row>
    <row r="9" spans="3:9" x14ac:dyDescent="0.25">
      <c r="C9" s="478" t="str">
        <f>VAC_Optim_Scenario!B22</f>
        <v>HCC Display</v>
      </c>
      <c r="D9" s="479">
        <f>'Scenario deep dive'!C27</f>
        <v>1.64835737</v>
      </c>
      <c r="E9" s="479">
        <f>VAC_Optim_Scenario!G22/1000000</f>
        <v>1.5</v>
      </c>
      <c r="F9" s="479">
        <f>VAC_Optim_Scenario!H22/1000000</f>
        <v>2.1</v>
      </c>
      <c r="G9" s="483"/>
      <c r="H9" s="481">
        <f>'[10]Scenario deep dive'!F28</f>
        <v>2.9</v>
      </c>
      <c r="I9" s="482">
        <f t="shared" si="0"/>
        <v>0.75932722647395323</v>
      </c>
    </row>
    <row r="10" spans="3:9" x14ac:dyDescent="0.25">
      <c r="C10" s="478" t="str">
        <f>VAC_Optim_Scenario!B23</f>
        <v>HCC Paid Search</v>
      </c>
      <c r="D10" s="479">
        <f>'Scenario deep dive'!C28</f>
        <v>0.34470699999999999</v>
      </c>
      <c r="E10" s="479">
        <f>VAC_Optim_Scenario!G23/1000000</f>
        <v>0.3</v>
      </c>
      <c r="F10" s="479">
        <f>VAC_Optim_Scenario!H23/1000000</f>
        <v>0.39</v>
      </c>
      <c r="G10" s="483"/>
      <c r="H10" s="481">
        <f>'[10]Scenario deep dive'!F29</f>
        <v>0.15</v>
      </c>
      <c r="I10" s="482">
        <f t="shared" si="0"/>
        <v>-0.56484782728520166</v>
      </c>
    </row>
    <row r="11" spans="3:9" x14ac:dyDescent="0.25">
      <c r="C11" s="478" t="str">
        <f>VAC_Optim_Scenario!B24</f>
        <v>HCC Audio</v>
      </c>
      <c r="D11" s="479">
        <f>'Scenario deep dive'!C29</f>
        <v>1.4370484099999998</v>
      </c>
      <c r="E11" s="479">
        <f>VAC_Optim_Scenario!G24/1000000</f>
        <v>1.4</v>
      </c>
      <c r="F11" s="479">
        <f>VAC_Optim_Scenario!H24/1000000</f>
        <v>1.9</v>
      </c>
      <c r="G11" s="483"/>
      <c r="H11" s="481">
        <f>'[10]Scenario deep dive'!F30</f>
        <v>0.6644169243574567</v>
      </c>
      <c r="I11" s="482">
        <f t="shared" si="0"/>
        <v>-0.53765167566104699</v>
      </c>
    </row>
    <row r="12" spans="3:9" x14ac:dyDescent="0.25">
      <c r="C12" s="478" t="str">
        <f>VAC_Optim_Scenario!B25</f>
        <v>HCC TV</v>
      </c>
      <c r="D12" s="479">
        <f>'Scenario deep dive'!C30</f>
        <v>13.503524990000001</v>
      </c>
      <c r="E12" s="479">
        <f>VAC_Optim_Scenario!G25/1000000</f>
        <v>14.861789999999999</v>
      </c>
      <c r="F12" s="479">
        <f>VAC_Optim_Scenario!H25/1000000</f>
        <v>14.861789999999999</v>
      </c>
      <c r="G12" s="483"/>
      <c r="H12" s="481">
        <f>'[10]Scenario deep dive'!F31</f>
        <v>28.089210840000003</v>
      </c>
      <c r="I12" s="482">
        <f t="shared" si="0"/>
        <v>1.0801391385435575</v>
      </c>
    </row>
    <row r="13" spans="3:9" x14ac:dyDescent="0.25">
      <c r="C13" s="484" t="s">
        <v>300</v>
      </c>
      <c r="D13" s="485">
        <f>SUM(D4:D12)</f>
        <v>32.280505599999998</v>
      </c>
      <c r="E13" s="485">
        <f>SUM(E4:E12)</f>
        <v>33.025003999999996</v>
      </c>
      <c r="F13" s="485">
        <f>SUM(F4:F12)</f>
        <v>37.565004000000002</v>
      </c>
      <c r="G13" s="483"/>
      <c r="H13" s="486">
        <f>SUM(H4:H12)</f>
        <v>57.576092170455695</v>
      </c>
      <c r="I13" s="487">
        <f>(H13-D13)/D13</f>
        <v>0.78361804130031032</v>
      </c>
    </row>
  </sheetData>
  <mergeCells count="2">
    <mergeCell ref="D2:F2"/>
    <mergeCell ref="H2:I2"/>
  </mergeCells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0" zoomScale="90" zoomScaleNormal="90" workbookViewId="0">
      <selection activeCell="G17" sqref="G17:G25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04" t="s">
        <v>276</v>
      </c>
      <c r="C4" s="405"/>
      <c r="D4" s="405"/>
      <c r="E4" s="405"/>
      <c r="F4" s="405"/>
      <c r="G4" s="405"/>
      <c r="H4" s="405"/>
      <c r="I4" s="405"/>
    </row>
    <row r="5" spans="1:14" x14ac:dyDescent="0.2">
      <c r="A5" s="48" t="s">
        <v>79</v>
      </c>
      <c r="B5" s="1" t="s">
        <v>127</v>
      </c>
      <c r="E5" s="406" t="s">
        <v>50</v>
      </c>
      <c r="F5" s="407"/>
      <c r="G5" s="407"/>
      <c r="H5" s="407"/>
      <c r="I5" s="408"/>
    </row>
    <row r="6" spans="1:14" x14ac:dyDescent="0.2">
      <c r="A6" s="48" t="s">
        <v>80</v>
      </c>
      <c r="B6" s="1" t="s">
        <v>193</v>
      </c>
      <c r="E6" s="409" t="s">
        <v>51</v>
      </c>
      <c r="F6" s="410"/>
      <c r="G6" s="410"/>
      <c r="H6" s="410"/>
      <c r="I6" s="411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J26</f>
        <v>1089397.2019400175</v>
      </c>
    </row>
    <row r="10" spans="1:14" ht="13.5" thickBot="1" x14ac:dyDescent="0.25">
      <c r="A10" s="50"/>
      <c r="B10" s="1">
        <v>1.0230634057974606</v>
      </c>
      <c r="E10" s="1" t="s">
        <v>94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33025004</v>
      </c>
      <c r="C12" s="159">
        <f>B12*E12</f>
        <v>0</v>
      </c>
      <c r="D12" s="159">
        <f>B12*F12</f>
        <v>33025004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248355760.34442478</v>
      </c>
      <c r="M13" s="113">
        <f>J44</f>
        <v>246138403.80632758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2">
      <c r="A15" s="396" t="s">
        <v>2</v>
      </c>
      <c r="B15" s="398" t="s">
        <v>3</v>
      </c>
      <c r="C15" s="398" t="s">
        <v>38</v>
      </c>
      <c r="D15" s="398" t="s">
        <v>128</v>
      </c>
      <c r="E15" s="412" t="s">
        <v>86</v>
      </c>
      <c r="F15" s="414"/>
      <c r="G15" s="399" t="s">
        <v>131</v>
      </c>
      <c r="H15" s="400"/>
      <c r="I15" s="399" t="s">
        <v>89</v>
      </c>
      <c r="J15" s="400"/>
      <c r="K15" s="412" t="s">
        <v>90</v>
      </c>
      <c r="L15" s="413"/>
      <c r="M15" s="413"/>
      <c r="N15" s="414"/>
    </row>
    <row r="16" spans="1:14" ht="25.5" x14ac:dyDescent="0.2">
      <c r="A16" s="397"/>
      <c r="B16" s="397"/>
      <c r="C16" s="397"/>
      <c r="D16" s="397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1755293</v>
      </c>
      <c r="F17" s="316">
        <f>GINOFF!I9</f>
        <v>34079.723304951563</v>
      </c>
      <c r="G17" s="329">
        <v>1000000</v>
      </c>
      <c r="H17" s="329">
        <v>1700000</v>
      </c>
      <c r="I17" s="330">
        <v>1000000</v>
      </c>
      <c r="J17" s="317">
        <f>GINOFF!F9</f>
        <v>22310.299479529262</v>
      </c>
      <c r="K17" s="318">
        <f>I17-E17</f>
        <v>-755293</v>
      </c>
      <c r="L17" s="318">
        <f>J17-F17</f>
        <v>-11769.423825422302</v>
      </c>
      <c r="M17" s="319">
        <f>K17/E17</f>
        <v>-0.43029454341810741</v>
      </c>
      <c r="N17" s="319">
        <f>L17/F17</f>
        <v>-0.34534974712404076</v>
      </c>
      <c r="O17" s="352">
        <f>E17/F17</f>
        <v>51.50549446347668</v>
      </c>
      <c r="P17" s="308">
        <f>G17/1000000</f>
        <v>1</v>
      </c>
      <c r="Q17" s="308">
        <f>H17/1000000</f>
        <v>1.7</v>
      </c>
    </row>
    <row r="18" spans="1:17" x14ac:dyDescent="0.2">
      <c r="A18" s="289" t="s">
        <v>173</v>
      </c>
      <c r="B18" s="307" t="s">
        <v>225</v>
      </c>
      <c r="C18" s="54" t="s">
        <v>129</v>
      </c>
      <c r="D18" s="320">
        <v>1</v>
      </c>
      <c r="E18" s="327">
        <v>5365372.8900000006</v>
      </c>
      <c r="F18" s="321">
        <f>GMCM!I9</f>
        <v>282596.87941192184</v>
      </c>
      <c r="G18" s="331">
        <v>5400000</v>
      </c>
      <c r="H18" s="331">
        <v>7000000</v>
      </c>
      <c r="I18" s="332">
        <v>5400000</v>
      </c>
      <c r="J18" s="322">
        <f>GMCM!F9</f>
        <v>283838.37274381984</v>
      </c>
      <c r="K18" s="323">
        <f>I18-E18</f>
        <v>34627.109999999404</v>
      </c>
      <c r="L18" s="323">
        <f t="shared" ref="L18" si="0">J18-F18</f>
        <v>1241.4933318980038</v>
      </c>
      <c r="M18" s="324">
        <f>K18/E18</f>
        <v>6.4538123835786929E-3</v>
      </c>
      <c r="N18" s="324">
        <f t="shared" ref="N18:N24" si="1">L18/F18</f>
        <v>4.3931600889632093E-3</v>
      </c>
      <c r="O18" s="352">
        <f t="shared" ref="O18:O25" si="2">E18/F18</f>
        <v>18.98595943863651</v>
      </c>
      <c r="P18" s="308">
        <f t="shared" ref="P18:Q25" si="3">G18/1000000</f>
        <v>5.4</v>
      </c>
      <c r="Q18" s="308">
        <f t="shared" si="3"/>
        <v>7</v>
      </c>
    </row>
    <row r="19" spans="1:17" s="98" customFormat="1" x14ac:dyDescent="0.2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1873000</v>
      </c>
      <c r="F19" s="321">
        <f>GSOC!I9</f>
        <v>71243.17418511775</v>
      </c>
      <c r="G19" s="331">
        <v>1599500</v>
      </c>
      <c r="H19" s="331">
        <v>1949500</v>
      </c>
      <c r="I19" s="332">
        <v>1599500</v>
      </c>
      <c r="J19" s="322">
        <f>GSOC!F9</f>
        <v>64805.391873188775</v>
      </c>
      <c r="K19" s="323">
        <f t="shared" ref="K19:K25" si="4">I19-E19</f>
        <v>-273500</v>
      </c>
      <c r="L19" s="323">
        <f t="shared" ref="L19:L25" si="5">J19-F19</f>
        <v>-6437.7823119289751</v>
      </c>
      <c r="M19" s="324">
        <f t="shared" ref="M19:M25" si="6">K19/E19</f>
        <v>-0.14602242391884676</v>
      </c>
      <c r="N19" s="324">
        <f t="shared" si="1"/>
        <v>-9.0363496370909693E-2</v>
      </c>
      <c r="O19" s="352">
        <f t="shared" si="2"/>
        <v>26.290237926979646</v>
      </c>
      <c r="P19" s="308">
        <f t="shared" si="3"/>
        <v>1.5994999999999999</v>
      </c>
      <c r="Q19" s="308">
        <f t="shared" si="3"/>
        <v>1.9495</v>
      </c>
    </row>
    <row r="20" spans="1:17" s="98" customFormat="1" x14ac:dyDescent="0.2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173076.94</v>
      </c>
      <c r="F20" s="321">
        <f>GOLV!I9</f>
        <v>7568.2941111773252</v>
      </c>
      <c r="G20" s="331">
        <v>500000</v>
      </c>
      <c r="H20" s="331">
        <v>1200000</v>
      </c>
      <c r="I20" s="332">
        <v>500000</v>
      </c>
      <c r="J20" s="322">
        <f>GOLV!F9</f>
        <v>13095.1080400832</v>
      </c>
      <c r="K20" s="323">
        <f t="shared" si="4"/>
        <v>326923.06</v>
      </c>
      <c r="L20" s="323">
        <f t="shared" si="5"/>
        <v>5526.8139289058745</v>
      </c>
      <c r="M20" s="324">
        <f t="shared" si="6"/>
        <v>1.8888886064197807</v>
      </c>
      <c r="N20" s="324">
        <f t="shared" si="1"/>
        <v>0.73025887309843485</v>
      </c>
      <c r="O20" s="352">
        <f t="shared" si="2"/>
        <v>22.868685790684225</v>
      </c>
      <c r="P20" s="308">
        <f t="shared" si="3"/>
        <v>0.5</v>
      </c>
      <c r="Q20" s="308">
        <f t="shared" si="3"/>
        <v>1.2</v>
      </c>
    </row>
    <row r="21" spans="1:17" s="98" customFormat="1" x14ac:dyDescent="0.2">
      <c r="A21" s="289" t="s">
        <v>173</v>
      </c>
      <c r="B21" s="307" t="s">
        <v>246</v>
      </c>
      <c r="C21" s="54" t="s">
        <v>167</v>
      </c>
      <c r="D21" s="320">
        <v>1</v>
      </c>
      <c r="E21" s="327">
        <v>6180125</v>
      </c>
      <c r="F21" s="321">
        <f>GSTRV!H9</f>
        <v>144657.20917756393</v>
      </c>
      <c r="G21" s="331">
        <v>6463714</v>
      </c>
      <c r="H21" s="331">
        <v>6463714</v>
      </c>
      <c r="I21" s="332">
        <v>6463714</v>
      </c>
      <c r="J21" s="322">
        <f>GSTRV!F9</f>
        <v>149272.39229083114</v>
      </c>
      <c r="K21" s="323">
        <f t="shared" si="4"/>
        <v>283589</v>
      </c>
      <c r="L21" s="323">
        <f t="shared" si="5"/>
        <v>4615.1831132672087</v>
      </c>
      <c r="M21" s="324">
        <f t="shared" si="6"/>
        <v>4.5887259561902066E-2</v>
      </c>
      <c r="N21" s="324">
        <f t="shared" si="1"/>
        <v>3.1904273139973002E-2</v>
      </c>
      <c r="O21" s="352">
        <f t="shared" si="2"/>
        <v>42.722551023461378</v>
      </c>
      <c r="P21" s="308">
        <f t="shared" si="3"/>
        <v>6.4637140000000004</v>
      </c>
      <c r="Q21" s="308">
        <f t="shared" si="3"/>
        <v>6.4637140000000004</v>
      </c>
    </row>
    <row r="22" spans="1:17" s="98" customFormat="1" x14ac:dyDescent="0.2">
      <c r="A22" s="289" t="s">
        <v>173</v>
      </c>
      <c r="B22" s="307" t="s">
        <v>227</v>
      </c>
      <c r="C22" s="54" t="s">
        <v>129</v>
      </c>
      <c r="D22" s="320">
        <v>1</v>
      </c>
      <c r="E22" s="327">
        <v>1648357.37</v>
      </c>
      <c r="F22" s="321">
        <f>GDISP!I9</f>
        <v>104116.36986385845</v>
      </c>
      <c r="G22" s="331">
        <v>1500000</v>
      </c>
      <c r="H22" s="331">
        <v>2100000</v>
      </c>
      <c r="I22" s="332">
        <v>1500000</v>
      </c>
      <c r="J22" s="322">
        <f>GDISP!F9</f>
        <v>96729.945919783786</v>
      </c>
      <c r="K22" s="323">
        <f t="shared" si="4"/>
        <v>-148357.37000000011</v>
      </c>
      <c r="L22" s="323">
        <f t="shared" si="5"/>
        <v>-7386.4239440746605</v>
      </c>
      <c r="M22" s="324">
        <f t="shared" si="6"/>
        <v>-9.0003158720369056E-2</v>
      </c>
      <c r="N22" s="324">
        <f t="shared" si="1"/>
        <v>-7.0943925088178511E-2</v>
      </c>
      <c r="O22" s="352">
        <f t="shared" si="2"/>
        <v>15.831875161949808</v>
      </c>
      <c r="P22" s="308">
        <f t="shared" si="3"/>
        <v>1.5</v>
      </c>
      <c r="Q22" s="308">
        <f t="shared" si="3"/>
        <v>2.1</v>
      </c>
    </row>
    <row r="23" spans="1:17" s="98" customFormat="1" x14ac:dyDescent="0.2">
      <c r="A23" s="289" t="s">
        <v>173</v>
      </c>
      <c r="B23" s="307" t="s">
        <v>228</v>
      </c>
      <c r="C23" s="54" t="s">
        <v>167</v>
      </c>
      <c r="D23" s="320">
        <v>1</v>
      </c>
      <c r="E23" s="327">
        <v>344707</v>
      </c>
      <c r="F23" s="321">
        <f>GSEARCH!I9</f>
        <v>130694.08808973072</v>
      </c>
      <c r="G23" s="331">
        <v>300000</v>
      </c>
      <c r="H23" s="331">
        <v>390000</v>
      </c>
      <c r="I23" s="332">
        <v>300000</v>
      </c>
      <c r="J23" s="322">
        <f>GSEARCH!F9</f>
        <v>118583.90541759932</v>
      </c>
      <c r="K23" s="323">
        <f t="shared" si="4"/>
        <v>-44707</v>
      </c>
      <c r="L23" s="323">
        <f t="shared" si="5"/>
        <v>-12110.182672131399</v>
      </c>
      <c r="M23" s="324">
        <f t="shared" si="6"/>
        <v>-0.12969565457040327</v>
      </c>
      <c r="N23" s="324">
        <f t="shared" si="1"/>
        <v>-9.266052389314583E-2</v>
      </c>
      <c r="O23" s="352">
        <f t="shared" si="2"/>
        <v>2.6375102733287696</v>
      </c>
      <c r="P23" s="308">
        <f t="shared" si="3"/>
        <v>0.3</v>
      </c>
      <c r="Q23" s="308">
        <f t="shared" si="3"/>
        <v>0.39</v>
      </c>
    </row>
    <row r="24" spans="1:17" x14ac:dyDescent="0.2">
      <c r="A24" s="289" t="s">
        <v>173</v>
      </c>
      <c r="B24" s="307" t="s">
        <v>287</v>
      </c>
      <c r="C24" s="54" t="s">
        <v>167</v>
      </c>
      <c r="D24" s="320">
        <v>1</v>
      </c>
      <c r="E24" s="327">
        <v>1437048.41</v>
      </c>
      <c r="F24" s="321">
        <f>GRADIO!I9</f>
        <v>70569.092436493243</v>
      </c>
      <c r="G24" s="331">
        <v>1400000</v>
      </c>
      <c r="H24" s="331">
        <v>1900000</v>
      </c>
      <c r="I24" s="332">
        <v>1400000</v>
      </c>
      <c r="J24" s="322">
        <f>GRADIO!F9</f>
        <v>69471.794076517137</v>
      </c>
      <c r="K24" s="323">
        <f t="shared" si="4"/>
        <v>-37048.409999999916</v>
      </c>
      <c r="L24" s="323">
        <f t="shared" si="5"/>
        <v>-1097.2983599761064</v>
      </c>
      <c r="M24" s="324">
        <f t="shared" si="6"/>
        <v>-2.5780906016937815E-2</v>
      </c>
      <c r="N24" s="324">
        <f t="shared" si="1"/>
        <v>-1.5549276915578737E-2</v>
      </c>
      <c r="O24" s="352">
        <f t="shared" si="2"/>
        <v>20.363708252210174</v>
      </c>
      <c r="P24" s="308">
        <f t="shared" si="3"/>
        <v>1.4</v>
      </c>
      <c r="Q24" s="308">
        <f t="shared" si="3"/>
        <v>1.9</v>
      </c>
    </row>
    <row r="25" spans="1:17" s="98" customFormat="1" x14ac:dyDescent="0.2">
      <c r="A25" s="289" t="s">
        <v>173</v>
      </c>
      <c r="B25" s="307" t="s">
        <v>187</v>
      </c>
      <c r="C25" s="54" t="s">
        <v>167</v>
      </c>
      <c r="D25" s="320">
        <v>1</v>
      </c>
      <c r="E25" s="327">
        <v>13503524.99</v>
      </c>
      <c r="F25" s="321">
        <f>GTV!I9</f>
        <v>253686.28893952153</v>
      </c>
      <c r="G25" s="355">
        <v>14861790</v>
      </c>
      <c r="H25" s="355">
        <v>14861790</v>
      </c>
      <c r="I25" s="332">
        <v>14861790</v>
      </c>
      <c r="J25" s="322">
        <f>GTV!F9</f>
        <v>271289.99209866516</v>
      </c>
      <c r="K25" s="323">
        <f t="shared" si="4"/>
        <v>1358265.0099999998</v>
      </c>
      <c r="L25" s="323">
        <f t="shared" si="5"/>
        <v>17603.703159143624</v>
      </c>
      <c r="M25" s="324">
        <f t="shared" si="6"/>
        <v>0.10058595892597373</v>
      </c>
      <c r="N25" s="324">
        <f t="shared" ref="N25" si="7">L25/F25</f>
        <v>6.9391622356619845E-2</v>
      </c>
      <c r="O25" s="352">
        <f t="shared" si="2"/>
        <v>53.229226721114685</v>
      </c>
      <c r="P25" s="308">
        <f t="shared" si="3"/>
        <v>14.861789999999999</v>
      </c>
      <c r="Q25" s="308">
        <f t="shared" si="3"/>
        <v>14.861789999999999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32280505.600000001</v>
      </c>
      <c r="F26" s="334">
        <f t="shared" ref="F26:L26" si="8">SUM(F17:F25)</f>
        <v>1099211.1195203364</v>
      </c>
      <c r="G26" s="333">
        <f t="shared" si="8"/>
        <v>33025004</v>
      </c>
      <c r="H26" s="333">
        <f t="shared" si="8"/>
        <v>37565004</v>
      </c>
      <c r="I26" s="333">
        <f t="shared" si="8"/>
        <v>33025004</v>
      </c>
      <c r="J26" s="334">
        <f t="shared" si="8"/>
        <v>1089397.2019400175</v>
      </c>
      <c r="K26" s="333">
        <f t="shared" si="8"/>
        <v>744498.39999999921</v>
      </c>
      <c r="L26" s="165">
        <f t="shared" si="8"/>
        <v>-9813.9175803187318</v>
      </c>
      <c r="M26" s="166">
        <f>K26/E26</f>
        <v>2.3063405797460593E-2</v>
      </c>
      <c r="N26" s="166">
        <f>L26/F26</f>
        <v>-8.9281462005235523E-3</v>
      </c>
    </row>
    <row r="27" spans="1:17" x14ac:dyDescent="0.2">
      <c r="E27" s="113"/>
    </row>
    <row r="29" spans="1:17" x14ac:dyDescent="0.2">
      <c r="J29" s="342"/>
      <c r="K29" s="87"/>
    </row>
    <row r="30" spans="1:17" s="98" customFormat="1" x14ac:dyDescent="0.2">
      <c r="D30" s="419" t="s">
        <v>154</v>
      </c>
      <c r="E30" s="419"/>
      <c r="F30" s="419"/>
      <c r="G30" s="419"/>
      <c r="H30" s="419"/>
      <c r="I30" s="419"/>
      <c r="J30" s="418"/>
      <c r="K30" s="418"/>
      <c r="L30" s="418"/>
      <c r="M30" s="418"/>
      <c r="N30" s="418"/>
      <c r="O30" s="418"/>
      <c r="P30" s="134"/>
    </row>
    <row r="31" spans="1:17" ht="51" x14ac:dyDescent="0.2">
      <c r="A31" s="421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21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20" t="s">
        <v>2</v>
      </c>
      <c r="B33" s="398" t="s">
        <v>3</v>
      </c>
      <c r="C33" s="398" t="str">
        <f t="shared" ref="C33:C43" si="9">D15</f>
        <v>Response Scaling Factor for Sensitivity Analysis</v>
      </c>
      <c r="D33" s="415" t="s">
        <v>86</v>
      </c>
      <c r="E33" s="416"/>
      <c r="F33" s="416"/>
      <c r="G33" s="417"/>
      <c r="H33" s="402" t="s">
        <v>89</v>
      </c>
      <c r="I33" s="403"/>
      <c r="J33" s="403"/>
      <c r="K33" s="415" t="s">
        <v>136</v>
      </c>
      <c r="L33" s="416"/>
      <c r="M33" s="416"/>
      <c r="N33" s="417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397"/>
      <c r="B34" s="397"/>
      <c r="C34" s="397">
        <f t="shared" si="9"/>
        <v>0</v>
      </c>
      <c r="D34" s="93" t="s">
        <v>267</v>
      </c>
      <c r="E34" s="93" t="s">
        <v>133</v>
      </c>
      <c r="F34" s="93" t="s">
        <v>134</v>
      </c>
      <c r="G34" s="93" t="s">
        <v>146</v>
      </c>
      <c r="H34" s="55" t="s">
        <v>268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1755293</v>
      </c>
      <c r="E35" s="269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6">
        <f>(J35-G35)/1000000</f>
        <v>-2.6591836191159142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5365372.8900000006</v>
      </c>
      <c r="E36" s="270" t="s">
        <v>166</v>
      </c>
      <c r="F36" s="102">
        <f t="shared" si="12"/>
        <v>282596.87941192184</v>
      </c>
      <c r="G36" s="104">
        <f t="shared" ref="G36:G43" si="14">F36*$F$32</f>
        <v>63849938.934329621</v>
      </c>
      <c r="H36" s="106">
        <f t="shared" si="13"/>
        <v>5400000</v>
      </c>
      <c r="I36" s="102">
        <f t="shared" ref="I36:I43" si="15">J18/$D$32</f>
        <v>283838.37274381984</v>
      </c>
      <c r="J36" s="108">
        <f t="shared" ref="J36" si="16">I36*$F$32</f>
        <v>64130441.937738657</v>
      </c>
      <c r="K36" s="100">
        <f t="shared" ref="K36" si="17">H36-D36</f>
        <v>34627.109999999404</v>
      </c>
      <c r="L36" s="100">
        <f t="shared" ref="L36" si="18">J36-G36</f>
        <v>280503.0034090355</v>
      </c>
      <c r="M36" s="111">
        <f t="shared" ref="M36" si="19">K36/D36</f>
        <v>6.4538123835786929E-3</v>
      </c>
      <c r="N36" s="112">
        <f t="shared" ref="N36" si="20">L36/G36</f>
        <v>4.3931600889632171E-3</v>
      </c>
      <c r="O36" s="148"/>
      <c r="P36" s="336">
        <f t="shared" ref="P36:P43" si="21">(J36-G36)/1000000</f>
        <v>0.2805030034090355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1873000</v>
      </c>
      <c r="E37" s="270" t="s">
        <v>166</v>
      </c>
      <c r="F37" s="102">
        <f t="shared" si="12"/>
        <v>71243.17418511775</v>
      </c>
      <c r="G37" s="104">
        <f t="shared" si="14"/>
        <v>16096682.775385505</v>
      </c>
      <c r="H37" s="106">
        <f t="shared" si="13"/>
        <v>1599500</v>
      </c>
      <c r="I37" s="102">
        <f t="shared" si="15"/>
        <v>64805.391873188775</v>
      </c>
      <c r="J37" s="108">
        <f t="shared" ref="J37:J43" si="22">I37*$F$32</f>
        <v>14642130.239828272</v>
      </c>
      <c r="K37" s="100">
        <f t="shared" ref="K37:K43" si="23">H37-D37</f>
        <v>-273500</v>
      </c>
      <c r="L37" s="100">
        <f t="shared" ref="L37:L43" si="24">J37-G37</f>
        <v>-1454552.5355572328</v>
      </c>
      <c r="M37" s="111">
        <f t="shared" ref="M37:M43" si="25">K37/D37</f>
        <v>-0.14602242391884676</v>
      </c>
      <c r="N37" s="112">
        <f t="shared" ref="N37:N43" si="26">L37/G37</f>
        <v>-9.0363496370909707E-2</v>
      </c>
      <c r="O37" s="148"/>
      <c r="P37" s="336">
        <f t="shared" si="21"/>
        <v>-1.4545525355572329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173076.94</v>
      </c>
      <c r="E38" s="270" t="s">
        <v>166</v>
      </c>
      <c r="F38" s="102">
        <f t="shared" si="12"/>
        <v>7568.2941111773252</v>
      </c>
      <c r="G38" s="104">
        <f t="shared" si="14"/>
        <v>1709980.3714794049</v>
      </c>
      <c r="H38" s="106">
        <f t="shared" si="13"/>
        <v>500000</v>
      </c>
      <c r="I38" s="102">
        <f t="shared" si="15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6">
        <f t="shared" si="21"/>
        <v>1.2487283390969934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6180125</v>
      </c>
      <c r="E39" s="270" t="s">
        <v>166</v>
      </c>
      <c r="F39" s="102">
        <f t="shared" si="12"/>
        <v>144657.20917756393</v>
      </c>
      <c r="G39" s="104">
        <f t="shared" si="14"/>
        <v>32683849.841578793</v>
      </c>
      <c r="H39" s="106">
        <f t="shared" si="13"/>
        <v>6463714</v>
      </c>
      <c r="I39" s="102">
        <f t="shared" si="15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6">
        <f t="shared" si="21"/>
        <v>1.0427544726115949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1648357.37</v>
      </c>
      <c r="E40" s="270" t="s">
        <v>166</v>
      </c>
      <c r="F40" s="102">
        <f t="shared" si="12"/>
        <v>104116.36986385845</v>
      </c>
      <c r="G40" s="104">
        <f t="shared" si="14"/>
        <v>23524052.607040178</v>
      </c>
      <c r="H40" s="106">
        <f t="shared" si="13"/>
        <v>1500000</v>
      </c>
      <c r="I40" s="102">
        <f t="shared" si="15"/>
        <v>96729.945919783786</v>
      </c>
      <c r="J40" s="108">
        <f t="shared" si="22"/>
        <v>21855163.981115948</v>
      </c>
      <c r="K40" s="100">
        <f t="shared" si="23"/>
        <v>-148357.37000000011</v>
      </c>
      <c r="L40" s="100">
        <f t="shared" si="24"/>
        <v>-1668888.6259242296</v>
      </c>
      <c r="M40" s="111">
        <f t="shared" si="25"/>
        <v>-9.0003158720369056E-2</v>
      </c>
      <c r="N40" s="112">
        <f t="shared" si="26"/>
        <v>-7.0943925088178553E-2</v>
      </c>
      <c r="O40" s="148"/>
      <c r="P40" s="336">
        <f t="shared" si="21"/>
        <v>-1.6688886259242297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344707</v>
      </c>
      <c r="E41" s="270" t="s">
        <v>166</v>
      </c>
      <c r="F41" s="102">
        <f t="shared" si="12"/>
        <v>130694.08808973072</v>
      </c>
      <c r="G41" s="104">
        <f t="shared" si="14"/>
        <v>29529022.26299376</v>
      </c>
      <c r="H41" s="106">
        <f t="shared" si="13"/>
        <v>300000</v>
      </c>
      <c r="I41" s="102">
        <f t="shared" si="15"/>
        <v>118583.90541759932</v>
      </c>
      <c r="J41" s="108">
        <f t="shared" si="22"/>
        <v>26792847.590052392</v>
      </c>
      <c r="K41" s="100">
        <f t="shared" si="23"/>
        <v>-44707</v>
      </c>
      <c r="L41" s="100">
        <f t="shared" si="24"/>
        <v>-2736174.6729413681</v>
      </c>
      <c r="M41" s="111">
        <f t="shared" si="25"/>
        <v>-0.12969565457040327</v>
      </c>
      <c r="N41" s="112">
        <f t="shared" si="26"/>
        <v>-9.2660523893145816E-2</v>
      </c>
      <c r="O41" s="148"/>
      <c r="P41" s="336">
        <f t="shared" si="21"/>
        <v>-2.7361746729413681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1437048.41</v>
      </c>
      <c r="E42" s="270" t="s">
        <v>166</v>
      </c>
      <c r="F42" s="102">
        <f t="shared" si="12"/>
        <v>70569.092436493243</v>
      </c>
      <c r="G42" s="104">
        <f t="shared" si="14"/>
        <v>15944380.745101282</v>
      </c>
      <c r="H42" s="106">
        <f t="shared" si="13"/>
        <v>1400000</v>
      </c>
      <c r="I42" s="102">
        <f t="shared" si="15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6">
        <f t="shared" si="21"/>
        <v>-0.24792359145300091</v>
      </c>
    </row>
    <row r="43" spans="1:22" s="98" customFormat="1" x14ac:dyDescent="0.2">
      <c r="A43" s="253" t="str">
        <f>A25</f>
        <v>Gardasil Adolescents</v>
      </c>
      <c r="B43" s="253" t="str">
        <f>B25</f>
        <v>HCC TV</v>
      </c>
      <c r="C43" s="320">
        <f t="shared" si="9"/>
        <v>1</v>
      </c>
      <c r="D43" s="100">
        <f t="shared" si="11"/>
        <v>13503524.99</v>
      </c>
      <c r="E43" s="270" t="s">
        <v>166</v>
      </c>
      <c r="F43" s="102">
        <f t="shared" si="12"/>
        <v>253686.28893952153</v>
      </c>
      <c r="G43" s="104">
        <f t="shared" si="14"/>
        <v>57317880.122995496</v>
      </c>
      <c r="H43" s="106">
        <f t="shared" si="13"/>
        <v>14861790</v>
      </c>
      <c r="I43" s="102">
        <f t="shared" si="15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6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5"/>
      <c r="D44" s="131">
        <f>SUM(D35:D43)</f>
        <v>32280505.600000001</v>
      </c>
      <c r="E44" s="271"/>
      <c r="F44" s="130">
        <f>SUM(F35:F43)</f>
        <v>1099211.1195203364</v>
      </c>
      <c r="G44" s="131">
        <f>SUM(G35:G43)</f>
        <v>248355760.34442478</v>
      </c>
      <c r="H44" s="131">
        <f>SUM(H35:H43)</f>
        <v>33025004</v>
      </c>
      <c r="I44" s="130">
        <f>SUM(I35:I43)</f>
        <v>1089397.2019400175</v>
      </c>
      <c r="J44" s="131">
        <f>SUM(J35:J43)</f>
        <v>246138403.80632758</v>
      </c>
      <c r="K44" s="131">
        <f t="shared" ref="K44" si="27">H44-D44</f>
        <v>744498.39999999851</v>
      </c>
      <c r="L44" s="131">
        <f t="shared" ref="L44" si="28">J44-G44</f>
        <v>-2217356.5380972028</v>
      </c>
      <c r="M44" s="129">
        <f t="shared" ref="M44" si="29">K44/D44</f>
        <v>2.3063405797460572E-2</v>
      </c>
      <c r="N44" s="132">
        <f t="shared" ref="N44" si="30">L44/G44</f>
        <v>-8.9281462005235072E-3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4"/>
    </row>
    <row r="51" spans="4:14" x14ac:dyDescent="0.2">
      <c r="E51" s="274"/>
      <c r="F51" s="354"/>
    </row>
    <row r="52" spans="4:14" x14ac:dyDescent="0.2">
      <c r="E52" s="274"/>
      <c r="F52" s="354"/>
    </row>
    <row r="53" spans="4:14" x14ac:dyDescent="0.2">
      <c r="E53" s="274"/>
      <c r="F53" s="354"/>
    </row>
    <row r="54" spans="4:14" x14ac:dyDescent="0.2">
      <c r="E54" s="274"/>
      <c r="F54" s="354"/>
    </row>
    <row r="55" spans="4:14" x14ac:dyDescent="0.2">
      <c r="E55" s="274"/>
      <c r="F55" s="354"/>
    </row>
    <row r="56" spans="4:14" x14ac:dyDescent="0.2">
      <c r="F56" s="354"/>
    </row>
    <row r="57" spans="4:14" x14ac:dyDescent="0.2">
      <c r="F57" s="354"/>
    </row>
    <row r="58" spans="4:14" x14ac:dyDescent="0.2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C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2" t="s">
        <v>106</v>
      </c>
      <c r="C4" s="422"/>
      <c r="D4" s="422"/>
      <c r="E4" s="422"/>
      <c r="F4" s="423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24" t="s">
        <v>8</v>
      </c>
      <c r="B7" s="427" t="s">
        <v>9</v>
      </c>
      <c r="C7" s="428"/>
      <c r="D7" s="429" t="s">
        <v>12</v>
      </c>
      <c r="E7" s="430"/>
      <c r="F7" s="431"/>
      <c r="G7" s="427" t="s">
        <v>124</v>
      </c>
      <c r="H7" s="427"/>
      <c r="I7" s="432"/>
      <c r="J7" s="98" t="s">
        <v>125</v>
      </c>
    </row>
    <row r="8" spans="1:18" ht="28.15" customHeight="1" x14ac:dyDescent="0.2">
      <c r="A8" s="42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26"/>
      <c r="B9" s="95">
        <f>VAC_Optim_Scenario!G17</f>
        <v>1000000</v>
      </c>
      <c r="C9" s="95">
        <f>VAC_Optim_Scenario!H17</f>
        <v>1700000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2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26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34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35" t="s">
        <v>180</v>
      </c>
      <c r="B13" s="436"/>
      <c r="C13" s="436"/>
      <c r="D13" s="436"/>
      <c r="E13" s="436"/>
      <c r="F13" s="437"/>
      <c r="G13" s="119" t="s">
        <v>150</v>
      </c>
      <c r="H13" s="119" t="s">
        <v>151</v>
      </c>
      <c r="K13" s="435" t="s">
        <v>115</v>
      </c>
      <c r="L13" s="436"/>
      <c r="M13" s="436"/>
      <c r="N13" s="436"/>
      <c r="O13" s="436"/>
      <c r="P13" s="436"/>
      <c r="Q13" s="436"/>
      <c r="R13" s="437"/>
    </row>
    <row r="14" spans="1:18" ht="33.6" customHeight="1" thickBot="1" x14ac:dyDescent="0.25">
      <c r="A14" s="438"/>
      <c r="B14" s="439"/>
      <c r="C14" s="439"/>
      <c r="D14" s="439"/>
      <c r="E14" s="439"/>
      <c r="F14" s="440"/>
      <c r="G14" s="95">
        <f>VAC_Optim_Scenario!$I$32</f>
        <v>225.94</v>
      </c>
      <c r="H14" s="95">
        <f>VAC_Optim_Scenario!$F$32</f>
        <v>225.94</v>
      </c>
      <c r="K14" s="438"/>
      <c r="L14" s="439"/>
      <c r="M14" s="439"/>
      <c r="N14" s="439"/>
      <c r="O14" s="439"/>
      <c r="P14" s="439"/>
      <c r="Q14" s="439"/>
      <c r="R14" s="440"/>
    </row>
    <row r="16" spans="1:18" ht="13.5" thickBot="1" x14ac:dyDescent="0.25"/>
    <row r="17" spans="1:8" ht="42.6" customHeight="1" x14ac:dyDescent="0.2">
      <c r="A17" s="43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4"/>
      <c r="B18" s="75">
        <v>0</v>
      </c>
      <c r="C18" s="76">
        <v>4000000</v>
      </c>
      <c r="D18" s="26">
        <v>20</v>
      </c>
    </row>
    <row r="20" spans="1:8" x14ac:dyDescent="0.2">
      <c r="A20" s="421" t="s">
        <v>37</v>
      </c>
      <c r="B20" s="421"/>
      <c r="C20" s="421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2" t="s">
        <v>106</v>
      </c>
      <c r="C4" s="422"/>
      <c r="D4" s="422"/>
      <c r="E4" s="422"/>
      <c r="F4" s="423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24" t="s">
        <v>8</v>
      </c>
      <c r="B7" s="427" t="s">
        <v>9</v>
      </c>
      <c r="C7" s="428"/>
      <c r="D7" s="429" t="s">
        <v>12</v>
      </c>
      <c r="E7" s="430"/>
      <c r="F7" s="431"/>
      <c r="G7" s="427" t="s">
        <v>124</v>
      </c>
      <c r="H7" s="427"/>
      <c r="I7" s="432"/>
      <c r="J7" s="98" t="s">
        <v>125</v>
      </c>
    </row>
    <row r="8" spans="1:18" ht="28.15" customHeight="1" x14ac:dyDescent="0.2">
      <c r="A8" s="42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26"/>
      <c r="B9" s="95">
        <f>VAC_Optim_Scenario!G18</f>
        <v>5400000</v>
      </c>
      <c r="C9" s="95">
        <f>VAC_Optim_Scenario!H18</f>
        <v>7000000</v>
      </c>
      <c r="D9" s="68">
        <f>VAC_Optim_Scenario!I18</f>
        <v>5400000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2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26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34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35" t="s">
        <v>185</v>
      </c>
      <c r="B13" s="436"/>
      <c r="C13" s="436"/>
      <c r="D13" s="436"/>
      <c r="E13" s="436"/>
      <c r="F13" s="437"/>
      <c r="G13" s="119" t="s">
        <v>150</v>
      </c>
      <c r="H13" s="119" t="s">
        <v>151</v>
      </c>
      <c r="K13" s="435" t="s">
        <v>115</v>
      </c>
      <c r="L13" s="436"/>
      <c r="M13" s="436"/>
      <c r="N13" s="436"/>
      <c r="O13" s="436"/>
      <c r="P13" s="436"/>
      <c r="Q13" s="436"/>
      <c r="R13" s="437"/>
    </row>
    <row r="14" spans="1:18" ht="33.6" customHeight="1" thickBot="1" x14ac:dyDescent="0.25">
      <c r="A14" s="438"/>
      <c r="B14" s="439"/>
      <c r="C14" s="439"/>
      <c r="D14" s="439"/>
      <c r="E14" s="439"/>
      <c r="F14" s="440"/>
      <c r="G14" s="95">
        <f>VAC_Optim_Scenario!$I$32</f>
        <v>225.94</v>
      </c>
      <c r="H14" s="95">
        <f>VAC_Optim_Scenario!$F$32</f>
        <v>225.94</v>
      </c>
      <c r="K14" s="438"/>
      <c r="L14" s="439"/>
      <c r="M14" s="439"/>
      <c r="N14" s="439"/>
      <c r="O14" s="439"/>
      <c r="P14" s="439"/>
      <c r="Q14" s="439"/>
      <c r="R14" s="440"/>
    </row>
    <row r="16" spans="1:18" ht="13.5" thickBot="1" x14ac:dyDescent="0.25"/>
    <row r="17" spans="1:8" ht="42.6" customHeight="1" x14ac:dyDescent="0.2">
      <c r="A17" s="43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4"/>
      <c r="B18" s="75">
        <v>0</v>
      </c>
      <c r="C18" s="76">
        <v>9000000</v>
      </c>
      <c r="D18" s="26">
        <v>20</v>
      </c>
    </row>
    <row r="20" spans="1:8" x14ac:dyDescent="0.2">
      <c r="A20" s="421" t="s">
        <v>37</v>
      </c>
      <c r="B20" s="421"/>
      <c r="C20" s="421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1"/>
      <c r="C4" s="442"/>
      <c r="D4" s="442"/>
      <c r="E4" s="442"/>
      <c r="F4" s="44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124</v>
      </c>
      <c r="H7" s="427"/>
      <c r="I7" s="432"/>
    </row>
    <row r="8" spans="1:9" x14ac:dyDescent="0.25">
      <c r="A8" s="425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426"/>
      <c r="B9" s="171">
        <f>VAC_Optim_Scenario!G$19</f>
        <v>1599500</v>
      </c>
      <c r="C9" s="171">
        <f>VAC_Optim_Scenario!H$19</f>
        <v>1949500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21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421"/>
      <c r="B12" s="176">
        <f>'[3]HCC Social - Power'!$B$12</f>
        <v>1873000</v>
      </c>
      <c r="C12" s="176">
        <f>'[3]HCC Social - Power'!$C$12</f>
        <v>71243.17418511775</v>
      </c>
      <c r="D12" s="341">
        <f>'[3]HCC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435" t="s">
        <v>169</v>
      </c>
      <c r="B13" s="436"/>
      <c r="C13" s="436"/>
      <c r="D13" s="436"/>
      <c r="E13" s="280" t="s">
        <v>170</v>
      </c>
      <c r="F13" s="280" t="s">
        <v>171</v>
      </c>
    </row>
    <row r="14" spans="1:9" ht="15.75" thickBot="1" x14ac:dyDescent="0.3">
      <c r="A14" s="438"/>
      <c r="B14" s="439"/>
      <c r="C14" s="439"/>
      <c r="D14" s="43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3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434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1" t="s">
        <v>37</v>
      </c>
      <c r="B19" s="421"/>
      <c r="C19" s="421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2" t="s">
        <v>106</v>
      </c>
      <c r="C4" s="422"/>
      <c r="D4" s="422"/>
      <c r="E4" s="422"/>
      <c r="F4" s="42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24" t="s">
        <v>8</v>
      </c>
      <c r="B7" s="427" t="s">
        <v>9</v>
      </c>
      <c r="C7" s="428"/>
      <c r="D7" s="429" t="s">
        <v>12</v>
      </c>
      <c r="E7" s="430"/>
      <c r="F7" s="431"/>
      <c r="G7" s="427" t="s">
        <v>124</v>
      </c>
      <c r="H7" s="427"/>
      <c r="I7" s="432"/>
      <c r="J7" s="98" t="s">
        <v>125</v>
      </c>
    </row>
    <row r="8" spans="1:18" ht="28.15" customHeight="1" x14ac:dyDescent="0.2">
      <c r="A8" s="425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26"/>
      <c r="B9" s="95">
        <f>VAC_Optim_Scenario!G20</f>
        <v>500000</v>
      </c>
      <c r="C9" s="95">
        <f>VAC_Optim_Scenario!H20</f>
        <v>1200000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24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33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26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34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35" t="s">
        <v>114</v>
      </c>
      <c r="B13" s="436"/>
      <c r="C13" s="436"/>
      <c r="D13" s="436"/>
      <c r="E13" s="436"/>
      <c r="F13" s="437"/>
      <c r="G13" s="139" t="s">
        <v>150</v>
      </c>
      <c r="H13" s="139" t="s">
        <v>151</v>
      </c>
      <c r="K13" s="435" t="s">
        <v>115</v>
      </c>
      <c r="L13" s="436"/>
      <c r="M13" s="436"/>
      <c r="N13" s="436"/>
      <c r="O13" s="436"/>
      <c r="P13" s="436"/>
      <c r="Q13" s="436"/>
      <c r="R13" s="437"/>
    </row>
    <row r="14" spans="1:18" ht="33.6" customHeight="1" thickBot="1" x14ac:dyDescent="0.25">
      <c r="A14" s="438"/>
      <c r="B14" s="439"/>
      <c r="C14" s="439"/>
      <c r="D14" s="439"/>
      <c r="E14" s="439"/>
      <c r="F14" s="440"/>
      <c r="G14" s="95">
        <f>VAC_Optim_Scenario!$I$32</f>
        <v>225.94</v>
      </c>
      <c r="H14" s="95">
        <f>VAC_Optim_Scenario!$F$32</f>
        <v>225.94</v>
      </c>
      <c r="K14" s="438"/>
      <c r="L14" s="439"/>
      <c r="M14" s="439"/>
      <c r="N14" s="439"/>
      <c r="O14" s="439"/>
      <c r="P14" s="439"/>
      <c r="Q14" s="439"/>
      <c r="R14" s="440"/>
    </row>
    <row r="16" spans="1:18" ht="13.5" thickBot="1" x14ac:dyDescent="0.25"/>
    <row r="17" spans="1:8" ht="42.6" customHeight="1" x14ac:dyDescent="0.2">
      <c r="A17" s="433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34"/>
      <c r="B18" s="75">
        <v>0</v>
      </c>
      <c r="C18" s="76">
        <v>2000000</v>
      </c>
      <c r="D18" s="26">
        <v>20</v>
      </c>
    </row>
    <row r="20" spans="1:8" x14ac:dyDescent="0.2">
      <c r="A20" s="421" t="s">
        <v>37</v>
      </c>
      <c r="B20" s="421"/>
      <c r="C20" s="421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1"/>
      <c r="C4" s="442"/>
      <c r="D4" s="442"/>
      <c r="E4" s="442"/>
      <c r="F4" s="44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124</v>
      </c>
      <c r="H7" s="427"/>
      <c r="I7" s="432"/>
    </row>
    <row r="8" spans="1:9" x14ac:dyDescent="0.25">
      <c r="A8" s="425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426"/>
      <c r="B9" s="171">
        <f>VAC_Optim_Scenario!G21</f>
        <v>6463714</v>
      </c>
      <c r="C9" s="171">
        <f>VAC_Optim_Scenario!H21</f>
        <v>6463714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21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421"/>
      <c r="B12" s="176">
        <f>'[5]Streaming Video - Power'!$B$12</f>
        <v>5935125</v>
      </c>
      <c r="C12" s="176">
        <f>'[5]Streaming Video - Power'!$C$12</f>
        <v>140618.64530883348</v>
      </c>
      <c r="D12" s="341">
        <f>'[5]Streaming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435" t="s">
        <v>169</v>
      </c>
      <c r="B13" s="436"/>
      <c r="C13" s="436"/>
      <c r="D13" s="436"/>
      <c r="E13" s="290" t="s">
        <v>170</v>
      </c>
      <c r="F13" s="290" t="s">
        <v>171</v>
      </c>
    </row>
    <row r="14" spans="1:9" ht="15.75" thickBot="1" x14ac:dyDescent="0.3">
      <c r="A14" s="438"/>
      <c r="B14" s="439"/>
      <c r="C14" s="439"/>
      <c r="D14" s="43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3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434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1" t="s">
        <v>37</v>
      </c>
      <c r="B19" s="421"/>
      <c r="C19" s="421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2" t="s">
        <v>106</v>
      </c>
      <c r="C4" s="422"/>
      <c r="D4" s="422"/>
      <c r="E4" s="422"/>
      <c r="F4" s="42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2">
      <c r="A7" s="424" t="s">
        <v>8</v>
      </c>
      <c r="B7" s="427" t="s">
        <v>9</v>
      </c>
      <c r="C7" s="428"/>
      <c r="D7" s="429" t="s">
        <v>12</v>
      </c>
      <c r="E7" s="430"/>
      <c r="F7" s="431"/>
      <c r="G7" s="427" t="s">
        <v>124</v>
      </c>
      <c r="H7" s="427"/>
      <c r="I7" s="432"/>
      <c r="J7" s="98" t="s">
        <v>125</v>
      </c>
    </row>
    <row r="8" spans="1:18" ht="28.15" customHeight="1" x14ac:dyDescent="0.2">
      <c r="A8" s="425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25">
      <c r="A9" s="426"/>
      <c r="B9" s="95">
        <f>VAC_Optim_Scenario!G22</f>
        <v>1500000</v>
      </c>
      <c r="C9" s="95">
        <f>VAC_Optim_Scenario!H22</f>
        <v>2100000</v>
      </c>
      <c r="D9" s="68">
        <f>VAC_Optim_Scenario!I22</f>
        <v>1500000</v>
      </c>
      <c r="E9" s="84">
        <f>((($R$12/(1+EXP($P$12+$Q$12*D9)))-1) - ($F$12-$C$12))*$I$12</f>
        <v>96729.945919783786</v>
      </c>
      <c r="F9" s="89">
        <f>E9*$G$12</f>
        <v>96729.945919783786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24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433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25">
      <c r="A12" s="426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34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35" t="s">
        <v>114</v>
      </c>
      <c r="B13" s="436"/>
      <c r="C13" s="436"/>
      <c r="D13" s="436"/>
      <c r="E13" s="436"/>
      <c r="F13" s="437"/>
      <c r="G13" s="347" t="s">
        <v>150</v>
      </c>
      <c r="H13" s="347" t="s">
        <v>151</v>
      </c>
      <c r="K13" s="435" t="s">
        <v>115</v>
      </c>
      <c r="L13" s="436"/>
      <c r="M13" s="436"/>
      <c r="N13" s="436"/>
      <c r="O13" s="436"/>
      <c r="P13" s="436"/>
      <c r="Q13" s="436"/>
      <c r="R13" s="437"/>
    </row>
    <row r="14" spans="1:18" ht="33.6" customHeight="1" thickBot="1" x14ac:dyDescent="0.25">
      <c r="A14" s="438"/>
      <c r="B14" s="439"/>
      <c r="C14" s="439"/>
      <c r="D14" s="439"/>
      <c r="E14" s="439"/>
      <c r="F14" s="440"/>
      <c r="G14" s="95">
        <f>VAC_Optim_Scenario!$I$32</f>
        <v>225.94</v>
      </c>
      <c r="H14" s="95">
        <f>VAC_Optim_Scenario!$F$32</f>
        <v>225.94</v>
      </c>
      <c r="K14" s="438"/>
      <c r="L14" s="439"/>
      <c r="M14" s="439"/>
      <c r="N14" s="439"/>
      <c r="O14" s="439"/>
      <c r="P14" s="439"/>
      <c r="Q14" s="439"/>
      <c r="R14" s="440"/>
    </row>
    <row r="16" spans="1:18" ht="13.5" thickBot="1" x14ac:dyDescent="0.25"/>
    <row r="17" spans="1:8" ht="42.6" customHeight="1" x14ac:dyDescent="0.2">
      <c r="A17" s="433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25">
      <c r="A18" s="434"/>
      <c r="B18" s="75">
        <v>0</v>
      </c>
      <c r="C18" s="76">
        <v>2000000</v>
      </c>
      <c r="D18" s="26">
        <v>20</v>
      </c>
    </row>
    <row r="20" spans="1:8" x14ac:dyDescent="0.2">
      <c r="A20" s="421" t="s">
        <v>37</v>
      </c>
      <c r="B20" s="421"/>
      <c r="C20" s="421"/>
    </row>
    <row r="21" spans="1:8" ht="25.5" x14ac:dyDescent="0.2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42" si="1">B23*$G$12</f>
        <v>16138.258794490248</v>
      </c>
      <c r="D23" s="98">
        <f>(B23-B22)/A23</f>
        <v>3.8246138090842152E-2</v>
      </c>
      <c r="E23" s="116">
        <f t="shared" ref="E23:E42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42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98">
        <v>2284729.9606152959</v>
      </c>
      <c r="B43" s="79">
        <f t="shared" si="0"/>
        <v>132251.9441374708</v>
      </c>
    </row>
    <row r="44" spans="1:5" x14ac:dyDescent="0.2">
      <c r="A44" s="98">
        <v>2388581.3224614454</v>
      </c>
      <c r="B44" s="79">
        <f t="shared" si="0"/>
        <v>136343.23651968129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1"/>
      <c r="C4" s="442"/>
      <c r="D4" s="442"/>
      <c r="E4" s="442"/>
      <c r="F4" s="44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124</v>
      </c>
      <c r="H7" s="427"/>
      <c r="I7" s="432"/>
    </row>
    <row r="8" spans="1:9" x14ac:dyDescent="0.25">
      <c r="A8" s="425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26"/>
      <c r="B9" s="171">
        <f>VAC_Optim_Scenario!G23</f>
        <v>300000</v>
      </c>
      <c r="C9" s="171">
        <f>VAC_Optim_Scenario!H23</f>
        <v>390000</v>
      </c>
      <c r="D9" s="172">
        <f>VAC_Optim_Scenario!I23</f>
        <v>300000</v>
      </c>
      <c r="E9" s="84">
        <f>((GSEARCH!D9/$B$12)^$D$12)*$C$12*$F$12</f>
        <v>118583.90541759932</v>
      </c>
      <c r="F9" s="84">
        <f>E9*F11</f>
        <v>118583.90541759932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21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21"/>
      <c r="B12" s="176">
        <f>'[7]HCC Paid Search - Power'!$B$12</f>
        <v>344707</v>
      </c>
      <c r="C12" s="176">
        <f>'[7]HCC Paid Search - Power'!$C$12</f>
        <v>130694.08808973072</v>
      </c>
      <c r="D12" s="341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35" t="s">
        <v>169</v>
      </c>
      <c r="B13" s="436"/>
      <c r="C13" s="436"/>
      <c r="D13" s="436"/>
      <c r="E13" s="153" t="s">
        <v>170</v>
      </c>
      <c r="F13" s="153" t="s">
        <v>171</v>
      </c>
    </row>
    <row r="14" spans="1:9" ht="15.75" thickBot="1" x14ac:dyDescent="0.3">
      <c r="A14" s="438"/>
      <c r="B14" s="439"/>
      <c r="C14" s="439"/>
      <c r="D14" s="43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3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34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1" t="s">
        <v>37</v>
      </c>
      <c r="B19" s="421"/>
      <c r="C19" s="421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1"/>
      <c r="C4" s="442"/>
      <c r="D4" s="442"/>
      <c r="E4" s="442"/>
      <c r="F4" s="44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124</v>
      </c>
      <c r="H7" s="427"/>
      <c r="I7" s="432"/>
    </row>
    <row r="8" spans="1:9" x14ac:dyDescent="0.25">
      <c r="A8" s="425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26"/>
      <c r="B9" s="171">
        <f>VAC_Optim_Scenario!G24</f>
        <v>1400000</v>
      </c>
      <c r="C9" s="171">
        <f>VAC_Optim_Scenario!H24</f>
        <v>1900000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21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1"/>
      <c r="B12" s="176">
        <f>'[8]Radio - Power'!$B$12</f>
        <v>1437048.41</v>
      </c>
      <c r="C12" s="176">
        <f>'[8]Radio - Power'!$C$12</f>
        <v>70569.092436493243</v>
      </c>
      <c r="D12" s="341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35" t="s">
        <v>169</v>
      </c>
      <c r="B13" s="436"/>
      <c r="C13" s="436"/>
      <c r="D13" s="436"/>
      <c r="E13" s="150" t="s">
        <v>170</v>
      </c>
      <c r="F13" s="150" t="s">
        <v>171</v>
      </c>
    </row>
    <row r="14" spans="1:9" ht="15.75" thickBot="1" x14ac:dyDescent="0.3">
      <c r="A14" s="438"/>
      <c r="B14" s="439"/>
      <c r="C14" s="439"/>
      <c r="D14" s="43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3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4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1" t="s">
        <v>37</v>
      </c>
      <c r="B19" s="421"/>
      <c r="C19" s="421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5" workbookViewId="0">
      <selection activeCell="B34" sqref="B3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1"/>
      <c r="C4" s="442"/>
      <c r="D4" s="442"/>
      <c r="E4" s="442"/>
      <c r="F4" s="44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24" t="s">
        <v>8</v>
      </c>
      <c r="B7" s="427" t="s">
        <v>9</v>
      </c>
      <c r="C7" s="427"/>
      <c r="D7" s="427" t="s">
        <v>12</v>
      </c>
      <c r="E7" s="427"/>
      <c r="F7" s="427"/>
      <c r="G7" s="427" t="s">
        <v>124</v>
      </c>
      <c r="H7" s="427"/>
      <c r="I7" s="432"/>
    </row>
    <row r="8" spans="1:9" x14ac:dyDescent="0.25">
      <c r="A8" s="425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26"/>
      <c r="B9" s="171">
        <f>VAC_Optim_Scenario!G25</f>
        <v>14861790</v>
      </c>
      <c r="C9" s="171">
        <f>VAC_Optim_Scenario!H25</f>
        <v>14861790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21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1"/>
      <c r="B12" s="176">
        <f>'[9]TV - Power'!$B$12</f>
        <v>13503524.99</v>
      </c>
      <c r="C12" s="176">
        <f>'[9]TV - Power'!$C$12</f>
        <v>253686.28893952153</v>
      </c>
      <c r="D12" s="341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35" t="s">
        <v>169</v>
      </c>
      <c r="B13" s="436"/>
      <c r="C13" s="436"/>
      <c r="D13" s="436"/>
      <c r="E13" s="150" t="s">
        <v>170</v>
      </c>
      <c r="F13" s="150" t="s">
        <v>171</v>
      </c>
    </row>
    <row r="14" spans="1:9" ht="15.75" thickBot="1" x14ac:dyDescent="0.3">
      <c r="A14" s="438"/>
      <c r="B14" s="439"/>
      <c r="C14" s="439"/>
      <c r="D14" s="43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3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4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1" t="s">
        <v>37</v>
      </c>
      <c r="B19" s="421"/>
      <c r="C19" s="421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2" t="s">
        <v>106</v>
      </c>
      <c r="C4" s="422"/>
      <c r="D4" s="422"/>
      <c r="E4" s="422"/>
      <c r="F4" s="42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24" t="s">
        <v>8</v>
      </c>
      <c r="B7" s="427" t="s">
        <v>9</v>
      </c>
      <c r="C7" s="428"/>
      <c r="D7" s="429" t="s">
        <v>12</v>
      </c>
      <c r="E7" s="430"/>
      <c r="F7" s="431"/>
      <c r="G7" s="427" t="s">
        <v>124</v>
      </c>
      <c r="H7" s="427"/>
      <c r="I7" s="432"/>
      <c r="J7" s="98" t="s">
        <v>125</v>
      </c>
    </row>
    <row r="8" spans="1:18" ht="28.15" customHeight="1" x14ac:dyDescent="0.2">
      <c r="A8" s="42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2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2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3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2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34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35" t="s">
        <v>114</v>
      </c>
      <c r="B13" s="436"/>
      <c r="C13" s="436"/>
      <c r="D13" s="436"/>
      <c r="E13" s="436"/>
      <c r="F13" s="437"/>
      <c r="G13" s="119" t="s">
        <v>150</v>
      </c>
      <c r="H13" s="119" t="s">
        <v>151</v>
      </c>
      <c r="K13" s="435" t="s">
        <v>115</v>
      </c>
      <c r="L13" s="436"/>
      <c r="M13" s="436"/>
      <c r="N13" s="436"/>
      <c r="O13" s="436"/>
      <c r="P13" s="436"/>
      <c r="Q13" s="436"/>
      <c r="R13" s="437"/>
    </row>
    <row r="14" spans="1:18" ht="33.6" customHeight="1" thickBot="1" x14ac:dyDescent="0.25">
      <c r="A14" s="438"/>
      <c r="B14" s="439"/>
      <c r="C14" s="439"/>
      <c r="D14" s="439"/>
      <c r="E14" s="439"/>
      <c r="F14" s="440"/>
      <c r="G14" s="95">
        <f>VAC_Optim_Scenario!I32</f>
        <v>225.94</v>
      </c>
      <c r="H14" s="95">
        <f>VAC_Optim_Scenario!G32</f>
        <v>225.94</v>
      </c>
      <c r="K14" s="438"/>
      <c r="L14" s="439"/>
      <c r="M14" s="439"/>
      <c r="N14" s="439"/>
      <c r="O14" s="439"/>
      <c r="P14" s="439"/>
      <c r="Q14" s="439"/>
      <c r="R14" s="440"/>
    </row>
    <row r="16" spans="1:18" ht="13.5" thickBot="1" x14ac:dyDescent="0.25"/>
    <row r="17" spans="1:8" ht="42.6" customHeight="1" x14ac:dyDescent="0.2">
      <c r="A17" s="43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4"/>
      <c r="B18" s="75">
        <v>0</v>
      </c>
      <c r="C18" s="76">
        <v>4000000</v>
      </c>
      <c r="D18" s="26">
        <v>20</v>
      </c>
    </row>
    <row r="20" spans="1:8" x14ac:dyDescent="0.2">
      <c r="A20" s="421" t="s">
        <v>37</v>
      </c>
      <c r="B20" s="421"/>
      <c r="C20" s="421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06" t="s">
        <v>100</v>
      </c>
      <c r="G2" s="407"/>
      <c r="H2" s="407"/>
      <c r="I2" s="407"/>
      <c r="J2" s="407"/>
      <c r="K2" s="407"/>
      <c r="L2" s="408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09" t="s">
        <v>72</v>
      </c>
      <c r="G3" s="410"/>
      <c r="H3" s="410"/>
      <c r="I3" s="410"/>
      <c r="J3" s="410"/>
      <c r="K3" s="410"/>
      <c r="L3" s="411"/>
    </row>
    <row r="4" spans="1:12" ht="13.5" thickBot="1" x14ac:dyDescent="0.25">
      <c r="A4" s="29" t="s">
        <v>38</v>
      </c>
      <c r="B4" s="444" t="s">
        <v>39</v>
      </c>
      <c r="C4" s="444"/>
      <c r="D4" s="445"/>
    </row>
    <row r="6" spans="1:12" ht="13.5" thickBot="1" x14ac:dyDescent="0.25"/>
    <row r="7" spans="1:12" ht="27.75" customHeight="1" x14ac:dyDescent="0.2">
      <c r="A7" s="424" t="s">
        <v>8</v>
      </c>
      <c r="B7" s="427" t="s">
        <v>9</v>
      </c>
      <c r="C7" s="428"/>
      <c r="D7" s="429" t="s">
        <v>12</v>
      </c>
      <c r="E7" s="431"/>
      <c r="F7" s="430" t="s">
        <v>24</v>
      </c>
      <c r="G7" s="452"/>
    </row>
    <row r="8" spans="1:12" ht="25.5" x14ac:dyDescent="0.2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2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2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24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26"/>
      <c r="B12" s="12">
        <v>20</v>
      </c>
      <c r="C12" s="12">
        <v>30</v>
      </c>
      <c r="D12" s="12">
        <v>0</v>
      </c>
      <c r="E12" s="14">
        <v>70</v>
      </c>
      <c r="G12" s="42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35" t="s">
        <v>30</v>
      </c>
      <c r="B13" s="436"/>
      <c r="C13" s="436"/>
      <c r="D13" s="436"/>
      <c r="E13" s="437"/>
      <c r="G13" s="446" t="s">
        <v>29</v>
      </c>
      <c r="H13" s="447"/>
      <c r="I13" s="447"/>
      <c r="J13" s="448"/>
    </row>
    <row r="14" spans="1:12" ht="33.6" customHeight="1" x14ac:dyDescent="0.2">
      <c r="A14" s="438"/>
      <c r="B14" s="439"/>
      <c r="C14" s="439"/>
      <c r="D14" s="439"/>
      <c r="E14" s="440"/>
      <c r="G14" s="449"/>
      <c r="H14" s="450"/>
      <c r="I14" s="450"/>
      <c r="J14" s="451"/>
    </row>
    <row r="16" spans="1:12" ht="13.5" thickBot="1" x14ac:dyDescent="0.25"/>
    <row r="17" spans="1:4" ht="16.899999999999999" customHeight="1" x14ac:dyDescent="0.2">
      <c r="A17" s="433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34"/>
      <c r="B18" s="12">
        <v>0</v>
      </c>
      <c r="C18" s="12">
        <v>100</v>
      </c>
      <c r="D18" s="26">
        <v>20</v>
      </c>
    </row>
    <row r="20" spans="1:4" x14ac:dyDescent="0.2">
      <c r="A20" s="421" t="s">
        <v>37</v>
      </c>
      <c r="B20" s="421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06" t="s">
        <v>100</v>
      </c>
      <c r="G2" s="407"/>
      <c r="H2" s="407"/>
      <c r="I2" s="407"/>
      <c r="J2" s="407"/>
      <c r="K2" s="407"/>
      <c r="L2" s="408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09" t="s">
        <v>72</v>
      </c>
      <c r="G3" s="410"/>
      <c r="H3" s="410"/>
      <c r="I3" s="410"/>
      <c r="J3" s="410"/>
      <c r="K3" s="410"/>
      <c r="L3" s="411"/>
    </row>
    <row r="4" spans="1:12" ht="31.9" customHeight="1" thickBot="1" x14ac:dyDescent="0.25">
      <c r="A4" s="29" t="s">
        <v>38</v>
      </c>
      <c r="B4" s="457" t="s">
        <v>41</v>
      </c>
      <c r="C4" s="458"/>
      <c r="D4" s="459"/>
    </row>
    <row r="6" spans="1:12" ht="13.5" thickBot="1" x14ac:dyDescent="0.25"/>
    <row r="7" spans="1:12" ht="27.75" customHeight="1" x14ac:dyDescent="0.2">
      <c r="A7" s="424" t="s">
        <v>8</v>
      </c>
      <c r="B7" s="427" t="s">
        <v>9</v>
      </c>
      <c r="C7" s="428"/>
      <c r="D7" s="429" t="s">
        <v>12</v>
      </c>
      <c r="E7" s="431"/>
      <c r="F7" s="430" t="s">
        <v>24</v>
      </c>
      <c r="G7" s="452"/>
      <c r="H7" s="1" t="s">
        <v>54</v>
      </c>
    </row>
    <row r="8" spans="1:12" ht="25.5" x14ac:dyDescent="0.2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2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24" t="s">
        <v>42</v>
      </c>
      <c r="B11" s="396" t="s">
        <v>47</v>
      </c>
      <c r="C11" s="454" t="s">
        <v>46</v>
      </c>
      <c r="D11" s="430"/>
      <c r="E11" s="430"/>
      <c r="F11" s="3" t="s">
        <v>48</v>
      </c>
      <c r="G11" s="33"/>
      <c r="H11" s="32"/>
      <c r="I11" s="32"/>
      <c r="J11" s="32"/>
    </row>
    <row r="12" spans="1:12" x14ac:dyDescent="0.2">
      <c r="A12" s="455"/>
      <c r="B12" s="39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5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53" t="s">
        <v>52</v>
      </c>
      <c r="B14" s="453"/>
      <c r="C14" s="453"/>
      <c r="D14" s="453"/>
      <c r="E14" s="453"/>
      <c r="F14" s="453"/>
      <c r="G14" s="38"/>
      <c r="H14" s="39"/>
      <c r="I14" s="39"/>
      <c r="J14" s="39"/>
    </row>
    <row r="15" spans="1:12" ht="30.6" customHeight="1" x14ac:dyDescent="0.2">
      <c r="A15" s="453"/>
      <c r="B15" s="453"/>
      <c r="C15" s="453"/>
      <c r="D15" s="453"/>
      <c r="E15" s="453"/>
      <c r="F15" s="453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33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34"/>
      <c r="B19" s="12">
        <v>0</v>
      </c>
      <c r="C19" s="12">
        <v>20000000</v>
      </c>
      <c r="D19" s="26">
        <v>20</v>
      </c>
    </row>
    <row r="21" spans="1:4" x14ac:dyDescent="0.2">
      <c r="A21" s="421" t="s">
        <v>37</v>
      </c>
      <c r="B21" s="421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60" t="s">
        <v>106</v>
      </c>
      <c r="C4" s="460"/>
      <c r="D4" s="460"/>
      <c r="E4" s="460"/>
      <c r="F4" s="46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24" t="s">
        <v>8</v>
      </c>
      <c r="B7" s="427" t="s">
        <v>9</v>
      </c>
      <c r="C7" s="428"/>
      <c r="D7" s="429" t="s">
        <v>12</v>
      </c>
      <c r="E7" s="431"/>
      <c r="F7" s="430" t="s">
        <v>24</v>
      </c>
      <c r="G7" s="452"/>
    </row>
    <row r="8" spans="1:15" ht="25.5" x14ac:dyDescent="0.2">
      <c r="A8" s="425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2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24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33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2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34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35" t="s">
        <v>114</v>
      </c>
      <c r="B13" s="436"/>
      <c r="C13" s="436"/>
      <c r="D13" s="436"/>
      <c r="E13" s="436"/>
      <c r="F13" s="437"/>
      <c r="H13" s="435" t="s">
        <v>115</v>
      </c>
      <c r="I13" s="436"/>
      <c r="J13" s="436"/>
      <c r="K13" s="436"/>
      <c r="L13" s="436"/>
      <c r="M13" s="436"/>
      <c r="N13" s="436"/>
      <c r="O13" s="437"/>
    </row>
    <row r="14" spans="1:15" ht="33.6" customHeight="1" x14ac:dyDescent="0.2">
      <c r="A14" s="438"/>
      <c r="B14" s="439"/>
      <c r="C14" s="439"/>
      <c r="D14" s="439"/>
      <c r="E14" s="439"/>
      <c r="F14" s="440"/>
      <c r="H14" s="438"/>
      <c r="I14" s="439"/>
      <c r="J14" s="439"/>
      <c r="K14" s="439"/>
      <c r="L14" s="439"/>
      <c r="M14" s="439"/>
      <c r="N14" s="439"/>
      <c r="O14" s="440"/>
    </row>
    <row r="16" spans="1:15" ht="13.5" thickBot="1" x14ac:dyDescent="0.25"/>
    <row r="17" spans="1:4" ht="16.899999999999999" customHeight="1" x14ac:dyDescent="0.2">
      <c r="A17" s="433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34"/>
      <c r="B18" s="75">
        <v>0</v>
      </c>
      <c r="C18" s="76">
        <v>200000000</v>
      </c>
      <c r="D18" s="26">
        <v>20</v>
      </c>
    </row>
    <row r="20" spans="1:4" x14ac:dyDescent="0.2">
      <c r="A20" s="421" t="s">
        <v>37</v>
      </c>
      <c r="B20" s="421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06" t="s">
        <v>100</v>
      </c>
      <c r="G2" s="407"/>
      <c r="H2" s="407"/>
      <c r="I2" s="407"/>
      <c r="J2" s="407"/>
      <c r="K2" s="407"/>
      <c r="L2" s="408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09" t="s">
        <v>72</v>
      </c>
      <c r="G3" s="410"/>
      <c r="H3" s="410"/>
      <c r="I3" s="410"/>
      <c r="J3" s="410"/>
      <c r="K3" s="410"/>
      <c r="L3" s="411"/>
    </row>
    <row r="4" spans="1:14" ht="13.5" thickBot="1" x14ac:dyDescent="0.25">
      <c r="A4" s="29" t="s">
        <v>38</v>
      </c>
      <c r="B4" s="444" t="s">
        <v>57</v>
      </c>
      <c r="C4" s="444"/>
      <c r="D4" s="445"/>
    </row>
    <row r="6" spans="1:14" ht="13.5" thickBot="1" x14ac:dyDescent="0.25"/>
    <row r="7" spans="1:14" ht="27.75" customHeight="1" x14ac:dyDescent="0.2">
      <c r="A7" s="424" t="s">
        <v>8</v>
      </c>
      <c r="B7" s="427" t="s">
        <v>9</v>
      </c>
      <c r="C7" s="428"/>
      <c r="D7" s="429" t="s">
        <v>12</v>
      </c>
      <c r="E7" s="431"/>
      <c r="F7" s="430" t="s">
        <v>24</v>
      </c>
      <c r="G7" s="452"/>
      <c r="I7" s="467" t="s">
        <v>73</v>
      </c>
      <c r="J7" s="467"/>
      <c r="K7" s="467"/>
      <c r="L7" s="467"/>
      <c r="N7" s="47" t="s">
        <v>58</v>
      </c>
    </row>
    <row r="8" spans="1:14" ht="25.5" x14ac:dyDescent="0.2">
      <c r="A8" s="42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67"/>
      <c r="J8" s="467"/>
      <c r="K8" s="467"/>
      <c r="L8" s="467"/>
      <c r="N8" s="47" t="s">
        <v>59</v>
      </c>
    </row>
    <row r="9" spans="1:14" ht="13.5" thickBot="1" x14ac:dyDescent="0.25">
      <c r="A9" s="42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21" t="s">
        <v>60</v>
      </c>
      <c r="B11" s="3" t="s">
        <v>61</v>
      </c>
      <c r="C11" s="3" t="s">
        <v>62</v>
      </c>
      <c r="D11" s="32"/>
      <c r="E11" s="46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21"/>
      <c r="B12" s="41">
        <v>0</v>
      </c>
      <c r="C12" s="41">
        <v>0</v>
      </c>
      <c r="D12" s="32"/>
      <c r="E12" s="46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21"/>
      <c r="B13" s="41">
        <v>1</v>
      </c>
      <c r="C13" s="41">
        <v>0.75</v>
      </c>
      <c r="D13" s="32"/>
      <c r="E13" s="46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21"/>
      <c r="B14" s="41">
        <v>2</v>
      </c>
      <c r="C14" s="41">
        <v>0</v>
      </c>
      <c r="D14" s="32"/>
      <c r="E14" s="46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21"/>
      <c r="B15" s="41">
        <v>3</v>
      </c>
      <c r="C15" s="41">
        <v>-1</v>
      </c>
      <c r="D15" s="32"/>
      <c r="E15" s="46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21"/>
      <c r="B16" s="41">
        <v>4</v>
      </c>
      <c r="C16" s="41">
        <v>3</v>
      </c>
      <c r="D16" s="32"/>
      <c r="E16" s="46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1"/>
      <c r="B17" s="42">
        <v>5</v>
      </c>
      <c r="C17" s="42">
        <v>3</v>
      </c>
      <c r="D17" s="40"/>
      <c r="E17" s="46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62" t="s">
        <v>74</v>
      </c>
      <c r="B18" s="463"/>
      <c r="C18" s="464"/>
      <c r="D18" s="33"/>
      <c r="E18" s="453" t="s">
        <v>75</v>
      </c>
      <c r="F18" s="453"/>
      <c r="G18" s="453"/>
      <c r="H18" s="453"/>
      <c r="I18" s="453"/>
      <c r="J18" s="453"/>
      <c r="K18" s="453"/>
      <c r="L18" s="453"/>
      <c r="M18" s="453"/>
    </row>
    <row r="19" spans="1:13" ht="35.65" customHeight="1" x14ac:dyDescent="0.2">
      <c r="A19" s="438"/>
      <c r="B19" s="439"/>
      <c r="C19" s="440"/>
      <c r="D19" s="33"/>
      <c r="E19" s="453"/>
      <c r="F19" s="453"/>
      <c r="G19" s="453"/>
      <c r="H19" s="453"/>
      <c r="I19" s="453"/>
      <c r="J19" s="453"/>
      <c r="K19" s="453"/>
      <c r="L19" s="453"/>
      <c r="M19" s="453"/>
    </row>
    <row r="21" spans="1:13" ht="13.5" thickBot="1" x14ac:dyDescent="0.25"/>
    <row r="22" spans="1:13" ht="16.899999999999999" customHeight="1" x14ac:dyDescent="0.2">
      <c r="A22" s="433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34"/>
      <c r="B23" s="12">
        <v>0</v>
      </c>
      <c r="C23" s="12">
        <v>5</v>
      </c>
      <c r="D23" s="26">
        <v>20</v>
      </c>
    </row>
    <row r="25" spans="1:13" x14ac:dyDescent="0.2">
      <c r="A25" s="421" t="s">
        <v>37</v>
      </c>
      <c r="B25" s="421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2023-09-05T12:12:49Z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