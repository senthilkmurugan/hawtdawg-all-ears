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pushh01\dinfopln\Marketing Mix PI\InvOpt\P12 2024 AB\Products\G9\ADOL\Optimize\Custom_2\Archive\"/>
    </mc:Choice>
  </mc:AlternateContent>
  <xr:revisionPtr revIDLastSave="0" documentId="13_ncr:1_{F6696207-8037-4432-B603-C71ED3817E28}" xr6:coauthVersionLast="47" xr6:coauthVersionMax="47" xr10:uidLastSave="{00000000-0000-0000-0000-000000000000}"/>
  <bookViews>
    <workbookView xWindow="-110" yWindow="-110" windowWidth="19420" windowHeight="10420" tabRatio="709" firstSheet="2" activeTab="8" xr2:uid="{00000000-000D-0000-FFFF-FFFF00000000}"/>
  </bookViews>
  <sheets>
    <sheet name="YOY Curve comparison" sheetId="85" state="hidden" r:id="rId1"/>
    <sheet name="Scenario summary" sheetId="78" r:id="rId2"/>
    <sheet name="Chart - Combined" sheetId="36" r:id="rId3"/>
    <sheet name="Scenario deep dive_2023" sheetId="89" state="hidden" r:id="rId4"/>
    <sheet name="Senstivity" sheetId="87" state="hidden" r:id="rId5"/>
    <sheet name="Sensitivity - Template" sheetId="86" state="hidden" r:id="rId6"/>
    <sheet name="Contribution, promo eff, ROI" sheetId="80" r:id="rId7"/>
    <sheet name="Scenario deep dive" sheetId="79" r:id="rId8"/>
    <sheet name="Current Constraints" sheetId="90" r:id="rId9"/>
    <sheet name="VAC_Optim_Scenario" sheetId="23" r:id="rId10"/>
    <sheet name="GINOFF" sheetId="51" r:id="rId11"/>
    <sheet name="GMCM" sheetId="50" r:id="rId12"/>
    <sheet name="GSOC" sheetId="82" r:id="rId13"/>
    <sheet name="GOLV" sheetId="59" r:id="rId14"/>
    <sheet name="GSTRV" sheetId="84" r:id="rId15"/>
    <sheet name="GDISP" sheetId="88" r:id="rId16"/>
    <sheet name="GSEARCH" sheetId="77" r:id="rId17"/>
    <sheet name="GRADIO" sheetId="75" r:id="rId18"/>
    <sheet name="GTV" sheetId="74" r:id="rId19"/>
    <sheet name="GPRNT" sheetId="48" state="hidden" r:id="rId20"/>
    <sheet name="Fn.Templates ==&gt;" sheetId="3" r:id="rId21"/>
    <sheet name="FT_SCurveEst" sheetId="2" r:id="rId22"/>
    <sheet name="FT_Equation" sheetId="4" r:id="rId23"/>
    <sheet name="FT_SCurve3Est" sheetId="13" r:id="rId24"/>
    <sheet name="FT_Interpolate" sheetId="5" r:id="rId25"/>
  </sheets>
  <functionGroups builtInGroupCount="19"/>
  <externalReferences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</externalReferences>
  <definedNames>
    <definedName name="_xlnm._FilterDatabase" localSheetId="6" hidden="1">'Contribution, promo eff, ROI'!$E$16:$F$24</definedName>
    <definedName name="solver_adj" localSheetId="9" hidden="1">VAC_Optim_Scenario!$I$17:$I$25</definedName>
    <definedName name="solver_cvg" localSheetId="5" hidden="1">0.0001</definedName>
    <definedName name="solver_cvg" localSheetId="4" hidden="1">0.0001</definedName>
    <definedName name="solver_cvg" localSheetId="9" hidden="1">0.0001</definedName>
    <definedName name="solver_drv" localSheetId="5" hidden="1">1</definedName>
    <definedName name="solver_drv" localSheetId="4" hidden="1">1</definedName>
    <definedName name="solver_drv" localSheetId="9" hidden="1">1</definedName>
    <definedName name="solver_eng" localSheetId="5" hidden="1">1</definedName>
    <definedName name="solver_eng" localSheetId="4" hidden="1">1</definedName>
    <definedName name="solver_eng" localSheetId="9" hidden="1">1</definedName>
    <definedName name="solver_est" localSheetId="5" hidden="1">1</definedName>
    <definedName name="solver_est" localSheetId="4" hidden="1">1</definedName>
    <definedName name="solver_est" localSheetId="9" hidden="1">1</definedName>
    <definedName name="solver_itr" localSheetId="5" hidden="1">2147483647</definedName>
    <definedName name="solver_itr" localSheetId="4" hidden="1">2147483647</definedName>
    <definedName name="solver_itr" localSheetId="9" hidden="1">2147483647</definedName>
    <definedName name="solver_lhs0" localSheetId="9" hidden="1">VAC_Optim_Scenario!$I$26</definedName>
    <definedName name="solver_lhs1" localSheetId="9" hidden="1">VAC_Optim_Scenario!$B$12</definedName>
    <definedName name="solver_lhs2" localSheetId="9" hidden="1">VAC_Optim_Scenario!$I$17:$I$25</definedName>
    <definedName name="solver_lhs3" localSheetId="9" hidden="1">VAC_Optim_Scenario!$I$17:$I$25</definedName>
    <definedName name="solver_lhs4" localSheetId="9" hidden="1">VAC_Optim_Scenario!$I$26</definedName>
    <definedName name="solver_lhs5" localSheetId="9" hidden="1">VAC_Optim_Scenario!#REF!</definedName>
    <definedName name="solver_mip" localSheetId="5" hidden="1">2147483647</definedName>
    <definedName name="solver_mip" localSheetId="4" hidden="1">2147483647</definedName>
    <definedName name="solver_mip" localSheetId="9" hidden="1">2147483647</definedName>
    <definedName name="solver_mni" localSheetId="5" hidden="1">30</definedName>
    <definedName name="solver_mni" localSheetId="4" hidden="1">30</definedName>
    <definedName name="solver_mni" localSheetId="9" hidden="1">30</definedName>
    <definedName name="solver_mrt" localSheetId="5" hidden="1">0.075</definedName>
    <definedName name="solver_mrt" localSheetId="4" hidden="1">0.075</definedName>
    <definedName name="solver_mrt" localSheetId="9" hidden="1">0.075</definedName>
    <definedName name="solver_msl" localSheetId="5" hidden="1">2</definedName>
    <definedName name="solver_msl" localSheetId="4" hidden="1">2</definedName>
    <definedName name="solver_msl" localSheetId="9" hidden="1">2</definedName>
    <definedName name="solver_neg" localSheetId="5" hidden="1">1</definedName>
    <definedName name="solver_neg" localSheetId="4" hidden="1">1</definedName>
    <definedName name="solver_neg" localSheetId="9" hidden="1">1</definedName>
    <definedName name="solver_nod" localSheetId="5" hidden="1">2147483647</definedName>
    <definedName name="solver_nod" localSheetId="4" hidden="1">2147483647</definedName>
    <definedName name="solver_nod" localSheetId="9" hidden="1">2147483647</definedName>
    <definedName name="solver_num" localSheetId="5" hidden="1">0</definedName>
    <definedName name="solver_num" localSheetId="4" hidden="1">0</definedName>
    <definedName name="solver_num" localSheetId="9" hidden="1">3</definedName>
    <definedName name="solver_nwt" localSheetId="5" hidden="1">1</definedName>
    <definedName name="solver_nwt" localSheetId="4" hidden="1">1</definedName>
    <definedName name="solver_nwt" localSheetId="9" hidden="1">1</definedName>
    <definedName name="solver_opt" localSheetId="5" hidden="1">'Sensitivity - Template'!$F$6</definedName>
    <definedName name="solver_opt" localSheetId="4" hidden="1">Senstivity!$F$6</definedName>
    <definedName name="solver_opt" localSheetId="9" hidden="1">VAC_Optim_Scenario!$B$9</definedName>
    <definedName name="solver_pre" localSheetId="5" hidden="1">0.000001</definedName>
    <definedName name="solver_pre" localSheetId="4" hidden="1">0.000001</definedName>
    <definedName name="solver_pre" localSheetId="9" hidden="1">0.00000001</definedName>
    <definedName name="solver_rbv" localSheetId="5" hidden="1">1</definedName>
    <definedName name="solver_rbv" localSheetId="4" hidden="1">1</definedName>
    <definedName name="solver_rbv" localSheetId="9" hidden="1">1</definedName>
    <definedName name="solver_rel0" localSheetId="9" hidden="1">3</definedName>
    <definedName name="solver_rel1" localSheetId="9" hidden="1">2</definedName>
    <definedName name="solver_rel2" localSheetId="9" hidden="1">1</definedName>
    <definedName name="solver_rel3" localSheetId="9" hidden="1">3</definedName>
    <definedName name="solver_rel4" localSheetId="9" hidden="1">3</definedName>
    <definedName name="solver_rel5" localSheetId="9" hidden="1">2</definedName>
    <definedName name="solver_rhs0" localSheetId="9" hidden="1">VAC_Optim_Scenario!$C$12</definedName>
    <definedName name="solver_rhs1" localSheetId="9" hidden="1">VAC_Optim_Scenario!$I$26</definedName>
    <definedName name="solver_rhs2" localSheetId="9" hidden="1">VAC_Optim_Scenario!$H$17:$H$25</definedName>
    <definedName name="solver_rhs3" localSheetId="9" hidden="1">VAC_Optim_Scenario!$G$17:$G$25</definedName>
    <definedName name="solver_rhs4" localSheetId="9" hidden="1">VAC_Optim_Scenario!$C$12</definedName>
    <definedName name="solver_rhs5" localSheetId="9" hidden="1">VAC_Optim_Scenario!#REF!</definedName>
    <definedName name="solver_rlx" localSheetId="5" hidden="1">2</definedName>
    <definedName name="solver_rlx" localSheetId="4" hidden="1">2</definedName>
    <definedName name="solver_rlx" localSheetId="9" hidden="1">2</definedName>
    <definedName name="solver_rsd" localSheetId="5" hidden="1">0</definedName>
    <definedName name="solver_rsd" localSheetId="4" hidden="1">0</definedName>
    <definedName name="solver_rsd" localSheetId="9" hidden="1">0</definedName>
    <definedName name="solver_scl" localSheetId="5" hidden="1">1</definedName>
    <definedName name="solver_scl" localSheetId="4" hidden="1">1</definedName>
    <definedName name="solver_scl" localSheetId="9" hidden="1">1</definedName>
    <definedName name="solver_sho" localSheetId="5" hidden="1">2</definedName>
    <definedName name="solver_sho" localSheetId="4" hidden="1">2</definedName>
    <definedName name="solver_sho" localSheetId="9" hidden="1">2</definedName>
    <definedName name="solver_ssz" localSheetId="5" hidden="1">100</definedName>
    <definedName name="solver_ssz" localSheetId="4" hidden="1">100</definedName>
    <definedName name="solver_ssz" localSheetId="9" hidden="1">100</definedName>
    <definedName name="solver_tim" localSheetId="5" hidden="1">2147483647</definedName>
    <definedName name="solver_tim" localSheetId="4" hidden="1">2147483647</definedName>
    <definedName name="solver_tim" localSheetId="9" hidden="1">2147483647</definedName>
    <definedName name="solver_tol" localSheetId="5" hidden="1">0.01</definedName>
    <definedName name="solver_tol" localSheetId="4" hidden="1">0.01</definedName>
    <definedName name="solver_tol" localSheetId="9" hidden="1">0.01</definedName>
    <definedName name="solver_typ" localSheetId="5" hidden="1">1</definedName>
    <definedName name="solver_typ" localSheetId="4" hidden="1">1</definedName>
    <definedName name="solver_typ" localSheetId="9" hidden="1">1</definedName>
    <definedName name="solver_val" localSheetId="5" hidden="1">0</definedName>
    <definedName name="solver_val" localSheetId="4" hidden="1">0</definedName>
    <definedName name="solver_val" localSheetId="9" hidden="1">0</definedName>
    <definedName name="solver_ver" localSheetId="5" hidden="1">3</definedName>
    <definedName name="solver_ver" localSheetId="4" hidden="1">3</definedName>
    <definedName name="solver_ver" localSheetId="9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3" i="90" l="1"/>
  <c r="I3" i="90"/>
  <c r="J5" i="90"/>
  <c r="J6" i="90"/>
  <c r="J7" i="90"/>
  <c r="J8" i="90"/>
  <c r="J9" i="90"/>
  <c r="J10" i="90"/>
  <c r="I10" i="90"/>
  <c r="I9" i="90"/>
  <c r="I8" i="90"/>
  <c r="I7" i="90"/>
  <c r="I6" i="90"/>
  <c r="I5" i="90"/>
  <c r="G11" i="90" l="1"/>
  <c r="G12" i="90"/>
  <c r="H12" i="90"/>
  <c r="H11" i="90"/>
  <c r="H10" i="90"/>
  <c r="H9" i="90"/>
  <c r="H8" i="90"/>
  <c r="H7" i="90"/>
  <c r="H6" i="90"/>
  <c r="H5" i="90"/>
  <c r="H4" i="90"/>
  <c r="H3" i="90"/>
  <c r="C9" i="23"/>
  <c r="T49" i="79"/>
  <c r="T56" i="79" s="1"/>
  <c r="S49" i="79"/>
  <c r="R49" i="79"/>
  <c r="T48" i="79"/>
  <c r="S48" i="79"/>
  <c r="R48" i="79"/>
  <c r="T47" i="79"/>
  <c r="S47" i="79"/>
  <c r="R47" i="79"/>
  <c r="T46" i="79"/>
  <c r="S46" i="79"/>
  <c r="R46" i="79"/>
  <c r="T45" i="79"/>
  <c r="S45" i="79"/>
  <c r="R45" i="79"/>
  <c r="T44" i="79"/>
  <c r="S44" i="79"/>
  <c r="R44" i="79"/>
  <c r="T43" i="79"/>
  <c r="S43" i="79"/>
  <c r="R43" i="79"/>
  <c r="T42" i="79"/>
  <c r="S42" i="79"/>
  <c r="R42" i="79"/>
  <c r="T41" i="79"/>
  <c r="S41" i="79"/>
  <c r="R41" i="79"/>
  <c r="T40" i="79"/>
  <c r="S40" i="79"/>
  <c r="R40" i="79"/>
  <c r="T31" i="79"/>
  <c r="S31" i="79"/>
  <c r="R31" i="79"/>
  <c r="T30" i="79"/>
  <c r="S30" i="79"/>
  <c r="R30" i="79"/>
  <c r="T29" i="79"/>
  <c r="S29" i="79"/>
  <c r="R29" i="79"/>
  <c r="T28" i="79"/>
  <c r="S28" i="79"/>
  <c r="R28" i="79"/>
  <c r="T27" i="79"/>
  <c r="S27" i="79"/>
  <c r="R27" i="79"/>
  <c r="T26" i="79"/>
  <c r="S26" i="79"/>
  <c r="R26" i="79"/>
  <c r="T25" i="79"/>
  <c r="S25" i="79"/>
  <c r="R25" i="79"/>
  <c r="T24" i="79"/>
  <c r="S24" i="79"/>
  <c r="R24" i="79"/>
  <c r="T23" i="79"/>
  <c r="S23" i="79"/>
  <c r="R23" i="79"/>
  <c r="T22" i="79"/>
  <c r="S22" i="79"/>
  <c r="R22" i="79"/>
  <c r="R20" i="79"/>
  <c r="R38" i="79" s="1"/>
  <c r="X49" i="79"/>
  <c r="X56" i="79" s="1"/>
  <c r="W49" i="79"/>
  <c r="V49" i="79"/>
  <c r="X48" i="79"/>
  <c r="W48" i="79"/>
  <c r="V48" i="79"/>
  <c r="X47" i="79"/>
  <c r="W47" i="79"/>
  <c r="V47" i="79"/>
  <c r="X46" i="79"/>
  <c r="W46" i="79"/>
  <c r="V46" i="79"/>
  <c r="X45" i="79"/>
  <c r="W45" i="79"/>
  <c r="V45" i="79"/>
  <c r="X44" i="79"/>
  <c r="W44" i="79"/>
  <c r="V44" i="79"/>
  <c r="X43" i="79"/>
  <c r="W43" i="79"/>
  <c r="V43" i="79"/>
  <c r="X42" i="79"/>
  <c r="W42" i="79"/>
  <c r="V42" i="79"/>
  <c r="X41" i="79"/>
  <c r="W41" i="79"/>
  <c r="V41" i="79"/>
  <c r="X40" i="79"/>
  <c r="W40" i="79"/>
  <c r="V40" i="79"/>
  <c r="X31" i="79"/>
  <c r="W31" i="79"/>
  <c r="V31" i="79"/>
  <c r="X30" i="79"/>
  <c r="W30" i="79"/>
  <c r="V30" i="79"/>
  <c r="X29" i="79"/>
  <c r="W29" i="79"/>
  <c r="V29" i="79"/>
  <c r="X28" i="79"/>
  <c r="W28" i="79"/>
  <c r="V28" i="79"/>
  <c r="X27" i="79"/>
  <c r="W27" i="79"/>
  <c r="V27" i="79"/>
  <c r="X26" i="79"/>
  <c r="W26" i="79"/>
  <c r="V26" i="79"/>
  <c r="X25" i="79"/>
  <c r="W25" i="79"/>
  <c r="V25" i="79"/>
  <c r="X24" i="79"/>
  <c r="W24" i="79"/>
  <c r="V24" i="79"/>
  <c r="X23" i="79"/>
  <c r="W23" i="79"/>
  <c r="V23" i="79"/>
  <c r="X22" i="79"/>
  <c r="W22" i="79"/>
  <c r="V22" i="79"/>
  <c r="V20" i="79"/>
  <c r="V38" i="79" s="1"/>
  <c r="G10" i="90"/>
  <c r="G5" i="90"/>
  <c r="F21" i="80"/>
  <c r="F4" i="80"/>
  <c r="G4" i="80" s="1"/>
  <c r="H6" i="80"/>
  <c r="D9" i="80"/>
  <c r="I4" i="80"/>
  <c r="N29" i="79"/>
  <c r="B12" i="77"/>
  <c r="R9" i="80" a="1"/>
  <c r="Q9" i="80" a="1"/>
  <c r="T35" i="79" l="1"/>
  <c r="X35" i="79"/>
  <c r="R9" i="80"/>
  <c r="Q9" i="80"/>
  <c r="O49" i="79"/>
  <c r="O48" i="79"/>
  <c r="O47" i="79"/>
  <c r="O46" i="79"/>
  <c r="O45" i="79"/>
  <c r="O44" i="79"/>
  <c r="O43" i="79"/>
  <c r="O42" i="79"/>
  <c r="O41" i="79"/>
  <c r="O40" i="79"/>
  <c r="K49" i="79"/>
  <c r="K48" i="79"/>
  <c r="K47" i="79"/>
  <c r="K46" i="79"/>
  <c r="K45" i="79"/>
  <c r="K44" i="79"/>
  <c r="K43" i="79"/>
  <c r="K42" i="79"/>
  <c r="K41" i="79"/>
  <c r="K40" i="79"/>
  <c r="G49" i="79"/>
  <c r="G48" i="79"/>
  <c r="G47" i="79"/>
  <c r="G46" i="79"/>
  <c r="G45" i="79"/>
  <c r="G44" i="79"/>
  <c r="G43" i="79"/>
  <c r="G42" i="79"/>
  <c r="G41" i="79"/>
  <c r="G40" i="79"/>
  <c r="G22" i="79"/>
  <c r="P49" i="79"/>
  <c r="P56" i="79" s="1"/>
  <c r="P48" i="79"/>
  <c r="P47" i="79"/>
  <c r="P46" i="79"/>
  <c r="P45" i="79"/>
  <c r="P44" i="79"/>
  <c r="P43" i="79"/>
  <c r="P42" i="79"/>
  <c r="P41" i="79"/>
  <c r="P40" i="79"/>
  <c r="L49" i="79"/>
  <c r="L56" i="79" s="1"/>
  <c r="L48" i="79"/>
  <c r="L47" i="79"/>
  <c r="L46" i="79"/>
  <c r="L45" i="79"/>
  <c r="L44" i="79"/>
  <c r="L43" i="79"/>
  <c r="L42" i="79"/>
  <c r="L41" i="79"/>
  <c r="L40" i="79"/>
  <c r="H49" i="79"/>
  <c r="H56" i="79" s="1"/>
  <c r="H48" i="79"/>
  <c r="H47" i="79"/>
  <c r="H46" i="79"/>
  <c r="H45" i="79"/>
  <c r="H44" i="79"/>
  <c r="H43" i="79"/>
  <c r="H42" i="79"/>
  <c r="H41" i="79"/>
  <c r="H40" i="79"/>
  <c r="N49" i="79"/>
  <c r="N48" i="79"/>
  <c r="N47" i="79"/>
  <c r="N46" i="79"/>
  <c r="N45" i="79"/>
  <c r="N44" i="79"/>
  <c r="N43" i="79"/>
  <c r="N42" i="79"/>
  <c r="N41" i="79"/>
  <c r="N40" i="79"/>
  <c r="J49" i="79"/>
  <c r="J48" i="79"/>
  <c r="J47" i="79"/>
  <c r="J46" i="79"/>
  <c r="J45" i="79"/>
  <c r="J44" i="79"/>
  <c r="J43" i="79"/>
  <c r="J42" i="79"/>
  <c r="J41" i="79"/>
  <c r="J40" i="79"/>
  <c r="F49" i="79"/>
  <c r="F48" i="79"/>
  <c r="F47" i="79"/>
  <c r="F46" i="79"/>
  <c r="F45" i="79"/>
  <c r="F44" i="79"/>
  <c r="F43" i="79"/>
  <c r="F42" i="79"/>
  <c r="F41" i="79"/>
  <c r="F40" i="79"/>
  <c r="C38" i="79"/>
  <c r="B10" i="23"/>
  <c r="F37" i="23"/>
  <c r="D5" i="80"/>
  <c r="D4" i="80"/>
  <c r="D12" i="90"/>
  <c r="C12" i="90"/>
  <c r="F11" i="90"/>
  <c r="F12" i="90" s="1"/>
  <c r="E11" i="90"/>
  <c r="E10" i="90"/>
  <c r="E8" i="90"/>
  <c r="E7" i="90"/>
  <c r="E4" i="90"/>
  <c r="E12" i="90" s="1"/>
  <c r="E3" i="90"/>
  <c r="G9" i="78"/>
  <c r="L31" i="79"/>
  <c r="J31" i="79"/>
  <c r="L30" i="79"/>
  <c r="K30" i="79"/>
  <c r="J30" i="79"/>
  <c r="L29" i="79"/>
  <c r="K29" i="79"/>
  <c r="J29" i="79"/>
  <c r="L28" i="79"/>
  <c r="K28" i="79"/>
  <c r="J28" i="79"/>
  <c r="L27" i="79"/>
  <c r="K27" i="79"/>
  <c r="J27" i="79"/>
  <c r="L26" i="79"/>
  <c r="K26" i="79"/>
  <c r="J26" i="79"/>
  <c r="L25" i="79"/>
  <c r="K25" i="79"/>
  <c r="J25" i="79"/>
  <c r="L24" i="79"/>
  <c r="K24" i="79"/>
  <c r="J24" i="79"/>
  <c r="L23" i="79"/>
  <c r="K23" i="79"/>
  <c r="J23" i="79"/>
  <c r="L22" i="79"/>
  <c r="K22" i="79"/>
  <c r="J22" i="79"/>
  <c r="J20" i="79"/>
  <c r="J38" i="79" s="1"/>
  <c r="F101" i="80"/>
  <c r="D6" i="80"/>
  <c r="D7" i="80"/>
  <c r="D8" i="80"/>
  <c r="D10" i="80"/>
  <c r="D11" i="80"/>
  <c r="D12" i="80"/>
  <c r="F86" i="80"/>
  <c r="D86" i="80"/>
  <c r="E100" i="80"/>
  <c r="I100" i="80" s="1"/>
  <c r="E99" i="80"/>
  <c r="H99" i="80" s="1"/>
  <c r="E98" i="80"/>
  <c r="H98" i="80" s="1"/>
  <c r="E97" i="80"/>
  <c r="I97" i="80" s="1"/>
  <c r="E96" i="80"/>
  <c r="H96" i="80" s="1"/>
  <c r="E95" i="80"/>
  <c r="I95" i="80" s="1"/>
  <c r="E94" i="80"/>
  <c r="H94" i="80" s="1"/>
  <c r="E93" i="80"/>
  <c r="E92" i="80"/>
  <c r="H92" i="80" s="1"/>
  <c r="G101" i="80"/>
  <c r="G100" i="80"/>
  <c r="I99" i="80"/>
  <c r="G99" i="80"/>
  <c r="I98" i="80"/>
  <c r="G98" i="80"/>
  <c r="G97" i="80"/>
  <c r="I96" i="80"/>
  <c r="G96" i="80"/>
  <c r="H95" i="80"/>
  <c r="G95" i="80"/>
  <c r="I94" i="80"/>
  <c r="G94" i="80"/>
  <c r="I93" i="80"/>
  <c r="H93" i="80"/>
  <c r="G93" i="80"/>
  <c r="G92" i="80"/>
  <c r="I85" i="80"/>
  <c r="G85" i="80"/>
  <c r="G84" i="80"/>
  <c r="G83" i="80"/>
  <c r="G82" i="80"/>
  <c r="I81" i="80"/>
  <c r="G81" i="80"/>
  <c r="G80" i="80"/>
  <c r="G79" i="80"/>
  <c r="G78" i="80"/>
  <c r="I77" i="80"/>
  <c r="G77" i="80"/>
  <c r="E85" i="80"/>
  <c r="H85" i="80" s="1"/>
  <c r="E84" i="80"/>
  <c r="H84" i="80" s="1"/>
  <c r="E83" i="80"/>
  <c r="I83" i="80" s="1"/>
  <c r="E82" i="80"/>
  <c r="I82" i="80" s="1"/>
  <c r="E81" i="80"/>
  <c r="H81" i="80" s="1"/>
  <c r="E80" i="80"/>
  <c r="I80" i="80" s="1"/>
  <c r="E79" i="80"/>
  <c r="I79" i="80" s="1"/>
  <c r="E78" i="80"/>
  <c r="I78" i="80" s="1"/>
  <c r="E77" i="80"/>
  <c r="I72" i="80"/>
  <c r="I71" i="80"/>
  <c r="I70" i="80"/>
  <c r="I69" i="80"/>
  <c r="I68" i="80"/>
  <c r="I67" i="80"/>
  <c r="I66" i="80"/>
  <c r="I65" i="80"/>
  <c r="I64" i="80"/>
  <c r="I63" i="80"/>
  <c r="H72" i="80"/>
  <c r="H71" i="80"/>
  <c r="H70" i="80"/>
  <c r="H69" i="80"/>
  <c r="H68" i="80"/>
  <c r="H67" i="80"/>
  <c r="H66" i="80"/>
  <c r="H65" i="80"/>
  <c r="H64" i="80"/>
  <c r="H63" i="80"/>
  <c r="E72" i="80"/>
  <c r="E71" i="80"/>
  <c r="E70" i="80"/>
  <c r="E69" i="80"/>
  <c r="E68" i="80"/>
  <c r="E67" i="80"/>
  <c r="E66" i="80"/>
  <c r="E65" i="80"/>
  <c r="E64" i="80"/>
  <c r="E63" i="80"/>
  <c r="F72" i="80"/>
  <c r="G72" i="80" s="1"/>
  <c r="G71" i="80"/>
  <c r="G70" i="80"/>
  <c r="G69" i="80"/>
  <c r="G68" i="80"/>
  <c r="G67" i="80"/>
  <c r="G66" i="80"/>
  <c r="G65" i="80"/>
  <c r="G64" i="80"/>
  <c r="G63" i="80"/>
  <c r="D72" i="80"/>
  <c r="G102" i="80"/>
  <c r="G87" i="80"/>
  <c r="G58" i="80"/>
  <c r="D33" i="80"/>
  <c r="D34" i="80"/>
  <c r="D35" i="80"/>
  <c r="D36" i="80"/>
  <c r="D37" i="80"/>
  <c r="D38" i="80"/>
  <c r="D39" i="80"/>
  <c r="D40" i="80"/>
  <c r="D32" i="80"/>
  <c r="C33" i="80"/>
  <c r="C34" i="80"/>
  <c r="C35" i="80"/>
  <c r="C36" i="80"/>
  <c r="C37" i="80"/>
  <c r="C38" i="80"/>
  <c r="C39" i="80"/>
  <c r="C40" i="80"/>
  <c r="C32" i="80"/>
  <c r="G6" i="78"/>
  <c r="Q92" i="80" a="1"/>
  <c r="R36" i="80" a="1"/>
  <c r="R32" i="80" a="1"/>
  <c r="R81" i="80" a="1"/>
  <c r="Q81" i="80" a="1"/>
  <c r="R37" i="80" a="1"/>
  <c r="Q96" i="80" a="1"/>
  <c r="R52" i="80" a="1"/>
  <c r="Q50" i="80" a="1"/>
  <c r="Q95" i="80" a="1"/>
  <c r="Q66" i="80" a="1"/>
  <c r="Q97" i="80" a="1"/>
  <c r="R48" i="80" a="1"/>
  <c r="R92" i="80" a="1"/>
  <c r="R95" i="80" a="1"/>
  <c r="R65" i="80" a="1"/>
  <c r="Q80" i="80" a="1"/>
  <c r="Q36" i="80" a="1"/>
  <c r="Q51" i="80" a="1"/>
  <c r="Q82" i="80" a="1"/>
  <c r="Q39" i="80" a="1"/>
  <c r="Q55" i="80" a="1"/>
  <c r="R66" i="80" a="1"/>
  <c r="R67" i="80" a="1"/>
  <c r="R35" i="80" a="1"/>
  <c r="R70" i="80" a="1"/>
  <c r="R80" i="80" a="1"/>
  <c r="Q53" i="80" a="1"/>
  <c r="R50" i="80" a="1"/>
  <c r="Q34" i="80" a="1"/>
  <c r="R96" i="80" a="1"/>
  <c r="R94" i="80" a="1"/>
  <c r="Q67" i="80" a="1"/>
  <c r="Q77" i="80" a="1"/>
  <c r="Q65" i="80" a="1"/>
  <c r="Q70" i="80" a="1"/>
  <c r="Q32" i="80" a="1"/>
  <c r="Q84" i="80" a="1"/>
  <c r="R68" i="80" a="1"/>
  <c r="Q94" i="80" a="1"/>
  <c r="R53" i="80" a="1"/>
  <c r="Q37" i="80" a="1"/>
  <c r="R39" i="80" a="1"/>
  <c r="Q52" i="80" a="1"/>
  <c r="R63" i="80" a="1"/>
  <c r="Q99" i="80" a="1"/>
  <c r="R79" i="80" a="1"/>
  <c r="R51" i="80" a="1"/>
  <c r="R82" i="80" a="1"/>
  <c r="R34" i="80" a="1"/>
  <c r="Q48" i="80" a="1"/>
  <c r="Q79" i="80" a="1"/>
  <c r="Q35" i="80" a="1"/>
  <c r="R97" i="80" a="1"/>
  <c r="Q68" i="80" a="1"/>
  <c r="R84" i="80" a="1"/>
  <c r="R55" i="80" a="1"/>
  <c r="R99" i="80" a="1"/>
  <c r="R77" i="80" a="1"/>
  <c r="Q63" i="80" a="1"/>
  <c r="L35" i="79" l="1"/>
  <c r="Q94" i="80"/>
  <c r="Q95" i="80"/>
  <c r="Q96" i="80"/>
  <c r="Q97" i="80"/>
  <c r="Q99" i="80"/>
  <c r="R92" i="80"/>
  <c r="R94" i="80"/>
  <c r="R95" i="80"/>
  <c r="R96" i="80"/>
  <c r="R97" i="80"/>
  <c r="R99" i="80"/>
  <c r="Q92" i="80"/>
  <c r="Q77" i="80"/>
  <c r="Q79" i="80"/>
  <c r="Q80" i="80"/>
  <c r="Q81" i="80"/>
  <c r="Q82" i="80"/>
  <c r="R77" i="80"/>
  <c r="R79" i="80"/>
  <c r="R80" i="80"/>
  <c r="R81" i="80"/>
  <c r="R82" i="80"/>
  <c r="R84" i="80"/>
  <c r="Q84" i="80"/>
  <c r="Q63" i="80"/>
  <c r="Q66" i="80"/>
  <c r="Q67" i="80"/>
  <c r="Q68" i="80"/>
  <c r="R63" i="80"/>
  <c r="R65" i="80"/>
  <c r="R66" i="80"/>
  <c r="R67" i="80"/>
  <c r="R68" i="80"/>
  <c r="R70" i="80"/>
  <c r="Q65" i="80"/>
  <c r="Q70" i="80"/>
  <c r="Q51" i="80"/>
  <c r="Q52" i="80"/>
  <c r="Q55" i="80"/>
  <c r="R48" i="80"/>
  <c r="R50" i="80"/>
  <c r="R51" i="80"/>
  <c r="R53" i="80"/>
  <c r="R55" i="80"/>
  <c r="Q48" i="80"/>
  <c r="Q50" i="80"/>
  <c r="Q53" i="80"/>
  <c r="R52" i="80"/>
  <c r="H100" i="80"/>
  <c r="I92" i="80"/>
  <c r="H97" i="80"/>
  <c r="E101" i="80"/>
  <c r="H101" i="80" s="1"/>
  <c r="H80" i="80"/>
  <c r="E86" i="80"/>
  <c r="H79" i="80"/>
  <c r="H83" i="80"/>
  <c r="I84" i="80"/>
  <c r="H78" i="80"/>
  <c r="H82" i="80"/>
  <c r="H77" i="80"/>
  <c r="G86" i="80"/>
  <c r="G73" i="80"/>
  <c r="G7" i="78"/>
  <c r="R37" i="80"/>
  <c r="Q37" i="80"/>
  <c r="D41" i="80"/>
  <c r="Q32" i="80"/>
  <c r="Q34" i="80"/>
  <c r="Q35" i="80"/>
  <c r="Q36" i="80"/>
  <c r="Q39" i="80"/>
  <c r="R35" i="80"/>
  <c r="R32" i="80"/>
  <c r="R34" i="80"/>
  <c r="R36" i="80"/>
  <c r="R39" i="80"/>
  <c r="I101" i="80" l="1"/>
  <c r="I86" i="80"/>
  <c r="H86" i="80"/>
  <c r="Q4" i="80" a="1"/>
  <c r="R8" i="80" a="1"/>
  <c r="Q11" i="80" a="1"/>
  <c r="Q8" i="80" a="1"/>
  <c r="R11" i="80" a="1"/>
  <c r="R7" i="80" a="1"/>
  <c r="R4" i="80" a="1"/>
  <c r="Q7" i="80" a="1"/>
  <c r="Q6" i="80" a="1"/>
  <c r="R6" i="80" a="1"/>
  <c r="Q8" i="80" l="1"/>
  <c r="R4" i="80"/>
  <c r="Q6" i="80"/>
  <c r="R7" i="80"/>
  <c r="R11" i="80"/>
  <c r="R6" i="80"/>
  <c r="Q7" i="80"/>
  <c r="Q11" i="80"/>
  <c r="R8" i="80"/>
  <c r="Q4" i="80"/>
  <c r="AB16" i="79"/>
  <c r="Z16" i="79"/>
  <c r="G8" i="78"/>
  <c r="G10" i="78"/>
  <c r="F12" i="50" l="1"/>
  <c r="E12" i="50"/>
  <c r="D12" i="50"/>
  <c r="C12" i="50"/>
  <c r="B12" i="50"/>
  <c r="D12" i="74" l="1"/>
  <c r="C12" i="74"/>
  <c r="B12" i="74"/>
  <c r="D12" i="75" l="1"/>
  <c r="C12" i="75"/>
  <c r="B12" i="75"/>
  <c r="D12" i="77" l="1"/>
  <c r="C12" i="77"/>
  <c r="F12" i="88" l="1"/>
  <c r="E12" i="88"/>
  <c r="D12" i="88"/>
  <c r="C12" i="88"/>
  <c r="B12" i="88"/>
  <c r="D12" i="84" l="1"/>
  <c r="C12" i="84"/>
  <c r="B12" i="84"/>
  <c r="F12" i="59" l="1"/>
  <c r="E12" i="59"/>
  <c r="D12" i="59"/>
  <c r="C12" i="59"/>
  <c r="B12" i="59"/>
  <c r="D12" i="82" l="1"/>
  <c r="C12" i="82"/>
  <c r="B12" i="82"/>
  <c r="F12" i="51" l="1"/>
  <c r="E12" i="51"/>
  <c r="D12" i="51"/>
  <c r="C12" i="51"/>
  <c r="B12" i="51"/>
  <c r="R64" i="89"/>
  <c r="P64" i="89"/>
  <c r="P66" i="89" s="1"/>
  <c r="P67" i="89" s="1"/>
  <c r="F64" i="89"/>
  <c r="D64" i="89"/>
  <c r="T63" i="89"/>
  <c r="S63" i="89"/>
  <c r="R63" i="89"/>
  <c r="P63" i="89"/>
  <c r="O63" i="89"/>
  <c r="N63" i="89"/>
  <c r="L63" i="89"/>
  <c r="K63" i="89"/>
  <c r="J63" i="89"/>
  <c r="H63" i="89"/>
  <c r="G63" i="89"/>
  <c r="F63" i="89"/>
  <c r="D63" i="89"/>
  <c r="C63" i="89"/>
  <c r="T62" i="89"/>
  <c r="S62" i="89"/>
  <c r="R62" i="89"/>
  <c r="P62" i="89"/>
  <c r="O62" i="89"/>
  <c r="N62" i="89"/>
  <c r="L62" i="89"/>
  <c r="K62" i="89"/>
  <c r="J62" i="89"/>
  <c r="H62" i="89"/>
  <c r="G62" i="89"/>
  <c r="F62" i="89"/>
  <c r="D62" i="89"/>
  <c r="C62" i="89"/>
  <c r="T61" i="89"/>
  <c r="S61" i="89"/>
  <c r="R61" i="89"/>
  <c r="P61" i="89"/>
  <c r="O61" i="89"/>
  <c r="N61" i="89"/>
  <c r="L61" i="89"/>
  <c r="K61" i="89"/>
  <c r="J61" i="89"/>
  <c r="H61" i="89"/>
  <c r="G61" i="89"/>
  <c r="F61" i="89"/>
  <c r="D61" i="89"/>
  <c r="C61" i="89"/>
  <c r="T60" i="89"/>
  <c r="S60" i="89"/>
  <c r="R60" i="89"/>
  <c r="P60" i="89"/>
  <c r="O60" i="89"/>
  <c r="N60" i="89"/>
  <c r="L60" i="89"/>
  <c r="K60" i="89"/>
  <c r="J60" i="89"/>
  <c r="H60" i="89"/>
  <c r="G60" i="89"/>
  <c r="F60" i="89"/>
  <c r="D60" i="89"/>
  <c r="C60" i="89"/>
  <c r="T59" i="89"/>
  <c r="S59" i="89"/>
  <c r="R59" i="89"/>
  <c r="P59" i="89"/>
  <c r="O59" i="89"/>
  <c r="N59" i="89"/>
  <c r="L59" i="89"/>
  <c r="K59" i="89"/>
  <c r="J59" i="89"/>
  <c r="H59" i="89"/>
  <c r="G59" i="89"/>
  <c r="F59" i="89"/>
  <c r="D59" i="89"/>
  <c r="C59" i="89"/>
  <c r="T58" i="89"/>
  <c r="S58" i="89"/>
  <c r="R58" i="89"/>
  <c r="P58" i="89"/>
  <c r="O58" i="89"/>
  <c r="N58" i="89"/>
  <c r="L58" i="89"/>
  <c r="K58" i="89"/>
  <c r="J58" i="89"/>
  <c r="H58" i="89"/>
  <c r="G58" i="89"/>
  <c r="F58" i="89"/>
  <c r="D58" i="89"/>
  <c r="C58" i="89"/>
  <c r="T57" i="89"/>
  <c r="S57" i="89"/>
  <c r="R57" i="89"/>
  <c r="P57" i="89"/>
  <c r="O57" i="89"/>
  <c r="N57" i="89"/>
  <c r="L57" i="89"/>
  <c r="K57" i="89"/>
  <c r="J57" i="89"/>
  <c r="H57" i="89"/>
  <c r="G57" i="89"/>
  <c r="F57" i="89"/>
  <c r="D57" i="89"/>
  <c r="C57" i="89"/>
  <c r="T56" i="89"/>
  <c r="S56" i="89"/>
  <c r="R56" i="89"/>
  <c r="P56" i="89"/>
  <c r="O56" i="89"/>
  <c r="N56" i="89"/>
  <c r="L56" i="89"/>
  <c r="K56" i="89"/>
  <c r="J56" i="89"/>
  <c r="H56" i="89"/>
  <c r="G56" i="89"/>
  <c r="F56" i="89"/>
  <c r="D56" i="89"/>
  <c r="C56" i="89"/>
  <c r="N54" i="89"/>
  <c r="J54" i="89"/>
  <c r="F54" i="89"/>
  <c r="F53" i="89"/>
  <c r="D51" i="89"/>
  <c r="T50" i="89"/>
  <c r="T64" i="89" s="1"/>
  <c r="T66" i="89" s="1"/>
  <c r="R50" i="89"/>
  <c r="P50" i="89"/>
  <c r="N50" i="89"/>
  <c r="N64" i="89" s="1"/>
  <c r="L50" i="89"/>
  <c r="L64" i="89" s="1"/>
  <c r="L66" i="89" s="1"/>
  <c r="L67" i="89" s="1"/>
  <c r="J50" i="89"/>
  <c r="J64" i="89" s="1"/>
  <c r="H50" i="89"/>
  <c r="H64" i="89" s="1"/>
  <c r="H66" i="89" s="1"/>
  <c r="H67" i="89" s="1"/>
  <c r="F50" i="89"/>
  <c r="D50" i="89"/>
  <c r="C50" i="89"/>
  <c r="C64" i="89" s="1"/>
  <c r="X30" i="89"/>
  <c r="W30" i="89"/>
  <c r="V30" i="89"/>
  <c r="T30" i="89"/>
  <c r="S30" i="89"/>
  <c r="R30" i="89"/>
  <c r="P30" i="89"/>
  <c r="O30" i="89"/>
  <c r="N30" i="89"/>
  <c r="L30" i="89"/>
  <c r="K30" i="89"/>
  <c r="J30" i="89"/>
  <c r="H30" i="89"/>
  <c r="G30" i="89"/>
  <c r="F30" i="89"/>
  <c r="D30" i="89"/>
  <c r="C30" i="89"/>
  <c r="X29" i="89"/>
  <c r="W29" i="89"/>
  <c r="V29" i="89"/>
  <c r="T29" i="89"/>
  <c r="S29" i="89"/>
  <c r="R29" i="89"/>
  <c r="P29" i="89"/>
  <c r="O29" i="89"/>
  <c r="N29" i="89"/>
  <c r="L29" i="89"/>
  <c r="K29" i="89"/>
  <c r="J29" i="89"/>
  <c r="H29" i="89"/>
  <c r="G29" i="89"/>
  <c r="F29" i="89"/>
  <c r="X28" i="89"/>
  <c r="W28" i="89"/>
  <c r="V28" i="89"/>
  <c r="T28" i="89"/>
  <c r="S28" i="89"/>
  <c r="R28" i="89"/>
  <c r="P28" i="89"/>
  <c r="O28" i="89"/>
  <c r="N28" i="89"/>
  <c r="L28" i="89"/>
  <c r="K28" i="89"/>
  <c r="J28" i="89"/>
  <c r="H28" i="89"/>
  <c r="G28" i="89"/>
  <c r="F28" i="89"/>
  <c r="X27" i="89"/>
  <c r="W27" i="89"/>
  <c r="V27" i="89"/>
  <c r="T27" i="89"/>
  <c r="S27" i="89"/>
  <c r="R27" i="89"/>
  <c r="P27" i="89"/>
  <c r="O27" i="89"/>
  <c r="N27" i="89"/>
  <c r="L27" i="89"/>
  <c r="K27" i="89"/>
  <c r="J27" i="89"/>
  <c r="H27" i="89"/>
  <c r="G27" i="89"/>
  <c r="F27" i="89"/>
  <c r="D27" i="89"/>
  <c r="X26" i="89"/>
  <c r="W26" i="89"/>
  <c r="V26" i="89"/>
  <c r="T26" i="89"/>
  <c r="S26" i="89"/>
  <c r="R26" i="89"/>
  <c r="P26" i="89"/>
  <c r="O26" i="89"/>
  <c r="N26" i="89"/>
  <c r="L26" i="89"/>
  <c r="K26" i="89"/>
  <c r="J26" i="89"/>
  <c r="H26" i="89"/>
  <c r="G26" i="89"/>
  <c r="F26" i="89"/>
  <c r="X25" i="89"/>
  <c r="W25" i="89"/>
  <c r="V25" i="89"/>
  <c r="T25" i="89"/>
  <c r="S25" i="89"/>
  <c r="R25" i="89"/>
  <c r="P25" i="89"/>
  <c r="O25" i="89"/>
  <c r="N25" i="89"/>
  <c r="L25" i="89"/>
  <c r="K25" i="89"/>
  <c r="J25" i="89"/>
  <c r="H25" i="89"/>
  <c r="G25" i="89"/>
  <c r="F25" i="89"/>
  <c r="B25" i="89"/>
  <c r="X24" i="89"/>
  <c r="W24" i="89"/>
  <c r="V24" i="89"/>
  <c r="T24" i="89"/>
  <c r="S24" i="89"/>
  <c r="R24" i="89"/>
  <c r="P24" i="89"/>
  <c r="O24" i="89"/>
  <c r="N24" i="89"/>
  <c r="L24" i="89"/>
  <c r="K24" i="89"/>
  <c r="J24" i="89"/>
  <c r="H24" i="89"/>
  <c r="G24" i="89"/>
  <c r="F24" i="89"/>
  <c r="X23" i="89"/>
  <c r="W23" i="89"/>
  <c r="V23" i="89"/>
  <c r="T23" i="89"/>
  <c r="S23" i="89"/>
  <c r="R23" i="89"/>
  <c r="P23" i="89"/>
  <c r="O23" i="89"/>
  <c r="N23" i="89"/>
  <c r="L23" i="89"/>
  <c r="K23" i="89"/>
  <c r="J23" i="89"/>
  <c r="H23" i="89"/>
  <c r="G23" i="89"/>
  <c r="F23" i="89"/>
  <c r="X22" i="89"/>
  <c r="W22" i="89"/>
  <c r="V22" i="89"/>
  <c r="T22" i="89"/>
  <c r="S22" i="89"/>
  <c r="R22" i="89"/>
  <c r="P22" i="89"/>
  <c r="O22" i="89"/>
  <c r="N22" i="89"/>
  <c r="L22" i="89"/>
  <c r="K22" i="89"/>
  <c r="J22" i="89"/>
  <c r="H22" i="89"/>
  <c r="G22" i="89"/>
  <c r="F22" i="89"/>
  <c r="D22" i="89"/>
  <c r="A22" i="89" s="1"/>
  <c r="C22" i="89"/>
  <c r="V20" i="89"/>
  <c r="R20" i="89"/>
  <c r="N20" i="89"/>
  <c r="J20" i="89"/>
  <c r="F20" i="89"/>
  <c r="F19" i="89"/>
  <c r="X16" i="89"/>
  <c r="X31" i="89" s="1"/>
  <c r="V16" i="89"/>
  <c r="V31" i="89" s="1"/>
  <c r="T16" i="89"/>
  <c r="T31" i="89" s="1"/>
  <c r="R16" i="89"/>
  <c r="R31" i="89" s="1"/>
  <c r="P16" i="89"/>
  <c r="P31" i="89" s="1"/>
  <c r="N16" i="89"/>
  <c r="N31" i="89" s="1"/>
  <c r="L16" i="89"/>
  <c r="L31" i="89" s="1"/>
  <c r="J16" i="89"/>
  <c r="J31" i="89" s="1"/>
  <c r="H16" i="89"/>
  <c r="H31" i="89" s="1"/>
  <c r="F16" i="89"/>
  <c r="F31" i="89" s="1"/>
  <c r="B15" i="89"/>
  <c r="B30" i="89" s="1"/>
  <c r="D29" i="89"/>
  <c r="C29" i="89"/>
  <c r="B14" i="89"/>
  <c r="B29" i="89" s="1"/>
  <c r="D28" i="89"/>
  <c r="C28" i="89"/>
  <c r="B13" i="89"/>
  <c r="B28" i="89" s="1"/>
  <c r="C27" i="89"/>
  <c r="B12" i="89"/>
  <c r="B27" i="89" s="1"/>
  <c r="D26" i="89"/>
  <c r="C26" i="89"/>
  <c r="B11" i="89"/>
  <c r="B26" i="89" s="1"/>
  <c r="D25" i="89"/>
  <c r="C25" i="89"/>
  <c r="B10" i="89"/>
  <c r="D24" i="89"/>
  <c r="C24" i="89"/>
  <c r="B9" i="89"/>
  <c r="B24" i="89" s="1"/>
  <c r="D23" i="89"/>
  <c r="C23" i="89"/>
  <c r="B8" i="89"/>
  <c r="B23" i="89" s="1"/>
  <c r="D16" i="89"/>
  <c r="C16" i="89"/>
  <c r="B7" i="89"/>
  <c r="B22" i="89" s="1"/>
  <c r="A26" i="89" l="1"/>
  <c r="A30" i="89"/>
  <c r="A24" i="89"/>
  <c r="O16" i="89"/>
  <c r="O31" i="89" s="1"/>
  <c r="A25" i="89"/>
  <c r="A23" i="89"/>
  <c r="A27" i="89"/>
  <c r="A28" i="89"/>
  <c r="G50" i="89"/>
  <c r="G64" i="89" s="1"/>
  <c r="S16" i="89"/>
  <c r="S31" i="89" s="1"/>
  <c r="K16" i="89"/>
  <c r="K31" i="89" s="1"/>
  <c r="G16" i="89"/>
  <c r="G31" i="89" s="1"/>
  <c r="C31" i="89"/>
  <c r="D17" i="89"/>
  <c r="D31" i="89"/>
  <c r="X33" i="89" s="1"/>
  <c r="X34" i="89" s="1"/>
  <c r="A29" i="89"/>
  <c r="W16" i="89"/>
  <c r="W31" i="89" s="1"/>
  <c r="K50" i="89"/>
  <c r="K64" i="89" s="1"/>
  <c r="B3" i="89"/>
  <c r="C3" i="89"/>
  <c r="O50" i="89"/>
  <c r="O64" i="89" s="1"/>
  <c r="G9" i="88"/>
  <c r="D9" i="88"/>
  <c r="L33" i="89" l="1"/>
  <c r="L34" i="89" s="1"/>
  <c r="T33" i="89"/>
  <c r="T34" i="89" s="1"/>
  <c r="H33" i="89"/>
  <c r="H34" i="89" s="1"/>
  <c r="P33" i="89"/>
  <c r="P34" i="89" s="1"/>
  <c r="O12" i="88" l="1"/>
  <c r="I12" i="88"/>
  <c r="G12" i="88"/>
  <c r="H12" i="88" s="1"/>
  <c r="L12" i="88"/>
  <c r="M12" i="88" s="1"/>
  <c r="N12" i="88"/>
  <c r="C6" i="88"/>
  <c r="B6" i="88"/>
  <c r="R12" i="88" l="1"/>
  <c r="P12" i="88"/>
  <c r="Q12" i="88" s="1"/>
  <c r="B9" i="88"/>
  <c r="B47" i="88" l="1"/>
  <c r="B51" i="88"/>
  <c r="B55" i="88"/>
  <c r="B50" i="88"/>
  <c r="B58" i="88"/>
  <c r="B48" i="88"/>
  <c r="B52" i="88"/>
  <c r="B56" i="88"/>
  <c r="B46" i="88"/>
  <c r="B45" i="88"/>
  <c r="B49" i="88"/>
  <c r="B53" i="88"/>
  <c r="B57" i="88"/>
  <c r="B54" i="88"/>
  <c r="E9" i="88"/>
  <c r="F9" i="88" s="1"/>
  <c r="J22" i="23" s="1"/>
  <c r="E37" i="80" s="1"/>
  <c r="B42" i="88"/>
  <c r="B40" i="88"/>
  <c r="B38" i="88"/>
  <c r="B36" i="88"/>
  <c r="B34" i="88"/>
  <c r="B32" i="88"/>
  <c r="B30" i="88"/>
  <c r="B28" i="88"/>
  <c r="B26" i="88"/>
  <c r="B24" i="88"/>
  <c r="B44" i="88"/>
  <c r="B29" i="88"/>
  <c r="B22" i="88"/>
  <c r="H9" i="88"/>
  <c r="I9" i="88" s="1"/>
  <c r="B43" i="88"/>
  <c r="B41" i="88"/>
  <c r="B39" i="88"/>
  <c r="B37" i="88"/>
  <c r="B35" i="88"/>
  <c r="B33" i="88"/>
  <c r="B31" i="88"/>
  <c r="B27" i="88"/>
  <c r="B25" i="88"/>
  <c r="B23" i="88"/>
  <c r="E53" i="88" l="1"/>
  <c r="D53" i="88"/>
  <c r="C53" i="88"/>
  <c r="E56" i="88"/>
  <c r="D56" i="88"/>
  <c r="C56" i="88"/>
  <c r="E50" i="88"/>
  <c r="D50" i="88"/>
  <c r="C50" i="88"/>
  <c r="E49" i="88"/>
  <c r="D49" i="88"/>
  <c r="C49" i="88"/>
  <c r="C52" i="88"/>
  <c r="E52" i="88"/>
  <c r="D52" i="88"/>
  <c r="E55" i="88"/>
  <c r="D55" i="88"/>
  <c r="C55" i="88"/>
  <c r="E43" i="88"/>
  <c r="D43" i="88"/>
  <c r="C43" i="88"/>
  <c r="C44" i="88"/>
  <c r="E44" i="88"/>
  <c r="D44" i="88"/>
  <c r="E54" i="88"/>
  <c r="D54" i="88"/>
  <c r="C54" i="88"/>
  <c r="E45" i="88"/>
  <c r="D45" i="88"/>
  <c r="C45" i="88"/>
  <c r="E48" i="88"/>
  <c r="D48" i="88"/>
  <c r="C48" i="88"/>
  <c r="E51" i="88"/>
  <c r="D51" i="88"/>
  <c r="C51" i="88"/>
  <c r="E57" i="88"/>
  <c r="D57" i="88"/>
  <c r="C57" i="88"/>
  <c r="E46" i="88"/>
  <c r="D46" i="88"/>
  <c r="C46" i="88"/>
  <c r="E58" i="88"/>
  <c r="D58" i="88"/>
  <c r="C58" i="88"/>
  <c r="E47" i="88"/>
  <c r="D47" i="88"/>
  <c r="C47" i="88"/>
  <c r="H37" i="80"/>
  <c r="I37" i="80"/>
  <c r="J9" i="88"/>
  <c r="O22" i="23"/>
  <c r="D26" i="88"/>
  <c r="C26" i="88"/>
  <c r="D41" i="88"/>
  <c r="C41" i="88"/>
  <c r="D25" i="88"/>
  <c r="C25" i="88"/>
  <c r="D30" i="88"/>
  <c r="C30" i="88"/>
  <c r="D27" i="88"/>
  <c r="C27" i="88"/>
  <c r="D32" i="88"/>
  <c r="C32" i="88"/>
  <c r="D23" i="88"/>
  <c r="C23" i="88"/>
  <c r="D28" i="88"/>
  <c r="C28" i="88"/>
  <c r="C22" i="88"/>
  <c r="D33" i="88"/>
  <c r="C33" i="88"/>
  <c r="D36" i="88"/>
  <c r="C36" i="88"/>
  <c r="D39" i="88"/>
  <c r="C39" i="88"/>
  <c r="D31" i="88"/>
  <c r="C31" i="88"/>
  <c r="D34" i="88"/>
  <c r="C34" i="88"/>
  <c r="D29" i="88"/>
  <c r="C29" i="88"/>
  <c r="D35" i="88"/>
  <c r="C35" i="88"/>
  <c r="D38" i="88"/>
  <c r="C38" i="88"/>
  <c r="D37" i="88"/>
  <c r="C37" i="88"/>
  <c r="D24" i="88"/>
  <c r="C24" i="88"/>
  <c r="D40" i="88"/>
  <c r="C40" i="88"/>
  <c r="D42" i="88"/>
  <c r="C42" i="88"/>
  <c r="J9" i="80"/>
  <c r="J82" i="80"/>
  <c r="J68" i="80"/>
  <c r="J97" i="80"/>
  <c r="C43" i="23" l="1"/>
  <c r="C39" i="87" l="1"/>
  <c r="C38" i="87"/>
  <c r="C37" i="87"/>
  <c r="C36" i="87"/>
  <c r="C35" i="87"/>
  <c r="C34" i="87"/>
  <c r="C33" i="87"/>
  <c r="C32" i="87"/>
  <c r="C31" i="87"/>
  <c r="L27" i="87"/>
  <c r="C27" i="87"/>
  <c r="L26" i="87"/>
  <c r="C26" i="87"/>
  <c r="L25" i="87"/>
  <c r="C25" i="87"/>
  <c r="L24" i="87"/>
  <c r="C24" i="87"/>
  <c r="L23" i="87"/>
  <c r="C23" i="87"/>
  <c r="L22" i="87"/>
  <c r="C22" i="87"/>
  <c r="L21" i="87"/>
  <c r="C21" i="87"/>
  <c r="L20" i="87"/>
  <c r="C20" i="87"/>
  <c r="L19" i="87"/>
  <c r="C19" i="87"/>
  <c r="L13" i="87"/>
  <c r="C13" i="87"/>
  <c r="L12" i="87"/>
  <c r="C12" i="87"/>
  <c r="L11" i="87"/>
  <c r="C11" i="87"/>
  <c r="L10" i="87"/>
  <c r="C10" i="87"/>
  <c r="L9" i="87"/>
  <c r="C9" i="87"/>
  <c r="L8" i="87"/>
  <c r="C8" i="87"/>
  <c r="L7" i="87"/>
  <c r="C7" i="87"/>
  <c r="L6" i="87"/>
  <c r="C6" i="87"/>
  <c r="L5" i="87"/>
  <c r="C5" i="87"/>
  <c r="E26" i="23" l="1"/>
  <c r="B12" i="23" l="1"/>
  <c r="I10" i="23"/>
  <c r="G16" i="78"/>
  <c r="I32" i="23" l="1"/>
  <c r="G14" i="88" s="1"/>
  <c r="F32" i="23" l="1"/>
  <c r="H14" i="88" s="1"/>
  <c r="G32" i="23"/>
  <c r="E26" i="88" l="1"/>
  <c r="E33" i="88"/>
  <c r="E40" i="88"/>
  <c r="E30" i="88"/>
  <c r="E28" i="88"/>
  <c r="E36" i="88"/>
  <c r="E31" i="88"/>
  <c r="E24" i="88"/>
  <c r="E39" i="88"/>
  <c r="E34" i="88"/>
  <c r="E27" i="88"/>
  <c r="E22" i="88"/>
  <c r="E35" i="88"/>
  <c r="E41" i="88"/>
  <c r="E32" i="88"/>
  <c r="E29" i="88"/>
  <c r="E38" i="88"/>
  <c r="E42" i="88"/>
  <c r="E25" i="88"/>
  <c r="E23" i="88"/>
  <c r="E37" i="88"/>
  <c r="C39" i="86"/>
  <c r="C38" i="86"/>
  <c r="C37" i="86"/>
  <c r="C36" i="86"/>
  <c r="C35" i="86"/>
  <c r="C34" i="86"/>
  <c r="C33" i="86"/>
  <c r="C32" i="86"/>
  <c r="C31" i="86"/>
  <c r="L27" i="86"/>
  <c r="C27" i="86"/>
  <c r="L26" i="86"/>
  <c r="C26" i="86"/>
  <c r="L25" i="86"/>
  <c r="C25" i="86"/>
  <c r="L24" i="86"/>
  <c r="C24" i="86"/>
  <c r="L23" i="86"/>
  <c r="C23" i="86"/>
  <c r="L22" i="86"/>
  <c r="C22" i="86"/>
  <c r="L21" i="86"/>
  <c r="C21" i="86"/>
  <c r="L20" i="86"/>
  <c r="C20" i="86"/>
  <c r="L19" i="86"/>
  <c r="C19" i="86"/>
  <c r="L13" i="86"/>
  <c r="C13" i="86"/>
  <c r="L12" i="86"/>
  <c r="C12" i="86"/>
  <c r="L11" i="86"/>
  <c r="C11" i="86"/>
  <c r="L10" i="86"/>
  <c r="C10" i="86"/>
  <c r="L9" i="86"/>
  <c r="C9" i="86"/>
  <c r="L8" i="86"/>
  <c r="C8" i="86"/>
  <c r="L7" i="86"/>
  <c r="C7" i="86"/>
  <c r="L6" i="86"/>
  <c r="C6" i="86"/>
  <c r="L5" i="86"/>
  <c r="C5" i="86"/>
  <c r="C12" i="80"/>
  <c r="C11" i="80"/>
  <c r="C10" i="80"/>
  <c r="C9" i="80"/>
  <c r="C8" i="80"/>
  <c r="C7" i="80"/>
  <c r="C6" i="80"/>
  <c r="C5" i="80"/>
  <c r="C4" i="80"/>
  <c r="J53" i="80"/>
  <c r="J37" i="80"/>
  <c r="I12" i="59" l="1"/>
  <c r="G9" i="59"/>
  <c r="D9" i="59"/>
  <c r="F12" i="82"/>
  <c r="B8" i="79"/>
  <c r="B41" i="79" s="1"/>
  <c r="B9" i="79"/>
  <c r="B10" i="79"/>
  <c r="B11" i="79"/>
  <c r="B12" i="79"/>
  <c r="B13" i="79"/>
  <c r="B14" i="79"/>
  <c r="B15" i="79"/>
  <c r="B7" i="79"/>
  <c r="C15" i="79"/>
  <c r="C14" i="79"/>
  <c r="C13" i="79"/>
  <c r="C12" i="79"/>
  <c r="C11" i="79"/>
  <c r="C10" i="79"/>
  <c r="C9" i="79"/>
  <c r="C8" i="79"/>
  <c r="C7" i="79"/>
  <c r="B23" i="79"/>
  <c r="Q19" i="23"/>
  <c r="C23" i="79" l="1"/>
  <c r="C41" i="79"/>
  <c r="B40" i="79"/>
  <c r="B22" i="79"/>
  <c r="C24" i="79"/>
  <c r="C42" i="79"/>
  <c r="C28" i="79"/>
  <c r="C46" i="79"/>
  <c r="B30" i="79"/>
  <c r="B48" i="79"/>
  <c r="B26" i="79"/>
  <c r="B44" i="79"/>
  <c r="C25" i="79"/>
  <c r="C43" i="79"/>
  <c r="C29" i="79"/>
  <c r="C47" i="79"/>
  <c r="B25" i="79"/>
  <c r="B43" i="79"/>
  <c r="B29" i="79"/>
  <c r="B47" i="79"/>
  <c r="C40" i="79"/>
  <c r="C22" i="79"/>
  <c r="C26" i="79"/>
  <c r="C44" i="79"/>
  <c r="C30" i="79"/>
  <c r="C48" i="79"/>
  <c r="B28" i="79"/>
  <c r="B46" i="79"/>
  <c r="B24" i="79"/>
  <c r="B42" i="79"/>
  <c r="C27" i="79"/>
  <c r="C45" i="79"/>
  <c r="B27" i="79"/>
  <c r="B45" i="79"/>
  <c r="F12" i="84"/>
  <c r="D9" i="84"/>
  <c r="G9" i="84"/>
  <c r="K21" i="23"/>
  <c r="M21" i="23" s="1"/>
  <c r="I26" i="23"/>
  <c r="B9" i="84" l="1"/>
  <c r="P21" i="23"/>
  <c r="C9" i="84"/>
  <c r="Q21" i="23"/>
  <c r="A22" i="84"/>
  <c r="A23" i="84" s="1"/>
  <c r="A21" i="84"/>
  <c r="F14" i="84"/>
  <c r="E14" i="84"/>
  <c r="H9" i="84"/>
  <c r="I9" i="84" l="1"/>
  <c r="B21" i="84"/>
  <c r="C21" i="84" s="1"/>
  <c r="E9" i="84"/>
  <c r="F9" i="84" s="1"/>
  <c r="J21" i="23" s="1"/>
  <c r="E36" i="80" s="1"/>
  <c r="B23" i="84"/>
  <c r="C23" i="84" s="1"/>
  <c r="A24" i="84"/>
  <c r="B22" i="84"/>
  <c r="C22" i="84" s="1"/>
  <c r="H36" i="80" l="1"/>
  <c r="I36" i="80"/>
  <c r="E8" i="80"/>
  <c r="I8" i="80" s="1"/>
  <c r="O21" i="23"/>
  <c r="L21" i="23"/>
  <c r="N21" i="23" s="1"/>
  <c r="B24" i="84"/>
  <c r="C24" i="84" s="1"/>
  <c r="A25" i="84"/>
  <c r="I39" i="23"/>
  <c r="J39" i="23" s="1"/>
  <c r="H39" i="23"/>
  <c r="Z11" i="89" s="1"/>
  <c r="AA11" i="89" s="1"/>
  <c r="F39" i="23"/>
  <c r="G39" i="23" s="1"/>
  <c r="F8" i="80" s="1"/>
  <c r="D39" i="23"/>
  <c r="C39" i="23"/>
  <c r="B39" i="23"/>
  <c r="B40" i="23"/>
  <c r="B41" i="23"/>
  <c r="B42" i="23"/>
  <c r="B43" i="23"/>
  <c r="AB11" i="89" l="1"/>
  <c r="F36" i="80"/>
  <c r="H8" i="80"/>
  <c r="M23" i="87"/>
  <c r="D35" i="87" s="1"/>
  <c r="O33" i="87" s="1"/>
  <c r="O9" i="87"/>
  <c r="E35" i="87" s="1"/>
  <c r="O31" i="87" s="1"/>
  <c r="O23" i="87"/>
  <c r="G35" i="87" s="1"/>
  <c r="O32" i="87" s="1"/>
  <c r="M9" i="87"/>
  <c r="Q9" i="87"/>
  <c r="F35" i="87" s="1"/>
  <c r="O35" i="87" s="1"/>
  <c r="Q23" i="87"/>
  <c r="H35" i="87" s="1"/>
  <c r="O34" i="87" s="1"/>
  <c r="N9" i="87"/>
  <c r="R23" i="87"/>
  <c r="P23" i="87"/>
  <c r="R9" i="87"/>
  <c r="N23" i="87"/>
  <c r="P9" i="87"/>
  <c r="P26" i="79"/>
  <c r="H26" i="79"/>
  <c r="P39" i="23"/>
  <c r="AB26" i="79"/>
  <c r="G8" i="80"/>
  <c r="D11" i="79"/>
  <c r="I23" i="86"/>
  <c r="R23" i="86" s="1"/>
  <c r="E23" i="86"/>
  <c r="N23" i="86" s="1"/>
  <c r="G9" i="86"/>
  <c r="P9" i="86" s="1"/>
  <c r="G23" i="86"/>
  <c r="P23" i="86" s="1"/>
  <c r="I9" i="86"/>
  <c r="R9" i="86" s="1"/>
  <c r="E9" i="86"/>
  <c r="N9" i="86" s="1"/>
  <c r="H9" i="86"/>
  <c r="Q9" i="86" s="1"/>
  <c r="F35" i="86" s="1"/>
  <c r="O35" i="86" s="1"/>
  <c r="D9" i="86"/>
  <c r="M9" i="86" s="1"/>
  <c r="H23" i="86"/>
  <c r="Q23" i="86" s="1"/>
  <c r="H35" i="86" s="1"/>
  <c r="O34" i="86" s="1"/>
  <c r="D23" i="86"/>
  <c r="M23" i="86" s="1"/>
  <c r="D35" i="86" s="1"/>
  <c r="O33" i="86" s="1"/>
  <c r="F9" i="86"/>
  <c r="O9" i="86" s="1"/>
  <c r="E35" i="86" s="1"/>
  <c r="O31" i="86" s="1"/>
  <c r="F23" i="86"/>
  <c r="O23" i="86" s="1"/>
  <c r="G35" i="86" s="1"/>
  <c r="O32" i="86" s="1"/>
  <c r="AH11" i="79"/>
  <c r="AF11" i="79"/>
  <c r="AG11" i="79" s="1"/>
  <c r="B25" i="84"/>
  <c r="C25" i="84" s="1"/>
  <c r="A26" i="84"/>
  <c r="K39" i="23"/>
  <c r="M39" i="23" s="1"/>
  <c r="L39" i="23"/>
  <c r="N39" i="23" s="1"/>
  <c r="D26" i="79" l="1"/>
  <c r="A26" i="79" s="1"/>
  <c r="D44" i="79"/>
  <c r="G36" i="80"/>
  <c r="AA26" i="79"/>
  <c r="Z26" i="79"/>
  <c r="O26" i="79"/>
  <c r="N26" i="79"/>
  <c r="G26" i="79"/>
  <c r="F26" i="79"/>
  <c r="A27" i="84"/>
  <c r="B26" i="84"/>
  <c r="C26" i="84" s="1"/>
  <c r="H14" i="48"/>
  <c r="G14" i="48"/>
  <c r="F14" i="74"/>
  <c r="E14" i="74"/>
  <c r="F14" i="75"/>
  <c r="E14" i="75"/>
  <c r="F14" i="77"/>
  <c r="E14" i="77"/>
  <c r="F14" i="82"/>
  <c r="E14" i="82"/>
  <c r="B27" i="84" l="1"/>
  <c r="C27" i="84" s="1"/>
  <c r="A28" i="84"/>
  <c r="E9" i="80"/>
  <c r="I9" i="80" s="1"/>
  <c r="H9" i="80" l="1"/>
  <c r="B28" i="84"/>
  <c r="C28" i="84" s="1"/>
  <c r="A29" i="84"/>
  <c r="B29" i="84" l="1"/>
  <c r="C29" i="84" s="1"/>
  <c r="A30" i="84"/>
  <c r="A31" i="84" l="1"/>
  <c r="B30" i="84"/>
  <c r="C30" i="84" s="1"/>
  <c r="B31" i="84" l="1"/>
  <c r="C31" i="84" s="1"/>
  <c r="A32" i="84"/>
  <c r="B32" i="84" l="1"/>
  <c r="C32" i="84" s="1"/>
  <c r="A33" i="84"/>
  <c r="B33" i="84" l="1"/>
  <c r="C33" i="84" s="1"/>
  <c r="A34" i="84"/>
  <c r="A35" i="84" l="1"/>
  <c r="B34" i="84"/>
  <c r="C34" i="84" s="1"/>
  <c r="J96" i="80"/>
  <c r="J8" i="80"/>
  <c r="J52" i="80"/>
  <c r="J67" i="80"/>
  <c r="J81" i="80"/>
  <c r="A36" i="84" l="1"/>
  <c r="B35" i="84"/>
  <c r="C35" i="84" s="1"/>
  <c r="B36" i="84" l="1"/>
  <c r="C36" i="84" s="1"/>
  <c r="A37" i="84"/>
  <c r="B37" i="84" l="1"/>
  <c r="C37" i="84" s="1"/>
  <c r="A38" i="84"/>
  <c r="A39" i="84" l="1"/>
  <c r="B38" i="84"/>
  <c r="C38" i="84" s="1"/>
  <c r="A40" i="84" l="1"/>
  <c r="B39" i="84"/>
  <c r="C39" i="84" s="1"/>
  <c r="B40" i="84" l="1"/>
  <c r="C40" i="84" s="1"/>
  <c r="A41" i="84"/>
  <c r="B41" i="84" s="1"/>
  <c r="C41" i="84" s="1"/>
  <c r="J36" i="80"/>
  <c r="G9" i="82" l="1"/>
  <c r="D9" i="82"/>
  <c r="A22" i="82"/>
  <c r="A23" i="82" s="1"/>
  <c r="A21" i="82"/>
  <c r="H9" i="82" l="1"/>
  <c r="I9" i="82" s="1"/>
  <c r="O19" i="23" s="1"/>
  <c r="E9" i="82"/>
  <c r="F9" i="82" s="1"/>
  <c r="J19" i="23" s="1"/>
  <c r="E34" i="80" s="1"/>
  <c r="G12" i="82"/>
  <c r="B21" i="82"/>
  <c r="C21" i="82" s="1"/>
  <c r="A24" i="82"/>
  <c r="B23" i="82"/>
  <c r="C23" i="82" s="1"/>
  <c r="B22" i="82"/>
  <c r="C22" i="82" s="1"/>
  <c r="H34" i="80" l="1"/>
  <c r="I34" i="80"/>
  <c r="E6" i="80"/>
  <c r="I6" i="80" s="1"/>
  <c r="B24" i="82"/>
  <c r="C24" i="82" s="1"/>
  <c r="A25" i="82"/>
  <c r="B25" i="82" l="1"/>
  <c r="C25" i="82" s="1"/>
  <c r="A26" i="82"/>
  <c r="A27" i="82" l="1"/>
  <c r="B26" i="82"/>
  <c r="C26" i="82" s="1"/>
  <c r="B27" i="82" l="1"/>
  <c r="C27" i="82" s="1"/>
  <c r="A28" i="82"/>
  <c r="B28" i="82" l="1"/>
  <c r="C28" i="82" s="1"/>
  <c r="A29" i="82"/>
  <c r="J50" i="80"/>
  <c r="J65" i="80"/>
  <c r="J79" i="80"/>
  <c r="A30" i="82" l="1"/>
  <c r="B29" i="82"/>
  <c r="C29" i="82" s="1"/>
  <c r="J6" i="80"/>
  <c r="A31" i="82" l="1"/>
  <c r="B30" i="82"/>
  <c r="C30" i="82" s="1"/>
  <c r="A32" i="82" l="1"/>
  <c r="B31" i="82"/>
  <c r="C31" i="82" s="1"/>
  <c r="J94" i="80"/>
  <c r="B32" i="82" l="1"/>
  <c r="C32" i="82" s="1"/>
  <c r="A33" i="82"/>
  <c r="B33" i="82" l="1"/>
  <c r="C33" i="82" s="1"/>
  <c r="A34" i="82"/>
  <c r="A35" i="82" l="1"/>
  <c r="B34" i="82"/>
  <c r="C34" i="82" s="1"/>
  <c r="B35" i="82" l="1"/>
  <c r="C35" i="82" s="1"/>
  <c r="A36" i="82"/>
  <c r="B36" i="82" l="1"/>
  <c r="C36" i="82" s="1"/>
  <c r="A37" i="82"/>
  <c r="A38" i="82" l="1"/>
  <c r="B37" i="82"/>
  <c r="C37" i="82" s="1"/>
  <c r="A39" i="82" l="1"/>
  <c r="B38" i="82"/>
  <c r="C38" i="82" s="1"/>
  <c r="A40" i="82" l="1"/>
  <c r="B39" i="82"/>
  <c r="C39" i="82" s="1"/>
  <c r="B40" i="82" l="1"/>
  <c r="C40" i="82" s="1"/>
  <c r="A41" i="82"/>
  <c r="B41" i="82" s="1"/>
  <c r="C41" i="82" s="1"/>
  <c r="J34" i="80"/>
  <c r="F19" i="79" l="1"/>
  <c r="F37" i="79" s="1"/>
  <c r="Z20" i="79"/>
  <c r="N20" i="79"/>
  <c r="N38" i="79" s="1"/>
  <c r="F20" i="79"/>
  <c r="F38" i="79" s="1"/>
  <c r="C16" i="79" l="1"/>
  <c r="C31" i="79" s="1"/>
  <c r="B3" i="79"/>
  <c r="D18" i="78"/>
  <c r="G17" i="78"/>
  <c r="D17" i="78"/>
  <c r="D16" i="78"/>
  <c r="K31" i="79" l="1"/>
  <c r="C49" i="79"/>
  <c r="AA16" i="79"/>
  <c r="C11" i="78"/>
  <c r="E9" i="78" s="1"/>
  <c r="C9" i="78" s="1"/>
  <c r="K9" i="78" s="1"/>
  <c r="D13" i="80"/>
  <c r="E6" i="78" l="1"/>
  <c r="C6" i="78" s="1"/>
  <c r="K6" i="78" s="1"/>
  <c r="E7" i="78"/>
  <c r="C7" i="78" s="1"/>
  <c r="K7" i="78" s="1"/>
  <c r="C18" i="78"/>
  <c r="E10" i="78"/>
  <c r="C10" i="78" s="1"/>
  <c r="E8" i="78"/>
  <c r="C8" i="78" s="1"/>
  <c r="E11" i="78"/>
  <c r="C16" i="78" l="1"/>
  <c r="L8" i="78"/>
  <c r="L10" i="78"/>
  <c r="C17" i="78"/>
  <c r="E17" i="78" s="1"/>
  <c r="F12" i="77"/>
  <c r="G9" i="77"/>
  <c r="D9" i="77"/>
  <c r="A21" i="77"/>
  <c r="A22" i="77" s="1"/>
  <c r="A23" i="77" l="1"/>
  <c r="I17" i="78"/>
  <c r="E16" i="78"/>
  <c r="H9" i="77"/>
  <c r="I9" i="77" s="1"/>
  <c r="B21" i="77"/>
  <c r="C21" i="77" s="1"/>
  <c r="E9" i="77"/>
  <c r="F9" i="77" s="1"/>
  <c r="J23" i="23" s="1"/>
  <c r="E38" i="80" s="1"/>
  <c r="B23" i="77"/>
  <c r="C23" i="77" s="1"/>
  <c r="A24" i="77"/>
  <c r="B22" i="77"/>
  <c r="C22" i="77" s="1"/>
  <c r="H38" i="80" l="1"/>
  <c r="I38" i="80"/>
  <c r="E10" i="80"/>
  <c r="O23" i="23"/>
  <c r="I16" i="78"/>
  <c r="B24" i="77"/>
  <c r="C24" i="77" s="1"/>
  <c r="A25" i="77"/>
  <c r="H10" i="80" l="1"/>
  <c r="I10" i="80"/>
  <c r="B25" i="77"/>
  <c r="C25" i="77" s="1"/>
  <c r="A26" i="77"/>
  <c r="A27" i="77" l="1"/>
  <c r="B26" i="77"/>
  <c r="C26" i="77" s="1"/>
  <c r="B27" i="77" l="1"/>
  <c r="C27" i="77" s="1"/>
  <c r="A28" i="77"/>
  <c r="B28" i="77" l="1"/>
  <c r="C28" i="77" s="1"/>
  <c r="A29" i="77"/>
  <c r="A30" i="77" l="1"/>
  <c r="B29" i="77"/>
  <c r="C29" i="77" s="1"/>
  <c r="A31" i="77" l="1"/>
  <c r="B30" i="77"/>
  <c r="C30" i="77" s="1"/>
  <c r="A32" i="77" l="1"/>
  <c r="B31" i="77"/>
  <c r="C31" i="77" s="1"/>
  <c r="B32" i="77" l="1"/>
  <c r="C32" i="77" s="1"/>
  <c r="A33" i="77"/>
  <c r="B33" i="77" l="1"/>
  <c r="C33" i="77" s="1"/>
  <c r="A34" i="77"/>
  <c r="A35" i="77" l="1"/>
  <c r="B34" i="77"/>
  <c r="C34" i="77" s="1"/>
  <c r="A36" i="77" l="1"/>
  <c r="B35" i="77"/>
  <c r="C35" i="77" s="1"/>
  <c r="B36" i="77" l="1"/>
  <c r="C36" i="77" s="1"/>
  <c r="A37" i="77"/>
  <c r="B37" i="77" l="1"/>
  <c r="C37" i="77" s="1"/>
  <c r="A38" i="77"/>
  <c r="A39" i="77" l="1"/>
  <c r="B38" i="77"/>
  <c r="C38" i="77" s="1"/>
  <c r="A40" i="77" l="1"/>
  <c r="B39" i="77"/>
  <c r="C39" i="77" s="1"/>
  <c r="B40" i="77" l="1"/>
  <c r="C40" i="77" s="1"/>
  <c r="A41" i="77"/>
  <c r="R54" i="80" a="1"/>
  <c r="R98" i="80" a="1"/>
  <c r="R10" i="80" a="1"/>
  <c r="Q10" i="80" a="1"/>
  <c r="Q38" i="80" a="1"/>
  <c r="R38" i="80" a="1"/>
  <c r="Q69" i="80" a="1"/>
  <c r="Q83" i="80" a="1"/>
  <c r="R83" i="80" a="1"/>
  <c r="Q98" i="80" a="1"/>
  <c r="R69" i="80" a="1"/>
  <c r="Q54" i="80" a="1"/>
  <c r="R83" i="80" l="1"/>
  <c r="R54" i="80"/>
  <c r="Q69" i="80"/>
  <c r="Q98" i="80"/>
  <c r="R98" i="80"/>
  <c r="Q54" i="80"/>
  <c r="Q38" i="80"/>
  <c r="R38" i="80"/>
  <c r="Q83" i="80"/>
  <c r="R69" i="80"/>
  <c r="R10" i="80"/>
  <c r="Q10" i="80"/>
  <c r="B41" i="77"/>
  <c r="C41" i="77" s="1"/>
  <c r="F12" i="75"/>
  <c r="G9" i="75"/>
  <c r="D9" i="75"/>
  <c r="D9" i="74"/>
  <c r="F12" i="74"/>
  <c r="G9" i="74"/>
  <c r="J83" i="80"/>
  <c r="J98" i="80"/>
  <c r="J38" i="80"/>
  <c r="J54" i="80"/>
  <c r="J69" i="80"/>
  <c r="J10" i="80"/>
  <c r="H9" i="74" l="1"/>
  <c r="I9" i="74" s="1"/>
  <c r="A21" i="75"/>
  <c r="B21" i="75" s="1"/>
  <c r="C21" i="75" s="1"/>
  <c r="H9" i="75"/>
  <c r="I9" i="75" s="1"/>
  <c r="E9" i="75"/>
  <c r="F9" i="75" s="1"/>
  <c r="J24" i="23" s="1"/>
  <c r="E39" i="80" s="1"/>
  <c r="A21" i="74"/>
  <c r="A22" i="74" s="1"/>
  <c r="E9" i="74"/>
  <c r="F9" i="74" s="1"/>
  <c r="J25" i="23" s="1"/>
  <c r="E40" i="80" s="1"/>
  <c r="B22" i="74" l="1"/>
  <c r="C22" i="74" s="1"/>
  <c r="I39" i="80"/>
  <c r="H39" i="80"/>
  <c r="H40" i="80"/>
  <c r="I40" i="80"/>
  <c r="E11" i="80"/>
  <c r="O24" i="23"/>
  <c r="E12" i="80"/>
  <c r="I12" i="80" s="1"/>
  <c r="O25" i="23"/>
  <c r="A22" i="75"/>
  <c r="A23" i="75" s="1"/>
  <c r="A24" i="75" s="1"/>
  <c r="A23" i="74"/>
  <c r="B21" i="74"/>
  <c r="C21" i="74" s="1"/>
  <c r="H11" i="80" l="1"/>
  <c r="I11" i="80"/>
  <c r="F20" i="80"/>
  <c r="H12" i="80"/>
  <c r="B23" i="75"/>
  <c r="C23" i="75" s="1"/>
  <c r="B22" i="75"/>
  <c r="C22" i="75" s="1"/>
  <c r="B23" i="74"/>
  <c r="C23" i="74" s="1"/>
  <c r="A24" i="74"/>
  <c r="B24" i="75"/>
  <c r="C24" i="75" s="1"/>
  <c r="A25" i="75"/>
  <c r="A25" i="74" l="1"/>
  <c r="B24" i="74"/>
  <c r="C24" i="74" s="1"/>
  <c r="B25" i="75"/>
  <c r="C25" i="75" s="1"/>
  <c r="A26" i="75"/>
  <c r="B25" i="74" l="1"/>
  <c r="C25" i="74" s="1"/>
  <c r="A26" i="74"/>
  <c r="A27" i="75"/>
  <c r="B26" i="75"/>
  <c r="C26" i="75" s="1"/>
  <c r="A27" i="74" l="1"/>
  <c r="B26" i="74"/>
  <c r="C26" i="74" s="1"/>
  <c r="A28" i="75"/>
  <c r="B27" i="75"/>
  <c r="C27" i="75" s="1"/>
  <c r="A28" i="74" l="1"/>
  <c r="B27" i="74"/>
  <c r="C27" i="74" s="1"/>
  <c r="B28" i="75"/>
  <c r="C28" i="75" s="1"/>
  <c r="A29" i="75"/>
  <c r="J70" i="80"/>
  <c r="J55" i="80"/>
  <c r="B28" i="74" l="1"/>
  <c r="C28" i="74" s="1"/>
  <c r="A29" i="74"/>
  <c r="B29" i="75"/>
  <c r="C29" i="75" s="1"/>
  <c r="A30" i="75"/>
  <c r="A30" i="74" l="1"/>
  <c r="B29" i="74"/>
  <c r="C29" i="74" s="1"/>
  <c r="A31" i="75"/>
  <c r="B30" i="75"/>
  <c r="C30" i="75" s="1"/>
  <c r="B30" i="74" l="1"/>
  <c r="C30" i="74" s="1"/>
  <c r="A31" i="74"/>
  <c r="A32" i="75"/>
  <c r="B31" i="75"/>
  <c r="C31" i="75" s="1"/>
  <c r="J84" i="80"/>
  <c r="B31" i="74" l="1"/>
  <c r="C31" i="74" s="1"/>
  <c r="A32" i="74"/>
  <c r="B32" i="75"/>
  <c r="C32" i="75" s="1"/>
  <c r="A33" i="75"/>
  <c r="J99" i="80"/>
  <c r="B32" i="74" l="1"/>
  <c r="C32" i="74" s="1"/>
  <c r="A33" i="74"/>
  <c r="B33" i="75"/>
  <c r="C33" i="75" s="1"/>
  <c r="A34" i="75"/>
  <c r="J11" i="80"/>
  <c r="B33" i="74" l="1"/>
  <c r="C33" i="74" s="1"/>
  <c r="A34" i="74"/>
  <c r="A35" i="75"/>
  <c r="B34" i="75"/>
  <c r="C34" i="75" s="1"/>
  <c r="B34" i="74" l="1"/>
  <c r="C34" i="74" s="1"/>
  <c r="A35" i="74"/>
  <c r="A36" i="75"/>
  <c r="B35" i="75"/>
  <c r="C35" i="75" s="1"/>
  <c r="A36" i="74" l="1"/>
  <c r="B35" i="74"/>
  <c r="C35" i="74" s="1"/>
  <c r="B36" i="75"/>
  <c r="C36" i="75" s="1"/>
  <c r="A37" i="75"/>
  <c r="A37" i="74" l="1"/>
  <c r="B36" i="74"/>
  <c r="C36" i="74" s="1"/>
  <c r="B37" i="75"/>
  <c r="C37" i="75" s="1"/>
  <c r="A38" i="75"/>
  <c r="A38" i="74" l="1"/>
  <c r="B37" i="74"/>
  <c r="C37" i="74" s="1"/>
  <c r="A39" i="75"/>
  <c r="B38" i="75"/>
  <c r="C38" i="75" s="1"/>
  <c r="A39" i="74" l="1"/>
  <c r="B38" i="74"/>
  <c r="C38" i="74" s="1"/>
  <c r="A40" i="75"/>
  <c r="B39" i="75"/>
  <c r="C39" i="75" s="1"/>
  <c r="A40" i="74" l="1"/>
  <c r="B39" i="74"/>
  <c r="C39" i="74" s="1"/>
  <c r="B40" i="75"/>
  <c r="C40" i="75" s="1"/>
  <c r="A41" i="75"/>
  <c r="B41" i="75" s="1"/>
  <c r="C41" i="75" s="1"/>
  <c r="J39" i="80"/>
  <c r="A41" i="74" l="1"/>
  <c r="B40" i="74"/>
  <c r="C40" i="74" s="1"/>
  <c r="Q12" i="80" a="1"/>
  <c r="R85" i="80" a="1"/>
  <c r="Q40" i="80" a="1"/>
  <c r="R71" i="80" a="1"/>
  <c r="Q85" i="80" a="1"/>
  <c r="R40" i="80" a="1"/>
  <c r="Q71" i="80" a="1"/>
  <c r="Q56" i="80" a="1"/>
  <c r="R56" i="80" a="1"/>
  <c r="R100" i="80" a="1"/>
  <c r="R12" i="80" a="1"/>
  <c r="Q100" i="80" a="1"/>
  <c r="R12" i="80" l="1"/>
  <c r="Q12" i="80"/>
  <c r="Q56" i="80"/>
  <c r="R100" i="80"/>
  <c r="R85" i="80"/>
  <c r="Q100" i="80"/>
  <c r="Q85" i="80"/>
  <c r="Q71" i="80"/>
  <c r="R56" i="80"/>
  <c r="R40" i="80"/>
  <c r="Q40" i="80"/>
  <c r="R71" i="80"/>
  <c r="B41" i="74"/>
  <c r="C41" i="74" s="1"/>
  <c r="Q18" i="23"/>
  <c r="J85" i="80"/>
  <c r="J12" i="80"/>
  <c r="J40" i="80"/>
  <c r="J71" i="80"/>
  <c r="J56" i="80"/>
  <c r="J100" i="80"/>
  <c r="C9" i="77" l="1"/>
  <c r="Q23" i="23"/>
  <c r="C6" i="48"/>
  <c r="B6" i="48"/>
  <c r="C6" i="59"/>
  <c r="B6" i="59"/>
  <c r="C6" i="50"/>
  <c r="B6" i="50"/>
  <c r="C6" i="51"/>
  <c r="B6" i="51"/>
  <c r="D43" i="23" l="1"/>
  <c r="H43" i="23"/>
  <c r="Z15" i="89" s="1"/>
  <c r="AA15" i="89" s="1"/>
  <c r="C37" i="23"/>
  <c r="D37" i="23"/>
  <c r="H37" i="23"/>
  <c r="Z9" i="89" s="1"/>
  <c r="AA9" i="89" s="1"/>
  <c r="C38" i="23"/>
  <c r="D38" i="23"/>
  <c r="H38" i="23"/>
  <c r="Z10" i="89" s="1"/>
  <c r="AA10" i="89" s="1"/>
  <c r="C40" i="23"/>
  <c r="D40" i="23"/>
  <c r="H40" i="23"/>
  <c r="Z12" i="89" s="1"/>
  <c r="AA12" i="89" s="1"/>
  <c r="C41" i="23"/>
  <c r="D41" i="23"/>
  <c r="H41" i="23"/>
  <c r="Z13" i="89" s="1"/>
  <c r="AA13" i="89" s="1"/>
  <c r="C42" i="23"/>
  <c r="D42" i="23"/>
  <c r="H42" i="23"/>
  <c r="Z14" i="89" s="1"/>
  <c r="AA14" i="89" s="1"/>
  <c r="Q21" i="87" l="1"/>
  <c r="H33" i="87" s="1"/>
  <c r="M34" i="87" s="1"/>
  <c r="Q7" i="87"/>
  <c r="F33" i="87" s="1"/>
  <c r="M35" i="87" s="1"/>
  <c r="M21" i="87"/>
  <c r="D33" i="87" s="1"/>
  <c r="M33" i="87" s="1"/>
  <c r="O7" i="87"/>
  <c r="E33" i="87" s="1"/>
  <c r="M31" i="87" s="1"/>
  <c r="O21" i="87"/>
  <c r="G33" i="87" s="1"/>
  <c r="M32" i="87" s="1"/>
  <c r="M7" i="87"/>
  <c r="Q24" i="87"/>
  <c r="H36" i="87" s="1"/>
  <c r="P34" i="87" s="1"/>
  <c r="M10" i="87"/>
  <c r="M24" i="87"/>
  <c r="D36" i="87" s="1"/>
  <c r="P33" i="87" s="1"/>
  <c r="O24" i="87"/>
  <c r="G36" i="87" s="1"/>
  <c r="P32" i="87" s="1"/>
  <c r="O10" i="87"/>
  <c r="E36" i="87" s="1"/>
  <c r="P31" i="87" s="1"/>
  <c r="Q10" i="87"/>
  <c r="F36" i="87" s="1"/>
  <c r="P35" i="87" s="1"/>
  <c r="M8" i="87"/>
  <c r="Q8" i="87"/>
  <c r="F34" i="87" s="1"/>
  <c r="N35" i="87" s="1"/>
  <c r="M22" i="87"/>
  <c r="D34" i="87" s="1"/>
  <c r="N33" i="87" s="1"/>
  <c r="Q22" i="87"/>
  <c r="H34" i="87" s="1"/>
  <c r="N34" i="87" s="1"/>
  <c r="O8" i="87"/>
  <c r="E34" i="87" s="1"/>
  <c r="N31" i="87" s="1"/>
  <c r="O22" i="87"/>
  <c r="G34" i="87" s="1"/>
  <c r="N32" i="87" s="1"/>
  <c r="Q26" i="87"/>
  <c r="H38" i="87" s="1"/>
  <c r="R34" i="87" s="1"/>
  <c r="O12" i="87"/>
  <c r="E38" i="87" s="1"/>
  <c r="R31" i="87" s="1"/>
  <c r="M12" i="87"/>
  <c r="Q12" i="87"/>
  <c r="F38" i="87" s="1"/>
  <c r="R35" i="87" s="1"/>
  <c r="O26" i="87"/>
  <c r="G38" i="87" s="1"/>
  <c r="R32" i="87" s="1"/>
  <c r="M26" i="87"/>
  <c r="D38" i="87" s="1"/>
  <c r="R33" i="87" s="1"/>
  <c r="M11" i="87"/>
  <c r="Q25" i="87"/>
  <c r="H37" i="87" s="1"/>
  <c r="Q34" i="87" s="1"/>
  <c r="Q11" i="87"/>
  <c r="F37" i="87" s="1"/>
  <c r="Q35" i="87" s="1"/>
  <c r="O25" i="87"/>
  <c r="G37" i="87" s="1"/>
  <c r="Q32" i="87" s="1"/>
  <c r="O11" i="87"/>
  <c r="E37" i="87" s="1"/>
  <c r="Q31" i="87" s="1"/>
  <c r="M25" i="87"/>
  <c r="D37" i="87" s="1"/>
  <c r="Q33" i="87" s="1"/>
  <c r="Q13" i="87"/>
  <c r="F39" i="87" s="1"/>
  <c r="S35" i="87" s="1"/>
  <c r="Q27" i="87"/>
  <c r="H39" i="87" s="1"/>
  <c r="S34" i="87" s="1"/>
  <c r="O27" i="87"/>
  <c r="G39" i="87" s="1"/>
  <c r="S32" i="87" s="1"/>
  <c r="O13" i="87"/>
  <c r="E39" i="87" s="1"/>
  <c r="S31" i="87" s="1"/>
  <c r="M27" i="87"/>
  <c r="D39" i="87" s="1"/>
  <c r="S33" i="87" s="1"/>
  <c r="M13" i="87"/>
  <c r="F24" i="86"/>
  <c r="O24" i="86" s="1"/>
  <c r="G36" i="86" s="1"/>
  <c r="P32" i="86" s="1"/>
  <c r="H10" i="86"/>
  <c r="Q10" i="86" s="1"/>
  <c r="F36" i="86" s="1"/>
  <c r="P35" i="86" s="1"/>
  <c r="D10" i="86"/>
  <c r="M10" i="86" s="1"/>
  <c r="H24" i="86"/>
  <c r="Q24" i="86" s="1"/>
  <c r="H36" i="86" s="1"/>
  <c r="P34" i="86" s="1"/>
  <c r="D24" i="86"/>
  <c r="M24" i="86" s="1"/>
  <c r="D36" i="86" s="1"/>
  <c r="P33" i="86" s="1"/>
  <c r="F10" i="86"/>
  <c r="O10" i="86" s="1"/>
  <c r="E36" i="86" s="1"/>
  <c r="P31" i="86" s="1"/>
  <c r="F11" i="86"/>
  <c r="O11" i="86" s="1"/>
  <c r="E37" i="86" s="1"/>
  <c r="Q31" i="86" s="1"/>
  <c r="F25" i="86"/>
  <c r="O25" i="86" s="1"/>
  <c r="G37" i="86" s="1"/>
  <c r="Q32" i="86" s="1"/>
  <c r="H11" i="86"/>
  <c r="Q11" i="86" s="1"/>
  <c r="F37" i="86" s="1"/>
  <c r="Q35" i="86" s="1"/>
  <c r="D11" i="86"/>
  <c r="M11" i="86" s="1"/>
  <c r="H25" i="86"/>
  <c r="Q25" i="86" s="1"/>
  <c r="H37" i="86" s="1"/>
  <c r="Q34" i="86" s="1"/>
  <c r="D25" i="86"/>
  <c r="M25" i="86" s="1"/>
  <c r="D37" i="86" s="1"/>
  <c r="Q33" i="86" s="1"/>
  <c r="H13" i="86"/>
  <c r="Q13" i="86" s="1"/>
  <c r="F39" i="86" s="1"/>
  <c r="S35" i="86" s="1"/>
  <c r="D13" i="86"/>
  <c r="M13" i="86" s="1"/>
  <c r="H27" i="86"/>
  <c r="Q27" i="86" s="1"/>
  <c r="H39" i="86" s="1"/>
  <c r="S34" i="86" s="1"/>
  <c r="D27" i="86"/>
  <c r="M27" i="86" s="1"/>
  <c r="D39" i="86" s="1"/>
  <c r="S33" i="86" s="1"/>
  <c r="F13" i="86"/>
  <c r="O13" i="86" s="1"/>
  <c r="E39" i="86" s="1"/>
  <c r="S31" i="86" s="1"/>
  <c r="F27" i="86"/>
  <c r="O27" i="86" s="1"/>
  <c r="G39" i="86" s="1"/>
  <c r="S32" i="86" s="1"/>
  <c r="H26" i="86"/>
  <c r="Q26" i="86" s="1"/>
  <c r="H38" i="86" s="1"/>
  <c r="R34" i="86" s="1"/>
  <c r="D26" i="86"/>
  <c r="M26" i="86" s="1"/>
  <c r="D38" i="86" s="1"/>
  <c r="R33" i="86" s="1"/>
  <c r="F12" i="86"/>
  <c r="O12" i="86" s="1"/>
  <c r="E38" i="86" s="1"/>
  <c r="R31" i="86" s="1"/>
  <c r="F26" i="86"/>
  <c r="O26" i="86" s="1"/>
  <c r="G38" i="86" s="1"/>
  <c r="R32" i="86" s="1"/>
  <c r="H12" i="86"/>
  <c r="Q12" i="86" s="1"/>
  <c r="F38" i="86" s="1"/>
  <c r="R35" i="86" s="1"/>
  <c r="D12" i="86"/>
  <c r="M12" i="86" s="1"/>
  <c r="F7" i="86"/>
  <c r="O7" i="86" s="1"/>
  <c r="E33" i="86" s="1"/>
  <c r="M31" i="86" s="1"/>
  <c r="F21" i="86"/>
  <c r="O21" i="86" s="1"/>
  <c r="G33" i="86" s="1"/>
  <c r="M32" i="86" s="1"/>
  <c r="H7" i="86"/>
  <c r="Q7" i="86" s="1"/>
  <c r="F33" i="86" s="1"/>
  <c r="M35" i="86" s="1"/>
  <c r="D7" i="86"/>
  <c r="M7" i="86" s="1"/>
  <c r="H21" i="86"/>
  <c r="Q21" i="86" s="1"/>
  <c r="H33" i="86" s="1"/>
  <c r="M34" i="86" s="1"/>
  <c r="D21" i="86"/>
  <c r="M21" i="86" s="1"/>
  <c r="D33" i="86" s="1"/>
  <c r="M33" i="86" s="1"/>
  <c r="H22" i="86"/>
  <c r="Q22" i="86" s="1"/>
  <c r="H34" i="86" s="1"/>
  <c r="N34" i="86" s="1"/>
  <c r="D22" i="86"/>
  <c r="M22" i="86" s="1"/>
  <c r="D34" i="86" s="1"/>
  <c r="N33" i="86" s="1"/>
  <c r="F8" i="86"/>
  <c r="O8" i="86" s="1"/>
  <c r="E34" i="86" s="1"/>
  <c r="N31" i="86" s="1"/>
  <c r="F22" i="86"/>
  <c r="O22" i="86" s="1"/>
  <c r="G34" i="86" s="1"/>
  <c r="N32" i="86" s="1"/>
  <c r="H8" i="86"/>
  <c r="Q8" i="86" s="1"/>
  <c r="F34" i="86" s="1"/>
  <c r="N35" i="86" s="1"/>
  <c r="D8" i="86"/>
  <c r="M8" i="86" s="1"/>
  <c r="AF12" i="79"/>
  <c r="AG12" i="79" s="1"/>
  <c r="AF13" i="79"/>
  <c r="AG13" i="79" s="1"/>
  <c r="AF15" i="79"/>
  <c r="AG15" i="79" s="1"/>
  <c r="AF14" i="79"/>
  <c r="AG14" i="79" s="1"/>
  <c r="AF9" i="79"/>
  <c r="AG9" i="79" s="1"/>
  <c r="AF10" i="79"/>
  <c r="AG10" i="79" s="1"/>
  <c r="K40" i="23"/>
  <c r="M40" i="23" s="1"/>
  <c r="K43" i="23"/>
  <c r="M43" i="23" s="1"/>
  <c r="K42" i="23"/>
  <c r="M42" i="23" s="1"/>
  <c r="K38" i="23"/>
  <c r="M38" i="23" s="1"/>
  <c r="K41" i="23"/>
  <c r="M41" i="23" s="1"/>
  <c r="K37" i="23"/>
  <c r="M37" i="23" s="1"/>
  <c r="F24" i="79" l="1"/>
  <c r="F27" i="79"/>
  <c r="AA27" i="79"/>
  <c r="Z27" i="79"/>
  <c r="O24" i="79"/>
  <c r="N24" i="79"/>
  <c r="G28" i="79"/>
  <c r="F28" i="79"/>
  <c r="O25" i="79"/>
  <c r="N25" i="79"/>
  <c r="O28" i="79"/>
  <c r="N28" i="79"/>
  <c r="AA30" i="79"/>
  <c r="Z30" i="79"/>
  <c r="G25" i="79"/>
  <c r="F25" i="79"/>
  <c r="AA28" i="79"/>
  <c r="Z28" i="79"/>
  <c r="AA25" i="79"/>
  <c r="Z25" i="79"/>
  <c r="G30" i="79"/>
  <c r="F30" i="79"/>
  <c r="AA29" i="79"/>
  <c r="Z29" i="79"/>
  <c r="O30" i="79"/>
  <c r="N30" i="79"/>
  <c r="G29" i="79"/>
  <c r="F29" i="79"/>
  <c r="AA24" i="79"/>
  <c r="Z24" i="79"/>
  <c r="O27" i="79"/>
  <c r="N27" i="79"/>
  <c r="O29" i="79"/>
  <c r="G24" i="79"/>
  <c r="G27" i="79"/>
  <c r="G9" i="50"/>
  <c r="G9" i="51"/>
  <c r="K19" i="23" l="1"/>
  <c r="M19" i="23" s="1"/>
  <c r="K20" i="23"/>
  <c r="M20" i="23" s="1"/>
  <c r="K22" i="23"/>
  <c r="M22" i="23" s="1"/>
  <c r="K23" i="23"/>
  <c r="M23" i="23" s="1"/>
  <c r="K24" i="23"/>
  <c r="M24" i="23" s="1"/>
  <c r="K25" i="23"/>
  <c r="C9" i="82"/>
  <c r="C9" i="88"/>
  <c r="P25" i="23"/>
  <c r="Q25" i="23"/>
  <c r="P18" i="23"/>
  <c r="Q17" i="23"/>
  <c r="P17" i="23"/>
  <c r="G12" i="59"/>
  <c r="H12" i="59" s="1"/>
  <c r="N12" i="59"/>
  <c r="B9" i="82" l="1"/>
  <c r="P19" i="23"/>
  <c r="Q20" i="23"/>
  <c r="C9" i="59"/>
  <c r="P20" i="23"/>
  <c r="B9" i="59"/>
  <c r="P22" i="23"/>
  <c r="Q22" i="23"/>
  <c r="B9" i="77"/>
  <c r="P23" i="23"/>
  <c r="C9" i="75"/>
  <c r="Q24" i="23"/>
  <c r="B9" i="75"/>
  <c r="P24" i="23"/>
  <c r="B9" i="74"/>
  <c r="G26" i="23"/>
  <c r="C9" i="74"/>
  <c r="H26" i="23"/>
  <c r="M25" i="23"/>
  <c r="L12" i="59"/>
  <c r="M12" i="59" s="1"/>
  <c r="O12" i="59"/>
  <c r="R12" i="59" l="1"/>
  <c r="P12" i="59"/>
  <c r="Q12" i="59" s="1"/>
  <c r="I42" i="23"/>
  <c r="I41" i="23"/>
  <c r="B43" i="59" l="1"/>
  <c r="B44" i="59"/>
  <c r="B42" i="59"/>
  <c r="C42" i="59" s="1"/>
  <c r="B26" i="59"/>
  <c r="H9" i="59"/>
  <c r="I9" i="59" s="1"/>
  <c r="B25" i="59"/>
  <c r="C25" i="59" s="1"/>
  <c r="B23" i="59"/>
  <c r="C23" i="59" s="1"/>
  <c r="B28" i="59"/>
  <c r="C28" i="59" s="1"/>
  <c r="B37" i="59"/>
  <c r="C37" i="59" s="1"/>
  <c r="B27" i="59"/>
  <c r="C27" i="59" s="1"/>
  <c r="B32" i="59"/>
  <c r="C32" i="59" s="1"/>
  <c r="B41" i="59"/>
  <c r="B33" i="59"/>
  <c r="C33" i="59" s="1"/>
  <c r="B38" i="59"/>
  <c r="B39" i="59"/>
  <c r="E9" i="59"/>
  <c r="F9" i="59" s="1"/>
  <c r="B31" i="59"/>
  <c r="B34" i="59"/>
  <c r="C34" i="59" s="1"/>
  <c r="B36" i="59"/>
  <c r="C36" i="59" s="1"/>
  <c r="B29" i="59"/>
  <c r="C29" i="59" s="1"/>
  <c r="B30" i="59"/>
  <c r="B22" i="59"/>
  <c r="C22" i="59" s="1"/>
  <c r="B35" i="59"/>
  <c r="C35" i="59" s="1"/>
  <c r="B24" i="59"/>
  <c r="C24" i="59" s="1"/>
  <c r="B40" i="59"/>
  <c r="C40" i="59" s="1"/>
  <c r="I40" i="23" l="1"/>
  <c r="J20" i="23"/>
  <c r="J9" i="59"/>
  <c r="D42" i="59"/>
  <c r="L23" i="23"/>
  <c r="N23" i="23" s="1"/>
  <c r="F41" i="23"/>
  <c r="L24" i="23"/>
  <c r="N24" i="23" s="1"/>
  <c r="F42" i="23"/>
  <c r="D28" i="59"/>
  <c r="D34" i="59"/>
  <c r="D38" i="59"/>
  <c r="D26" i="59"/>
  <c r="C38" i="59"/>
  <c r="D39" i="59"/>
  <c r="C26" i="59"/>
  <c r="D27" i="59"/>
  <c r="D33" i="59"/>
  <c r="C41" i="59"/>
  <c r="D29" i="59"/>
  <c r="D25" i="59"/>
  <c r="C39" i="59"/>
  <c r="D23" i="59"/>
  <c r="D24" i="59"/>
  <c r="D40" i="59"/>
  <c r="D30" i="59"/>
  <c r="D37" i="59"/>
  <c r="D31" i="59"/>
  <c r="D35" i="59"/>
  <c r="D36" i="59"/>
  <c r="C30" i="59"/>
  <c r="C31" i="59"/>
  <c r="D41" i="59"/>
  <c r="D32" i="59"/>
  <c r="I38" i="23" l="1"/>
  <c r="J38" i="23" s="1"/>
  <c r="G8" i="86" s="1"/>
  <c r="P8" i="86" s="1"/>
  <c r="E35" i="80"/>
  <c r="E7" i="80"/>
  <c r="O20" i="23"/>
  <c r="N8" i="87"/>
  <c r="R22" i="87"/>
  <c r="N22" i="87"/>
  <c r="P8" i="87"/>
  <c r="P22" i="87"/>
  <c r="R8" i="87"/>
  <c r="H25" i="79"/>
  <c r="AB25" i="79"/>
  <c r="P25" i="79"/>
  <c r="L20" i="23"/>
  <c r="N20" i="23" s="1"/>
  <c r="F38" i="23"/>
  <c r="F40" i="23"/>
  <c r="L22" i="23"/>
  <c r="N22" i="23" s="1"/>
  <c r="A43" i="23"/>
  <c r="A41" i="23"/>
  <c r="A42" i="23"/>
  <c r="A37" i="23"/>
  <c r="B37" i="23"/>
  <c r="A38" i="23"/>
  <c r="B38" i="23"/>
  <c r="A40" i="23"/>
  <c r="E22" i="86" l="1"/>
  <c r="N22" i="86" s="1"/>
  <c r="E8" i="86"/>
  <c r="N8" i="86" s="1"/>
  <c r="AH10" i="79"/>
  <c r="I8" i="86"/>
  <c r="R8" i="86" s="1"/>
  <c r="G22" i="86"/>
  <c r="P22" i="86" s="1"/>
  <c r="I22" i="86"/>
  <c r="R22" i="86" s="1"/>
  <c r="H35" i="80"/>
  <c r="I35" i="80"/>
  <c r="AB10" i="89"/>
  <c r="F35" i="80"/>
  <c r="G35" i="80" s="1"/>
  <c r="H7" i="80"/>
  <c r="I7" i="80"/>
  <c r="F25" i="80" s="1"/>
  <c r="F22" i="80"/>
  <c r="H36" i="23"/>
  <c r="Z8" i="89" s="1"/>
  <c r="AA8" i="89" s="1"/>
  <c r="H35" i="23"/>
  <c r="Z7" i="89" s="1"/>
  <c r="C36" i="23"/>
  <c r="D36" i="23"/>
  <c r="B36" i="23"/>
  <c r="B35" i="23"/>
  <c r="A36" i="23"/>
  <c r="A35" i="23"/>
  <c r="Z16" i="89" l="1"/>
  <c r="AA16" i="89" s="1"/>
  <c r="AA7" i="89"/>
  <c r="Q5" i="87"/>
  <c r="F31" i="87" s="1"/>
  <c r="K35" i="87" s="1"/>
  <c r="M5" i="87"/>
  <c r="O5" i="87"/>
  <c r="E31" i="87" s="1"/>
  <c r="K31" i="87" s="1"/>
  <c r="M19" i="87"/>
  <c r="D31" i="87" s="1"/>
  <c r="K33" i="87" s="1"/>
  <c r="Q19" i="87"/>
  <c r="H31" i="87" s="1"/>
  <c r="K34" i="87" s="1"/>
  <c r="O19" i="87"/>
  <c r="G31" i="87" s="1"/>
  <c r="K32" i="87" s="1"/>
  <c r="Q6" i="87"/>
  <c r="F32" i="87" s="1"/>
  <c r="L35" i="87" s="1"/>
  <c r="O6" i="87"/>
  <c r="E32" i="87" s="1"/>
  <c r="L31" i="87" s="1"/>
  <c r="M6" i="87"/>
  <c r="Q20" i="87"/>
  <c r="H32" i="87" s="1"/>
  <c r="L34" i="87" s="1"/>
  <c r="O20" i="87"/>
  <c r="G32" i="87" s="1"/>
  <c r="L32" i="87" s="1"/>
  <c r="M20" i="87"/>
  <c r="D32" i="87" s="1"/>
  <c r="L33" i="87" s="1"/>
  <c r="AF7" i="79"/>
  <c r="AG7" i="79" s="1"/>
  <c r="H5" i="86"/>
  <c r="Q5" i="86" s="1"/>
  <c r="F31" i="86" s="1"/>
  <c r="K35" i="86" s="1"/>
  <c r="D5" i="86"/>
  <c r="M5" i="86" s="1"/>
  <c r="H19" i="86"/>
  <c r="Q19" i="86" s="1"/>
  <c r="H31" i="86" s="1"/>
  <c r="K34" i="86" s="1"/>
  <c r="D19" i="86"/>
  <c r="M19" i="86" s="1"/>
  <c r="D31" i="86" s="1"/>
  <c r="K33" i="86" s="1"/>
  <c r="F5" i="86"/>
  <c r="O5" i="86" s="1"/>
  <c r="E31" i="86" s="1"/>
  <c r="K31" i="86" s="1"/>
  <c r="F19" i="86"/>
  <c r="O19" i="86" s="1"/>
  <c r="G31" i="86" s="1"/>
  <c r="K32" i="86" s="1"/>
  <c r="F20" i="86"/>
  <c r="O20" i="86" s="1"/>
  <c r="G32" i="86" s="1"/>
  <c r="L32" i="86" s="1"/>
  <c r="H6" i="86"/>
  <c r="Q6" i="86" s="1"/>
  <c r="F32" i="86" s="1"/>
  <c r="L35" i="86" s="1"/>
  <c r="D6" i="86"/>
  <c r="M6" i="86" s="1"/>
  <c r="H20" i="86"/>
  <c r="Q20" i="86" s="1"/>
  <c r="H32" i="86" s="1"/>
  <c r="L34" i="86" s="1"/>
  <c r="D20" i="86"/>
  <c r="M20" i="86" s="1"/>
  <c r="D32" i="86" s="1"/>
  <c r="L33" i="86" s="1"/>
  <c r="F6" i="86"/>
  <c r="O6" i="86" s="1"/>
  <c r="E32" i="86" s="1"/>
  <c r="L31" i="86" s="1"/>
  <c r="AF8" i="79"/>
  <c r="AG8" i="79" s="1"/>
  <c r="K36" i="23"/>
  <c r="M36" i="23" s="1"/>
  <c r="Z23" i="79" l="1"/>
  <c r="N23" i="79"/>
  <c r="G23" i="79"/>
  <c r="F23" i="79"/>
  <c r="AA22" i="79"/>
  <c r="Z22" i="79"/>
  <c r="N22" i="79"/>
  <c r="AF16" i="79"/>
  <c r="AG16" i="79" s="1"/>
  <c r="O23" i="79"/>
  <c r="AA23" i="79"/>
  <c r="O22" i="79"/>
  <c r="F22" i="79"/>
  <c r="J41" i="23"/>
  <c r="J42" i="23"/>
  <c r="J40" i="23"/>
  <c r="G40" i="23"/>
  <c r="G41" i="23"/>
  <c r="F10" i="80" s="1"/>
  <c r="G38" i="23"/>
  <c r="G42" i="23"/>
  <c r="F11" i="80" s="1"/>
  <c r="H14" i="59"/>
  <c r="AB12" i="89" l="1"/>
  <c r="F37" i="80"/>
  <c r="G37" i="80" s="1"/>
  <c r="AB14" i="89"/>
  <c r="F39" i="80"/>
  <c r="G39" i="80" s="1"/>
  <c r="AB13" i="89"/>
  <c r="F38" i="80"/>
  <c r="G38" i="80" s="1"/>
  <c r="P38" i="23"/>
  <c r="F7" i="80"/>
  <c r="G7" i="80" s="1"/>
  <c r="F9" i="80"/>
  <c r="G9" i="80" s="1"/>
  <c r="N10" i="87"/>
  <c r="P24" i="87"/>
  <c r="N24" i="87"/>
  <c r="P10" i="87"/>
  <c r="R10" i="87"/>
  <c r="R24" i="87"/>
  <c r="P12" i="87"/>
  <c r="R26" i="87"/>
  <c r="N12" i="87"/>
  <c r="P26" i="87"/>
  <c r="R12" i="87"/>
  <c r="N26" i="87"/>
  <c r="N11" i="87"/>
  <c r="P11" i="87"/>
  <c r="R25" i="87"/>
  <c r="P25" i="87"/>
  <c r="N25" i="87"/>
  <c r="R11" i="87"/>
  <c r="AB27" i="79"/>
  <c r="H27" i="79"/>
  <c r="H29" i="79"/>
  <c r="AB29" i="79"/>
  <c r="P29" i="79"/>
  <c r="AB28" i="79"/>
  <c r="P40" i="23"/>
  <c r="P42" i="23"/>
  <c r="P41" i="23"/>
  <c r="P28" i="79"/>
  <c r="H28" i="79"/>
  <c r="P27" i="79"/>
  <c r="G11" i="80"/>
  <c r="D14" i="79"/>
  <c r="G10" i="80"/>
  <c r="H15" i="80" s="1"/>
  <c r="D13" i="79"/>
  <c r="D10" i="79"/>
  <c r="G12" i="86"/>
  <c r="P12" i="86" s="1"/>
  <c r="G26" i="86"/>
  <c r="P26" i="86" s="1"/>
  <c r="I12" i="86"/>
  <c r="R12" i="86" s="1"/>
  <c r="E12" i="86"/>
  <c r="N12" i="86" s="1"/>
  <c r="I26" i="86"/>
  <c r="R26" i="86" s="1"/>
  <c r="E26" i="86"/>
  <c r="N26" i="86" s="1"/>
  <c r="G25" i="86"/>
  <c r="P25" i="86" s="1"/>
  <c r="I11" i="86"/>
  <c r="R11" i="86" s="1"/>
  <c r="E11" i="86"/>
  <c r="N11" i="86" s="1"/>
  <c r="I25" i="86"/>
  <c r="R25" i="86" s="1"/>
  <c r="E25" i="86"/>
  <c r="N25" i="86" s="1"/>
  <c r="G11" i="86"/>
  <c r="P11" i="86" s="1"/>
  <c r="I10" i="86"/>
  <c r="R10" i="86" s="1"/>
  <c r="E10" i="86"/>
  <c r="N10" i="86" s="1"/>
  <c r="I24" i="86"/>
  <c r="R24" i="86" s="1"/>
  <c r="E24" i="86"/>
  <c r="N24" i="86" s="1"/>
  <c r="G10" i="86"/>
  <c r="P10" i="86" s="1"/>
  <c r="G24" i="86"/>
  <c r="P24" i="86" s="1"/>
  <c r="AH12" i="79"/>
  <c r="AH14" i="79"/>
  <c r="AH13" i="79"/>
  <c r="D12" i="79"/>
  <c r="F31" i="79"/>
  <c r="G31" i="79"/>
  <c r="Z31" i="79"/>
  <c r="AA31" i="79"/>
  <c r="N31" i="79"/>
  <c r="O31" i="79"/>
  <c r="L38" i="23"/>
  <c r="N38" i="23" s="1"/>
  <c r="L42" i="23"/>
  <c r="N42" i="23" s="1"/>
  <c r="L40" i="23"/>
  <c r="N40" i="23" s="1"/>
  <c r="L41" i="23"/>
  <c r="N41" i="23" s="1"/>
  <c r="G14" i="59"/>
  <c r="E26" i="59"/>
  <c r="E29" i="59"/>
  <c r="E39" i="59"/>
  <c r="E22" i="59"/>
  <c r="E35" i="59"/>
  <c r="E33" i="59"/>
  <c r="E42" i="59"/>
  <c r="E41" i="59"/>
  <c r="E28" i="59"/>
  <c r="E32" i="59"/>
  <c r="E31" i="59"/>
  <c r="E30" i="59"/>
  <c r="E40" i="59"/>
  <c r="E27" i="59"/>
  <c r="E25" i="59"/>
  <c r="E34" i="59"/>
  <c r="E38" i="59"/>
  <c r="E23" i="59"/>
  <c r="E36" i="59"/>
  <c r="E37" i="59"/>
  <c r="E24" i="59"/>
  <c r="I43" i="23"/>
  <c r="J43" i="23" s="1"/>
  <c r="F43" i="23"/>
  <c r="G43" i="23" s="1"/>
  <c r="F12" i="80" s="1"/>
  <c r="J80" i="80"/>
  <c r="J95" i="80"/>
  <c r="J7" i="80"/>
  <c r="J66" i="80"/>
  <c r="J51" i="80"/>
  <c r="J35" i="80"/>
  <c r="G32" i="59" l="1"/>
  <c r="D25" i="79"/>
  <c r="A25" i="79" s="1"/>
  <c r="D43" i="79"/>
  <c r="D28" i="79"/>
  <c r="A28" i="79" s="1"/>
  <c r="D46" i="79"/>
  <c r="D27" i="79"/>
  <c r="A27" i="79" s="1"/>
  <c r="D45" i="79"/>
  <c r="D29" i="79"/>
  <c r="A29" i="79" s="1"/>
  <c r="D47" i="79"/>
  <c r="AB15" i="89"/>
  <c r="F40" i="80"/>
  <c r="G40" i="80" s="1"/>
  <c r="P13" i="87"/>
  <c r="R27" i="87"/>
  <c r="R13" i="87"/>
  <c r="P27" i="87"/>
  <c r="N13" i="87"/>
  <c r="N27" i="87"/>
  <c r="P43" i="23"/>
  <c r="H30" i="79"/>
  <c r="AB30" i="79"/>
  <c r="P30" i="79"/>
  <c r="G12" i="80"/>
  <c r="D15" i="79"/>
  <c r="I27" i="86"/>
  <c r="R27" i="86" s="1"/>
  <c r="E27" i="86"/>
  <c r="N27" i="86" s="1"/>
  <c r="G13" i="86"/>
  <c r="P13" i="86" s="1"/>
  <c r="G27" i="86"/>
  <c r="P27" i="86" s="1"/>
  <c r="I13" i="86"/>
  <c r="R13" i="86" s="1"/>
  <c r="E13" i="86"/>
  <c r="N13" i="86" s="1"/>
  <c r="AH15" i="79"/>
  <c r="L43" i="23"/>
  <c r="N43" i="23" s="1"/>
  <c r="L25" i="23"/>
  <c r="N25" i="23" s="1"/>
  <c r="D30" i="79" l="1"/>
  <c r="A30" i="79" s="1"/>
  <c r="D48" i="79"/>
  <c r="C12" i="23"/>
  <c r="D12" i="23"/>
  <c r="G9" i="48" l="1"/>
  <c r="D9" i="48"/>
  <c r="I12" i="48"/>
  <c r="I12" i="50"/>
  <c r="I12" i="51"/>
  <c r="D9" i="50"/>
  <c r="D9" i="51"/>
  <c r="G12" i="51"/>
  <c r="A22" i="51" l="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A36" i="51" s="1"/>
  <c r="A37" i="51" s="1"/>
  <c r="A38" i="51" s="1"/>
  <c r="A39" i="51" s="1"/>
  <c r="A40" i="51" s="1"/>
  <c r="A41" i="51" s="1"/>
  <c r="A42" i="51" s="1"/>
  <c r="H14" i="51"/>
  <c r="O12" i="51"/>
  <c r="N12" i="51"/>
  <c r="L12" i="51"/>
  <c r="M12" i="51" s="1"/>
  <c r="H12" i="51"/>
  <c r="A22" i="50"/>
  <c r="A23" i="50" s="1"/>
  <c r="H14" i="50"/>
  <c r="O12" i="50"/>
  <c r="G12" i="50"/>
  <c r="A22" i="48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A36" i="48" s="1"/>
  <c r="A37" i="48" s="1"/>
  <c r="A38" i="48" s="1"/>
  <c r="A39" i="48" s="1"/>
  <c r="A40" i="48" s="1"/>
  <c r="A41" i="48" s="1"/>
  <c r="A42" i="48" s="1"/>
  <c r="O12" i="48"/>
  <c r="N12" i="48"/>
  <c r="L12" i="48"/>
  <c r="M12" i="48" s="1"/>
  <c r="P12" i="48" s="1"/>
  <c r="G12" i="48"/>
  <c r="H12" i="48" s="1"/>
  <c r="A24" i="50" l="1"/>
  <c r="P12" i="51"/>
  <c r="Q12" i="51" s="1"/>
  <c r="R12" i="51"/>
  <c r="R12" i="48"/>
  <c r="Q12" i="48"/>
  <c r="A25" i="50" l="1"/>
  <c r="B41" i="51"/>
  <c r="B37" i="51"/>
  <c r="B33" i="51"/>
  <c r="B29" i="51"/>
  <c r="B25" i="51"/>
  <c r="B40" i="51"/>
  <c r="B36" i="51"/>
  <c r="B32" i="51"/>
  <c r="B28" i="51"/>
  <c r="B24" i="51"/>
  <c r="E9" i="51"/>
  <c r="F9" i="51" s="1"/>
  <c r="J17" i="23" s="1"/>
  <c r="B39" i="51"/>
  <c r="B35" i="51"/>
  <c r="B31" i="51"/>
  <c r="B27" i="51"/>
  <c r="B23" i="51"/>
  <c r="B22" i="51"/>
  <c r="H9" i="51"/>
  <c r="I9" i="51" s="1"/>
  <c r="B42" i="51"/>
  <c r="B38" i="51"/>
  <c r="B34" i="51"/>
  <c r="B30" i="51"/>
  <c r="B26" i="51"/>
  <c r="B41" i="48"/>
  <c r="B37" i="48"/>
  <c r="B33" i="48"/>
  <c r="B29" i="48"/>
  <c r="B25" i="48"/>
  <c r="B38" i="48"/>
  <c r="B30" i="48"/>
  <c r="B26" i="48"/>
  <c r="B40" i="48"/>
  <c r="B36" i="48"/>
  <c r="B32" i="48"/>
  <c r="B28" i="48"/>
  <c r="B24" i="48"/>
  <c r="E9" i="48"/>
  <c r="F9" i="48" s="1"/>
  <c r="B34" i="48"/>
  <c r="B39" i="48"/>
  <c r="B35" i="48"/>
  <c r="B31" i="48"/>
  <c r="B27" i="48"/>
  <c r="B23" i="48"/>
  <c r="B22" i="48"/>
  <c r="H9" i="48"/>
  <c r="I9" i="48" s="1"/>
  <c r="B42" i="48"/>
  <c r="A26" i="50" l="1"/>
  <c r="I35" i="23"/>
  <c r="E32" i="80"/>
  <c r="F18" i="80"/>
  <c r="G37" i="23"/>
  <c r="J9" i="48"/>
  <c r="J9" i="51"/>
  <c r="E38" i="51"/>
  <c r="D38" i="51"/>
  <c r="C38" i="51"/>
  <c r="D23" i="51"/>
  <c r="C23" i="51"/>
  <c r="E23" i="51"/>
  <c r="D39" i="51"/>
  <c r="C39" i="51"/>
  <c r="E39" i="51"/>
  <c r="C32" i="51"/>
  <c r="E32" i="51"/>
  <c r="D32" i="51"/>
  <c r="E29" i="51"/>
  <c r="D29" i="51"/>
  <c r="C29" i="51"/>
  <c r="E26" i="51"/>
  <c r="D26" i="51"/>
  <c r="C26" i="51"/>
  <c r="E42" i="51"/>
  <c r="D42" i="51"/>
  <c r="C42" i="51"/>
  <c r="D27" i="51"/>
  <c r="C27" i="51"/>
  <c r="E27" i="51"/>
  <c r="C36" i="51"/>
  <c r="E36" i="51"/>
  <c r="D36" i="51"/>
  <c r="E33" i="51"/>
  <c r="D33" i="51"/>
  <c r="C33" i="51"/>
  <c r="E30" i="51"/>
  <c r="D30" i="51"/>
  <c r="C30" i="51"/>
  <c r="D31" i="51"/>
  <c r="C31" i="51"/>
  <c r="E31" i="51"/>
  <c r="C24" i="51"/>
  <c r="E24" i="51"/>
  <c r="D24" i="51"/>
  <c r="C40" i="51"/>
  <c r="E40" i="51"/>
  <c r="D40" i="51"/>
  <c r="E37" i="51"/>
  <c r="D37" i="51"/>
  <c r="C37" i="51"/>
  <c r="E34" i="51"/>
  <c r="D34" i="51"/>
  <c r="C34" i="51"/>
  <c r="E22" i="51"/>
  <c r="C22" i="51"/>
  <c r="D35" i="51"/>
  <c r="C35" i="51"/>
  <c r="E35" i="51"/>
  <c r="C28" i="51"/>
  <c r="E28" i="51"/>
  <c r="D28" i="51"/>
  <c r="E25" i="51"/>
  <c r="D25" i="51"/>
  <c r="C25" i="51"/>
  <c r="E41" i="51"/>
  <c r="D41" i="51"/>
  <c r="C41" i="51"/>
  <c r="D23" i="48"/>
  <c r="C23" i="48"/>
  <c r="E23" i="48"/>
  <c r="D39" i="48"/>
  <c r="C39" i="48"/>
  <c r="E39" i="48"/>
  <c r="C28" i="48"/>
  <c r="E28" i="48"/>
  <c r="D28" i="48"/>
  <c r="E26" i="48"/>
  <c r="D26" i="48"/>
  <c r="C26" i="48"/>
  <c r="E29" i="48"/>
  <c r="C29" i="48"/>
  <c r="D29" i="48"/>
  <c r="E42" i="48"/>
  <c r="D42" i="48"/>
  <c r="C42" i="48"/>
  <c r="D27" i="48"/>
  <c r="E27" i="48"/>
  <c r="C27" i="48"/>
  <c r="E34" i="48"/>
  <c r="D34" i="48"/>
  <c r="C34" i="48"/>
  <c r="C32" i="48"/>
  <c r="D32" i="48"/>
  <c r="E32" i="48"/>
  <c r="E30" i="48"/>
  <c r="D30" i="48"/>
  <c r="C30" i="48"/>
  <c r="C33" i="48"/>
  <c r="E33" i="48"/>
  <c r="D33" i="48"/>
  <c r="D31" i="48"/>
  <c r="E31" i="48"/>
  <c r="C31" i="48"/>
  <c r="C36" i="48"/>
  <c r="D36" i="48"/>
  <c r="E36" i="48"/>
  <c r="E38" i="48"/>
  <c r="D38" i="48"/>
  <c r="C38" i="48"/>
  <c r="E37" i="48"/>
  <c r="D37" i="48"/>
  <c r="C37" i="48"/>
  <c r="E22" i="48"/>
  <c r="C22" i="48"/>
  <c r="D35" i="48"/>
  <c r="E35" i="48"/>
  <c r="C35" i="48"/>
  <c r="C24" i="48"/>
  <c r="D24" i="48"/>
  <c r="E24" i="48"/>
  <c r="C40" i="48"/>
  <c r="D40" i="48"/>
  <c r="E40" i="48"/>
  <c r="E25" i="48"/>
  <c r="D25" i="48"/>
  <c r="C25" i="48"/>
  <c r="E41" i="48"/>
  <c r="C41" i="48"/>
  <c r="D41" i="48"/>
  <c r="J32" i="80"/>
  <c r="J4" i="80"/>
  <c r="J77" i="80"/>
  <c r="J63" i="80"/>
  <c r="J48" i="80"/>
  <c r="J92" i="80"/>
  <c r="A27" i="50" l="1"/>
  <c r="I32" i="80"/>
  <c r="H32" i="80"/>
  <c r="F6" i="80"/>
  <c r="G6" i="80" s="1"/>
  <c r="E4" i="80"/>
  <c r="O17" i="23"/>
  <c r="D9" i="79"/>
  <c r="D42" i="79" s="1"/>
  <c r="L19" i="23"/>
  <c r="N19" i="23" s="1"/>
  <c r="I37" i="23"/>
  <c r="J37" i="23" s="1"/>
  <c r="F35" i="23"/>
  <c r="G35" i="23" s="1"/>
  <c r="J35" i="23"/>
  <c r="A28" i="50" l="1"/>
  <c r="AB7" i="89"/>
  <c r="F32" i="80"/>
  <c r="AB9" i="89"/>
  <c r="F34" i="80"/>
  <c r="G34" i="80" s="1"/>
  <c r="H4" i="80"/>
  <c r="F23" i="80"/>
  <c r="P35" i="23"/>
  <c r="N7" i="87"/>
  <c r="R21" i="87"/>
  <c r="R7" i="87"/>
  <c r="P21" i="87"/>
  <c r="P7" i="87"/>
  <c r="N21" i="87"/>
  <c r="N5" i="87"/>
  <c r="P5" i="87"/>
  <c r="R19" i="87"/>
  <c r="P19" i="87"/>
  <c r="N19" i="87"/>
  <c r="R5" i="87"/>
  <c r="P37" i="23"/>
  <c r="AB24" i="79"/>
  <c r="H24" i="79"/>
  <c r="P24" i="79"/>
  <c r="P22" i="79"/>
  <c r="AB22" i="79"/>
  <c r="G21" i="86"/>
  <c r="P21" i="86" s="1"/>
  <c r="I7" i="86"/>
  <c r="R7" i="86" s="1"/>
  <c r="E7" i="86"/>
  <c r="N7" i="86" s="1"/>
  <c r="I21" i="86"/>
  <c r="R21" i="86" s="1"/>
  <c r="E21" i="86"/>
  <c r="N21" i="86" s="1"/>
  <c r="G7" i="86"/>
  <c r="P7" i="86" s="1"/>
  <c r="AH7" i="79"/>
  <c r="I19" i="86"/>
  <c r="R19" i="86" s="1"/>
  <c r="E19" i="86"/>
  <c r="N19" i="86" s="1"/>
  <c r="G5" i="86"/>
  <c r="P5" i="86" s="1"/>
  <c r="G19" i="86"/>
  <c r="P19" i="86" s="1"/>
  <c r="I5" i="86"/>
  <c r="R5" i="86" s="1"/>
  <c r="E5" i="86"/>
  <c r="N5" i="86" s="1"/>
  <c r="AH9" i="79"/>
  <c r="D7" i="79"/>
  <c r="F17" i="80"/>
  <c r="D24" i="79"/>
  <c r="A24" i="79" s="1"/>
  <c r="C3" i="79"/>
  <c r="L37" i="23"/>
  <c r="N37" i="23" s="1"/>
  <c r="A29" i="50" l="1"/>
  <c r="D22" i="79"/>
  <c r="A22" i="79" s="1"/>
  <c r="D40" i="79"/>
  <c r="G32" i="80"/>
  <c r="H22" i="79"/>
  <c r="C9" i="51"/>
  <c r="B9" i="51"/>
  <c r="A30" i="50" l="1"/>
  <c r="B9" i="50"/>
  <c r="B9" i="48"/>
  <c r="C9" i="50"/>
  <c r="C9" i="48"/>
  <c r="A31" i="50" l="1"/>
  <c r="G14" i="51"/>
  <c r="D35" i="23"/>
  <c r="C33" i="23"/>
  <c r="C34" i="23"/>
  <c r="C35" i="23"/>
  <c r="A32" i="50" l="1"/>
  <c r="D44" i="23"/>
  <c r="H44" i="23"/>
  <c r="G14" i="50"/>
  <c r="K35" i="23"/>
  <c r="M35" i="23" s="1"/>
  <c r="A33" i="50" l="1"/>
  <c r="K44" i="23"/>
  <c r="M44" i="23" s="1"/>
  <c r="A34" i="50" l="1"/>
  <c r="K18" i="23"/>
  <c r="K17" i="23"/>
  <c r="A35" i="50" l="1"/>
  <c r="K26" i="23"/>
  <c r="M26" i="23" s="1"/>
  <c r="M18" i="23"/>
  <c r="M17" i="23"/>
  <c r="A36" i="50" l="1"/>
  <c r="L35" i="23"/>
  <c r="N35" i="23" s="1"/>
  <c r="A37" i="50" l="1"/>
  <c r="A22" i="13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L12" i="13"/>
  <c r="K12" i="13"/>
  <c r="I12" i="13"/>
  <c r="J12" i="13" s="1"/>
  <c r="M12" i="13" s="1"/>
  <c r="G9" i="13"/>
  <c r="F9" i="13"/>
  <c r="D9" i="13" s="1"/>
  <c r="C9" i="13"/>
  <c r="B9" i="13"/>
  <c r="A38" i="50" l="1"/>
  <c r="N12" i="13"/>
  <c r="O12" i="13"/>
  <c r="A39" i="50" l="1"/>
  <c r="B41" i="13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A40" i="50" l="1"/>
  <c r="C33" i="13"/>
  <c r="C28" i="13"/>
  <c r="C23" i="13"/>
  <c r="C38" i="13"/>
  <c r="C29" i="13"/>
  <c r="C37" i="13"/>
  <c r="C34" i="13"/>
  <c r="C25" i="13"/>
  <c r="C41" i="13"/>
  <c r="F12" i="5" a="1"/>
  <c r="A41" i="50" l="1"/>
  <c r="L17" i="23"/>
  <c r="F12" i="5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G9" i="4"/>
  <c r="E9" i="4"/>
  <c r="A23" i="4"/>
  <c r="B23" i="4" s="1"/>
  <c r="B28" i="5"/>
  <c r="B35" i="5"/>
  <c r="B40" i="5"/>
  <c r="B34" i="5"/>
  <c r="B44" i="5"/>
  <c r="B46" i="5"/>
  <c r="B38" i="5"/>
  <c r="B43" i="5"/>
  <c r="B47" i="5"/>
  <c r="B29" i="5"/>
  <c r="B32" i="5"/>
  <c r="B45" i="5"/>
  <c r="B41" i="5"/>
  <c r="B33" i="5"/>
  <c r="E9" i="5"/>
  <c r="B42" i="5"/>
  <c r="B31" i="5"/>
  <c r="B27" i="5"/>
  <c r="B36" i="5"/>
  <c r="B39" i="5"/>
  <c r="B37" i="5"/>
  <c r="B30" i="5"/>
  <c r="A42" i="50" l="1"/>
  <c r="A24" i="4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N17" i="23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27" i="4"/>
  <c r="B31" i="4"/>
  <c r="B35" i="4"/>
  <c r="B39" i="4"/>
  <c r="A22" i="2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J12" i="2"/>
  <c r="H12" i="2"/>
  <c r="G9" i="2"/>
  <c r="F9" i="2"/>
  <c r="Q5" i="80" a="1"/>
  <c r="Q78" i="80" a="1"/>
  <c r="Q33" i="80" a="1"/>
  <c r="R5" i="80" a="1"/>
  <c r="Q64" i="80" a="1"/>
  <c r="R93" i="80" a="1"/>
  <c r="R78" i="80" a="1"/>
  <c r="R49" i="80" a="1"/>
  <c r="Q93" i="80" a="1"/>
  <c r="Q49" i="80" a="1"/>
  <c r="R33" i="80" a="1"/>
  <c r="R64" i="80" a="1"/>
  <c r="R5" i="80" l="1"/>
  <c r="Q5" i="80"/>
  <c r="Q49" i="80"/>
  <c r="Q64" i="80"/>
  <c r="Q78" i="80"/>
  <c r="R64" i="80"/>
  <c r="R49" i="80"/>
  <c r="Q93" i="80"/>
  <c r="R93" i="80"/>
  <c r="R33" i="80"/>
  <c r="Q33" i="80"/>
  <c r="R78" i="80"/>
  <c r="B42" i="4"/>
  <c r="I12" i="2"/>
  <c r="B38" i="2" s="1"/>
  <c r="B39" i="2" l="1"/>
  <c r="B33" i="2"/>
  <c r="B22" i="2"/>
  <c r="B28" i="2"/>
  <c r="B34" i="2"/>
  <c r="B27" i="2"/>
  <c r="B32" i="2"/>
  <c r="B30" i="2"/>
  <c r="B37" i="2"/>
  <c r="B42" i="2"/>
  <c r="B31" i="2"/>
  <c r="E9" i="2"/>
  <c r="B36" i="2"/>
  <c r="B25" i="2"/>
  <c r="B41" i="2"/>
  <c r="B23" i="2"/>
  <c r="B35" i="2"/>
  <c r="B24" i="2"/>
  <c r="B40" i="2"/>
  <c r="B29" i="2"/>
  <c r="B26" i="2"/>
  <c r="N12" i="50" l="1"/>
  <c r="L12" i="50" l="1"/>
  <c r="M12" i="50" s="1"/>
  <c r="H12" i="50"/>
  <c r="P12" i="50" l="1"/>
  <c r="Q12" i="50" s="1"/>
  <c r="R12" i="50"/>
  <c r="H9" i="50" l="1"/>
  <c r="I9" i="50" s="1"/>
  <c r="B41" i="50"/>
  <c r="B25" i="50"/>
  <c r="B28" i="50"/>
  <c r="B34" i="50"/>
  <c r="B31" i="50"/>
  <c r="B37" i="50"/>
  <c r="B40" i="50"/>
  <c r="B24" i="50"/>
  <c r="B26" i="50"/>
  <c r="B27" i="50"/>
  <c r="B42" i="50"/>
  <c r="B33" i="50"/>
  <c r="B36" i="50"/>
  <c r="E9" i="50"/>
  <c r="F9" i="50" s="1"/>
  <c r="J18" i="23" s="1"/>
  <c r="E33" i="80" s="1"/>
  <c r="B39" i="50"/>
  <c r="B23" i="50"/>
  <c r="B30" i="50"/>
  <c r="B29" i="50"/>
  <c r="B32" i="50"/>
  <c r="B38" i="50"/>
  <c r="B35" i="50"/>
  <c r="B22" i="50"/>
  <c r="H33" i="80" l="1"/>
  <c r="H41" i="80" s="1"/>
  <c r="I33" i="80"/>
  <c r="E41" i="80"/>
  <c r="I41" i="80" s="1"/>
  <c r="E42" i="50"/>
  <c r="D42" i="50"/>
  <c r="C42" i="50"/>
  <c r="E22" i="50"/>
  <c r="C22" i="50"/>
  <c r="D29" i="50"/>
  <c r="E29" i="50"/>
  <c r="C29" i="50"/>
  <c r="I36" i="23"/>
  <c r="J26" i="23"/>
  <c r="B9" i="23" s="1"/>
  <c r="C27" i="50"/>
  <c r="E27" i="50"/>
  <c r="D27" i="50"/>
  <c r="D37" i="50"/>
  <c r="C37" i="50"/>
  <c r="E37" i="50"/>
  <c r="D25" i="50"/>
  <c r="C25" i="50"/>
  <c r="E25" i="50"/>
  <c r="C39" i="50"/>
  <c r="E39" i="50"/>
  <c r="D39" i="50"/>
  <c r="D28" i="50"/>
  <c r="C28" i="50"/>
  <c r="E28" i="50"/>
  <c r="E35" i="50"/>
  <c r="C35" i="50"/>
  <c r="D35" i="50"/>
  <c r="C30" i="50"/>
  <c r="E30" i="50"/>
  <c r="D30" i="50"/>
  <c r="E36" i="50"/>
  <c r="C36" i="50"/>
  <c r="D36" i="50"/>
  <c r="C26" i="50"/>
  <c r="D26" i="50"/>
  <c r="E26" i="50"/>
  <c r="C31" i="50"/>
  <c r="E31" i="50"/>
  <c r="D31" i="50"/>
  <c r="D41" i="50"/>
  <c r="E41" i="50"/>
  <c r="C41" i="50"/>
  <c r="C32" i="50"/>
  <c r="E32" i="50"/>
  <c r="D32" i="50"/>
  <c r="C40" i="50"/>
  <c r="E40" i="50"/>
  <c r="D40" i="50"/>
  <c r="D38" i="50"/>
  <c r="C38" i="50"/>
  <c r="E38" i="50"/>
  <c r="D23" i="50"/>
  <c r="E23" i="50"/>
  <c r="C23" i="50"/>
  <c r="C33" i="50"/>
  <c r="E33" i="50"/>
  <c r="D33" i="50"/>
  <c r="E24" i="50"/>
  <c r="C24" i="50"/>
  <c r="D24" i="50"/>
  <c r="E34" i="50"/>
  <c r="D34" i="50"/>
  <c r="C34" i="50"/>
  <c r="O18" i="23"/>
  <c r="J9" i="50"/>
  <c r="J78" i="80"/>
  <c r="J49" i="80"/>
  <c r="J64" i="80"/>
  <c r="J33" i="80"/>
  <c r="J93" i="80"/>
  <c r="J5" i="80"/>
  <c r="L18" i="23" l="1"/>
  <c r="N18" i="23" s="1"/>
  <c r="E5" i="80"/>
  <c r="I5" i="80" s="1"/>
  <c r="F36" i="23"/>
  <c r="G36" i="23" s="1"/>
  <c r="F26" i="23"/>
  <c r="J36" i="23"/>
  <c r="F33" i="80" s="1"/>
  <c r="I44" i="23"/>
  <c r="AB8" i="89" l="1"/>
  <c r="AB16" i="89" s="1"/>
  <c r="R6" i="87"/>
  <c r="P6" i="87"/>
  <c r="N6" i="87"/>
  <c r="R20" i="87"/>
  <c r="P20" i="87"/>
  <c r="N20" i="87"/>
  <c r="P23" i="79"/>
  <c r="H23" i="79"/>
  <c r="AB23" i="79"/>
  <c r="L26" i="23"/>
  <c r="N26" i="23" s="1"/>
  <c r="H5" i="80"/>
  <c r="H13" i="80" s="1"/>
  <c r="F19" i="80"/>
  <c r="I6" i="86"/>
  <c r="R6" i="86" s="1"/>
  <c r="E6" i="86"/>
  <c r="N6" i="86" s="1"/>
  <c r="I20" i="86"/>
  <c r="R20" i="86" s="1"/>
  <c r="E20" i="86"/>
  <c r="N20" i="86" s="1"/>
  <c r="G6" i="86"/>
  <c r="P6" i="86" s="1"/>
  <c r="G20" i="86"/>
  <c r="P20" i="86" s="1"/>
  <c r="AH8" i="79"/>
  <c r="AH16" i="79" s="1"/>
  <c r="J44" i="23"/>
  <c r="M13" i="23" s="1"/>
  <c r="F44" i="23"/>
  <c r="E13" i="80"/>
  <c r="I13" i="80" s="1"/>
  <c r="F24" i="80"/>
  <c r="G33" i="80" l="1"/>
  <c r="F41" i="80"/>
  <c r="G41" i="80" s="1"/>
  <c r="F5" i="80"/>
  <c r="G5" i="80" s="1"/>
  <c r="P36" i="23"/>
  <c r="L36" i="23"/>
  <c r="N36" i="23" s="1"/>
  <c r="D8" i="79"/>
  <c r="D41" i="79" s="1"/>
  <c r="G44" i="23"/>
  <c r="D23" i="79" l="1"/>
  <c r="A23" i="79" s="1"/>
  <c r="D16" i="79"/>
  <c r="D49" i="79" s="1"/>
  <c r="T51" i="79" s="1"/>
  <c r="L44" i="23"/>
  <c r="N44" i="23" s="1"/>
  <c r="L13" i="23"/>
  <c r="P31" i="79"/>
  <c r="AB31" i="79"/>
  <c r="AB35" i="79" s="1"/>
  <c r="H31" i="79"/>
  <c r="F13" i="80"/>
  <c r="T52" i="79" l="1"/>
  <c r="T50" i="79" s="1"/>
  <c r="D56" i="79"/>
  <c r="X51" i="79"/>
  <c r="H51" i="79"/>
  <c r="P51" i="79"/>
  <c r="L51" i="79"/>
  <c r="P35" i="79"/>
  <c r="H35" i="79"/>
  <c r="F17" i="78"/>
  <c r="H17" i="78" s="1"/>
  <c r="G13" i="80"/>
  <c r="F14" i="80"/>
  <c r="F11" i="78"/>
  <c r="D17" i="79"/>
  <c r="D31" i="79"/>
  <c r="T33" i="79" s="1"/>
  <c r="K8" i="78"/>
  <c r="K10" i="78"/>
  <c r="F16" i="78"/>
  <c r="H16" i="78" s="1"/>
  <c r="T34" i="79" l="1"/>
  <c r="T32" i="79"/>
  <c r="X52" i="79"/>
  <c r="X50" i="79" s="1"/>
  <c r="L33" i="79"/>
  <c r="L34" i="79" s="1"/>
  <c r="L32" i="79" s="1"/>
  <c r="X33" i="79"/>
  <c r="L52" i="79"/>
  <c r="L50" i="79" s="1"/>
  <c r="H52" i="79"/>
  <c r="H50" i="79" s="1"/>
  <c r="P52" i="79"/>
  <c r="P50" i="79" s="1"/>
  <c r="H33" i="79"/>
  <c r="I9" i="78"/>
  <c r="J9" i="78"/>
  <c r="I6" i="78"/>
  <c r="I7" i="78"/>
  <c r="J6" i="78"/>
  <c r="J7" i="78"/>
  <c r="D35" i="79"/>
  <c r="AB33" i="79"/>
  <c r="AB34" i="79" s="1"/>
  <c r="P33" i="79"/>
  <c r="I10" i="78"/>
  <c r="B11" i="78"/>
  <c r="J8" i="78"/>
  <c r="J10" i="78"/>
  <c r="I8" i="78"/>
  <c r="X34" i="79" l="1"/>
  <c r="X32" i="79"/>
  <c r="H34" i="79"/>
  <c r="H32" i="79" s="1"/>
  <c r="P34" i="79"/>
  <c r="P32" i="79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<sst xmlns="http://schemas.openxmlformats.org/spreadsheetml/2006/main" count="1501" uniqueCount="329">
  <si>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</si>
  <si>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</si>
  <si>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</si>
  <si>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</si>
  <si>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</si>
  <si>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</si>
  <si>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</si>
  <si>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</si>
  <si>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</si>
  <si>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</si>
  <si>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</si>
  <si>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</si>
  <si>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</si>
  <si>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</si>
  <si>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</si>
  <si>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</si>
  <si>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</si>
  <si>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</si>
  <si>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</si>
  <si>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</si>
  <si>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</si>
  <si>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</si>
  <si>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</si>
  <si>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</si>
  <si>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</si>
  <si>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</si>
  <si>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</si>
  <si>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</si>
  <si>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</si>
  <si>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</si>
  <si>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</si>
  <si>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</si>
  <si>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</si>
  <si>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</si>
  <si>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</si>
  <si>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</si>
  <si>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</si>
  <si>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</si>
  <si>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</si>
  <si>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</si>
  <si>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</si>
  <si>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</si>
  <si>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</si>
  <si>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</si>
  <si>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</si>
  <si>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</si>
  <si>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</si>
  <si>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</si>
  <si>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</si>
  <si>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</si>
  <si>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</si>
  <si>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</si>
  <si>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</si>
  <si>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</si>
  <si>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</si>
  <si>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</si>
  <si>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</si>
  <si>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</si>
  <si>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</si>
  <si>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</si>
  <si>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</si>
  <si>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</si>
  <si>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</si>
  <si>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</si>
  <si>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</si>
  <si>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</si>
  <si>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</si>
  <si>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</si>
  <si>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</si>
  <si>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</si>
  <si>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</si>
  <si>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</si>
  <si>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</si>
  <si>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</si>
  <si>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</si>
  <si>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</si>
  <si>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</si>
  <si>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</si>
  <si>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</si>
  <si>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</si>
  <si>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</si>
  <si>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</si>
  <si>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</si>
  <si>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</si>
  <si>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</si>
  <si>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</si>
  <si>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</si>
  <si>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</si>
  <si>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</si>
  <si>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</si>
  <si>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</si>
  <si>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</si>
  <si>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</si>
  <si>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</si>
  <si>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</si>
  <si>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</si>
  <si>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</si>
  <si>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</si>
  <si>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</si>
  <si>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TOTAL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</si>
  <si>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</si>
  <si>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</si>
  <si>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</si>
  <si>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</si>
  <si>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</si>
  <si>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</si>
  <si>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</si>
  <si>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</si>
  <si>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</si>
  <si>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</si>
  <si>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</si>
  <si>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</si>
  <si>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</si>
  <si>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</si>
  <si>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</si>
  <si>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</si>
  <si>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YT unit</t>
  </si>
  <si>
    <t>Optimal YT value</t>
  </si>
  <si>
    <t>Multiplication Factor (3yr Adherence Rxs)</t>
  </si>
  <si>
    <t>YT Current</t>
  </si>
  <si>
    <t>Y (Incr. NRx)</t>
  </si>
  <si>
    <t>Incr. NRx slope</t>
  </si>
  <si>
    <t>Response Function Scaling Factor (for sensitivity analysis)</t>
  </si>
  <si>
    <t>Starting YT value</t>
  </si>
  <si>
    <t>Current Values (optional)</t>
  </si>
  <si>
    <t>The current values here represents 2013 levels</t>
  </si>
  <si>
    <t>3-Yr Adherence Rxs per New Patient</t>
  </si>
  <si>
    <t>Spend in $</t>
  </si>
  <si>
    <t>Response Scaling Factor for Sensitivity Analysis</t>
  </si>
  <si>
    <t>Scurve Est. [Base Adjusted]</t>
  </si>
  <si>
    <t>Delta X 
($ Spend)</t>
  </si>
  <si>
    <t>Local Constraints ($ Spend)</t>
  </si>
  <si>
    <t>Incremental Revenue vs. Channel Spend</t>
  </si>
  <si>
    <t>Measured Unit of Response</t>
  </si>
  <si>
    <t>Incremental Rxs (in Response Units)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</si>
  <si>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</si>
  <si>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</si>
  <si>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</si>
  <si>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</si>
  <si>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</si>
  <si>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</si>
  <si>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</si>
  <si>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</si>
  <si>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</si>
  <si>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</si>
  <si>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</si>
  <si>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</si>
  <si>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</si>
  <si>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</si>
  <si>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X curr 
($ Spend)</t>
  </si>
  <si>
    <t>Post Tax PGM ($)</t>
  </si>
  <si>
    <t>3-yr post tax NPV</t>
  </si>
  <si>
    <t>3-yr Incr. Rev.</t>
  </si>
  <si>
    <r>
      <rPr>
        <b/>
        <sz val="10"/>
        <color rgb="FFC00000"/>
        <rFont val="Calibri"/>
        <family val="2"/>
        <scheme val="minor"/>
      </rPr>
      <t>Gardasil InOffice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</si>
  <si>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</t>
  </si>
  <si>
    <t>In Office</t>
  </si>
  <si>
    <r>
      <rPr>
        <b/>
        <sz val="10"/>
        <color rgb="FFC00000"/>
        <rFont val="Calibri"/>
        <family val="2"/>
        <scheme val="minor"/>
      </rPr>
      <t>Gardasil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</si>
  <si>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Gardasil Online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</si>
  <si>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Total</t>
  </si>
  <si>
    <t>Min %</t>
  </si>
  <si>
    <t>Max %</t>
  </si>
  <si>
    <t>Print</t>
  </si>
  <si>
    <t>Social</t>
  </si>
  <si>
    <t>Video</t>
  </si>
  <si>
    <t>Paid Search</t>
  </si>
  <si>
    <t>Display</t>
  </si>
  <si>
    <t>Doses</t>
  </si>
  <si>
    <t>Power Curve</t>
  </si>
  <si>
    <t>Power</t>
  </si>
  <si>
    <t xml:space="preserve">Note : </t>
  </si>
  <si>
    <t>Pre Tax PGM ($)</t>
  </si>
  <si>
    <t>3-yr pre tax NPV</t>
  </si>
  <si>
    <t>3-yr pre-tax Incr. Rev.</t>
  </si>
  <si>
    <t>Gardasil Adolescents</t>
  </si>
  <si>
    <t>Incr. Doses</t>
  </si>
  <si>
    <t>Y (Incr. Doses)</t>
  </si>
  <si>
    <t xml:space="preserve"> Doses</t>
  </si>
  <si>
    <t xml:space="preserve">In terms of NDoses, Ybase = Curr NDoses; YLmin =  Curr NDoses - Curr Incr. NDoses(Yc).; YLMax = Curr NDoses + Max Possible Incr. NDoses (Ymax); Ymin = min Incr NDoses for no investmet = 0; </t>
  </si>
  <si>
    <t>&lt;-- Spend per Incr. TDoses</t>
  </si>
  <si>
    <t>Multiplication Factor (3yr Adherence Dosess)</t>
  </si>
  <si>
    <t xml:space="preserve">*Note: All values are positive. Only Ymin could be zero.  Y min &lt; Y curr &lt; Ymax. Here, Y Base represents observed total business (i.e., observed NDoses or observed Total Revenue) in the presence of current level of promotions. </t>
  </si>
  <si>
    <t>Y (Incr. NDoses)</t>
  </si>
  <si>
    <t>YT (Incr. TDoses)</t>
  </si>
  <si>
    <t>Incr. NDoses slope</t>
  </si>
  <si>
    <t xml:space="preserve">In terms of Doses, Ybase = Curr Doses; YLmin =  Curr Doses - Curr Incr. Doses(Yc).; YLMax = Curr Doses + Max Possible Incr. Doses (Ymax); Ymin = min Incr Doses for no investmet = 0; </t>
  </si>
  <si>
    <t xml:space="preserve">*Note: All values are positive. Only Ymin could be zero.  Y min &lt; Y curr &lt; Ymax. Here, Y Base represents observed total business (i.e., observed Doses or observed Total Revenue) in the presence of current level of promotions. </t>
  </si>
  <si>
    <t>Incr. Doses slope</t>
  </si>
  <si>
    <t>HCC TV</t>
  </si>
  <si>
    <t>Gardasil Adolescents TV. Given a set of X and Y values, a power function (i.e., a smooth continuous curve) is fit for each pair of values</t>
  </si>
  <si>
    <t>Gardasil Adolescents Radio. Given a set of X and Y values, a power function (i.e., a smooth continuous curve) is fit for each pair of values</t>
  </si>
  <si>
    <t>HCC Radio</t>
  </si>
  <si>
    <t>Y curr 
(Incr. Doses)</t>
  </si>
  <si>
    <t>To optimize allocation of spend across represented channels. All used response functions are converted to Channel Spend vs.  Incr. Doses scale</t>
  </si>
  <si>
    <t xml:space="preserve">Incremental Doses </t>
  </si>
  <si>
    <t>Y opt 
(Incr. Doses)</t>
  </si>
  <si>
    <t>Delta Y 
(Incr. Doses)</t>
  </si>
  <si>
    <t>&lt;-- Spend per Incr. Doses</t>
  </si>
  <si>
    <t>YT (Incr. Doses)</t>
  </si>
  <si>
    <t>All Vaccines: Gardasil</t>
  </si>
  <si>
    <t>Gardasil Adolescents: HCC In Office, HCP MCM, HCC Digital, TV &amp; HCC Print.</t>
  </si>
  <si>
    <t>Pre-tax incr. Revenue</t>
  </si>
  <si>
    <r>
      <t>Change in pre-tax incr. revenue (</t>
    </r>
    <r>
      <rPr>
        <b/>
        <sz val="11"/>
        <color rgb="FFFF0000"/>
        <rFont val="Calibri"/>
        <family val="2"/>
        <scheme val="minor"/>
      </rPr>
      <t>relative to base case</t>
    </r>
    <r>
      <rPr>
        <b/>
        <sz val="11"/>
        <color theme="0"/>
        <rFont val="Calibri"/>
        <family val="2"/>
        <scheme val="minor"/>
      </rPr>
      <t>)</t>
    </r>
  </si>
  <si>
    <t>Estimated ROI</t>
  </si>
  <si>
    <t>Budget</t>
  </si>
  <si>
    <t>% Change</t>
  </si>
  <si>
    <r>
      <t>Change in budget (</t>
    </r>
    <r>
      <rPr>
        <b/>
        <sz val="11"/>
        <color rgb="FFFF0000"/>
        <rFont val="Calibri"/>
        <family val="2"/>
        <scheme val="minor"/>
      </rPr>
      <t>relative to base</t>
    </r>
    <r>
      <rPr>
        <b/>
        <sz val="11"/>
        <color theme="1"/>
        <rFont val="Calibri"/>
        <family val="2"/>
        <scheme val="minor"/>
      </rPr>
      <t>)</t>
    </r>
  </si>
  <si>
    <t>Incr. Revenue</t>
  </si>
  <si>
    <t>Marginal ROI</t>
  </si>
  <si>
    <t>Incr. Budget</t>
  </si>
  <si>
    <t>10% reduction optimal ($)</t>
  </si>
  <si>
    <t>20% reduction optimal ()</t>
  </si>
  <si>
    <t>InScope Promotion</t>
  </si>
  <si>
    <t>Spend</t>
  </si>
  <si>
    <t>Expected pre-tax NPV($MM)</t>
  </si>
  <si>
    <t>% Change from current</t>
  </si>
  <si>
    <t>Expected pre-tax NPV (MM)</t>
  </si>
  <si>
    <t>MMF</t>
  </si>
  <si>
    <t>Total InScope Budget</t>
  </si>
  <si>
    <t>Spend (MM)</t>
  </si>
  <si>
    <t>Expected pre-tax NPV(MM)</t>
  </si>
  <si>
    <t>Δ Pre-tax Revenue</t>
  </si>
  <si>
    <t>Pre-tax Spend (MM)</t>
  </si>
  <si>
    <t>Estimated % Contribution</t>
  </si>
  <si>
    <t>Promotion Efficiency ($Spend/Incr. Dose)</t>
  </si>
  <si>
    <t>HCC In Office</t>
  </si>
  <si>
    <t>HCP MCM</t>
  </si>
  <si>
    <t>HCC Social</t>
  </si>
  <si>
    <t>HCC Display</t>
  </si>
  <si>
    <t>HCC Paid Search</t>
  </si>
  <si>
    <t>HCC Print</t>
  </si>
  <si>
    <t>Total</t>
  </si>
  <si>
    <t>Sensitivity High (-50% and 200% change in responsiveness)</t>
  </si>
  <si>
    <t>Sensitivity: All Responses are at the estimated level.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</si>
  <si>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HALF.</t>
    </r>
  </si>
  <si>
    <r>
      <t>Sensitivity: Selected Channel Response</t>
    </r>
    <r>
      <rPr>
        <b/>
        <sz val="10"/>
        <color rgb="FFC00000"/>
        <rFont val="Calibri"/>
        <family val="2"/>
        <scheme val="minor"/>
      </rPr>
      <t xml:space="preserve"> is DOUBLED</t>
    </r>
    <r>
      <rPr>
        <sz val="10"/>
        <color rgb="FFC00000"/>
        <rFont val="Calibri"/>
        <family val="2"/>
        <scheme val="minor"/>
      </rPr>
      <t>.</t>
    </r>
  </si>
  <si>
    <t>Optimal Spend ($)</t>
  </si>
  <si>
    <t>Incr. Rev. ($)</t>
  </si>
  <si>
    <t>HCC Video</t>
  </si>
  <si>
    <t>Sensitivity Medium (-40% and +40% change in responsiveness)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</si>
  <si>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40%.</t>
    </r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</si>
  <si>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increased by 40%.</t>
    </r>
  </si>
  <si>
    <t>Estimated</t>
  </si>
  <si>
    <t>Current Optimal ($MM)</t>
  </si>
  <si>
    <t>Current Baseline ($MM)</t>
  </si>
  <si>
    <t>HCC Online Video</t>
  </si>
  <si>
    <t>Online Video</t>
  </si>
  <si>
    <t>HCC Streaming Video</t>
  </si>
  <si>
    <t>Formula Template</t>
  </si>
  <si>
    <t>Optimal channel spend allowed to vary between +/- 30% of the 2021 channel spend</t>
  </si>
  <si>
    <t>Optimal Channel Spend  allowed to vary between  of the 2021 spend</t>
  </si>
  <si>
    <t>2022 pro</t>
  </si>
  <si>
    <r>
      <rPr>
        <b/>
        <sz val="10"/>
        <color rgb="FFC00000"/>
        <rFont val="Calibri"/>
        <family val="2"/>
        <scheme val="minor"/>
      </rPr>
      <t>Gardasil Display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</si>
  <si>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paid search</t>
  </si>
  <si>
    <t>HCC streaming</t>
  </si>
  <si>
    <t>Current Optimal ($32MM)</t>
  </si>
  <si>
    <t>+$7(4%)</t>
  </si>
  <si>
    <t>-$3(1.5%)</t>
  </si>
  <si>
    <t>-$18(-9%)</t>
  </si>
  <si>
    <t>+$16(8%)</t>
  </si>
  <si>
    <t>+$24(12%)</t>
  </si>
  <si>
    <t>10% reduction optimal ($29M)</t>
  </si>
  <si>
    <t>20% reduction optimal ($26M)</t>
  </si>
  <si>
    <t>10% increase optimal ($35M)</t>
  </si>
  <si>
    <t>20% increase optimal ($38M)</t>
  </si>
  <si>
    <t>Δ Pre-tax Revenue w.r.t 2022 Current baseline</t>
  </si>
  <si>
    <t>2022 Current Baseline ($MM)</t>
  </si>
  <si>
    <t>2023 Planned Spend ($)</t>
  </si>
  <si>
    <t>2023 Optimal Spend ($)</t>
  </si>
  <si>
    <t>2023 Spend ($MM)</t>
  </si>
  <si>
    <t>2023 Estimated Incr. Doses ('000)</t>
  </si>
  <si>
    <t>2023 Estimated Pre-tax ROI</t>
  </si>
  <si>
    <t>-$14(-5.6%)</t>
  </si>
  <si>
    <t>2023 Estimated Pre-Tax NPV ('000)</t>
  </si>
  <si>
    <t>2023 proj</t>
  </si>
  <si>
    <t>BASE Case: Vary promotion type spend by + or - 30%. Keep global spend constant.</t>
  </si>
  <si>
    <t>Current 2023 Baseline</t>
  </si>
  <si>
    <t>GINOFF</t>
  </si>
  <si>
    <t>GMCM</t>
  </si>
  <si>
    <t>GOLV</t>
  </si>
  <si>
    <t>GDISP</t>
  </si>
  <si>
    <t>GSOC</t>
  </si>
  <si>
    <t>GSEARCH</t>
  </si>
  <si>
    <t>GRADIO</t>
  </si>
  <si>
    <t>GTV</t>
  </si>
  <si>
    <t>HCC Audio</t>
  </si>
  <si>
    <t>GSTRV</t>
  </si>
  <si>
    <t>Custom Constrains 2</t>
  </si>
  <si>
    <t>2023 (Current Spends)</t>
  </si>
  <si>
    <t>2023 (1M increase In spend (33M))</t>
  </si>
  <si>
    <t>2023 (4M increase in Spend (36M) )</t>
  </si>
  <si>
    <t>2023 (6M increase in Spend (38M) )</t>
  </si>
  <si>
    <t>2023 (8M increase in Spend (40M) )</t>
  </si>
  <si>
    <t>Expected pre-tax Rev(MM)</t>
  </si>
  <si>
    <t>HCC Linear TV</t>
  </si>
  <si>
    <t>In-Scope Promotion</t>
  </si>
  <si>
    <t>2023 Spend (MM)</t>
  </si>
  <si>
    <t>2024 Budget Breakout</t>
  </si>
  <si>
    <t>Min Budget</t>
  </si>
  <si>
    <t xml:space="preserve">Max Budget </t>
  </si>
  <si>
    <t xml:space="preserve">Total </t>
  </si>
  <si>
    <t xml:space="preserve">20M increase in Spend (60M) </t>
  </si>
  <si>
    <t>10M increase In spend (50M)</t>
  </si>
  <si>
    <t>Current Optimal</t>
  </si>
  <si>
    <t>2024 Current Baseline ($MM)</t>
  </si>
  <si>
    <t>Expected Incremental Doses(K)</t>
  </si>
  <si>
    <t>Δ Incremental Doses w.r.t 2024 Current baseline</t>
  </si>
  <si>
    <t>Δ Pre-tax Revenue w.r.t 2024 Current baseline</t>
  </si>
  <si>
    <t>ROI</t>
  </si>
  <si>
    <t>Optimal channel spend allowed to vary based on custom limits  for 2024 channel spend</t>
  </si>
  <si>
    <t>change the total spends here</t>
  </si>
  <si>
    <t>2024 Projected Promotion Efficiency</t>
  </si>
  <si>
    <t>2024 (Current Spends)</t>
  </si>
  <si>
    <t>2024 Spend ($MM)</t>
  </si>
  <si>
    <t>2024 Estimated Incr. Doses ('000)</t>
  </si>
  <si>
    <t>2024 Estimated Pre-Tax NPV ('000)</t>
  </si>
  <si>
    <t>2024 Estimated Pre-tax ROI</t>
  </si>
  <si>
    <t>20M increase in Spend (60M) with 40% cons</t>
  </si>
  <si>
    <t>10M increase in Spend (60M) with 40% cons</t>
  </si>
  <si>
    <t>Estimate</t>
  </si>
  <si>
    <t>STD</t>
  </si>
  <si>
    <t>Max Budget(40%)</t>
  </si>
  <si>
    <t>hcc_audio_adol_imp</t>
  </si>
  <si>
    <t>HCC_DISP_ADOL_IMP_DCM_COR</t>
  </si>
  <si>
    <t>hcc_olv_adol_imp</t>
  </si>
  <si>
    <t>hcc_psrch_adol_clk</t>
  </si>
  <si>
    <t>hcc_soc_adol_imp</t>
  </si>
  <si>
    <t>hcc_stv_adol_imp</t>
  </si>
  <si>
    <t>hcc_tv_adol_mrk_grps_f2554</t>
  </si>
  <si>
    <t>ADOL_PP_HCC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</si>
</sst>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  <numFmt numFmtId="169" formatCode="0.0"/>
    <numFmt numFmtId="170" formatCode="&quot;$&quot;#,##0.0"/>
    <numFmt numFmtId="171" formatCode="0.0%"/>
    <numFmt numFmtId="172" formatCode="#,##0.0"/>
    <numFmt numFmtId="173" formatCode="&quot;$&quot;0.0,,\ &quot;M&quot;"/>
    <numFmt numFmtId="174" formatCode="&quot;$&quot;#,##0.00000"/>
    <numFmt numFmtId="175" formatCode="&quot;$&quot;0.0,,"/>
    <numFmt numFmtId="177" formatCode="0.00_);\(0.00\)"/>
    <numFmt numFmtId="179" formatCode="0.0000_);\(0.0000\)"/>
  </numFmts>
  <fonts count="55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rgb="FF000000"/>
      <name val="Arial"/>
      <family val="2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1" tint="4.9989318521683403E-2"/>
      <name val="Calibri"/>
      <family val="2"/>
      <scheme val="minor"/>
    </font>
    <font>
      <b/>
      <sz val="10"/>
      <color theme="0"/>
      <name val="Arial"/>
      <family val="2"/>
    </font>
    <font>
      <b/>
      <sz val="12"/>
      <color theme="1"/>
      <name val="Arial"/>
      <family val="2"/>
    </font>
    <font>
      <sz val="11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00B050"/>
      <name val="Arial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9.5"/>
      <color rgb="FF000000"/>
      <name val="Arial"/>
      <family val="2"/>
    </font>
    <font>
      <b/>
      <sz val="9.5"/>
      <color rgb="FF000000"/>
      <name val="Arial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106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24994659260841701"/>
      </bottom>
      <diagonal/>
    </border>
    <border>
      <left/>
      <right/>
      <top style="thin">
        <color theme="0" tint="-0.499984740745262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1" applyNumberFormat="0" applyFill="0" applyAlignment="0" applyProtection="0"/>
    <xf numFmtId="0" fontId="16" fillId="0" borderId="52" applyNumberFormat="0" applyFill="0" applyAlignment="0" applyProtection="0"/>
    <xf numFmtId="0" fontId="17" fillId="0" borderId="53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4" applyNumberFormat="0" applyAlignment="0" applyProtection="0"/>
    <xf numFmtId="0" fontId="22" fillId="14" borderId="55" applyNumberFormat="0" applyAlignment="0" applyProtection="0"/>
    <xf numFmtId="0" fontId="23" fillId="14" borderId="54" applyNumberFormat="0" applyAlignment="0" applyProtection="0"/>
    <xf numFmtId="0" fontId="24" fillId="0" borderId="56" applyNumberFormat="0" applyFill="0" applyAlignment="0" applyProtection="0"/>
    <xf numFmtId="0" fontId="25" fillId="15" borderId="57" applyNumberFormat="0" applyAlignment="0" applyProtection="0"/>
    <xf numFmtId="0" fontId="26" fillId="0" borderId="0" applyNumberFormat="0" applyFill="0" applyBorder="0" applyAlignment="0" applyProtection="0"/>
    <xf numFmtId="0" fontId="11" fillId="16" borderId="58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59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33" fillId="0" borderId="0"/>
    <xf numFmtId="0" fontId="33" fillId="0" borderId="0"/>
    <xf numFmtId="43" fontId="33" fillId="0" borderId="0" applyFont="0" applyFill="0" applyBorder="0" applyAlignment="0" applyProtection="0"/>
    <xf numFmtId="0" fontId="33" fillId="0" borderId="0"/>
  </cellStyleXfs>
  <cellXfs count="608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3" fontId="1" fillId="2" borderId="10" xfId="0" applyNumberFormat="1" applyFont="1" applyFill="1" applyBorder="1"/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2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3" fontId="3" fillId="6" borderId="10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0" fontId="2" fillId="3" borderId="64" xfId="0" applyFont="1" applyFill="1" applyBorder="1" applyAlignment="1">
      <alignment horizontal="center" vertical="center" wrapText="1"/>
    </xf>
    <xf numFmtId="3" fontId="3" fillId="6" borderId="63" xfId="0" applyNumberFormat="1" applyFont="1" applyFill="1" applyBorder="1"/>
    <xf numFmtId="3" fontId="1" fillId="6" borderId="65" xfId="0" applyNumberFormat="1" applyFont="1" applyFill="1" applyBorder="1"/>
    <xf numFmtId="43" fontId="1" fillId="2" borderId="9" xfId="2" applyNumberFormat="1" applyFont="1" applyFill="1" applyBorder="1"/>
    <xf numFmtId="0" fontId="31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1" borderId="12" xfId="2" applyNumberFormat="1" applyFont="1" applyFill="1" applyBorder="1" applyAlignment="1">
      <alignment horizontal="left"/>
    </xf>
    <xf numFmtId="42" fontId="1" fillId="41" borderId="37" xfId="2" applyNumberFormat="1" applyFont="1" applyFill="1" applyBorder="1" applyAlignment="1">
      <alignment horizontal="left"/>
    </xf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164" fontId="1" fillId="0" borderId="0" xfId="0" applyNumberFormat="1" applyFont="1"/>
    <xf numFmtId="9" fontId="1" fillId="0" borderId="0" xfId="3" applyFont="1" applyAlignment="1">
      <alignment horizontal="left"/>
    </xf>
    <xf numFmtId="9" fontId="1" fillId="2" borderId="11" xfId="3" applyFont="1" applyFill="1" applyBorder="1" applyAlignment="1">
      <alignment horizontal="right" vertical="center" wrapText="1"/>
    </xf>
    <xf numFmtId="5" fontId="1" fillId="5" borderId="2" xfId="4" applyNumberFormat="1" applyFont="1" applyFill="1" applyBorder="1"/>
    <xf numFmtId="9" fontId="1" fillId="0" borderId="0" xfId="3" applyFont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8" fontId="1" fillId="9" borderId="2" xfId="0" applyNumberFormat="1" applyFont="1" applyFill="1" applyBorder="1"/>
    <xf numFmtId="0" fontId="1" fillId="42" borderId="12" xfId="0" applyFont="1" applyFill="1" applyBorder="1"/>
    <xf numFmtId="0" fontId="1" fillId="42" borderId="37" xfId="0" applyFont="1" applyFill="1" applyBorder="1"/>
    <xf numFmtId="9" fontId="1" fillId="42" borderId="37" xfId="3" applyFont="1" applyFill="1" applyBorder="1"/>
    <xf numFmtId="165" fontId="1" fillId="42" borderId="37" xfId="2" applyNumberFormat="1" applyFont="1" applyFill="1" applyBorder="1"/>
    <xf numFmtId="164" fontId="1" fillId="42" borderId="37" xfId="4" applyNumberFormat="1" applyFont="1" applyFill="1" applyBorder="1"/>
    <xf numFmtId="9" fontId="1" fillId="42" borderId="37" xfId="3" applyFont="1" applyFill="1" applyBorder="1" applyAlignment="1">
      <alignment horizontal="left"/>
    </xf>
    <xf numFmtId="0" fontId="1" fillId="0" borderId="0" xfId="0" applyFont="1" applyFill="1" applyBorder="1"/>
    <xf numFmtId="0" fontId="1" fillId="0" borderId="0" xfId="0" applyFont="1" applyFill="1"/>
    <xf numFmtId="8" fontId="1" fillId="0" borderId="0" xfId="0" applyNumberFormat="1" applyFont="1" applyFill="1" applyBorder="1"/>
    <xf numFmtId="44" fontId="1" fillId="0" borderId="0" xfId="4" applyNumberFormat="1" applyFont="1" applyFill="1" applyBorder="1"/>
    <xf numFmtId="9" fontId="1" fillId="0" borderId="0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9" borderId="2" xfId="0" applyFont="1" applyFill="1" applyBorder="1" applyAlignment="1">
      <alignment horizontal="center" wrapText="1"/>
    </xf>
    <xf numFmtId="9" fontId="1" fillId="9" borderId="2" xfId="3" applyFont="1" applyFill="1" applyBorder="1" applyAlignment="1">
      <alignment horizontal="center"/>
    </xf>
    <xf numFmtId="42" fontId="1" fillId="0" borderId="0" xfId="0" applyNumberFormat="1" applyFont="1"/>
    <xf numFmtId="166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66" xfId="0" applyFont="1" applyFill="1" applyBorder="1" applyAlignment="1">
      <alignment horizontal="center" vertical="center" wrapText="1"/>
    </xf>
    <xf numFmtId="0" fontId="2" fillId="8" borderId="33" xfId="0" applyFont="1" applyFill="1" applyBorder="1" applyAlignment="1">
      <alignment horizontal="center" vertical="center" wrapText="1"/>
    </xf>
    <xf numFmtId="164" fontId="1" fillId="2" borderId="34" xfId="4" applyNumberFormat="1" applyFont="1" applyFill="1" applyBorder="1"/>
    <xf numFmtId="6" fontId="1" fillId="0" borderId="34" xfId="0" applyNumberFormat="1" applyFont="1" applyFill="1" applyBorder="1"/>
    <xf numFmtId="9" fontId="1" fillId="2" borderId="34" xfId="3" applyFont="1" applyFill="1" applyBorder="1"/>
    <xf numFmtId="9" fontId="1" fillId="2" borderId="35" xfId="3" applyFont="1" applyFill="1" applyBorder="1"/>
    <xf numFmtId="9" fontId="1" fillId="0" borderId="0" xfId="0" applyNumberFormat="1" applyFont="1" applyFill="1"/>
    <xf numFmtId="0" fontId="5" fillId="0" borderId="0" xfId="0" applyFont="1" applyFill="1"/>
    <xf numFmtId="0" fontId="1" fillId="0" borderId="0" xfId="0" applyFont="1" applyFill="1" applyAlignment="1">
      <alignment wrapText="1"/>
    </xf>
    <xf numFmtId="37" fontId="1" fillId="42" borderId="12" xfId="0" applyNumberFormat="1" applyFont="1" applyFill="1" applyBorder="1" applyAlignment="1">
      <alignment horizontal="center"/>
    </xf>
    <xf numFmtId="9" fontId="1" fillId="42" borderId="12" xfId="3" applyFont="1" applyFill="1" applyBorder="1" applyAlignment="1">
      <alignment horizontal="center"/>
    </xf>
    <xf numFmtId="3" fontId="1" fillId="2" borderId="10" xfId="4" applyNumberFormat="1" applyFont="1" applyFill="1" applyBorder="1" applyAlignment="1">
      <alignment horizontal="center"/>
    </xf>
    <xf numFmtId="1" fontId="1" fillId="9" borderId="2" xfId="0" applyNumberFormat="1" applyFont="1" applyFill="1" applyBorder="1" applyAlignment="1">
      <alignment horizontal="center"/>
    </xf>
    <xf numFmtId="43" fontId="1" fillId="2" borderId="9" xfId="2" applyNumberFormat="1" applyFont="1" applyFill="1" applyBorder="1" applyAlignment="1">
      <alignment horizontal="center"/>
    </xf>
    <xf numFmtId="9" fontId="1" fillId="0" borderId="0" xfId="0" applyNumberFormat="1" applyFont="1" applyAlignment="1">
      <alignment horizontal="center"/>
    </xf>
    <xf numFmtId="166" fontId="1" fillId="2" borderId="10" xfId="0" applyNumberFormat="1" applyFont="1" applyFill="1" applyBorder="1" applyAlignment="1">
      <alignment horizontal="center" vertical="center" wrapText="1"/>
    </xf>
    <xf numFmtId="166" fontId="3" fillId="5" borderId="10" xfId="0" applyNumberFormat="1" applyFont="1" applyFill="1" applyBorder="1" applyAlignment="1">
      <alignment horizontal="center"/>
    </xf>
    <xf numFmtId="3" fontId="1" fillId="6" borderId="2" xfId="0" applyNumberFormat="1" applyFont="1" applyFill="1" applyBorder="1" applyAlignment="1">
      <alignment horizontal="center"/>
    </xf>
    <xf numFmtId="3" fontId="1" fillId="6" borderId="11" xfId="0" applyNumberFormat="1" applyFont="1" applyFill="1" applyBorder="1" applyAlignment="1">
      <alignment horizontal="center"/>
    </xf>
    <xf numFmtId="2" fontId="1" fillId="2" borderId="2" xfId="0" applyNumberFormat="1" applyFont="1" applyFill="1" applyBorder="1" applyAlignment="1">
      <alignment horizontal="center"/>
    </xf>
    <xf numFmtId="5" fontId="1" fillId="2" borderId="2" xfId="4" applyNumberFormat="1" applyFont="1" applyFill="1" applyBorder="1" applyAlignment="1">
      <alignment horizontal="center" vertical="center"/>
    </xf>
    <xf numFmtId="9" fontId="1" fillId="2" borderId="2" xfId="0" applyNumberFormat="1" applyFont="1" applyFill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5" fontId="1" fillId="5" borderId="2" xfId="4" applyNumberFormat="1" applyFont="1" applyFill="1" applyBorder="1" applyAlignment="1">
      <alignment horizontal="center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 wrapText="1"/>
    </xf>
    <xf numFmtId="0" fontId="28" fillId="0" borderId="0" xfId="0" quotePrefix="1" applyFont="1" applyAlignment="1">
      <alignment horizontal="center"/>
    </xf>
    <xf numFmtId="164" fontId="0" fillId="0" borderId="0" xfId="4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4" fontId="0" fillId="0" borderId="0" xfId="4" applyNumberFormat="1" applyFont="1" applyAlignment="1">
      <alignment horizontal="center" vertical="center"/>
    </xf>
    <xf numFmtId="169" fontId="0" fillId="0" borderId="0" xfId="0" applyNumberFormat="1" applyAlignment="1">
      <alignment horizontal="center"/>
    </xf>
    <xf numFmtId="164" fontId="0" fillId="46" borderId="0" xfId="4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9" fontId="0" fillId="0" borderId="0" xfId="3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66" fontId="0" fillId="0" borderId="0" xfId="0" applyNumberFormat="1"/>
    <xf numFmtId="0" fontId="29" fillId="0" borderId="0" xfId="0" applyFont="1" applyFill="1" applyAlignment="1">
      <alignment horizontal="center"/>
    </xf>
    <xf numFmtId="0" fontId="0" fillId="0" borderId="70" xfId="0" applyBorder="1" applyAlignment="1">
      <alignment horizontal="left" vertical="center" wrapText="1" indent="1"/>
    </xf>
    <xf numFmtId="0" fontId="0" fillId="0" borderId="0" xfId="0" applyAlignment="1">
      <alignment wrapText="1"/>
    </xf>
    <xf numFmtId="0" fontId="0" fillId="0" borderId="71" xfId="0" applyBorder="1" applyAlignment="1">
      <alignment horizontal="left" vertical="center" indent="1"/>
    </xf>
    <xf numFmtId="166" fontId="0" fillId="0" borderId="0" xfId="4" applyNumberFormat="1" applyFont="1" applyAlignment="1">
      <alignment horizontal="center"/>
    </xf>
    <xf numFmtId="0" fontId="0" fillId="0" borderId="72" xfId="0" applyBorder="1" applyAlignment="1">
      <alignment horizontal="left" vertical="center" indent="1"/>
    </xf>
    <xf numFmtId="0" fontId="0" fillId="0" borderId="0" xfId="0" applyAlignment="1">
      <alignment horizontal="left" vertical="center" wrapText="1"/>
    </xf>
    <xf numFmtId="166" fontId="0" fillId="0" borderId="0" xfId="0" applyNumberFormat="1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28" fillId="0" borderId="0" xfId="0" applyFont="1"/>
    <xf numFmtId="0" fontId="25" fillId="0" borderId="0" xfId="0" applyFont="1" applyFill="1" applyAlignment="1">
      <alignment horizontal="center"/>
    </xf>
    <xf numFmtId="0" fontId="0" fillId="0" borderId="70" xfId="0" applyBorder="1" applyAlignment="1">
      <alignment horizontal="center" vertical="center"/>
    </xf>
    <xf numFmtId="0" fontId="0" fillId="0" borderId="7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170" fontId="0" fillId="0" borderId="80" xfId="4" applyNumberFormat="1" applyFont="1" applyBorder="1" applyAlignment="1">
      <alignment horizontal="center" vertical="center"/>
    </xf>
    <xf numFmtId="170" fontId="0" fillId="0" borderId="81" xfId="4" applyNumberFormat="1" applyFont="1" applyBorder="1" applyAlignment="1">
      <alignment horizontal="center" vertical="center"/>
    </xf>
    <xf numFmtId="166" fontId="0" fillId="0" borderId="0" xfId="4" applyNumberFormat="1" applyFont="1" applyAlignment="1">
      <alignment horizontal="center" vertical="center"/>
    </xf>
    <xf numFmtId="170" fontId="0" fillId="0" borderId="82" xfId="4" applyNumberFormat="1" applyFont="1" applyBorder="1" applyAlignment="1">
      <alignment horizontal="center" vertical="center"/>
    </xf>
    <xf numFmtId="9" fontId="0" fillId="0" borderId="80" xfId="3" applyFont="1" applyBorder="1" applyAlignment="1">
      <alignment horizontal="center" vertical="center"/>
    </xf>
    <xf numFmtId="170" fontId="0" fillId="0" borderId="83" xfId="4" applyNumberFormat="1" applyFont="1" applyBorder="1" applyAlignment="1">
      <alignment horizontal="center" vertical="center"/>
    </xf>
    <xf numFmtId="170" fontId="0" fillId="0" borderId="84" xfId="4" applyNumberFormat="1" applyFont="1" applyBorder="1" applyAlignment="1">
      <alignment horizontal="center" vertical="center"/>
    </xf>
    <xf numFmtId="170" fontId="0" fillId="0" borderId="85" xfId="4" applyNumberFormat="1" applyFont="1" applyBorder="1" applyAlignment="1">
      <alignment horizontal="center" vertical="center"/>
    </xf>
    <xf numFmtId="170" fontId="0" fillId="0" borderId="86" xfId="4" applyNumberFormat="1" applyFont="1" applyBorder="1" applyAlignment="1">
      <alignment horizontal="center" vertical="center"/>
    </xf>
    <xf numFmtId="9" fontId="0" fillId="0" borderId="84" xfId="3" applyFont="1" applyBorder="1" applyAlignment="1">
      <alignment horizontal="center" vertical="center"/>
    </xf>
    <xf numFmtId="170" fontId="0" fillId="0" borderId="87" xfId="4" applyNumberFormat="1" applyFont="1" applyBorder="1" applyAlignment="1">
      <alignment horizontal="center" vertical="center"/>
    </xf>
    <xf numFmtId="0" fontId="28" fillId="48" borderId="88" xfId="0" applyFont="1" applyFill="1" applyBorder="1" applyAlignment="1">
      <alignment horizontal="left" wrapText="1" indent="1"/>
    </xf>
    <xf numFmtId="170" fontId="28" fillId="48" borderId="89" xfId="0" applyNumberFormat="1" applyFont="1" applyFill="1" applyBorder="1" applyAlignment="1">
      <alignment horizontal="center" vertical="center"/>
    </xf>
    <xf numFmtId="170" fontId="28" fillId="48" borderId="90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70" fontId="28" fillId="48" borderId="91" xfId="4" applyNumberFormat="1" applyFont="1" applyFill="1" applyBorder="1" applyAlignment="1">
      <alignment horizontal="center" vertical="center" wrapText="1"/>
    </xf>
    <xf numFmtId="9" fontId="28" fillId="48" borderId="92" xfId="3" applyFont="1" applyFill="1" applyBorder="1" applyAlignment="1">
      <alignment horizontal="center" vertical="center"/>
    </xf>
    <xf numFmtId="170" fontId="28" fillId="48" borderId="93" xfId="4" applyNumberFormat="1" applyFont="1" applyFill="1" applyBorder="1" applyAlignment="1">
      <alignment horizontal="center" vertical="center" wrapText="1"/>
    </xf>
    <xf numFmtId="166" fontId="38" fillId="48" borderId="93" xfId="4" applyNumberFormat="1" applyFont="1" applyFill="1" applyBorder="1" applyAlignment="1">
      <alignment horizontal="center" vertical="center" wrapText="1"/>
    </xf>
    <xf numFmtId="166" fontId="37" fillId="48" borderId="93" xfId="4" quotePrefix="1" applyNumberFormat="1" applyFont="1" applyFill="1" applyBorder="1" applyAlignment="1">
      <alignment horizontal="center" vertical="center" wrapText="1"/>
    </xf>
    <xf numFmtId="166" fontId="28" fillId="48" borderId="93" xfId="4" applyNumberFormat="1" applyFont="1" applyFill="1" applyBorder="1" applyAlignment="1">
      <alignment horizontal="center" vertical="center" wrapText="1"/>
    </xf>
    <xf numFmtId="0" fontId="0" fillId="0" borderId="78" xfId="0" applyBorder="1" applyAlignment="1">
      <alignment horizontal="center" vertical="center" wrapText="1"/>
    </xf>
    <xf numFmtId="170" fontId="0" fillId="0" borderId="0" xfId="3" applyNumberFormat="1" applyFont="1" applyFill="1" applyBorder="1" applyAlignment="1">
      <alignment horizontal="center" vertical="center"/>
    </xf>
    <xf numFmtId="0" fontId="39" fillId="47" borderId="47" xfId="0" applyFont="1" applyFill="1" applyBorder="1" applyAlignment="1">
      <alignment horizontal="center" vertical="center" wrapText="1"/>
    </xf>
    <xf numFmtId="0" fontId="39" fillId="47" borderId="48" xfId="0" applyFont="1" applyFill="1" applyBorder="1" applyAlignment="1">
      <alignment horizontal="center" vertical="center" wrapText="1"/>
    </xf>
    <xf numFmtId="0" fontId="39" fillId="47" borderId="0" xfId="0" applyFont="1" applyFill="1" applyBorder="1" applyAlignment="1">
      <alignment horizontal="center" vertical="center" wrapText="1"/>
    </xf>
    <xf numFmtId="0" fontId="1" fillId="0" borderId="48" xfId="0" applyFont="1" applyBorder="1" applyAlignment="1">
      <alignment horizontal="left" indent="1"/>
    </xf>
    <xf numFmtId="171" fontId="11" fillId="0" borderId="48" xfId="3" applyNumberFormat="1" applyFont="1" applyBorder="1" applyAlignment="1">
      <alignment horizontal="center"/>
    </xf>
    <xf numFmtId="0" fontId="1" fillId="0" borderId="0" xfId="0" applyFont="1" applyBorder="1" applyAlignment="1">
      <alignment horizontal="left" indent="1"/>
    </xf>
    <xf numFmtId="171" fontId="11" fillId="0" borderId="0" xfId="3" applyNumberFormat="1" applyFont="1" applyBorder="1" applyAlignment="1">
      <alignment horizontal="center"/>
    </xf>
    <xf numFmtId="0" fontId="1" fillId="0" borderId="20" xfId="0" applyFont="1" applyBorder="1" applyAlignment="1">
      <alignment horizontal="left" indent="1"/>
    </xf>
    <xf numFmtId="171" fontId="28" fillId="0" borderId="42" xfId="0" applyNumberFormat="1" applyFont="1" applyBorder="1" applyAlignment="1">
      <alignment horizontal="center"/>
    </xf>
    <xf numFmtId="169" fontId="28" fillId="0" borderId="0" xfId="0" applyNumberFormat="1" applyFont="1" applyFill="1" applyBorder="1" applyAlignment="1">
      <alignment horizontal="center"/>
    </xf>
    <xf numFmtId="171" fontId="28" fillId="0" borderId="0" xfId="0" applyNumberFormat="1" applyFont="1" applyAlignment="1">
      <alignment horizontal="center"/>
    </xf>
    <xf numFmtId="0" fontId="40" fillId="0" borderId="0" xfId="0" applyFont="1"/>
    <xf numFmtId="0" fontId="2" fillId="8" borderId="94" xfId="0" applyFont="1" applyFill="1" applyBorder="1" applyAlignment="1">
      <alignment horizontal="center" vertical="center" wrapText="1"/>
    </xf>
    <xf numFmtId="0" fontId="2" fillId="8" borderId="95" xfId="0" applyFont="1" applyFill="1" applyBorder="1" applyAlignment="1">
      <alignment horizontal="center" vertical="center" wrapText="1"/>
    </xf>
    <xf numFmtId="0" fontId="1" fillId="0" borderId="12" xfId="0" applyFont="1" applyBorder="1" applyAlignment="1">
      <alignment horizontal="left" indent="1"/>
    </xf>
    <xf numFmtId="164" fontId="0" fillId="0" borderId="96" xfId="4" applyNumberFormat="1" applyFont="1" applyBorder="1"/>
    <xf numFmtId="164" fontId="0" fillId="0" borderId="97" xfId="4" applyNumberFormat="1" applyFont="1" applyBorder="1"/>
    <xf numFmtId="0" fontId="36" fillId="0" borderId="0" xfId="0" applyFont="1"/>
    <xf numFmtId="170" fontId="0" fillId="0" borderId="96" xfId="4" applyNumberFormat="1" applyFont="1" applyBorder="1" applyAlignment="1">
      <alignment horizontal="center"/>
    </xf>
    <xf numFmtId="170" fontId="0" fillId="0" borderId="97" xfId="4" applyNumberFormat="1" applyFont="1" applyBorder="1" applyAlignment="1">
      <alignment horizontal="center"/>
    </xf>
    <xf numFmtId="0" fontId="1" fillId="0" borderId="37" xfId="0" applyFont="1" applyBorder="1" applyAlignment="1">
      <alignment horizontal="left" indent="1"/>
    </xf>
    <xf numFmtId="164" fontId="0" fillId="0" borderId="98" xfId="4" applyNumberFormat="1" applyFont="1" applyBorder="1"/>
    <xf numFmtId="164" fontId="0" fillId="0" borderId="99" xfId="4" applyNumberFormat="1" applyFont="1" applyBorder="1"/>
    <xf numFmtId="170" fontId="0" fillId="0" borderId="98" xfId="4" applyNumberFormat="1" applyFont="1" applyBorder="1" applyAlignment="1">
      <alignment horizontal="center"/>
    </xf>
    <xf numFmtId="170" fontId="0" fillId="0" borderId="99" xfId="4" applyNumberFormat="1" applyFont="1" applyBorder="1" applyAlignment="1">
      <alignment horizontal="center"/>
    </xf>
    <xf numFmtId="0" fontId="26" fillId="0" borderId="0" xfId="0" applyFont="1"/>
    <xf numFmtId="9" fontId="2" fillId="8" borderId="41" xfId="0" applyNumberFormat="1" applyFont="1" applyFill="1" applyBorder="1" applyAlignment="1">
      <alignment horizontal="center" vertical="center" wrapText="1"/>
    </xf>
    <xf numFmtId="9" fontId="2" fillId="8" borderId="41" xfId="3" applyFont="1" applyFill="1" applyBorder="1" applyAlignment="1">
      <alignment horizontal="center" vertical="center" wrapText="1"/>
    </xf>
    <xf numFmtId="170" fontId="0" fillId="0" borderId="0" xfId="4" applyNumberFormat="1" applyFont="1" applyBorder="1" applyAlignment="1">
      <alignment horizontal="center"/>
    </xf>
    <xf numFmtId="0" fontId="0" fillId="0" borderId="0" xfId="0" applyFill="1"/>
    <xf numFmtId="170" fontId="0" fillId="0" borderId="0" xfId="4" applyNumberFormat="1" applyFont="1" applyFill="1" applyBorder="1" applyAlignment="1">
      <alignment horizontal="center"/>
    </xf>
    <xf numFmtId="9" fontId="0" fillId="0" borderId="0" xfId="0" applyNumberFormat="1"/>
    <xf numFmtId="168" fontId="0" fillId="0" borderId="0" xfId="4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1" fillId="0" borderId="0" xfId="0" applyFont="1" applyBorder="1"/>
    <xf numFmtId="164" fontId="0" fillId="0" borderId="0" xfId="4" applyNumberFormat="1" applyFont="1" applyBorder="1"/>
    <xf numFmtId="3" fontId="1" fillId="0" borderId="12" xfId="2" applyNumberFormat="1" applyFont="1" applyFill="1" applyBorder="1" applyAlignment="1">
      <alignment horizontal="center"/>
    </xf>
    <xf numFmtId="3" fontId="1" fillId="0" borderId="37" xfId="2" applyNumberFormat="1" applyFont="1" applyFill="1" applyBorder="1" applyAlignment="1">
      <alignment horizontal="center"/>
    </xf>
    <xf numFmtId="3" fontId="34" fillId="42" borderId="37" xfId="2" applyNumberFormat="1" applyFont="1" applyFill="1" applyBorder="1" applyAlignment="1">
      <alignment horizontal="center"/>
    </xf>
    <xf numFmtId="9" fontId="1" fillId="0" borderId="0" xfId="0" applyNumberFormat="1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28" fillId="0" borderId="0" xfId="0" applyFont="1" applyAlignment="1">
      <alignment horizontal="center" wrapText="1"/>
    </xf>
    <xf numFmtId="166" fontId="0" fillId="0" borderId="0" xfId="0" applyNumberFormat="1" applyBorder="1" applyAlignment="1">
      <alignment horizontal="center"/>
    </xf>
    <xf numFmtId="0" fontId="0" fillId="0" borderId="0" xfId="0" applyFill="1" applyBorder="1"/>
    <xf numFmtId="9" fontId="2" fillId="0" borderId="0" xfId="3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6" xfId="0" applyFont="1" applyFill="1" applyBorder="1" applyAlignment="1">
      <alignment horizontal="center" vertical="center" wrapText="1"/>
    </xf>
    <xf numFmtId="44" fontId="1" fillId="0" borderId="0" xfId="4" applyNumberFormat="1" applyFont="1" applyBorder="1"/>
    <xf numFmtId="166" fontId="1" fillId="0" borderId="0" xfId="0" applyNumberFormat="1" applyFont="1" applyBorder="1"/>
    <xf numFmtId="0" fontId="2" fillId="8" borderId="28" xfId="0" applyFont="1" applyFill="1" applyBorder="1" applyAlignment="1">
      <alignment horizontal="center" vertical="center" wrapText="1"/>
    </xf>
    <xf numFmtId="7" fontId="0" fillId="0" borderId="0" xfId="0" applyNumberFormat="1"/>
    <xf numFmtId="0" fontId="1" fillId="0" borderId="12" xfId="0" applyFont="1" applyFill="1" applyBorder="1" applyAlignment="1">
      <alignment horizontal="left"/>
    </xf>
    <xf numFmtId="0" fontId="1" fillId="0" borderId="37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9" fontId="32" fillId="8" borderId="2" xfId="0" applyNumberFormat="1" applyFont="1" applyFill="1" applyBorder="1" applyAlignment="1">
      <alignment horizontal="center" vertical="center"/>
    </xf>
    <xf numFmtId="0" fontId="28" fillId="0" borderId="0" xfId="0" quotePrefix="1" applyFont="1" applyAlignment="1">
      <alignment horizontal="center" vertical="center" wrapText="1"/>
    </xf>
    <xf numFmtId="0" fontId="0" fillId="0" borderId="0" xfId="0" applyAlignment="1">
      <alignment vertical="center"/>
    </xf>
    <xf numFmtId="166" fontId="0" fillId="0" borderId="83" xfId="4" applyNumberFormat="1" applyFont="1" applyBorder="1" applyAlignment="1">
      <alignment horizontal="center" vertical="center"/>
    </xf>
    <xf numFmtId="166" fontId="0" fillId="0" borderId="87" xfId="4" applyNumberFormat="1" applyFont="1" applyBorder="1" applyAlignment="1">
      <alignment horizontal="center" vertical="center"/>
    </xf>
    <xf numFmtId="0" fontId="0" fillId="48" borderId="88" xfId="0" applyFont="1" applyFill="1" applyBorder="1" applyAlignment="1">
      <alignment horizontal="left" wrapText="1" indent="1"/>
    </xf>
    <xf numFmtId="171" fontId="0" fillId="0" borderId="0" xfId="3" applyNumberFormat="1" applyFont="1" applyAlignment="1">
      <alignment horizontal="center"/>
    </xf>
    <xf numFmtId="166" fontId="38" fillId="48" borderId="93" xfId="4" quotePrefix="1" applyNumberFormat="1" applyFont="1" applyFill="1" applyBorder="1" applyAlignment="1">
      <alignment horizontal="center" vertical="center" wrapText="1"/>
    </xf>
    <xf numFmtId="166" fontId="0" fillId="0" borderId="81" xfId="4" applyNumberFormat="1" applyFont="1" applyBorder="1" applyAlignment="1">
      <alignment horizontal="center" vertical="center"/>
    </xf>
    <xf numFmtId="166" fontId="0" fillId="0" borderId="85" xfId="4" applyNumberFormat="1" applyFont="1" applyBorder="1" applyAlignment="1">
      <alignment horizontal="center" vertical="center"/>
    </xf>
    <xf numFmtId="166" fontId="28" fillId="48" borderId="90" xfId="0" applyNumberFormat="1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left" indent="1"/>
    </xf>
    <xf numFmtId="0" fontId="1" fillId="0" borderId="37" xfId="0" applyFont="1" applyFill="1" applyBorder="1" applyAlignment="1">
      <alignment horizontal="left" indent="1"/>
    </xf>
    <xf numFmtId="170" fontId="1" fillId="0" borderId="0" xfId="0" applyNumberFormat="1" applyFont="1" applyAlignment="1">
      <alignment horizontal="center"/>
    </xf>
    <xf numFmtId="0" fontId="39" fillId="47" borderId="49" xfId="0" applyFont="1" applyFill="1" applyBorder="1" applyAlignment="1">
      <alignment horizontal="center" vertical="center" wrapText="1"/>
    </xf>
    <xf numFmtId="10" fontId="0" fillId="0" borderId="0" xfId="3" applyNumberFormat="1" applyFont="1"/>
    <xf numFmtId="0" fontId="1" fillId="0" borderId="12" xfId="0" applyFont="1" applyBorder="1" applyAlignment="1">
      <alignment horizontal="left" vertical="center" indent="1"/>
    </xf>
    <xf numFmtId="0" fontId="1" fillId="0" borderId="37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8" fontId="1" fillId="9" borderId="2" xfId="4" applyNumberFormat="1" applyFont="1" applyFill="1" applyBorder="1"/>
    <xf numFmtId="9" fontId="1" fillId="0" borderId="12" xfId="0" applyNumberFormat="1" applyFont="1" applyBorder="1" applyAlignment="1">
      <alignment horizontal="center"/>
    </xf>
    <xf numFmtId="3" fontId="1" fillId="2" borderId="12" xfId="2" applyNumberFormat="1" applyFont="1" applyFill="1" applyBorder="1" applyAlignment="1">
      <alignment horizontal="center"/>
    </xf>
    <xf numFmtId="3" fontId="12" fillId="8" borderId="12" xfId="2" applyNumberFormat="1" applyFont="1" applyFill="1" applyBorder="1" applyAlignment="1">
      <alignment horizontal="center"/>
    </xf>
    <xf numFmtId="3" fontId="1" fillId="9" borderId="12" xfId="0" applyNumberFormat="1" applyFont="1" applyFill="1" applyBorder="1" applyAlignment="1">
      <alignment horizontal="center"/>
    </xf>
    <xf numFmtId="9" fontId="1" fillId="9" borderId="12" xfId="3" applyFont="1" applyFill="1" applyBorder="1" applyAlignment="1">
      <alignment horizontal="center"/>
    </xf>
    <xf numFmtId="9" fontId="1" fillId="0" borderId="37" xfId="0" applyNumberFormat="1" applyFont="1" applyBorder="1" applyAlignment="1">
      <alignment horizontal="center"/>
    </xf>
    <xf numFmtId="3" fontId="1" fillId="2" borderId="37" xfId="2" applyNumberFormat="1" applyFont="1" applyFill="1" applyBorder="1" applyAlignment="1">
      <alignment horizontal="center"/>
    </xf>
    <xf numFmtId="3" fontId="12" fillId="8" borderId="37" xfId="2" applyNumberFormat="1" applyFont="1" applyFill="1" applyBorder="1" applyAlignment="1">
      <alignment horizontal="center"/>
    </xf>
    <xf numFmtId="3" fontId="1" fillId="9" borderId="37" xfId="0" applyNumberFormat="1" applyFont="1" applyFill="1" applyBorder="1" applyAlignment="1">
      <alignment horizontal="center"/>
    </xf>
    <xf numFmtId="9" fontId="1" fillId="9" borderId="37" xfId="3" applyFont="1" applyFill="1" applyBorder="1" applyAlignment="1">
      <alignment horizontal="center"/>
    </xf>
    <xf numFmtId="0" fontId="1" fillId="42" borderId="12" xfId="0" applyFont="1" applyFill="1" applyBorder="1" applyAlignment="1">
      <alignment horizontal="center"/>
    </xf>
    <xf numFmtId="5" fontId="1" fillId="2" borderId="12" xfId="4" applyNumberFormat="1" applyFont="1" applyFill="1" applyBorder="1" applyAlignment="1">
      <alignment horizontal="center"/>
    </xf>
    <xf numFmtId="5" fontId="1" fillId="2" borderId="37" xfId="4" applyNumberFormat="1" applyFont="1" applyFill="1" applyBorder="1" applyAlignment="1">
      <alignment horizontal="center"/>
    </xf>
    <xf numFmtId="5" fontId="1" fillId="42" borderId="12" xfId="0" applyNumberFormat="1" applyFont="1" applyFill="1" applyBorder="1" applyAlignment="1">
      <alignment horizontal="center"/>
    </xf>
    <xf numFmtId="166" fontId="1" fillId="2" borderId="12" xfId="4" applyNumberFormat="1" applyFont="1" applyFill="1" applyBorder="1" applyAlignment="1">
      <alignment horizontal="center"/>
    </xf>
    <xf numFmtId="166" fontId="12" fillId="8" borderId="12" xfId="2" applyNumberFormat="1" applyFont="1" applyFill="1" applyBorder="1" applyAlignment="1">
      <alignment horizontal="center"/>
    </xf>
    <xf numFmtId="166" fontId="1" fillId="2" borderId="37" xfId="4" applyNumberFormat="1" applyFont="1" applyFill="1" applyBorder="1" applyAlignment="1">
      <alignment horizontal="center"/>
    </xf>
    <xf numFmtId="166" fontId="12" fillId="8" borderId="37" xfId="2" applyNumberFormat="1" applyFont="1" applyFill="1" applyBorder="1" applyAlignment="1">
      <alignment horizontal="center"/>
    </xf>
    <xf numFmtId="166" fontId="1" fillId="42" borderId="12" xfId="0" applyNumberFormat="1" applyFont="1" applyFill="1" applyBorder="1" applyAlignment="1">
      <alignment horizontal="center"/>
    </xf>
    <xf numFmtId="37" fontId="1" fillId="42" borderId="12" xfId="2" applyNumberFormat="1" applyFont="1" applyFill="1" applyBorder="1" applyAlignment="1">
      <alignment horizontal="center"/>
    </xf>
    <xf numFmtId="0" fontId="1" fillId="42" borderId="37" xfId="0" applyFont="1" applyFill="1" applyBorder="1" applyAlignment="1">
      <alignment horizontal="center"/>
    </xf>
    <xf numFmtId="44" fontId="1" fillId="0" borderId="0" xfId="0" applyNumberFormat="1" applyFont="1"/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166" fontId="0" fillId="0" borderId="96" xfId="4" applyNumberFormat="1" applyFont="1" applyBorder="1" applyAlignment="1">
      <alignment horizontal="center"/>
    </xf>
    <xf numFmtId="166" fontId="0" fillId="0" borderId="98" xfId="4" applyNumberFormat="1" applyFont="1" applyBorder="1" applyAlignment="1">
      <alignment horizontal="center"/>
    </xf>
    <xf numFmtId="0" fontId="1" fillId="2" borderId="2" xfId="4" applyNumberFormat="1" applyFont="1" applyFill="1" applyBorder="1" applyAlignment="1">
      <alignment horizontal="center" vertical="center"/>
    </xf>
    <xf numFmtId="37" fontId="1" fillId="0" borderId="0" xfId="0" applyNumberFormat="1" applyFont="1"/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7" fontId="1" fillId="0" borderId="0" xfId="0" applyNumberFormat="1" applyFont="1"/>
    <xf numFmtId="3" fontId="0" fillId="43" borderId="0" xfId="0" applyNumberFormat="1" applyFill="1"/>
    <xf numFmtId="2" fontId="1" fillId="0" borderId="0" xfId="0" applyNumberFormat="1" applyFont="1" applyFill="1" applyAlignment="1">
      <alignment horizontal="center"/>
    </xf>
    <xf numFmtId="166" fontId="1" fillId="49" borderId="37" xfId="4" applyNumberFormat="1" applyFont="1" applyFill="1" applyBorder="1" applyAlignment="1">
      <alignment horizontal="center"/>
    </xf>
    <xf numFmtId="173" fontId="42" fillId="0" borderId="0" xfId="0" applyNumberFormat="1" applyFont="1" applyAlignment="1">
      <alignment horizontal="center" vertical="center"/>
    </xf>
    <xf numFmtId="0" fontId="41" fillId="0" borderId="40" xfId="0" applyFont="1" applyBorder="1" applyAlignment="1">
      <alignment horizontal="left" vertical="center"/>
    </xf>
    <xf numFmtId="0" fontId="41" fillId="0" borderId="0" xfId="0" applyFont="1" applyAlignment="1">
      <alignment horizontal="left" vertical="center"/>
    </xf>
    <xf numFmtId="3" fontId="42" fillId="0" borderId="0" xfId="0" applyNumberFormat="1" applyFont="1" applyAlignment="1">
      <alignment horizontal="center" vertical="center"/>
    </xf>
    <xf numFmtId="173" fontId="44" fillId="0" borderId="42" xfId="0" applyNumberFormat="1" applyFont="1" applyBorder="1" applyAlignment="1">
      <alignment horizontal="center" vertical="center"/>
    </xf>
    <xf numFmtId="3" fontId="44" fillId="0" borderId="42" xfId="0" applyNumberFormat="1" applyFont="1" applyBorder="1" applyAlignment="1">
      <alignment horizontal="center" vertical="center"/>
    </xf>
    <xf numFmtId="169" fontId="42" fillId="0" borderId="0" xfId="0" applyNumberFormat="1" applyFont="1" applyAlignment="1">
      <alignment horizontal="center" vertical="center"/>
    </xf>
    <xf numFmtId="169" fontId="44" fillId="0" borderId="42" xfId="0" applyNumberFormat="1" applyFont="1" applyBorder="1" applyAlignment="1">
      <alignment horizontal="center" vertical="center"/>
    </xf>
    <xf numFmtId="166" fontId="44" fillId="0" borderId="42" xfId="4" applyNumberFormat="1" applyFont="1" applyBorder="1" applyAlignment="1">
      <alignment horizontal="center" vertical="center"/>
    </xf>
    <xf numFmtId="166" fontId="42" fillId="0" borderId="0" xfId="0" applyNumberFormat="1" applyFont="1" applyBorder="1" applyAlignment="1">
      <alignment horizontal="center" vertical="center"/>
    </xf>
    <xf numFmtId="0" fontId="45" fillId="0" borderId="0" xfId="0" applyFont="1"/>
    <xf numFmtId="1" fontId="45" fillId="0" borderId="0" xfId="0" applyNumberFormat="1" applyFont="1"/>
    <xf numFmtId="2" fontId="42" fillId="0" borderId="100" xfId="3" applyNumberFormat="1" applyFont="1" applyBorder="1" applyAlignment="1">
      <alignment horizontal="center" vertical="center"/>
    </xf>
    <xf numFmtId="172" fontId="44" fillId="0" borderId="13" xfId="0" applyNumberFormat="1" applyFont="1" applyBorder="1" applyAlignment="1">
      <alignment horizontal="center" vertical="center"/>
    </xf>
    <xf numFmtId="2" fontId="42" fillId="0" borderId="49" xfId="3" applyNumberFormat="1" applyFont="1" applyBorder="1" applyAlignment="1">
      <alignment horizontal="center" vertical="center"/>
    </xf>
    <xf numFmtId="170" fontId="0" fillId="0" borderId="0" xfId="0" applyNumberFormat="1"/>
    <xf numFmtId="0" fontId="43" fillId="0" borderId="0" xfId="0" applyFont="1"/>
    <xf numFmtId="0" fontId="41" fillId="0" borderId="0" xfId="0" applyFont="1" applyAlignment="1">
      <alignment horizontal="center" vertical="center" wrapText="1"/>
    </xf>
    <xf numFmtId="0" fontId="41" fillId="0" borderId="78" xfId="0" applyFont="1" applyBorder="1" applyAlignment="1">
      <alignment horizontal="center" vertical="center" wrapText="1"/>
    </xf>
    <xf numFmtId="0" fontId="41" fillId="0" borderId="70" xfId="0" applyFont="1" applyBorder="1" applyAlignment="1">
      <alignment horizontal="center" vertical="center" wrapText="1"/>
    </xf>
    <xf numFmtId="0" fontId="41" fillId="0" borderId="70" xfId="0" applyFont="1" applyBorder="1" applyAlignment="1">
      <alignment horizontal="left" vertical="center" wrapText="1" indent="1"/>
    </xf>
    <xf numFmtId="170" fontId="41" fillId="0" borderId="82" xfId="4" applyNumberFormat="1" applyFont="1" applyBorder="1" applyAlignment="1">
      <alignment horizontal="center" vertical="center"/>
    </xf>
    <xf numFmtId="9" fontId="41" fillId="0" borderId="80" xfId="3" applyFont="1" applyBorder="1" applyAlignment="1">
      <alignment horizontal="center" vertical="center"/>
    </xf>
    <xf numFmtId="170" fontId="43" fillId="48" borderId="89" xfId="0" applyNumberFormat="1" applyFont="1" applyFill="1" applyBorder="1" applyAlignment="1">
      <alignment horizontal="center" vertical="center"/>
    </xf>
    <xf numFmtId="170" fontId="43" fillId="48" borderId="91" xfId="4" applyNumberFormat="1" applyFont="1" applyFill="1" applyBorder="1" applyAlignment="1">
      <alignment horizontal="center" vertical="center" wrapText="1"/>
    </xf>
    <xf numFmtId="9" fontId="43" fillId="48" borderId="92" xfId="3" applyFont="1" applyFill="1" applyBorder="1" applyAlignment="1">
      <alignment horizontal="center" vertical="center"/>
    </xf>
    <xf numFmtId="0" fontId="41" fillId="0" borderId="40" xfId="0" applyFont="1" applyBorder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43" fillId="0" borderId="41" xfId="0" applyFont="1" applyBorder="1" applyAlignment="1">
      <alignment horizontal="center" vertical="center"/>
    </xf>
    <xf numFmtId="0" fontId="43" fillId="0" borderId="42" xfId="0" applyFont="1" applyBorder="1" applyAlignment="1">
      <alignment horizontal="center" vertical="center"/>
    </xf>
    <xf numFmtId="0" fontId="41" fillId="0" borderId="0" xfId="0" applyFont="1"/>
    <xf numFmtId="0" fontId="46" fillId="0" borderId="0" xfId="0" applyFont="1" applyFill="1" applyAlignment="1">
      <alignment horizontal="center"/>
    </xf>
    <xf numFmtId="0" fontId="41" fillId="0" borderId="70" xfId="0" applyFont="1" applyBorder="1" applyAlignment="1">
      <alignment horizontal="center" vertical="center"/>
    </xf>
    <xf numFmtId="0" fontId="41" fillId="0" borderId="79" xfId="0" applyFont="1" applyBorder="1" applyAlignment="1">
      <alignment horizontal="center" vertical="center" wrapText="1"/>
    </xf>
    <xf numFmtId="9" fontId="41" fillId="0" borderId="71" xfId="3" applyFont="1" applyBorder="1" applyAlignment="1">
      <alignment horizontal="left" vertical="center" indent="1"/>
    </xf>
    <xf numFmtId="170" fontId="41" fillId="0" borderId="80" xfId="4" applyNumberFormat="1" applyFont="1" applyBorder="1" applyAlignment="1">
      <alignment horizontal="center" vertical="center"/>
    </xf>
    <xf numFmtId="166" fontId="41" fillId="0" borderId="81" xfId="4" applyNumberFormat="1" applyFont="1" applyBorder="1" applyAlignment="1">
      <alignment horizontal="center" vertical="center"/>
    </xf>
    <xf numFmtId="166" fontId="41" fillId="0" borderId="0" xfId="4" applyNumberFormat="1" applyFont="1" applyAlignment="1">
      <alignment horizontal="center" vertical="center"/>
    </xf>
    <xf numFmtId="166" fontId="41" fillId="0" borderId="83" xfId="4" applyNumberFormat="1" applyFont="1" applyBorder="1" applyAlignment="1">
      <alignment horizontal="center" vertical="center"/>
    </xf>
    <xf numFmtId="0" fontId="41" fillId="0" borderId="71" xfId="0" applyFont="1" applyBorder="1" applyAlignment="1">
      <alignment horizontal="left" vertical="center" indent="1"/>
    </xf>
    <xf numFmtId="170" fontId="41" fillId="0" borderId="84" xfId="4" applyNumberFormat="1" applyFont="1" applyBorder="1" applyAlignment="1">
      <alignment horizontal="center" vertical="center"/>
    </xf>
    <xf numFmtId="166" fontId="41" fillId="0" borderId="85" xfId="4" applyNumberFormat="1" applyFont="1" applyBorder="1" applyAlignment="1">
      <alignment horizontal="center" vertical="center"/>
    </xf>
    <xf numFmtId="170" fontId="41" fillId="0" borderId="86" xfId="4" applyNumberFormat="1" applyFont="1" applyBorder="1" applyAlignment="1">
      <alignment horizontal="center" vertical="center"/>
    </xf>
    <xf numFmtId="9" fontId="41" fillId="0" borderId="84" xfId="3" applyFont="1" applyBorder="1" applyAlignment="1">
      <alignment horizontal="center" vertical="center"/>
    </xf>
    <xf numFmtId="166" fontId="41" fillId="0" borderId="87" xfId="4" applyNumberFormat="1" applyFont="1" applyBorder="1" applyAlignment="1">
      <alignment horizontal="center" vertical="center"/>
    </xf>
    <xf numFmtId="168" fontId="41" fillId="0" borderId="84" xfId="4" applyNumberFormat="1" applyFont="1" applyBorder="1" applyAlignment="1">
      <alignment horizontal="center" vertical="center"/>
    </xf>
    <xf numFmtId="168" fontId="41" fillId="0" borderId="85" xfId="4" applyNumberFormat="1" applyFont="1" applyBorder="1" applyAlignment="1">
      <alignment horizontal="center" vertical="center"/>
    </xf>
    <xf numFmtId="168" fontId="41" fillId="0" borderId="0" xfId="4" applyNumberFormat="1" applyFont="1" applyAlignment="1">
      <alignment horizontal="center" vertical="center"/>
    </xf>
    <xf numFmtId="168" fontId="41" fillId="0" borderId="86" xfId="4" applyNumberFormat="1" applyFont="1" applyBorder="1" applyAlignment="1">
      <alignment horizontal="center" vertical="center"/>
    </xf>
    <xf numFmtId="0" fontId="43" fillId="48" borderId="88" xfId="0" applyFont="1" applyFill="1" applyBorder="1" applyAlignment="1">
      <alignment horizontal="left" vertical="center" wrapText="1"/>
    </xf>
    <xf numFmtId="166" fontId="43" fillId="48" borderId="90" xfId="0" applyNumberFormat="1" applyFont="1" applyFill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166" fontId="43" fillId="48" borderId="93" xfId="4" applyNumberFormat="1" applyFont="1" applyFill="1" applyBorder="1" applyAlignment="1">
      <alignment horizontal="center" vertical="center" wrapText="1"/>
    </xf>
    <xf numFmtId="170" fontId="43" fillId="48" borderId="90" xfId="0" applyNumberFormat="1" applyFont="1" applyFill="1" applyBorder="1" applyAlignment="1">
      <alignment horizontal="center" vertical="center"/>
    </xf>
    <xf numFmtId="166" fontId="49" fillId="48" borderId="93" xfId="4" quotePrefix="1" applyNumberFormat="1" applyFont="1" applyFill="1" applyBorder="1" applyAlignment="1">
      <alignment horizontal="center" vertical="center" wrapText="1"/>
    </xf>
    <xf numFmtId="166" fontId="50" fillId="48" borderId="93" xfId="4" quotePrefix="1" applyNumberFormat="1" applyFont="1" applyFill="1" applyBorder="1" applyAlignment="1">
      <alignment horizontal="center" vertical="center" wrapText="1"/>
    </xf>
    <xf numFmtId="169" fontId="42" fillId="0" borderId="49" xfId="3" applyNumberFormat="1" applyFont="1" applyBorder="1" applyAlignment="1">
      <alignment horizontal="center" vertical="center"/>
    </xf>
    <xf numFmtId="169" fontId="42" fillId="0" borderId="100" xfId="3" applyNumberFormat="1" applyFont="1" applyBorder="1" applyAlignment="1">
      <alignment horizontal="center" vertical="center"/>
    </xf>
    <xf numFmtId="171" fontId="42" fillId="0" borderId="48" xfId="3" applyNumberFormat="1" applyFont="1" applyBorder="1" applyAlignment="1">
      <alignment horizontal="center"/>
    </xf>
    <xf numFmtId="171" fontId="42" fillId="0" borderId="0" xfId="3" applyNumberFormat="1" applyFont="1" applyBorder="1" applyAlignment="1">
      <alignment horizontal="center"/>
    </xf>
    <xf numFmtId="171" fontId="44" fillId="0" borderId="42" xfId="0" applyNumberFormat="1" applyFont="1" applyBorder="1" applyAlignment="1">
      <alignment horizontal="center"/>
    </xf>
    <xf numFmtId="0" fontId="51" fillId="47" borderId="47" xfId="0" applyFont="1" applyFill="1" applyBorder="1" applyAlignment="1">
      <alignment horizontal="center" vertical="center" wrapText="1"/>
    </xf>
    <xf numFmtId="0" fontId="51" fillId="47" borderId="48" xfId="0" applyFont="1" applyFill="1" applyBorder="1" applyAlignment="1">
      <alignment horizontal="center" vertical="center" wrapText="1"/>
    </xf>
    <xf numFmtId="169" fontId="51" fillId="47" borderId="49" xfId="0" applyNumberFormat="1" applyFont="1" applyFill="1" applyBorder="1" applyAlignment="1">
      <alignment horizontal="center" vertical="center" wrapText="1"/>
    </xf>
    <xf numFmtId="0" fontId="44" fillId="0" borderId="41" xfId="0" applyFont="1" applyBorder="1" applyAlignment="1">
      <alignment vertical="center"/>
    </xf>
    <xf numFmtId="0" fontId="44" fillId="0" borderId="42" xfId="0" applyFont="1" applyBorder="1" applyAlignment="1">
      <alignment vertical="center"/>
    </xf>
    <xf numFmtId="0" fontId="47" fillId="0" borderId="41" xfId="0" applyFont="1" applyBorder="1" applyAlignment="1">
      <alignment horizontal="center" vertical="center"/>
    </xf>
    <xf numFmtId="0" fontId="47" fillId="0" borderId="42" xfId="0" applyFont="1" applyBorder="1" applyAlignment="1">
      <alignment horizontal="center" vertical="center"/>
    </xf>
    <xf numFmtId="173" fontId="47" fillId="0" borderId="42" xfId="0" applyNumberFormat="1" applyFont="1" applyBorder="1" applyAlignment="1">
      <alignment horizontal="center" vertical="center"/>
    </xf>
    <xf numFmtId="3" fontId="47" fillId="0" borderId="42" xfId="0" applyNumberFormat="1" applyFont="1" applyBorder="1" applyAlignment="1">
      <alignment horizontal="center" vertical="center"/>
    </xf>
    <xf numFmtId="169" fontId="47" fillId="0" borderId="42" xfId="0" applyNumberFormat="1" applyFont="1" applyBorder="1" applyAlignment="1">
      <alignment horizontal="center" vertical="center"/>
    </xf>
    <xf numFmtId="171" fontId="47" fillId="0" borderId="42" xfId="0" applyNumberFormat="1" applyFont="1" applyBorder="1" applyAlignment="1">
      <alignment horizontal="center" vertical="center"/>
    </xf>
    <xf numFmtId="166" fontId="47" fillId="0" borderId="42" xfId="4" applyNumberFormat="1" applyFont="1" applyBorder="1" applyAlignment="1">
      <alignment horizontal="center" vertical="center"/>
    </xf>
    <xf numFmtId="172" fontId="47" fillId="0" borderId="13" xfId="0" applyNumberFormat="1" applyFont="1" applyBorder="1" applyAlignment="1">
      <alignment horizontal="center" vertical="center"/>
    </xf>
    <xf numFmtId="0" fontId="52" fillId="47" borderId="47" xfId="0" applyFont="1" applyFill="1" applyBorder="1" applyAlignment="1">
      <alignment horizontal="center" vertical="center" wrapText="1"/>
    </xf>
    <xf numFmtId="0" fontId="52" fillId="47" borderId="48" xfId="0" applyFont="1" applyFill="1" applyBorder="1" applyAlignment="1">
      <alignment horizontal="center" vertical="center" wrapText="1"/>
    </xf>
    <xf numFmtId="0" fontId="52" fillId="47" borderId="49" xfId="0" applyFont="1" applyFill="1" applyBorder="1" applyAlignment="1">
      <alignment horizontal="center" vertical="center" wrapText="1"/>
    </xf>
    <xf numFmtId="174" fontId="1" fillId="0" borderId="0" xfId="0" applyNumberFormat="1" applyFont="1"/>
    <xf numFmtId="2" fontId="0" fillId="0" borderId="0" xfId="0" applyNumberFormat="1"/>
    <xf numFmtId="171" fontId="42" fillId="0" borderId="48" xfId="3" applyNumberFormat="1" applyFont="1" applyBorder="1" applyAlignment="1">
      <alignment horizontal="center" vertical="center"/>
    </xf>
    <xf numFmtId="171" fontId="42" fillId="0" borderId="0" xfId="3" applyNumberFormat="1" applyFont="1" applyBorder="1" applyAlignment="1">
      <alignment horizontal="center" vertical="center"/>
    </xf>
    <xf numFmtId="175" fontId="42" fillId="0" borderId="0" xfId="0" applyNumberFormat="1" applyFont="1" applyAlignment="1">
      <alignment horizontal="center" vertical="center"/>
    </xf>
    <xf numFmtId="175" fontId="44" fillId="0" borderId="42" xfId="0" applyNumberFormat="1" applyFont="1" applyBorder="1" applyAlignment="1">
      <alignment horizontal="center" vertical="center"/>
    </xf>
    <xf numFmtId="6" fontId="53" fillId="0" borderId="2" xfId="0" applyNumberFormat="1" applyFont="1" applyBorder="1" applyAlignment="1">
      <alignment horizontal="center" vertical="center" readingOrder="1"/>
    </xf>
    <xf numFmtId="3" fontId="41" fillId="0" borderId="81" xfId="4" applyNumberFormat="1" applyFont="1" applyBorder="1" applyAlignment="1">
      <alignment horizontal="center" vertical="center"/>
    </xf>
    <xf numFmtId="168" fontId="0" fillId="0" borderId="0" xfId="0" applyNumberFormat="1"/>
    <xf numFmtId="3" fontId="41" fillId="0" borderId="85" xfId="4" applyNumberFormat="1" applyFont="1" applyBorder="1" applyAlignment="1">
      <alignment horizontal="center" vertical="center"/>
    </xf>
    <xf numFmtId="3" fontId="43" fillId="48" borderId="90" xfId="0" applyNumberFormat="1" applyFont="1" applyFill="1" applyBorder="1" applyAlignment="1">
      <alignment horizontal="center" vertical="center"/>
    </xf>
    <xf numFmtId="3" fontId="41" fillId="0" borderId="83" xfId="4" applyNumberFormat="1" applyFont="1" applyBorder="1" applyAlignment="1">
      <alignment horizontal="center" vertical="center"/>
    </xf>
    <xf numFmtId="3" fontId="41" fillId="0" borderId="87" xfId="4" applyNumberFormat="1" applyFont="1" applyBorder="1" applyAlignment="1">
      <alignment horizontal="center" vertical="center"/>
    </xf>
    <xf numFmtId="3" fontId="43" fillId="48" borderId="93" xfId="4" applyNumberFormat="1" applyFont="1" applyFill="1" applyBorder="1" applyAlignment="1">
      <alignment horizontal="center" vertical="center" wrapText="1"/>
    </xf>
    <xf numFmtId="3" fontId="28" fillId="48" borderId="93" xfId="4" applyNumberFormat="1" applyFont="1" applyFill="1" applyBorder="1" applyAlignment="1">
      <alignment horizontal="center" vertical="center" wrapText="1"/>
    </xf>
    <xf numFmtId="0" fontId="1" fillId="43" borderId="50" xfId="0" applyFont="1" applyFill="1" applyBorder="1" applyAlignment="1">
      <alignment horizontal="center"/>
    </xf>
    <xf numFmtId="6" fontId="1" fillId="0" borderId="50" xfId="0" applyNumberFormat="1" applyFont="1" applyBorder="1" applyAlignment="1">
      <alignment horizontal="center"/>
    </xf>
    <xf numFmtId="0" fontId="28" fillId="44" borderId="0" xfId="0" applyFont="1" applyFill="1" applyAlignment="1">
      <alignment horizontal="center"/>
    </xf>
    <xf numFmtId="0" fontId="25" fillId="45" borderId="0" xfId="0" applyFont="1" applyFill="1" applyAlignment="1">
      <alignment horizontal="center" wrapText="1"/>
    </xf>
    <xf numFmtId="0" fontId="25" fillId="4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5" fillId="47" borderId="67" xfId="0" applyFont="1" applyFill="1" applyBorder="1" applyAlignment="1">
      <alignment horizontal="center" vertical="center"/>
    </xf>
    <xf numFmtId="0" fontId="25" fillId="47" borderId="68" xfId="0" applyFont="1" applyFill="1" applyBorder="1" applyAlignment="1">
      <alignment horizontal="center" vertical="center"/>
    </xf>
    <xf numFmtId="0" fontId="25" fillId="47" borderId="69" xfId="0" applyFont="1" applyFill="1" applyBorder="1" applyAlignment="1">
      <alignment horizontal="center" vertical="center"/>
    </xf>
    <xf numFmtId="0" fontId="26" fillId="0" borderId="0" xfId="0" applyFont="1" applyFill="1" applyAlignment="1">
      <alignment horizontal="center" vertical="center"/>
    </xf>
    <xf numFmtId="0" fontId="28" fillId="0" borderId="73" xfId="0" applyFont="1" applyBorder="1" applyAlignment="1">
      <alignment horizontal="center" vertical="center"/>
    </xf>
    <xf numFmtId="0" fontId="28" fillId="0" borderId="74" xfId="0" applyFont="1" applyBorder="1" applyAlignment="1">
      <alignment horizontal="center" vertical="center"/>
    </xf>
    <xf numFmtId="0" fontId="25" fillId="47" borderId="75" xfId="0" applyFont="1" applyFill="1" applyBorder="1" applyAlignment="1">
      <alignment horizontal="center" vertical="center"/>
    </xf>
    <xf numFmtId="0" fontId="25" fillId="47" borderId="76" xfId="0" applyFont="1" applyFill="1" applyBorder="1" applyAlignment="1">
      <alignment horizontal="center" vertical="center"/>
    </xf>
    <xf numFmtId="0" fontId="25" fillId="47" borderId="77" xfId="0" applyFont="1" applyFill="1" applyBorder="1" applyAlignment="1">
      <alignment horizontal="center" vertical="center"/>
    </xf>
    <xf numFmtId="0" fontId="26" fillId="43" borderId="0" xfId="0" applyFont="1" applyFill="1" applyAlignment="1">
      <alignment horizontal="center" vertical="center"/>
    </xf>
    <xf numFmtId="0" fontId="25" fillId="47" borderId="67" xfId="0" applyFont="1" applyFill="1" applyBorder="1" applyAlignment="1">
      <alignment horizontal="left" vertical="center"/>
    </xf>
    <xf numFmtId="0" fontId="25" fillId="47" borderId="68" xfId="0" applyFont="1" applyFill="1" applyBorder="1" applyAlignment="1">
      <alignment horizontal="left" vertical="center"/>
    </xf>
    <xf numFmtId="0" fontId="25" fillId="47" borderId="69" xfId="0" applyFont="1" applyFill="1" applyBorder="1" applyAlignment="1">
      <alignment horizontal="left" vertical="center"/>
    </xf>
    <xf numFmtId="0" fontId="26" fillId="0" borderId="0" xfId="0" applyFont="1" applyAlignment="1">
      <alignment horizontal="center" vertical="center"/>
    </xf>
    <xf numFmtId="0" fontId="2" fillId="3" borderId="38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28" fillId="48" borderId="0" xfId="0" applyFont="1" applyFill="1" applyAlignment="1">
      <alignment horizontal="center"/>
    </xf>
    <xf numFmtId="0" fontId="43" fillId="0" borderId="73" xfId="0" applyFont="1" applyBorder="1" applyAlignment="1">
      <alignment horizontal="center" vertical="center" wrapText="1"/>
    </xf>
    <xf numFmtId="0" fontId="43" fillId="0" borderId="74" xfId="0" applyFont="1" applyBorder="1" applyAlignment="1">
      <alignment horizontal="center" vertical="center" wrapText="1"/>
    </xf>
    <xf numFmtId="0" fontId="46" fillId="47" borderId="67" xfId="0" applyFont="1" applyFill="1" applyBorder="1" applyAlignment="1">
      <alignment horizontal="center" vertical="center"/>
    </xf>
    <xf numFmtId="0" fontId="46" fillId="47" borderId="68" xfId="0" applyFont="1" applyFill="1" applyBorder="1" applyAlignment="1">
      <alignment horizontal="center" vertical="center"/>
    </xf>
    <xf numFmtId="0" fontId="46" fillId="47" borderId="69" xfId="0" applyFont="1" applyFill="1" applyBorder="1" applyAlignment="1">
      <alignment horizontal="center" vertical="center"/>
    </xf>
    <xf numFmtId="0" fontId="48" fillId="0" borderId="101" xfId="0" applyFont="1" applyBorder="1" applyAlignment="1">
      <alignment horizontal="center" vertical="center" wrapText="1"/>
    </xf>
    <xf numFmtId="0" fontId="48" fillId="0" borderId="0" xfId="0" applyFont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35" fillId="0" borderId="40" xfId="0" applyFont="1" applyBorder="1" applyAlignment="1">
      <alignment horizontal="left" wrapText="1"/>
    </xf>
    <xf numFmtId="0" fontId="32" fillId="0" borderId="0" xfId="0" applyFont="1" applyAlignment="1">
      <alignment horizontal="left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3" borderId="41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2" fillId="3" borderId="37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3" borderId="60" xfId="0" applyFont="1" applyFill="1" applyBorder="1" applyAlignment="1">
      <alignment horizontal="center" wrapText="1"/>
    </xf>
    <xf numFmtId="0" fontId="1" fillId="3" borderId="61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left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left" wrapText="1"/>
    </xf>
    <xf numFmtId="0" fontId="41" fillId="0" borderId="0" xfId="0" applyFont="1" applyBorder="1" applyAlignment="1">
      <alignment horizontal="center" vertical="center" wrapText="1"/>
    </xf>
    <xf numFmtId="166" fontId="41" fillId="0" borderId="0" xfId="4" applyNumberFormat="1" applyFont="1" applyBorder="1" applyAlignment="1">
      <alignment horizontal="center" vertical="center"/>
    </xf>
    <xf numFmtId="166" fontId="43" fillId="48" borderId="0" xfId="4" applyNumberFormat="1" applyFont="1" applyFill="1" applyBorder="1" applyAlignment="1">
      <alignment horizontal="center" vertical="center" wrapText="1"/>
    </xf>
    <xf numFmtId="166" fontId="50" fillId="48" borderId="0" xfId="4" quotePrefix="1" applyNumberFormat="1" applyFont="1" applyFill="1" applyBorder="1" applyAlignment="1">
      <alignment horizontal="center" vertical="center" wrapText="1"/>
    </xf>
    <xf numFmtId="166" fontId="28" fillId="48" borderId="0" xfId="4" applyNumberFormat="1" applyFont="1" applyFill="1" applyBorder="1" applyAlignment="1">
      <alignment horizontal="center" vertical="center" wrapText="1"/>
    </xf>
    <xf numFmtId="3" fontId="41" fillId="0" borderId="0" xfId="4" applyNumberFormat="1" applyFont="1" applyBorder="1" applyAlignment="1">
      <alignment horizontal="center" vertical="center"/>
    </xf>
    <xf numFmtId="3" fontId="43" fillId="48" borderId="0" xfId="4" applyNumberFormat="1" applyFont="1" applyFill="1" applyBorder="1" applyAlignment="1">
      <alignment horizontal="center" vertical="center" wrapText="1"/>
    </xf>
    <xf numFmtId="3" fontId="28" fillId="48" borderId="0" xfId="4" applyNumberFormat="1" applyFont="1" applyFill="1" applyBorder="1" applyAlignment="1">
      <alignment horizontal="center" vertical="center" wrapText="1"/>
    </xf>
    <xf numFmtId="0" fontId="25" fillId="0" borderId="0" xfId="0" applyFont="1" applyFill="1" applyBorder="1" applyAlignment="1">
      <alignment horizontal="center" vertical="center"/>
    </xf>
    <xf numFmtId="0" fontId="46" fillId="0" borderId="0" xfId="0" applyFont="1" applyFill="1" applyBorder="1" applyAlignment="1">
      <alignment horizontal="center" vertical="center"/>
    </xf>
    <xf numFmtId="0" fontId="0" fillId="0" borderId="0" xfId="0" applyFill="1" applyAlignment="1">
      <alignment wrapText="1"/>
    </xf>
    <xf numFmtId="166" fontId="0" fillId="0" borderId="0" xfId="4" applyNumberFormat="1" applyFont="1" applyFill="1" applyAlignment="1">
      <alignment horizontal="center"/>
    </xf>
    <xf numFmtId="166" fontId="0" fillId="0" borderId="0" xfId="0" applyNumberFormat="1" applyFill="1" applyAlignment="1">
      <alignment horizontal="center" vertical="center"/>
    </xf>
    <xf numFmtId="0" fontId="41" fillId="0" borderId="0" xfId="0" applyFont="1" applyFill="1" applyBorder="1" applyAlignment="1">
      <alignment horizontal="center" vertical="center" wrapText="1"/>
    </xf>
    <xf numFmtId="166" fontId="41" fillId="0" borderId="0" xfId="4" applyNumberFormat="1" applyFont="1" applyFill="1" applyBorder="1" applyAlignment="1">
      <alignment horizontal="center" vertical="center"/>
    </xf>
    <xf numFmtId="166" fontId="43" fillId="0" borderId="0" xfId="4" applyNumberFormat="1" applyFont="1" applyFill="1" applyBorder="1" applyAlignment="1">
      <alignment horizontal="center" vertical="center" wrapText="1"/>
    </xf>
    <xf numFmtId="166" fontId="50" fillId="0" borderId="0" xfId="4" quotePrefix="1" applyNumberFormat="1" applyFont="1" applyFill="1" applyBorder="1" applyAlignment="1">
      <alignment horizontal="center" vertical="center" wrapText="1"/>
    </xf>
    <xf numFmtId="166" fontId="28" fillId="0" borderId="0" xfId="4" applyNumberFormat="1" applyFont="1" applyFill="1" applyBorder="1" applyAlignment="1">
      <alignment horizontal="center" vertical="center" wrapText="1"/>
    </xf>
    <xf numFmtId="171" fontId="0" fillId="0" borderId="0" xfId="3" applyNumberFormat="1" applyFont="1" applyFill="1" applyAlignment="1">
      <alignment horizontal="center"/>
    </xf>
    <xf numFmtId="169" fontId="0" fillId="0" borderId="0" xfId="0" applyNumberFormat="1" applyFill="1" applyAlignment="1">
      <alignment horizontal="center"/>
    </xf>
    <xf numFmtId="3" fontId="41" fillId="0" borderId="0" xfId="4" applyNumberFormat="1" applyFont="1" applyFill="1" applyBorder="1" applyAlignment="1">
      <alignment horizontal="center" vertical="center"/>
    </xf>
    <xf numFmtId="3" fontId="43" fillId="0" borderId="0" xfId="4" applyNumberFormat="1" applyFont="1" applyFill="1" applyBorder="1" applyAlignment="1">
      <alignment horizontal="center" vertical="center" wrapText="1"/>
    </xf>
    <xf numFmtId="3" fontId="28" fillId="0" borderId="0" xfId="4" applyNumberFormat="1" applyFont="1" applyFill="1" applyBorder="1" applyAlignment="1">
      <alignment horizontal="center" vertical="center" wrapText="1"/>
    </xf>
    <xf numFmtId="0" fontId="0" fillId="8" borderId="0" xfId="0" applyFill="1"/>
    <xf numFmtId="177" fontId="0" fillId="0" borderId="0" xfId="0" applyNumberFormat="1" applyAlignment="1">
      <alignment horizontal="center"/>
    </xf>
    <xf numFmtId="0" fontId="0" fillId="50" borderId="0" xfId="0" applyFill="1"/>
    <xf numFmtId="6" fontId="53" fillId="0" borderId="5" xfId="0" applyNumberFormat="1" applyFont="1" applyBorder="1" applyAlignment="1">
      <alignment horizontal="center" vertical="center" readingOrder="1"/>
    </xf>
    <xf numFmtId="6" fontId="53" fillId="0" borderId="10" xfId="0" applyNumberFormat="1" applyFont="1" applyBorder="1" applyAlignment="1">
      <alignment horizontal="center" vertical="center" readingOrder="1"/>
    </xf>
    <xf numFmtId="0" fontId="33" fillId="0" borderId="33" xfId="0" applyFont="1" applyFill="1" applyBorder="1" applyAlignment="1">
      <alignment horizontal="center" vertical="center" readingOrder="1"/>
    </xf>
    <xf numFmtId="0" fontId="33" fillId="0" borderId="35" xfId="0" applyFont="1" applyFill="1" applyBorder="1" applyAlignment="1">
      <alignment horizontal="center" vertical="center" readingOrder="1"/>
    </xf>
    <xf numFmtId="0" fontId="33" fillId="0" borderId="33" xfId="0" applyFont="1" applyBorder="1" applyAlignment="1">
      <alignment horizontal="left" vertical="center" wrapText="1" readingOrder="1"/>
    </xf>
    <xf numFmtId="0" fontId="33" fillId="0" borderId="34" xfId="0" applyFont="1" applyBorder="1" applyAlignment="1">
      <alignment horizontal="center" vertical="center" readingOrder="1"/>
    </xf>
    <xf numFmtId="0" fontId="54" fillId="0" borderId="33" xfId="0" applyFont="1" applyBorder="1" applyAlignment="1">
      <alignment horizontal="center" vertical="center" readingOrder="1"/>
    </xf>
    <xf numFmtId="6" fontId="54" fillId="0" borderId="34" xfId="0" applyNumberFormat="1" applyFont="1" applyBorder="1" applyAlignment="1">
      <alignment horizontal="center" vertical="center" readingOrder="1"/>
    </xf>
    <xf numFmtId="6" fontId="0" fillId="0" borderId="34" xfId="0" applyNumberFormat="1" applyBorder="1" applyAlignment="1">
      <alignment horizontal="center"/>
    </xf>
    <xf numFmtId="6" fontId="0" fillId="0" borderId="45" xfId="0" applyNumberFormat="1" applyBorder="1"/>
    <xf numFmtId="0" fontId="0" fillId="0" borderId="45" xfId="0" applyBorder="1"/>
    <xf numFmtId="0" fontId="0" fillId="0" borderId="46" xfId="0" applyBorder="1"/>
    <xf numFmtId="177" fontId="0" fillId="0" borderId="4" xfId="0" applyNumberFormat="1" applyBorder="1" applyAlignment="1">
      <alignment horizontal="center"/>
    </xf>
    <xf numFmtId="177" fontId="0" fillId="0" borderId="6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179" fontId="0" fillId="0" borderId="7" xfId="0" applyNumberFormat="1" applyBorder="1" applyAlignment="1">
      <alignment horizontal="center"/>
    </xf>
    <xf numFmtId="179" fontId="0" fillId="0" borderId="8" xfId="0" applyNumberFormat="1" applyBorder="1" applyAlignment="1">
      <alignment horizontal="center"/>
    </xf>
    <xf numFmtId="177" fontId="0" fillId="0" borderId="7" xfId="0" applyNumberFormat="1" applyBorder="1" applyAlignment="1">
      <alignment horizontal="center"/>
    </xf>
    <xf numFmtId="177" fontId="0" fillId="0" borderId="8" xfId="0" applyNumberFormat="1" applyBorder="1" applyAlignment="1">
      <alignment horizontal="center"/>
    </xf>
    <xf numFmtId="177" fontId="0" fillId="0" borderId="9" xfId="0" applyNumberFormat="1" applyBorder="1" applyAlignment="1">
      <alignment horizontal="center"/>
    </xf>
    <xf numFmtId="177" fontId="0" fillId="0" borderId="11" xfId="0" applyNumberFormat="1" applyBorder="1" applyAlignment="1">
      <alignment horizontal="center"/>
    </xf>
    <xf numFmtId="0" fontId="53" fillId="0" borderId="102" xfId="0" applyFont="1" applyBorder="1" applyAlignment="1">
      <alignment horizontal="left" vertical="center" readingOrder="1"/>
    </xf>
    <xf numFmtId="0" fontId="53" fillId="0" borderId="103" xfId="0" applyFont="1" applyBorder="1" applyAlignment="1">
      <alignment horizontal="left" vertical="center" readingOrder="1"/>
    </xf>
    <xf numFmtId="0" fontId="53" fillId="0" borderId="104" xfId="0" applyFont="1" applyBorder="1" applyAlignment="1">
      <alignment horizontal="left" vertical="center" readingOrder="1"/>
    </xf>
    <xf numFmtId="6" fontId="0" fillId="0" borderId="19" xfId="0" applyNumberFormat="1" applyBorder="1"/>
    <xf numFmtId="6" fontId="0" fillId="0" borderId="42" xfId="0" applyNumberFormat="1" applyBorder="1"/>
    <xf numFmtId="6" fontId="0" fillId="0" borderId="105" xfId="0" applyNumberFormat="1" applyBorder="1"/>
    <xf numFmtId="6" fontId="53" fillId="0" borderId="4" xfId="0" applyNumberFormat="1" applyFont="1" applyBorder="1" applyAlignment="1">
      <alignment horizontal="center" vertical="center" readingOrder="1"/>
    </xf>
    <xf numFmtId="6" fontId="53" fillId="0" borderId="6" xfId="0" applyNumberFormat="1" applyFont="1" applyBorder="1" applyAlignment="1">
      <alignment horizontal="center" vertical="center" readingOrder="1"/>
    </xf>
    <xf numFmtId="6" fontId="53" fillId="0" borderId="7" xfId="0" applyNumberFormat="1" applyFont="1" applyBorder="1" applyAlignment="1">
      <alignment horizontal="center" vertical="center" readingOrder="1"/>
    </xf>
    <xf numFmtId="6" fontId="53" fillId="0" borderId="8" xfId="0" applyNumberFormat="1" applyFont="1" applyBorder="1" applyAlignment="1">
      <alignment horizontal="center" vertical="center" readingOrder="1"/>
    </xf>
    <xf numFmtId="6" fontId="0" fillId="43" borderId="8" xfId="0" applyNumberFormat="1" applyFill="1" applyBorder="1" applyAlignment="1">
      <alignment horizontal="center"/>
    </xf>
    <xf numFmtId="6" fontId="53" fillId="0" borderId="9" xfId="0" applyNumberFormat="1" applyFont="1" applyBorder="1" applyAlignment="1">
      <alignment horizontal="center" vertical="center" readingOrder="1"/>
    </xf>
    <xf numFmtId="6" fontId="53" fillId="0" borderId="11" xfId="0" applyNumberFormat="1" applyFont="1" applyBorder="1" applyAlignment="1">
      <alignment horizontal="center" vertical="center" readingOrder="1"/>
    </xf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 xr:uid="{00000000-0005-0000-0000-00001C000000}"/>
    <cellStyle name="Comma 2 2" xfId="6" xr:uid="{00000000-0005-0000-0000-00001D000000}"/>
    <cellStyle name="Comma 2 3" xfId="7" xr:uid="{00000000-0005-0000-0000-00001E000000}"/>
    <cellStyle name="Comma 3" xfId="55" xr:uid="{00000000-0005-0000-0000-00001F000000}"/>
    <cellStyle name="Currency" xfId="4" builtinId="4"/>
    <cellStyle name="Currency 2" xfId="8" xr:uid="{00000000-0005-0000-0000-000021000000}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 xr:uid="{00000000-0005-0000-0000-00002C000000}"/>
    <cellStyle name="Normal 2 2" xfId="9" xr:uid="{00000000-0005-0000-0000-00002D000000}"/>
    <cellStyle name="Normal 2 2 2" xfId="56" xr:uid="{00000000-0005-0000-0000-00002E000000}"/>
    <cellStyle name="Normal 2 3" xfId="10" xr:uid="{00000000-0005-0000-0000-00002F000000}"/>
    <cellStyle name="Normal 3" xfId="53" xr:uid="{00000000-0005-0000-0000-000030000000}"/>
    <cellStyle name="Normal 4" xfId="54" xr:uid="{00000000-0005-0000-0000-000031000000}"/>
    <cellStyle name="Note" xfId="26" builtinId="10" customBuiltin="1"/>
    <cellStyle name="Output" xfId="21" builtinId="21" customBuiltin="1"/>
    <cellStyle name="Percent" xfId="3" builtinId="5"/>
    <cellStyle name="Percent 2" xfId="11" xr:uid="{00000000-0005-0000-0000-000035000000}"/>
    <cellStyle name="Title" xfId="12" builtinId="15" customBuiltin="1"/>
    <cellStyle name="Total" xfId="28" builtinId="25" customBuiltin="1"/>
    <cellStyle name="Warning Text" xfId="25" builtinId="11" customBuiltin="1"/>
  </cellStyles>
  <dxfs count="4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6C31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4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7.xml"/><Relationship Id="rId37" Type="http://schemas.openxmlformats.org/officeDocument/2006/relationships/sharedStrings" Target="sharedStrings.xml"/><Relationship Id="rId40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3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externalLink" Target="externalLinks/externalLink5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8.xml"/><Relationship Id="rId38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Pre-tax incr. revenue vs InScope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920413632143578"/>
          <c:y val="0.1659084354324859"/>
          <c:w val="0.75742315621568013"/>
          <c:h val="0.557032434562243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'Scenario summary'!$G$5</c:f>
              <c:strCache>
                <c:ptCount val="1"/>
                <c:pt idx="0">
                  <c:v>Custom Constrains 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8414933115692695E-2"/>
                  <c:y val="3.78417738250344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5D-42B4-BEFA-75A103BB9930}"/>
                </c:ext>
              </c:extLst>
            </c:dLbl>
            <c:dLbl>
              <c:idx val="1"/>
              <c:layout>
                <c:manualLayout>
                  <c:x val="2.3598322603811332E-2"/>
                  <c:y val="4.469937483391829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40-439C-9F45-CC4FC4754633}"/>
                </c:ext>
              </c:extLst>
            </c:dLbl>
            <c:dLbl>
              <c:idx val="2"/>
              <c:layout>
                <c:manualLayout>
                  <c:x val="-7.2060382911500021E-2"/>
                  <c:y val="-0.12087817934628678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892-45B5-A984-381A75F16558}"/>
                </c:ext>
              </c:extLst>
            </c:dLbl>
            <c:dLbl>
              <c:idx val="3"/>
              <c:layout>
                <c:manualLayout>
                  <c:x val="-0.10070717750387216"/>
                  <c:y val="-5.343001189599501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40-439C-9F45-CC4FC4754633}"/>
                </c:ext>
              </c:extLst>
            </c:dLbl>
            <c:dLbl>
              <c:idx val="4"/>
              <c:layout>
                <c:manualLayout>
                  <c:x val="-0.16488442478259122"/>
                  <c:y val="6.348496006344525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40-439C-9F45-CC4FC47546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summary'!$C$6:$C$11</c:f>
              <c:numCache>
                <c:formatCode>_("$"* #,##0_);_("$"* \(#,##0\);_("$"* "-"??_);_(@_)</c:formatCode>
                <c:ptCount val="6"/>
                <c:pt idx="0">
                  <c:v>49196722.601944216</c:v>
                </c:pt>
                <c:pt idx="1">
                  <c:v>46736886.504163541</c:v>
                </c:pt>
                <c:pt idx="2">
                  <c:v>44277050.372284785</c:v>
                </c:pt>
                <c:pt idx="3">
                  <c:v>41817214.255875781</c:v>
                </c:pt>
                <c:pt idx="4">
                  <c:v>40618049.031874768</c:v>
                </c:pt>
                <c:pt idx="5">
                  <c:v>39702377</c:v>
                </c:pt>
              </c:numCache>
            </c:numRef>
          </c:xVal>
          <c:yVal>
            <c:numRef>
              <c:f>'Scenario summary'!$G$6:$G$11</c:f>
              <c:numCache>
                <c:formatCode>_("$"* #,##0_);_("$"* \(#,##0\);_("$"*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373522432.86837852</c:v>
                </c:pt>
                <c:pt idx="3">
                  <c:v>339117267.23121536</c:v>
                </c:pt>
                <c:pt idx="4">
                  <c:v>293472182.43309319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5D-42B4-BEFA-75A103BB9930}"/>
            </c:ext>
          </c:extLst>
        </c:ser>
        <c:ser>
          <c:idx val="2"/>
          <c:order val="2"/>
          <c:tx>
            <c:strRef>
              <c:f>'Scenario summary'!$F$5</c:f>
              <c:strCache>
                <c:ptCount val="1"/>
                <c:pt idx="0">
                  <c:v>Current 2023 Baseline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-0.18670105670830234"/>
                  <c:y val="6.8828874188239251E-3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summary'!$C$11</c:f>
              <c:numCache>
                <c:formatCode>_("$"* #,##0_);_("$"* \(#,##0\);_("$"* "-"??_);_(@_)</c:formatCode>
                <c:ptCount val="1"/>
                <c:pt idx="0">
                  <c:v>39702377</c:v>
                </c:pt>
              </c:numCache>
            </c:numRef>
          </c:xVal>
          <c:yVal>
            <c:numRef>
              <c:f>'Scenario summary'!$F$11</c:f>
              <c:numCache>
                <c:formatCode>_("$"* #,##0_);_("$"* \(#,##0\);_("$"* "-"??_);_(@_)</c:formatCode>
                <c:ptCount val="1"/>
                <c:pt idx="0">
                  <c:v>292109708.48154938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D5D-42B4-BEFA-75A103BB9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22088"/>
        <c:axId val="83172372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'Scenario summary'!$H$5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dLbls>
                  <c:dLbl>
                    <c:idx val="0"/>
                    <c:layout>
                      <c:manualLayout>
                        <c:x val="6.0895243997533023E-2"/>
                        <c:y val="-1.6977071929648101E-2"/>
                      </c:manualLayout>
                    </c:layout>
                    <c:tx>
                      <c:rich>
                        <a:bodyPr/>
                        <a:lstStyle/>
                        <a:p>
                          <a:fld id="{EFEE84AC-5C07-4654-ACCD-916E0D41363B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2-CD5D-42B4-BEFA-75A103BB9930}"/>
                      </c:ext>
                    </c:extLst>
                  </c:dLbl>
                  <c:dLbl>
                    <c:idx val="2"/>
                    <c:dLblPos val="t"/>
                    <c:showLegendKey val="0"/>
                    <c:showVal val="1"/>
                    <c:showCatName val="1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3-CD5D-42B4-BEFA-75A103BB9930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2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>
                    <c:ext uri="{CE6537A1-D6FC-4f65-9D91-7224C49458BB}">
                      <c15:showLeaderLines val="0"/>
                    </c:ext>
                  </c:extLst>
                </c:dLbls>
                <c:xVal>
                  <c:numRef>
                    <c:extLst>
                      <c:ext uri="{02D57815-91ED-43cb-92C2-25804820EDAC}">
                        <c15:formulaRef>
                          <c15:sqref>'Scenario summary'!$C$8:$C$11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4"/>
                      <c:pt idx="0">
                        <c:v>44277050.372284785</c:v>
                      </c:pt>
                      <c:pt idx="1">
                        <c:v>41817214.255875781</c:v>
                      </c:pt>
                      <c:pt idx="2">
                        <c:v>40618049.031874768</c:v>
                      </c:pt>
                      <c:pt idx="3">
                        <c:v>39702377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'Scenario summary'!$H$8:$H$11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4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CD5D-42B4-BEFA-75A103BB9930}"/>
                  </c:ext>
                </c:extLst>
              </c15:ser>
            </c15:filteredScatterSeries>
          </c:ext>
        </c:extLst>
      </c:scatterChart>
      <c:valAx>
        <c:axId val="831722088"/>
        <c:scaling>
          <c:orientation val="minMax"/>
          <c:max val="50000000"/>
          <c:min val="2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InScope Spend 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3728"/>
        <c:crosses val="autoZero"/>
        <c:crossBetween val="midCat"/>
        <c:dispUnits>
          <c:builtInUnit val="millions"/>
        </c:dispUnits>
      </c:valAx>
      <c:valAx>
        <c:axId val="831723728"/>
        <c:scaling>
          <c:orientation val="minMax"/>
          <c:max val="320000000"/>
          <c:min val="200000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Incr. Revenue ($MM)</a:t>
                </a:r>
              </a:p>
            </c:rich>
          </c:tx>
          <c:layout>
            <c:manualLayout>
              <c:xMode val="edge"/>
              <c:yMode val="edge"/>
              <c:x val="1.77611128326138E-2"/>
              <c:y val="0.18645804474260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2088"/>
        <c:crosses val="autoZero"/>
        <c:crossBetween val="midCat"/>
        <c:majorUnit val="30000000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Incr. Doses vs Pre-tax Spend</a:t>
            </a:r>
          </a:p>
          <a:p>
            <a:pPr>
              <a:defRPr/>
            </a:pPr>
            <a:r>
              <a:rPr lang="en-US" sz="1000">
                <a:solidFill>
                  <a:srgbClr val="FF0000"/>
                </a:solidFill>
              </a:rPr>
              <a:t>InScope budget :$31.8M, Optimal channel spend is allowed to vary within +/-30% of 2023 channel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33811844101457"/>
          <c:y val="0.12529936200020808"/>
          <c:w val="0.80970685978495904"/>
          <c:h val="0.71783484538410325"/>
        </c:manualLayout>
      </c:layout>
      <c:scatterChart>
        <c:scatterStyle val="smoothMarker"/>
        <c:varyColors val="0"/>
        <c:ser>
          <c:idx val="0"/>
          <c:order val="0"/>
          <c:tx>
            <c:v>HCC InOffice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5.0756676248802229E-3"/>
                  <c:y val="-1.3153686671519086E-2"/>
                </c:manualLayout>
              </c:layout>
              <c:tx>
                <c:rich>
                  <a:bodyPr/>
                  <a:lstStyle/>
                  <a:p>
                    <a:fld id="{F094F515-7299-4E1E-ADDB-95653710ADE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F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GINOFF!$A$22:$A$42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GINOFF!$B$22:$B$42</c:f>
              <c:numCache>
                <c:formatCode>#,##0</c:formatCode>
                <c:ptCount val="21"/>
                <c:pt idx="0">
                  <c:v>0</c:v>
                </c:pt>
                <c:pt idx="1">
                  <c:v>5211.7558389939368</c:v>
                </c:pt>
                <c:pt idx="2">
                  <c:v>10018.778631821275</c:v>
                </c:pt>
                <c:pt idx="3">
                  <c:v>14452.096033310518</c:v>
                </c:pt>
                <c:pt idx="4">
                  <c:v>18540.417741542682</c:v>
                </c:pt>
                <c:pt idx="5">
                  <c:v>22310.299479529262</c:v>
                </c:pt>
                <c:pt idx="6">
                  <c:v>25786.296786425635</c:v>
                </c:pt>
                <c:pt idx="7">
                  <c:v>28991.10902637057</c:v>
                </c:pt>
                <c:pt idx="8">
                  <c:v>31945.714046832174</c:v>
                </c:pt>
                <c:pt idx="9">
                  <c:v>34669.493932643905</c:v>
                </c:pt>
                <c:pt idx="10">
                  <c:v>37180.352308388799</c:v>
                </c:pt>
                <c:pt idx="11">
                  <c:v>39494.823641894385</c:v>
                </c:pt>
                <c:pt idx="12">
                  <c:v>41628.17499676533</c:v>
                </c:pt>
                <c:pt idx="13">
                  <c:v>43594.50067294389</c:v>
                </c:pt>
                <c:pt idx="14">
                  <c:v>45406.810162452981</c:v>
                </c:pt>
                <c:pt idx="15">
                  <c:v>47077.109833175316</c:v>
                </c:pt>
                <c:pt idx="16">
                  <c:v>48616.478737717494</c:v>
                </c:pt>
                <c:pt idx="17">
                  <c:v>50035.138927262276</c:v>
                </c:pt>
                <c:pt idx="18">
                  <c:v>51342.520632671192</c:v>
                </c:pt>
                <c:pt idx="19">
                  <c:v>52547.322656903416</c:v>
                </c:pt>
                <c:pt idx="20">
                  <c:v>53657.568304600194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F7-43DE-A86B-1A638C6F5E08}"/>
            </c:ext>
          </c:extLst>
        </c:ser>
        <c:ser>
          <c:idx val="1"/>
          <c:order val="1"/>
          <c:tx>
            <c:v>HCP MCM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tx>
                <c:rich>
                  <a:bodyPr/>
                  <a:lstStyle/>
                  <a:p>
                    <a:fld id="{B78FA865-F9C3-46F2-A19B-8B169087FA0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450000</c:v>
                </c:pt>
                <c:pt idx="2">
                  <c:v>900000</c:v>
                </c:pt>
                <c:pt idx="3">
                  <c:v>1350000</c:v>
                </c:pt>
                <c:pt idx="4">
                  <c:v>1800000</c:v>
                </c:pt>
                <c:pt idx="5">
                  <c:v>2250000</c:v>
                </c:pt>
                <c:pt idx="6">
                  <c:v>2700000</c:v>
                </c:pt>
                <c:pt idx="7">
                  <c:v>3150000</c:v>
                </c:pt>
                <c:pt idx="8">
                  <c:v>3600000</c:v>
                </c:pt>
                <c:pt idx="9">
                  <c:v>4050000</c:v>
                </c:pt>
                <c:pt idx="10">
                  <c:v>4500000</c:v>
                </c:pt>
                <c:pt idx="11">
                  <c:v>4950000</c:v>
                </c:pt>
                <c:pt idx="12">
                  <c:v>5400000</c:v>
                </c:pt>
                <c:pt idx="13">
                  <c:v>5850000</c:v>
                </c:pt>
                <c:pt idx="14">
                  <c:v>6300000</c:v>
                </c:pt>
                <c:pt idx="15">
                  <c:v>6750000</c:v>
                </c:pt>
                <c:pt idx="16">
                  <c:v>7200000</c:v>
                </c:pt>
                <c:pt idx="17">
                  <c:v>7650000</c:v>
                </c:pt>
                <c:pt idx="18">
                  <c:v>8100000</c:v>
                </c:pt>
                <c:pt idx="19">
                  <c:v>8550000</c:v>
                </c:pt>
                <c:pt idx="20">
                  <c:v>9000000</c:v>
                </c:pt>
              </c:numCache>
            </c:numRef>
          </c:xVal>
          <c:yVal>
            <c:numRef>
              <c:f>GMCM!$B$22:$B$42</c:f>
              <c:numCache>
                <c:formatCode>#,##0</c:formatCode>
                <c:ptCount val="21"/>
                <c:pt idx="0">
                  <c:v>9.3132257461547852E-10</c:v>
                </c:pt>
                <c:pt idx="1">
                  <c:v>32090.946621055715</c:v>
                </c:pt>
                <c:pt idx="2">
                  <c:v>62372.702283534221</c:v>
                </c:pt>
                <c:pt idx="3">
                  <c:v>90934.537746489979</c:v>
                </c:pt>
                <c:pt idx="4">
                  <c:v>117862.82305689622</c:v>
                </c:pt>
                <c:pt idx="5">
                  <c:v>143240.93136705179</c:v>
                </c:pt>
                <c:pt idx="6">
                  <c:v>167149.17398581188</c:v>
                </c:pt>
                <c:pt idx="7">
                  <c:v>189664.76300015021</c:v>
                </c:pt>
                <c:pt idx="8">
                  <c:v>210861.79804271925</c:v>
                </c:pt>
                <c:pt idx="9">
                  <c:v>230811.27402984444</c:v>
                </c:pt>
                <c:pt idx="10">
                  <c:v>249581.10694633145</c:v>
                </c:pt>
                <c:pt idx="11">
                  <c:v>267236.17500382755</c:v>
                </c:pt>
                <c:pt idx="12">
                  <c:v>283838.37274381984</c:v>
                </c:pt>
                <c:pt idx="13">
                  <c:v>299446.6758922087</c:v>
                </c:pt>
                <c:pt idx="14">
                  <c:v>314117.21499689016</c:v>
                </c:pt>
                <c:pt idx="15">
                  <c:v>327903.35609178897</c:v>
                </c:pt>
                <c:pt idx="16">
                  <c:v>340855.78682918753</c:v>
                </c:pt>
                <c:pt idx="17">
                  <c:v>353022.60670624953</c:v>
                </c:pt>
                <c:pt idx="18">
                  <c:v>364449.42018150073</c:v>
                </c:pt>
                <c:pt idx="19">
                  <c:v>375179.43163259048</c:v>
                </c:pt>
                <c:pt idx="20">
                  <c:v>385253.54124828521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F7-43DE-A86B-1A638C6F5E08}"/>
            </c:ext>
          </c:extLst>
        </c:ser>
        <c:ser>
          <c:idx val="2"/>
          <c:order val="2"/>
          <c:tx>
            <c:v>HCC TV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B9-4CEC-969C-111DFC7AEA4C}"/>
                </c:ext>
              </c:extLst>
            </c:dLbl>
            <c:dLbl>
              <c:idx val="13"/>
              <c:layout>
                <c:manualLayout>
                  <c:x val="-2.9105336824047284E-2"/>
                  <c:y val="5.1650854841270299E-2"/>
                </c:manualLayout>
              </c:layout>
              <c:tx>
                <c:rich>
                  <a:bodyPr/>
                  <a:lstStyle/>
                  <a:p>
                    <a:fld id="{7861E7B3-7907-4E58-B121-D41D0BD1ED2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GTV!$A$21:$A$41</c:f>
              <c:numCache>
                <c:formatCode>"$"#,##0</c:formatCode>
                <c:ptCount val="21"/>
                <c:pt idx="0">
                  <c:v>0</c:v>
                </c:pt>
                <c:pt idx="1">
                  <c:v>1250000</c:v>
                </c:pt>
                <c:pt idx="2">
                  <c:v>2500000</c:v>
                </c:pt>
                <c:pt idx="3">
                  <c:v>3750000</c:v>
                </c:pt>
                <c:pt idx="4">
                  <c:v>5000000</c:v>
                </c:pt>
                <c:pt idx="5">
                  <c:v>6250000</c:v>
                </c:pt>
                <c:pt idx="6">
                  <c:v>7500000</c:v>
                </c:pt>
                <c:pt idx="7">
                  <c:v>8750000</c:v>
                </c:pt>
                <c:pt idx="8">
                  <c:v>10000000</c:v>
                </c:pt>
                <c:pt idx="9">
                  <c:v>11250000</c:v>
                </c:pt>
                <c:pt idx="10">
                  <c:v>12500000</c:v>
                </c:pt>
                <c:pt idx="11">
                  <c:v>13750000</c:v>
                </c:pt>
                <c:pt idx="12">
                  <c:v>15000000</c:v>
                </c:pt>
                <c:pt idx="13">
                  <c:v>16250000</c:v>
                </c:pt>
                <c:pt idx="14">
                  <c:v>17500000</c:v>
                </c:pt>
                <c:pt idx="15">
                  <c:v>18750000</c:v>
                </c:pt>
                <c:pt idx="16">
                  <c:v>20000000</c:v>
                </c:pt>
                <c:pt idx="17">
                  <c:v>21250000</c:v>
                </c:pt>
                <c:pt idx="18">
                  <c:v>22500000</c:v>
                </c:pt>
                <c:pt idx="19">
                  <c:v>23750000</c:v>
                </c:pt>
                <c:pt idx="20">
                  <c:v>25000000</c:v>
                </c:pt>
              </c:numCache>
            </c:numRef>
          </c:xVal>
          <c:yVal>
            <c:numRef>
              <c:f>GTV!$B$21:$B$41</c:f>
              <c:numCache>
                <c:formatCode>#,##0</c:formatCode>
                <c:ptCount val="21"/>
                <c:pt idx="0">
                  <c:v>0</c:v>
                </c:pt>
                <c:pt idx="1">
                  <c:v>47953.575867360239</c:v>
                </c:pt>
                <c:pt idx="2">
                  <c:v>77900.813824227807</c:v>
                </c:pt>
                <c:pt idx="3">
                  <c:v>103467.95751393421</c:v>
                </c:pt>
                <c:pt idx="4">
                  <c:v>126550.24541365997</c:v>
                </c:pt>
                <c:pt idx="5">
                  <c:v>147944.9007433716</c:v>
                </c:pt>
                <c:pt idx="6">
                  <c:v>168084.19287355643</c:v>
                </c:pt>
                <c:pt idx="7">
                  <c:v>187236.11694004576</c:v>
                </c:pt>
                <c:pt idx="8">
                  <c:v>205581.48019343003</c:v>
                </c:pt>
                <c:pt idx="9">
                  <c:v>223249.63338953216</c:v>
                </c:pt>
                <c:pt idx="10">
                  <c:v>240337.20031497802</c:v>
                </c:pt>
                <c:pt idx="11">
                  <c:v>256918.795571375</c:v>
                </c:pt>
                <c:pt idx="12">
                  <c:v>273053.57690229977</c:v>
                </c:pt>
                <c:pt idx="13">
                  <c:v>288789.46380711853</c:v>
                </c:pt>
                <c:pt idx="14">
                  <c:v>304165.969337977</c:v>
                </c:pt>
                <c:pt idx="15">
                  <c:v>319216.16746286326</c:v>
                </c:pt>
                <c:pt idx="16">
                  <c:v>333968.099867151</c:v>
                </c:pt>
                <c:pt idx="17">
                  <c:v>348445.80692517635</c:v>
                </c:pt>
                <c:pt idx="18">
                  <c:v>362670.09941259713</c:v>
                </c:pt>
                <c:pt idx="19">
                  <c:v>376659.1469103847</c:v>
                </c:pt>
                <c:pt idx="20">
                  <c:v>390428.93377877894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FF7-43DE-A86B-1A638C6F5E08}"/>
            </c:ext>
          </c:extLst>
        </c:ser>
        <c:ser>
          <c:idx val="3"/>
          <c:order val="3"/>
          <c:tx>
            <c:v>HCC Paid Search</c:v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4.9928709235552995E-2"/>
                  <c:y val="-2.3970491763085407E-2"/>
                </c:manualLayout>
              </c:layout>
              <c:tx>
                <c:rich>
                  <a:bodyPr/>
                  <a:lstStyle/>
                  <a:p>
                    <a:fld id="{ABE91B6D-3E0C-43AB-8356-57E961286A6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GSEARCH!$A$21:$A$41</c:f>
              <c:numCache>
                <c:formatCode>"$"#,##0</c:formatCode>
                <c:ptCount val="21"/>
                <c:pt idx="0">
                  <c:v>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1100000</c:v>
                </c:pt>
                <c:pt idx="12">
                  <c:v>1200000</c:v>
                </c:pt>
                <c:pt idx="13">
                  <c:v>1300000</c:v>
                </c:pt>
                <c:pt idx="14">
                  <c:v>1400000</c:v>
                </c:pt>
                <c:pt idx="15">
                  <c:v>1500000</c:v>
                </c:pt>
                <c:pt idx="16">
                  <c:v>1600000</c:v>
                </c:pt>
                <c:pt idx="17">
                  <c:v>1700000</c:v>
                </c:pt>
                <c:pt idx="18">
                  <c:v>1800000</c:v>
                </c:pt>
                <c:pt idx="19">
                  <c:v>1900000</c:v>
                </c:pt>
                <c:pt idx="20">
                  <c:v>2000000</c:v>
                </c:pt>
              </c:numCache>
            </c:numRef>
          </c:xVal>
          <c:yVal>
            <c:numRef>
              <c:f>GSEARCH!$B$21:$B$41</c:f>
              <c:numCache>
                <c:formatCode>#,##0</c:formatCode>
                <c:ptCount val="21"/>
                <c:pt idx="0">
                  <c:v>0</c:v>
                </c:pt>
                <c:pt idx="1">
                  <c:v>54959.259288798734</c:v>
                </c:pt>
                <c:pt idx="2">
                  <c:v>89281.580118580925</c:v>
                </c:pt>
                <c:pt idx="3">
                  <c:v>118583.90541759932</c:v>
                </c:pt>
                <c:pt idx="4">
                  <c:v>145038.35480357721</c:v>
                </c:pt>
                <c:pt idx="5">
                  <c:v>169558.62025599024</c:v>
                </c:pt>
                <c:pt idx="6">
                  <c:v>192640.12268945246</c:v>
                </c:pt>
                <c:pt idx="7">
                  <c:v>214590.0094624639</c:v>
                </c:pt>
                <c:pt idx="8">
                  <c:v>235615.50250554297</c:v>
                </c:pt>
                <c:pt idx="9">
                  <c:v>255864.84981896676</c:v>
                </c:pt>
                <c:pt idx="10">
                  <c:v>275448.79125156999</c:v>
                </c:pt>
                <c:pt idx="11">
                  <c:v>294452.84207853925</c:v>
                </c:pt>
                <c:pt idx="12">
                  <c:v>312944.80257773394</c:v>
                </c:pt>
                <c:pt idx="13">
                  <c:v>330979.59295360238</c:v>
                </c:pt>
                <c:pt idx="14">
                  <c:v>348602.49883998709</c:v>
                </c:pt>
                <c:pt idx="15">
                  <c:v>365851.4260812279</c:v>
                </c:pt>
                <c:pt idx="16">
                  <c:v>382758.51305761177</c:v>
                </c:pt>
                <c:pt idx="17">
                  <c:v>399351.31227471598</c:v>
                </c:pt>
                <c:pt idx="18">
                  <c:v>415653.6748175681</c:v>
                </c:pt>
                <c:pt idx="19">
                  <c:v>431686.42471636215</c:v>
                </c:pt>
                <c:pt idx="20">
                  <c:v>447467.88153503247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FF7-43DE-A86B-1A638C6F5E08}"/>
            </c:ext>
          </c:extLst>
        </c:ser>
        <c:ser>
          <c:idx val="4"/>
          <c:order val="4"/>
          <c:tx>
            <c:v>HCC Radio</c:v>
          </c:tx>
          <c:spPr>
            <a:ln w="19050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6.0426951839353447E-2"/>
                  <c:y val="-5.20786004690591E-2"/>
                </c:manualLayout>
              </c:layout>
              <c:tx>
                <c:rich>
                  <a:bodyPr/>
                  <a:lstStyle/>
                  <a:p>
                    <a:fld id="{CF4A86DC-D7B7-4F1B-B689-942091BC637A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GRADIO!$A$21:$A$41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GRADIO!$B$21:$B$41</c:f>
              <c:numCache>
                <c:formatCode>#,##0</c:formatCode>
                <c:ptCount val="21"/>
                <c:pt idx="0">
                  <c:v>0</c:v>
                </c:pt>
                <c:pt idx="1">
                  <c:v>21614.723805655918</c:v>
                </c:pt>
                <c:pt idx="2">
                  <c:v>32761.79495277935</c:v>
                </c:pt>
                <c:pt idx="3">
                  <c:v>41785.195967253159</c:v>
                </c:pt>
                <c:pt idx="4">
                  <c:v>49657.595358544408</c:v>
                </c:pt>
                <c:pt idx="5">
                  <c:v>56771.673060063273</c:v>
                </c:pt>
                <c:pt idx="6">
                  <c:v>63334.513762449089</c:v>
                </c:pt>
                <c:pt idx="7">
                  <c:v>69471.794076517137</c:v>
                </c:pt>
                <c:pt idx="8">
                  <c:v>75266.839938015604</c:v>
                </c:pt>
                <c:pt idx="9">
                  <c:v>80778.390587848902</c:v>
                </c:pt>
                <c:pt idx="10">
                  <c:v>86049.765365649961</c:v>
                </c:pt>
                <c:pt idx="11">
                  <c:v>91114.039550668633</c:v>
                </c:pt>
                <c:pt idx="12">
                  <c:v>95997.171741624887</c:v>
                </c:pt>
                <c:pt idx="13">
                  <c:v>100719.99646242571</c:v>
                </c:pt>
                <c:pt idx="14">
                  <c:v>105299.54918697597</c:v>
                </c:pt>
                <c:pt idx="15">
                  <c:v>109749.97902045058</c:v>
                </c:pt>
                <c:pt idx="16">
                  <c:v>114083.19620293671</c:v>
                </c:pt>
                <c:pt idx="17">
                  <c:v>118309.34318072496</c:v>
                </c:pt>
                <c:pt idx="18">
                  <c:v>122437.14483005021</c:v>
                </c:pt>
                <c:pt idx="19">
                  <c:v>126474.1737994713</c:v>
                </c:pt>
                <c:pt idx="20">
                  <c:v>130427.05490904833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FF7-43DE-A86B-1A638C6F5E08}"/>
            </c:ext>
          </c:extLst>
        </c:ser>
        <c:ser>
          <c:idx val="5"/>
          <c:order val="5"/>
          <c:tx>
            <c:v>HCC Social</c:v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6.7055420155813852E-3"/>
                  <c:y val="-1.0324444738525416E-2"/>
                </c:manualLayout>
              </c:layout>
              <c:tx>
                <c:rich>
                  <a:bodyPr/>
                  <a:lstStyle/>
                  <a:p>
                    <a:fld id="{26C0CC0C-A75D-4BD0-8D73-B22B731B5F9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GSOC!$A$21:$A$41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GSOC!$B$21:$B$41</c:f>
              <c:numCache>
                <c:formatCode>#,##0</c:formatCode>
                <c:ptCount val="21"/>
                <c:pt idx="0">
                  <c:v>0</c:v>
                </c:pt>
                <c:pt idx="1">
                  <c:v>21280.635822412063</c:v>
                </c:pt>
                <c:pt idx="2">
                  <c:v>32255.412261904592</c:v>
                </c:pt>
                <c:pt idx="3">
                  <c:v>41139.343076618679</c:v>
                </c:pt>
                <c:pt idx="4">
                  <c:v>48890.062724991418</c:v>
                </c:pt>
                <c:pt idx="5">
                  <c:v>55894.181682956114</c:v>
                </c:pt>
                <c:pt idx="6">
                  <c:v>62355.583836585771</c:v>
                </c:pt>
                <c:pt idx="7">
                  <c:v>68398.003276133066</c:v>
                </c:pt>
                <c:pt idx="8">
                  <c:v>74103.478010002</c:v>
                </c:pt>
                <c:pt idx="9">
                  <c:v>79529.839376007047</c:v>
                </c:pt>
                <c:pt idx="10">
                  <c:v>84719.737148398606</c:v>
                </c:pt>
                <c:pt idx="11">
                  <c:v>89705.735378365556</c:v>
                </c:pt>
                <c:pt idx="12">
                  <c:v>94513.391435541067</c:v>
                </c:pt>
                <c:pt idx="13">
                  <c:v>99163.217815008757</c:v>
                </c:pt>
                <c:pt idx="14">
                  <c:v>103671.98668186736</c:v>
                </c:pt>
                <c:pt idx="15">
                  <c:v>108053.62844564456</c:v>
                </c:pt>
                <c:pt idx="16">
                  <c:v>112319.869255799</c:v>
                </c:pt>
                <c:pt idx="17">
                  <c:v>116480.69479189794</c:v>
                </c:pt>
                <c:pt idx="18">
                  <c:v>120544.69507412486</c:v>
                </c:pt>
                <c:pt idx="19">
                  <c:v>124519.32570439449</c:v>
                </c:pt>
                <c:pt idx="20">
                  <c:v>128411.10910623417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FF7-43DE-A86B-1A638C6F5E08}"/>
            </c:ext>
          </c:extLst>
        </c:ser>
        <c:ser>
          <c:idx val="6"/>
          <c:order val="6"/>
          <c:tx>
            <c:v>HCC Online Video</c:v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8"/>
              <c:layout>
                <c:manualLayout>
                  <c:x val="6.0408204182810454E-2"/>
                  <c:y val="2.0217877177117566E-2"/>
                </c:manualLayout>
              </c:layout>
              <c:tx>
                <c:rich>
                  <a:bodyPr/>
                  <a:lstStyle/>
                  <a:p>
                    <a:fld id="{2536A58D-1E61-4E64-9597-0F20FD0B7C6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5E01-498D-AA0D-C7931EC0EC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GOLV!$A$22:$A$41</c:f>
              <c:numCache>
                <c:formatCode>"$"#,##0</c:formatCode>
                <c:ptCount val="20"/>
                <c:pt idx="0">
                  <c:v>103851.36184614981</c:v>
                </c:pt>
                <c:pt idx="1">
                  <c:v>207702.72369229962</c:v>
                </c:pt>
                <c:pt idx="2">
                  <c:v>311554.08553844941</c:v>
                </c:pt>
                <c:pt idx="3">
                  <c:v>415405.44738459925</c:v>
                </c:pt>
                <c:pt idx="4">
                  <c:v>519256.80923074903</c:v>
                </c:pt>
                <c:pt idx="5">
                  <c:v>623108.17107689881</c:v>
                </c:pt>
                <c:pt idx="6">
                  <c:v>726959.53292304859</c:v>
                </c:pt>
                <c:pt idx="7">
                  <c:v>830810.89476919849</c:v>
                </c:pt>
                <c:pt idx="8">
                  <c:v>934662.25661534828</c:v>
                </c:pt>
                <c:pt idx="9">
                  <c:v>1038513.6184614981</c:v>
                </c:pt>
                <c:pt idx="10">
                  <c:v>1142364.980307648</c:v>
                </c:pt>
                <c:pt idx="11">
                  <c:v>1246216.3421537976</c:v>
                </c:pt>
                <c:pt idx="12">
                  <c:v>1350067.7039999475</c:v>
                </c:pt>
                <c:pt idx="13">
                  <c:v>1453919.0658460972</c:v>
                </c:pt>
                <c:pt idx="14">
                  <c:v>1557770.4276922471</c:v>
                </c:pt>
                <c:pt idx="15">
                  <c:v>1661621.789538397</c:v>
                </c:pt>
                <c:pt idx="16">
                  <c:v>1765473.1513845467</c:v>
                </c:pt>
                <c:pt idx="17">
                  <c:v>1869324.5132306966</c:v>
                </c:pt>
                <c:pt idx="18">
                  <c:v>1973175.8750768462</c:v>
                </c:pt>
                <c:pt idx="19">
                  <c:v>2077027.2369229961</c:v>
                </c:pt>
              </c:numCache>
            </c:numRef>
          </c:xVal>
          <c:yVal>
            <c:numRef>
              <c:f>GOLV!$B$22:$B$41</c:f>
              <c:numCache>
                <c:formatCode>#,##0</c:formatCode>
                <c:ptCount val="20"/>
                <c:pt idx="0">
                  <c:v>5149.6684685442597</c:v>
                </c:pt>
                <c:pt idx="1">
                  <c:v>8548.6868997849524</c:v>
                </c:pt>
                <c:pt idx="2">
                  <c:v>10791.440849991515</c:v>
                </c:pt>
                <c:pt idx="3">
                  <c:v>12270.935196105391</c:v>
                </c:pt>
                <c:pt idx="4">
                  <c:v>13246.78139215894</c:v>
                </c:pt>
                <c:pt idx="5">
                  <c:v>13890.368708251044</c:v>
                </c:pt>
                <c:pt idx="6">
                  <c:v>14314.798543367535</c:v>
                </c:pt>
                <c:pt idx="7">
                  <c:v>14594.687705844641</c:v>
                </c:pt>
                <c:pt idx="8">
                  <c:v>14779.254778794944</c:v>
                </c:pt>
                <c:pt idx="9">
                  <c:v>14900.961462955922</c:v>
                </c:pt>
                <c:pt idx="10">
                  <c:v>14981.215964648873</c:v>
                </c:pt>
                <c:pt idx="11">
                  <c:v>15034.136097230017</c:v>
                </c:pt>
                <c:pt idx="12">
                  <c:v>15069.031656967476</c:v>
                </c:pt>
                <c:pt idx="13">
                  <c:v>15092.0417255871</c:v>
                </c:pt>
                <c:pt idx="14">
                  <c:v>15107.214488411322</c:v>
                </c:pt>
                <c:pt idx="15">
                  <c:v>15117.219342796132</c:v>
                </c:pt>
                <c:pt idx="16">
                  <c:v>15123.816494101658</c:v>
                </c:pt>
                <c:pt idx="17">
                  <c:v>15128.166620077565</c:v>
                </c:pt>
                <c:pt idx="18">
                  <c:v>15131.035068435594</c:v>
                </c:pt>
                <c:pt idx="19">
                  <c:v>15132.926506454125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FF7-43DE-A86B-1A638C6F5E08}"/>
            </c:ext>
          </c:extLst>
        </c:ser>
        <c:ser>
          <c:idx val="7"/>
          <c:order val="7"/>
          <c:tx>
            <c:v>HCC Display</c:v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6"/>
              <c:layout>
                <c:manualLayout>
                  <c:x val="-2.3566603088130217E-2"/>
                  <c:y val="-5.4008849704952282E-2"/>
                </c:manualLayout>
              </c:layout>
              <c:tx>
                <c:rich>
                  <a:bodyPr/>
                  <a:lstStyle/>
                  <a:p>
                    <a:fld id="{E6CBE114-0483-4F48-AEE5-2963AF36A252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B01D-409E-8C1C-7DD91B179D4C}"/>
                </c:ext>
              </c:extLst>
            </c:dLbl>
            <c:dLbl>
              <c:idx val="22"/>
              <c:layout>
                <c:manualLayout>
                  <c:x val="1.4886758487880437E-2"/>
                  <c:y val="-9.888565470219577E-3"/>
                </c:manualLayout>
              </c:layout>
              <c:tx>
                <c:rich>
                  <a:bodyPr/>
                  <a:lstStyle/>
                  <a:p>
                    <a:fld id="{699C7380-DAE2-4DF1-A917-6B52F8ECC1E7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D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GDISP!$A$22:$A$42</c:f>
              <c:numCache>
                <c:formatCode>"$"#,##0</c:formatCode>
                <c:ptCount val="21"/>
                <c:pt idx="0">
                  <c:v>103851.36184614981</c:v>
                </c:pt>
                <c:pt idx="1">
                  <c:v>207702.72369229962</c:v>
                </c:pt>
                <c:pt idx="2">
                  <c:v>311554.08553844941</c:v>
                </c:pt>
                <c:pt idx="3">
                  <c:v>415405.44738459925</c:v>
                </c:pt>
                <c:pt idx="4">
                  <c:v>519256.80923074903</c:v>
                </c:pt>
                <c:pt idx="5">
                  <c:v>623108.17107689881</c:v>
                </c:pt>
                <c:pt idx="6">
                  <c:v>726959.53292304859</c:v>
                </c:pt>
                <c:pt idx="7">
                  <c:v>830810.89476919849</c:v>
                </c:pt>
                <c:pt idx="8">
                  <c:v>934662.25661534828</c:v>
                </c:pt>
                <c:pt idx="9">
                  <c:v>1038513.6184614981</c:v>
                </c:pt>
                <c:pt idx="10">
                  <c:v>1142364.980307648</c:v>
                </c:pt>
                <c:pt idx="11">
                  <c:v>1246216.3421537976</c:v>
                </c:pt>
                <c:pt idx="12">
                  <c:v>1350067.7039999475</c:v>
                </c:pt>
                <c:pt idx="13">
                  <c:v>1453919.0658460972</c:v>
                </c:pt>
                <c:pt idx="14">
                  <c:v>1557770.4276922471</c:v>
                </c:pt>
                <c:pt idx="15">
                  <c:v>1661621.789538397</c:v>
                </c:pt>
                <c:pt idx="16">
                  <c:v>1765473.1513845467</c:v>
                </c:pt>
                <c:pt idx="17">
                  <c:v>1869324.5132306966</c:v>
                </c:pt>
                <c:pt idx="18">
                  <c:v>1973175.8750768462</c:v>
                </c:pt>
                <c:pt idx="19">
                  <c:v>2077027.2369229961</c:v>
                </c:pt>
                <c:pt idx="20">
                  <c:v>2180878.598769146</c:v>
                </c:pt>
              </c:numCache>
            </c:numRef>
          </c:xVal>
          <c:yVal>
            <c:numRef>
              <c:f>GDISP!$B$22:$B$42</c:f>
              <c:numCache>
                <c:formatCode>#,##0</c:formatCode>
                <c:ptCount val="21"/>
                <c:pt idx="0">
                  <c:v>8194.431742310524</c:v>
                </c:pt>
                <c:pt idx="1">
                  <c:v>16138.258794490248</c:v>
                </c:pt>
                <c:pt idx="2">
                  <c:v>23838.687388489023</c:v>
                </c:pt>
                <c:pt idx="3">
                  <c:v>31302.745052527636</c:v>
                </c:pt>
                <c:pt idx="4">
                  <c:v>38537.283223880455</c:v>
                </c:pt>
                <c:pt idx="5">
                  <c:v>45548.979951588437</c:v>
                </c:pt>
                <c:pt idx="6">
                  <c:v>52344.342677412555</c:v>
                </c:pt>
                <c:pt idx="7">
                  <c:v>58929.711084183306</c:v>
                </c:pt>
                <c:pt idx="8">
                  <c:v>65311.260001372546</c:v>
                </c:pt>
                <c:pt idx="9">
                  <c:v>71495.002358317375</c:v>
                </c:pt>
                <c:pt idx="10">
                  <c:v>77486.79217626527</c:v>
                </c:pt>
                <c:pt idx="11">
                  <c:v>83292.327590946108</c:v>
                </c:pt>
                <c:pt idx="12">
                  <c:v>88917.153897989541</c:v>
                </c:pt>
                <c:pt idx="13">
                  <c:v>94366.666614044458</c:v>
                </c:pt>
                <c:pt idx="14">
                  <c:v>99646.114547008649</c:v>
                </c:pt>
                <c:pt idx="15">
                  <c:v>104760.60286923684</c:v>
                </c:pt>
                <c:pt idx="16">
                  <c:v>109715.09618811496</c:v>
                </c:pt>
                <c:pt idx="17">
                  <c:v>114514.42160880566</c:v>
                </c:pt>
                <c:pt idx="18">
                  <c:v>119163.27178439125</c:v>
                </c:pt>
                <c:pt idx="19">
                  <c:v>123666.20794909261</c:v>
                </c:pt>
                <c:pt idx="20">
                  <c:v>128027.66293053329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FF7-43DE-A86B-1A638C6F5E08}"/>
            </c:ext>
          </c:extLst>
        </c:ser>
        <c:ser>
          <c:idx val="8"/>
          <c:order val="8"/>
          <c:tx>
            <c:v>HCC Print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FFF7-43DE-A86B-1A638C6F5E08}"/>
            </c:ext>
          </c:extLst>
        </c:ser>
        <c:ser>
          <c:idx val="9"/>
          <c:order val="9"/>
          <c:tx>
            <c:v>HCC InOffice C: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VAC_Optim_Scenario!$D$35</c:f>
              <c:numCache>
                <c:formatCode>_("$"* #,##0_);_("$"* \(#,##0\);_("$"* "-"??_);_(@_)</c:formatCode>
                <c:ptCount val="1"/>
                <c:pt idx="0">
                  <c:v>1000000</c:v>
                </c:pt>
              </c:numCache>
            </c:numRef>
          </c:xVal>
          <c:yVal>
            <c:numRef>
              <c:f>VAC_Optim_Scenario!$F$35</c:f>
              <c:numCache>
                <c:formatCode>#,##0</c:formatCode>
                <c:ptCount val="1"/>
                <c:pt idx="0">
                  <c:v>22310.299479529262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FF7-43DE-A86B-1A638C6F5E08}"/>
            </c:ext>
          </c:extLst>
        </c:ser>
        <c:ser>
          <c:idx val="10"/>
          <c:order val="10"/>
          <c:tx>
            <c:v>HCC InOffice O: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VAC_Optim_Scenario!$H$35</c:f>
              <c:numCache>
                <c:formatCode>_("$"* #,##0_);_("$"* \(#,##0\);_("$"* "-"??_);_(@_)</c:formatCode>
                <c:ptCount val="1"/>
                <c:pt idx="0">
                  <c:v>1394329.1308148694</c:v>
                </c:pt>
              </c:numCache>
            </c:numRef>
          </c:xVal>
          <c:yVal>
            <c:numRef>
              <c:f>VAC_Optim_Scenario!$I$35</c:f>
              <c:numCache>
                <c:formatCode>#,##0</c:formatCode>
                <c:ptCount val="1"/>
                <c:pt idx="0">
                  <c:v>28903.780550112948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FFF7-43DE-A86B-1A638C6F5E08}"/>
            </c:ext>
          </c:extLst>
        </c:ser>
        <c:ser>
          <c:idx val="11"/>
          <c:order val="11"/>
          <c:tx>
            <c:v>HCP MCM C: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VAC_Optim_Scenario!$D$36</c:f>
              <c:numCache>
                <c:formatCode>_("$"* #,##0_);_("$"* \(#,##0\);_("$"* "-"??_);_(@_)</c:formatCode>
                <c:ptCount val="1"/>
                <c:pt idx="0">
                  <c:v>7775778</c:v>
                </c:pt>
              </c:numCache>
            </c:numRef>
          </c:xVal>
          <c:yVal>
            <c:numRef>
              <c:f>VAC_Optim_Scenario!$F$36</c:f>
              <c:numCache>
                <c:formatCode>#,##0</c:formatCode>
                <c:ptCount val="1"/>
                <c:pt idx="0">
                  <c:v>356289.09054759797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FFF7-43DE-A86B-1A638C6F5E08}"/>
            </c:ext>
          </c:extLst>
        </c:ser>
        <c:ser>
          <c:idx val="12"/>
          <c:order val="12"/>
          <c:tx>
            <c:v>HCP MCM O: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VAC_Optim_Scenario!$H$36</c:f>
              <c:numCache>
                <c:formatCode>_("$"* #,##0_);_("$"* \(#,##0\);_("$"* "-"??_);_(@_)</c:formatCode>
                <c:ptCount val="1"/>
                <c:pt idx="0">
                  <c:v>11415499.642068511</c:v>
                </c:pt>
              </c:numCache>
            </c:numRef>
          </c:xVal>
          <c:yVal>
            <c:numRef>
              <c:f>VAC_Optim_Scenario!$I$36</c:f>
              <c:numCache>
                <c:formatCode>#,##0</c:formatCode>
                <c:ptCount val="1"/>
                <c:pt idx="0">
                  <c:v>429649.57236059662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FFF7-43DE-A86B-1A638C6F5E08}"/>
            </c:ext>
          </c:extLst>
        </c:ser>
        <c:ser>
          <c:idx val="13"/>
          <c:order val="13"/>
          <c:tx>
            <c:v>HCC TV C: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VAC_Optim_Scenario!$D$43</c:f>
              <c:numCache>
                <c:formatCode>_("$"* #,##0_);_("$"* \(#,##0\);_("$"* "-"??_);_(@_)</c:formatCode>
                <c:ptCount val="1"/>
                <c:pt idx="0">
                  <c:v>16888801</c:v>
                </c:pt>
              </c:numCache>
            </c:numRef>
          </c:xVal>
          <c:yVal>
            <c:numRef>
              <c:f>VAC_Optim_Scenario!$F$43</c:f>
              <c:numCache>
                <c:formatCode>#,##0</c:formatCode>
                <c:ptCount val="1"/>
                <c:pt idx="0">
                  <c:v>296690.17284619244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FFF7-43DE-A86B-1A638C6F5E08}"/>
            </c:ext>
          </c:extLst>
        </c:ser>
        <c:ser>
          <c:idx val="14"/>
          <c:order val="14"/>
          <c:tx>
            <c:v>HCC TV O:</c:v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VAC_Optim_Scenario!$H$43</c:f>
              <c:numCache>
                <c:formatCode>_("$"* #,##0_);_("$"* \(#,##0\);_("$"* "-"??_);_(@_)</c:formatCode>
                <c:ptCount val="1"/>
                <c:pt idx="0">
                  <c:v>16888801</c:v>
                </c:pt>
              </c:numCache>
            </c:numRef>
          </c:xVal>
          <c:yVal>
            <c:numRef>
              <c:f>VAC_Optim_Scenario!$I$43</c:f>
              <c:numCache>
                <c:formatCode>#,##0</c:formatCode>
                <c:ptCount val="1"/>
                <c:pt idx="0">
                  <c:v>296690.17284619244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FFF7-43DE-A86B-1A638C6F5E08}"/>
            </c:ext>
          </c:extLst>
        </c:ser>
        <c:ser>
          <c:idx val="15"/>
          <c:order val="15"/>
          <c:tx>
            <c:v>HCC Paid Search C: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VAC_Optim_Scenario!$D$41</c:f>
              <c:numCache>
                <c:formatCode>_("$"* #,##0_);_("$"* \(#,##0\);_("$"* "-"??_);_(@_)</c:formatCode>
                <c:ptCount val="1"/>
                <c:pt idx="0">
                  <c:v>400000</c:v>
                </c:pt>
              </c:numCache>
            </c:numRef>
          </c:xVal>
          <c:yVal>
            <c:numRef>
              <c:f>VAC_Optim_Scenario!$F$41</c:f>
              <c:numCache>
                <c:formatCode>#,##0</c:formatCode>
                <c:ptCount val="1"/>
                <c:pt idx="0">
                  <c:v>145038.35480357721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FFF7-43DE-A86B-1A638C6F5E08}"/>
            </c:ext>
          </c:extLst>
        </c:ser>
        <c:ser>
          <c:idx val="16"/>
          <c:order val="16"/>
          <c:tx>
            <c:v>HCC Paid Search O: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VAC_Optim_Scenario!$H$41</c:f>
              <c:numCache>
                <c:formatCode>_("$"* #,##0_);_("$"* \(#,##0\);_("$"* "-"??_);_(@_)</c:formatCode>
                <c:ptCount val="1"/>
                <c:pt idx="0">
                  <c:v>400000</c:v>
                </c:pt>
              </c:numCache>
            </c:numRef>
          </c:xVal>
          <c:yVal>
            <c:numRef>
              <c:f>VAC_Optim_Scenario!$I$41</c:f>
              <c:numCache>
                <c:formatCode>#,##0</c:formatCode>
                <c:ptCount val="1"/>
                <c:pt idx="0">
                  <c:v>145038.35480357721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FFF7-43DE-A86B-1A638C6F5E08}"/>
            </c:ext>
          </c:extLst>
        </c:ser>
        <c:ser>
          <c:idx val="17"/>
          <c:order val="17"/>
          <c:tx>
            <c:v>HCC Radio C:</c:v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VAC_Optim_Scenario!$D$42</c:f>
              <c:numCache>
                <c:formatCode>_("$"* #,##0_);_("$"* \(#,##0\);_("$"* "-"??_);_(@_)</c:formatCode>
                <c:ptCount val="1"/>
                <c:pt idx="0">
                  <c:v>2220000</c:v>
                </c:pt>
              </c:numCache>
            </c:numRef>
          </c:xVal>
          <c:yVal>
            <c:numRef>
              <c:f>VAC_Optim_Scenario!$F$42</c:f>
              <c:numCache>
                <c:formatCode>#,##0</c:formatCode>
                <c:ptCount val="1"/>
                <c:pt idx="0">
                  <c:v>91610.125423352103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FFF7-43DE-A86B-1A638C6F5E08}"/>
            </c:ext>
          </c:extLst>
        </c:ser>
        <c:ser>
          <c:idx val="18"/>
          <c:order val="18"/>
          <c:tx>
            <c:v>HCC Radio O:</c:v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VAC_Optim_Scenario!$H$42</c:f>
              <c:numCache>
                <c:formatCode>_("$"* #,##0_);_("$"* \(#,##0\);_("$"* "-"??_);_(@_)</c:formatCode>
                <c:ptCount val="1"/>
                <c:pt idx="0">
                  <c:v>3108000</c:v>
                </c:pt>
              </c:numCache>
            </c:numRef>
          </c:xVal>
          <c:yVal>
            <c:numRef>
              <c:f>VAC_Optim_Scenario!$I$42</c:f>
              <c:numCache>
                <c:formatCode>#,##0</c:formatCode>
                <c:ptCount val="1"/>
                <c:pt idx="0">
                  <c:v>112103.79095225371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FFF7-43DE-A86B-1A638C6F5E08}"/>
            </c:ext>
          </c:extLst>
        </c:ser>
        <c:ser>
          <c:idx val="19"/>
          <c:order val="19"/>
          <c:tx>
            <c:v>HCC Online Video C: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VAC_Optim_Scenario!$D$38</c:f>
              <c:numCache>
                <c:formatCode>_("$"* #,##0_);_("$"* \(#,##0\);_("$"* "-"??_);_(@_)</c:formatCode>
                <c:ptCount val="1"/>
                <c:pt idx="0">
                  <c:v>1220000</c:v>
                </c:pt>
              </c:numCache>
            </c:numRef>
          </c:xVal>
          <c:yVal>
            <c:numRef>
              <c:f>VAC_Optim_Scenario!$F$38</c:f>
              <c:numCache>
                <c:formatCode>#,##0</c:formatCode>
                <c:ptCount val="1"/>
                <c:pt idx="0">
                  <c:v>15022.779470646754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FFF7-43DE-A86B-1A638C6F5E08}"/>
            </c:ext>
          </c:extLst>
        </c:ser>
        <c:ser>
          <c:idx val="20"/>
          <c:order val="20"/>
          <c:tx>
            <c:v>HCC Online Video O:</c:v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VAC_Optim_Scenario!$H$38</c:f>
              <c:numCache>
                <c:formatCode>_("$"* #,##0_);_("$"* \(#,##0\);_("$"* "-"??_);_(@_)</c:formatCode>
                <c:ptCount val="1"/>
                <c:pt idx="0">
                  <c:v>1000000</c:v>
                </c:pt>
              </c:numCache>
            </c:numRef>
          </c:xVal>
          <c:yVal>
            <c:numRef>
              <c:f>VAC_Optim_Scenario!$I$38</c:f>
              <c:numCache>
                <c:formatCode>#,##0</c:formatCode>
                <c:ptCount val="1"/>
                <c:pt idx="0">
                  <c:v>14861.613123927265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FFF7-43DE-A86B-1A638C6F5E08}"/>
            </c:ext>
          </c:extLst>
        </c:ser>
        <c:ser>
          <c:idx val="21"/>
          <c:order val="21"/>
          <c:tx>
            <c:v>HCC Display C:</c:v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VAC_Optim_Scenario!$D$40</c:f>
              <c:numCache>
                <c:formatCode>_("$"* #,##0_);_("$"* \(#,##0\);_("$"* "-"??_);_(@_)</c:formatCode>
                <c:ptCount val="1"/>
                <c:pt idx="0">
                  <c:v>3540000</c:v>
                </c:pt>
              </c:numCache>
            </c:numRef>
          </c:xVal>
          <c:yVal>
            <c:numRef>
              <c:f>VAC_Optim_Scenario!$F$40</c:f>
              <c:numCache>
                <c:formatCode>#,##0</c:formatCode>
                <c:ptCount val="1"/>
                <c:pt idx="0">
                  <c:v>173899.1701768022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FFF7-43DE-A86B-1A638C6F5E08}"/>
            </c:ext>
          </c:extLst>
        </c:ser>
        <c:ser>
          <c:idx val="22"/>
          <c:order val="22"/>
          <c:tx>
            <c:v>HCC Display O:</c:v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VAC_Optim_Scenario!$H$40</c:f>
              <c:numCache>
                <c:formatCode>_("$"* #,##0_);_("$"* \(#,##0\);_("$"* "-"??_);_(@_)</c:formatCode>
                <c:ptCount val="1"/>
                <c:pt idx="0">
                  <c:v>5349497.9439856345</c:v>
                </c:pt>
              </c:numCache>
            </c:numRef>
          </c:xVal>
          <c:yVal>
            <c:numRef>
              <c:f>VAC_Optim_Scenario!$I$40</c:f>
              <c:numCache>
                <c:formatCode>#,##0</c:formatCode>
                <c:ptCount val="1"/>
                <c:pt idx="0">
                  <c:v>211422.62182002515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FFF7-43DE-A86B-1A638C6F5E08}"/>
            </c:ext>
          </c:extLst>
        </c:ser>
        <c:ser>
          <c:idx val="23"/>
          <c:order val="23"/>
          <c:tx>
            <c:v>HCC Streaming Video</c:v>
          </c:tx>
          <c:spPr>
            <a:ln w="19050" cap="rnd">
              <a:solidFill>
                <a:schemeClr val="accent6">
                  <a:lumMod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5"/>
              <c:layout>
                <c:manualLayout>
                  <c:x val="-2.811159021788949E-2"/>
                  <c:y val="1.354554945337706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GSTRV!$A$21:$A$41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GSTRV!$B$21:$B$41</c:f>
              <c:numCache>
                <c:formatCode>#,##0</c:formatCode>
                <c:ptCount val="21"/>
                <c:pt idx="0">
                  <c:v>0</c:v>
                </c:pt>
                <c:pt idx="1">
                  <c:v>24884.046469428908</c:v>
                </c:pt>
                <c:pt idx="2">
                  <c:v>40424.252751667111</c:v>
                </c:pt>
                <c:pt idx="3">
                  <c:v>53691.542628546988</c:v>
                </c:pt>
                <c:pt idx="4">
                  <c:v>65669.392336903504</c:v>
                </c:pt>
                <c:pt idx="5">
                  <c:v>76771.496565679685</c:v>
                </c:pt>
                <c:pt idx="6">
                  <c:v>87222.168328200525</c:v>
                </c:pt>
                <c:pt idx="7">
                  <c:v>97160.475531144242</c:v>
                </c:pt>
                <c:pt idx="8">
                  <c:v>106680.24258581536</c:v>
                </c:pt>
                <c:pt idx="9">
                  <c:v>115848.59212406214</c:v>
                </c:pt>
                <c:pt idx="10">
                  <c:v>124715.66411465566</c:v>
                </c:pt>
                <c:pt idx="11">
                  <c:v>133320.17753068838</c:v>
                </c:pt>
                <c:pt idx="12">
                  <c:v>141692.83047993566</c:v>
                </c:pt>
                <c:pt idx="13">
                  <c:v>149858.48932590534</c:v>
                </c:pt>
                <c:pt idx="14">
                  <c:v>157837.6581625666</c:v>
                </c:pt>
                <c:pt idx="15">
                  <c:v>165647.49971744206</c:v>
                </c:pt>
                <c:pt idx="16">
                  <c:v>173302.56536838613</c:v>
                </c:pt>
                <c:pt idx="17">
                  <c:v>180815.33013485884</c:v>
                </c:pt>
                <c:pt idx="18">
                  <c:v>188196.59313453117</c:v>
                </c:pt>
                <c:pt idx="19">
                  <c:v>195455.78291760079</c:v>
                </c:pt>
                <c:pt idx="20">
                  <c:v>202601.19408057688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B9-4CEC-969C-111DFC7AEA4C}"/>
            </c:ext>
          </c:extLst>
        </c:ser>
        <c:ser>
          <c:idx val="24"/>
          <c:order val="24"/>
          <c:tx>
            <c:v>Social C: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VAC_Optim_Scenario!$E$19</c:f>
              <c:numCache>
                <c:formatCode>"$"#,##0_);\("$"#,##0\)</c:formatCode>
                <c:ptCount val="1"/>
                <c:pt idx="0">
                  <c:v>1840000</c:v>
                </c:pt>
              </c:numCache>
            </c:numRef>
          </c:xVal>
          <c:yVal>
            <c:numRef>
              <c:f>VAC_Optim_Scenario!$F$19</c:f>
              <c:numCache>
                <c:formatCode>#,##0</c:formatCode>
                <c:ptCount val="1"/>
                <c:pt idx="0">
                  <c:v>70487.367019183061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B9-4CEC-969C-111DFC7AEA4C}"/>
            </c:ext>
          </c:extLst>
        </c:ser>
        <c:ser>
          <c:idx val="25"/>
          <c:order val="25"/>
          <c:tx>
            <c:v>Social O: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VAC_Optim_Scenario!$I$19</c:f>
              <c:numCache>
                <c:formatCode>"$"#,##0</c:formatCode>
                <c:ptCount val="1"/>
                <c:pt idx="0">
                  <c:v>2576000</c:v>
                </c:pt>
              </c:numCache>
            </c:numRef>
          </c:xVal>
          <c:yVal>
            <c:numRef>
              <c:f>VAC_Optim_Scenario!$J$19</c:f>
              <c:numCache>
                <c:formatCode>#,##0</c:formatCode>
                <c:ptCount val="1"/>
                <c:pt idx="0">
                  <c:v>86255.76070960192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B9-4CEC-969C-111DFC7AEA4C}"/>
            </c:ext>
          </c:extLst>
        </c:ser>
        <c:ser>
          <c:idx val="26"/>
          <c:order val="26"/>
          <c:tx>
            <c:v>Streaming C:</c:v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VAC_Optim_Scenario!$E$21</c:f>
              <c:numCache>
                <c:formatCode>"$"#,##0_);\("$"#,##0\)</c:formatCode>
                <c:ptCount val="1"/>
                <c:pt idx="0">
                  <c:v>4817798</c:v>
                </c:pt>
              </c:numCache>
            </c:numRef>
          </c:xVal>
          <c:yVal>
            <c:numRef>
              <c:f>VAC_Optim_Scenario!$F$21</c:f>
              <c:numCache>
                <c:formatCode>#,##0</c:formatCode>
                <c:ptCount val="1"/>
                <c:pt idx="0">
                  <c:v>121516.7124715425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AB9-4CEC-969C-111DFC7AEA4C}"/>
            </c:ext>
          </c:extLst>
        </c:ser>
        <c:ser>
          <c:idx val="27"/>
          <c:order val="27"/>
          <c:tx>
            <c:v>Streaming O: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VAC_Optim_Scenario!$I$21</c:f>
              <c:numCache>
                <c:formatCode>"$"#,##0</c:formatCode>
                <c:ptCount val="1"/>
                <c:pt idx="0">
                  <c:v>7570249.203999565</c:v>
                </c:pt>
              </c:numCache>
            </c:numRef>
          </c:xVal>
          <c:yVal>
            <c:numRef>
              <c:f>VAC_Optim_Scenario!$J$21</c:f>
              <c:numCache>
                <c:formatCode>#,##0</c:formatCode>
                <c:ptCount val="1"/>
                <c:pt idx="0">
                  <c:v>166732.06308158877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AB9-4CEC-969C-111DFC7AE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898904"/>
        <c:axId val="969903496"/>
      </c:scatterChart>
      <c:valAx>
        <c:axId val="969898904"/>
        <c:scaling>
          <c:orientation val="minMax"/>
          <c:max val="17000000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Spend (Millions)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903496"/>
        <c:crosses val="autoZero"/>
        <c:crossBetween val="midCat"/>
        <c:majorUnit val="3000000"/>
        <c:dispUnits>
          <c:builtInUnit val="millions"/>
        </c:dispUnits>
      </c:valAx>
      <c:valAx>
        <c:axId val="969903496"/>
        <c:scaling>
          <c:orientation val="minMax"/>
          <c:max val="38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Incr. Doses  (Thousands)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89890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Change in optimal spend for a channel as its responsiveness changes</a:t>
            </a:r>
          </a:p>
          <a:p>
            <a:pPr>
              <a:defRPr/>
            </a:pPr>
            <a:r>
              <a:rPr lang="en-US"/>
              <a:t>Current Optimal scenario (InScope budget : $38.4MM, -30% to +30% channel variation)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528305187146699E-2"/>
          <c:y val="0.15359139858710097"/>
          <c:w val="0.78123743703048343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Senstivity!$K$30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5.0487919026123819E-3"/>
                  <c:y val="-3.065565444753200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Senstivity!$K$31:$K$35</c:f>
              <c:numCache>
                <c:formatCode>"$"#,##0.0</c:formatCode>
                <c:ptCount val="5"/>
                <c:pt idx="0">
                  <c:v>1.659</c:v>
                </c:pt>
                <c:pt idx="1">
                  <c:v>1.9760291300433497</c:v>
                </c:pt>
                <c:pt idx="2">
                  <c:v>3.081</c:v>
                </c:pt>
                <c:pt idx="3">
                  <c:v>3.081</c:v>
                </c:pt>
                <c:pt idx="4">
                  <c:v>3.081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77-45F0-AC7A-5E5747B66D7F}"/>
            </c:ext>
          </c:extLst>
        </c:ser>
        <c:ser>
          <c:idx val="2"/>
          <c:order val="1"/>
          <c:tx>
            <c:strRef>
              <c:f>Senstivity!$L$30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Senstivity!$L$31:$L$35</c:f>
              <c:numCache>
                <c:formatCode>"$"#,##0.0</c:formatCode>
                <c:ptCount val="5"/>
                <c:pt idx="0">
                  <c:v>7.9137499886468206</c:v>
                </c:pt>
                <c:pt idx="1">
                  <c:v>7.9137499886468206</c:v>
                </c:pt>
                <c:pt idx="2">
                  <c:v>7.9137499886468206</c:v>
                </c:pt>
                <c:pt idx="3">
                  <c:v>7.9137499886468206</c:v>
                </c:pt>
                <c:pt idx="4">
                  <c:v>7.9137499886468206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A77-45F0-AC7A-5E5747B66D7F}"/>
            </c:ext>
          </c:extLst>
        </c:ser>
        <c:ser>
          <c:idx val="3"/>
          <c:order val="2"/>
          <c:tx>
            <c:strRef>
              <c:f>Senstivity!$M$30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Senstivity!$M$31:$M$35</c:f>
              <c:numCache>
                <c:formatCode>"$"#,##0.0</c:formatCode>
                <c:ptCount val="5"/>
                <c:pt idx="0">
                  <c:v>1.5820000000000001</c:v>
                </c:pt>
                <c:pt idx="1">
                  <c:v>1.5820000000000001</c:v>
                </c:pt>
                <c:pt idx="2">
                  <c:v>2.9380000000000002</c:v>
                </c:pt>
                <c:pt idx="3">
                  <c:v>2.9380000000000002</c:v>
                </c:pt>
                <c:pt idx="4">
                  <c:v>2.9380000000000002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A77-45F0-AC7A-5E5747B66D7F}"/>
            </c:ext>
          </c:extLst>
        </c:ser>
        <c:ser>
          <c:idx val="4"/>
          <c:order val="3"/>
          <c:tx>
            <c:strRef>
              <c:f>Senstivity!$N$30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0.26747530062007552"/>
                  <c:y val="4.805239450627646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Senstivity!$N$31:$N$35</c:f>
              <c:numCache>
                <c:formatCode>"$"#,##0.0</c:formatCode>
                <c:ptCount val="5"/>
                <c:pt idx="0">
                  <c:v>0.69299999999999995</c:v>
                </c:pt>
                <c:pt idx="1">
                  <c:v>0.69299999999999995</c:v>
                </c:pt>
                <c:pt idx="2">
                  <c:v>0.69299999999999995</c:v>
                </c:pt>
                <c:pt idx="3">
                  <c:v>1.2869999999999999</c:v>
                </c:pt>
                <c:pt idx="4">
                  <c:v>1.2869999999999999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A77-45F0-AC7A-5E5747B66D7F}"/>
            </c:ext>
          </c:extLst>
        </c:ser>
        <c:ser>
          <c:idx val="5"/>
          <c:order val="4"/>
          <c:tx>
            <c:strRef>
              <c:f>Senstivity!$O$30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Senstivity!$O$31:$O$35</c:f>
              <c:numCache>
                <c:formatCode>"$"#,##0.0</c:formatCode>
                <c:ptCount val="5"/>
                <c:pt idx="0">
                  <c:v>3.9416439999999997</c:v>
                </c:pt>
                <c:pt idx="1">
                  <c:v>3.9416439999999997</c:v>
                </c:pt>
                <c:pt idx="2">
                  <c:v>3.9416439999999997</c:v>
                </c:pt>
                <c:pt idx="3">
                  <c:v>7.1335289098028332</c:v>
                </c:pt>
                <c:pt idx="4">
                  <c:v>7.3201960000000001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A77-45F0-AC7A-5E5747B66D7F}"/>
            </c:ext>
          </c:extLst>
        </c:ser>
        <c:ser>
          <c:idx val="6"/>
          <c:order val="5"/>
          <c:tx>
            <c:strRef>
              <c:f>Senstivity!$P$30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1.5111020788719136E-3"/>
                  <c:y val="-1.526530376752512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Senstivity!$P$31:$P$35</c:f>
              <c:numCache>
                <c:formatCode>"$"#,##0.0</c:formatCode>
                <c:ptCount val="5"/>
                <c:pt idx="0">
                  <c:v>1.9214</c:v>
                </c:pt>
                <c:pt idx="1">
                  <c:v>1.9214</c:v>
                </c:pt>
                <c:pt idx="2">
                  <c:v>1.9214</c:v>
                </c:pt>
                <c:pt idx="3">
                  <c:v>1.9214</c:v>
                </c:pt>
                <c:pt idx="4">
                  <c:v>1.9214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A77-45F0-AC7A-5E5747B66D7F}"/>
            </c:ext>
          </c:extLst>
        </c:ser>
        <c:ser>
          <c:idx val="7"/>
          <c:order val="6"/>
          <c:tx>
            <c:strRef>
              <c:f>Senstivity!$Q$30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3.0363633032071619E-3"/>
                  <c:y val="4.0800774220489146E-3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Senstivity!$Q$31:$Q$35</c:f>
              <c:numCache>
                <c:formatCode>"$"#,##0.0</c:formatCode>
                <c:ptCount val="5"/>
                <c:pt idx="0">
                  <c:v>1.232</c:v>
                </c:pt>
                <c:pt idx="1">
                  <c:v>1.232</c:v>
                </c:pt>
                <c:pt idx="2">
                  <c:v>1.232</c:v>
                </c:pt>
                <c:pt idx="3">
                  <c:v>1.232</c:v>
                </c:pt>
                <c:pt idx="4">
                  <c:v>1.232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A77-45F0-AC7A-5E5747B66D7F}"/>
            </c:ext>
          </c:extLst>
        </c:ser>
        <c:ser>
          <c:idx val="8"/>
          <c:order val="7"/>
          <c:tx>
            <c:strRef>
              <c:f>Senstivity!$R$30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1.5111020788719136E-3"/>
                  <c:y val="3.9749889416695518E-3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Senstivity!$R$31:$R$35</c:f>
              <c:numCache>
                <c:formatCode>"$"#,##0.0</c:formatCode>
                <c:ptCount val="5"/>
                <c:pt idx="0">
                  <c:v>0.91370790000000002</c:v>
                </c:pt>
                <c:pt idx="1">
                  <c:v>0.91370789999999991</c:v>
                </c:pt>
                <c:pt idx="2">
                  <c:v>1.5996707428443773</c:v>
                </c:pt>
                <c:pt idx="3">
                  <c:v>1.6968861000000002</c:v>
                </c:pt>
                <c:pt idx="4">
                  <c:v>1.6968861000000002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A77-45F0-AC7A-5E5747B66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lineChart>
        <c:grouping val="standard"/>
        <c:varyColors val="0"/>
        <c:ser>
          <c:idx val="0"/>
          <c:order val="8"/>
          <c:tx>
            <c:strRef>
              <c:f>Senstivity!$S$30</c:f>
              <c:strCache>
                <c:ptCount val="1"/>
                <c:pt idx="0">
                  <c:v>HCC TV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4"/>
              <c:tx>
                <c:rich>
                  <a:bodyPr/>
                  <a:lstStyle/>
                  <a:p>
                    <a:fld id="{2F7DDF59-150D-4BA2-9EB3-95C0AC4A4CF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3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Senstivity!$S$31:$S$35</c:f>
              <c:numCache>
                <c:formatCode>"$"#,##0.0</c:formatCode>
                <c:ptCount val="5"/>
                <c:pt idx="0">
                  <c:v>11.531133494999999</c:v>
                </c:pt>
                <c:pt idx="1">
                  <c:v>11.531133494999999</c:v>
                </c:pt>
                <c:pt idx="2">
                  <c:v>15.034300118508808</c:v>
                </c:pt>
                <c:pt idx="3">
                  <c:v>17.521435993065552</c:v>
                </c:pt>
                <c:pt idx="4">
                  <c:v>18.498262961353184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A77-45F0-AC7A-5E5747B66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089135"/>
        <c:axId val="1271693967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 Spend ($M)</a:t>
                </a:r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  <c:majorUnit val="2"/>
      </c:valAx>
      <c:valAx>
        <c:axId val="127169396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 Spend $M (HCC TV)</a:t>
                </a:r>
              </a:p>
            </c:rich>
          </c:tx>
          <c:layout>
            <c:manualLayout>
              <c:xMode val="edge"/>
              <c:yMode val="edge"/>
              <c:x val="0.9287158288471471"/>
              <c:y val="0.374215102600693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089135"/>
        <c:crosses val="max"/>
        <c:crossBetween val="between"/>
      </c:valAx>
      <c:catAx>
        <c:axId val="2970891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7169396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'Sensitivity - Template'!$K$30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Template'!$K$31:$K$35</c:f>
              <c:numCache>
                <c:formatCode>"$"#,##0.0</c:formatCode>
                <c:ptCount val="5"/>
                <c:pt idx="0">
                  <c:v>1.3943291308148695</c:v>
                </c:pt>
                <c:pt idx="1">
                  <c:v>1.3943291308148695</c:v>
                </c:pt>
                <c:pt idx="2">
                  <c:v>1.3943291308148695</c:v>
                </c:pt>
                <c:pt idx="3">
                  <c:v>1.3943291308148695</c:v>
                </c:pt>
                <c:pt idx="4">
                  <c:v>1.3943291308148695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6-4E3D-AD45-6D181B32C788}"/>
            </c:ext>
          </c:extLst>
        </c:ser>
        <c:ser>
          <c:idx val="2"/>
          <c:order val="1"/>
          <c:tx>
            <c:strRef>
              <c:f>'Sensitivity - Template'!$L$30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Template'!$L$31:$L$35</c:f>
              <c:numCache>
                <c:formatCode>"$"#,##0.0</c:formatCode>
                <c:ptCount val="5"/>
                <c:pt idx="0">
                  <c:v>11.415499642068511</c:v>
                </c:pt>
                <c:pt idx="1">
                  <c:v>11.415499642068511</c:v>
                </c:pt>
                <c:pt idx="2">
                  <c:v>11.415499642068511</c:v>
                </c:pt>
                <c:pt idx="3">
                  <c:v>11.415499642068511</c:v>
                </c:pt>
                <c:pt idx="4">
                  <c:v>11.415499642068511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66-4E3D-AD45-6D181B32C788}"/>
            </c:ext>
          </c:extLst>
        </c:ser>
        <c:ser>
          <c:idx val="3"/>
          <c:order val="2"/>
          <c:tx>
            <c:strRef>
              <c:f>'Sensitivity - Template'!$M$30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Template'!$M$31:$M$35</c:f>
              <c:numCache>
                <c:formatCode>"$"#,##0.0</c:formatCode>
                <c:ptCount val="5"/>
                <c:pt idx="0">
                  <c:v>2.5760000000000001</c:v>
                </c:pt>
                <c:pt idx="1">
                  <c:v>2.5760000000000001</c:v>
                </c:pt>
                <c:pt idx="2">
                  <c:v>2.5760000000000001</c:v>
                </c:pt>
                <c:pt idx="3">
                  <c:v>2.5760000000000001</c:v>
                </c:pt>
                <c:pt idx="4">
                  <c:v>2.5760000000000001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D66-4E3D-AD45-6D181B32C788}"/>
            </c:ext>
          </c:extLst>
        </c:ser>
        <c:ser>
          <c:idx val="4"/>
          <c:order val="3"/>
          <c:tx>
            <c:strRef>
              <c:f>'Sensitivity - Template'!$N$30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Template'!$N$31:$N$35</c:f>
              <c:numCache>
                <c:formatCode>"$"#,##0.0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D66-4E3D-AD45-6D181B32C788}"/>
            </c:ext>
          </c:extLst>
        </c:ser>
        <c:ser>
          <c:idx val="5"/>
          <c:order val="4"/>
          <c:tx>
            <c:strRef>
              <c:f>'Sensitivity - Template'!$O$30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Template'!$O$31:$O$35</c:f>
              <c:numCache>
                <c:formatCode>"$"#,##0.0</c:formatCode>
                <c:ptCount val="5"/>
                <c:pt idx="0">
                  <c:v>7.5702492039995652</c:v>
                </c:pt>
                <c:pt idx="1">
                  <c:v>7.5702492039995652</c:v>
                </c:pt>
                <c:pt idx="2">
                  <c:v>7.5702492039995652</c:v>
                </c:pt>
                <c:pt idx="3">
                  <c:v>7.5702492039995652</c:v>
                </c:pt>
                <c:pt idx="4">
                  <c:v>7.5702492039995652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D66-4E3D-AD45-6D181B32C788}"/>
            </c:ext>
          </c:extLst>
        </c:ser>
        <c:ser>
          <c:idx val="6"/>
          <c:order val="5"/>
          <c:tx>
            <c:strRef>
              <c:f>'Sensitivity - Template'!$P$30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Template'!$P$31:$P$35</c:f>
              <c:numCache>
                <c:formatCode>"$"#,##0.0</c:formatCode>
                <c:ptCount val="5"/>
                <c:pt idx="0">
                  <c:v>5.3494979439856341</c:v>
                </c:pt>
                <c:pt idx="1">
                  <c:v>5.3494979439856341</c:v>
                </c:pt>
                <c:pt idx="2">
                  <c:v>5.3494979439856341</c:v>
                </c:pt>
                <c:pt idx="3">
                  <c:v>5.3494979439856341</c:v>
                </c:pt>
                <c:pt idx="4">
                  <c:v>5.3494979439856341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D66-4E3D-AD45-6D181B32C788}"/>
            </c:ext>
          </c:extLst>
        </c:ser>
        <c:ser>
          <c:idx val="7"/>
          <c:order val="6"/>
          <c:tx>
            <c:strRef>
              <c:f>'Sensitivity - Template'!$Q$30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Template'!$Q$31:$Q$35</c:f>
              <c:numCache>
                <c:formatCode>"$"#,##0.0</c:formatCode>
                <c:ptCount val="5"/>
                <c:pt idx="0">
                  <c:v>0.4</c:v>
                </c:pt>
                <c:pt idx="1">
                  <c:v>0.4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66-4E3D-AD45-6D181B32C788}"/>
            </c:ext>
          </c:extLst>
        </c:ser>
        <c:ser>
          <c:idx val="8"/>
          <c:order val="7"/>
          <c:tx>
            <c:strRef>
              <c:f>'Sensitivity - Template'!$R$30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Template'!$R$31:$R$35</c:f>
              <c:numCache>
                <c:formatCode>"$"#,##0.0</c:formatCode>
                <c:ptCount val="5"/>
                <c:pt idx="0">
                  <c:v>3.1080000000000001</c:v>
                </c:pt>
                <c:pt idx="1">
                  <c:v>3.1080000000000001</c:v>
                </c:pt>
                <c:pt idx="2">
                  <c:v>3.1080000000000001</c:v>
                </c:pt>
                <c:pt idx="3">
                  <c:v>3.1080000000000001</c:v>
                </c:pt>
                <c:pt idx="4">
                  <c:v>3.1080000000000001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D66-4E3D-AD45-6D181B32C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2023 Projected </a:t>
            </a:r>
          </a:p>
          <a:p>
            <a:pPr>
              <a:defRPr sz="1100"/>
            </a:pPr>
            <a:r>
              <a:rPr lang="en-US" sz="1100"/>
              <a:t>Promotion Efficiency ($ Spend/Incr.</a:t>
            </a:r>
            <a:r>
              <a:rPr lang="en-US" sz="1100" baseline="0"/>
              <a:t> Dose)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'Contribution, promo eff, ROI'!$F$16</c:f>
              <c:strCache>
                <c:ptCount val="1"/>
                <c:pt idx="0">
                  <c:v>2024 Projected Promotion Efficiency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'Contribution, promo eff, ROI'!$E$17:$E$25</c:f>
              <c:strCache>
                <c:ptCount val="9"/>
                <c:pt idx="0">
                  <c:v>HCC Paid Search</c:v>
                </c:pt>
                <c:pt idx="1">
                  <c:v>HCC Display</c:v>
                </c:pt>
                <c:pt idx="2">
                  <c:v>HCP MCM</c:v>
                </c:pt>
                <c:pt idx="3">
                  <c:v>HCC Audio</c:v>
                </c:pt>
                <c:pt idx="4">
                  <c:v>HCC Social</c:v>
                </c:pt>
                <c:pt idx="5">
                  <c:v>HCC Streaming Video</c:v>
                </c:pt>
                <c:pt idx="6">
                  <c:v>HCC In Office</c:v>
                </c:pt>
                <c:pt idx="7">
                  <c:v>HCC Linear TV</c:v>
                </c:pt>
                <c:pt idx="8">
                  <c:v>HCC Online Video</c:v>
                </c:pt>
              </c:strCache>
            </c:strRef>
          </c:cat>
          <c:val>
            <c:numRef>
              <c:f>'Contribution, promo eff, ROI'!$F$17:$F$25</c:f>
              <c:numCache>
                <c:formatCode>"$"#,##0</c:formatCode>
                <c:ptCount val="9"/>
                <c:pt idx="0">
                  <c:v>2.7578911836232054</c:v>
                </c:pt>
                <c:pt idx="1">
                  <c:v>20.356623878083514</c:v>
                </c:pt>
                <c:pt idx="2">
                  <c:v>21.824350524033811</c:v>
                </c:pt>
                <c:pt idx="3">
                  <c:v>24.233129140920326</c:v>
                </c:pt>
                <c:pt idx="4">
                  <c:v>26.103968382011573</c:v>
                </c:pt>
                <c:pt idx="5">
                  <c:v>39.647204915358948</c:v>
                </c:pt>
                <c:pt idx="6">
                  <c:v>44.822347674783416</c:v>
                </c:pt>
                <c:pt idx="7">
                  <c:v>56.924032360031511</c:v>
                </c:pt>
                <c:pt idx="8">
                  <c:v>81.210005271246729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BE-4EAC-B345-2CBFD6D4B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430600"/>
        <c:axId val="493430272"/>
      </c:barChart>
      <c:catAx>
        <c:axId val="493430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30272"/>
        <c:crosses val="autoZero"/>
        <c:auto val="1"/>
        <c:lblAlgn val="ctr"/>
        <c:lblOffset val="100"/>
        <c:noMultiLvlLbl val="0"/>
      </c:catAx>
      <c:valAx>
        <c:axId val="493430272"/>
        <c:scaling>
          <c:orientation val="minMax"/>
          <c:min val="0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493430600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EC-4745-8D10-954E467D5BAF}"/>
            </c:ext>
          </c:extLst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EC-4745-8D10-954E467D5BAF}"/>
            </c:ext>
          </c:extLst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BEC-4745-8D10-954E467D5BAF}"/>
            </c:ext>
          </c:extLst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4BEC-4745-8D10-954E467D5BAF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BEC-4745-8D10-954E467D5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975808"/>
        <c:axId val="472002560"/>
      </c:scatterChart>
      <c:valAx>
        <c:axId val="4719758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02560"/>
        <c:crosses val="autoZero"/>
        <c:crossBetween val="midCat"/>
      </c:valAx>
      <c:valAx>
        <c:axId val="47200256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19758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10-4772-9F38-E8E0F7CABC6B}"/>
            </c:ext>
          </c:extLst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10-4772-9F38-E8E0F7CABC6B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C10-4772-9F38-E8E0F7CABC6B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AC10-4772-9F38-E8E0F7CABC6B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C10-4772-9F38-E8E0F7CAB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094208"/>
        <c:axId val="472096128"/>
      </c:scatterChart>
      <c:valAx>
        <c:axId val="4720942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6128"/>
        <c:crosses val="autoZero"/>
        <c:crossBetween val="midCat"/>
      </c:valAx>
      <c:valAx>
        <c:axId val="47209612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42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46-4C4C-A41F-AC41178611EB}"/>
            </c:ext>
          </c:extLst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46-4C4C-A41F-AC41178611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215488"/>
        <c:axId val="509217792"/>
      </c:scatterChart>
      <c:valAx>
        <c:axId val="5092154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509217792"/>
        <c:crosses val="autoZero"/>
        <c:crossBetween val="midCat"/>
        <c:dispUnits>
          <c:builtInUnit val="millions"/>
        </c:dispUnits>
      </c:valAx>
      <c:valAx>
        <c:axId val="50921779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0921548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2-40DF-9B3F-07D7D0195280}"/>
            </c:ext>
          </c:extLst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D2-40DF-9B3F-07D7D0195280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0D2-40DF-9B3F-07D7D0195280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D0D2-40DF-9B3F-07D7D0195280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0D2-40DF-9B3F-07D7D0195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20416"/>
        <c:axId val="472222336"/>
      </c:scatterChart>
      <c:valAx>
        <c:axId val="4722204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2336"/>
        <c:crosses val="autoZero"/>
        <c:crossBetween val="midCat"/>
      </c:valAx>
      <c:valAx>
        <c:axId val="472222336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041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274320</xdr:colOff>
      <xdr:row>20</xdr:row>
      <xdr:rowOff>0</xdr:rowOff>
    </xdr:from>
    <xdr:to>
      <xdr:col>9</xdr:col>
      <xdr:colOff>975360</xdr:colOff>
      <xdr:row>42</xdr:row>
      <xdr:rowOff>99060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471A4A-617D-430C-B46F-8150501F13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30479</xdr:colOff>
      <xdr:row>5</xdr:row>
      <xdr:rowOff>104775</xdr:rowOff>
    </xdr:from>
    <xdr:to>
      <xdr:col>18</xdr:col>
      <xdr:colOff>485775</xdr:colOff>
      <xdr:row>38</xdr:row>
      <xdr:rowOff>180973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9170F8-54BD-4B2E-8ED7-63550BA713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244475</xdr:colOff>
      <xdr:row>11</xdr:row>
      <xdr:rowOff>50800</xdr:rowOff>
    </xdr:from>
    <xdr:to>
      <xdr:col>11</xdr:col>
      <xdr:colOff>406400</xdr:colOff>
      <xdr:row>12</xdr:row>
      <xdr:rowOff>98425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78B8F535-BD3B-471B-940A-B029C0DB92B2}"/>
            </a:ext>
          </a:extLst>
        </xdr:cNvPr>
        <xdr:cNvSpPr txBox="1"/>
      </xdr:nvSpPr>
      <xdr:spPr>
        <a:xfrm>
          <a:off x="6340475" y="2146300"/>
          <a:ext cx="771525" cy="23812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HCP MCM</a:t>
          </a:r>
        </a:p>
      </xdr:txBody>
    </xdr:sp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0.18411</cdr:x>
      <cdr:y>0.16168</cdr:y>
    </cdr:from>
    <cdr:to>
      <cdr:x>0.30055</cdr:x>
      <cdr:y>0.2011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78B8F535-BD3B-471B-940A-B029C0DB92B2}"/>
            </a:ext>
          </a:extLst>
        </cdr:cNvPr>
        <cdr:cNvSpPr txBox="1"/>
      </cdr:nvSpPr>
      <cdr:spPr>
        <a:xfrm xmlns:a="http://schemas.openxmlformats.org/drawingml/2006/main">
          <a:off x="1879600" y="1028700"/>
          <a:ext cx="1188721" cy="25082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bg1"/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HCC paid Search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406162</xdr:colOff>
      <xdr:row>42</xdr:row>
      <xdr:rowOff>100887</xdr:rowOff>
    </xdr:from>
    <xdr:to>
      <xdr:col>12</xdr:col>
      <xdr:colOff>571500</xdr:colOff>
      <xdr:row>76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13A241D-336E-4436-AD85-3B8D376CDB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9</xdr:col>
      <xdr:colOff>598985</xdr:colOff>
      <xdr:row>70</xdr:row>
      <xdr:rowOff>83402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2DF50A-B5AB-43ED-81F3-18C1FBDE6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856776</xdr:colOff>
      <xdr:row>47</xdr:row>
      <xdr:rowOff>128896</xdr:rowOff>
    </xdr:from>
    <xdr:to>
      <xdr:col>5</xdr:col>
      <xdr:colOff>864358</xdr:colOff>
      <xdr:row>66</xdr:row>
      <xdr:rowOff>90985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15BBE189-7237-4C23-89B7-2896C2FACF97}"/>
            </a:ext>
          </a:extLst>
        </xdr:cNvPr>
        <xdr:cNvCxnSpPr/>
      </xdr:nvCxnSpPr>
      <xdr:spPr>
        <a:xfrm flipH="1" flipV="1">
          <a:off x="5512596" y="9813916"/>
          <a:ext cx="7582" cy="3436809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406400</xdr:colOff>
      <xdr:row>12</xdr:row>
      <xdr:rowOff>33866</xdr:rowOff>
    </xdr:from>
    <xdr:to>
      <xdr:col>18</xdr:col>
      <xdr:colOff>208633</xdr:colOff>
      <xdr:row>29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76622D-3D7A-4CDC-ABE1-936A5D0DDE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In%20Offic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MCM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Social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Online%20Video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Streaming%20Video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Display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Paid%20Search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Radio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TV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Inoffice"/>
      <sheetName val="Data"/>
      <sheetName val="HCC Inoffice Curve"/>
      <sheetName val="2019"/>
      <sheetName val="2018"/>
      <sheetName val="2017"/>
    </sheetNames>
    <sheetDataSet>
      <sheetData sheetId="0"/>
      <sheetData sheetId="1"/>
      <sheetData sheetId="2">
        <row r="12">
          <cell r="B12">
            <v>1700000</v>
          </cell>
          <cell r="C12">
            <v>33335.304822477454</v>
          </cell>
          <cell r="D12">
            <v>0</v>
          </cell>
          <cell r="E12">
            <v>66670.609644954908</v>
          </cell>
          <cell r="F12">
            <v>8649234</v>
          </cell>
        </row>
      </sheetData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P MCM"/>
      <sheetName val="Data"/>
      <sheetName val="HCP MCM SCurve"/>
    </sheetNames>
    <sheetDataSet>
      <sheetData sheetId="0"/>
      <sheetData sheetId="1"/>
      <sheetData sheetId="2">
        <row r="12">
          <cell r="B12">
            <v>5365372.8900000006</v>
          </cell>
          <cell r="C12">
            <v>282596.87941192201</v>
          </cell>
          <cell r="D12">
            <v>0</v>
          </cell>
          <cell r="E12">
            <v>536934.07088265184</v>
          </cell>
          <cell r="F12">
            <v>8649234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Social"/>
      <sheetName val="Data"/>
      <sheetName val="HCC Social - Power"/>
      <sheetName val="TV - Scurve"/>
    </sheetNames>
    <sheetDataSet>
      <sheetData sheetId="0"/>
      <sheetData sheetId="1"/>
      <sheetData sheetId="2">
        <row r="12">
          <cell r="B12">
            <v>1873000</v>
          </cell>
          <cell r="C12">
            <v>71243.17418511775</v>
          </cell>
          <cell r="D12">
            <v>0.6</v>
          </cell>
        </row>
      </sheetData>
      <sheetData sheetId="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line Video"/>
      <sheetName val="Data"/>
      <sheetName val="HCC Online Video Curve"/>
    </sheetNames>
    <sheetDataSet>
      <sheetData sheetId="0"/>
      <sheetData sheetId="1"/>
      <sheetData sheetId="2">
        <row r="12">
          <cell r="B12">
            <v>173076.94</v>
          </cell>
          <cell r="C12">
            <v>7568.2941111774026</v>
          </cell>
          <cell r="D12">
            <v>0</v>
          </cell>
          <cell r="E12">
            <v>15136.588222354803</v>
          </cell>
          <cell r="F12">
            <v>8649234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eaming Video"/>
      <sheetName val="Data"/>
      <sheetName val="Streaming Video - Power"/>
      <sheetName val="TV - Scurve"/>
      <sheetName val="2018"/>
      <sheetName val="2017"/>
    </sheetNames>
    <sheetDataSet>
      <sheetData sheetId="0"/>
      <sheetData sheetId="1"/>
      <sheetData sheetId="2">
        <row r="12">
          <cell r="B12">
            <v>5935125</v>
          </cell>
          <cell r="C12">
            <v>140618.64530883348</v>
          </cell>
          <cell r="D12">
            <v>0.7</v>
          </cell>
        </row>
      </sheetData>
      <sheetData sheetId="3"/>
      <sheetData sheetId="4"/>
      <sheetData sheetId="5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play"/>
      <sheetName val="Data"/>
      <sheetName val="HCC Display"/>
    </sheetNames>
    <sheetDataSet>
      <sheetData sheetId="0"/>
      <sheetData sheetId="1"/>
      <sheetData sheetId="2">
        <row r="12">
          <cell r="B12">
            <v>1648357.37</v>
          </cell>
          <cell r="C12">
            <v>104116.3698638577</v>
          </cell>
          <cell r="D12">
            <v>0</v>
          </cell>
          <cell r="E12">
            <v>260290.92465964428</v>
          </cell>
          <cell r="F12">
            <v>8649234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aid Search"/>
      <sheetName val="Data"/>
      <sheetName val="HCC Paid Search - Power"/>
      <sheetName val="TV - Scurve"/>
    </sheetNames>
    <sheetDataSet>
      <sheetData sheetId="0"/>
      <sheetData sheetId="1"/>
      <sheetData sheetId="2">
        <row r="12">
          <cell r="B12">
            <v>344707</v>
          </cell>
          <cell r="C12">
            <v>130694.08808973072</v>
          </cell>
          <cell r="D12">
            <v>0.7</v>
          </cell>
        </row>
      </sheetData>
      <sheetData sheetId="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dio"/>
      <sheetName val="Data"/>
      <sheetName val="Radio - Power"/>
      <sheetName val="Radio - Scurve"/>
    </sheetNames>
    <sheetDataSet>
      <sheetData sheetId="0"/>
      <sheetData sheetId="1"/>
      <sheetData sheetId="2">
        <row r="12">
          <cell r="B12">
            <v>1437048.41</v>
          </cell>
          <cell r="C12">
            <v>70569.092436493243</v>
          </cell>
          <cell r="D12">
            <v>0.6</v>
          </cell>
        </row>
      </sheetData>
      <sheetData sheetId="3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V"/>
      <sheetName val="Data"/>
      <sheetName val="TV - Power"/>
      <sheetName val="TV - Scurve"/>
      <sheetName val="2018"/>
      <sheetName val="2017"/>
    </sheetNames>
    <sheetDataSet>
      <sheetData sheetId="0"/>
      <sheetData sheetId="1"/>
      <sheetData sheetId="2">
        <row r="12">
          <cell r="B12">
            <v>13503524.99</v>
          </cell>
          <cell r="C12">
            <v>253686.28893952153</v>
          </cell>
          <cell r="D12">
            <v>0.7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02DF8-2CEF-4396-A9A3-C98AADF54D64}">
  <sheetPr>
    <pageSetUpPr autoPageBreaks="0"/>
  </sheetPr>
  <dimension ref="A1"/>
  <sheetViews>
    <sheetView workbookViewId="0"/>
  </sheetViews>
  <sheetFormatPr defaultRowHeight="14.5" x14ac:dyDescent="0.3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A5A39-FE5A-49A6-A36B-97C5AF470238}">
  <sheetPr>
    <tabColor theme="3" tint="0.79998168889431442"/>
    <pageSetUpPr autoPageBreaks="0"/>
  </sheetPr>
  <dimension ref="B3:V62"/>
  <sheetViews>
    <sheetView zoomScale="75" zoomScaleNormal="75" workbookViewId="0">
      <selection activeCell="J10" sqref="J6:J10"/>
    </sheetView>
  </sheetViews>
  <sheetFormatPr defaultColWidth="8.7265625" defaultRowHeight="14.5" x14ac:dyDescent="0.35"/>
  <cols>
    <col min="1" max="1" width="4.7265625" style="97" customWidth="1"/>
    <col min="2" max="2" width="12.1796875" style="97" customWidth="1"/>
    <col min="3" max="3" width="13.81640625" style="97" bestFit="1" customWidth="1"/>
    <col min="4" max="4" width="9.54296875" style="97" bestFit="1" customWidth="1"/>
    <col min="5" max="5" width="16.54296875" style="97" bestFit="1" customWidth="1"/>
    <col min="6" max="6" width="15.1796875" style="97" bestFit="1" customWidth="1"/>
    <col min="7" max="7" width="17" style="97" customWidth="1"/>
    <col min="8" max="8" width="17.81640625" style="97" customWidth="1"/>
    <col min="9" max="9" width="14.453125" style="97" bestFit="1" customWidth="1"/>
    <col min="10" max="10" width="15.7265625" style="97" bestFit="1" customWidth="1"/>
    <col min="11" max="11" width="17.26953125" style="97" customWidth="1"/>
    <col min="12" max="15" width="12.1796875" style="97" customWidth="1"/>
    <col min="16" max="16" width="11.81640625" style="97" bestFit="1" customWidth="1"/>
    <col min="17" max="17" width="0.7265625" style="97" customWidth="1"/>
    <col min="18" max="18" width="11.26953125" style="97" bestFit="1" customWidth="1"/>
    <col min="19" max="19" width="8.7265625" style="97"/>
    <col min="20" max="20" width="11.81640625" style="97" bestFit="1" customWidth="1"/>
    <col min="21" max="16384" width="8.7265625" style="97"/>
  </cols>
  <sheetData>
    <row r="3" spans="2:13" x14ac:dyDescent="0.35">
      <c r="G3" s="183"/>
    </row>
    <row r="4" spans="2:13" ht="34.4" customHeight="1" x14ac:dyDescent="0.35">
      <c r="G4" s="450" t="s">
        <v>200</v>
      </c>
      <c r="H4" s="450"/>
      <c r="I4" s="451" t="s">
        <v>201</v>
      </c>
      <c r="J4" s="451"/>
      <c r="K4" s="452" t="s">
        <v>202</v>
      </c>
      <c r="L4" s="452"/>
    </row>
    <row r="5" spans="2:13" ht="38.65" customHeight="1" x14ac:dyDescent="0.35">
      <c r="B5" s="197"/>
      <c r="C5" s="275" t="s">
        <v>203</v>
      </c>
      <c r="D5" s="275" t="s">
        <v>204</v>
      </c>
      <c r="E5" s="181" t="s">
        <v>205</v>
      </c>
      <c r="F5" s="275" t="s">
        <v>275</v>
      </c>
      <c r="G5" s="296" t="s">
        <v>286</v>
      </c>
      <c r="H5" s="296"/>
      <c r="I5" s="296" t="s">
        <v>286</v>
      </c>
      <c r="J5" s="296"/>
      <c r="K5" s="296" t="s">
        <v>286</v>
      </c>
      <c r="L5" s="296"/>
      <c r="M5" s="297"/>
    </row>
    <row r="6" spans="2:13" ht="15" customHeight="1" x14ac:dyDescent="0.35">
      <c r="B6" s="197"/>
      <c r="C6" s="183">
        <f>$C$11+E6</f>
        <v>49196722.601944216</v>
      </c>
      <c r="D6" s="184">
        <v>0.23913796400513282</v>
      </c>
      <c r="E6" s="185">
        <f t="shared" ref="E6:E11" si="0">D6*$C$11</f>
        <v>9494345.6019442137</v>
      </c>
      <c r="F6" s="183"/>
      <c r="G6" s="183" t="e">
        <f>'Scenario deep dive'!#REF!</f>
        <v>#REF!</v>
      </c>
      <c r="H6" s="183"/>
      <c r="I6" s="183" t="e">
        <f t="shared" ref="I6:J10" si="1">G6-$F$11</f>
        <v>#REF!</v>
      </c>
      <c r="J6" s="183">
        <f t="shared" si="1"/>
        <v>-292109708.48154938</v>
      </c>
      <c r="K6" s="186" t="e">
        <f t="shared" ref="K6:L10" si="2">G6/$C6</f>
        <v>#REF!</v>
      </c>
      <c r="L6" s="186"/>
      <c r="M6" s="297"/>
    </row>
    <row r="7" spans="2:13" ht="15" customHeight="1" x14ac:dyDescent="0.35">
      <c r="B7" s="197"/>
      <c r="C7" s="183">
        <f>$C$11+E7</f>
        <v>46736886.504163541</v>
      </c>
      <c r="D7" s="184">
        <v>0.17718106661884608</v>
      </c>
      <c r="E7" s="185">
        <f t="shared" si="0"/>
        <v>7034509.5041635428</v>
      </c>
      <c r="F7" s="183"/>
      <c r="G7" s="183" t="e">
        <f>'Scenario deep dive'!#REF!</f>
        <v>#REF!</v>
      </c>
      <c r="H7" s="183"/>
      <c r="I7" s="183" t="e">
        <f t="shared" si="1"/>
        <v>#REF!</v>
      </c>
      <c r="J7" s="183">
        <f t="shared" si="1"/>
        <v>-292109708.48154938</v>
      </c>
      <c r="K7" s="186" t="e">
        <f t="shared" si="2"/>
        <v>#REF!</v>
      </c>
      <c r="L7" s="186"/>
      <c r="M7" s="297"/>
    </row>
    <row r="8" spans="2:13" x14ac:dyDescent="0.35">
      <c r="C8" s="183">
        <f>$C$11+E8</f>
        <v>44277050.372284785</v>
      </c>
      <c r="D8" s="184">
        <v>0.11522416837371682</v>
      </c>
      <c r="E8" s="185">
        <f t="shared" si="0"/>
        <v>4574673.3722847821</v>
      </c>
      <c r="F8" s="183"/>
      <c r="G8" s="183">
        <f>'Scenario deep dive'!P16</f>
        <v>373522432.86837852</v>
      </c>
      <c r="H8" s="183"/>
      <c r="I8" s="183">
        <f t="shared" si="1"/>
        <v>81412724.386829138</v>
      </c>
      <c r="J8" s="183">
        <f t="shared" si="1"/>
        <v>-292109708.48154938</v>
      </c>
      <c r="K8" s="186">
        <f t="shared" si="2"/>
        <v>8.4360279135076457</v>
      </c>
      <c r="L8" s="186">
        <f t="shared" si="2"/>
        <v>0</v>
      </c>
    </row>
    <row r="9" spans="2:13" x14ac:dyDescent="0.35">
      <c r="C9" s="183">
        <f>$C$11+E9</f>
        <v>41817214.255875781</v>
      </c>
      <c r="D9" s="184">
        <v>5.3267270518230658E-2</v>
      </c>
      <c r="E9" s="185">
        <f t="shared" si="0"/>
        <v>2114837.2558757789</v>
      </c>
      <c r="F9" s="183"/>
      <c r="G9" s="183">
        <f>'Scenario deep dive'!L16</f>
        <v>339117267.23121536</v>
      </c>
      <c r="H9" s="183"/>
      <c r="I9" s="183">
        <f t="shared" si="1"/>
        <v>47007558.749665976</v>
      </c>
      <c r="J9" s="183">
        <f t="shared" si="1"/>
        <v>-292109708.48154938</v>
      </c>
      <c r="K9" s="186">
        <f t="shared" si="2"/>
        <v>8.1095135882602616</v>
      </c>
      <c r="L9" s="186"/>
    </row>
    <row r="10" spans="2:13" x14ac:dyDescent="0.35">
      <c r="C10" s="183">
        <f>$C$11+E10</f>
        <v>40618049.031874768</v>
      </c>
      <c r="D10" s="184">
        <v>2.3063405797460572E-2</v>
      </c>
      <c r="E10" s="185">
        <f t="shared" si="0"/>
        <v>915672.03187476529</v>
      </c>
      <c r="F10" s="183"/>
      <c r="G10" s="183">
        <f>'Scenario deep dive'!H16</f>
        <v>293472182.43309319</v>
      </c>
      <c r="H10" s="187"/>
      <c r="I10" s="183">
        <f t="shared" si="1"/>
        <v>1362473.951543808</v>
      </c>
      <c r="J10" s="183">
        <f t="shared" si="1"/>
        <v>-292109708.48154938</v>
      </c>
      <c r="K10" s="186">
        <f t="shared" si="2"/>
        <v>7.2251668760060994</v>
      </c>
      <c r="L10" s="186">
        <f t="shared" si="2"/>
        <v>0</v>
      </c>
    </row>
    <row r="11" spans="2:13" x14ac:dyDescent="0.35">
      <c r="B11" s="188">
        <f>F11/C11</f>
        <v>7.3574866432191044</v>
      </c>
      <c r="C11" s="183">
        <f>'Scenario deep dive'!C16</f>
        <v>39702377</v>
      </c>
      <c r="D11" s="184">
        <v>0</v>
      </c>
      <c r="E11" s="185">
        <f t="shared" si="0"/>
        <v>0</v>
      </c>
      <c r="F11" s="183">
        <f>'Scenario deep dive'!D16</f>
        <v>292109708.48154938</v>
      </c>
      <c r="G11" s="183"/>
      <c r="H11" s="183"/>
      <c r="I11" s="183"/>
      <c r="J11" s="183"/>
      <c r="K11" s="186"/>
      <c r="L11" s="186"/>
    </row>
    <row r="12" spans="2:13" x14ac:dyDescent="0.35">
      <c r="D12" s="189"/>
      <c r="E12" s="189"/>
      <c r="F12" s="183"/>
    </row>
    <row r="13" spans="2:13" x14ac:dyDescent="0.35">
      <c r="D13" s="189"/>
      <c r="E13" s="189"/>
    </row>
    <row r="14" spans="2:13" x14ac:dyDescent="0.35">
      <c r="F14" s="453" t="s">
        <v>206</v>
      </c>
      <c r="G14" s="453"/>
      <c r="H14" s="453" t="s">
        <v>207</v>
      </c>
      <c r="I14" s="453"/>
    </row>
    <row r="15" spans="2:13" ht="29" x14ac:dyDescent="0.35">
      <c r="C15" s="180" t="s">
        <v>203</v>
      </c>
      <c r="D15" s="180" t="s">
        <v>204</v>
      </c>
      <c r="E15" s="97" t="s">
        <v>208</v>
      </c>
      <c r="F15" s="296" t="s">
        <v>286</v>
      </c>
      <c r="G15" s="182"/>
      <c r="H15" s="296" t="s">
        <v>286</v>
      </c>
      <c r="I15" s="182"/>
    </row>
    <row r="16" spans="2:13" x14ac:dyDescent="0.35">
      <c r="C16" s="190">
        <f>C8</f>
        <v>44277050.372284785</v>
      </c>
      <c r="D16" s="191">
        <f>D8</f>
        <v>0.11522416837371682</v>
      </c>
      <c r="E16" s="190">
        <f>C16-C17</f>
        <v>3659001.3404100165</v>
      </c>
      <c r="F16" s="192">
        <f>G8-G10</f>
        <v>80050250.43528533</v>
      </c>
      <c r="G16" s="192">
        <f>H8-H10</f>
        <v>0</v>
      </c>
      <c r="H16" s="186">
        <f t="shared" ref="H16:I17" si="3">F16/$E16</f>
        <v>21.877622604618981</v>
      </c>
      <c r="I16" s="186">
        <f t="shared" si="3"/>
        <v>0</v>
      </c>
    </row>
    <row r="17" spans="3:9" x14ac:dyDescent="0.35">
      <c r="C17" s="190">
        <f t="shared" ref="C17:D18" si="4">C10</f>
        <v>40618049.031874768</v>
      </c>
      <c r="D17" s="191">
        <f t="shared" si="4"/>
        <v>2.3063405797460572E-2</v>
      </c>
      <c r="E17" s="190">
        <f>C17-C18</f>
        <v>915672.03187476844</v>
      </c>
      <c r="F17" s="192">
        <f>G10-G11</f>
        <v>293472182.43309319</v>
      </c>
      <c r="G17" s="192">
        <f>H10-H11</f>
        <v>0</v>
      </c>
      <c r="H17" s="186">
        <f>F17/$E17</f>
        <v>320.49923140300717</v>
      </c>
      <c r="I17" s="186">
        <f t="shared" si="3"/>
        <v>0</v>
      </c>
    </row>
    <row r="18" spans="3:9" x14ac:dyDescent="0.35">
      <c r="C18" s="190">
        <f t="shared" si="4"/>
        <v>39702377</v>
      </c>
      <c r="D18" s="191">
        <f t="shared" si="4"/>
        <v>0</v>
      </c>
      <c r="E18" s="190"/>
      <c r="F18" s="192"/>
      <c r="G18" s="192"/>
      <c r="H18" s="186"/>
      <c r="I18" s="186"/>
    </row>
    <row r="19" spans="3:9" x14ac:dyDescent="0.35">
      <c r="H19" s="186"/>
    </row>
    <row r="55" spans="21:22" x14ac:dyDescent="0.35">
      <c r="U55" s="193"/>
      <c r="V55" s="193"/>
    </row>
    <row r="56" spans="21:22" x14ac:dyDescent="0.35">
      <c r="U56" s="193"/>
      <c r="V56" s="193"/>
    </row>
    <row r="57" spans="21:22" x14ac:dyDescent="0.35">
      <c r="U57" s="193"/>
      <c r="V57" s="193"/>
    </row>
    <row r="58" spans="21:22" x14ac:dyDescent="0.35">
      <c r="U58" s="193"/>
      <c r="V58" s="193"/>
    </row>
    <row r="59" spans="21:22" x14ac:dyDescent="0.35">
      <c r="U59" s="193"/>
      <c r="V59" s="193"/>
    </row>
    <row r="60" spans="21:22" x14ac:dyDescent="0.35">
      <c r="U60" s="193"/>
      <c r="V60" s="193"/>
    </row>
    <row r="61" spans="21:22" x14ac:dyDescent="0.35">
      <c r="U61" s="193"/>
      <c r="V61" s="193"/>
    </row>
    <row r="62" spans="21:22" x14ac:dyDescent="0.35">
      <c r="U62" s="193"/>
      <c r="V62" s="193"/>
    </row>
  </sheetData>
  <mergeCells count="5">
    <mergeCell ref="G4:H4"/>
    <mergeCell ref="I4:J4"/>
    <mergeCell ref="K4:L4"/>
    <mergeCell ref="F14:G14"/>
    <mergeCell ref="H14:I14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C11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theme="3" tint="0.79998168889431442"/>
  </sheetPr>
  <dimension ref="A1"/>
  <sheetViews>
    <sheetView showGridLines="0" showRowColHeaders="0" topLeftCell="A7" zoomScale="75" zoomScaleNormal="75" workbookViewId="0">
      <selection activeCell="V26" sqref="V26"/>
    </sheetView>
  </sheetViews>
  <sheetFormatPr defaultColWidth="9.1796875" defaultRowHeight="14.5" x14ac:dyDescent="0.35"/>
  <cols>
    <col min="1" max="16384" width="9.1796875" style="97"/>
  </cols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ABCFF-8637-44DB-A33F-45299004C550}">
  <sheetPr>
    <pageSetUpPr autoPageBreaks="0"/>
  </sheetPr>
  <dimension ref="A3:AB67"/>
  <sheetViews>
    <sheetView showGridLines="0" zoomScale="80" zoomScaleNormal="80" workbookViewId="0">
      <selection activeCell="F4" sqref="F4:P4"/>
    </sheetView>
  </sheetViews>
  <sheetFormatPr defaultColWidth="8.7265625" defaultRowHeight="14.5" x14ac:dyDescent="0.35"/>
  <cols>
    <col min="1" max="1" width="10.54296875" style="97" customWidth="1"/>
    <col min="2" max="2" width="21.26953125" style="97" bestFit="1" customWidth="1"/>
    <col min="3" max="3" width="12.1796875" style="97" bestFit="1" customWidth="1"/>
    <col min="4" max="4" width="13.81640625" style="97" bestFit="1" customWidth="1"/>
    <col min="5" max="5" width="0.81640625" style="97" customWidth="1"/>
    <col min="6" max="6" width="12.1796875" style="97" bestFit="1" customWidth="1"/>
    <col min="7" max="7" width="13.26953125" style="97" customWidth="1"/>
    <col min="8" max="8" width="13.7265625" style="97" customWidth="1"/>
    <col min="9" max="9" width="0.81640625" style="97" customWidth="1"/>
    <col min="10" max="10" width="12.1796875" style="97" bestFit="1" customWidth="1"/>
    <col min="11" max="12" width="13.26953125" style="97" customWidth="1"/>
    <col min="13" max="13" width="0.81640625" style="97" customWidth="1"/>
    <col min="14" max="14" width="12.1796875" style="97" customWidth="1"/>
    <col min="15" max="15" width="14.26953125" style="97" customWidth="1"/>
    <col min="16" max="16" width="13.453125" style="97" customWidth="1"/>
    <col min="17" max="17" width="0.81640625" style="97" customWidth="1"/>
    <col min="18" max="18" width="12.1796875" style="97" bestFit="1" customWidth="1"/>
    <col min="19" max="19" width="11.1796875" style="97" customWidth="1"/>
    <col min="20" max="20" width="14.1796875" style="97" customWidth="1"/>
    <col min="21" max="21" width="0.81640625" style="97" customWidth="1"/>
    <col min="22" max="23" width="12.1796875" style="97" bestFit="1" customWidth="1"/>
    <col min="24" max="24" width="13.26953125" style="97" bestFit="1" customWidth="1"/>
    <col min="25" max="25" width="8.7265625" style="97"/>
    <col min="26" max="27" width="12.1796875" style="97" bestFit="1" customWidth="1"/>
    <col min="28" max="28" width="13.26953125" style="97" bestFit="1" customWidth="1"/>
    <col min="29" max="16384" width="8.7265625" style="97"/>
  </cols>
  <sheetData>
    <row r="3" spans="1:28" x14ac:dyDescent="0.35">
      <c r="B3" s="194">
        <f>SUM(C9:C13)</f>
        <v>9501350.1099999994</v>
      </c>
      <c r="C3" s="194">
        <f>SUM(D9:D13)</f>
        <v>46835192.019607514</v>
      </c>
    </row>
    <row r="4" spans="1:28" x14ac:dyDescent="0.35">
      <c r="F4" s="457" t="s">
        <v>248</v>
      </c>
      <c r="G4" s="457"/>
      <c r="H4" s="457"/>
      <c r="I4" s="457"/>
      <c r="J4" s="457"/>
      <c r="K4" s="457"/>
      <c r="L4" s="457"/>
      <c r="M4" s="457"/>
      <c r="N4" s="457"/>
      <c r="O4" s="457"/>
      <c r="P4" s="457"/>
    </row>
    <row r="5" spans="1:28" x14ac:dyDescent="0.35">
      <c r="F5" s="454" t="s">
        <v>254</v>
      </c>
      <c r="G5" s="455"/>
      <c r="H5" s="456"/>
      <c r="I5" s="195"/>
      <c r="J5" s="454" t="s">
        <v>260</v>
      </c>
      <c r="K5" s="455"/>
      <c r="L5" s="456"/>
      <c r="M5" s="195"/>
      <c r="N5" s="454" t="s">
        <v>261</v>
      </c>
      <c r="O5" s="455"/>
      <c r="P5" s="456"/>
      <c r="R5" s="454" t="s">
        <v>262</v>
      </c>
      <c r="S5" s="455"/>
      <c r="T5" s="456"/>
      <c r="V5" s="454" t="s">
        <v>263</v>
      </c>
      <c r="W5" s="455"/>
      <c r="X5" s="456"/>
      <c r="Z5" s="97" t="s">
        <v>247</v>
      </c>
    </row>
    <row r="6" spans="1:28" ht="38.15" customHeight="1" x14ac:dyDescent="0.35">
      <c r="B6" s="196" t="s">
        <v>211</v>
      </c>
      <c r="C6" s="97" t="s">
        <v>212</v>
      </c>
      <c r="D6" s="197" t="s">
        <v>213</v>
      </c>
      <c r="E6" s="197"/>
      <c r="F6" s="197" t="s">
        <v>221</v>
      </c>
      <c r="G6" s="197" t="s">
        <v>214</v>
      </c>
      <c r="H6" s="197" t="s">
        <v>215</v>
      </c>
      <c r="I6" s="197"/>
      <c r="J6" s="197" t="s">
        <v>221</v>
      </c>
      <c r="K6" s="197" t="s">
        <v>214</v>
      </c>
      <c r="L6" s="197" t="s">
        <v>215</v>
      </c>
      <c r="N6" s="197" t="s">
        <v>221</v>
      </c>
      <c r="O6" s="197" t="s">
        <v>214</v>
      </c>
      <c r="P6" s="197" t="s">
        <v>215</v>
      </c>
      <c r="R6" s="197" t="s">
        <v>221</v>
      </c>
      <c r="S6" s="197" t="s">
        <v>214</v>
      </c>
      <c r="T6" s="197" t="s">
        <v>215</v>
      </c>
      <c r="V6" s="197" t="s">
        <v>221</v>
      </c>
      <c r="W6" s="197" t="s">
        <v>214</v>
      </c>
      <c r="X6" s="197" t="s">
        <v>215</v>
      </c>
      <c r="Z6" s="197" t="s">
        <v>221</v>
      </c>
      <c r="AA6" s="197" t="s">
        <v>214</v>
      </c>
      <c r="AB6" s="197" t="s">
        <v>215</v>
      </c>
    </row>
    <row r="7" spans="1:28" x14ac:dyDescent="0.35">
      <c r="A7" s="194"/>
      <c r="B7" s="198" t="str">
        <f>VAC_Optim_Scenario!B17</f>
        <v>HCC In Office</v>
      </c>
      <c r="C7" s="199">
        <v>1700000</v>
      </c>
      <c r="D7" s="199">
        <v>11948893.6893612</v>
      </c>
      <c r="E7" s="199"/>
      <c r="F7" s="199">
        <v>2039999.99999996</v>
      </c>
      <c r="G7" s="191">
        <v>0.199999999999979</v>
      </c>
      <c r="H7" s="199">
        <v>13610005.5720021</v>
      </c>
      <c r="I7" s="199"/>
      <c r="J7" s="199">
        <v>2040000</v>
      </c>
      <c r="K7" s="191">
        <v>0.2</v>
      </c>
      <c r="L7" s="199">
        <v>13610005.5720021</v>
      </c>
      <c r="N7" s="199">
        <v>1428116.0275939901</v>
      </c>
      <c r="O7" s="191">
        <v>-0.159931748474121</v>
      </c>
      <c r="P7" s="199">
        <v>10473229.381448099</v>
      </c>
      <c r="R7" s="199">
        <v>2040000</v>
      </c>
      <c r="S7" s="191">
        <v>0.2</v>
      </c>
      <c r="T7" s="199">
        <v>13610005.5720021</v>
      </c>
      <c r="V7" s="199">
        <v>2040000</v>
      </c>
      <c r="W7" s="191">
        <v>0.2</v>
      </c>
      <c r="X7" s="199">
        <v>13610005.5720021</v>
      </c>
      <c r="Z7" s="199">
        <f>VAC_Optim_Scenario!$H35</f>
        <v>1394329.1308148694</v>
      </c>
      <c r="AA7" s="191">
        <f>(Z7-$C7)/$C7</f>
        <v>-0.17980639363831211</v>
      </c>
      <c r="AB7" s="199">
        <f>VAC_Optim_Scenario!$J35</f>
        <v>6530520.1774925189</v>
      </c>
    </row>
    <row r="8" spans="1:28" x14ac:dyDescent="0.35">
      <c r="A8" s="194"/>
      <c r="B8" s="198" t="str">
        <f>VAC_Optim_Scenario!B18</f>
        <v>HCP MCM</v>
      </c>
      <c r="C8" s="199">
        <v>5743880</v>
      </c>
      <c r="D8" s="199">
        <v>64646074.664150096</v>
      </c>
      <c r="E8" s="199"/>
      <c r="F8" s="199">
        <v>6892656</v>
      </c>
      <c r="G8" s="191">
        <v>0.19999999999999901</v>
      </c>
      <c r="H8" s="199">
        <v>70796306.9854009</v>
      </c>
      <c r="I8" s="199"/>
      <c r="J8" s="199">
        <v>6892656</v>
      </c>
      <c r="K8" s="191">
        <v>0.2</v>
      </c>
      <c r="L8" s="199">
        <v>70796306.9854009</v>
      </c>
      <c r="N8" s="199">
        <v>6013466.9357618196</v>
      </c>
      <c r="O8" s="191">
        <v>4.6934639261582201E-2</v>
      </c>
      <c r="P8" s="199">
        <v>66221747.108469099</v>
      </c>
      <c r="R8" s="199">
        <v>6892656</v>
      </c>
      <c r="S8" s="191">
        <v>0.2</v>
      </c>
      <c r="T8" s="199">
        <v>70796306.9854009</v>
      </c>
      <c r="V8" s="199">
        <v>6892656</v>
      </c>
      <c r="W8" s="191">
        <v>0.2</v>
      </c>
      <c r="X8" s="199">
        <v>70796306.9854009</v>
      </c>
      <c r="Z8" s="199">
        <f>VAC_Optim_Scenario!$H36</f>
        <v>11415499.642068511</v>
      </c>
      <c r="AA8" s="191">
        <f t="shared" ref="AA8:AA15" si="0">(Z8-$C8)/$C8</f>
        <v>0.98741959129865364</v>
      </c>
      <c r="AB8" s="199">
        <f>VAC_Optim_Scenario!$J36</f>
        <v>97075024.379153192</v>
      </c>
    </row>
    <row r="9" spans="1:28" x14ac:dyDescent="0.35">
      <c r="A9" s="194"/>
      <c r="B9" s="198" t="str">
        <f>VAC_Optim_Scenario!B19</f>
        <v>HCC Social</v>
      </c>
      <c r="C9" s="199">
        <v>1945273.96</v>
      </c>
      <c r="D9" s="199">
        <v>14141969.939380299</v>
      </c>
      <c r="E9" s="199"/>
      <c r="F9" s="199">
        <v>2334328.7519999901</v>
      </c>
      <c r="G9" s="191">
        <v>0.19999999999999599</v>
      </c>
      <c r="H9" s="199">
        <v>15776790.456857201</v>
      </c>
      <c r="I9" s="199"/>
      <c r="J9" s="199">
        <v>2334328.7519999999</v>
      </c>
      <c r="K9" s="191">
        <v>0.2</v>
      </c>
      <c r="L9" s="199">
        <v>15776790.456857201</v>
      </c>
      <c r="N9" s="199">
        <v>1361691.7720000001</v>
      </c>
      <c r="O9" s="191">
        <v>-0.3</v>
      </c>
      <c r="P9" s="199">
        <v>11417439.8883035</v>
      </c>
      <c r="R9" s="199">
        <v>2334328.7519999999</v>
      </c>
      <c r="S9" s="191">
        <v>0.2</v>
      </c>
      <c r="T9" s="199">
        <v>15776790.456857201</v>
      </c>
      <c r="V9" s="199">
        <v>2334328.7519999999</v>
      </c>
      <c r="W9" s="191">
        <v>0.2</v>
      </c>
      <c r="X9" s="199">
        <v>15776790.456857201</v>
      </c>
      <c r="Z9" s="199">
        <f>VAC_Optim_Scenario!$H37</f>
        <v>2576000</v>
      </c>
      <c r="AA9" s="191">
        <f t="shared" si="0"/>
        <v>0.32423507072494817</v>
      </c>
      <c r="AB9" s="199">
        <f>VAC_Optim_Scenario!$J37</f>
        <v>19488626.574727457</v>
      </c>
    </row>
    <row r="10" spans="1:28" x14ac:dyDescent="0.35">
      <c r="A10" s="194"/>
      <c r="B10" s="198" t="str">
        <f>VAC_Optim_Scenario!B20</f>
        <v>HCC Online Video</v>
      </c>
      <c r="C10" s="199">
        <v>515939.92</v>
      </c>
      <c r="D10" s="199">
        <v>4274836.4457163401</v>
      </c>
      <c r="E10" s="199"/>
      <c r="F10" s="199">
        <v>619127.90399998694</v>
      </c>
      <c r="G10" s="191">
        <v>0.199999999999975</v>
      </c>
      <c r="H10" s="199">
        <v>5041782.5524056796</v>
      </c>
      <c r="I10" s="199"/>
      <c r="J10" s="199">
        <v>619127.90399998496</v>
      </c>
      <c r="K10" s="191">
        <v>0.19999999999997201</v>
      </c>
      <c r="L10" s="199">
        <v>5041782.5524056796</v>
      </c>
      <c r="N10" s="199">
        <v>619127.90399999998</v>
      </c>
      <c r="O10" s="191">
        <v>0.2</v>
      </c>
      <c r="P10" s="199">
        <v>5041782.5524056796</v>
      </c>
      <c r="R10" s="199">
        <v>619127.90399999998</v>
      </c>
      <c r="S10" s="191">
        <v>0.2</v>
      </c>
      <c r="T10" s="199">
        <v>5041782.5524056796</v>
      </c>
      <c r="V10" s="199">
        <v>619127.90399999998</v>
      </c>
      <c r="W10" s="191">
        <v>0.2</v>
      </c>
      <c r="X10" s="199">
        <v>5041782.5524056796</v>
      </c>
      <c r="Z10" s="199">
        <f>VAC_Optim_Scenario!$H38</f>
        <v>1000000</v>
      </c>
      <c r="AA10" s="191">
        <f t="shared" si="0"/>
        <v>0.93821016989730133</v>
      </c>
      <c r="AB10" s="199">
        <f>VAC_Optim_Scenario!$J38</f>
        <v>3357832.8692201264</v>
      </c>
    </row>
    <row r="11" spans="1:28" x14ac:dyDescent="0.35">
      <c r="A11" s="194"/>
      <c r="B11" s="198" t="str">
        <f>VAC_Optim_Scenario!B21</f>
        <v>HCC Streaming Video</v>
      </c>
      <c r="C11" s="199">
        <v>5247330.5</v>
      </c>
      <c r="D11" s="199">
        <v>18246592.677460998</v>
      </c>
      <c r="E11" s="199"/>
      <c r="F11" s="199">
        <v>3673131.35</v>
      </c>
      <c r="G11" s="191">
        <v>-0.3</v>
      </c>
      <c r="H11" s="199">
        <v>14215115.9114653</v>
      </c>
      <c r="I11" s="199"/>
      <c r="J11" s="199">
        <v>3673131.35</v>
      </c>
      <c r="K11" s="191">
        <v>-0.3</v>
      </c>
      <c r="L11" s="199">
        <v>14215115.9114653</v>
      </c>
      <c r="N11" s="199">
        <v>3673131.35</v>
      </c>
      <c r="O11" s="191">
        <v>-0.3</v>
      </c>
      <c r="P11" s="199">
        <v>14215115.9114653</v>
      </c>
      <c r="R11" s="199">
        <v>3673131.35</v>
      </c>
      <c r="S11" s="191">
        <v>-0.3</v>
      </c>
      <c r="T11" s="199">
        <v>14215115.9114653</v>
      </c>
      <c r="V11" s="199">
        <v>6296796.5999999996</v>
      </c>
      <c r="W11" s="191">
        <v>0.2</v>
      </c>
      <c r="X11" s="199">
        <v>20730446.182823099</v>
      </c>
      <c r="Z11" s="199">
        <f>VAC_Optim_Scenario!$H39</f>
        <v>7570249.203999565</v>
      </c>
      <c r="AA11" s="191">
        <f t="shared" si="0"/>
        <v>0.44268580071325125</v>
      </c>
      <c r="AB11" s="199">
        <f>VAC_Optim_Scenario!$J39</f>
        <v>37671442.332654163</v>
      </c>
    </row>
    <row r="12" spans="1:28" x14ac:dyDescent="0.35">
      <c r="A12" s="194"/>
      <c r="B12" s="198" t="str">
        <f>VAC_Optim_Scenario!B22</f>
        <v>HCC Display</v>
      </c>
      <c r="C12" s="199">
        <v>992805.72</v>
      </c>
      <c r="D12" s="199">
        <v>9523263.8608965594</v>
      </c>
      <c r="E12" s="199"/>
      <c r="F12" s="199">
        <v>1191366.8640000001</v>
      </c>
      <c r="G12" s="191">
        <v>0.19999999999999901</v>
      </c>
      <c r="H12" s="199">
        <v>11171509.838129999</v>
      </c>
      <c r="I12" s="199"/>
      <c r="J12" s="199">
        <v>1191366.8640000001</v>
      </c>
      <c r="K12" s="191">
        <v>0.2</v>
      </c>
      <c r="L12" s="199">
        <v>11171509.838129999</v>
      </c>
      <c r="N12" s="199">
        <v>1191366.8640000001</v>
      </c>
      <c r="O12" s="191">
        <v>0.2</v>
      </c>
      <c r="P12" s="199">
        <v>11171509.838129999</v>
      </c>
      <c r="R12" s="199">
        <v>1191366.8640000001</v>
      </c>
      <c r="S12" s="191">
        <v>0.2</v>
      </c>
      <c r="T12" s="199">
        <v>11171509.838129999</v>
      </c>
      <c r="V12" s="199">
        <v>1191366.8640000001</v>
      </c>
      <c r="W12" s="191">
        <v>0.2</v>
      </c>
      <c r="X12" s="199">
        <v>11171509.838129999</v>
      </c>
      <c r="Z12" s="199">
        <f>VAC_Optim_Scenario!$H40</f>
        <v>5349497.9439856345</v>
      </c>
      <c r="AA12" s="191">
        <f t="shared" si="0"/>
        <v>4.388262613943879</v>
      </c>
      <c r="AB12" s="199">
        <f>VAC_Optim_Scenario!$J40</f>
        <v>47768827.174016483</v>
      </c>
    </row>
    <row r="13" spans="1:28" x14ac:dyDescent="0.35">
      <c r="A13" s="194"/>
      <c r="B13" s="198" t="str">
        <f>VAC_Optim_Scenario!B23</f>
        <v>HCC Paid Search</v>
      </c>
      <c r="C13" s="199">
        <v>800000.01</v>
      </c>
      <c r="D13" s="199">
        <v>648529.096153319</v>
      </c>
      <c r="E13" s="199"/>
      <c r="F13" s="199">
        <v>560000.00699999998</v>
      </c>
      <c r="G13" s="191">
        <v>-0.3</v>
      </c>
      <c r="H13" s="199">
        <v>505240.42689706601</v>
      </c>
      <c r="I13" s="199"/>
      <c r="J13" s="199">
        <v>560000.00699999998</v>
      </c>
      <c r="K13" s="191">
        <v>-0.3</v>
      </c>
      <c r="L13" s="199">
        <v>505240.42689706601</v>
      </c>
      <c r="N13" s="199">
        <v>560000.00699999998</v>
      </c>
      <c r="O13" s="191">
        <v>-0.3</v>
      </c>
      <c r="P13" s="199">
        <v>505240.42689706601</v>
      </c>
      <c r="R13" s="199">
        <v>560000.00700000999</v>
      </c>
      <c r="S13" s="191">
        <v>-0.299999999999988</v>
      </c>
      <c r="T13" s="199">
        <v>505240.426897072</v>
      </c>
      <c r="V13" s="199">
        <v>960000.01199999999</v>
      </c>
      <c r="W13" s="191">
        <v>0.2</v>
      </c>
      <c r="X13" s="199">
        <v>736811.40163819795</v>
      </c>
      <c r="Z13" s="199">
        <f>VAC_Optim_Scenario!$H41</f>
        <v>400000</v>
      </c>
      <c r="AA13" s="191">
        <f t="shared" si="0"/>
        <v>-0.50000000624999996</v>
      </c>
      <c r="AB13" s="199">
        <f>VAC_Optim_Scenario!$J41</f>
        <v>32769965.884320233</v>
      </c>
    </row>
    <row r="14" spans="1:28" x14ac:dyDescent="0.35">
      <c r="A14" s="194"/>
      <c r="B14" s="198" t="str">
        <f>VAC_Optim_Scenario!B24</f>
        <v>HCC Audio</v>
      </c>
      <c r="C14" s="199">
        <v>1304830.43</v>
      </c>
      <c r="D14" s="199">
        <v>16894554.0299467</v>
      </c>
      <c r="E14" s="199"/>
      <c r="F14" s="199">
        <v>1565796.5160000001</v>
      </c>
      <c r="G14" s="191">
        <v>0.2</v>
      </c>
      <c r="H14" s="199">
        <v>18172690.5140124</v>
      </c>
      <c r="I14" s="199"/>
      <c r="J14" s="199">
        <v>1565796.5160000001</v>
      </c>
      <c r="K14" s="191">
        <v>0.2</v>
      </c>
      <c r="L14" s="199">
        <v>18172690.5140124</v>
      </c>
      <c r="N14" s="199">
        <v>1116974.5436441901</v>
      </c>
      <c r="O14" s="191">
        <v>-0.143969577990152</v>
      </c>
      <c r="P14" s="199">
        <v>15876048.3080511</v>
      </c>
      <c r="R14" s="199">
        <v>1565796.5160000001</v>
      </c>
      <c r="S14" s="191">
        <v>0.2</v>
      </c>
      <c r="T14" s="199">
        <v>18172690.5140124</v>
      </c>
      <c r="V14" s="199">
        <v>1565796.5160000001</v>
      </c>
      <c r="W14" s="191">
        <v>0.2</v>
      </c>
      <c r="X14" s="199">
        <v>18172690.5140124</v>
      </c>
      <c r="Z14" s="199">
        <f>VAC_Optim_Scenario!$H42</f>
        <v>3108000</v>
      </c>
      <c r="AA14" s="191">
        <f t="shared" si="0"/>
        <v>1.3819186988151404</v>
      </c>
      <c r="AB14" s="199">
        <f>VAC_Optim_Scenario!$J42</f>
        <v>25328730.527752202</v>
      </c>
    </row>
    <row r="15" spans="1:28" x14ac:dyDescent="0.35">
      <c r="A15" s="194"/>
      <c r="B15" s="198" t="str">
        <f>VAC_Optim_Scenario!B25</f>
        <v>HCC Linear TV</v>
      </c>
      <c r="C15" s="199">
        <v>13638268.279999999</v>
      </c>
      <c r="D15" s="199">
        <v>58085866.4188556</v>
      </c>
      <c r="E15" s="199"/>
      <c r="F15" s="199">
        <v>13011921.607000099</v>
      </c>
      <c r="G15" s="191">
        <v>-4.5925674736759202E-2</v>
      </c>
      <c r="H15" s="199">
        <v>56205396.769074596</v>
      </c>
      <c r="I15" s="199"/>
      <c r="J15" s="199">
        <v>9823088.7070000209</v>
      </c>
      <c r="K15" s="191">
        <v>-0.27974076287931698</v>
      </c>
      <c r="L15" s="199">
        <v>46164980.604818799</v>
      </c>
      <c r="N15" s="199">
        <v>9546787.7960000001</v>
      </c>
      <c r="O15" s="191">
        <v>-0.3</v>
      </c>
      <c r="P15" s="199">
        <v>45252137.676195301</v>
      </c>
      <c r="R15" s="199">
        <v>16200754.506999999</v>
      </c>
      <c r="S15" s="191">
        <v>0.18788941340578999</v>
      </c>
      <c r="T15" s="199">
        <v>65526003.406084798</v>
      </c>
      <c r="V15" s="199">
        <v>16365921.939999999</v>
      </c>
      <c r="W15" s="191">
        <v>0.20000000029329201</v>
      </c>
      <c r="X15" s="199">
        <v>65992919.843723401</v>
      </c>
      <c r="Z15" s="199">
        <f>VAC_Optim_Scenario!$H43</f>
        <v>16888801</v>
      </c>
      <c r="AA15" s="191">
        <f t="shared" si="0"/>
        <v>0.23833910972163402</v>
      </c>
      <c r="AB15" s="199">
        <f>VAC_Optim_Scenario!$J43</f>
        <v>67034177.652868718</v>
      </c>
    </row>
    <row r="16" spans="1:28" ht="34.4" customHeight="1" x14ac:dyDescent="0.35">
      <c r="B16" s="201" t="s">
        <v>217</v>
      </c>
      <c r="C16" s="202">
        <f>SUM(C7:C15)</f>
        <v>31888328.82</v>
      </c>
      <c r="D16" s="202">
        <f>SUM(D7:D15)</f>
        <v>198410580.82192111</v>
      </c>
      <c r="E16" s="193"/>
      <c r="F16" s="202">
        <f>SUM(F7:F15)</f>
        <v>31888329.00000003</v>
      </c>
      <c r="G16" s="203">
        <f>(F16-$C$16)/$C$16</f>
        <v>5.6446993669798453E-9</v>
      </c>
      <c r="H16" s="202">
        <f>SUM(H7:H15)</f>
        <v>205494839.02624524</v>
      </c>
      <c r="I16" s="193"/>
      <c r="J16" s="202">
        <f>SUM(J7:J15)</f>
        <v>28699496.100000005</v>
      </c>
      <c r="K16" s="203">
        <f>(J16-$C$16)/$C$16</f>
        <v>-9.9999994919771254E-2</v>
      </c>
      <c r="L16" s="202">
        <f>SUM(L7:L15)</f>
        <v>195454422.86198944</v>
      </c>
      <c r="M16" s="193"/>
      <c r="N16" s="202">
        <f>SUM(N7:N15)</f>
        <v>25510663.199999996</v>
      </c>
      <c r="O16" s="203">
        <f>(N16-$C$16)/$C$16</f>
        <v>-0.19999999548424138</v>
      </c>
      <c r="P16" s="202">
        <f>SUM(P7:P15)</f>
        <v>180174251.09136516</v>
      </c>
      <c r="Q16" s="193"/>
      <c r="R16" s="202">
        <f>SUM(R7:R15)</f>
        <v>35077161.900000006</v>
      </c>
      <c r="S16" s="203">
        <f>(R16-$C$16)/$C$16</f>
        <v>0.10000000620916846</v>
      </c>
      <c r="T16" s="202">
        <f>SUM(T7:T15)</f>
        <v>214815445.66325548</v>
      </c>
      <c r="V16" s="202">
        <f>SUM(V7:V15)</f>
        <v>38265994.587999992</v>
      </c>
      <c r="W16" s="203">
        <f>(V16-$C$16)/$C$16</f>
        <v>0.20000000012543748</v>
      </c>
      <c r="X16" s="202">
        <f>SUM(X7:X15)</f>
        <v>222029263.34699297</v>
      </c>
      <c r="Z16" s="202">
        <f>SUM(Z7:Z15)</f>
        <v>49702376.920868576</v>
      </c>
      <c r="AA16" s="203">
        <f>(Z16-$C$16)/$C$16</f>
        <v>0.55863849753380002</v>
      </c>
      <c r="AB16" s="202">
        <f>SUM(AB7:AB15)</f>
        <v>337025147.57220507</v>
      </c>
    </row>
    <row r="17" spans="1:24" x14ac:dyDescent="0.35">
      <c r="D17" s="97">
        <f>D16/C16</f>
        <v>6.2220438688364323</v>
      </c>
    </row>
    <row r="19" spans="1:24" ht="26.9" customHeight="1" x14ac:dyDescent="0.35">
      <c r="F19" s="457" t="str">
        <f>F4</f>
        <v>Optimal channel spend allowed to vary between +/- 30% of the 2021 channel spend</v>
      </c>
      <c r="G19" s="457"/>
      <c r="H19" s="457"/>
      <c r="I19" s="457"/>
      <c r="J19" s="457"/>
      <c r="K19" s="457"/>
      <c r="L19" s="457"/>
      <c r="M19" s="457"/>
      <c r="N19" s="457"/>
      <c r="O19" s="457"/>
      <c r="P19" s="457"/>
    </row>
    <row r="20" spans="1:24" ht="30.4" customHeight="1" x14ac:dyDescent="0.35">
      <c r="C20" s="458" t="s">
        <v>265</v>
      </c>
      <c r="D20" s="459"/>
      <c r="E20" s="204"/>
      <c r="F20" s="454" t="str">
        <f>F5</f>
        <v>Current Optimal ($32MM)</v>
      </c>
      <c r="G20" s="455"/>
      <c r="H20" s="456"/>
      <c r="I20" s="205"/>
      <c r="J20" s="454" t="str">
        <f>J5</f>
        <v>10% reduction optimal ($29M)</v>
      </c>
      <c r="K20" s="455"/>
      <c r="L20" s="456"/>
      <c r="M20" s="205"/>
      <c r="N20" s="454" t="str">
        <f>N5</f>
        <v>20% reduction optimal ($26M)</v>
      </c>
      <c r="O20" s="455"/>
      <c r="P20" s="456"/>
      <c r="R20" s="454" t="str">
        <f>R5</f>
        <v>10% increase optimal ($35M)</v>
      </c>
      <c r="S20" s="455"/>
      <c r="T20" s="456"/>
      <c r="V20" s="454" t="str">
        <f>V5</f>
        <v>20% increase optimal ($38M)</v>
      </c>
      <c r="W20" s="455"/>
      <c r="X20" s="456"/>
    </row>
    <row r="21" spans="1:24" ht="43.5" x14ac:dyDescent="0.35">
      <c r="B21" s="196" t="s">
        <v>211</v>
      </c>
      <c r="C21" s="206" t="s">
        <v>218</v>
      </c>
      <c r="D21" s="207" t="s">
        <v>219</v>
      </c>
      <c r="E21" s="208"/>
      <c r="F21" s="231" t="s">
        <v>221</v>
      </c>
      <c r="G21" s="207" t="s">
        <v>214</v>
      </c>
      <c r="H21" s="209" t="s">
        <v>215</v>
      </c>
      <c r="I21" s="208"/>
      <c r="J21" s="231" t="s">
        <v>221</v>
      </c>
      <c r="K21" s="207" t="s">
        <v>214</v>
      </c>
      <c r="L21" s="209" t="s">
        <v>215</v>
      </c>
      <c r="M21" s="193"/>
      <c r="N21" s="231" t="s">
        <v>221</v>
      </c>
      <c r="O21" s="207" t="s">
        <v>214</v>
      </c>
      <c r="P21" s="209" t="s">
        <v>215</v>
      </c>
      <c r="R21" s="231" t="s">
        <v>221</v>
      </c>
      <c r="S21" s="207" t="s">
        <v>214</v>
      </c>
      <c r="T21" s="209" t="s">
        <v>215</v>
      </c>
      <c r="V21" s="231" t="s">
        <v>221</v>
      </c>
      <c r="W21" s="207" t="s">
        <v>214</v>
      </c>
      <c r="X21" s="209" t="s">
        <v>215</v>
      </c>
    </row>
    <row r="22" spans="1:24" x14ac:dyDescent="0.35">
      <c r="A22" s="186">
        <f>D22/C22</f>
        <v>7.0287609937418818</v>
      </c>
      <c r="B22" s="198" t="str">
        <f>B7</f>
        <v>HCC In Office</v>
      </c>
      <c r="C22" s="210">
        <f>C7/1000000</f>
        <v>1.7</v>
      </c>
      <c r="D22" s="303">
        <f>D7/1000000</f>
        <v>11.948893689361199</v>
      </c>
      <c r="E22" s="212"/>
      <c r="F22" s="213">
        <f>F7/1000000</f>
        <v>2.0399999999999601</v>
      </c>
      <c r="G22" s="214">
        <f>G7</f>
        <v>0.199999999999979</v>
      </c>
      <c r="H22" s="298">
        <f>H7/1000000</f>
        <v>13.6100055720021</v>
      </c>
      <c r="I22" s="212"/>
      <c r="J22" s="213">
        <f>J7/1000000</f>
        <v>2.04</v>
      </c>
      <c r="K22" s="214">
        <f>K7</f>
        <v>0.2</v>
      </c>
      <c r="L22" s="298">
        <f>L7/1000000</f>
        <v>13.6100055720021</v>
      </c>
      <c r="M22" s="193"/>
      <c r="N22" s="213">
        <f>N7/1000000</f>
        <v>1.4281160275939901</v>
      </c>
      <c r="O22" s="214">
        <f>O7</f>
        <v>-0.159931748474121</v>
      </c>
      <c r="P22" s="298">
        <f>P7/1000000</f>
        <v>10.4732293814481</v>
      </c>
      <c r="Q22" s="193"/>
      <c r="R22" s="213">
        <f>R7/1000000</f>
        <v>2.04</v>
      </c>
      <c r="S22" s="214">
        <f>S7</f>
        <v>0.2</v>
      </c>
      <c r="T22" s="298">
        <f>T7/1000000</f>
        <v>13.6100055720021</v>
      </c>
      <c r="V22" s="213">
        <f>V7/1000000</f>
        <v>2.04</v>
      </c>
      <c r="W22" s="214">
        <f>W7</f>
        <v>0.2</v>
      </c>
      <c r="X22" s="215">
        <f>X7/1000000</f>
        <v>13.6100055720021</v>
      </c>
    </row>
    <row r="23" spans="1:24" x14ac:dyDescent="0.35">
      <c r="A23" s="186">
        <f t="shared" ref="A23:A30" si="1">D23/C23</f>
        <v>11.254774588631742</v>
      </c>
      <c r="B23" s="198" t="str">
        <f t="shared" ref="B23:B30" si="2">B8</f>
        <v>HCP MCM</v>
      </c>
      <c r="C23" s="216">
        <f t="shared" ref="C23:D30" si="3">C8/1000000</f>
        <v>5.7438799999999999</v>
      </c>
      <c r="D23" s="304">
        <f t="shared" si="3"/>
        <v>64.646074664150092</v>
      </c>
      <c r="E23" s="212"/>
      <c r="F23" s="218">
        <f t="shared" ref="F23:F30" si="4">F8/1000000</f>
        <v>6.8926559999999997</v>
      </c>
      <c r="G23" s="219">
        <f t="shared" ref="G23:G30" si="5">G8</f>
        <v>0.19999999999999901</v>
      </c>
      <c r="H23" s="299">
        <f t="shared" ref="H23:H30" si="6">H8/1000000</f>
        <v>70.796306985400903</v>
      </c>
      <c r="I23" s="212"/>
      <c r="J23" s="218">
        <f t="shared" ref="J23:J30" si="7">J8/1000000</f>
        <v>6.8926559999999997</v>
      </c>
      <c r="K23" s="219">
        <f t="shared" ref="K23:K30" si="8">K8</f>
        <v>0.2</v>
      </c>
      <c r="L23" s="299">
        <f t="shared" ref="L23:L30" si="9">L8/1000000</f>
        <v>70.796306985400903</v>
      </c>
      <c r="M23" s="193"/>
      <c r="N23" s="218">
        <f t="shared" ref="N23:N30" si="10">N8/1000000</f>
        <v>6.0134669357618193</v>
      </c>
      <c r="O23" s="219">
        <f t="shared" ref="O23:O30" si="11">O8</f>
        <v>4.6934639261582201E-2</v>
      </c>
      <c r="P23" s="299">
        <f t="shared" ref="P23:P30" si="12">P8/1000000</f>
        <v>66.221747108469103</v>
      </c>
      <c r="Q23" s="193"/>
      <c r="R23" s="218">
        <f t="shared" ref="R23:R30" si="13">R8/1000000</f>
        <v>6.8926559999999997</v>
      </c>
      <c r="S23" s="214">
        <f t="shared" ref="S23:S30" si="14">S8</f>
        <v>0.2</v>
      </c>
      <c r="T23" s="299">
        <f t="shared" ref="T23:T30" si="15">T8/1000000</f>
        <v>70.796306985400903</v>
      </c>
      <c r="V23" s="218">
        <f t="shared" ref="V23:V30" si="16">V8/1000000</f>
        <v>6.8926559999999997</v>
      </c>
      <c r="W23" s="214">
        <f t="shared" ref="W23:W30" si="17">W8</f>
        <v>0.2</v>
      </c>
      <c r="X23" s="220">
        <f t="shared" ref="X23:X30" si="18">X8/1000000</f>
        <v>70.796306985400903</v>
      </c>
    </row>
    <row r="24" spans="1:24" x14ac:dyDescent="0.35">
      <c r="A24" s="186">
        <f t="shared" si="1"/>
        <v>7.2699117091868644</v>
      </c>
      <c r="B24" s="198" t="str">
        <f t="shared" si="2"/>
        <v>HCC Social</v>
      </c>
      <c r="C24" s="216">
        <f t="shared" si="3"/>
        <v>1.94527396</v>
      </c>
      <c r="D24" s="304">
        <f t="shared" si="3"/>
        <v>14.141969939380299</v>
      </c>
      <c r="E24" s="212"/>
      <c r="F24" s="218">
        <f t="shared" si="4"/>
        <v>2.33432875199999</v>
      </c>
      <c r="G24" s="219">
        <f t="shared" si="5"/>
        <v>0.19999999999999599</v>
      </c>
      <c r="H24" s="299">
        <f t="shared" si="6"/>
        <v>15.776790456857201</v>
      </c>
      <c r="I24" s="212"/>
      <c r="J24" s="218">
        <f t="shared" si="7"/>
        <v>2.3343287519999998</v>
      </c>
      <c r="K24" s="219">
        <f t="shared" si="8"/>
        <v>0.2</v>
      </c>
      <c r="L24" s="299">
        <f t="shared" si="9"/>
        <v>15.776790456857201</v>
      </c>
      <c r="M24" s="193"/>
      <c r="N24" s="218">
        <f t="shared" si="10"/>
        <v>1.3616917720000001</v>
      </c>
      <c r="O24" s="219">
        <f t="shared" si="11"/>
        <v>-0.3</v>
      </c>
      <c r="P24" s="299">
        <f t="shared" si="12"/>
        <v>11.4174398883035</v>
      </c>
      <c r="Q24" s="193"/>
      <c r="R24" s="218">
        <f t="shared" si="13"/>
        <v>2.3343287519999998</v>
      </c>
      <c r="S24" s="214">
        <f t="shared" si="14"/>
        <v>0.2</v>
      </c>
      <c r="T24" s="299">
        <f t="shared" si="15"/>
        <v>15.776790456857201</v>
      </c>
      <c r="V24" s="218">
        <f t="shared" si="16"/>
        <v>2.3343287519999998</v>
      </c>
      <c r="W24" s="214">
        <f t="shared" si="17"/>
        <v>0.2</v>
      </c>
      <c r="X24" s="220">
        <f t="shared" si="18"/>
        <v>15.776790456857201</v>
      </c>
    </row>
    <row r="25" spans="1:24" x14ac:dyDescent="0.35">
      <c r="A25" s="186">
        <f t="shared" si="1"/>
        <v>8.285531473735043</v>
      </c>
      <c r="B25" s="198" t="str">
        <f t="shared" si="2"/>
        <v>HCC Online Video</v>
      </c>
      <c r="C25" s="216">
        <f t="shared" si="3"/>
        <v>0.51593992</v>
      </c>
      <c r="D25" s="304">
        <f t="shared" si="3"/>
        <v>4.2748364457163399</v>
      </c>
      <c r="E25" s="212"/>
      <c r="F25" s="218">
        <f t="shared" si="4"/>
        <v>0.61912790399998696</v>
      </c>
      <c r="G25" s="219">
        <f t="shared" si="5"/>
        <v>0.199999999999975</v>
      </c>
      <c r="H25" s="299">
        <f t="shared" si="6"/>
        <v>5.0417825524056799</v>
      </c>
      <c r="I25" s="212"/>
      <c r="J25" s="218">
        <f t="shared" si="7"/>
        <v>0.61912790399998496</v>
      </c>
      <c r="K25" s="219">
        <f t="shared" si="8"/>
        <v>0.19999999999997201</v>
      </c>
      <c r="L25" s="299">
        <f t="shared" si="9"/>
        <v>5.0417825524056799</v>
      </c>
      <c r="M25" s="193"/>
      <c r="N25" s="218">
        <f t="shared" si="10"/>
        <v>0.61912790399999995</v>
      </c>
      <c r="O25" s="219">
        <f t="shared" si="11"/>
        <v>0.2</v>
      </c>
      <c r="P25" s="299">
        <f t="shared" si="12"/>
        <v>5.0417825524056799</v>
      </c>
      <c r="Q25" s="193"/>
      <c r="R25" s="218">
        <f t="shared" si="13"/>
        <v>0.61912790399999995</v>
      </c>
      <c r="S25" s="214">
        <f t="shared" si="14"/>
        <v>0.2</v>
      </c>
      <c r="T25" s="299">
        <f t="shared" si="15"/>
        <v>5.0417825524056799</v>
      </c>
      <c r="V25" s="218">
        <f t="shared" si="16"/>
        <v>0.61912790399999995</v>
      </c>
      <c r="W25" s="214">
        <f t="shared" si="17"/>
        <v>0.2</v>
      </c>
      <c r="X25" s="220">
        <f t="shared" si="18"/>
        <v>5.0417825524056799</v>
      </c>
    </row>
    <row r="26" spans="1:24" x14ac:dyDescent="0.35">
      <c r="A26" s="186">
        <f t="shared" si="1"/>
        <v>3.4773095915077197</v>
      </c>
      <c r="B26" s="198" t="str">
        <f t="shared" si="2"/>
        <v>HCC Streaming Video</v>
      </c>
      <c r="C26" s="216">
        <f t="shared" si="3"/>
        <v>5.2473305000000003</v>
      </c>
      <c r="D26" s="304">
        <f t="shared" si="3"/>
        <v>18.246592677460999</v>
      </c>
      <c r="E26" s="212"/>
      <c r="F26" s="218">
        <f t="shared" si="4"/>
        <v>3.6731313500000002</v>
      </c>
      <c r="G26" s="219">
        <f t="shared" si="5"/>
        <v>-0.3</v>
      </c>
      <c r="H26" s="299">
        <f t="shared" si="6"/>
        <v>14.215115911465301</v>
      </c>
      <c r="I26" s="212"/>
      <c r="J26" s="218">
        <f t="shared" si="7"/>
        <v>3.6731313500000002</v>
      </c>
      <c r="K26" s="219">
        <f t="shared" si="8"/>
        <v>-0.3</v>
      </c>
      <c r="L26" s="299">
        <f t="shared" si="9"/>
        <v>14.215115911465301</v>
      </c>
      <c r="M26" s="193"/>
      <c r="N26" s="218">
        <f t="shared" si="10"/>
        <v>3.6731313500000002</v>
      </c>
      <c r="O26" s="219">
        <f t="shared" si="11"/>
        <v>-0.3</v>
      </c>
      <c r="P26" s="299">
        <f t="shared" si="12"/>
        <v>14.215115911465301</v>
      </c>
      <c r="Q26" s="193"/>
      <c r="R26" s="218">
        <f t="shared" si="13"/>
        <v>3.6731313500000002</v>
      </c>
      <c r="S26" s="214">
        <f t="shared" si="14"/>
        <v>-0.3</v>
      </c>
      <c r="T26" s="299">
        <f t="shared" si="15"/>
        <v>14.215115911465301</v>
      </c>
      <c r="V26" s="218">
        <f t="shared" si="16"/>
        <v>6.2967965999999995</v>
      </c>
      <c r="W26" s="214">
        <f t="shared" si="17"/>
        <v>0.2</v>
      </c>
      <c r="X26" s="220">
        <f t="shared" si="18"/>
        <v>20.730446182823098</v>
      </c>
    </row>
    <row r="27" spans="1:24" x14ac:dyDescent="0.35">
      <c r="A27" s="186">
        <f t="shared" si="1"/>
        <v>9.5922733612942519</v>
      </c>
      <c r="B27" s="198" t="str">
        <f t="shared" si="2"/>
        <v>HCC Display</v>
      </c>
      <c r="C27" s="216">
        <f t="shared" si="3"/>
        <v>0.99280572</v>
      </c>
      <c r="D27" s="304">
        <f t="shared" si="3"/>
        <v>9.5232638608965594</v>
      </c>
      <c r="E27" s="212"/>
      <c r="F27" s="218">
        <f t="shared" si="4"/>
        <v>1.1913668640000001</v>
      </c>
      <c r="G27" s="219">
        <f t="shared" si="5"/>
        <v>0.19999999999999901</v>
      </c>
      <c r="H27" s="299">
        <f t="shared" si="6"/>
        <v>11.17150983813</v>
      </c>
      <c r="I27" s="212"/>
      <c r="J27" s="218">
        <f t="shared" si="7"/>
        <v>1.1913668640000001</v>
      </c>
      <c r="K27" s="219">
        <f t="shared" si="8"/>
        <v>0.2</v>
      </c>
      <c r="L27" s="299">
        <f t="shared" si="9"/>
        <v>11.17150983813</v>
      </c>
      <c r="M27" s="193"/>
      <c r="N27" s="218">
        <f t="shared" si="10"/>
        <v>1.1913668640000001</v>
      </c>
      <c r="O27" s="219">
        <f t="shared" si="11"/>
        <v>0.2</v>
      </c>
      <c r="P27" s="299">
        <f t="shared" si="12"/>
        <v>11.17150983813</v>
      </c>
      <c r="Q27" s="193"/>
      <c r="R27" s="218">
        <f t="shared" si="13"/>
        <v>1.1913668640000001</v>
      </c>
      <c r="S27" s="214">
        <f t="shared" si="14"/>
        <v>0.2</v>
      </c>
      <c r="T27" s="299">
        <f t="shared" si="15"/>
        <v>11.17150983813</v>
      </c>
      <c r="V27" s="218">
        <f t="shared" si="16"/>
        <v>1.1913668640000001</v>
      </c>
      <c r="W27" s="214">
        <f t="shared" si="17"/>
        <v>0.2</v>
      </c>
      <c r="X27" s="220">
        <f t="shared" si="18"/>
        <v>11.17150983813</v>
      </c>
    </row>
    <row r="28" spans="1:24" x14ac:dyDescent="0.35">
      <c r="A28" s="186">
        <f t="shared" si="1"/>
        <v>0.81066136005838174</v>
      </c>
      <c r="B28" s="198" t="str">
        <f t="shared" si="2"/>
        <v>HCC Paid Search</v>
      </c>
      <c r="C28" s="216">
        <f t="shared" si="3"/>
        <v>0.80000000999999998</v>
      </c>
      <c r="D28" s="304">
        <f t="shared" si="3"/>
        <v>0.648529096153319</v>
      </c>
      <c r="E28" s="212"/>
      <c r="F28" s="218">
        <f t="shared" si="4"/>
        <v>0.56000000699999997</v>
      </c>
      <c r="G28" s="219">
        <f t="shared" si="5"/>
        <v>-0.3</v>
      </c>
      <c r="H28" s="299">
        <f t="shared" si="6"/>
        <v>0.50524042689706605</v>
      </c>
      <c r="I28" s="212"/>
      <c r="J28" s="218">
        <f t="shared" si="7"/>
        <v>0.56000000699999997</v>
      </c>
      <c r="K28" s="219">
        <f t="shared" si="8"/>
        <v>-0.3</v>
      </c>
      <c r="L28" s="299">
        <f t="shared" si="9"/>
        <v>0.50524042689706605</v>
      </c>
      <c r="M28" s="193"/>
      <c r="N28" s="218">
        <f t="shared" si="10"/>
        <v>0.56000000699999997</v>
      </c>
      <c r="O28" s="219">
        <f t="shared" si="11"/>
        <v>-0.3</v>
      </c>
      <c r="P28" s="299">
        <f t="shared" si="12"/>
        <v>0.50524042689706605</v>
      </c>
      <c r="Q28" s="193"/>
      <c r="R28" s="218">
        <f t="shared" si="13"/>
        <v>0.56000000700000996</v>
      </c>
      <c r="S28" s="214">
        <f t="shared" si="14"/>
        <v>-0.299999999999988</v>
      </c>
      <c r="T28" s="299">
        <f t="shared" si="15"/>
        <v>0.50524042689707205</v>
      </c>
      <c r="V28" s="218">
        <f t="shared" si="16"/>
        <v>0.96000001199999996</v>
      </c>
      <c r="W28" s="214">
        <f t="shared" si="17"/>
        <v>0.2</v>
      </c>
      <c r="X28" s="220">
        <f t="shared" si="18"/>
        <v>0.73681140163819792</v>
      </c>
    </row>
    <row r="29" spans="1:24" x14ac:dyDescent="0.35">
      <c r="A29" s="186">
        <f t="shared" si="1"/>
        <v>12.947700821130223</v>
      </c>
      <c r="B29" s="198" t="str">
        <f t="shared" si="2"/>
        <v>HCC Audio</v>
      </c>
      <c r="C29" s="216">
        <f t="shared" si="3"/>
        <v>1.30483043</v>
      </c>
      <c r="D29" s="304">
        <f t="shared" si="3"/>
        <v>16.894554029946701</v>
      </c>
      <c r="E29" s="212"/>
      <c r="F29" s="218">
        <f t="shared" si="4"/>
        <v>1.565796516</v>
      </c>
      <c r="G29" s="219">
        <f t="shared" si="5"/>
        <v>0.2</v>
      </c>
      <c r="H29" s="299">
        <f t="shared" si="6"/>
        <v>18.172690514012402</v>
      </c>
      <c r="I29" s="212"/>
      <c r="J29" s="218">
        <f t="shared" si="7"/>
        <v>1.565796516</v>
      </c>
      <c r="K29" s="219">
        <f t="shared" si="8"/>
        <v>0.2</v>
      </c>
      <c r="L29" s="299">
        <f t="shared" si="9"/>
        <v>18.172690514012402</v>
      </c>
      <c r="M29" s="193"/>
      <c r="N29" s="218">
        <f t="shared" si="10"/>
        <v>1.11697454364419</v>
      </c>
      <c r="O29" s="219">
        <f t="shared" si="11"/>
        <v>-0.143969577990152</v>
      </c>
      <c r="P29" s="299">
        <f t="shared" si="12"/>
        <v>15.8760483080511</v>
      </c>
      <c r="Q29" s="193"/>
      <c r="R29" s="218">
        <f t="shared" si="13"/>
        <v>1.565796516</v>
      </c>
      <c r="S29" s="214">
        <f t="shared" si="14"/>
        <v>0.2</v>
      </c>
      <c r="T29" s="299">
        <f t="shared" si="15"/>
        <v>18.172690514012402</v>
      </c>
      <c r="V29" s="218">
        <f t="shared" si="16"/>
        <v>1.565796516</v>
      </c>
      <c r="W29" s="214">
        <f t="shared" si="17"/>
        <v>0.2</v>
      </c>
      <c r="X29" s="220">
        <f t="shared" si="18"/>
        <v>18.172690514012402</v>
      </c>
    </row>
    <row r="30" spans="1:24" x14ac:dyDescent="0.35">
      <c r="A30" s="186">
        <f t="shared" si="1"/>
        <v>4.2590353281168625</v>
      </c>
      <c r="B30" s="198" t="str">
        <f t="shared" si="2"/>
        <v>HCC Linear TV</v>
      </c>
      <c r="C30" s="216">
        <f t="shared" si="3"/>
        <v>13.63826828</v>
      </c>
      <c r="D30" s="304">
        <f t="shared" si="3"/>
        <v>58.085866418855602</v>
      </c>
      <c r="E30" s="212"/>
      <c r="F30" s="218">
        <f t="shared" si="4"/>
        <v>13.011921607000099</v>
      </c>
      <c r="G30" s="219">
        <f t="shared" si="5"/>
        <v>-4.5925674736759202E-2</v>
      </c>
      <c r="H30" s="299">
        <f t="shared" si="6"/>
        <v>56.205396769074596</v>
      </c>
      <c r="I30" s="212"/>
      <c r="J30" s="218">
        <f t="shared" si="7"/>
        <v>9.8230887070000215</v>
      </c>
      <c r="K30" s="219">
        <f t="shared" si="8"/>
        <v>-0.27974076287931698</v>
      </c>
      <c r="L30" s="299">
        <f t="shared" si="9"/>
        <v>46.164980604818801</v>
      </c>
      <c r="M30" s="193"/>
      <c r="N30" s="218">
        <f t="shared" si="10"/>
        <v>9.5467877960000003</v>
      </c>
      <c r="O30" s="219">
        <f t="shared" si="11"/>
        <v>-0.3</v>
      </c>
      <c r="P30" s="299">
        <f t="shared" si="12"/>
        <v>45.252137676195304</v>
      </c>
      <c r="Q30" s="193"/>
      <c r="R30" s="218">
        <f t="shared" si="13"/>
        <v>16.200754506999999</v>
      </c>
      <c r="S30" s="214">
        <f t="shared" si="14"/>
        <v>0.18788941340578999</v>
      </c>
      <c r="T30" s="299">
        <f t="shared" si="15"/>
        <v>65.526003406084797</v>
      </c>
      <c r="V30" s="218">
        <f t="shared" si="16"/>
        <v>16.36592194</v>
      </c>
      <c r="W30" s="214">
        <f t="shared" si="17"/>
        <v>0.20000000029329201</v>
      </c>
      <c r="X30" s="220">
        <f t="shared" si="18"/>
        <v>65.992919843723399</v>
      </c>
    </row>
    <row r="31" spans="1:24" ht="29.65" customHeight="1" x14ac:dyDescent="0.35">
      <c r="B31" s="221" t="s">
        <v>217</v>
      </c>
      <c r="C31" s="222">
        <f>C16/1000000</f>
        <v>31.888328820000002</v>
      </c>
      <c r="D31" s="305">
        <f>D16/1000000</f>
        <v>198.41058082192112</v>
      </c>
      <c r="E31" s="224"/>
      <c r="F31" s="225">
        <f>F16/1000000</f>
        <v>31.888329000000031</v>
      </c>
      <c r="G31" s="226">
        <f>G16</f>
        <v>5.6446993669798453E-9</v>
      </c>
      <c r="H31" s="230">
        <f>H16/1000000</f>
        <v>205.49483902624524</v>
      </c>
      <c r="I31" s="224"/>
      <c r="J31" s="225">
        <f>J16/1000000</f>
        <v>28.699496100000005</v>
      </c>
      <c r="K31" s="226">
        <f>K16</f>
        <v>-9.9999994919771254E-2</v>
      </c>
      <c r="L31" s="230">
        <f>L16/1000000</f>
        <v>195.45442286198943</v>
      </c>
      <c r="M31" s="224"/>
      <c r="N31" s="225">
        <f>N16/1000000</f>
        <v>25.510663199999996</v>
      </c>
      <c r="O31" s="226">
        <f>O16</f>
        <v>-0.19999999548424138</v>
      </c>
      <c r="P31" s="230">
        <f>P16/1000000</f>
        <v>180.17425109136516</v>
      </c>
      <c r="R31" s="225">
        <f>R16/1000000</f>
        <v>35.077161900000007</v>
      </c>
      <c r="S31" s="226">
        <f>S16</f>
        <v>0.10000000620916846</v>
      </c>
      <c r="T31" s="230">
        <f>T16/1000000</f>
        <v>214.81544566325547</v>
      </c>
      <c r="V31" s="225">
        <f>V16/1000000</f>
        <v>38.265994587999991</v>
      </c>
      <c r="W31" s="226">
        <f>W16</f>
        <v>0.20000000012543748</v>
      </c>
      <c r="X31" s="227">
        <f>X16/1000000</f>
        <v>222.02926334699296</v>
      </c>
    </row>
    <row r="32" spans="1:24" ht="43.5" x14ac:dyDescent="0.35">
      <c r="B32" s="300" t="s">
        <v>264</v>
      </c>
      <c r="C32" s="222"/>
      <c r="D32" s="223"/>
      <c r="E32" s="224"/>
      <c r="F32" s="225"/>
      <c r="G32" s="226"/>
      <c r="H32" s="302" t="s">
        <v>255</v>
      </c>
      <c r="I32" s="224"/>
      <c r="J32" s="225"/>
      <c r="K32" s="226"/>
      <c r="L32" s="229" t="s">
        <v>256</v>
      </c>
      <c r="M32" s="224"/>
      <c r="N32" s="225"/>
      <c r="O32" s="226"/>
      <c r="P32" s="229" t="s">
        <v>257</v>
      </c>
      <c r="R32" s="225"/>
      <c r="S32" s="226"/>
      <c r="T32" s="302" t="s">
        <v>258</v>
      </c>
      <c r="V32" s="225"/>
      <c r="W32" s="226"/>
      <c r="X32" s="302" t="s">
        <v>259</v>
      </c>
    </row>
    <row r="33" spans="2:24" x14ac:dyDescent="0.35">
      <c r="H33" s="230">
        <f>(H31-$D$31)</f>
        <v>7.0842582043241293</v>
      </c>
      <c r="L33" s="230">
        <f>(L31-$D$31)</f>
        <v>-2.9561579599316872</v>
      </c>
      <c r="P33" s="230">
        <f>(P31-$D$31)</f>
        <v>-18.236329730555951</v>
      </c>
      <c r="T33" s="230">
        <f>(T31-$D$31)</f>
        <v>16.404864841334359</v>
      </c>
      <c r="X33" s="230">
        <f>(X31-$D$31)</f>
        <v>23.618682525071847</v>
      </c>
    </row>
    <row r="34" spans="2:24" x14ac:dyDescent="0.35">
      <c r="H34" s="301">
        <f>H33/$D$31</f>
        <v>3.5705042417482985E-2</v>
      </c>
      <c r="L34" s="301">
        <f>L33/$D$31</f>
        <v>-1.4899195132062636E-2</v>
      </c>
      <c r="P34" s="301">
        <f>P33/$D$31</f>
        <v>-9.1912082788183316E-2</v>
      </c>
      <c r="T34" s="301">
        <f>T33/$D$31</f>
        <v>8.2681401230603579E-2</v>
      </c>
      <c r="X34" s="301">
        <f>X33/$D$31</f>
        <v>0.11903943039343379</v>
      </c>
    </row>
    <row r="36" spans="2:24" x14ac:dyDescent="0.35">
      <c r="B36" s="463" t="s">
        <v>249</v>
      </c>
      <c r="C36" s="463"/>
      <c r="D36" s="463"/>
      <c r="E36" s="463"/>
      <c r="F36" s="463"/>
      <c r="G36" s="463"/>
      <c r="H36" s="463"/>
      <c r="I36" s="463"/>
      <c r="J36" s="463"/>
      <c r="K36" s="463"/>
      <c r="L36" s="463"/>
      <c r="M36" s="463"/>
      <c r="N36" s="463"/>
      <c r="O36" s="463"/>
      <c r="P36" s="463"/>
      <c r="Q36" s="463"/>
      <c r="R36" s="463"/>
      <c r="S36" s="463"/>
      <c r="T36" s="463"/>
    </row>
    <row r="37" spans="2:24" x14ac:dyDescent="0.35">
      <c r="B37" s="463"/>
      <c r="C37" s="463"/>
      <c r="D37" s="463"/>
      <c r="E37" s="463"/>
      <c r="F37" s="463"/>
      <c r="G37" s="463"/>
      <c r="H37" s="463"/>
      <c r="I37" s="463"/>
      <c r="J37" s="463"/>
      <c r="K37" s="463"/>
      <c r="L37" s="463"/>
      <c r="M37" s="463"/>
      <c r="N37" s="463"/>
      <c r="O37" s="463"/>
      <c r="P37" s="463"/>
      <c r="Q37" s="463"/>
      <c r="R37" s="463"/>
      <c r="S37" s="463"/>
      <c r="T37" s="463"/>
    </row>
    <row r="39" spans="2:24" x14ac:dyDescent="0.35">
      <c r="F39" s="454" t="s">
        <v>242</v>
      </c>
      <c r="G39" s="455"/>
      <c r="H39" s="456"/>
      <c r="I39" s="195"/>
      <c r="J39" s="454" t="s">
        <v>209</v>
      </c>
      <c r="K39" s="455"/>
      <c r="L39" s="456"/>
      <c r="M39" s="195"/>
      <c r="N39" s="454" t="s">
        <v>210</v>
      </c>
      <c r="O39" s="455"/>
      <c r="P39" s="456"/>
      <c r="R39" s="464"/>
      <c r="S39" s="465"/>
      <c r="T39" s="466"/>
    </row>
    <row r="40" spans="2:24" ht="43.5" x14ac:dyDescent="0.35">
      <c r="B40" s="196" t="s">
        <v>211</v>
      </c>
      <c r="C40" s="97" t="s">
        <v>212</v>
      </c>
      <c r="D40" s="197" t="s">
        <v>213</v>
      </c>
      <c r="E40" s="197"/>
      <c r="F40" s="97" t="s">
        <v>212</v>
      </c>
      <c r="G40" s="197" t="s">
        <v>214</v>
      </c>
      <c r="H40" s="197" t="s">
        <v>215</v>
      </c>
      <c r="I40" s="197"/>
      <c r="J40" s="97" t="s">
        <v>212</v>
      </c>
      <c r="K40" s="197" t="s">
        <v>214</v>
      </c>
      <c r="L40" s="197" t="s">
        <v>215</v>
      </c>
      <c r="N40" s="97" t="s">
        <v>212</v>
      </c>
      <c r="O40" s="197" t="s">
        <v>214</v>
      </c>
      <c r="P40" s="197" t="s">
        <v>215</v>
      </c>
      <c r="R40" s="97" t="s">
        <v>212</v>
      </c>
      <c r="S40" s="197" t="s">
        <v>214</v>
      </c>
      <c r="T40" s="197" t="s">
        <v>215</v>
      </c>
    </row>
    <row r="41" spans="2:24" x14ac:dyDescent="0.35">
      <c r="B41" s="198" t="s">
        <v>224</v>
      </c>
      <c r="C41" s="199"/>
      <c r="D41" s="199"/>
      <c r="E41" s="199"/>
      <c r="F41" s="199"/>
      <c r="G41" s="191"/>
      <c r="H41" s="199"/>
      <c r="I41" s="199"/>
      <c r="J41" s="199"/>
      <c r="K41" s="191"/>
      <c r="L41" s="199"/>
      <c r="N41" s="199"/>
      <c r="O41" s="191"/>
      <c r="P41" s="199"/>
      <c r="R41" s="199"/>
      <c r="S41" s="191"/>
      <c r="T41" s="199"/>
    </row>
    <row r="42" spans="2:24" x14ac:dyDescent="0.35">
      <c r="B42" s="200" t="s">
        <v>225</v>
      </c>
      <c r="C42" s="199"/>
      <c r="D42" s="199"/>
      <c r="E42" s="199"/>
      <c r="F42" s="199"/>
      <c r="G42" s="191"/>
      <c r="H42" s="199"/>
      <c r="I42" s="199"/>
      <c r="J42" s="199"/>
      <c r="K42" s="191"/>
      <c r="L42" s="199"/>
      <c r="N42" s="199"/>
      <c r="O42" s="191"/>
      <c r="P42" s="199"/>
      <c r="R42" s="199"/>
      <c r="S42" s="191"/>
      <c r="T42" s="199"/>
    </row>
    <row r="43" spans="2:24" x14ac:dyDescent="0.35">
      <c r="B43" s="200" t="s">
        <v>226</v>
      </c>
      <c r="C43" s="199"/>
      <c r="D43" s="199"/>
      <c r="E43" s="199"/>
      <c r="F43" s="199"/>
      <c r="G43" s="191"/>
      <c r="H43" s="199"/>
      <c r="I43" s="199"/>
      <c r="J43" s="199"/>
      <c r="K43" s="191"/>
      <c r="L43" s="199"/>
      <c r="N43" s="199"/>
      <c r="O43" s="191"/>
      <c r="P43" s="199"/>
      <c r="R43" s="199"/>
      <c r="S43" s="191"/>
      <c r="T43" s="199"/>
    </row>
    <row r="44" spans="2:24" x14ac:dyDescent="0.35">
      <c r="B44" s="200" t="s">
        <v>237</v>
      </c>
      <c r="C44" s="199"/>
      <c r="D44" s="199"/>
      <c r="E44" s="199"/>
      <c r="F44" s="199"/>
      <c r="G44" s="191"/>
      <c r="H44" s="199"/>
      <c r="I44" s="199"/>
      <c r="J44" s="199"/>
      <c r="K44" s="191"/>
      <c r="L44" s="199"/>
      <c r="N44" s="199"/>
      <c r="O44" s="191"/>
      <c r="P44" s="199"/>
      <c r="R44" s="199"/>
      <c r="S44" s="191"/>
      <c r="T44" s="199"/>
    </row>
    <row r="45" spans="2:24" x14ac:dyDescent="0.35">
      <c r="B45" s="200" t="s">
        <v>227</v>
      </c>
      <c r="C45" s="199"/>
      <c r="D45" s="199"/>
      <c r="E45" s="199"/>
      <c r="F45" s="199"/>
      <c r="G45" s="191"/>
      <c r="H45" s="199"/>
      <c r="I45" s="199"/>
      <c r="J45" s="199"/>
      <c r="K45" s="191"/>
      <c r="L45" s="199"/>
      <c r="N45" s="199"/>
      <c r="O45" s="191"/>
      <c r="P45" s="199"/>
      <c r="R45" s="199"/>
      <c r="S45" s="191"/>
      <c r="T45" s="199"/>
    </row>
    <row r="46" spans="2:24" x14ac:dyDescent="0.35">
      <c r="B46" s="200" t="s">
        <v>228</v>
      </c>
      <c r="C46" s="199"/>
      <c r="D46" s="199"/>
      <c r="E46" s="199"/>
      <c r="F46" s="199"/>
      <c r="G46" s="191"/>
      <c r="H46" s="199"/>
      <c r="I46" s="199"/>
      <c r="J46" s="199"/>
      <c r="K46" s="191"/>
      <c r="L46" s="199"/>
      <c r="N46" s="199"/>
      <c r="O46" s="191"/>
      <c r="P46" s="199"/>
      <c r="R46" s="199"/>
      <c r="S46" s="191"/>
      <c r="T46" s="199"/>
    </row>
    <row r="47" spans="2:24" x14ac:dyDescent="0.35">
      <c r="B47" s="200" t="s">
        <v>190</v>
      </c>
      <c r="C47" s="199"/>
      <c r="D47" s="199"/>
      <c r="E47" s="199"/>
      <c r="F47" s="199"/>
      <c r="G47" s="191"/>
      <c r="H47" s="199"/>
      <c r="I47" s="199"/>
      <c r="J47" s="199"/>
      <c r="K47" s="191"/>
      <c r="L47" s="199"/>
      <c r="N47" s="199"/>
      <c r="O47" s="191"/>
      <c r="P47" s="199"/>
      <c r="R47" s="199"/>
      <c r="S47" s="191"/>
      <c r="T47" s="199"/>
    </row>
    <row r="48" spans="2:24" x14ac:dyDescent="0.35">
      <c r="B48" s="200" t="s">
        <v>187</v>
      </c>
      <c r="C48" s="199"/>
      <c r="D48" s="199"/>
      <c r="E48" s="199"/>
      <c r="F48" s="199"/>
      <c r="G48" s="191"/>
      <c r="H48" s="199"/>
      <c r="I48" s="199"/>
      <c r="J48" s="199"/>
      <c r="K48" s="191"/>
      <c r="L48" s="199"/>
      <c r="N48" s="199"/>
      <c r="O48" s="191"/>
      <c r="P48" s="199"/>
      <c r="R48" s="199"/>
      <c r="S48" s="191"/>
      <c r="T48" s="199"/>
    </row>
    <row r="49" spans="2:20" x14ac:dyDescent="0.35">
      <c r="B49" s="200" t="s">
        <v>229</v>
      </c>
      <c r="C49" s="199"/>
      <c r="D49" s="199"/>
      <c r="E49" s="199"/>
      <c r="F49" s="199"/>
      <c r="G49" s="191"/>
      <c r="H49" s="199"/>
      <c r="I49" s="199"/>
      <c r="J49" s="199"/>
      <c r="K49" s="191"/>
      <c r="L49" s="199"/>
      <c r="N49" s="199"/>
      <c r="O49" s="191"/>
      <c r="P49" s="199"/>
      <c r="R49" s="199"/>
      <c r="S49" s="191"/>
      <c r="T49" s="199"/>
    </row>
    <row r="50" spans="2:20" x14ac:dyDescent="0.35">
      <c r="B50" s="201" t="s">
        <v>217</v>
      </c>
      <c r="C50" s="202">
        <f>SUM(C41:C49)</f>
        <v>0</v>
      </c>
      <c r="D50" s="202">
        <f>SUM(D41:D49)</f>
        <v>0</v>
      </c>
      <c r="E50" s="193"/>
      <c r="F50" s="202">
        <f>SUM(F41:F49)</f>
        <v>0</v>
      </c>
      <c r="G50" s="203">
        <f>(F50-$C$16)/$C$16</f>
        <v>-1</v>
      </c>
      <c r="H50" s="202">
        <f>SUM(H41:H49)</f>
        <v>0</v>
      </c>
      <c r="I50" s="193"/>
      <c r="J50" s="202">
        <f>SUM(J41:J49)</f>
        <v>0</v>
      </c>
      <c r="K50" s="203">
        <f>(J50-$C$16)/$C$16</f>
        <v>-1</v>
      </c>
      <c r="L50" s="202">
        <f>SUM(L41:L49)</f>
        <v>0</v>
      </c>
      <c r="M50" s="193"/>
      <c r="N50" s="202">
        <f>SUM(N41:N49)</f>
        <v>0</v>
      </c>
      <c r="O50" s="203">
        <f>(N50-$C$16)/$C$16</f>
        <v>-1</v>
      </c>
      <c r="P50" s="202">
        <f>SUM(P41:P49)</f>
        <v>0</v>
      </c>
      <c r="Q50" s="193"/>
      <c r="R50" s="202">
        <f>SUM(R41:R49)</f>
        <v>0</v>
      </c>
      <c r="S50" s="193"/>
      <c r="T50" s="202">
        <f>SUM(T41:T49)</f>
        <v>0</v>
      </c>
    </row>
    <row r="51" spans="2:20" x14ac:dyDescent="0.35">
      <c r="D51" s="97" t="e">
        <f>D50/C50</f>
        <v>#DIV/0!</v>
      </c>
    </row>
    <row r="53" spans="2:20" ht="27.65" customHeight="1" x14ac:dyDescent="0.35">
      <c r="F53" s="467" t="str">
        <f>B36</f>
        <v>Optimal Channel Spend  allowed to vary between  of the 2021 spend</v>
      </c>
      <c r="G53" s="467"/>
      <c r="H53" s="467"/>
      <c r="I53" s="467"/>
      <c r="J53" s="467"/>
      <c r="K53" s="467"/>
      <c r="L53" s="467"/>
      <c r="M53" s="467"/>
      <c r="N53" s="467"/>
      <c r="O53" s="467"/>
      <c r="P53" s="467"/>
    </row>
    <row r="54" spans="2:20" x14ac:dyDescent="0.35">
      <c r="C54" s="458" t="s">
        <v>243</v>
      </c>
      <c r="D54" s="459"/>
      <c r="E54" s="204"/>
      <c r="F54" s="454" t="str">
        <f>F39</f>
        <v>Current Optimal ($MM)</v>
      </c>
      <c r="G54" s="455"/>
      <c r="H54" s="456"/>
      <c r="I54" s="205"/>
      <c r="J54" s="454" t="str">
        <f>J39</f>
        <v>10% reduction optimal ($)</v>
      </c>
      <c r="K54" s="455"/>
      <c r="L54" s="456"/>
      <c r="M54" s="205"/>
      <c r="N54" s="454" t="str">
        <f>N39</f>
        <v>20% reduction optimal ()</v>
      </c>
      <c r="O54" s="455"/>
      <c r="P54" s="456"/>
      <c r="R54" s="460"/>
      <c r="S54" s="461"/>
      <c r="T54" s="462"/>
    </row>
    <row r="55" spans="2:20" ht="43.5" x14ac:dyDescent="0.35">
      <c r="B55" s="196" t="s">
        <v>211</v>
      </c>
      <c r="C55" s="207" t="s">
        <v>221</v>
      </c>
      <c r="D55" s="207" t="s">
        <v>219</v>
      </c>
      <c r="E55" s="208"/>
      <c r="F55" s="231" t="s">
        <v>221</v>
      </c>
      <c r="G55" s="207" t="s">
        <v>214</v>
      </c>
      <c r="H55" s="209" t="s">
        <v>215</v>
      </c>
      <c r="I55" s="208"/>
      <c r="J55" s="231" t="s">
        <v>221</v>
      </c>
      <c r="K55" s="207" t="s">
        <v>214</v>
      </c>
      <c r="L55" s="209" t="s">
        <v>215</v>
      </c>
      <c r="M55" s="193"/>
      <c r="N55" s="231" t="s">
        <v>221</v>
      </c>
      <c r="O55" s="207" t="s">
        <v>214</v>
      </c>
      <c r="P55" s="209" t="s">
        <v>215</v>
      </c>
      <c r="R55" s="231" t="s">
        <v>221</v>
      </c>
      <c r="S55" s="207" t="s">
        <v>214</v>
      </c>
      <c r="T55" s="209" t="s">
        <v>215</v>
      </c>
    </row>
    <row r="56" spans="2:20" x14ac:dyDescent="0.35">
      <c r="B56" s="198" t="s">
        <v>155</v>
      </c>
      <c r="C56" s="210">
        <f t="shared" ref="C56:D62" si="19">C41/1000000</f>
        <v>0</v>
      </c>
      <c r="D56" s="211">
        <f t="shared" si="19"/>
        <v>0</v>
      </c>
      <c r="E56" s="212"/>
      <c r="F56" s="213">
        <f t="shared" ref="F56:F62" si="20">F41/1000000</f>
        <v>0</v>
      </c>
      <c r="G56" s="214">
        <f t="shared" ref="G56:G62" si="21">G41</f>
        <v>0</v>
      </c>
      <c r="H56" s="215">
        <f t="shared" ref="H56:H62" si="22">H41/1000000</f>
        <v>0</v>
      </c>
      <c r="I56" s="212"/>
      <c r="J56" s="213">
        <f t="shared" ref="J56:J62" si="23">J41/1000000</f>
        <v>0</v>
      </c>
      <c r="K56" s="214">
        <f t="shared" ref="K56:K62" si="24">K41</f>
        <v>0</v>
      </c>
      <c r="L56" s="215">
        <f t="shared" ref="L56:L62" si="25">L41/1000000</f>
        <v>0</v>
      </c>
      <c r="M56" s="193"/>
      <c r="N56" s="213">
        <f t="shared" ref="N56:N62" si="26">N41/1000000</f>
        <v>0</v>
      </c>
      <c r="O56" s="214">
        <f t="shared" ref="O56:O62" si="27">O41</f>
        <v>0</v>
      </c>
      <c r="P56" s="215">
        <f t="shared" ref="P56:P62" si="28">P41/1000000</f>
        <v>0</v>
      </c>
      <c r="Q56" s="193"/>
      <c r="R56" s="213">
        <f t="shared" ref="R56:R62" si="29">R41/1000000</f>
        <v>0</v>
      </c>
      <c r="S56" s="214">
        <f t="shared" ref="S56:S62" si="30">S41</f>
        <v>0</v>
      </c>
      <c r="T56" s="215">
        <f t="shared" ref="T56:T62" si="31">T41/1000000</f>
        <v>0</v>
      </c>
    </row>
    <row r="57" spans="2:20" x14ac:dyDescent="0.35">
      <c r="B57" s="200" t="s">
        <v>93</v>
      </c>
      <c r="C57" s="216">
        <f t="shared" si="19"/>
        <v>0</v>
      </c>
      <c r="D57" s="217">
        <f t="shared" si="19"/>
        <v>0</v>
      </c>
      <c r="E57" s="212"/>
      <c r="F57" s="218">
        <f t="shared" si="20"/>
        <v>0</v>
      </c>
      <c r="G57" s="219">
        <f t="shared" si="21"/>
        <v>0</v>
      </c>
      <c r="H57" s="220">
        <f t="shared" si="22"/>
        <v>0</v>
      </c>
      <c r="I57" s="212"/>
      <c r="J57" s="218">
        <f t="shared" si="23"/>
        <v>0</v>
      </c>
      <c r="K57" s="219">
        <f t="shared" si="24"/>
        <v>0</v>
      </c>
      <c r="L57" s="220">
        <f t="shared" si="25"/>
        <v>0</v>
      </c>
      <c r="M57" s="193"/>
      <c r="N57" s="218">
        <f t="shared" si="26"/>
        <v>0</v>
      </c>
      <c r="O57" s="219">
        <f t="shared" si="27"/>
        <v>0</v>
      </c>
      <c r="P57" s="220">
        <f t="shared" si="28"/>
        <v>0</v>
      </c>
      <c r="Q57" s="193"/>
      <c r="R57" s="218">
        <f t="shared" si="29"/>
        <v>0</v>
      </c>
      <c r="S57" s="214">
        <f t="shared" si="30"/>
        <v>0</v>
      </c>
      <c r="T57" s="220">
        <f t="shared" si="31"/>
        <v>0</v>
      </c>
    </row>
    <row r="58" spans="2:20" x14ac:dyDescent="0.35">
      <c r="B58" s="200" t="s">
        <v>162</v>
      </c>
      <c r="C58" s="216">
        <f t="shared" si="19"/>
        <v>0</v>
      </c>
      <c r="D58" s="217">
        <f t="shared" si="19"/>
        <v>0</v>
      </c>
      <c r="E58" s="212"/>
      <c r="F58" s="218">
        <f t="shared" si="20"/>
        <v>0</v>
      </c>
      <c r="G58" s="219">
        <f t="shared" si="21"/>
        <v>0</v>
      </c>
      <c r="H58" s="220">
        <f t="shared" si="22"/>
        <v>0</v>
      </c>
      <c r="I58" s="212"/>
      <c r="J58" s="218">
        <f t="shared" si="23"/>
        <v>0</v>
      </c>
      <c r="K58" s="219">
        <f t="shared" si="24"/>
        <v>0</v>
      </c>
      <c r="L58" s="220">
        <f t="shared" si="25"/>
        <v>0</v>
      </c>
      <c r="M58" s="193"/>
      <c r="N58" s="218">
        <f t="shared" si="26"/>
        <v>0</v>
      </c>
      <c r="O58" s="219">
        <f t="shared" si="27"/>
        <v>0</v>
      </c>
      <c r="P58" s="220">
        <f t="shared" si="28"/>
        <v>0</v>
      </c>
      <c r="Q58" s="193"/>
      <c r="R58" s="218">
        <f t="shared" si="29"/>
        <v>0</v>
      </c>
      <c r="S58" s="214">
        <f t="shared" si="30"/>
        <v>0</v>
      </c>
      <c r="T58" s="220">
        <f t="shared" si="31"/>
        <v>0</v>
      </c>
    </row>
    <row r="59" spans="2:20" x14ac:dyDescent="0.35">
      <c r="B59" s="200" t="s">
        <v>163</v>
      </c>
      <c r="C59" s="216">
        <f t="shared" si="19"/>
        <v>0</v>
      </c>
      <c r="D59" s="217">
        <f t="shared" si="19"/>
        <v>0</v>
      </c>
      <c r="E59" s="212"/>
      <c r="F59" s="218">
        <f t="shared" si="20"/>
        <v>0</v>
      </c>
      <c r="G59" s="219">
        <f t="shared" si="21"/>
        <v>0</v>
      </c>
      <c r="H59" s="220">
        <f t="shared" si="22"/>
        <v>0</v>
      </c>
      <c r="I59" s="212"/>
      <c r="J59" s="218">
        <f t="shared" si="23"/>
        <v>0</v>
      </c>
      <c r="K59" s="219">
        <f t="shared" si="24"/>
        <v>0</v>
      </c>
      <c r="L59" s="220">
        <f t="shared" si="25"/>
        <v>0</v>
      </c>
      <c r="M59" s="193"/>
      <c r="N59" s="218">
        <f t="shared" si="26"/>
        <v>0</v>
      </c>
      <c r="O59" s="219">
        <f t="shared" si="27"/>
        <v>0</v>
      </c>
      <c r="P59" s="220">
        <f t="shared" si="28"/>
        <v>0</v>
      </c>
      <c r="Q59" s="193"/>
      <c r="R59" s="218">
        <f t="shared" si="29"/>
        <v>0</v>
      </c>
      <c r="S59" s="214">
        <f t="shared" si="30"/>
        <v>0</v>
      </c>
      <c r="T59" s="220">
        <f t="shared" si="31"/>
        <v>0</v>
      </c>
    </row>
    <row r="60" spans="2:20" x14ac:dyDescent="0.35">
      <c r="B60" s="200" t="s">
        <v>165</v>
      </c>
      <c r="C60" s="216">
        <f t="shared" si="19"/>
        <v>0</v>
      </c>
      <c r="D60" s="217">
        <f t="shared" si="19"/>
        <v>0</v>
      </c>
      <c r="E60" s="212"/>
      <c r="F60" s="218">
        <f t="shared" si="20"/>
        <v>0</v>
      </c>
      <c r="G60" s="219">
        <f t="shared" si="21"/>
        <v>0</v>
      </c>
      <c r="H60" s="220">
        <f t="shared" si="22"/>
        <v>0</v>
      </c>
      <c r="I60" s="212"/>
      <c r="J60" s="218">
        <f t="shared" si="23"/>
        <v>0</v>
      </c>
      <c r="K60" s="219">
        <f t="shared" si="24"/>
        <v>0</v>
      </c>
      <c r="L60" s="220">
        <f t="shared" si="25"/>
        <v>0</v>
      </c>
      <c r="M60" s="193"/>
      <c r="N60" s="218">
        <f t="shared" si="26"/>
        <v>0</v>
      </c>
      <c r="O60" s="219">
        <f t="shared" si="27"/>
        <v>0</v>
      </c>
      <c r="P60" s="220">
        <f t="shared" si="28"/>
        <v>0</v>
      </c>
      <c r="Q60" s="193"/>
      <c r="R60" s="218">
        <f t="shared" si="29"/>
        <v>0</v>
      </c>
      <c r="S60" s="214">
        <f t="shared" si="30"/>
        <v>0</v>
      </c>
      <c r="T60" s="220">
        <f t="shared" si="31"/>
        <v>0</v>
      </c>
    </row>
    <row r="61" spans="2:20" x14ac:dyDescent="0.35">
      <c r="B61" s="200" t="s">
        <v>164</v>
      </c>
      <c r="C61" s="216">
        <f t="shared" si="19"/>
        <v>0</v>
      </c>
      <c r="D61" s="217">
        <f t="shared" si="19"/>
        <v>0</v>
      </c>
      <c r="E61" s="212"/>
      <c r="F61" s="218">
        <f t="shared" si="20"/>
        <v>0</v>
      </c>
      <c r="G61" s="219">
        <f t="shared" si="21"/>
        <v>0</v>
      </c>
      <c r="H61" s="220">
        <f t="shared" si="22"/>
        <v>0</v>
      </c>
      <c r="I61" s="212"/>
      <c r="J61" s="218">
        <f t="shared" si="23"/>
        <v>0</v>
      </c>
      <c r="K61" s="219">
        <f t="shared" si="24"/>
        <v>0</v>
      </c>
      <c r="L61" s="220">
        <f t="shared" si="25"/>
        <v>0</v>
      </c>
      <c r="M61" s="193"/>
      <c r="N61" s="218">
        <f t="shared" si="26"/>
        <v>0</v>
      </c>
      <c r="O61" s="219">
        <f t="shared" si="27"/>
        <v>0</v>
      </c>
      <c r="P61" s="220">
        <f t="shared" si="28"/>
        <v>0</v>
      </c>
      <c r="Q61" s="193"/>
      <c r="R61" s="218">
        <f t="shared" si="29"/>
        <v>0</v>
      </c>
      <c r="S61" s="214">
        <f t="shared" si="30"/>
        <v>0</v>
      </c>
      <c r="T61" s="220">
        <f t="shared" si="31"/>
        <v>0</v>
      </c>
    </row>
    <row r="62" spans="2:20" x14ac:dyDescent="0.35">
      <c r="B62" s="200" t="s">
        <v>161</v>
      </c>
      <c r="C62" s="216">
        <f t="shared" si="19"/>
        <v>0</v>
      </c>
      <c r="D62" s="217">
        <f t="shared" si="19"/>
        <v>0</v>
      </c>
      <c r="E62" s="212"/>
      <c r="F62" s="218">
        <f t="shared" si="20"/>
        <v>0</v>
      </c>
      <c r="G62" s="219">
        <f t="shared" si="21"/>
        <v>0</v>
      </c>
      <c r="H62" s="220">
        <f t="shared" si="22"/>
        <v>0</v>
      </c>
      <c r="I62" s="212"/>
      <c r="J62" s="218">
        <f t="shared" si="23"/>
        <v>0</v>
      </c>
      <c r="K62" s="219">
        <f t="shared" si="24"/>
        <v>0</v>
      </c>
      <c r="L62" s="220">
        <f t="shared" si="25"/>
        <v>0</v>
      </c>
      <c r="M62" s="193"/>
      <c r="N62" s="218">
        <f t="shared" si="26"/>
        <v>0</v>
      </c>
      <c r="O62" s="219">
        <f t="shared" si="27"/>
        <v>0</v>
      </c>
      <c r="P62" s="220">
        <f t="shared" si="28"/>
        <v>0</v>
      </c>
      <c r="Q62" s="193"/>
      <c r="R62" s="218">
        <f t="shared" si="29"/>
        <v>0</v>
      </c>
      <c r="S62" s="214">
        <f t="shared" si="30"/>
        <v>0</v>
      </c>
      <c r="T62" s="220">
        <f t="shared" si="31"/>
        <v>0</v>
      </c>
    </row>
    <row r="63" spans="2:20" x14ac:dyDescent="0.35">
      <c r="B63" s="200" t="s">
        <v>216</v>
      </c>
      <c r="C63" s="216">
        <f t="shared" ref="C63:D64" si="32">C49/1000000</f>
        <v>0</v>
      </c>
      <c r="D63" s="217">
        <f t="shared" si="32"/>
        <v>0</v>
      </c>
      <c r="E63" s="212"/>
      <c r="F63" s="218">
        <f t="shared" ref="F63:F64" si="33">F49/1000000</f>
        <v>0</v>
      </c>
      <c r="G63" s="219">
        <f t="shared" ref="G63" si="34">G49</f>
        <v>0</v>
      </c>
      <c r="H63" s="220">
        <f t="shared" ref="H63:H64" si="35">H49/1000000</f>
        <v>0</v>
      </c>
      <c r="I63" s="212"/>
      <c r="J63" s="218">
        <f t="shared" ref="J63:J64" si="36">J49/1000000</f>
        <v>0</v>
      </c>
      <c r="K63" s="219">
        <f t="shared" ref="K63" si="37">K49</f>
        <v>0</v>
      </c>
      <c r="L63" s="220">
        <f t="shared" ref="L63:L64" si="38">L49/1000000</f>
        <v>0</v>
      </c>
      <c r="M63" s="193"/>
      <c r="N63" s="218">
        <f t="shared" ref="N63:N64" si="39">N49/1000000</f>
        <v>0</v>
      </c>
      <c r="O63" s="219">
        <f t="shared" ref="O63" si="40">O49</f>
        <v>0</v>
      </c>
      <c r="P63" s="220">
        <f t="shared" ref="P63:P64" si="41">P49/1000000</f>
        <v>0</v>
      </c>
      <c r="Q63" s="193"/>
      <c r="R63" s="218">
        <f t="shared" ref="R63:R64" si="42">R49/1000000</f>
        <v>0</v>
      </c>
      <c r="S63" s="214">
        <f t="shared" ref="S63" si="43">S49</f>
        <v>0</v>
      </c>
      <c r="T63" s="220">
        <f t="shared" ref="T63:T64" si="44">T49/1000000</f>
        <v>0</v>
      </c>
    </row>
    <row r="64" spans="2:20" x14ac:dyDescent="0.35">
      <c r="B64" s="221" t="s">
        <v>217</v>
      </c>
      <c r="C64" s="222">
        <f t="shared" si="32"/>
        <v>0</v>
      </c>
      <c r="D64" s="223">
        <f t="shared" si="32"/>
        <v>0</v>
      </c>
      <c r="E64" s="224"/>
      <c r="F64" s="225">
        <f t="shared" si="33"/>
        <v>0</v>
      </c>
      <c r="G64" s="226">
        <f>G50</f>
        <v>-1</v>
      </c>
      <c r="H64" s="227">
        <f t="shared" si="35"/>
        <v>0</v>
      </c>
      <c r="I64" s="224"/>
      <c r="J64" s="225">
        <f t="shared" si="36"/>
        <v>0</v>
      </c>
      <c r="K64" s="226">
        <f>K50</f>
        <v>-1</v>
      </c>
      <c r="L64" s="227">
        <f t="shared" si="38"/>
        <v>0</v>
      </c>
      <c r="M64" s="224"/>
      <c r="N64" s="225">
        <f t="shared" si="39"/>
        <v>0</v>
      </c>
      <c r="O64" s="226">
        <f>O50</f>
        <v>-1</v>
      </c>
      <c r="P64" s="227">
        <f t="shared" si="41"/>
        <v>0</v>
      </c>
      <c r="R64" s="225">
        <f t="shared" si="42"/>
        <v>0</v>
      </c>
      <c r="S64" s="226" t="e">
        <v>#REF!</v>
      </c>
      <c r="T64" s="227">
        <f t="shared" si="44"/>
        <v>0</v>
      </c>
    </row>
    <row r="65" spans="2:20" x14ac:dyDescent="0.35">
      <c r="B65" s="221" t="s">
        <v>220</v>
      </c>
      <c r="C65" s="222"/>
      <c r="D65" s="223"/>
      <c r="E65" s="224"/>
      <c r="F65" s="225"/>
      <c r="G65" s="226"/>
      <c r="H65" s="228"/>
      <c r="I65" s="224"/>
      <c r="J65" s="225"/>
      <c r="K65" s="226"/>
      <c r="L65" s="228"/>
      <c r="M65" s="224"/>
      <c r="N65" s="225"/>
      <c r="O65" s="226"/>
      <c r="P65" s="229"/>
      <c r="R65" s="225"/>
      <c r="S65" s="226"/>
      <c r="T65" s="230"/>
    </row>
    <row r="66" spans="2:20" x14ac:dyDescent="0.35">
      <c r="H66" s="232">
        <f>H64-$D$64</f>
        <v>0</v>
      </c>
      <c r="L66" s="232">
        <f>L64-$D$64</f>
        <v>0</v>
      </c>
      <c r="P66" s="232">
        <f>P64-$D$64</f>
        <v>0</v>
      </c>
      <c r="T66" s="232">
        <f>T64-$D$64</f>
        <v>0</v>
      </c>
    </row>
    <row r="67" spans="2:20" x14ac:dyDescent="0.35">
      <c r="H67" s="191" t="e">
        <f>H66/$D$64</f>
        <v>#DIV/0!</v>
      </c>
      <c r="I67" s="351"/>
      <c r="J67" s="351"/>
      <c r="K67" s="351"/>
      <c r="L67" s="191" t="e">
        <f>L66/$D$64</f>
        <v>#DIV/0!</v>
      </c>
      <c r="M67" s="351"/>
      <c r="N67" s="351"/>
      <c r="O67" s="351"/>
      <c r="P67" s="191" t="e">
        <f>P66/$D$64</f>
        <v>#DIV/0!</v>
      </c>
      <c r="Q67" s="351"/>
      <c r="R67" s="351"/>
      <c r="S67" s="351"/>
    </row>
  </sheetData>
  <mergeCells count="24">
    <mergeCell ref="R54:T54"/>
    <mergeCell ref="V20:X20"/>
    <mergeCell ref="B36:T37"/>
    <mergeCell ref="F39:H39"/>
    <mergeCell ref="J39:L39"/>
    <mergeCell ref="N39:P39"/>
    <mergeCell ref="R39:T39"/>
    <mergeCell ref="R20:T20"/>
    <mergeCell ref="F53:P53"/>
    <mergeCell ref="C54:D54"/>
    <mergeCell ref="F54:H54"/>
    <mergeCell ref="J54:L54"/>
    <mergeCell ref="N54:P54"/>
    <mergeCell ref="F19:P19"/>
    <mergeCell ref="C20:D20"/>
    <mergeCell ref="F20:H20"/>
    <mergeCell ref="J20:L20"/>
    <mergeCell ref="N20:P20"/>
    <mergeCell ref="V5:X5"/>
    <mergeCell ref="F4:P4"/>
    <mergeCell ref="F5:H5"/>
    <mergeCell ref="J5:L5"/>
    <mergeCell ref="N5:P5"/>
    <mergeCell ref="R5:T5"/>
  </mergeCells>
  <conditionalFormatting sqref="G22:G30">
    <cfRule type="cellIs" dxfId="41" priority="17" operator="lessThan">
      <formula>0</formula>
    </cfRule>
    <cfRule type="cellIs" dxfId="40" priority="18" operator="greaterThan">
      <formula>0</formula>
    </cfRule>
  </conditionalFormatting>
  <conditionalFormatting sqref="K22:K30">
    <cfRule type="cellIs" dxfId="39" priority="15" operator="lessThan">
      <formula>0</formula>
    </cfRule>
    <cfRule type="cellIs" dxfId="38" priority="16" operator="greaterThan">
      <formula>0</formula>
    </cfRule>
  </conditionalFormatting>
  <conditionalFormatting sqref="O22:O30">
    <cfRule type="cellIs" dxfId="37" priority="13" operator="lessThan">
      <formula>0</formula>
    </cfRule>
    <cfRule type="cellIs" dxfId="36" priority="14" operator="greaterThan">
      <formula>0</formula>
    </cfRule>
  </conditionalFormatting>
  <conditionalFormatting sqref="S22:S30">
    <cfRule type="cellIs" dxfId="35" priority="11" operator="lessThan">
      <formula>0</formula>
    </cfRule>
    <cfRule type="cellIs" dxfId="34" priority="12" operator="greaterThan">
      <formula>0</formula>
    </cfRule>
  </conditionalFormatting>
  <conditionalFormatting sqref="G56:G63">
    <cfRule type="cellIs" dxfId="33" priority="9" operator="lessThan">
      <formula>0</formula>
    </cfRule>
    <cfRule type="cellIs" dxfId="32" priority="10" operator="greaterThan">
      <formula>0</formula>
    </cfRule>
  </conditionalFormatting>
  <conditionalFormatting sqref="K56:K63">
    <cfRule type="cellIs" dxfId="31" priority="7" operator="lessThan">
      <formula>0</formula>
    </cfRule>
    <cfRule type="cellIs" dxfId="30" priority="8" operator="greaterThan">
      <formula>0</formula>
    </cfRule>
  </conditionalFormatting>
  <conditionalFormatting sqref="O56:O63">
    <cfRule type="cellIs" dxfId="29" priority="5" operator="lessThan">
      <formula>0</formula>
    </cfRule>
    <cfRule type="cellIs" dxfId="28" priority="6" operator="greaterThan">
      <formula>0</formula>
    </cfRule>
  </conditionalFormatting>
  <conditionalFormatting sqref="S56:S63">
    <cfRule type="cellIs" dxfId="27" priority="3" operator="lessThan">
      <formula>0</formula>
    </cfRule>
    <cfRule type="cellIs" dxfId="26" priority="4" operator="greaterThan">
      <formula>0</formula>
    </cfRule>
  </conditionalFormatting>
  <conditionalFormatting sqref="W22:W30">
    <cfRule type="cellIs" dxfId="25" priority="1" operator="lessThan">
      <formula>0</formula>
    </cfRule>
    <cfRule type="cellIs" dxfId="24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0D4DE-F0E5-45A8-8E4B-11941CDFDFD2}">
  <sheetPr>
    <tabColor theme="7" tint="-0.249977111117893"/>
  </sheetPr>
  <dimension ref="B1:V48"/>
  <sheetViews>
    <sheetView zoomScale="80" zoomScaleNormal="80" workbookViewId="0">
      <selection activeCell="D7" sqref="D7"/>
    </sheetView>
  </sheetViews>
  <sheetFormatPr defaultColWidth="8.81640625" defaultRowHeight="14.5" x14ac:dyDescent="0.35"/>
  <cols>
    <col min="1" max="1" width="6.26953125" style="97" customWidth="1"/>
    <col min="2" max="2" width="13.7265625" style="97" customWidth="1"/>
    <col min="3" max="3" width="18.26953125" style="97" customWidth="1"/>
    <col min="4" max="4" width="14.26953125" style="97" customWidth="1"/>
    <col min="5" max="5" width="15.453125" style="97" customWidth="1"/>
    <col min="6" max="6" width="13.7265625" style="97" customWidth="1"/>
    <col min="7" max="7" width="15.7265625" style="97" customWidth="1"/>
    <col min="8" max="8" width="15.1796875" style="97" bestFit="1" customWidth="1"/>
    <col min="9" max="9" width="13.26953125" style="97" bestFit="1" customWidth="1"/>
    <col min="10" max="10" width="8.81640625" style="97"/>
    <col min="11" max="11" width="15.26953125" style="97" customWidth="1"/>
    <col min="12" max="12" width="14.453125" style="97" bestFit="1" customWidth="1"/>
    <col min="13" max="13" width="11.1796875" style="97" bestFit="1" customWidth="1"/>
    <col min="14" max="14" width="12.1796875" style="97" bestFit="1" customWidth="1"/>
    <col min="15" max="15" width="11.1796875" style="97" bestFit="1" customWidth="1"/>
    <col min="16" max="18" width="12.1796875" style="97" bestFit="1" customWidth="1"/>
    <col min="19" max="19" width="8.81640625" style="97"/>
    <col min="20" max="20" width="12" style="97" bestFit="1" customWidth="1"/>
    <col min="21" max="16384" width="8.81640625" style="97"/>
  </cols>
  <sheetData>
    <row r="1" spans="2:20" x14ac:dyDescent="0.35">
      <c r="C1" s="244" t="s">
        <v>231</v>
      </c>
    </row>
    <row r="2" spans="2:20" ht="15" thickBot="1" x14ac:dyDescent="0.4"/>
    <row r="3" spans="2:20" ht="30.25" customHeight="1" x14ac:dyDescent="0.35">
      <c r="B3" s="468" t="s">
        <v>2</v>
      </c>
      <c r="C3" s="470" t="s">
        <v>3</v>
      </c>
      <c r="D3" s="471" t="s">
        <v>232</v>
      </c>
      <c r="E3" s="472"/>
      <c r="F3" s="471" t="s">
        <v>233</v>
      </c>
      <c r="G3" s="472"/>
      <c r="H3" s="471" t="s">
        <v>234</v>
      </c>
      <c r="I3" s="472"/>
      <c r="K3" s="468" t="s">
        <v>2</v>
      </c>
      <c r="L3" s="470" t="s">
        <v>3</v>
      </c>
      <c r="M3" s="471" t="s">
        <v>232</v>
      </c>
      <c r="N3" s="472"/>
      <c r="O3" s="471" t="s">
        <v>233</v>
      </c>
      <c r="P3" s="472"/>
      <c r="Q3" s="471" t="s">
        <v>234</v>
      </c>
      <c r="R3" s="472"/>
    </row>
    <row r="4" spans="2:20" ht="26" x14ac:dyDescent="0.35">
      <c r="B4" s="469"/>
      <c r="C4" s="469"/>
      <c r="D4" s="245" t="s">
        <v>235</v>
      </c>
      <c r="E4" s="246" t="s">
        <v>236</v>
      </c>
      <c r="F4" s="245" t="s">
        <v>235</v>
      </c>
      <c r="G4" s="246" t="s">
        <v>236</v>
      </c>
      <c r="H4" s="245" t="s">
        <v>235</v>
      </c>
      <c r="I4" s="246" t="s">
        <v>236</v>
      </c>
      <c r="K4" s="469"/>
      <c r="L4" s="469"/>
      <c r="M4" s="245" t="s">
        <v>235</v>
      </c>
      <c r="N4" s="246" t="s">
        <v>236</v>
      </c>
      <c r="O4" s="245" t="s">
        <v>235</v>
      </c>
      <c r="P4" s="246" t="s">
        <v>236</v>
      </c>
      <c r="Q4" s="245" t="s">
        <v>235</v>
      </c>
      <c r="R4" s="246" t="s">
        <v>236</v>
      </c>
    </row>
    <row r="5" spans="2:20" x14ac:dyDescent="0.35">
      <c r="B5" s="53" t="s">
        <v>154</v>
      </c>
      <c r="C5" s="247" t="str">
        <f>VAC_Optim_Scenario!B17</f>
        <v>HCC In Office</v>
      </c>
      <c r="D5" s="248">
        <v>3081000</v>
      </c>
      <c r="E5" s="249">
        <v>15505097.624899359</v>
      </c>
      <c r="F5" s="248">
        <v>1659000</v>
      </c>
      <c r="G5" s="249">
        <v>5231470.2092302376</v>
      </c>
      <c r="H5" s="248">
        <v>3081000</v>
      </c>
      <c r="I5" s="249">
        <v>31010195.249798719</v>
      </c>
      <c r="J5" s="250"/>
      <c r="K5" s="53" t="s">
        <v>154</v>
      </c>
      <c r="L5" s="53" t="str">
        <f>VAC_Optim_Scenario!B17</f>
        <v>HCC In Office</v>
      </c>
      <c r="M5" s="251">
        <f>D5/1000000</f>
        <v>3.081</v>
      </c>
      <c r="N5" s="252">
        <f t="shared" ref="N5:R13" si="0">E5/1000000</f>
        <v>15.50509762489936</v>
      </c>
      <c r="O5" s="251">
        <f t="shared" si="0"/>
        <v>1.659</v>
      </c>
      <c r="P5" s="252">
        <f t="shared" si="0"/>
        <v>5.2314702092302374</v>
      </c>
      <c r="Q5" s="251">
        <f t="shared" si="0"/>
        <v>3.081</v>
      </c>
      <c r="R5" s="252">
        <f t="shared" si="0"/>
        <v>31.01019524979872</v>
      </c>
    </row>
    <row r="6" spans="2:20" x14ac:dyDescent="0.35">
      <c r="B6" s="54" t="s">
        <v>154</v>
      </c>
      <c r="C6" s="253" t="str">
        <f>VAC_Optim_Scenario!B18</f>
        <v>HCP MCM</v>
      </c>
      <c r="D6" s="254">
        <v>7913749.9886468202</v>
      </c>
      <c r="E6" s="255">
        <v>57060597.324814886</v>
      </c>
      <c r="F6" s="254">
        <v>7913749.9886468202</v>
      </c>
      <c r="G6" s="255">
        <v>28530298.662407443</v>
      </c>
      <c r="H6" s="254">
        <v>7913749.9886468202</v>
      </c>
      <c r="I6" s="255">
        <v>114121194.64962977</v>
      </c>
      <c r="J6" s="250"/>
      <c r="K6" s="54" t="s">
        <v>154</v>
      </c>
      <c r="L6" s="54" t="str">
        <f>VAC_Optim_Scenario!B18</f>
        <v>HCP MCM</v>
      </c>
      <c r="M6" s="256">
        <f t="shared" ref="M6:M13" si="1">D6/1000000</f>
        <v>7.9137499886468206</v>
      </c>
      <c r="N6" s="257">
        <f t="shared" si="0"/>
        <v>57.060597324814886</v>
      </c>
      <c r="O6" s="256">
        <f t="shared" si="0"/>
        <v>7.9137499886468206</v>
      </c>
      <c r="P6" s="257">
        <f t="shared" si="0"/>
        <v>28.530298662407443</v>
      </c>
      <c r="Q6" s="256">
        <f t="shared" si="0"/>
        <v>7.9137499886468206</v>
      </c>
      <c r="R6" s="257">
        <f t="shared" si="0"/>
        <v>114.12119464962977</v>
      </c>
    </row>
    <row r="7" spans="2:20" x14ac:dyDescent="0.35">
      <c r="B7" s="54" t="s">
        <v>154</v>
      </c>
      <c r="C7" s="253" t="str">
        <f>VAC_Optim_Scenario!B19</f>
        <v>HCC Social</v>
      </c>
      <c r="D7" s="254">
        <v>2938000</v>
      </c>
      <c r="E7" s="255">
        <v>12484947.958885178</v>
      </c>
      <c r="F7" s="254">
        <v>1582000</v>
      </c>
      <c r="G7" s="255">
        <v>4305757.3675515149</v>
      </c>
      <c r="H7" s="254">
        <v>2938000</v>
      </c>
      <c r="I7" s="255">
        <v>24969895.917770356</v>
      </c>
      <c r="J7" s="258"/>
      <c r="K7" s="54" t="s">
        <v>154</v>
      </c>
      <c r="L7" s="54" t="str">
        <f>VAC_Optim_Scenario!B19</f>
        <v>HCC Social</v>
      </c>
      <c r="M7" s="256">
        <f t="shared" si="1"/>
        <v>2.9380000000000002</v>
      </c>
      <c r="N7" s="257">
        <f t="shared" si="0"/>
        <v>12.484947958885177</v>
      </c>
      <c r="O7" s="256">
        <f t="shared" si="0"/>
        <v>1.5820000000000001</v>
      </c>
      <c r="P7" s="257">
        <f t="shared" si="0"/>
        <v>4.3057573675515153</v>
      </c>
      <c r="Q7" s="256">
        <f t="shared" si="0"/>
        <v>2.9380000000000002</v>
      </c>
      <c r="R7" s="257">
        <f t="shared" si="0"/>
        <v>24.969895917770355</v>
      </c>
    </row>
    <row r="8" spans="2:20" x14ac:dyDescent="0.35">
      <c r="B8" s="54" t="s">
        <v>154</v>
      </c>
      <c r="C8" s="253" t="str">
        <f>VAC_Optim_Scenario!B20</f>
        <v>HCC Online Video</v>
      </c>
      <c r="D8" s="254">
        <v>693000</v>
      </c>
      <c r="E8" s="255">
        <v>1393371.6974633737</v>
      </c>
      <c r="F8" s="254">
        <v>693000</v>
      </c>
      <c r="G8" s="255">
        <v>696685.84873168683</v>
      </c>
      <c r="H8" s="254">
        <v>1287000</v>
      </c>
      <c r="I8" s="255">
        <v>5072075.9622077979</v>
      </c>
      <c r="J8" s="250"/>
      <c r="K8" s="54" t="s">
        <v>154</v>
      </c>
      <c r="L8" s="54" t="str">
        <f>VAC_Optim_Scenario!B20</f>
        <v>HCC Online Video</v>
      </c>
      <c r="M8" s="256">
        <f t="shared" si="1"/>
        <v>0.69299999999999995</v>
      </c>
      <c r="N8" s="257">
        <f t="shared" si="0"/>
        <v>1.3933716974633736</v>
      </c>
      <c r="O8" s="256">
        <f t="shared" si="0"/>
        <v>0.69299999999999995</v>
      </c>
      <c r="P8" s="257">
        <f t="shared" si="0"/>
        <v>0.69668584873168682</v>
      </c>
      <c r="Q8" s="256">
        <f t="shared" si="0"/>
        <v>1.2869999999999999</v>
      </c>
      <c r="R8" s="257">
        <f t="shared" si="0"/>
        <v>5.0720759622077978</v>
      </c>
    </row>
    <row r="9" spans="2:20" x14ac:dyDescent="0.35">
      <c r="B9" s="54" t="s">
        <v>154</v>
      </c>
      <c r="C9" s="253" t="str">
        <f>VAC_Optim_Scenario!B21</f>
        <v>HCC Streaming Video</v>
      </c>
      <c r="D9" s="254">
        <v>3941643.9999999995</v>
      </c>
      <c r="E9" s="255">
        <v>16046723.043048661</v>
      </c>
      <c r="F9" s="254">
        <v>3941643.9999999995</v>
      </c>
      <c r="G9" s="255">
        <v>8023361.5215243306</v>
      </c>
      <c r="H9" s="254">
        <v>7320196</v>
      </c>
      <c r="I9" s="255">
        <v>46528980.850825705</v>
      </c>
      <c r="J9" s="258"/>
      <c r="K9" s="54" t="s">
        <v>154</v>
      </c>
      <c r="L9" s="54" t="str">
        <f>VAC_Optim_Scenario!B21</f>
        <v>HCC Streaming Video</v>
      </c>
      <c r="M9" s="256">
        <f t="shared" si="1"/>
        <v>3.9416439999999997</v>
      </c>
      <c r="N9" s="257">
        <f t="shared" si="0"/>
        <v>16.046723043048662</v>
      </c>
      <c r="O9" s="256">
        <f t="shared" si="0"/>
        <v>3.9416439999999997</v>
      </c>
      <c r="P9" s="257">
        <f t="shared" si="0"/>
        <v>8.0233615215243308</v>
      </c>
      <c r="Q9" s="256">
        <f t="shared" si="0"/>
        <v>7.3201960000000001</v>
      </c>
      <c r="R9" s="257">
        <f t="shared" si="0"/>
        <v>46.528980850825704</v>
      </c>
    </row>
    <row r="10" spans="2:20" x14ac:dyDescent="0.35">
      <c r="B10" s="54" t="s">
        <v>154</v>
      </c>
      <c r="C10" s="253" t="str">
        <f>VAC_Optim_Scenario!B22</f>
        <v>HCC Display</v>
      </c>
      <c r="D10" s="254">
        <v>1921400</v>
      </c>
      <c r="E10" s="255">
        <v>18796150.349974733</v>
      </c>
      <c r="F10" s="254">
        <v>1921400</v>
      </c>
      <c r="G10" s="255">
        <v>9398075.1749873664</v>
      </c>
      <c r="H10" s="254">
        <v>1921400</v>
      </c>
      <c r="I10" s="255">
        <v>37592300.699949466</v>
      </c>
      <c r="J10" s="258"/>
      <c r="K10" s="54" t="s">
        <v>154</v>
      </c>
      <c r="L10" s="54" t="str">
        <f>VAC_Optim_Scenario!B22</f>
        <v>HCC Display</v>
      </c>
      <c r="M10" s="256">
        <f t="shared" si="1"/>
        <v>1.9214</v>
      </c>
      <c r="N10" s="257">
        <f t="shared" si="0"/>
        <v>18.796150349974734</v>
      </c>
      <c r="O10" s="256">
        <f t="shared" si="0"/>
        <v>1.9214</v>
      </c>
      <c r="P10" s="257">
        <f t="shared" si="0"/>
        <v>9.3980751749873672</v>
      </c>
      <c r="Q10" s="256">
        <f t="shared" si="0"/>
        <v>1.9214</v>
      </c>
      <c r="R10" s="257">
        <f t="shared" si="0"/>
        <v>37.592300699949469</v>
      </c>
    </row>
    <row r="11" spans="2:20" x14ac:dyDescent="0.35">
      <c r="B11" s="54" t="s">
        <v>154</v>
      </c>
      <c r="C11" s="253" t="str">
        <f>VAC_Optim_Scenario!B23</f>
        <v>HCC Paid Search</v>
      </c>
      <c r="D11" s="254">
        <v>1232000</v>
      </c>
      <c r="E11" s="255">
        <v>1724376.7699591145</v>
      </c>
      <c r="F11" s="254">
        <v>1232000</v>
      </c>
      <c r="G11" s="255">
        <v>862188.38497955725</v>
      </c>
      <c r="H11" s="254">
        <v>1232000</v>
      </c>
      <c r="I11" s="255">
        <v>3448753.539918229</v>
      </c>
      <c r="J11" s="250"/>
      <c r="K11" s="54" t="s">
        <v>154</v>
      </c>
      <c r="L11" s="54" t="str">
        <f>VAC_Optim_Scenario!B23</f>
        <v>HCC Paid Search</v>
      </c>
      <c r="M11" s="256">
        <f t="shared" si="1"/>
        <v>1.232</v>
      </c>
      <c r="N11" s="257">
        <f t="shared" si="0"/>
        <v>1.7243767699591146</v>
      </c>
      <c r="O11" s="256">
        <f t="shared" si="0"/>
        <v>1.232</v>
      </c>
      <c r="P11" s="257">
        <f t="shared" si="0"/>
        <v>0.8621883849795573</v>
      </c>
      <c r="Q11" s="256">
        <f t="shared" si="0"/>
        <v>1.232</v>
      </c>
      <c r="R11" s="257">
        <f t="shared" si="0"/>
        <v>3.4487535399182292</v>
      </c>
    </row>
    <row r="12" spans="2:20" x14ac:dyDescent="0.35">
      <c r="B12" s="54" t="s">
        <v>154</v>
      </c>
      <c r="C12" s="253" t="str">
        <f>VAC_Optim_Scenario!B24</f>
        <v>HCC Audio</v>
      </c>
      <c r="D12" s="254">
        <v>1599670.8676800225</v>
      </c>
      <c r="E12" s="255">
        <v>9996421.98813181</v>
      </c>
      <c r="F12" s="254">
        <v>913707.9</v>
      </c>
      <c r="G12" s="255">
        <v>3995078.1857456174</v>
      </c>
      <c r="H12" s="254">
        <v>1696886.1</v>
      </c>
      <c r="I12" s="255">
        <v>20470261.90992026</v>
      </c>
      <c r="J12" s="250"/>
      <c r="K12" s="54" t="s">
        <v>154</v>
      </c>
      <c r="L12" s="54" t="str">
        <f>VAC_Optim_Scenario!B24</f>
        <v>HCC Audio</v>
      </c>
      <c r="M12" s="256">
        <f t="shared" si="1"/>
        <v>1.5996708676800224</v>
      </c>
      <c r="N12" s="257">
        <f t="shared" si="0"/>
        <v>9.9964219881318108</v>
      </c>
      <c r="O12" s="256">
        <f t="shared" si="0"/>
        <v>0.91370790000000002</v>
      </c>
      <c r="P12" s="257">
        <f t="shared" si="0"/>
        <v>3.9950781857456175</v>
      </c>
      <c r="Q12" s="256">
        <f t="shared" si="0"/>
        <v>1.6968861000000002</v>
      </c>
      <c r="R12" s="257">
        <f t="shared" si="0"/>
        <v>20.470261909920261</v>
      </c>
    </row>
    <row r="13" spans="2:20" x14ac:dyDescent="0.35">
      <c r="B13" s="267" t="s">
        <v>154</v>
      </c>
      <c r="C13" s="238" t="str">
        <f>VAC_Optim_Scenario!B25</f>
        <v>HCC Linear TV</v>
      </c>
      <c r="D13" s="268">
        <v>15034299.993673161</v>
      </c>
      <c r="E13" s="268">
        <v>62633387.738168843</v>
      </c>
      <c r="F13" s="268">
        <v>11531133.494999999</v>
      </c>
      <c r="G13" s="268">
        <v>26708480.43695968</v>
      </c>
      <c r="H13" s="268">
        <v>18498262.961353183</v>
      </c>
      <c r="I13" s="268">
        <v>141861497.65733996</v>
      </c>
      <c r="J13" s="250"/>
      <c r="K13" s="267" t="s">
        <v>154</v>
      </c>
      <c r="L13" s="267" t="str">
        <f>VAC_Optim_Scenario!B25</f>
        <v>HCC Linear TV</v>
      </c>
      <c r="M13" s="261">
        <f t="shared" si="1"/>
        <v>15.034299993673161</v>
      </c>
      <c r="N13" s="261">
        <f t="shared" si="0"/>
        <v>62.633387738168842</v>
      </c>
      <c r="O13" s="261">
        <f t="shared" si="0"/>
        <v>11.531133494999999</v>
      </c>
      <c r="P13" s="261">
        <f t="shared" si="0"/>
        <v>26.708480436959679</v>
      </c>
      <c r="Q13" s="261">
        <f t="shared" si="0"/>
        <v>18.498262961353184</v>
      </c>
      <c r="R13" s="261">
        <f t="shared" si="0"/>
        <v>141.86149765733995</v>
      </c>
    </row>
    <row r="14" spans="2:20" x14ac:dyDescent="0.35">
      <c r="T14" s="310"/>
    </row>
    <row r="15" spans="2:20" x14ac:dyDescent="0.35">
      <c r="C15" s="244" t="s">
        <v>238</v>
      </c>
    </row>
    <row r="17" spans="2:19" ht="37.9" customHeight="1" x14ac:dyDescent="0.35">
      <c r="C17" s="470" t="s">
        <v>3</v>
      </c>
      <c r="D17" s="471" t="s">
        <v>232</v>
      </c>
      <c r="E17" s="472"/>
      <c r="F17" s="471" t="s">
        <v>239</v>
      </c>
      <c r="G17" s="472"/>
      <c r="H17" s="471" t="s">
        <v>240</v>
      </c>
      <c r="I17" s="472"/>
      <c r="L17" s="470" t="s">
        <v>3</v>
      </c>
      <c r="M17" s="471" t="s">
        <v>232</v>
      </c>
      <c r="N17" s="472"/>
      <c r="O17" s="471" t="s">
        <v>239</v>
      </c>
      <c r="P17" s="472"/>
      <c r="Q17" s="471" t="s">
        <v>240</v>
      </c>
      <c r="R17" s="472"/>
    </row>
    <row r="18" spans="2:19" ht="26" x14ac:dyDescent="0.35">
      <c r="C18" s="469"/>
      <c r="D18" s="55" t="s">
        <v>235</v>
      </c>
      <c r="E18" s="55" t="s">
        <v>236</v>
      </c>
      <c r="F18" s="55" t="s">
        <v>235</v>
      </c>
      <c r="G18" s="55" t="s">
        <v>236</v>
      </c>
      <c r="H18" s="55" t="s">
        <v>235</v>
      </c>
      <c r="I18" s="55" t="s">
        <v>236</v>
      </c>
      <c r="L18" s="469"/>
      <c r="M18" s="55" t="s">
        <v>235</v>
      </c>
      <c r="N18" s="55" t="s">
        <v>236</v>
      </c>
      <c r="O18" s="55" t="s">
        <v>235</v>
      </c>
      <c r="P18" s="55" t="s">
        <v>236</v>
      </c>
      <c r="Q18" s="55" t="s">
        <v>235</v>
      </c>
      <c r="R18" s="55" t="s">
        <v>236</v>
      </c>
    </row>
    <row r="19" spans="2:19" x14ac:dyDescent="0.35">
      <c r="B19" s="53" t="s">
        <v>154</v>
      </c>
      <c r="C19" s="247" t="str">
        <f>VAC_Optim_Scenario!B17</f>
        <v>HCC In Office</v>
      </c>
      <c r="D19" s="248">
        <v>3081000</v>
      </c>
      <c r="E19" s="249">
        <v>15505097.624899359</v>
      </c>
      <c r="F19" s="248">
        <v>1976029.1300433497</v>
      </c>
      <c r="G19" s="249">
        <v>7097337.0795079041</v>
      </c>
      <c r="H19" s="248">
        <v>3081000</v>
      </c>
      <c r="I19" s="249">
        <v>21707136.674859103</v>
      </c>
      <c r="J19" s="250"/>
      <c r="K19" s="53" t="s">
        <v>154</v>
      </c>
      <c r="L19" s="247" t="str">
        <f>VAC_Optim_Scenario!B17</f>
        <v>HCC In Office</v>
      </c>
      <c r="M19" s="251">
        <f>D19/1000000</f>
        <v>3.081</v>
      </c>
      <c r="N19" s="252">
        <f t="shared" ref="N19:R27" si="2">E19/1000000</f>
        <v>15.50509762489936</v>
      </c>
      <c r="O19" s="251">
        <f t="shared" si="2"/>
        <v>1.9760291300433497</v>
      </c>
      <c r="P19" s="252">
        <f t="shared" si="2"/>
        <v>7.0973370795079038</v>
      </c>
      <c r="Q19" s="251">
        <f t="shared" si="2"/>
        <v>3.081</v>
      </c>
      <c r="R19" s="252">
        <f t="shared" si="2"/>
        <v>21.707136674859104</v>
      </c>
    </row>
    <row r="20" spans="2:19" x14ac:dyDescent="0.35">
      <c r="B20" s="54" t="s">
        <v>154</v>
      </c>
      <c r="C20" s="253" t="str">
        <f>VAC_Optim_Scenario!B18</f>
        <v>HCP MCM</v>
      </c>
      <c r="D20" s="254">
        <v>7913749.9886468202</v>
      </c>
      <c r="E20" s="255">
        <v>57060597.324814886</v>
      </c>
      <c r="F20" s="254">
        <v>7913749.9886468202</v>
      </c>
      <c r="G20" s="255">
        <v>34236358.39488893</v>
      </c>
      <c r="H20" s="254">
        <v>7913749.9886468202</v>
      </c>
      <c r="I20" s="255">
        <v>79884836.254740834</v>
      </c>
      <c r="J20" s="250"/>
      <c r="K20" s="54" t="s">
        <v>154</v>
      </c>
      <c r="L20" s="253" t="str">
        <f>VAC_Optim_Scenario!B18</f>
        <v>HCP MCM</v>
      </c>
      <c r="M20" s="256">
        <f t="shared" ref="M20:M27" si="3">D20/1000000</f>
        <v>7.9137499886468206</v>
      </c>
      <c r="N20" s="257">
        <f t="shared" si="2"/>
        <v>57.060597324814886</v>
      </c>
      <c r="O20" s="256">
        <f t="shared" si="2"/>
        <v>7.9137499886468206</v>
      </c>
      <c r="P20" s="257">
        <f t="shared" si="2"/>
        <v>34.236358394888931</v>
      </c>
      <c r="Q20" s="256">
        <f t="shared" si="2"/>
        <v>7.9137499886468206</v>
      </c>
      <c r="R20" s="257">
        <f t="shared" si="2"/>
        <v>79.884836254740833</v>
      </c>
    </row>
    <row r="21" spans="2:19" x14ac:dyDescent="0.35">
      <c r="B21" s="54" t="s">
        <v>154</v>
      </c>
      <c r="C21" s="253" t="str">
        <f>VAC_Optim_Scenario!B19</f>
        <v>HCC Social</v>
      </c>
      <c r="D21" s="254">
        <v>2938000</v>
      </c>
      <c r="E21" s="255">
        <v>12484947.958885178</v>
      </c>
      <c r="F21" s="254">
        <v>1582000</v>
      </c>
      <c r="G21" s="255">
        <v>5166908.8410618175</v>
      </c>
      <c r="H21" s="254">
        <v>2938000</v>
      </c>
      <c r="I21" s="255">
        <v>17478927.142439246</v>
      </c>
      <c r="J21" s="258"/>
      <c r="K21" s="54" t="s">
        <v>154</v>
      </c>
      <c r="L21" s="253" t="str">
        <f>VAC_Optim_Scenario!B19</f>
        <v>HCC Social</v>
      </c>
      <c r="M21" s="256">
        <f t="shared" si="3"/>
        <v>2.9380000000000002</v>
      </c>
      <c r="N21" s="257">
        <f t="shared" si="2"/>
        <v>12.484947958885177</v>
      </c>
      <c r="O21" s="256">
        <f t="shared" si="2"/>
        <v>1.5820000000000001</v>
      </c>
      <c r="P21" s="257">
        <f t="shared" si="2"/>
        <v>5.1669088410618178</v>
      </c>
      <c r="Q21" s="256">
        <f t="shared" si="2"/>
        <v>2.9380000000000002</v>
      </c>
      <c r="R21" s="257">
        <f t="shared" si="2"/>
        <v>17.478927142439247</v>
      </c>
    </row>
    <row r="22" spans="2:19" x14ac:dyDescent="0.35">
      <c r="B22" s="54" t="s">
        <v>154</v>
      </c>
      <c r="C22" s="253" t="str">
        <f>VAC_Optim_Scenario!B20</f>
        <v>HCC Online Video</v>
      </c>
      <c r="D22" s="254">
        <v>693000</v>
      </c>
      <c r="E22" s="255">
        <v>1393371.6974633737</v>
      </c>
      <c r="F22" s="254">
        <v>693000</v>
      </c>
      <c r="G22" s="255">
        <v>836023.01847802405</v>
      </c>
      <c r="H22" s="254">
        <v>1287000</v>
      </c>
      <c r="I22" s="255">
        <v>3550453.1735454584</v>
      </c>
      <c r="J22" s="250"/>
      <c r="K22" s="54" t="s">
        <v>154</v>
      </c>
      <c r="L22" s="253" t="str">
        <f>VAC_Optim_Scenario!B20</f>
        <v>HCC Online Video</v>
      </c>
      <c r="M22" s="256">
        <f t="shared" si="3"/>
        <v>0.69299999999999995</v>
      </c>
      <c r="N22" s="257">
        <f t="shared" si="2"/>
        <v>1.3933716974633736</v>
      </c>
      <c r="O22" s="256">
        <f t="shared" si="2"/>
        <v>0.69299999999999995</v>
      </c>
      <c r="P22" s="257">
        <f t="shared" si="2"/>
        <v>0.83602301847802407</v>
      </c>
      <c r="Q22" s="256">
        <f t="shared" si="2"/>
        <v>1.2869999999999999</v>
      </c>
      <c r="R22" s="257">
        <f t="shared" si="2"/>
        <v>3.5504531735454585</v>
      </c>
    </row>
    <row r="23" spans="2:19" x14ac:dyDescent="0.35">
      <c r="B23" s="54" t="s">
        <v>154</v>
      </c>
      <c r="C23" s="253" t="str">
        <f>VAC_Optim_Scenario!B21</f>
        <v>HCC Streaming Video</v>
      </c>
      <c r="D23" s="254">
        <v>3941643.9999999995</v>
      </c>
      <c r="E23" s="255">
        <v>16046723.043048661</v>
      </c>
      <c r="F23" s="254">
        <v>3941643.9999999995</v>
      </c>
      <c r="G23" s="255">
        <v>9628033.8258291967</v>
      </c>
      <c r="H23" s="254">
        <v>7133528.9098028336</v>
      </c>
      <c r="I23" s="255">
        <v>32069383.393545374</v>
      </c>
      <c r="J23" s="258"/>
      <c r="K23" s="54" t="s">
        <v>154</v>
      </c>
      <c r="L23" s="253" t="str">
        <f>VAC_Optim_Scenario!B21</f>
        <v>HCC Streaming Video</v>
      </c>
      <c r="M23" s="256">
        <f t="shared" si="3"/>
        <v>3.9416439999999997</v>
      </c>
      <c r="N23" s="257">
        <f t="shared" si="2"/>
        <v>16.046723043048662</v>
      </c>
      <c r="O23" s="256">
        <f t="shared" si="2"/>
        <v>3.9416439999999997</v>
      </c>
      <c r="P23" s="257">
        <f t="shared" si="2"/>
        <v>9.6280338258291973</v>
      </c>
      <c r="Q23" s="256">
        <f t="shared" si="2"/>
        <v>7.1335289098028332</v>
      </c>
      <c r="R23" s="257">
        <f t="shared" si="2"/>
        <v>32.069383393545372</v>
      </c>
    </row>
    <row r="24" spans="2:19" x14ac:dyDescent="0.35">
      <c r="B24" s="54" t="s">
        <v>154</v>
      </c>
      <c r="C24" s="253" t="str">
        <f>VAC_Optim_Scenario!B22</f>
        <v>HCC Display</v>
      </c>
      <c r="D24" s="254">
        <v>1921400</v>
      </c>
      <c r="E24" s="255">
        <v>18796150.349974733</v>
      </c>
      <c r="F24" s="254">
        <v>1921400</v>
      </c>
      <c r="G24" s="255">
        <v>11277690.209984839</v>
      </c>
      <c r="H24" s="254">
        <v>1921400</v>
      </c>
      <c r="I24" s="255">
        <v>26314610.489964623</v>
      </c>
      <c r="J24" s="258"/>
      <c r="K24" s="54" t="s">
        <v>154</v>
      </c>
      <c r="L24" s="253" t="str">
        <f>VAC_Optim_Scenario!B22</f>
        <v>HCC Display</v>
      </c>
      <c r="M24" s="256">
        <f t="shared" si="3"/>
        <v>1.9214</v>
      </c>
      <c r="N24" s="257">
        <f t="shared" si="2"/>
        <v>18.796150349974734</v>
      </c>
      <c r="O24" s="256">
        <f t="shared" si="2"/>
        <v>1.9214</v>
      </c>
      <c r="P24" s="257">
        <f t="shared" si="2"/>
        <v>11.277690209984838</v>
      </c>
      <c r="Q24" s="256">
        <f t="shared" si="2"/>
        <v>1.9214</v>
      </c>
      <c r="R24" s="257">
        <f t="shared" si="2"/>
        <v>26.314610489964622</v>
      </c>
    </row>
    <row r="25" spans="2:19" x14ac:dyDescent="0.35">
      <c r="B25" s="54" t="s">
        <v>154</v>
      </c>
      <c r="C25" s="253" t="str">
        <f>VAC_Optim_Scenario!B23</f>
        <v>HCC Paid Search</v>
      </c>
      <c r="D25" s="254">
        <v>1232000</v>
      </c>
      <c r="E25" s="255">
        <v>1724376.7699591145</v>
      </c>
      <c r="F25" s="254">
        <v>1232000</v>
      </c>
      <c r="G25" s="255">
        <v>1034626.0619754686</v>
      </c>
      <c r="H25" s="254">
        <v>1232000</v>
      </c>
      <c r="I25" s="255">
        <v>2414127.4779427601</v>
      </c>
      <c r="J25" s="258"/>
      <c r="K25" s="54" t="s">
        <v>154</v>
      </c>
      <c r="L25" s="253" t="str">
        <f>VAC_Optim_Scenario!B23</f>
        <v>HCC Paid Search</v>
      </c>
      <c r="M25" s="256">
        <f t="shared" si="3"/>
        <v>1.232</v>
      </c>
      <c r="N25" s="257">
        <f t="shared" si="2"/>
        <v>1.7243767699591146</v>
      </c>
      <c r="O25" s="256">
        <f t="shared" si="2"/>
        <v>1.232</v>
      </c>
      <c r="P25" s="257">
        <f t="shared" si="2"/>
        <v>1.0346260619754686</v>
      </c>
      <c r="Q25" s="256">
        <f t="shared" si="2"/>
        <v>1.232</v>
      </c>
      <c r="R25" s="257">
        <f t="shared" si="2"/>
        <v>2.4141274779427602</v>
      </c>
    </row>
    <row r="26" spans="2:19" x14ac:dyDescent="0.35">
      <c r="B26" s="54" t="s">
        <v>154</v>
      </c>
      <c r="C26" s="253" t="str">
        <f>VAC_Optim_Scenario!B24</f>
        <v>HCC Audio</v>
      </c>
      <c r="D26" s="254">
        <v>1599670.7428443772</v>
      </c>
      <c r="E26" s="255">
        <v>9996421.676090166</v>
      </c>
      <c r="F26" s="254">
        <v>913707.89999999991</v>
      </c>
      <c r="G26" s="255">
        <v>4794093.8228947408</v>
      </c>
      <c r="H26" s="254">
        <v>1696886.1</v>
      </c>
      <c r="I26" s="255">
        <v>14329183.336944181</v>
      </c>
      <c r="J26" s="258"/>
      <c r="K26" s="54" t="s">
        <v>154</v>
      </c>
      <c r="L26" s="253" t="str">
        <f>VAC_Optim_Scenario!B24</f>
        <v>HCC Audio</v>
      </c>
      <c r="M26" s="256">
        <f t="shared" si="3"/>
        <v>1.5996707428443773</v>
      </c>
      <c r="N26" s="257">
        <f t="shared" si="2"/>
        <v>9.9964216760901667</v>
      </c>
      <c r="O26" s="256">
        <f t="shared" si="2"/>
        <v>0.91370789999999991</v>
      </c>
      <c r="P26" s="257">
        <f t="shared" si="2"/>
        <v>4.794093822894741</v>
      </c>
      <c r="Q26" s="256">
        <f t="shared" si="2"/>
        <v>1.6968861000000002</v>
      </c>
      <c r="R26" s="257">
        <f t="shared" si="2"/>
        <v>14.329183336944181</v>
      </c>
    </row>
    <row r="27" spans="2:19" x14ac:dyDescent="0.35">
      <c r="B27" s="267" t="s">
        <v>154</v>
      </c>
      <c r="C27" s="238" t="str">
        <f>VAC_Optim_Scenario!B25</f>
        <v>HCC Linear TV</v>
      </c>
      <c r="D27" s="268">
        <v>15034300.118508808</v>
      </c>
      <c r="E27" s="268">
        <v>62633388.050210491</v>
      </c>
      <c r="F27" s="268">
        <v>11531133.494999999</v>
      </c>
      <c r="G27" s="268">
        <v>32050176.524351615</v>
      </c>
      <c r="H27" s="268">
        <v>17521435.993065551</v>
      </c>
      <c r="I27" s="268">
        <v>96122670.742821991</v>
      </c>
      <c r="J27" s="258"/>
      <c r="K27" s="267" t="s">
        <v>154</v>
      </c>
      <c r="L27" s="238" t="str">
        <f>VAC_Optim_Scenario!B25</f>
        <v>HCC Linear TV</v>
      </c>
      <c r="M27" s="261">
        <f t="shared" si="3"/>
        <v>15.034300118508808</v>
      </c>
      <c r="N27" s="261">
        <f t="shared" si="2"/>
        <v>62.633388050210492</v>
      </c>
      <c r="O27" s="261">
        <f t="shared" si="2"/>
        <v>11.531133494999999</v>
      </c>
      <c r="P27" s="261">
        <f t="shared" si="2"/>
        <v>32.050176524351613</v>
      </c>
      <c r="Q27" s="261">
        <f t="shared" si="2"/>
        <v>17.521435993065552</v>
      </c>
      <c r="R27" s="261">
        <f t="shared" si="2"/>
        <v>96.122670742821995</v>
      </c>
    </row>
    <row r="30" spans="2:19" ht="34.4" customHeight="1" x14ac:dyDescent="0.35">
      <c r="C30" s="337" t="s">
        <v>3</v>
      </c>
      <c r="D30" s="338" t="s">
        <v>241</v>
      </c>
      <c r="E30" s="259">
        <v>-0.5</v>
      </c>
      <c r="F30" s="259">
        <v>2</v>
      </c>
      <c r="G30" s="259">
        <v>-0.4</v>
      </c>
      <c r="H30" s="259">
        <v>0.4</v>
      </c>
      <c r="J30" s="97" t="s">
        <v>3</v>
      </c>
      <c r="K30" s="97" t="s">
        <v>224</v>
      </c>
      <c r="L30" s="97" t="s">
        <v>225</v>
      </c>
      <c r="M30" s="97" t="s">
        <v>226</v>
      </c>
      <c r="N30" s="97" t="s">
        <v>244</v>
      </c>
      <c r="O30" s="97" t="s">
        <v>246</v>
      </c>
      <c r="P30" s="97" t="s">
        <v>227</v>
      </c>
      <c r="Q30" s="97" t="s">
        <v>228</v>
      </c>
      <c r="R30" s="97" t="s">
        <v>190</v>
      </c>
      <c r="S30" s="97" t="s">
        <v>187</v>
      </c>
    </row>
    <row r="31" spans="2:19" x14ac:dyDescent="0.35">
      <c r="B31" s="53" t="s">
        <v>154</v>
      </c>
      <c r="C31" s="311" t="str">
        <f>VAC_Optim_Scenario!B17</f>
        <v>HCC In Office</v>
      </c>
      <c r="D31" s="339">
        <f>M19</f>
        <v>3.081</v>
      </c>
      <c r="E31" s="339">
        <f>O5</f>
        <v>1.659</v>
      </c>
      <c r="F31" s="339">
        <f>Q5</f>
        <v>3.081</v>
      </c>
      <c r="G31" s="339">
        <f>O19</f>
        <v>1.9760291300433497</v>
      </c>
      <c r="H31" s="339">
        <f>Q19</f>
        <v>3.081</v>
      </c>
      <c r="J31" s="260">
        <v>-0.5</v>
      </c>
      <c r="K31" s="261">
        <f>E$31</f>
        <v>1.659</v>
      </c>
      <c r="L31" s="261">
        <f>E$32</f>
        <v>7.9137499886468206</v>
      </c>
      <c r="M31" s="261">
        <f>E$33</f>
        <v>1.5820000000000001</v>
      </c>
      <c r="N31" s="261">
        <f>E$34</f>
        <v>0.69299999999999995</v>
      </c>
      <c r="O31" s="261">
        <f>E$35</f>
        <v>3.9416439999999997</v>
      </c>
      <c r="P31" s="261">
        <f>E$36</f>
        <v>1.9214</v>
      </c>
      <c r="Q31" s="261">
        <f>E$37</f>
        <v>1.232</v>
      </c>
      <c r="R31" s="261">
        <f>E$38</f>
        <v>0.91370790000000002</v>
      </c>
      <c r="S31" s="261">
        <f>E$39</f>
        <v>11.531133494999999</v>
      </c>
    </row>
    <row r="32" spans="2:19" x14ac:dyDescent="0.35">
      <c r="B32" s="54" t="s">
        <v>154</v>
      </c>
      <c r="C32" s="312" t="str">
        <f>VAC_Optim_Scenario!B18</f>
        <v>HCP MCM</v>
      </c>
      <c r="D32" s="340">
        <f t="shared" ref="D32:D39" si="4">M20</f>
        <v>7.9137499886468206</v>
      </c>
      <c r="E32" s="340">
        <f t="shared" ref="E32:E39" si="5">O6</f>
        <v>7.9137499886468206</v>
      </c>
      <c r="F32" s="340">
        <f t="shared" ref="F32:F39" si="6">Q6</f>
        <v>7.9137499886468206</v>
      </c>
      <c r="G32" s="340">
        <f t="shared" ref="G32:G39" si="7">O20</f>
        <v>7.9137499886468206</v>
      </c>
      <c r="H32" s="340">
        <f t="shared" ref="H32:H39" si="8">Q20</f>
        <v>7.9137499886468206</v>
      </c>
      <c r="J32" s="260">
        <v>-0.4</v>
      </c>
      <c r="K32" s="261">
        <f>G$31</f>
        <v>1.9760291300433497</v>
      </c>
      <c r="L32" s="261">
        <f>G$32</f>
        <v>7.9137499886468206</v>
      </c>
      <c r="M32" s="261">
        <f>G$33</f>
        <v>1.5820000000000001</v>
      </c>
      <c r="N32" s="261">
        <f>G$34</f>
        <v>0.69299999999999995</v>
      </c>
      <c r="O32" s="261">
        <f>G$35</f>
        <v>3.9416439999999997</v>
      </c>
      <c r="P32" s="261">
        <f>G$36</f>
        <v>1.9214</v>
      </c>
      <c r="Q32" s="261">
        <f>G$37</f>
        <v>1.232</v>
      </c>
      <c r="R32" s="261">
        <f>G$38</f>
        <v>0.91370789999999991</v>
      </c>
      <c r="S32" s="261">
        <f>G$39</f>
        <v>11.531133494999999</v>
      </c>
    </row>
    <row r="33" spans="2:22" x14ac:dyDescent="0.35">
      <c r="B33" s="54" t="s">
        <v>154</v>
      </c>
      <c r="C33" s="312" t="str">
        <f>VAC_Optim_Scenario!B19</f>
        <v>HCC Social</v>
      </c>
      <c r="D33" s="340">
        <f t="shared" si="4"/>
        <v>2.9380000000000002</v>
      </c>
      <c r="E33" s="340">
        <f t="shared" si="5"/>
        <v>1.5820000000000001</v>
      </c>
      <c r="F33" s="340">
        <f t="shared" si="6"/>
        <v>2.9380000000000002</v>
      </c>
      <c r="G33" s="340">
        <f t="shared" si="7"/>
        <v>1.5820000000000001</v>
      </c>
      <c r="H33" s="340">
        <f t="shared" si="8"/>
        <v>2.9380000000000002</v>
      </c>
      <c r="J33" s="260" t="s">
        <v>241</v>
      </c>
      <c r="K33" s="261">
        <f>D$31</f>
        <v>3.081</v>
      </c>
      <c r="L33" s="261">
        <f>D$32</f>
        <v>7.9137499886468206</v>
      </c>
      <c r="M33" s="261">
        <f>D$33</f>
        <v>2.9380000000000002</v>
      </c>
      <c r="N33" s="261">
        <f>D$34</f>
        <v>0.69299999999999995</v>
      </c>
      <c r="O33" s="261">
        <f>D$35</f>
        <v>3.9416439999999997</v>
      </c>
      <c r="P33" s="261">
        <f>D$36</f>
        <v>1.9214</v>
      </c>
      <c r="Q33" s="261">
        <f>D$37</f>
        <v>1.232</v>
      </c>
      <c r="R33" s="261">
        <f>D$38</f>
        <v>1.5996707428443773</v>
      </c>
      <c r="S33" s="261">
        <f>D$39</f>
        <v>15.034300118508808</v>
      </c>
    </row>
    <row r="34" spans="2:22" x14ac:dyDescent="0.35">
      <c r="B34" s="54" t="s">
        <v>154</v>
      </c>
      <c r="C34" s="312" t="str">
        <f>VAC_Optim_Scenario!B20</f>
        <v>HCC Online Video</v>
      </c>
      <c r="D34" s="340">
        <f t="shared" si="4"/>
        <v>0.69299999999999995</v>
      </c>
      <c r="E34" s="340">
        <f t="shared" si="5"/>
        <v>0.69299999999999995</v>
      </c>
      <c r="F34" s="340">
        <f t="shared" si="6"/>
        <v>1.2869999999999999</v>
      </c>
      <c r="G34" s="340">
        <f t="shared" si="7"/>
        <v>0.69299999999999995</v>
      </c>
      <c r="H34" s="340">
        <f t="shared" si="8"/>
        <v>1.2869999999999999</v>
      </c>
      <c r="J34" s="260">
        <v>0.4</v>
      </c>
      <c r="K34" s="261">
        <f>H$31</f>
        <v>3.081</v>
      </c>
      <c r="L34" s="261">
        <f>H$32</f>
        <v>7.9137499886468206</v>
      </c>
      <c r="M34" s="261">
        <f>H$33</f>
        <v>2.9380000000000002</v>
      </c>
      <c r="N34" s="261">
        <f>H$34</f>
        <v>1.2869999999999999</v>
      </c>
      <c r="O34" s="261">
        <f>H$35</f>
        <v>7.1335289098028332</v>
      </c>
      <c r="P34" s="261">
        <f>H$36</f>
        <v>1.9214</v>
      </c>
      <c r="Q34" s="261">
        <f>H$37</f>
        <v>1.232</v>
      </c>
      <c r="R34" s="261">
        <f>H$38</f>
        <v>1.6968861000000002</v>
      </c>
      <c r="S34" s="261">
        <f>H$39</f>
        <v>17.521435993065552</v>
      </c>
    </row>
    <row r="35" spans="2:22" x14ac:dyDescent="0.35">
      <c r="B35" s="54" t="s">
        <v>154</v>
      </c>
      <c r="C35" s="312" t="str">
        <f>VAC_Optim_Scenario!B21</f>
        <v>HCC Streaming Video</v>
      </c>
      <c r="D35" s="340">
        <f t="shared" si="4"/>
        <v>3.9416439999999997</v>
      </c>
      <c r="E35" s="340">
        <f t="shared" si="5"/>
        <v>3.9416439999999997</v>
      </c>
      <c r="F35" s="340">
        <f t="shared" si="6"/>
        <v>7.3201960000000001</v>
      </c>
      <c r="G35" s="340">
        <f t="shared" si="7"/>
        <v>3.9416439999999997</v>
      </c>
      <c r="H35" s="340">
        <f t="shared" si="8"/>
        <v>7.1335289098028332</v>
      </c>
      <c r="J35" s="259">
        <v>2</v>
      </c>
      <c r="K35" s="261">
        <f>F$31</f>
        <v>3.081</v>
      </c>
      <c r="L35" s="261">
        <f>F$32</f>
        <v>7.9137499886468206</v>
      </c>
      <c r="M35" s="261">
        <f>F$33</f>
        <v>2.9380000000000002</v>
      </c>
      <c r="N35" s="261">
        <f>F$34</f>
        <v>1.2869999999999999</v>
      </c>
      <c r="O35" s="261">
        <f>F$35</f>
        <v>7.3201960000000001</v>
      </c>
      <c r="P35" s="261">
        <f>F$36</f>
        <v>1.9214</v>
      </c>
      <c r="Q35" s="261">
        <f>F$37</f>
        <v>1.232</v>
      </c>
      <c r="R35" s="261">
        <f>F$38</f>
        <v>1.6968861000000002</v>
      </c>
      <c r="S35" s="261">
        <f>F$39</f>
        <v>18.498262961353184</v>
      </c>
    </row>
    <row r="36" spans="2:22" x14ac:dyDescent="0.35">
      <c r="B36" s="54" t="s">
        <v>154</v>
      </c>
      <c r="C36" s="312" t="str">
        <f>VAC_Optim_Scenario!B22</f>
        <v>HCC Display</v>
      </c>
      <c r="D36" s="340">
        <f t="shared" si="4"/>
        <v>1.9214</v>
      </c>
      <c r="E36" s="340">
        <f t="shared" si="5"/>
        <v>1.9214</v>
      </c>
      <c r="F36" s="340">
        <f t="shared" si="6"/>
        <v>1.9214</v>
      </c>
      <c r="G36" s="340">
        <f t="shared" si="7"/>
        <v>1.9214</v>
      </c>
      <c r="H36" s="340">
        <f t="shared" si="8"/>
        <v>1.9214</v>
      </c>
    </row>
    <row r="37" spans="2:22" x14ac:dyDescent="0.35">
      <c r="B37" s="54" t="s">
        <v>154</v>
      </c>
      <c r="C37" s="312" t="str">
        <f>VAC_Optim_Scenario!B23</f>
        <v>HCC Paid Search</v>
      </c>
      <c r="D37" s="340">
        <f t="shared" si="4"/>
        <v>1.232</v>
      </c>
      <c r="E37" s="340">
        <f t="shared" si="5"/>
        <v>1.232</v>
      </c>
      <c r="F37" s="340">
        <f t="shared" si="6"/>
        <v>1.232</v>
      </c>
      <c r="G37" s="340">
        <f t="shared" si="7"/>
        <v>1.232</v>
      </c>
      <c r="H37" s="340">
        <f t="shared" si="8"/>
        <v>1.232</v>
      </c>
      <c r="J37" s="277"/>
      <c r="K37" s="262"/>
      <c r="L37" s="262"/>
      <c r="M37" s="262"/>
      <c r="N37" s="262"/>
      <c r="O37" s="262"/>
      <c r="P37" s="262"/>
      <c r="Q37" s="262"/>
      <c r="R37" s="262"/>
    </row>
    <row r="38" spans="2:22" x14ac:dyDescent="0.35">
      <c r="B38" s="54" t="s">
        <v>154</v>
      </c>
      <c r="C38" s="312" t="str">
        <f>VAC_Optim_Scenario!B24</f>
        <v>HCC Audio</v>
      </c>
      <c r="D38" s="340">
        <f t="shared" si="4"/>
        <v>1.5996707428443773</v>
      </c>
      <c r="E38" s="340">
        <f t="shared" si="5"/>
        <v>0.91370790000000002</v>
      </c>
      <c r="F38" s="340">
        <f t="shared" si="6"/>
        <v>1.6968861000000002</v>
      </c>
      <c r="G38" s="340">
        <f t="shared" si="7"/>
        <v>0.91370789999999991</v>
      </c>
      <c r="H38" s="340">
        <f t="shared" si="8"/>
        <v>1.6968861000000002</v>
      </c>
      <c r="J38" s="278"/>
      <c r="K38" s="263"/>
      <c r="L38" s="263"/>
      <c r="M38" s="263"/>
      <c r="N38" s="263"/>
      <c r="O38" s="263"/>
      <c r="P38" s="263"/>
      <c r="Q38" s="263"/>
      <c r="R38" s="263"/>
    </row>
    <row r="39" spans="2:22" x14ac:dyDescent="0.35">
      <c r="B39" s="97" t="s">
        <v>154</v>
      </c>
      <c r="C39" s="313" t="str">
        <f>VAC_Optim_Scenario!B25</f>
        <v>HCC Linear TV</v>
      </c>
      <c r="D39" s="340">
        <f t="shared" si="4"/>
        <v>15.034300118508808</v>
      </c>
      <c r="E39" s="340">
        <f t="shared" si="5"/>
        <v>11.531133494999999</v>
      </c>
      <c r="F39" s="340">
        <f t="shared" si="6"/>
        <v>18.498262961353184</v>
      </c>
      <c r="G39" s="340">
        <f t="shared" si="7"/>
        <v>11.531133494999999</v>
      </c>
      <c r="H39" s="340">
        <f t="shared" si="8"/>
        <v>17.521435993065552</v>
      </c>
      <c r="J39" s="277"/>
      <c r="K39" s="262"/>
      <c r="L39" s="262"/>
      <c r="M39" s="262"/>
      <c r="N39" s="262"/>
      <c r="O39" s="262"/>
      <c r="P39" s="262"/>
      <c r="Q39" s="262"/>
      <c r="R39" s="262"/>
    </row>
    <row r="40" spans="2:22" x14ac:dyDescent="0.35">
      <c r="D40" s="194"/>
      <c r="E40" s="194"/>
      <c r="F40" s="194"/>
      <c r="G40" s="194"/>
      <c r="H40" s="194"/>
      <c r="L40" s="191"/>
      <c r="M40" s="191"/>
      <c r="O40" s="191"/>
      <c r="P40" s="191"/>
    </row>
    <row r="41" spans="2:22" x14ac:dyDescent="0.35">
      <c r="L41" s="261"/>
      <c r="M41" s="261"/>
      <c r="N41" s="261"/>
      <c r="O41" s="261"/>
      <c r="P41" s="261"/>
    </row>
    <row r="42" spans="2:22" x14ac:dyDescent="0.35">
      <c r="L42" s="261"/>
      <c r="M42" s="261"/>
      <c r="N42" s="261"/>
      <c r="O42" s="261"/>
      <c r="P42" s="261"/>
    </row>
    <row r="43" spans="2:22" x14ac:dyDescent="0.35">
      <c r="L43" s="261"/>
      <c r="M43" s="261"/>
      <c r="N43" s="261"/>
      <c r="O43" s="261"/>
      <c r="P43" s="261"/>
    </row>
    <row r="44" spans="2:22" x14ac:dyDescent="0.35">
      <c r="L44" s="261"/>
      <c r="M44" s="261"/>
      <c r="N44" s="261"/>
      <c r="O44" s="261"/>
      <c r="P44" s="261"/>
      <c r="S44" s="264"/>
      <c r="T44" s="264"/>
      <c r="V44" s="264"/>
    </row>
    <row r="45" spans="2:22" x14ac:dyDescent="0.35">
      <c r="L45" s="261"/>
      <c r="M45" s="261"/>
      <c r="N45" s="261"/>
      <c r="O45" s="261"/>
      <c r="P45" s="265"/>
      <c r="S45" s="266"/>
      <c r="T45" s="266"/>
      <c r="U45" s="266"/>
      <c r="V45" s="266"/>
    </row>
    <row r="46" spans="2:22" x14ac:dyDescent="0.35">
      <c r="L46" s="261"/>
      <c r="M46" s="261"/>
      <c r="N46" s="261"/>
      <c r="O46" s="261"/>
      <c r="P46" s="261"/>
      <c r="S46" s="266"/>
      <c r="T46" s="266"/>
      <c r="U46" s="266"/>
      <c r="V46" s="266"/>
    </row>
    <row r="47" spans="2:22" x14ac:dyDescent="0.35">
      <c r="L47" s="261"/>
      <c r="M47" s="261"/>
      <c r="N47" s="261"/>
      <c r="O47" s="261"/>
      <c r="P47" s="261"/>
    </row>
    <row r="48" spans="2:22" x14ac:dyDescent="0.35">
      <c r="L48" s="261"/>
      <c r="M48" s="261"/>
      <c r="N48" s="261"/>
      <c r="O48" s="261"/>
      <c r="P48" s="261"/>
    </row>
  </sheetData>
  <mergeCells count="18">
    <mergeCell ref="O17:P17"/>
    <mergeCell ref="Q17:R17"/>
    <mergeCell ref="L3:L4"/>
    <mergeCell ref="M3:N3"/>
    <mergeCell ref="O3:P3"/>
    <mergeCell ref="Q3:R3"/>
    <mergeCell ref="M17:N17"/>
    <mergeCell ref="C17:C18"/>
    <mergeCell ref="D17:E17"/>
    <mergeCell ref="F17:G17"/>
    <mergeCell ref="H17:I17"/>
    <mergeCell ref="L17:L18"/>
    <mergeCell ref="K3:K4"/>
    <mergeCell ref="B3:B4"/>
    <mergeCell ref="C3:C4"/>
    <mergeCell ref="D3:E3"/>
    <mergeCell ref="F3:G3"/>
    <mergeCell ref="H3:I3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61EF8-6BD3-4D12-A44A-633561EF1296}">
  <sheetPr>
    <tabColor theme="7" tint="-0.249977111117893"/>
  </sheetPr>
  <dimension ref="B1:V48"/>
  <sheetViews>
    <sheetView zoomScale="80" zoomScaleNormal="80" workbookViewId="0">
      <selection activeCell="E19" sqref="E19"/>
    </sheetView>
  </sheetViews>
  <sheetFormatPr defaultColWidth="8.81640625" defaultRowHeight="14.5" x14ac:dyDescent="0.35"/>
  <cols>
    <col min="1" max="1" width="6.26953125" style="97" customWidth="1"/>
    <col min="2" max="2" width="13.7265625" style="97" customWidth="1"/>
    <col min="3" max="3" width="18.26953125" style="97" customWidth="1"/>
    <col min="4" max="4" width="14.26953125" style="97" customWidth="1"/>
    <col min="5" max="5" width="15.453125" style="97" customWidth="1"/>
    <col min="6" max="6" width="13.7265625" style="97" customWidth="1"/>
    <col min="7" max="7" width="15.7265625" style="97" customWidth="1"/>
    <col min="8" max="8" width="15.1796875" style="97" bestFit="1" customWidth="1"/>
    <col min="9" max="9" width="12.1796875" style="97" bestFit="1" customWidth="1"/>
    <col min="10" max="10" width="8.81640625" style="97"/>
    <col min="11" max="11" width="15.26953125" style="97" customWidth="1"/>
    <col min="12" max="12" width="14.453125" style="97" bestFit="1" customWidth="1"/>
    <col min="13" max="13" width="11.1796875" style="97" bestFit="1" customWidth="1"/>
    <col min="14" max="14" width="12.1796875" style="97" bestFit="1" customWidth="1"/>
    <col min="15" max="15" width="11.1796875" style="97" bestFit="1" customWidth="1"/>
    <col min="16" max="18" width="12.1796875" style="97" bestFit="1" customWidth="1"/>
    <col min="19" max="19" width="8.81640625" style="97"/>
    <col min="20" max="20" width="12" style="97" bestFit="1" customWidth="1"/>
    <col min="21" max="16384" width="8.81640625" style="97"/>
  </cols>
  <sheetData>
    <row r="1" spans="2:20" x14ac:dyDescent="0.35">
      <c r="C1" s="244" t="s">
        <v>231</v>
      </c>
    </row>
    <row r="2" spans="2:20" ht="15" thickBot="1" x14ac:dyDescent="0.4"/>
    <row r="3" spans="2:20" ht="30.25" customHeight="1" x14ac:dyDescent="0.35">
      <c r="B3" s="468" t="s">
        <v>2</v>
      </c>
      <c r="C3" s="470" t="s">
        <v>3</v>
      </c>
      <c r="D3" s="471" t="s">
        <v>232</v>
      </c>
      <c r="E3" s="472"/>
      <c r="F3" s="471" t="s">
        <v>233</v>
      </c>
      <c r="G3" s="472"/>
      <c r="H3" s="471" t="s">
        <v>234</v>
      </c>
      <c r="I3" s="472"/>
      <c r="K3" s="468" t="s">
        <v>2</v>
      </c>
      <c r="L3" s="470" t="s">
        <v>3</v>
      </c>
      <c r="M3" s="471" t="s">
        <v>232</v>
      </c>
      <c r="N3" s="472"/>
      <c r="O3" s="471" t="s">
        <v>233</v>
      </c>
      <c r="P3" s="472"/>
      <c r="Q3" s="471" t="s">
        <v>234</v>
      </c>
      <c r="R3" s="472"/>
    </row>
    <row r="4" spans="2:20" ht="26" x14ac:dyDescent="0.35">
      <c r="B4" s="469"/>
      <c r="C4" s="469"/>
      <c r="D4" s="245" t="s">
        <v>235</v>
      </c>
      <c r="E4" s="246" t="s">
        <v>236</v>
      </c>
      <c r="F4" s="245" t="s">
        <v>235</v>
      </c>
      <c r="G4" s="246" t="s">
        <v>236</v>
      </c>
      <c r="H4" s="245" t="s">
        <v>235</v>
      </c>
      <c r="I4" s="246" t="s">
        <v>236</v>
      </c>
      <c r="K4" s="469"/>
      <c r="L4" s="469"/>
      <c r="M4" s="245" t="s">
        <v>235</v>
      </c>
      <c r="N4" s="246" t="s">
        <v>236</v>
      </c>
      <c r="O4" s="245" t="s">
        <v>235</v>
      </c>
      <c r="P4" s="246" t="s">
        <v>236</v>
      </c>
      <c r="Q4" s="245" t="s">
        <v>235</v>
      </c>
      <c r="R4" s="246" t="s">
        <v>236</v>
      </c>
    </row>
    <row r="5" spans="2:20" x14ac:dyDescent="0.35">
      <c r="B5" s="53" t="s">
        <v>154</v>
      </c>
      <c r="C5" s="247" t="str">
        <f>VAC_Optim_Scenario!B17</f>
        <v>HCC In Office</v>
      </c>
      <c r="D5" s="248">
        <f>VAC_Optim_Scenario!$H35</f>
        <v>1394329.1308148694</v>
      </c>
      <c r="E5" s="249">
        <f>VAC_Optim_Scenario!$J35</f>
        <v>6530520.1774925189</v>
      </c>
      <c r="F5" s="248">
        <f>VAC_Optim_Scenario!$H35</f>
        <v>1394329.1308148694</v>
      </c>
      <c r="G5" s="249">
        <f>VAC_Optim_Scenario!$J35</f>
        <v>6530520.1774925189</v>
      </c>
      <c r="H5" s="248">
        <f>VAC_Optim_Scenario!$H35</f>
        <v>1394329.1308148694</v>
      </c>
      <c r="I5" s="249">
        <f>VAC_Optim_Scenario!$J35</f>
        <v>6530520.1774925189</v>
      </c>
      <c r="J5" s="250"/>
      <c r="K5" s="53" t="s">
        <v>154</v>
      </c>
      <c r="L5" s="53" t="str">
        <f>VAC_Optim_Scenario!B17</f>
        <v>HCC In Office</v>
      </c>
      <c r="M5" s="251">
        <f>D5/1000000</f>
        <v>1.3943291308148695</v>
      </c>
      <c r="N5" s="252">
        <f t="shared" ref="N5:R13" si="0">E5/1000000</f>
        <v>6.5305201774925186</v>
      </c>
      <c r="O5" s="251">
        <f t="shared" si="0"/>
        <v>1.3943291308148695</v>
      </c>
      <c r="P5" s="252">
        <f t="shared" si="0"/>
        <v>6.5305201774925186</v>
      </c>
      <c r="Q5" s="251">
        <f t="shared" si="0"/>
        <v>1.3943291308148695</v>
      </c>
      <c r="R5" s="252">
        <f t="shared" si="0"/>
        <v>6.5305201774925186</v>
      </c>
    </row>
    <row r="6" spans="2:20" x14ac:dyDescent="0.35">
      <c r="B6" s="54" t="s">
        <v>154</v>
      </c>
      <c r="C6" s="253" t="str">
        <f>VAC_Optim_Scenario!B18</f>
        <v>HCP MCM</v>
      </c>
      <c r="D6" s="254">
        <f>VAC_Optim_Scenario!$H36</f>
        <v>11415499.642068511</v>
      </c>
      <c r="E6" s="255">
        <f>VAC_Optim_Scenario!$J36</f>
        <v>97075024.379153192</v>
      </c>
      <c r="F6" s="254">
        <f>VAC_Optim_Scenario!$H36</f>
        <v>11415499.642068511</v>
      </c>
      <c r="G6" s="255">
        <f>VAC_Optim_Scenario!$J36</f>
        <v>97075024.379153192</v>
      </c>
      <c r="H6" s="254">
        <f>VAC_Optim_Scenario!$H36</f>
        <v>11415499.642068511</v>
      </c>
      <c r="I6" s="255">
        <f>VAC_Optim_Scenario!$J36</f>
        <v>97075024.379153192</v>
      </c>
      <c r="J6" s="250"/>
      <c r="K6" s="54" t="s">
        <v>154</v>
      </c>
      <c r="L6" s="54" t="str">
        <f>VAC_Optim_Scenario!B18</f>
        <v>HCP MCM</v>
      </c>
      <c r="M6" s="256">
        <f t="shared" ref="M6:M13" si="1">D6/1000000</f>
        <v>11.415499642068511</v>
      </c>
      <c r="N6" s="257">
        <f t="shared" si="0"/>
        <v>97.075024379153191</v>
      </c>
      <c r="O6" s="256">
        <f t="shared" si="0"/>
        <v>11.415499642068511</v>
      </c>
      <c r="P6" s="257">
        <f t="shared" si="0"/>
        <v>97.075024379153191</v>
      </c>
      <c r="Q6" s="256">
        <f t="shared" si="0"/>
        <v>11.415499642068511</v>
      </c>
      <c r="R6" s="257">
        <f t="shared" si="0"/>
        <v>97.075024379153191</v>
      </c>
    </row>
    <row r="7" spans="2:20" x14ac:dyDescent="0.35">
      <c r="B7" s="54" t="s">
        <v>154</v>
      </c>
      <c r="C7" s="253" t="str">
        <f>VAC_Optim_Scenario!B19</f>
        <v>HCC Social</v>
      </c>
      <c r="D7" s="254">
        <f>VAC_Optim_Scenario!$H37</f>
        <v>2576000</v>
      </c>
      <c r="E7" s="255">
        <f>VAC_Optim_Scenario!$J37</f>
        <v>19488626.574727457</v>
      </c>
      <c r="F7" s="254">
        <f>VAC_Optim_Scenario!$H37</f>
        <v>2576000</v>
      </c>
      <c r="G7" s="255">
        <f>VAC_Optim_Scenario!$J37</f>
        <v>19488626.574727457</v>
      </c>
      <c r="H7" s="254">
        <f>VAC_Optim_Scenario!$H37</f>
        <v>2576000</v>
      </c>
      <c r="I7" s="255">
        <f>VAC_Optim_Scenario!$J37</f>
        <v>19488626.574727457</v>
      </c>
      <c r="J7" s="258"/>
      <c r="K7" s="54" t="s">
        <v>154</v>
      </c>
      <c r="L7" s="54" t="str">
        <f>VAC_Optim_Scenario!B19</f>
        <v>HCC Social</v>
      </c>
      <c r="M7" s="256">
        <f t="shared" si="1"/>
        <v>2.5760000000000001</v>
      </c>
      <c r="N7" s="257">
        <f t="shared" si="0"/>
        <v>19.488626574727459</v>
      </c>
      <c r="O7" s="256">
        <f t="shared" si="0"/>
        <v>2.5760000000000001</v>
      </c>
      <c r="P7" s="257">
        <f t="shared" si="0"/>
        <v>19.488626574727459</v>
      </c>
      <c r="Q7" s="256">
        <f t="shared" si="0"/>
        <v>2.5760000000000001</v>
      </c>
      <c r="R7" s="257">
        <f t="shared" si="0"/>
        <v>19.488626574727459</v>
      </c>
    </row>
    <row r="8" spans="2:20" x14ac:dyDescent="0.35">
      <c r="B8" s="54" t="s">
        <v>154</v>
      </c>
      <c r="C8" s="253" t="str">
        <f>VAC_Optim_Scenario!B20</f>
        <v>HCC Online Video</v>
      </c>
      <c r="D8" s="254">
        <f>VAC_Optim_Scenario!$H38</f>
        <v>1000000</v>
      </c>
      <c r="E8" s="255">
        <f>VAC_Optim_Scenario!$J38</f>
        <v>3357832.8692201264</v>
      </c>
      <c r="F8" s="254">
        <f>VAC_Optim_Scenario!$H38</f>
        <v>1000000</v>
      </c>
      <c r="G8" s="255">
        <f>VAC_Optim_Scenario!$J38</f>
        <v>3357832.8692201264</v>
      </c>
      <c r="H8" s="254">
        <f>VAC_Optim_Scenario!$H38</f>
        <v>1000000</v>
      </c>
      <c r="I8" s="255">
        <f>VAC_Optim_Scenario!$J38</f>
        <v>3357832.8692201264</v>
      </c>
      <c r="J8" s="250"/>
      <c r="K8" s="54" t="s">
        <v>154</v>
      </c>
      <c r="L8" s="54" t="str">
        <f>VAC_Optim_Scenario!B20</f>
        <v>HCC Online Video</v>
      </c>
      <c r="M8" s="256">
        <f t="shared" si="1"/>
        <v>1</v>
      </c>
      <c r="N8" s="257">
        <f t="shared" si="0"/>
        <v>3.3578328692201262</v>
      </c>
      <c r="O8" s="256">
        <f t="shared" si="0"/>
        <v>1</v>
      </c>
      <c r="P8" s="257">
        <f t="shared" si="0"/>
        <v>3.3578328692201262</v>
      </c>
      <c r="Q8" s="256">
        <f t="shared" si="0"/>
        <v>1</v>
      </c>
      <c r="R8" s="257">
        <f t="shared" si="0"/>
        <v>3.3578328692201262</v>
      </c>
    </row>
    <row r="9" spans="2:20" x14ac:dyDescent="0.35">
      <c r="B9" s="54" t="s">
        <v>154</v>
      </c>
      <c r="C9" s="253" t="str">
        <f>VAC_Optim_Scenario!B21</f>
        <v>HCC Streaming Video</v>
      </c>
      <c r="D9" s="254">
        <f>VAC_Optim_Scenario!$H39</f>
        <v>7570249.203999565</v>
      </c>
      <c r="E9" s="255">
        <f>VAC_Optim_Scenario!$J39</f>
        <v>37671442.332654163</v>
      </c>
      <c r="F9" s="254">
        <f>VAC_Optim_Scenario!$H39</f>
        <v>7570249.203999565</v>
      </c>
      <c r="G9" s="255">
        <f>VAC_Optim_Scenario!$J39</f>
        <v>37671442.332654163</v>
      </c>
      <c r="H9" s="254">
        <f>VAC_Optim_Scenario!$H39</f>
        <v>7570249.203999565</v>
      </c>
      <c r="I9" s="255">
        <f>VAC_Optim_Scenario!$J39</f>
        <v>37671442.332654163</v>
      </c>
      <c r="J9" s="258"/>
      <c r="K9" s="54" t="s">
        <v>154</v>
      </c>
      <c r="L9" s="54" t="str">
        <f>VAC_Optim_Scenario!B21</f>
        <v>HCC Streaming Video</v>
      </c>
      <c r="M9" s="256">
        <f t="shared" si="1"/>
        <v>7.5702492039995652</v>
      </c>
      <c r="N9" s="257">
        <f t="shared" si="0"/>
        <v>37.671442332654166</v>
      </c>
      <c r="O9" s="256">
        <f t="shared" si="0"/>
        <v>7.5702492039995652</v>
      </c>
      <c r="P9" s="257">
        <f t="shared" si="0"/>
        <v>37.671442332654166</v>
      </c>
      <c r="Q9" s="256">
        <f t="shared" si="0"/>
        <v>7.5702492039995652</v>
      </c>
      <c r="R9" s="257">
        <f t="shared" si="0"/>
        <v>37.671442332654166</v>
      </c>
    </row>
    <row r="10" spans="2:20" x14ac:dyDescent="0.35">
      <c r="B10" s="54" t="s">
        <v>154</v>
      </c>
      <c r="C10" s="253" t="str">
        <f>VAC_Optim_Scenario!B22</f>
        <v>HCC Display</v>
      </c>
      <c r="D10" s="254">
        <f>VAC_Optim_Scenario!$H40</f>
        <v>5349497.9439856345</v>
      </c>
      <c r="E10" s="255">
        <f>VAC_Optim_Scenario!$J40</f>
        <v>47768827.174016483</v>
      </c>
      <c r="F10" s="254">
        <f>VAC_Optim_Scenario!$H40</f>
        <v>5349497.9439856345</v>
      </c>
      <c r="G10" s="255">
        <f>VAC_Optim_Scenario!$J40</f>
        <v>47768827.174016483</v>
      </c>
      <c r="H10" s="254">
        <f>VAC_Optim_Scenario!$H40</f>
        <v>5349497.9439856345</v>
      </c>
      <c r="I10" s="255">
        <f>VAC_Optim_Scenario!$J40</f>
        <v>47768827.174016483</v>
      </c>
      <c r="J10" s="258"/>
      <c r="K10" s="54" t="s">
        <v>154</v>
      </c>
      <c r="L10" s="54" t="str">
        <f>VAC_Optim_Scenario!B22</f>
        <v>HCC Display</v>
      </c>
      <c r="M10" s="256">
        <f t="shared" si="1"/>
        <v>5.3494979439856341</v>
      </c>
      <c r="N10" s="257">
        <f t="shared" si="0"/>
        <v>47.768827174016486</v>
      </c>
      <c r="O10" s="256">
        <f t="shared" si="0"/>
        <v>5.3494979439856341</v>
      </c>
      <c r="P10" s="257">
        <f t="shared" si="0"/>
        <v>47.768827174016486</v>
      </c>
      <c r="Q10" s="256">
        <f t="shared" si="0"/>
        <v>5.3494979439856341</v>
      </c>
      <c r="R10" s="257">
        <f t="shared" si="0"/>
        <v>47.768827174016486</v>
      </c>
    </row>
    <row r="11" spans="2:20" x14ac:dyDescent="0.35">
      <c r="B11" s="54" t="s">
        <v>154</v>
      </c>
      <c r="C11" s="253" t="str">
        <f>VAC_Optim_Scenario!B23</f>
        <v>HCC Paid Search</v>
      </c>
      <c r="D11" s="254">
        <f>VAC_Optim_Scenario!$H41</f>
        <v>400000</v>
      </c>
      <c r="E11" s="255">
        <f>VAC_Optim_Scenario!$J41</f>
        <v>32769965.884320233</v>
      </c>
      <c r="F11" s="254">
        <f>VAC_Optim_Scenario!$H41</f>
        <v>400000</v>
      </c>
      <c r="G11" s="255">
        <f>VAC_Optim_Scenario!$J41</f>
        <v>32769965.884320233</v>
      </c>
      <c r="H11" s="254">
        <f>VAC_Optim_Scenario!$H41</f>
        <v>400000</v>
      </c>
      <c r="I11" s="255">
        <f>VAC_Optim_Scenario!$J41</f>
        <v>32769965.884320233</v>
      </c>
      <c r="J11" s="250"/>
      <c r="K11" s="54" t="s">
        <v>154</v>
      </c>
      <c r="L11" s="54" t="str">
        <f>VAC_Optim_Scenario!B23</f>
        <v>HCC Paid Search</v>
      </c>
      <c r="M11" s="256">
        <f t="shared" si="1"/>
        <v>0.4</v>
      </c>
      <c r="N11" s="257">
        <f t="shared" si="0"/>
        <v>32.769965884320236</v>
      </c>
      <c r="O11" s="256">
        <f t="shared" si="0"/>
        <v>0.4</v>
      </c>
      <c r="P11" s="257">
        <f t="shared" si="0"/>
        <v>32.769965884320236</v>
      </c>
      <c r="Q11" s="256">
        <f t="shared" si="0"/>
        <v>0.4</v>
      </c>
      <c r="R11" s="257">
        <f t="shared" si="0"/>
        <v>32.769965884320236</v>
      </c>
    </row>
    <row r="12" spans="2:20" x14ac:dyDescent="0.35">
      <c r="B12" s="54" t="s">
        <v>154</v>
      </c>
      <c r="C12" s="253" t="str">
        <f>VAC_Optim_Scenario!B24</f>
        <v>HCC Audio</v>
      </c>
      <c r="D12" s="254">
        <f>VAC_Optim_Scenario!$H42</f>
        <v>3108000</v>
      </c>
      <c r="E12" s="255">
        <f>VAC_Optim_Scenario!$J42</f>
        <v>25328730.527752202</v>
      </c>
      <c r="F12" s="254">
        <f>VAC_Optim_Scenario!$H42</f>
        <v>3108000</v>
      </c>
      <c r="G12" s="255">
        <f>VAC_Optim_Scenario!$J42</f>
        <v>25328730.527752202</v>
      </c>
      <c r="H12" s="254">
        <f>VAC_Optim_Scenario!$H42</f>
        <v>3108000</v>
      </c>
      <c r="I12" s="255">
        <f>VAC_Optim_Scenario!$J42</f>
        <v>25328730.527752202</v>
      </c>
      <c r="J12" s="250"/>
      <c r="K12" s="54" t="s">
        <v>154</v>
      </c>
      <c r="L12" s="54" t="str">
        <f>VAC_Optim_Scenario!B24</f>
        <v>HCC Audio</v>
      </c>
      <c r="M12" s="256">
        <f t="shared" si="1"/>
        <v>3.1080000000000001</v>
      </c>
      <c r="N12" s="257">
        <f t="shared" si="0"/>
        <v>25.328730527752203</v>
      </c>
      <c r="O12" s="256">
        <f t="shared" si="0"/>
        <v>3.1080000000000001</v>
      </c>
      <c r="P12" s="257">
        <f t="shared" si="0"/>
        <v>25.328730527752203</v>
      </c>
      <c r="Q12" s="256">
        <f t="shared" si="0"/>
        <v>3.1080000000000001</v>
      </c>
      <c r="R12" s="257">
        <f t="shared" si="0"/>
        <v>25.328730527752203</v>
      </c>
    </row>
    <row r="13" spans="2:20" x14ac:dyDescent="0.35">
      <c r="B13" s="267" t="s">
        <v>154</v>
      </c>
      <c r="C13" s="238" t="str">
        <f>VAC_Optim_Scenario!B25</f>
        <v>HCC Linear TV</v>
      </c>
      <c r="D13" s="268">
        <f>VAC_Optim_Scenario!$H43</f>
        <v>16888801</v>
      </c>
      <c r="E13" s="268">
        <f>VAC_Optim_Scenario!$J43</f>
        <v>67034177.652868718</v>
      </c>
      <c r="F13" s="268">
        <f>VAC_Optim_Scenario!$H43</f>
        <v>16888801</v>
      </c>
      <c r="G13" s="268">
        <f>VAC_Optim_Scenario!$J43</f>
        <v>67034177.652868718</v>
      </c>
      <c r="H13" s="268">
        <f>VAC_Optim_Scenario!$H43</f>
        <v>16888801</v>
      </c>
      <c r="I13" s="268">
        <f>VAC_Optim_Scenario!$J43</f>
        <v>67034177.652868718</v>
      </c>
      <c r="J13" s="250"/>
      <c r="K13" s="267" t="s">
        <v>154</v>
      </c>
      <c r="L13" s="267" t="str">
        <f>VAC_Optim_Scenario!B25</f>
        <v>HCC Linear TV</v>
      </c>
      <c r="M13" s="261">
        <f t="shared" si="1"/>
        <v>16.888801000000001</v>
      </c>
      <c r="N13" s="261">
        <f t="shared" si="0"/>
        <v>67.034177652868721</v>
      </c>
      <c r="O13" s="261">
        <f t="shared" si="0"/>
        <v>16.888801000000001</v>
      </c>
      <c r="P13" s="261">
        <f t="shared" si="0"/>
        <v>67.034177652868721</v>
      </c>
      <c r="Q13" s="261">
        <f t="shared" si="0"/>
        <v>16.888801000000001</v>
      </c>
      <c r="R13" s="261">
        <f t="shared" si="0"/>
        <v>67.034177652868721</v>
      </c>
    </row>
    <row r="14" spans="2:20" x14ac:dyDescent="0.35">
      <c r="T14" s="310"/>
    </row>
    <row r="15" spans="2:20" x14ac:dyDescent="0.35">
      <c r="C15" s="244" t="s">
        <v>238</v>
      </c>
    </row>
    <row r="17" spans="2:19" ht="37.9" customHeight="1" x14ac:dyDescent="0.35">
      <c r="C17" s="470" t="s">
        <v>3</v>
      </c>
      <c r="D17" s="471" t="s">
        <v>232</v>
      </c>
      <c r="E17" s="472"/>
      <c r="F17" s="471" t="s">
        <v>239</v>
      </c>
      <c r="G17" s="472"/>
      <c r="H17" s="471" t="s">
        <v>240</v>
      </c>
      <c r="I17" s="472"/>
      <c r="L17" s="470" t="s">
        <v>3</v>
      </c>
      <c r="M17" s="471" t="s">
        <v>232</v>
      </c>
      <c r="N17" s="472"/>
      <c r="O17" s="471" t="s">
        <v>239</v>
      </c>
      <c r="P17" s="472"/>
      <c r="Q17" s="471" t="s">
        <v>240</v>
      </c>
      <c r="R17" s="472"/>
    </row>
    <row r="18" spans="2:19" ht="26" x14ac:dyDescent="0.35">
      <c r="C18" s="469"/>
      <c r="D18" s="55" t="s">
        <v>235</v>
      </c>
      <c r="E18" s="55" t="s">
        <v>236</v>
      </c>
      <c r="F18" s="55" t="s">
        <v>235</v>
      </c>
      <c r="G18" s="55" t="s">
        <v>236</v>
      </c>
      <c r="H18" s="55" t="s">
        <v>235</v>
      </c>
      <c r="I18" s="55" t="s">
        <v>236</v>
      </c>
      <c r="L18" s="469"/>
      <c r="M18" s="55" t="s">
        <v>235</v>
      </c>
      <c r="N18" s="55" t="s">
        <v>236</v>
      </c>
      <c r="O18" s="55" t="s">
        <v>235</v>
      </c>
      <c r="P18" s="55" t="s">
        <v>236</v>
      </c>
      <c r="Q18" s="55" t="s">
        <v>235</v>
      </c>
      <c r="R18" s="55" t="s">
        <v>236</v>
      </c>
    </row>
    <row r="19" spans="2:19" x14ac:dyDescent="0.35">
      <c r="B19" s="53" t="s">
        <v>154</v>
      </c>
      <c r="C19" s="247" t="str">
        <f>VAC_Optim_Scenario!B17</f>
        <v>HCC In Office</v>
      </c>
      <c r="D19" s="248">
        <f>VAC_Optim_Scenario!$H35</f>
        <v>1394329.1308148694</v>
      </c>
      <c r="E19" s="249">
        <f>VAC_Optim_Scenario!$J35</f>
        <v>6530520.1774925189</v>
      </c>
      <c r="F19" s="248">
        <f>VAC_Optim_Scenario!$H35</f>
        <v>1394329.1308148694</v>
      </c>
      <c r="G19" s="249">
        <f>VAC_Optim_Scenario!$J35</f>
        <v>6530520.1774925189</v>
      </c>
      <c r="H19" s="248">
        <f>VAC_Optim_Scenario!$H35</f>
        <v>1394329.1308148694</v>
      </c>
      <c r="I19" s="249">
        <f>VAC_Optim_Scenario!$J35</f>
        <v>6530520.1774925189</v>
      </c>
      <c r="J19" s="250"/>
      <c r="K19" s="53" t="s">
        <v>154</v>
      </c>
      <c r="L19" s="247" t="str">
        <f>VAC_Optim_Scenario!B17</f>
        <v>HCC In Office</v>
      </c>
      <c r="M19" s="251">
        <f>D19/1000000</f>
        <v>1.3943291308148695</v>
      </c>
      <c r="N19" s="252">
        <f t="shared" ref="N19:R27" si="2">E19/1000000</f>
        <v>6.5305201774925186</v>
      </c>
      <c r="O19" s="251">
        <f t="shared" si="2"/>
        <v>1.3943291308148695</v>
      </c>
      <c r="P19" s="252">
        <f t="shared" si="2"/>
        <v>6.5305201774925186</v>
      </c>
      <c r="Q19" s="251">
        <f t="shared" si="2"/>
        <v>1.3943291308148695</v>
      </c>
      <c r="R19" s="252">
        <f t="shared" si="2"/>
        <v>6.5305201774925186</v>
      </c>
    </row>
    <row r="20" spans="2:19" x14ac:dyDescent="0.35">
      <c r="B20" s="54" t="s">
        <v>154</v>
      </c>
      <c r="C20" s="253" t="str">
        <f>VAC_Optim_Scenario!B18</f>
        <v>HCP MCM</v>
      </c>
      <c r="D20" s="254">
        <f>VAC_Optim_Scenario!$H36</f>
        <v>11415499.642068511</v>
      </c>
      <c r="E20" s="255">
        <f>VAC_Optim_Scenario!$J36</f>
        <v>97075024.379153192</v>
      </c>
      <c r="F20" s="254">
        <f>VAC_Optim_Scenario!$H36</f>
        <v>11415499.642068511</v>
      </c>
      <c r="G20" s="255">
        <f>VAC_Optim_Scenario!$J36</f>
        <v>97075024.379153192</v>
      </c>
      <c r="H20" s="254">
        <f>VAC_Optim_Scenario!$H36</f>
        <v>11415499.642068511</v>
      </c>
      <c r="I20" s="255">
        <f>VAC_Optim_Scenario!$J36</f>
        <v>97075024.379153192</v>
      </c>
      <c r="J20" s="250"/>
      <c r="K20" s="54" t="s">
        <v>154</v>
      </c>
      <c r="L20" s="253" t="str">
        <f>VAC_Optim_Scenario!B18</f>
        <v>HCP MCM</v>
      </c>
      <c r="M20" s="256">
        <f t="shared" ref="M20:M27" si="3">D20/1000000</f>
        <v>11.415499642068511</v>
      </c>
      <c r="N20" s="257">
        <f t="shared" si="2"/>
        <v>97.075024379153191</v>
      </c>
      <c r="O20" s="256">
        <f t="shared" si="2"/>
        <v>11.415499642068511</v>
      </c>
      <c r="P20" s="257">
        <f t="shared" si="2"/>
        <v>97.075024379153191</v>
      </c>
      <c r="Q20" s="256">
        <f t="shared" si="2"/>
        <v>11.415499642068511</v>
      </c>
      <c r="R20" s="257">
        <f t="shared" si="2"/>
        <v>97.075024379153191</v>
      </c>
    </row>
    <row r="21" spans="2:19" x14ac:dyDescent="0.35">
      <c r="B21" s="54" t="s">
        <v>154</v>
      </c>
      <c r="C21" s="253" t="str">
        <f>VAC_Optim_Scenario!B19</f>
        <v>HCC Social</v>
      </c>
      <c r="D21" s="254">
        <f>VAC_Optim_Scenario!$H37</f>
        <v>2576000</v>
      </c>
      <c r="E21" s="255">
        <f>VAC_Optim_Scenario!$J37</f>
        <v>19488626.574727457</v>
      </c>
      <c r="F21" s="254">
        <f>VAC_Optim_Scenario!$H37</f>
        <v>2576000</v>
      </c>
      <c r="G21" s="255">
        <f>VAC_Optim_Scenario!$J37</f>
        <v>19488626.574727457</v>
      </c>
      <c r="H21" s="254">
        <f>VAC_Optim_Scenario!$H37</f>
        <v>2576000</v>
      </c>
      <c r="I21" s="255">
        <f>VAC_Optim_Scenario!$J37</f>
        <v>19488626.574727457</v>
      </c>
      <c r="J21" s="258"/>
      <c r="K21" s="54" t="s">
        <v>154</v>
      </c>
      <c r="L21" s="253" t="str">
        <f>VAC_Optim_Scenario!B19</f>
        <v>HCC Social</v>
      </c>
      <c r="M21" s="256">
        <f t="shared" si="3"/>
        <v>2.5760000000000001</v>
      </c>
      <c r="N21" s="257">
        <f t="shared" si="2"/>
        <v>19.488626574727459</v>
      </c>
      <c r="O21" s="256">
        <f t="shared" si="2"/>
        <v>2.5760000000000001</v>
      </c>
      <c r="P21" s="257">
        <f t="shared" si="2"/>
        <v>19.488626574727459</v>
      </c>
      <c r="Q21" s="256">
        <f t="shared" si="2"/>
        <v>2.5760000000000001</v>
      </c>
      <c r="R21" s="257">
        <f t="shared" si="2"/>
        <v>19.488626574727459</v>
      </c>
    </row>
    <row r="22" spans="2:19" x14ac:dyDescent="0.35">
      <c r="B22" s="54" t="s">
        <v>154</v>
      </c>
      <c r="C22" s="253" t="str">
        <f>VAC_Optim_Scenario!B20</f>
        <v>HCC Online Video</v>
      </c>
      <c r="D22" s="254">
        <f>VAC_Optim_Scenario!$H38</f>
        <v>1000000</v>
      </c>
      <c r="E22" s="255">
        <f>VAC_Optim_Scenario!$J38</f>
        <v>3357832.8692201264</v>
      </c>
      <c r="F22" s="254">
        <f>VAC_Optim_Scenario!$H38</f>
        <v>1000000</v>
      </c>
      <c r="G22" s="255">
        <f>VAC_Optim_Scenario!$J38</f>
        <v>3357832.8692201264</v>
      </c>
      <c r="H22" s="254">
        <f>VAC_Optim_Scenario!$H38</f>
        <v>1000000</v>
      </c>
      <c r="I22" s="255">
        <f>VAC_Optim_Scenario!$J38</f>
        <v>3357832.8692201264</v>
      </c>
      <c r="J22" s="250"/>
      <c r="K22" s="54" t="s">
        <v>154</v>
      </c>
      <c r="L22" s="253" t="str">
        <f>VAC_Optim_Scenario!B20</f>
        <v>HCC Online Video</v>
      </c>
      <c r="M22" s="256">
        <f t="shared" si="3"/>
        <v>1</v>
      </c>
      <c r="N22" s="257">
        <f t="shared" si="2"/>
        <v>3.3578328692201262</v>
      </c>
      <c r="O22" s="256">
        <f t="shared" si="2"/>
        <v>1</v>
      </c>
      <c r="P22" s="257">
        <f t="shared" si="2"/>
        <v>3.3578328692201262</v>
      </c>
      <c r="Q22" s="256">
        <f t="shared" si="2"/>
        <v>1</v>
      </c>
      <c r="R22" s="257">
        <f t="shared" si="2"/>
        <v>3.3578328692201262</v>
      </c>
    </row>
    <row r="23" spans="2:19" x14ac:dyDescent="0.35">
      <c r="B23" s="54" t="s">
        <v>154</v>
      </c>
      <c r="C23" s="253" t="str">
        <f>VAC_Optim_Scenario!B21</f>
        <v>HCC Streaming Video</v>
      </c>
      <c r="D23" s="254">
        <f>VAC_Optim_Scenario!$H39</f>
        <v>7570249.203999565</v>
      </c>
      <c r="E23" s="255">
        <f>VAC_Optim_Scenario!$J39</f>
        <v>37671442.332654163</v>
      </c>
      <c r="F23" s="254">
        <f>VAC_Optim_Scenario!$H39</f>
        <v>7570249.203999565</v>
      </c>
      <c r="G23" s="255">
        <f>VAC_Optim_Scenario!$J39</f>
        <v>37671442.332654163</v>
      </c>
      <c r="H23" s="254">
        <f>VAC_Optim_Scenario!$H39</f>
        <v>7570249.203999565</v>
      </c>
      <c r="I23" s="255">
        <f>VAC_Optim_Scenario!$J39</f>
        <v>37671442.332654163</v>
      </c>
      <c r="J23" s="258"/>
      <c r="K23" s="54" t="s">
        <v>154</v>
      </c>
      <c r="L23" s="253" t="str">
        <f>VAC_Optim_Scenario!B21</f>
        <v>HCC Streaming Video</v>
      </c>
      <c r="M23" s="256">
        <f t="shared" si="3"/>
        <v>7.5702492039995652</v>
      </c>
      <c r="N23" s="257">
        <f t="shared" si="2"/>
        <v>37.671442332654166</v>
      </c>
      <c r="O23" s="256">
        <f t="shared" si="2"/>
        <v>7.5702492039995652</v>
      </c>
      <c r="P23" s="257">
        <f t="shared" si="2"/>
        <v>37.671442332654166</v>
      </c>
      <c r="Q23" s="256">
        <f t="shared" si="2"/>
        <v>7.5702492039995652</v>
      </c>
      <c r="R23" s="257">
        <f t="shared" si="2"/>
        <v>37.671442332654166</v>
      </c>
    </row>
    <row r="24" spans="2:19" x14ac:dyDescent="0.35">
      <c r="B24" s="54" t="s">
        <v>154</v>
      </c>
      <c r="C24" s="253" t="str">
        <f>VAC_Optim_Scenario!B22</f>
        <v>HCC Display</v>
      </c>
      <c r="D24" s="254">
        <f>VAC_Optim_Scenario!$H40</f>
        <v>5349497.9439856345</v>
      </c>
      <c r="E24" s="255">
        <f>VAC_Optim_Scenario!$J40</f>
        <v>47768827.174016483</v>
      </c>
      <c r="F24" s="254">
        <f>VAC_Optim_Scenario!$H40</f>
        <v>5349497.9439856345</v>
      </c>
      <c r="G24" s="255">
        <f>VAC_Optim_Scenario!$J40</f>
        <v>47768827.174016483</v>
      </c>
      <c r="H24" s="254">
        <f>VAC_Optim_Scenario!$H40</f>
        <v>5349497.9439856345</v>
      </c>
      <c r="I24" s="255">
        <f>VAC_Optim_Scenario!$J40</f>
        <v>47768827.174016483</v>
      </c>
      <c r="J24" s="258"/>
      <c r="K24" s="54" t="s">
        <v>154</v>
      </c>
      <c r="L24" s="253" t="str">
        <f>VAC_Optim_Scenario!B22</f>
        <v>HCC Display</v>
      </c>
      <c r="M24" s="256">
        <f t="shared" si="3"/>
        <v>5.3494979439856341</v>
      </c>
      <c r="N24" s="257">
        <f t="shared" si="2"/>
        <v>47.768827174016486</v>
      </c>
      <c r="O24" s="256">
        <f t="shared" si="2"/>
        <v>5.3494979439856341</v>
      </c>
      <c r="P24" s="257">
        <f t="shared" si="2"/>
        <v>47.768827174016486</v>
      </c>
      <c r="Q24" s="256">
        <f t="shared" si="2"/>
        <v>5.3494979439856341</v>
      </c>
      <c r="R24" s="257">
        <f t="shared" si="2"/>
        <v>47.768827174016486</v>
      </c>
    </row>
    <row r="25" spans="2:19" x14ac:dyDescent="0.35">
      <c r="B25" s="54" t="s">
        <v>154</v>
      </c>
      <c r="C25" s="253" t="str">
        <f>VAC_Optim_Scenario!B23</f>
        <v>HCC Paid Search</v>
      </c>
      <c r="D25" s="254">
        <f>VAC_Optim_Scenario!$H41</f>
        <v>400000</v>
      </c>
      <c r="E25" s="255">
        <f>VAC_Optim_Scenario!$J41</f>
        <v>32769965.884320233</v>
      </c>
      <c r="F25" s="254">
        <f>VAC_Optim_Scenario!$H41</f>
        <v>400000</v>
      </c>
      <c r="G25" s="255">
        <f>VAC_Optim_Scenario!$J41</f>
        <v>32769965.884320233</v>
      </c>
      <c r="H25" s="254">
        <f>VAC_Optim_Scenario!$H41</f>
        <v>400000</v>
      </c>
      <c r="I25" s="255">
        <f>VAC_Optim_Scenario!$J41</f>
        <v>32769965.884320233</v>
      </c>
      <c r="J25" s="258"/>
      <c r="K25" s="54" t="s">
        <v>154</v>
      </c>
      <c r="L25" s="253" t="str">
        <f>VAC_Optim_Scenario!B23</f>
        <v>HCC Paid Search</v>
      </c>
      <c r="M25" s="256">
        <f t="shared" si="3"/>
        <v>0.4</v>
      </c>
      <c r="N25" s="257">
        <f t="shared" si="2"/>
        <v>32.769965884320236</v>
      </c>
      <c r="O25" s="256">
        <f t="shared" si="2"/>
        <v>0.4</v>
      </c>
      <c r="P25" s="257">
        <f t="shared" si="2"/>
        <v>32.769965884320236</v>
      </c>
      <c r="Q25" s="256">
        <f t="shared" si="2"/>
        <v>0.4</v>
      </c>
      <c r="R25" s="257">
        <f t="shared" si="2"/>
        <v>32.769965884320236</v>
      </c>
    </row>
    <row r="26" spans="2:19" x14ac:dyDescent="0.35">
      <c r="B26" s="54" t="s">
        <v>154</v>
      </c>
      <c r="C26" s="253" t="str">
        <f>VAC_Optim_Scenario!B24</f>
        <v>HCC Audio</v>
      </c>
      <c r="D26" s="254">
        <f>VAC_Optim_Scenario!$H42</f>
        <v>3108000</v>
      </c>
      <c r="E26" s="255">
        <f>VAC_Optim_Scenario!$J42</f>
        <v>25328730.527752202</v>
      </c>
      <c r="F26" s="254">
        <f>VAC_Optim_Scenario!$H42</f>
        <v>3108000</v>
      </c>
      <c r="G26" s="255">
        <f>VAC_Optim_Scenario!$J42</f>
        <v>25328730.527752202</v>
      </c>
      <c r="H26" s="254">
        <f>VAC_Optim_Scenario!$H42</f>
        <v>3108000</v>
      </c>
      <c r="I26" s="255">
        <f>VAC_Optim_Scenario!$J42</f>
        <v>25328730.527752202</v>
      </c>
      <c r="J26" s="258"/>
      <c r="K26" s="54" t="s">
        <v>154</v>
      </c>
      <c r="L26" s="253" t="str">
        <f>VAC_Optim_Scenario!B24</f>
        <v>HCC Audio</v>
      </c>
      <c r="M26" s="256">
        <f t="shared" si="3"/>
        <v>3.1080000000000001</v>
      </c>
      <c r="N26" s="257">
        <f t="shared" si="2"/>
        <v>25.328730527752203</v>
      </c>
      <c r="O26" s="256">
        <f t="shared" si="2"/>
        <v>3.1080000000000001</v>
      </c>
      <c r="P26" s="257">
        <f t="shared" si="2"/>
        <v>25.328730527752203</v>
      </c>
      <c r="Q26" s="256">
        <f t="shared" si="2"/>
        <v>3.1080000000000001</v>
      </c>
      <c r="R26" s="257">
        <f t="shared" si="2"/>
        <v>25.328730527752203</v>
      </c>
    </row>
    <row r="27" spans="2:19" x14ac:dyDescent="0.35">
      <c r="B27" s="267" t="s">
        <v>154</v>
      </c>
      <c r="C27" s="238" t="str">
        <f>VAC_Optim_Scenario!B25</f>
        <v>HCC Linear TV</v>
      </c>
      <c r="D27" s="268">
        <f>VAC_Optim_Scenario!$H43</f>
        <v>16888801</v>
      </c>
      <c r="E27" s="268">
        <f>VAC_Optim_Scenario!$J43</f>
        <v>67034177.652868718</v>
      </c>
      <c r="F27" s="268">
        <f>VAC_Optim_Scenario!$H43</f>
        <v>16888801</v>
      </c>
      <c r="G27" s="268">
        <f>VAC_Optim_Scenario!$J43</f>
        <v>67034177.652868718</v>
      </c>
      <c r="H27" s="268">
        <f>VAC_Optim_Scenario!$H43</f>
        <v>16888801</v>
      </c>
      <c r="I27" s="268">
        <f>VAC_Optim_Scenario!$J43</f>
        <v>67034177.652868718</v>
      </c>
      <c r="J27" s="258"/>
      <c r="K27" s="267" t="s">
        <v>154</v>
      </c>
      <c r="L27" s="238" t="str">
        <f>VAC_Optim_Scenario!B25</f>
        <v>HCC Linear TV</v>
      </c>
      <c r="M27" s="261">
        <f t="shared" si="3"/>
        <v>16.888801000000001</v>
      </c>
      <c r="N27" s="261">
        <f t="shared" si="2"/>
        <v>67.034177652868721</v>
      </c>
      <c r="O27" s="261">
        <f t="shared" si="2"/>
        <v>16.888801000000001</v>
      </c>
      <c r="P27" s="261">
        <f t="shared" si="2"/>
        <v>67.034177652868721</v>
      </c>
      <c r="Q27" s="261">
        <f t="shared" si="2"/>
        <v>16.888801000000001</v>
      </c>
      <c r="R27" s="261">
        <f t="shared" si="2"/>
        <v>67.034177652868721</v>
      </c>
    </row>
    <row r="30" spans="2:19" ht="34.4" customHeight="1" x14ac:dyDescent="0.35">
      <c r="C30" s="293" t="s">
        <v>3</v>
      </c>
      <c r="D30" s="294" t="s">
        <v>241</v>
      </c>
      <c r="E30" s="259">
        <v>-0.5</v>
      </c>
      <c r="F30" s="259">
        <v>2</v>
      </c>
      <c r="G30" s="259">
        <v>-0.4</v>
      </c>
      <c r="H30" s="259">
        <v>0.4</v>
      </c>
      <c r="J30" s="97" t="s">
        <v>3</v>
      </c>
      <c r="K30" s="97" t="s">
        <v>224</v>
      </c>
      <c r="L30" s="97" t="s">
        <v>225</v>
      </c>
      <c r="M30" s="97" t="s">
        <v>226</v>
      </c>
      <c r="N30" s="97" t="s">
        <v>244</v>
      </c>
      <c r="O30" s="97" t="s">
        <v>246</v>
      </c>
      <c r="P30" s="97" t="s">
        <v>227</v>
      </c>
      <c r="Q30" s="97" t="s">
        <v>228</v>
      </c>
      <c r="R30" s="97" t="s">
        <v>190</v>
      </c>
      <c r="S30" s="97" t="s">
        <v>187</v>
      </c>
    </row>
    <row r="31" spans="2:19" x14ac:dyDescent="0.35">
      <c r="B31" s="53" t="s">
        <v>154</v>
      </c>
      <c r="C31" s="311" t="str">
        <f>VAC_Optim_Scenario!B17</f>
        <v>HCC In Office</v>
      </c>
      <c r="D31" s="251">
        <f>M19</f>
        <v>1.3943291308148695</v>
      </c>
      <c r="E31" s="251">
        <f>O5</f>
        <v>1.3943291308148695</v>
      </c>
      <c r="F31" s="251">
        <f>Q5</f>
        <v>1.3943291308148695</v>
      </c>
      <c r="G31" s="251">
        <f>O19</f>
        <v>1.3943291308148695</v>
      </c>
      <c r="H31" s="251">
        <f>Q19</f>
        <v>1.3943291308148695</v>
      </c>
      <c r="J31" s="260">
        <v>-0.5</v>
      </c>
      <c r="K31" s="261">
        <f>E$31</f>
        <v>1.3943291308148695</v>
      </c>
      <c r="L31" s="261">
        <f>E$32</f>
        <v>11.415499642068511</v>
      </c>
      <c r="M31" s="261">
        <f>E$33</f>
        <v>2.5760000000000001</v>
      </c>
      <c r="N31" s="261">
        <f>E$34</f>
        <v>1</v>
      </c>
      <c r="O31" s="261">
        <f>E$35</f>
        <v>7.5702492039995652</v>
      </c>
      <c r="P31" s="261">
        <f>E$36</f>
        <v>5.3494979439856341</v>
      </c>
      <c r="Q31" s="261">
        <f>E$37</f>
        <v>0.4</v>
      </c>
      <c r="R31" s="261">
        <f>E$38</f>
        <v>3.1080000000000001</v>
      </c>
      <c r="S31" s="261">
        <f>E$39</f>
        <v>16.888801000000001</v>
      </c>
    </row>
    <row r="32" spans="2:19" x14ac:dyDescent="0.35">
      <c r="B32" s="54" t="s">
        <v>154</v>
      </c>
      <c r="C32" s="312" t="str">
        <f>VAC_Optim_Scenario!B18</f>
        <v>HCP MCM</v>
      </c>
      <c r="D32" s="256">
        <f t="shared" ref="D32:D39" si="4">M20</f>
        <v>11.415499642068511</v>
      </c>
      <c r="E32" s="256">
        <f t="shared" ref="E32:E39" si="5">O6</f>
        <v>11.415499642068511</v>
      </c>
      <c r="F32" s="256">
        <f t="shared" ref="F32:F39" si="6">Q6</f>
        <v>11.415499642068511</v>
      </c>
      <c r="G32" s="256">
        <f t="shared" ref="G32:G39" si="7">O20</f>
        <v>11.415499642068511</v>
      </c>
      <c r="H32" s="256">
        <f t="shared" ref="H32:H39" si="8">Q20</f>
        <v>11.415499642068511</v>
      </c>
      <c r="J32" s="260">
        <v>-0.4</v>
      </c>
      <c r="K32" s="261">
        <f>G$31</f>
        <v>1.3943291308148695</v>
      </c>
      <c r="L32" s="261">
        <f>G$32</f>
        <v>11.415499642068511</v>
      </c>
      <c r="M32" s="261">
        <f>G$33</f>
        <v>2.5760000000000001</v>
      </c>
      <c r="N32" s="261">
        <f>G$34</f>
        <v>1</v>
      </c>
      <c r="O32" s="261">
        <f>G$35</f>
        <v>7.5702492039995652</v>
      </c>
      <c r="P32" s="261">
        <f>G$36</f>
        <v>5.3494979439856341</v>
      </c>
      <c r="Q32" s="261">
        <f>G$37</f>
        <v>0.4</v>
      </c>
      <c r="R32" s="261">
        <f>G$38</f>
        <v>3.1080000000000001</v>
      </c>
      <c r="S32" s="261">
        <f>G$39</f>
        <v>16.888801000000001</v>
      </c>
    </row>
    <row r="33" spans="2:22" x14ac:dyDescent="0.35">
      <c r="B33" s="54" t="s">
        <v>154</v>
      </c>
      <c r="C33" s="312" t="str">
        <f>VAC_Optim_Scenario!B19</f>
        <v>HCC Social</v>
      </c>
      <c r="D33" s="256">
        <f t="shared" si="4"/>
        <v>2.5760000000000001</v>
      </c>
      <c r="E33" s="256">
        <f t="shared" si="5"/>
        <v>2.5760000000000001</v>
      </c>
      <c r="F33" s="256">
        <f t="shared" si="6"/>
        <v>2.5760000000000001</v>
      </c>
      <c r="G33" s="256">
        <f t="shared" si="7"/>
        <v>2.5760000000000001</v>
      </c>
      <c r="H33" s="256">
        <f t="shared" si="8"/>
        <v>2.5760000000000001</v>
      </c>
      <c r="J33" s="260" t="s">
        <v>241</v>
      </c>
      <c r="K33" s="261">
        <f>D$31</f>
        <v>1.3943291308148695</v>
      </c>
      <c r="L33" s="261">
        <f>D$32</f>
        <v>11.415499642068511</v>
      </c>
      <c r="M33" s="261">
        <f>D$33</f>
        <v>2.5760000000000001</v>
      </c>
      <c r="N33" s="261">
        <f>D$34</f>
        <v>1</v>
      </c>
      <c r="O33" s="261">
        <f>D$35</f>
        <v>7.5702492039995652</v>
      </c>
      <c r="P33" s="261">
        <f>D$36</f>
        <v>5.3494979439856341</v>
      </c>
      <c r="Q33" s="261">
        <f>D$37</f>
        <v>0.4</v>
      </c>
      <c r="R33" s="261">
        <f>D$38</f>
        <v>3.1080000000000001</v>
      </c>
      <c r="S33" s="261">
        <f>D$39</f>
        <v>16.888801000000001</v>
      </c>
    </row>
    <row r="34" spans="2:22" x14ac:dyDescent="0.35">
      <c r="B34" s="54" t="s">
        <v>154</v>
      </c>
      <c r="C34" s="312" t="str">
        <f>VAC_Optim_Scenario!B20</f>
        <v>HCC Online Video</v>
      </c>
      <c r="D34" s="256">
        <f t="shared" si="4"/>
        <v>1</v>
      </c>
      <c r="E34" s="256">
        <f t="shared" si="5"/>
        <v>1</v>
      </c>
      <c r="F34" s="256">
        <f t="shared" si="6"/>
        <v>1</v>
      </c>
      <c r="G34" s="256">
        <f t="shared" si="7"/>
        <v>1</v>
      </c>
      <c r="H34" s="256">
        <f t="shared" si="8"/>
        <v>1</v>
      </c>
      <c r="J34" s="260">
        <v>0.4</v>
      </c>
      <c r="K34" s="261">
        <f>H$31</f>
        <v>1.3943291308148695</v>
      </c>
      <c r="L34" s="261">
        <f>H$32</f>
        <v>11.415499642068511</v>
      </c>
      <c r="M34" s="261">
        <f>H$33</f>
        <v>2.5760000000000001</v>
      </c>
      <c r="N34" s="261">
        <f>H$34</f>
        <v>1</v>
      </c>
      <c r="O34" s="261">
        <f>H$35</f>
        <v>7.5702492039995652</v>
      </c>
      <c r="P34" s="261">
        <f>H$36</f>
        <v>5.3494979439856341</v>
      </c>
      <c r="Q34" s="261">
        <f>H$37</f>
        <v>0.4</v>
      </c>
      <c r="R34" s="261">
        <f>H$38</f>
        <v>3.1080000000000001</v>
      </c>
      <c r="S34" s="261">
        <f>H$39</f>
        <v>16.888801000000001</v>
      </c>
    </row>
    <row r="35" spans="2:22" x14ac:dyDescent="0.35">
      <c r="B35" s="54" t="s">
        <v>154</v>
      </c>
      <c r="C35" s="312" t="str">
        <f>VAC_Optim_Scenario!B21</f>
        <v>HCC Streaming Video</v>
      </c>
      <c r="D35" s="256">
        <f t="shared" si="4"/>
        <v>7.5702492039995652</v>
      </c>
      <c r="E35" s="256">
        <f t="shared" si="5"/>
        <v>7.5702492039995652</v>
      </c>
      <c r="F35" s="256">
        <f t="shared" si="6"/>
        <v>7.5702492039995652</v>
      </c>
      <c r="G35" s="256">
        <f t="shared" si="7"/>
        <v>7.5702492039995652</v>
      </c>
      <c r="H35" s="256">
        <f t="shared" si="8"/>
        <v>7.5702492039995652</v>
      </c>
      <c r="J35" s="259">
        <v>2</v>
      </c>
      <c r="K35" s="261">
        <f>F$31</f>
        <v>1.3943291308148695</v>
      </c>
      <c r="L35" s="261">
        <f>F$32</f>
        <v>11.415499642068511</v>
      </c>
      <c r="M35" s="261">
        <f>F$33</f>
        <v>2.5760000000000001</v>
      </c>
      <c r="N35" s="261">
        <f>F$34</f>
        <v>1</v>
      </c>
      <c r="O35" s="261">
        <f>F$35</f>
        <v>7.5702492039995652</v>
      </c>
      <c r="P35" s="261">
        <f>F$36</f>
        <v>5.3494979439856341</v>
      </c>
      <c r="Q35" s="261">
        <f>F$37</f>
        <v>0.4</v>
      </c>
      <c r="R35" s="261">
        <f>F$38</f>
        <v>3.1080000000000001</v>
      </c>
      <c r="S35" s="261">
        <f>F$39</f>
        <v>16.888801000000001</v>
      </c>
    </row>
    <row r="36" spans="2:22" x14ac:dyDescent="0.35">
      <c r="B36" s="54" t="s">
        <v>154</v>
      </c>
      <c r="C36" s="312" t="str">
        <f>VAC_Optim_Scenario!B22</f>
        <v>HCC Display</v>
      </c>
      <c r="D36" s="256">
        <f t="shared" si="4"/>
        <v>5.3494979439856341</v>
      </c>
      <c r="E36" s="256">
        <f t="shared" si="5"/>
        <v>5.3494979439856341</v>
      </c>
      <c r="F36" s="256">
        <f t="shared" si="6"/>
        <v>5.3494979439856341</v>
      </c>
      <c r="G36" s="256">
        <f t="shared" si="7"/>
        <v>5.3494979439856341</v>
      </c>
      <c r="H36" s="256">
        <f t="shared" si="8"/>
        <v>5.3494979439856341</v>
      </c>
    </row>
    <row r="37" spans="2:22" x14ac:dyDescent="0.35">
      <c r="B37" s="54" t="s">
        <v>154</v>
      </c>
      <c r="C37" s="312" t="str">
        <f>VAC_Optim_Scenario!B23</f>
        <v>HCC Paid Search</v>
      </c>
      <c r="D37" s="256">
        <f t="shared" si="4"/>
        <v>0.4</v>
      </c>
      <c r="E37" s="256">
        <f t="shared" si="5"/>
        <v>0.4</v>
      </c>
      <c r="F37" s="256">
        <f t="shared" si="6"/>
        <v>0.4</v>
      </c>
      <c r="G37" s="256">
        <f t="shared" si="7"/>
        <v>0.4</v>
      </c>
      <c r="H37" s="256">
        <f t="shared" si="8"/>
        <v>0.4</v>
      </c>
      <c r="J37" s="277"/>
      <c r="K37" s="262"/>
      <c r="L37" s="262"/>
      <c r="M37" s="262"/>
      <c r="N37" s="262"/>
      <c r="O37" s="262"/>
      <c r="P37" s="262"/>
      <c r="Q37" s="262"/>
      <c r="R37" s="262"/>
    </row>
    <row r="38" spans="2:22" x14ac:dyDescent="0.35">
      <c r="B38" s="54" t="s">
        <v>154</v>
      </c>
      <c r="C38" s="312" t="str">
        <f>VAC_Optim_Scenario!B24</f>
        <v>HCC Audio</v>
      </c>
      <c r="D38" s="256">
        <f t="shared" si="4"/>
        <v>3.1080000000000001</v>
      </c>
      <c r="E38" s="256">
        <f t="shared" si="5"/>
        <v>3.1080000000000001</v>
      </c>
      <c r="F38" s="256">
        <f t="shared" si="6"/>
        <v>3.1080000000000001</v>
      </c>
      <c r="G38" s="256">
        <f t="shared" si="7"/>
        <v>3.1080000000000001</v>
      </c>
      <c r="H38" s="256">
        <f t="shared" si="8"/>
        <v>3.1080000000000001</v>
      </c>
      <c r="J38" s="278"/>
      <c r="K38" s="263"/>
      <c r="L38" s="263"/>
      <c r="M38" s="263"/>
      <c r="N38" s="263"/>
      <c r="O38" s="263"/>
      <c r="P38" s="263"/>
      <c r="Q38" s="263"/>
      <c r="R38" s="263"/>
    </row>
    <row r="39" spans="2:22" x14ac:dyDescent="0.35">
      <c r="B39" s="97" t="s">
        <v>154</v>
      </c>
      <c r="C39" s="313" t="str">
        <f>VAC_Optim_Scenario!B25</f>
        <v>HCC Linear TV</v>
      </c>
      <c r="D39" s="256">
        <f t="shared" si="4"/>
        <v>16.888801000000001</v>
      </c>
      <c r="E39" s="256">
        <f t="shared" si="5"/>
        <v>16.888801000000001</v>
      </c>
      <c r="F39" s="256">
        <f t="shared" si="6"/>
        <v>16.888801000000001</v>
      </c>
      <c r="G39" s="256">
        <f t="shared" si="7"/>
        <v>16.888801000000001</v>
      </c>
      <c r="H39" s="256">
        <f t="shared" si="8"/>
        <v>16.888801000000001</v>
      </c>
      <c r="J39" s="277"/>
      <c r="K39" s="262"/>
      <c r="L39" s="262"/>
      <c r="M39" s="262"/>
      <c r="N39" s="262"/>
      <c r="O39" s="262"/>
      <c r="P39" s="262"/>
      <c r="Q39" s="262"/>
      <c r="R39" s="262"/>
    </row>
    <row r="40" spans="2:22" x14ac:dyDescent="0.35">
      <c r="L40" s="191"/>
      <c r="M40" s="191"/>
      <c r="O40" s="191"/>
      <c r="P40" s="191"/>
    </row>
    <row r="41" spans="2:22" x14ac:dyDescent="0.35">
      <c r="L41" s="261"/>
      <c r="M41" s="261"/>
      <c r="N41" s="261"/>
      <c r="O41" s="261"/>
      <c r="P41" s="261"/>
    </row>
    <row r="42" spans="2:22" x14ac:dyDescent="0.35">
      <c r="L42" s="261"/>
      <c r="M42" s="261"/>
      <c r="N42" s="261"/>
      <c r="O42" s="261"/>
      <c r="P42" s="261"/>
    </row>
    <row r="43" spans="2:22" x14ac:dyDescent="0.35">
      <c r="L43" s="261"/>
      <c r="M43" s="261"/>
      <c r="N43" s="261"/>
      <c r="O43" s="261"/>
      <c r="P43" s="261"/>
    </row>
    <row r="44" spans="2:22" x14ac:dyDescent="0.35">
      <c r="L44" s="261"/>
      <c r="M44" s="261"/>
      <c r="N44" s="261"/>
      <c r="O44" s="261"/>
      <c r="P44" s="261"/>
      <c r="S44" s="264"/>
      <c r="T44" s="264"/>
      <c r="V44" s="264"/>
    </row>
    <row r="45" spans="2:22" x14ac:dyDescent="0.35">
      <c r="L45" s="261"/>
      <c r="M45" s="261"/>
      <c r="N45" s="261"/>
      <c r="O45" s="261"/>
      <c r="P45" s="265"/>
      <c r="S45" s="266"/>
      <c r="T45" s="266"/>
      <c r="U45" s="266"/>
      <c r="V45" s="266"/>
    </row>
    <row r="46" spans="2:22" x14ac:dyDescent="0.35">
      <c r="L46" s="261"/>
      <c r="M46" s="261"/>
      <c r="N46" s="261"/>
      <c r="O46" s="261"/>
      <c r="P46" s="261"/>
      <c r="S46" s="266"/>
      <c r="T46" s="266"/>
      <c r="U46" s="266"/>
      <c r="V46" s="266"/>
    </row>
    <row r="47" spans="2:22" x14ac:dyDescent="0.35">
      <c r="L47" s="261"/>
      <c r="M47" s="261"/>
      <c r="N47" s="261"/>
      <c r="O47" s="261"/>
      <c r="P47" s="261"/>
    </row>
    <row r="48" spans="2:22" x14ac:dyDescent="0.35">
      <c r="L48" s="261"/>
      <c r="M48" s="261"/>
      <c r="N48" s="261"/>
      <c r="O48" s="261"/>
      <c r="P48" s="261"/>
    </row>
  </sheetData>
  <mergeCells count="18">
    <mergeCell ref="K3:K4"/>
    <mergeCell ref="B3:B4"/>
    <mergeCell ref="C3:C4"/>
    <mergeCell ref="D3:E3"/>
    <mergeCell ref="F3:G3"/>
    <mergeCell ref="H3:I3"/>
    <mergeCell ref="C17:C18"/>
    <mergeCell ref="D17:E17"/>
    <mergeCell ref="F17:G17"/>
    <mergeCell ref="H17:I17"/>
    <mergeCell ref="L17:L18"/>
    <mergeCell ref="O17:P17"/>
    <mergeCell ref="Q17:R17"/>
    <mergeCell ref="L3:L4"/>
    <mergeCell ref="M3:N3"/>
    <mergeCell ref="O3:P3"/>
    <mergeCell ref="Q3:R3"/>
    <mergeCell ref="M17:N1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DA747-D407-4282-8381-F585CCEDDB35}">
  <sheetPr>
    <tabColor theme="3" tint="0.79998168889431442"/>
    <pageSetUpPr autoPageBreaks="0"/>
  </sheetPr>
  <dimension ref="A2:R102"/>
  <sheetViews>
    <sheetView showGridLines="0" zoomScale="75" zoomScaleNormal="75" workbookViewId="0">
      <selection activeCell="I9" sqref="I9"/>
    </sheetView>
  </sheetViews>
  <sheetFormatPr defaultColWidth="8.7265625" defaultRowHeight="14.5" x14ac:dyDescent="0.35"/>
  <cols>
    <col min="1" max="1" width="8.7265625" style="97"/>
    <col min="2" max="2" width="20.26953125" style="97" bestFit="1" customWidth="1"/>
    <col min="3" max="3" width="20.54296875" style="97" bestFit="1" customWidth="1"/>
    <col min="4" max="4" width="12.1796875" style="97" bestFit="1" customWidth="1"/>
    <col min="5" max="5" width="22.26953125" style="97" bestFit="1" customWidth="1"/>
    <col min="6" max="6" width="18.453125" style="97" bestFit="1" customWidth="1"/>
    <col min="7" max="7" width="9.54296875" style="97" bestFit="1" customWidth="1"/>
    <col min="8" max="8" width="10.81640625" style="97" bestFit="1" customWidth="1"/>
    <col min="9" max="9" width="16.1796875" style="97" bestFit="1" customWidth="1"/>
    <col min="10" max="10" width="10.26953125" style="97" customWidth="1"/>
    <col min="11" max="11" width="8.7265625" style="97"/>
    <col min="12" max="12" width="11.453125" style="97" bestFit="1" customWidth="1"/>
    <col min="13" max="16" width="8.7265625" style="97"/>
    <col min="17" max="18" width="13.81640625" style="97" bestFit="1" customWidth="1"/>
    <col min="19" max="16384" width="8.7265625" style="97"/>
  </cols>
  <sheetData>
    <row r="2" spans="1:18" x14ac:dyDescent="0.35">
      <c r="D2" s="473" t="s">
        <v>311</v>
      </c>
      <c r="E2" s="473"/>
      <c r="F2" s="473"/>
      <c r="G2" s="473"/>
      <c r="H2" s="473"/>
      <c r="I2" s="473"/>
      <c r="L2" s="97" t="s">
        <v>273</v>
      </c>
    </row>
    <row r="3" spans="1:18" ht="56" x14ac:dyDescent="0.35">
      <c r="B3" s="417" t="s">
        <v>2</v>
      </c>
      <c r="C3" s="418" t="s">
        <v>3</v>
      </c>
      <c r="D3" s="418" t="s">
        <v>312</v>
      </c>
      <c r="E3" s="418" t="s">
        <v>313</v>
      </c>
      <c r="F3" s="418" t="s">
        <v>314</v>
      </c>
      <c r="G3" s="418" t="s">
        <v>315</v>
      </c>
      <c r="H3" s="418" t="s">
        <v>222</v>
      </c>
      <c r="I3" s="418" t="s">
        <v>223</v>
      </c>
      <c r="J3" s="419" t="s">
        <v>207</v>
      </c>
      <c r="K3"/>
      <c r="L3" s="353">
        <v>8799842</v>
      </c>
      <c r="M3" s="235" t="s">
        <v>250</v>
      </c>
    </row>
    <row r="4" spans="1:18" x14ac:dyDescent="0.35">
      <c r="A4" s="97" t="s">
        <v>276</v>
      </c>
      <c r="B4" s="357" t="s">
        <v>173</v>
      </c>
      <c r="C4" s="358" t="str">
        <f>VAC_Optim_Scenario!B17</f>
        <v>HCC In Office</v>
      </c>
      <c r="D4" s="356">
        <f>VAC_Optim_Scenario!E17</f>
        <v>1000000</v>
      </c>
      <c r="E4" s="359">
        <f>VAC_Optim_Scenario!F17</f>
        <v>22310.299479529262</v>
      </c>
      <c r="F4" s="356">
        <f>VAC_Optim_Scenario!G35</f>
        <v>5040789.0644048415</v>
      </c>
      <c r="G4" s="362">
        <f>F4/D4</f>
        <v>5.0407890644048416</v>
      </c>
      <c r="H4" s="414">
        <f>E4/$L$3</f>
        <v>2.5353068247735882E-3</v>
      </c>
      <c r="I4" s="365">
        <f>(D4)/E4</f>
        <v>44.822347674783416</v>
      </c>
      <c r="J4" s="412">
        <f ca="1">(VLOOKUP($Q4,INDIRECT("'"&amp;A4&amp;"'!"&amp;"A20:E42"),5,0)-VLOOKUP($R4,INDIRECT("'"&amp;A4&amp;"'!"&amp;"A20:E42"),5,0))/(Q4-R4)</f>
        <v>4.2588353994034396</v>
      </c>
      <c r="K4"/>
      <c r="Q4" s="366" cm="1">
        <f t="array" aca="1" ref="Q4" ca="1">MAX(_xlfn._xlws.FILTER(INDIRECT("'"&amp;A4&amp;"'!"&amp;"A20:A42"),INDIRECT("'"&amp;A4&amp;"'!"&amp;"A20:A42")&lt;$D4))</f>
        <v>800000</v>
      </c>
      <c r="R4" s="366" cm="1">
        <f t="array" aca="1" ref="R4" ca="1">MIN(_xlfn._xlws.FILTER(INDIRECT("'"&amp;A4&amp;"'!"&amp;"A20:A42"),INDIRECT("'"&amp;A4&amp;"'!"&amp;"A20:A42")&gt;=$D4))</f>
        <v>1000000</v>
      </c>
    </row>
    <row r="5" spans="1:18" x14ac:dyDescent="0.35">
      <c r="A5" s="97" t="s">
        <v>277</v>
      </c>
      <c r="B5" s="357" t="s">
        <v>173</v>
      </c>
      <c r="C5" s="358" t="str">
        <f>VAC_Optim_Scenario!B18</f>
        <v>HCP MCM</v>
      </c>
      <c r="D5" s="356">
        <f>VAC_Optim_Scenario!E18</f>
        <v>7775778</v>
      </c>
      <c r="E5" s="359">
        <f>VAC_Optim_Scenario!F18</f>
        <v>356289.09054759797</v>
      </c>
      <c r="F5" s="356">
        <f>VAC_Optim_Scenario!G36</f>
        <v>80499957.11832428</v>
      </c>
      <c r="G5" s="362">
        <f>F5/D5</f>
        <v>10.352656302472148</v>
      </c>
      <c r="H5" s="415">
        <f t="shared" ref="H5:H12" si="0">E5/$L$3</f>
        <v>4.0488123598991663E-2</v>
      </c>
      <c r="I5" s="365">
        <f t="shared" ref="I5:I12" si="1">(D5)/E5</f>
        <v>21.824350524033811</v>
      </c>
      <c r="J5" s="413">
        <f t="shared" ref="J5:J7" ca="1" si="2">(VLOOKUP($Q5,INDIRECT("'"&amp;A5&amp;"'!"&amp;"A20:E42"),5,0)-VLOOKUP($R5,INDIRECT("'"&amp;A5&amp;"'!"&amp;"A20:E42"),5,0))/(Q5-R5)</f>
        <v>5.7372760813294521</v>
      </c>
      <c r="K5"/>
      <c r="Q5" s="366" cm="1">
        <f t="array" aca="1" ref="Q5" ca="1">MAX(_xlfn._xlws.FILTER(INDIRECT("'"&amp;A5&amp;"'!"&amp;"A20:A42"),INDIRECT("'"&amp;A5&amp;"'!"&amp;"A20:A42")&lt;$D5))</f>
        <v>7650000</v>
      </c>
      <c r="R5" s="366" cm="1">
        <f t="array" aca="1" ref="R5" ca="1">MIN(_xlfn._xlws.FILTER(INDIRECT("'"&amp;A5&amp;"'!"&amp;"A20:A42"),INDIRECT("'"&amp;A5&amp;"'!"&amp;"A20:A42")&gt;=$D5))</f>
        <v>8100000</v>
      </c>
    </row>
    <row r="6" spans="1:18" x14ac:dyDescent="0.35">
      <c r="A6" s="97" t="s">
        <v>280</v>
      </c>
      <c r="B6" s="357" t="s">
        <v>173</v>
      </c>
      <c r="C6" s="358" t="str">
        <f>VAC_Optim_Scenario!B19</f>
        <v>HCC Social</v>
      </c>
      <c r="D6" s="356">
        <f>VAC_Optim_Scenario!E19</f>
        <v>1840000</v>
      </c>
      <c r="E6" s="359">
        <f>VAC_Optim_Scenario!F19</f>
        <v>70487.367019183061</v>
      </c>
      <c r="F6" s="356">
        <f>VAC_Optim_Scenario!G37</f>
        <v>15925915.704314221</v>
      </c>
      <c r="G6" s="362">
        <f t="shared" ref="G6:G12" si="3">F6/D6</f>
        <v>8.6553889697359896</v>
      </c>
      <c r="H6" s="415">
        <f>E6/$L$3</f>
        <v>8.010071887561511E-3</v>
      </c>
      <c r="I6" s="365">
        <f t="shared" si="1"/>
        <v>26.103968382011573</v>
      </c>
      <c r="J6" s="413">
        <f ca="1">(VLOOKUP($Q6,INDIRECT("'"&amp;A6&amp;"'!"&amp;"A20:E42"),3,0)-VLOOKUP($R6,INDIRECT("'"&amp;A6&amp;"'!"&amp;"A20:E42"),3,0))/(Q6-R6)</f>
        <v>5.1563798454813883</v>
      </c>
      <c r="K6"/>
      <c r="Q6" s="366" cm="1">
        <f t="array" aca="1" ref="Q6" ca="1">MAX(_xlfn._xlws.FILTER(INDIRECT("'"&amp;A6&amp;"'!"&amp;"A20:A42"),INDIRECT("'"&amp;A6&amp;"'!"&amp;"A20:A42")&lt;$D6))</f>
        <v>1750000</v>
      </c>
      <c r="R6" s="366" cm="1">
        <f t="array" aca="1" ref="R6" ca="1">MIN(_xlfn._xlws.FILTER(INDIRECT("'"&amp;A6&amp;"'!"&amp;"A20:A42"),INDIRECT("'"&amp;A6&amp;"'!"&amp;"A20:A42")&gt;=$D6))</f>
        <v>2000000</v>
      </c>
    </row>
    <row r="7" spans="1:18" x14ac:dyDescent="0.35">
      <c r="A7" s="97" t="s">
        <v>278</v>
      </c>
      <c r="B7" s="357" t="s">
        <v>173</v>
      </c>
      <c r="C7" s="358" t="str">
        <f>VAC_Optim_Scenario!B20</f>
        <v>HCC Online Video</v>
      </c>
      <c r="D7" s="356">
        <f>VAC_Optim_Scenario!E20</f>
        <v>1220000</v>
      </c>
      <c r="E7" s="359">
        <f>VAC_Optim_Scenario!F20</f>
        <v>15022.779470646754</v>
      </c>
      <c r="F7" s="356">
        <f>VAC_Optim_Scenario!G38</f>
        <v>3394246.7935979273</v>
      </c>
      <c r="G7" s="362">
        <f t="shared" si="3"/>
        <v>2.7821695029491207</v>
      </c>
      <c r="H7" s="415">
        <f t="shared" si="0"/>
        <v>1.7071646821211965E-3</v>
      </c>
      <c r="I7" s="365">
        <f t="shared" si="1"/>
        <v>81.210005271246729</v>
      </c>
      <c r="J7" s="413">
        <f t="shared" ca="1" si="2"/>
        <v>0.11513353838437583</v>
      </c>
      <c r="K7"/>
      <c r="Q7" s="367" cm="1">
        <f t="array" aca="1" ref="Q7" ca="1">MAX(_xlfn._xlws.FILTER(INDIRECT("'"&amp;A7&amp;"'!"&amp;"A20:A42"),INDIRECT("'"&amp;A7&amp;"'!"&amp;"A20:A42")&lt;$D7))</f>
        <v>1142364.980307648</v>
      </c>
      <c r="R7" s="367" cm="1">
        <f t="array" aca="1" ref="R7" ca="1">MIN(_xlfn._xlws.FILTER(INDIRECT("'"&amp;A7&amp;"'!"&amp;"A20:A42"),INDIRECT("'"&amp;A7&amp;"'!"&amp;"A20:A42")&gt;=$D7))</f>
        <v>1246216.3421537976</v>
      </c>
    </row>
    <row r="8" spans="1:18" x14ac:dyDescent="0.35">
      <c r="A8" s="97" t="s">
        <v>285</v>
      </c>
      <c r="B8" s="357" t="s">
        <v>173</v>
      </c>
      <c r="C8" s="358" t="str">
        <f>VAC_Optim_Scenario!B21</f>
        <v>HCC Streaming Video</v>
      </c>
      <c r="D8" s="356">
        <f>VAC_Optim_Scenario!E21</f>
        <v>4817798</v>
      </c>
      <c r="E8" s="359">
        <f>VAC_Optim_Scenario!F21</f>
        <v>121516.7124715425</v>
      </c>
      <c r="F8" s="356">
        <f>VAC_Optim_Scenario!G39</f>
        <v>27455486.015820313</v>
      </c>
      <c r="G8" s="362">
        <f t="shared" si="3"/>
        <v>5.6987623839397816</v>
      </c>
      <c r="H8" s="415">
        <f t="shared" si="0"/>
        <v>1.3808965260006089E-2</v>
      </c>
      <c r="I8" s="365">
        <f t="shared" si="1"/>
        <v>39.647204915358948</v>
      </c>
      <c r="J8" s="413">
        <f ca="1">(VLOOKUP($Q8,INDIRECT("'"&amp;A8&amp;"'!"&amp;"A20:E42"),3,0)-VLOOKUP($R8,INDIRECT("'"&amp;A8&amp;"'!"&amp;"A20:E42"),3,0))/(Q8-R8)</f>
        <v>4.0068524911094006</v>
      </c>
      <c r="K8"/>
      <c r="Q8" s="366" cm="1">
        <f t="array" aca="1" ref="Q8" ca="1">MAX(_xlfn._xlws.FILTER(INDIRECT("'"&amp;A8&amp;"'!"&amp;"A20:A42"),INDIRECT("'"&amp;A8&amp;"'!"&amp;"A20:A42")&lt;$D8))</f>
        <v>4500000</v>
      </c>
      <c r="R8" s="366" cm="1">
        <f t="array" aca="1" ref="R8" ca="1">MIN(_xlfn._xlws.FILTER(INDIRECT("'"&amp;A8&amp;"'!"&amp;"A20:A42"),INDIRECT("'"&amp;A8&amp;"'!"&amp;"A20:A42")&gt;=$D8))</f>
        <v>5000000</v>
      </c>
    </row>
    <row r="9" spans="1:18" x14ac:dyDescent="0.35">
      <c r="A9" s="97" t="s">
        <v>279</v>
      </c>
      <c r="B9" s="357" t="s">
        <v>173</v>
      </c>
      <c r="C9" s="358" t="str">
        <f>VAC_Optim_Scenario!B22</f>
        <v>HCC Display</v>
      </c>
      <c r="D9" s="356">
        <f>VAC_Optim_Scenario!E22</f>
        <v>3540000</v>
      </c>
      <c r="E9" s="359">
        <f>VAC_Optim_Scenario!F22</f>
        <v>173899.1701768022</v>
      </c>
      <c r="F9" s="356">
        <f>VAC_Optim_Scenario!G40</f>
        <v>39290778.509746693</v>
      </c>
      <c r="G9" s="362">
        <f t="shared" si="3"/>
        <v>11.099089974504716</v>
      </c>
      <c r="H9" s="415">
        <f t="shared" si="0"/>
        <v>1.9761624149252022E-2</v>
      </c>
      <c r="I9" s="365">
        <f t="shared" si="1"/>
        <v>20.356623878083514</v>
      </c>
      <c r="J9" s="413">
        <f ca="1">(VLOOKUP($Q9,INDIRECT("'"&amp;A9&amp;"'!"&amp;"A20:E60"),5,0)-VLOOKUP($R9,INDIRECT("'"&amp;A9&amp;"'!"&amp;"A20:E60"),5,0))/(Q9-R9)</f>
        <v>6.0507281306954113</v>
      </c>
      <c r="K9"/>
      <c r="Q9" s="367" cm="1">
        <f t="array" aca="1" ref="Q9" ca="1">MAX(_xlfn._xlws.FILTER(INDIRECT("'"&amp;A9&amp;"'!"&amp;"A20:A60"),INDIRECT("'"&amp;A9&amp;"'!"&amp;"A20:A60")&lt;$D9))</f>
        <v>3530946.30276909</v>
      </c>
      <c r="R9" s="367" cm="1">
        <f t="array" aca="1" ref="R9" ca="1">MIN(_xlfn._xlws.FILTER(INDIRECT("'"&amp;A9&amp;"'!"&amp;"A20:A60"),INDIRECT("'"&amp;A9&amp;"'!"&amp;"A20:A60")&gt;=$D9))</f>
        <v>3634797.6646152399</v>
      </c>
    </row>
    <row r="10" spans="1:18" x14ac:dyDescent="0.35">
      <c r="A10" s="97" t="s">
        <v>281</v>
      </c>
      <c r="B10" s="357" t="s">
        <v>173</v>
      </c>
      <c r="C10" s="358" t="str">
        <f>VAC_Optim_Scenario!B23</f>
        <v>HCC Paid Search</v>
      </c>
      <c r="D10" s="356">
        <f>VAC_Optim_Scenario!E23</f>
        <v>400000</v>
      </c>
      <c r="E10" s="359">
        <f>VAC_Optim_Scenario!F23</f>
        <v>145038.35480357721</v>
      </c>
      <c r="F10" s="356">
        <f>VAC_Optim_Scenario!G41</f>
        <v>32769965.884320233</v>
      </c>
      <c r="G10" s="362">
        <f t="shared" si="3"/>
        <v>81.924914710800579</v>
      </c>
      <c r="H10" s="415">
        <f t="shared" si="0"/>
        <v>1.6481927153189479E-2</v>
      </c>
      <c r="I10" s="365">
        <f t="shared" si="1"/>
        <v>2.7578911836232054</v>
      </c>
      <c r="J10" s="413">
        <f ca="1">(VLOOKUP($Q10,INDIRECT("'"&amp;A10&amp;"'!"&amp;"A20:E42"),3,0)-VLOOKUP($R10,INDIRECT("'"&amp;A10&amp;"'!"&amp;"A20:E42"),3,0))/(Q10-R10)</f>
        <v>59.771182942678408</v>
      </c>
      <c r="K10"/>
      <c r="Q10" s="366" cm="1">
        <f t="array" aca="1" ref="Q10" ca="1">MAX(_xlfn._xlws.FILTER(INDIRECT("'"&amp;A10&amp;"'!"&amp;"A20:A42"),INDIRECT("'"&amp;A10&amp;"'!"&amp;"A20:A42")&lt;$D10))</f>
        <v>300000</v>
      </c>
      <c r="R10" s="366" cm="1">
        <f t="array" aca="1" ref="R10" ca="1">MIN(_xlfn._xlws.FILTER(INDIRECT("'"&amp;A10&amp;"'!"&amp;"A20:A42"),INDIRECT("'"&amp;A10&amp;"'!"&amp;"A20:A42")&gt;=$D10))</f>
        <v>400000</v>
      </c>
    </row>
    <row r="11" spans="1:18" x14ac:dyDescent="0.35">
      <c r="A11" s="97" t="s">
        <v>282</v>
      </c>
      <c r="B11" s="357" t="s">
        <v>173</v>
      </c>
      <c r="C11" s="358" t="str">
        <f>VAC_Optim_Scenario!B24</f>
        <v>HCC Audio</v>
      </c>
      <c r="D11" s="356">
        <f>VAC_Optim_Scenario!E24</f>
        <v>2220000</v>
      </c>
      <c r="E11" s="359">
        <f>VAC_Optim_Scenario!F24</f>
        <v>91610.125423352103</v>
      </c>
      <c r="F11" s="356">
        <f>VAC_Optim_Scenario!G42</f>
        <v>20698391.738152172</v>
      </c>
      <c r="G11" s="362">
        <f t="shared" si="3"/>
        <v>9.3235998820505284</v>
      </c>
      <c r="H11" s="415">
        <f t="shared" si="0"/>
        <v>1.0410428439891546E-2</v>
      </c>
      <c r="I11" s="365">
        <f t="shared" si="1"/>
        <v>24.233129140920326</v>
      </c>
      <c r="J11" s="413">
        <f ca="1">(VLOOKUP($Q11,INDIRECT("'"&amp;A11&amp;"'!"&amp;"A20:E42"),3,0)-VLOOKUP($R11,INDIRECT("'"&amp;A11&amp;"'!"&amp;"A20:E42"),3,0))/(Q11-R11)</f>
        <v>5.5164744361232776</v>
      </c>
      <c r="K11"/>
      <c r="Q11" s="366" cm="1">
        <f t="array" aca="1" ref="Q11" ca="1">MAX(_xlfn._xlws.FILTER(INDIRECT("'"&amp;A11&amp;"'!"&amp;"A20:A42"),INDIRECT("'"&amp;A11&amp;"'!"&amp;"A20:A42")&lt;$D11))</f>
        <v>2200000</v>
      </c>
      <c r="R11" s="366" cm="1">
        <f t="array" aca="1" ref="R11" ca="1">MIN(_xlfn._xlws.FILTER(INDIRECT("'"&amp;A11&amp;"'!"&amp;"A20:A42"),INDIRECT("'"&amp;A11&amp;"'!"&amp;"A20:A42")&gt;=$D11))</f>
        <v>2400000</v>
      </c>
    </row>
    <row r="12" spans="1:18" x14ac:dyDescent="0.35">
      <c r="A12" s="97" t="s">
        <v>283</v>
      </c>
      <c r="B12" s="357" t="s">
        <v>173</v>
      </c>
      <c r="C12" s="358" t="str">
        <f>VAC_Optim_Scenario!B25</f>
        <v>HCC Linear TV</v>
      </c>
      <c r="D12" s="356">
        <f>VAC_Optim_Scenario!E25</f>
        <v>16888801</v>
      </c>
      <c r="E12" s="359">
        <f>VAC_Optim_Scenario!F25</f>
        <v>296690.17284619244</v>
      </c>
      <c r="F12" s="356">
        <f>VAC_Optim_Scenario!G43</f>
        <v>67034177.652868718</v>
      </c>
      <c r="G12" s="362">
        <f t="shared" si="3"/>
        <v>3.9691495952180809</v>
      </c>
      <c r="H12" s="415">
        <f t="shared" si="0"/>
        <v>3.3715397713526267E-2</v>
      </c>
      <c r="I12" s="365">
        <f t="shared" si="1"/>
        <v>56.924032360031511</v>
      </c>
      <c r="J12" s="413">
        <f ca="1">(VLOOKUP($Q12,INDIRECT("'"&amp;A12&amp;"'!"&amp;"A20:E42"),3,0)-VLOOKUP($R12,INDIRECT("'"&amp;A12&amp;"'!"&amp;"A20:E42"),3,0))/(Q12-R12)</f>
        <v>2.779334127713728</v>
      </c>
      <c r="K12"/>
      <c r="Q12" s="366" cm="1">
        <f t="array" aca="1" ref="Q12" ca="1">MAX(_xlfn._xlws.FILTER(INDIRECT("'"&amp;A12&amp;"'!"&amp;"A20:A42"),INDIRECT("'"&amp;A12&amp;"'!"&amp;"A20:A42")&lt;$D12))</f>
        <v>16250000</v>
      </c>
      <c r="R12" s="366" cm="1">
        <f t="array" aca="1" ref="R12" ca="1">MIN(_xlfn._xlws.FILTER(INDIRECT("'"&amp;A12&amp;"'!"&amp;"A20:A42"),INDIRECT("'"&amp;A12&amp;"'!"&amp;"A20:A42")&gt;=$D12))</f>
        <v>17500000</v>
      </c>
    </row>
    <row r="13" spans="1:18" x14ac:dyDescent="0.35">
      <c r="B13" s="420" t="s">
        <v>154</v>
      </c>
      <c r="C13" s="421" t="s">
        <v>230</v>
      </c>
      <c r="D13" s="360">
        <f>SUM(D4:D12)</f>
        <v>39702377</v>
      </c>
      <c r="E13" s="361">
        <f>SUM(E4:E12)</f>
        <v>1292864.0722384234</v>
      </c>
      <c r="F13" s="360">
        <f>SUM(F4:F12)</f>
        <v>292109708.48154938</v>
      </c>
      <c r="G13" s="363">
        <f>F13/D13</f>
        <v>7.3574866432191044</v>
      </c>
      <c r="H13" s="416">
        <f>SUM(H4:H12)</f>
        <v>0.14691900970931338</v>
      </c>
      <c r="I13" s="364">
        <f>(D13)/E13</f>
        <v>30.708856292417948</v>
      </c>
      <c r="J13" s="369"/>
    </row>
    <row r="14" spans="1:18" x14ac:dyDescent="0.35">
      <c r="F14" s="97">
        <f>F13/D13</f>
        <v>7.3574866432191044</v>
      </c>
      <c r="G14" s="242"/>
      <c r="H14" s="243"/>
    </row>
    <row r="15" spans="1:18" x14ac:dyDescent="0.35">
      <c r="H15" s="97">
        <f>G10/5</f>
        <v>16.384982942160114</v>
      </c>
    </row>
    <row r="16" spans="1:18" ht="26" x14ac:dyDescent="0.35">
      <c r="E16" s="234" t="s">
        <v>3</v>
      </c>
      <c r="F16" s="235" t="s">
        <v>310</v>
      </c>
    </row>
    <row r="17" spans="1:18" x14ac:dyDescent="0.35">
      <c r="E17" s="236" t="s">
        <v>228</v>
      </c>
      <c r="F17" s="276">
        <f t="shared" ref="F17:F25" si="4">VLOOKUP(E17,$C$4:$I$12,7,0)</f>
        <v>2.7578911836232054</v>
      </c>
    </row>
    <row r="18" spans="1:18" x14ac:dyDescent="0.35">
      <c r="E18" s="238" t="s">
        <v>227</v>
      </c>
      <c r="F18" s="276">
        <f t="shared" si="4"/>
        <v>20.356623878083514</v>
      </c>
    </row>
    <row r="19" spans="1:18" x14ac:dyDescent="0.35">
      <c r="E19" s="238" t="s">
        <v>225</v>
      </c>
      <c r="F19" s="276">
        <f t="shared" si="4"/>
        <v>21.824350524033811</v>
      </c>
    </row>
    <row r="20" spans="1:18" x14ac:dyDescent="0.35">
      <c r="E20" s="238" t="s">
        <v>284</v>
      </c>
      <c r="F20" s="276">
        <f t="shared" si="4"/>
        <v>24.233129140920326</v>
      </c>
    </row>
    <row r="21" spans="1:18" x14ac:dyDescent="0.35">
      <c r="E21" s="238" t="s">
        <v>226</v>
      </c>
      <c r="F21" s="276">
        <f>VLOOKUP(E21,$C$4:$I$12,7,0)</f>
        <v>26.103968382011573</v>
      </c>
    </row>
    <row r="22" spans="1:18" x14ac:dyDescent="0.35">
      <c r="E22" s="238" t="s">
        <v>246</v>
      </c>
      <c r="F22" s="276">
        <f t="shared" si="4"/>
        <v>39.647204915358948</v>
      </c>
    </row>
    <row r="23" spans="1:18" x14ac:dyDescent="0.35">
      <c r="E23" s="238" t="s">
        <v>224</v>
      </c>
      <c r="F23" s="276">
        <f t="shared" si="4"/>
        <v>44.822347674783416</v>
      </c>
    </row>
    <row r="24" spans="1:18" x14ac:dyDescent="0.35">
      <c r="E24" s="238" t="s">
        <v>293</v>
      </c>
      <c r="F24" s="276">
        <f t="shared" si="4"/>
        <v>56.924032360031511</v>
      </c>
    </row>
    <row r="25" spans="1:18" x14ac:dyDescent="0.35">
      <c r="E25" s="240" t="s">
        <v>244</v>
      </c>
      <c r="F25" s="276">
        <f t="shared" si="4"/>
        <v>81.210005271246729</v>
      </c>
    </row>
    <row r="30" spans="1:18" x14ac:dyDescent="0.35">
      <c r="D30" s="473" t="s">
        <v>287</v>
      </c>
      <c r="E30" s="473"/>
      <c r="F30" s="473"/>
      <c r="G30" s="473"/>
      <c r="H30" s="473"/>
      <c r="I30" s="473"/>
    </row>
    <row r="31" spans="1:18" ht="39" x14ac:dyDescent="0.35">
      <c r="B31" s="233" t="s">
        <v>2</v>
      </c>
      <c r="C31" s="234" t="s">
        <v>3</v>
      </c>
      <c r="D31" s="234" t="s">
        <v>268</v>
      </c>
      <c r="E31" s="234" t="s">
        <v>269</v>
      </c>
      <c r="F31" s="234" t="s">
        <v>272</v>
      </c>
      <c r="G31" s="234" t="s">
        <v>270</v>
      </c>
      <c r="H31" s="234" t="s">
        <v>222</v>
      </c>
      <c r="I31" s="234" t="s">
        <v>223</v>
      </c>
      <c r="J31" s="309" t="s">
        <v>207</v>
      </c>
    </row>
    <row r="32" spans="1:18" x14ac:dyDescent="0.35">
      <c r="A32" s="97" t="s">
        <v>276</v>
      </c>
      <c r="B32" s="382" t="s">
        <v>173</v>
      </c>
      <c r="C32" s="383" t="str">
        <f>VAC_Optim_Scenario!B17</f>
        <v>HCC In Office</v>
      </c>
      <c r="D32" s="437">
        <f>VAC_Optim_Scenario!I17</f>
        <v>1394329.1308148694</v>
      </c>
      <c r="E32" s="359">
        <f>VAC_Optim_Scenario!J17</f>
        <v>28903.780550112948</v>
      </c>
      <c r="F32" s="437">
        <f>VAC_Optim_Scenario!J35</f>
        <v>6530520.1774925189</v>
      </c>
      <c r="G32" s="362">
        <f>F32/D32</f>
        <v>4.6836288743935031</v>
      </c>
      <c r="H32" s="237">
        <f>E32/$L$3</f>
        <v>3.2845794901900454E-3</v>
      </c>
      <c r="I32" s="365">
        <f>(D32)/E32</f>
        <v>48.240372168526612</v>
      </c>
      <c r="J32" s="370">
        <f ca="1">(VLOOKUP($Q32,INDIRECT("'"&amp;A32&amp;"'!"&amp;"A20:E42"),5,0)-VLOOKUP($R32,INDIRECT("'"&amp;A32&amp;"'!"&amp;"A20:E42"),5,0))/(Q32-R32)</f>
        <v>3.6204763874657919</v>
      </c>
      <c r="Q32" s="366" cm="1">
        <f t="array" aca="1" ref="Q32" ca="1">MAX(_xlfn._xlws.FILTER(INDIRECT("'"&amp;A32&amp;"'!"&amp;"A20:A42"),INDIRECT("'"&amp;A32&amp;"'!"&amp;"A20:A42")&lt;$D32))</f>
        <v>1200000</v>
      </c>
      <c r="R32" s="366" cm="1">
        <f t="array" aca="1" ref="R32" ca="1">MIN(_xlfn._xlws.FILTER(INDIRECT("'"&amp;A32&amp;"'!"&amp;"A20:A42"),INDIRECT("'"&amp;A32&amp;"'!"&amp;"A20:A42")&gt;=$D32))</f>
        <v>1400000</v>
      </c>
    </row>
    <row r="33" spans="1:18" x14ac:dyDescent="0.35">
      <c r="A33" s="97" t="s">
        <v>277</v>
      </c>
      <c r="B33" s="382" t="s">
        <v>173</v>
      </c>
      <c r="C33" s="383" t="str">
        <f>VAC_Optim_Scenario!B18</f>
        <v>HCP MCM</v>
      </c>
      <c r="D33" s="437">
        <f>VAC_Optim_Scenario!I18</f>
        <v>11415499.642068511</v>
      </c>
      <c r="E33" s="359">
        <f>VAC_Optim_Scenario!J18</f>
        <v>429649.57236059662</v>
      </c>
      <c r="F33" s="437">
        <f>VAC_Optim_Scenario!J36</f>
        <v>97075024.379153192</v>
      </c>
      <c r="G33" s="362">
        <f>F33/D33</f>
        <v>8.503791110588919</v>
      </c>
      <c r="H33" s="239">
        <f t="shared" ref="H33:H40" si="5">E33/$L$3</f>
        <v>4.8824691666122709E-2</v>
      </c>
      <c r="I33" s="365">
        <f t="shared" ref="I33:I40" si="6">(D33)/E33</f>
        <v>26.569326205421429</v>
      </c>
      <c r="J33" s="368">
        <f t="shared" ref="J33:J35" ca="1" si="7">(VLOOKUP($Q33,INDIRECT("'"&amp;A33&amp;"'!"&amp;"A20:E42"),5,0)-VLOOKUP($R33,INDIRECT("'"&amp;A33&amp;"'!"&amp;"A20:E42"),5,0))/(Q33-R33)</f>
        <v>9.6715761232930397</v>
      </c>
      <c r="Q33" s="366" cm="1">
        <f t="array" aca="1" ref="Q33" ca="1">MAX(_xlfn._xlws.FILTER(INDIRECT("'"&amp;A33&amp;"'!"&amp;"A20:A42"),INDIRECT("'"&amp;A33&amp;"'!"&amp;"A20:A42")&lt;$D33))</f>
        <v>9000000</v>
      </c>
      <c r="R33" s="366" cm="1">
        <f t="array" aca="1" ref="R33" ca="1">MIN(_xlfn._xlws.FILTER(INDIRECT("'"&amp;A33&amp;"'!"&amp;"A20:A42"),INDIRECT("'"&amp;A33&amp;"'!"&amp;"A20:A42")&gt;=$D33))</f>
        <v>0</v>
      </c>
    </row>
    <row r="34" spans="1:18" x14ac:dyDescent="0.35">
      <c r="A34" s="97" t="s">
        <v>280</v>
      </c>
      <c r="B34" s="382" t="s">
        <v>173</v>
      </c>
      <c r="C34" s="383" t="str">
        <f>VAC_Optim_Scenario!B19</f>
        <v>HCC Social</v>
      </c>
      <c r="D34" s="437">
        <f>VAC_Optim_Scenario!I19</f>
        <v>2576000</v>
      </c>
      <c r="E34" s="359">
        <f>VAC_Optim_Scenario!J19</f>
        <v>86255.76070960192</v>
      </c>
      <c r="F34" s="437">
        <f>VAC_Optim_Scenario!J37</f>
        <v>19488626.574727457</v>
      </c>
      <c r="G34" s="362">
        <f t="shared" ref="G34:G40" si="8">F34/D34</f>
        <v>7.5654606268351934</v>
      </c>
      <c r="H34" s="239">
        <f t="shared" si="5"/>
        <v>9.8019669795891707E-3</v>
      </c>
      <c r="I34" s="365">
        <f t="shared" si="6"/>
        <v>29.864671980259306</v>
      </c>
      <c r="J34" s="368">
        <f ca="1">(VLOOKUP($Q34,INDIRECT("'"&amp;A34&amp;"'!"&amp;"A20:E42"),3,0)-VLOOKUP($R34,INDIRECT("'"&amp;A34&amp;"'!"&amp;"A20:E42"),3,0))/(Q34-R34)</f>
        <v>4.5061457603149266</v>
      </c>
      <c r="Q34" s="366" cm="1">
        <f t="array" aca="1" ref="Q34" ca="1">MAX(_xlfn._xlws.FILTER(INDIRECT("'"&amp;A34&amp;"'!"&amp;"A20:A42"),INDIRECT("'"&amp;A34&amp;"'!"&amp;"A20:A42")&lt;$D34))</f>
        <v>2500000</v>
      </c>
      <c r="R34" s="366" cm="1">
        <f t="array" aca="1" ref="R34" ca="1">MIN(_xlfn._xlws.FILTER(INDIRECT("'"&amp;A34&amp;"'!"&amp;"A20:A42"),INDIRECT("'"&amp;A34&amp;"'!"&amp;"A20:A42")&gt;=$D34))</f>
        <v>2750000</v>
      </c>
    </row>
    <row r="35" spans="1:18" x14ac:dyDescent="0.35">
      <c r="A35" s="97" t="s">
        <v>278</v>
      </c>
      <c r="B35" s="382" t="s">
        <v>173</v>
      </c>
      <c r="C35" s="383" t="str">
        <f>VAC_Optim_Scenario!B20</f>
        <v>HCC Online Video</v>
      </c>
      <c r="D35" s="437">
        <f>VAC_Optim_Scenario!I20</f>
        <v>1000000</v>
      </c>
      <c r="E35" s="359">
        <f>VAC_Optim_Scenario!J20</f>
        <v>14861.613123927265</v>
      </c>
      <c r="F35" s="437">
        <f>VAC_Optim_Scenario!J38</f>
        <v>3357832.8692201264</v>
      </c>
      <c r="G35" s="362">
        <f t="shared" si="8"/>
        <v>3.3578328692201262</v>
      </c>
      <c r="H35" s="239">
        <f t="shared" si="5"/>
        <v>1.6888499957075668E-3</v>
      </c>
      <c r="I35" s="365">
        <f t="shared" si="6"/>
        <v>67.287446635923757</v>
      </c>
      <c r="J35" s="368">
        <f t="shared" ca="1" si="7"/>
        <v>0.2647862072340309</v>
      </c>
      <c r="Q35" s="367" cm="1">
        <f t="array" aca="1" ref="Q35" ca="1">MAX(_xlfn._xlws.FILTER(INDIRECT("'"&amp;A35&amp;"'!"&amp;"A20:A42"),INDIRECT("'"&amp;A35&amp;"'!"&amp;"A20:A42")&lt;$D35))</f>
        <v>934662.25661534828</v>
      </c>
      <c r="R35" s="367" cm="1">
        <f t="array" aca="1" ref="R35" ca="1">MIN(_xlfn._xlws.FILTER(INDIRECT("'"&amp;A35&amp;"'!"&amp;"A20:A42"),INDIRECT("'"&amp;A35&amp;"'!"&amp;"A20:A42")&gt;=$D35))</f>
        <v>1038513.6184614981</v>
      </c>
    </row>
    <row r="36" spans="1:18" x14ac:dyDescent="0.35">
      <c r="A36" s="97" t="s">
        <v>285</v>
      </c>
      <c r="B36" s="382" t="s">
        <v>173</v>
      </c>
      <c r="C36" s="383" t="str">
        <f>VAC_Optim_Scenario!B21</f>
        <v>HCC Streaming Video</v>
      </c>
      <c r="D36" s="437">
        <f>VAC_Optim_Scenario!I21</f>
        <v>7570249.203999565</v>
      </c>
      <c r="E36" s="359">
        <f>VAC_Optim_Scenario!J21</f>
        <v>166732.06308158877</v>
      </c>
      <c r="F36" s="437">
        <f>VAC_Optim_Scenario!J39</f>
        <v>37671442.332654163</v>
      </c>
      <c r="G36" s="362">
        <f t="shared" si="8"/>
        <v>4.9762486435388853</v>
      </c>
      <c r="H36" s="239">
        <f t="shared" si="5"/>
        <v>1.8947165537925428E-2</v>
      </c>
      <c r="I36" s="365">
        <f t="shared" si="6"/>
        <v>45.403679796699535</v>
      </c>
      <c r="J36" s="368">
        <f ca="1">(VLOOKUP($Q36,INDIRECT("'"&amp;A36&amp;"'!"&amp;"A20:E42"),3,0)-VLOOKUP($R36,INDIRECT("'"&amp;A36&amp;"'!"&amp;"A20:E42"),3,0))/(Q36-R36)</f>
        <v>3.4591710663486124</v>
      </c>
      <c r="Q36" s="366" cm="1">
        <f t="array" aca="1" ref="Q36" ca="1">MAX(_xlfn._xlws.FILTER(INDIRECT("'"&amp;A36&amp;"'!"&amp;"A20:A42"),INDIRECT("'"&amp;A36&amp;"'!"&amp;"A20:A42")&lt;$D36))</f>
        <v>7500000</v>
      </c>
      <c r="R36" s="366" cm="1">
        <f t="array" aca="1" ref="R36" ca="1">MIN(_xlfn._xlws.FILTER(INDIRECT("'"&amp;A36&amp;"'!"&amp;"A20:A42"),INDIRECT("'"&amp;A36&amp;"'!"&amp;"A20:A42")&gt;=$D36))</f>
        <v>8000000</v>
      </c>
    </row>
    <row r="37" spans="1:18" x14ac:dyDescent="0.35">
      <c r="A37" s="97" t="s">
        <v>279</v>
      </c>
      <c r="B37" s="382" t="s">
        <v>173</v>
      </c>
      <c r="C37" s="383" t="str">
        <f>VAC_Optim_Scenario!B22</f>
        <v>HCC Display</v>
      </c>
      <c r="D37" s="437">
        <f>VAC_Optim_Scenario!I22</f>
        <v>5349497.9439856345</v>
      </c>
      <c r="E37" s="359">
        <f>VAC_Optim_Scenario!J22</f>
        <v>211422.62182002515</v>
      </c>
      <c r="F37" s="437">
        <f>VAC_Optim_Scenario!J40</f>
        <v>47768827.174016483</v>
      </c>
      <c r="G37" s="362">
        <f t="shared" si="8"/>
        <v>8.9295907156525427</v>
      </c>
      <c r="H37" s="239">
        <f t="shared" si="5"/>
        <v>2.4025729305142653E-2</v>
      </c>
      <c r="I37" s="365">
        <f t="shared" si="6"/>
        <v>25.302391475115794</v>
      </c>
      <c r="J37" s="368" t="e">
        <f ca="1">(VLOOKUP($Q37,INDIRECT("'"&amp;A37&amp;"'!"&amp;"A20:E100"),5,0)-VLOOKUP($R37,INDIRECT("'"&amp;A37&amp;"'!"&amp;"A20:E100"),5,0))/(Q37-R37)</f>
        <v>#N/A</v>
      </c>
      <c r="Q37" s="367" cm="1">
        <f t="array" aca="1" ref="Q37" ca="1">MAX(_xlfn._xlws.FILTER(INDIRECT("'"&amp;A37&amp;"'!"&amp;"A20:A100"),INDIRECT("'"&amp;A37&amp;"'!"&amp;"A20:A100")&lt;$D37))</f>
        <v>3842500.3883075402</v>
      </c>
      <c r="R37" s="367" cm="1">
        <f t="array" aca="1" ref="R37" ca="1">MIN(_xlfn._xlws.FILTER(INDIRECT("'"&amp;A37&amp;"'!"&amp;"A20:A100"),INDIRECT("'"&amp;A37&amp;"'!"&amp;"A20:A100")&gt;=$D37))</f>
        <v>0</v>
      </c>
    </row>
    <row r="38" spans="1:18" x14ac:dyDescent="0.35">
      <c r="A38" s="97" t="s">
        <v>281</v>
      </c>
      <c r="B38" s="382" t="s">
        <v>173</v>
      </c>
      <c r="C38" s="383" t="str">
        <f>VAC_Optim_Scenario!B23</f>
        <v>HCC Paid Search</v>
      </c>
      <c r="D38" s="437">
        <f>VAC_Optim_Scenario!I23</f>
        <v>400000</v>
      </c>
      <c r="E38" s="359">
        <f>VAC_Optim_Scenario!J23</f>
        <v>145038.35480357721</v>
      </c>
      <c r="F38" s="437">
        <f>VAC_Optim_Scenario!J41</f>
        <v>32769965.884320233</v>
      </c>
      <c r="G38" s="362">
        <f t="shared" si="8"/>
        <v>81.924914710800579</v>
      </c>
      <c r="H38" s="239">
        <f t="shared" si="5"/>
        <v>1.6481927153189479E-2</v>
      </c>
      <c r="I38" s="365">
        <f t="shared" si="6"/>
        <v>2.7578911836232054</v>
      </c>
      <c r="J38" s="368">
        <f ca="1">(VLOOKUP($Q38,INDIRECT("'"&amp;A38&amp;"'!"&amp;"A20:E42"),3,0)-VLOOKUP($R38,INDIRECT("'"&amp;A38&amp;"'!"&amp;"A20:E42"),3,0))/(Q38-R38)</f>
        <v>59.771182942678408</v>
      </c>
      <c r="Q38" s="366" cm="1">
        <f t="array" aca="1" ref="Q38" ca="1">MAX(_xlfn._xlws.FILTER(INDIRECT("'"&amp;A38&amp;"'!"&amp;"A20:A42"),INDIRECT("'"&amp;A38&amp;"'!"&amp;"A20:A42")&lt;$D38))</f>
        <v>300000</v>
      </c>
      <c r="R38" s="366" cm="1">
        <f t="array" aca="1" ref="R38" ca="1">MIN(_xlfn._xlws.FILTER(INDIRECT("'"&amp;A38&amp;"'!"&amp;"A20:A42"),INDIRECT("'"&amp;A38&amp;"'!"&amp;"A20:A42")&gt;=$D38))</f>
        <v>400000</v>
      </c>
    </row>
    <row r="39" spans="1:18" x14ac:dyDescent="0.35">
      <c r="A39" s="97" t="s">
        <v>282</v>
      </c>
      <c r="B39" s="382" t="s">
        <v>173</v>
      </c>
      <c r="C39" s="383" t="str">
        <f>VAC_Optim_Scenario!B24</f>
        <v>HCC Audio</v>
      </c>
      <c r="D39" s="437">
        <f>VAC_Optim_Scenario!I24</f>
        <v>3108000</v>
      </c>
      <c r="E39" s="359">
        <f>VAC_Optim_Scenario!J24</f>
        <v>112103.79095225371</v>
      </c>
      <c r="F39" s="437">
        <f>VAC_Optim_Scenario!J42</f>
        <v>25328730.527752202</v>
      </c>
      <c r="G39" s="362">
        <f t="shared" si="8"/>
        <v>8.1495271968314675</v>
      </c>
      <c r="H39" s="239">
        <f t="shared" si="5"/>
        <v>1.2739295881932166E-2</v>
      </c>
      <c r="I39" s="365">
        <f t="shared" si="6"/>
        <v>27.724307747306536</v>
      </c>
      <c r="J39" s="368">
        <f ca="1">(VLOOKUP($Q39,INDIRECT("'"&amp;A39&amp;"'!"&amp;"A20:E42"),3,0)-VLOOKUP($R39,INDIRECT("'"&amp;A39&amp;"'!"&amp;"A20:E42"),3,0))/(Q39-R39)</f>
        <v>4.8952354510545728</v>
      </c>
      <c r="Q39" s="366" cm="1">
        <f t="array" aca="1" ref="Q39" ca="1">MAX(_xlfn._xlws.FILTER(INDIRECT("'"&amp;A39&amp;"'!"&amp;"A20:A42"),INDIRECT("'"&amp;A39&amp;"'!"&amp;"A20:A42")&lt;$D39))</f>
        <v>3000000</v>
      </c>
      <c r="R39" s="366" cm="1">
        <f t="array" aca="1" ref="R39" ca="1">MIN(_xlfn._xlws.FILTER(INDIRECT("'"&amp;A39&amp;"'!"&amp;"A20:A42"),INDIRECT("'"&amp;A39&amp;"'!"&amp;"A20:A42")&gt;=$D39))</f>
        <v>3200000</v>
      </c>
    </row>
    <row r="40" spans="1:18" x14ac:dyDescent="0.35">
      <c r="A40" s="97" t="s">
        <v>283</v>
      </c>
      <c r="B40" s="382" t="s">
        <v>173</v>
      </c>
      <c r="C40" s="383" t="str">
        <f>VAC_Optim_Scenario!B25</f>
        <v>HCC Linear TV</v>
      </c>
      <c r="D40" s="437">
        <f>VAC_Optim_Scenario!I25</f>
        <v>16888801</v>
      </c>
      <c r="E40" s="359">
        <f>VAC_Optim_Scenario!J25</f>
        <v>296690.17284619244</v>
      </c>
      <c r="F40" s="437">
        <f>VAC_Optim_Scenario!J43</f>
        <v>67034177.652868718</v>
      </c>
      <c r="G40" s="362">
        <f t="shared" si="8"/>
        <v>3.9691495952180809</v>
      </c>
      <c r="H40" s="239">
        <f t="shared" si="5"/>
        <v>3.3715397713526267E-2</v>
      </c>
      <c r="I40" s="365">
        <f t="shared" si="6"/>
        <v>56.924032360031511</v>
      </c>
      <c r="J40" s="368">
        <f ca="1">(VLOOKUP($Q40,INDIRECT("'"&amp;A40&amp;"'!"&amp;"A20:E42"),3,0)-VLOOKUP($R40,INDIRECT("'"&amp;A40&amp;"'!"&amp;"A20:E42"),3,0))/(Q40-R40)</f>
        <v>2.779334127713728</v>
      </c>
      <c r="Q40" s="366" cm="1">
        <f t="array" aca="1" ref="Q40" ca="1">MAX(_xlfn._xlws.FILTER(INDIRECT("'"&amp;A40&amp;"'!"&amp;"A20:A42"),INDIRECT("'"&amp;A40&amp;"'!"&amp;"A20:A42")&lt;$D40))</f>
        <v>16250000</v>
      </c>
      <c r="R40" s="366" cm="1">
        <f t="array" aca="1" ref="R40" ca="1">MIN(_xlfn._xlws.FILTER(INDIRECT("'"&amp;A40&amp;"'!"&amp;"A20:A42"),INDIRECT("'"&amp;A40&amp;"'!"&amp;"A20:A42")&gt;=$D40))</f>
        <v>17500000</v>
      </c>
    </row>
    <row r="41" spans="1:18" x14ac:dyDescent="0.35">
      <c r="B41" s="384" t="s">
        <v>154</v>
      </c>
      <c r="C41" s="385" t="s">
        <v>230</v>
      </c>
      <c r="D41" s="438">
        <f>SUM(D32:D40)</f>
        <v>49702376.920868576</v>
      </c>
      <c r="E41" s="361">
        <f>SUM(E32:E40)</f>
        <v>1491657.7302478761</v>
      </c>
      <c r="F41" s="438">
        <f>SUM(F32:F40)</f>
        <v>337025147.57220507</v>
      </c>
      <c r="G41" s="363">
        <f>F41/D41</f>
        <v>6.7808657945833177</v>
      </c>
      <c r="H41" s="241">
        <f>SUM(H32:H40)</f>
        <v>0.16950960372332549</v>
      </c>
      <c r="I41" s="364">
        <f>(D41)/E41</f>
        <v>33.320228838695648</v>
      </c>
      <c r="J41" s="369"/>
    </row>
    <row r="46" spans="1:18" x14ac:dyDescent="0.35">
      <c r="D46" s="473" t="s">
        <v>288</v>
      </c>
      <c r="E46" s="473"/>
      <c r="F46" s="473"/>
      <c r="G46" s="473"/>
      <c r="H46" s="473"/>
      <c r="I46" s="473"/>
    </row>
    <row r="47" spans="1:18" ht="62" x14ac:dyDescent="0.35">
      <c r="B47" s="430" t="s">
        <v>2</v>
      </c>
      <c r="C47" s="431" t="s">
        <v>3</v>
      </c>
      <c r="D47" s="431" t="s">
        <v>268</v>
      </c>
      <c r="E47" s="431" t="s">
        <v>269</v>
      </c>
      <c r="F47" s="431" t="s">
        <v>272</v>
      </c>
      <c r="G47" s="431" t="s">
        <v>270</v>
      </c>
      <c r="H47" s="431" t="s">
        <v>222</v>
      </c>
      <c r="I47" s="431" t="s">
        <v>223</v>
      </c>
      <c r="J47" s="432" t="s">
        <v>207</v>
      </c>
    </row>
    <row r="48" spans="1:18" x14ac:dyDescent="0.35">
      <c r="A48" s="97" t="s">
        <v>276</v>
      </c>
      <c r="B48" s="382" t="s">
        <v>173</v>
      </c>
      <c r="C48" s="383" t="s">
        <v>224</v>
      </c>
      <c r="D48" s="356">
        <v>1000000</v>
      </c>
      <c r="E48" s="359">
        <v>22310.299479529262</v>
      </c>
      <c r="F48" s="356">
        <v>5040789.0644048415</v>
      </c>
      <c r="G48" s="362">
        <v>5.0407890644048416</v>
      </c>
      <c r="H48" s="237">
        <v>2.5353068247735882E-3</v>
      </c>
      <c r="I48" s="365">
        <v>44.822347674783416</v>
      </c>
      <c r="J48" s="370">
        <f ca="1">(VLOOKUP($Q48,INDIRECT("'"&amp;A48&amp;"'!"&amp;"A20:E42"),5,0)-VLOOKUP($R48,INDIRECT("'"&amp;A48&amp;"'!"&amp;"A20:E42"),5,0))/(Q48-R48)</f>
        <v>4.2588353994034396</v>
      </c>
      <c r="L48" s="434"/>
      <c r="Q48" s="366" cm="1">
        <f t="array" aca="1" ref="Q48" ca="1">MAX(_xlfn._xlws.FILTER(INDIRECT("'"&amp;A48&amp;"'!"&amp;"A20:A42"),INDIRECT("'"&amp;A48&amp;"'!"&amp;"A20:A42")&lt;$D48))</f>
        <v>800000</v>
      </c>
      <c r="R48" s="366" cm="1">
        <f t="array" aca="1" ref="R48" ca="1">MIN(_xlfn._xlws.FILTER(INDIRECT("'"&amp;A48&amp;"'!"&amp;"A20:A42"),INDIRECT("'"&amp;A48&amp;"'!"&amp;"A20:A42")&gt;=$D48))</f>
        <v>1000000</v>
      </c>
    </row>
    <row r="49" spans="1:18" x14ac:dyDescent="0.35">
      <c r="A49" s="97" t="s">
        <v>277</v>
      </c>
      <c r="B49" s="382" t="s">
        <v>173</v>
      </c>
      <c r="C49" s="383" t="s">
        <v>225</v>
      </c>
      <c r="D49" s="356">
        <v>5400000</v>
      </c>
      <c r="E49" s="359">
        <v>283838.37274381984</v>
      </c>
      <c r="F49" s="356">
        <v>64130441.937738657</v>
      </c>
      <c r="G49" s="362">
        <v>11.8760077662479</v>
      </c>
      <c r="H49" s="239">
        <v>3.225493966185073E-2</v>
      </c>
      <c r="I49" s="365">
        <v>19.024911775666798</v>
      </c>
      <c r="J49" s="368">
        <f t="shared" ref="J49:J51" ca="1" si="9">(VLOOKUP($Q49,INDIRECT("'"&amp;A49&amp;"'!"&amp;"A20:E42"),5,0)-VLOOKUP($R49,INDIRECT("'"&amp;A49&amp;"'!"&amp;"A20:E42"),5,0))/(Q49-R49)</f>
        <v>8.3357790163863541</v>
      </c>
      <c r="L49" s="434"/>
      <c r="Q49" s="366" cm="1">
        <f t="array" aca="1" ref="Q49" ca="1">MAX(_xlfn._xlws.FILTER(INDIRECT("'"&amp;A49&amp;"'!"&amp;"A20:A42"),INDIRECT("'"&amp;A49&amp;"'!"&amp;"A20:A42")&lt;$D49))</f>
        <v>4950000</v>
      </c>
      <c r="R49" s="366" cm="1">
        <f t="array" aca="1" ref="R49" ca="1">MIN(_xlfn._xlws.FILTER(INDIRECT("'"&amp;A49&amp;"'!"&amp;"A20:A42"),INDIRECT("'"&amp;A49&amp;"'!"&amp;"A20:A42")&gt;=$D49))</f>
        <v>5400000</v>
      </c>
    </row>
    <row r="50" spans="1:18" x14ac:dyDescent="0.35">
      <c r="A50" s="97" t="s">
        <v>280</v>
      </c>
      <c r="B50" s="382" t="s">
        <v>173</v>
      </c>
      <c r="C50" s="383" t="s">
        <v>226</v>
      </c>
      <c r="D50" s="356">
        <v>1599500</v>
      </c>
      <c r="E50" s="359">
        <v>64805.391873188775</v>
      </c>
      <c r="F50" s="356">
        <v>14642130.239828272</v>
      </c>
      <c r="G50" s="362">
        <v>9.1541920849192078</v>
      </c>
      <c r="H50" s="239">
        <v>7.3643813006175306E-3</v>
      </c>
      <c r="I50" s="365">
        <v>24.681588271696626</v>
      </c>
      <c r="J50" s="368">
        <f ca="1">(VLOOKUP($Q50,INDIRECT("'"&amp;A50&amp;"'!"&amp;"A20:E42"),3,0)-VLOOKUP($R50,INDIRECT("'"&amp;A50&amp;"'!"&amp;"A20:E42"),3,0))/(Q50-R50)</f>
        <v>5.4608969926852584</v>
      </c>
      <c r="L50" s="434"/>
      <c r="Q50" s="366" cm="1">
        <f t="array" aca="1" ref="Q50" ca="1">MAX(_xlfn._xlws.FILTER(INDIRECT("'"&amp;A50&amp;"'!"&amp;"A20:A42"),INDIRECT("'"&amp;A50&amp;"'!"&amp;"A20:A42")&lt;$D50))</f>
        <v>1500000</v>
      </c>
      <c r="R50" s="366" cm="1">
        <f t="array" aca="1" ref="R50" ca="1">MIN(_xlfn._xlws.FILTER(INDIRECT("'"&amp;A50&amp;"'!"&amp;"A20:A42"),INDIRECT("'"&amp;A50&amp;"'!"&amp;"A20:A42")&gt;=$D50))</f>
        <v>1750000</v>
      </c>
    </row>
    <row r="51" spans="1:18" x14ac:dyDescent="0.35">
      <c r="A51" s="97" t="s">
        <v>278</v>
      </c>
      <c r="B51" s="382" t="s">
        <v>173</v>
      </c>
      <c r="C51" s="383" t="s">
        <v>244</v>
      </c>
      <c r="D51" s="356">
        <v>500000</v>
      </c>
      <c r="E51" s="359">
        <v>13095.1080400832</v>
      </c>
      <c r="F51" s="356">
        <v>2958708.7105763983</v>
      </c>
      <c r="G51" s="362">
        <v>5.9174174211527966</v>
      </c>
      <c r="H51" s="239">
        <v>1.4881071773883213E-3</v>
      </c>
      <c r="I51" s="365">
        <v>38.182197387721835</v>
      </c>
      <c r="J51" s="368">
        <f t="shared" ca="1" si="9"/>
        <v>2.1230601661533521</v>
      </c>
      <c r="L51" s="434"/>
      <c r="Q51" s="367" cm="1">
        <f t="array" aca="1" ref="Q51" ca="1">MAX(_xlfn._xlws.FILTER(INDIRECT("'"&amp;A51&amp;"'!"&amp;"A20:A42"),INDIRECT("'"&amp;A51&amp;"'!"&amp;"A20:A42")&lt;$D51))</f>
        <v>415405.44738459925</v>
      </c>
      <c r="R51" s="367" cm="1">
        <f t="array" aca="1" ref="R51" ca="1">MIN(_xlfn._xlws.FILTER(INDIRECT("'"&amp;A51&amp;"'!"&amp;"A20:A42"),INDIRECT("'"&amp;A51&amp;"'!"&amp;"A20:A42")&gt;=$D51))</f>
        <v>519256.80923074903</v>
      </c>
    </row>
    <row r="52" spans="1:18" x14ac:dyDescent="0.35">
      <c r="A52" s="97" t="s">
        <v>285</v>
      </c>
      <c r="B52" s="382" t="s">
        <v>173</v>
      </c>
      <c r="C52" s="383" t="s">
        <v>246</v>
      </c>
      <c r="D52" s="356">
        <v>6463714</v>
      </c>
      <c r="E52" s="359">
        <v>149272.39229083114</v>
      </c>
      <c r="F52" s="356">
        <v>33726604.314190388</v>
      </c>
      <c r="G52" s="362">
        <v>5.2178367288822471</v>
      </c>
      <c r="H52" s="239">
        <v>1.6963076415557363E-2</v>
      </c>
      <c r="I52" s="365">
        <v>43.301469888729216</v>
      </c>
      <c r="J52" s="368">
        <f ca="1">(VLOOKUP($Q52,INDIRECT("'"&amp;A52&amp;"'!"&amp;"A20:E42"),3,0)-VLOOKUP($R52,INDIRECT("'"&amp;A52&amp;"'!"&amp;"A20:E42"),3,0))/(Q52-R52)</f>
        <v>3.6898979193167833</v>
      </c>
      <c r="L52" s="434"/>
      <c r="Q52" s="366" cm="1">
        <f t="array" aca="1" ref="Q52" ca="1">MAX(_xlfn._xlws.FILTER(INDIRECT("'"&amp;A52&amp;"'!"&amp;"A20:A42"),INDIRECT("'"&amp;A52&amp;"'!"&amp;"A20:A42")&lt;$D52))</f>
        <v>6000000</v>
      </c>
      <c r="R52" s="366" cm="1">
        <f t="array" aca="1" ref="R52" ca="1">MIN(_xlfn._xlws.FILTER(INDIRECT("'"&amp;A52&amp;"'!"&amp;"A20:A42"),INDIRECT("'"&amp;A52&amp;"'!"&amp;"A20:A42")&gt;=$D52))</f>
        <v>6500000</v>
      </c>
    </row>
    <row r="53" spans="1:18" x14ac:dyDescent="0.35">
      <c r="A53" s="97" t="s">
        <v>279</v>
      </c>
      <c r="B53" s="382" t="s">
        <v>173</v>
      </c>
      <c r="C53" s="383" t="s">
        <v>227</v>
      </c>
      <c r="D53" s="356">
        <v>1500000</v>
      </c>
      <c r="E53" s="359">
        <v>96729.945919783786</v>
      </c>
      <c r="F53" s="356">
        <v>21855163.981115948</v>
      </c>
      <c r="G53" s="362">
        <v>14.570109320743965</v>
      </c>
      <c r="H53" s="239">
        <v>1.0992236669679273E-2</v>
      </c>
      <c r="I53" s="365">
        <v>15.507090237018431</v>
      </c>
      <c r="J53" s="368">
        <f ca="1">(VLOOKUP($Q53,INDIRECT("'"&amp;A53&amp;"'!"&amp;"A20:E100"),5,0)-VLOOKUP($R53,INDIRECT("'"&amp;A53&amp;"'!"&amp;"A20:E100"),5,0))/(Q53-R53)</f>
        <v>11.486016598810298</v>
      </c>
      <c r="L53" s="434"/>
      <c r="Q53" s="367" cm="1">
        <f t="array" aca="1" ref="Q53" ca="1">MAX(_xlfn._xlws.FILTER(INDIRECT("'"&amp;A53&amp;"'!"&amp;"A20:A100"),INDIRECT("'"&amp;A53&amp;"'!"&amp;"A20:A100")&lt;$D53))</f>
        <v>1453919.0658460972</v>
      </c>
      <c r="R53" s="367" cm="1">
        <f t="array" aca="1" ref="R53" ca="1">MIN(_xlfn._xlws.FILTER(INDIRECT("'"&amp;A53&amp;"'!"&amp;"A20:A100"),INDIRECT("'"&amp;A53&amp;"'!"&amp;"A20:A100")&gt;=$D53))</f>
        <v>1557770.4276922471</v>
      </c>
    </row>
    <row r="54" spans="1:18" x14ac:dyDescent="0.35">
      <c r="A54" s="97" t="s">
        <v>281</v>
      </c>
      <c r="B54" s="382" t="s">
        <v>173</v>
      </c>
      <c r="C54" s="383" t="s">
        <v>228</v>
      </c>
      <c r="D54" s="356">
        <v>300000</v>
      </c>
      <c r="E54" s="359">
        <v>118583.90541759932</v>
      </c>
      <c r="F54" s="356">
        <v>26792847.590052392</v>
      </c>
      <c r="G54" s="362">
        <v>89.309491966841307</v>
      </c>
      <c r="H54" s="239">
        <v>1.347568574726675E-2</v>
      </c>
      <c r="I54" s="365">
        <v>2.5298542744357642</v>
      </c>
      <c r="J54" s="368">
        <f ca="1">(VLOOKUP($Q54,INDIRECT("'"&amp;A54&amp;"'!"&amp;"A20:E42"),3,0)-VLOOKUP($R54,INDIRECT("'"&amp;A54&amp;"'!"&amp;"A20:E42"),3,0))/(Q54-R54)</f>
        <v>66.205673780602183</v>
      </c>
      <c r="L54" s="434"/>
      <c r="Q54" s="366" cm="1">
        <f t="array" aca="1" ref="Q54" ca="1">MAX(_xlfn._xlws.FILTER(INDIRECT("'"&amp;A54&amp;"'!"&amp;"A20:A42"),INDIRECT("'"&amp;A54&amp;"'!"&amp;"A20:A42")&lt;$D54))</f>
        <v>200000</v>
      </c>
      <c r="R54" s="366" cm="1">
        <f t="array" aca="1" ref="R54" ca="1">MIN(_xlfn._xlws.FILTER(INDIRECT("'"&amp;A54&amp;"'!"&amp;"A20:A42"),INDIRECT("'"&amp;A54&amp;"'!"&amp;"A20:A42")&gt;=$D54))</f>
        <v>300000</v>
      </c>
    </row>
    <row r="55" spans="1:18" x14ac:dyDescent="0.35">
      <c r="A55" s="97" t="s">
        <v>282</v>
      </c>
      <c r="B55" s="382" t="s">
        <v>173</v>
      </c>
      <c r="C55" s="383" t="s">
        <v>284</v>
      </c>
      <c r="D55" s="356">
        <v>1400000</v>
      </c>
      <c r="E55" s="359">
        <v>69471.794076517137</v>
      </c>
      <c r="F55" s="356">
        <v>15696457.153648281</v>
      </c>
      <c r="G55" s="362">
        <v>11.211755109748772</v>
      </c>
      <c r="H55" s="239">
        <v>7.894663799249706E-3</v>
      </c>
      <c r="I55" s="365">
        <v>20.152063418112132</v>
      </c>
      <c r="J55" s="368">
        <f ca="1">(VLOOKUP($Q55,INDIRECT("'"&amp;A55&amp;"'!"&amp;"A20:E42"),3,0)-VLOOKUP($R55,INDIRECT("'"&amp;A55&amp;"'!"&amp;"A20:E42"),3,0))/(Q55-R55)</f>
        <v>6.9332855708026697</v>
      </c>
      <c r="L55" s="434"/>
      <c r="Q55" s="366" cm="1">
        <f t="array" aca="1" ref="Q55" ca="1">MAX(_xlfn._xlws.FILTER(INDIRECT("'"&amp;A55&amp;"'!"&amp;"A20:A42"),INDIRECT("'"&amp;A55&amp;"'!"&amp;"A20:A42")&lt;$D55))</f>
        <v>1200000</v>
      </c>
      <c r="R55" s="366" cm="1">
        <f t="array" aca="1" ref="R55" ca="1">MIN(_xlfn._xlws.FILTER(INDIRECT("'"&amp;A55&amp;"'!"&amp;"A20:A42"),INDIRECT("'"&amp;A55&amp;"'!"&amp;"A20:A42")&gt;=$D55))</f>
        <v>1400000</v>
      </c>
    </row>
    <row r="56" spans="1:18" x14ac:dyDescent="0.35">
      <c r="A56" s="97" t="s">
        <v>283</v>
      </c>
      <c r="B56" s="382" t="s">
        <v>173</v>
      </c>
      <c r="C56" s="383" t="s">
        <v>187</v>
      </c>
      <c r="D56" s="356">
        <v>14861790</v>
      </c>
      <c r="E56" s="359">
        <v>271289.99209866516</v>
      </c>
      <c r="F56" s="356">
        <v>61295260.814772405</v>
      </c>
      <c r="G56" s="362">
        <v>4.1243525049655796</v>
      </c>
      <c r="H56" s="239">
        <v>3.0828961713024523E-2</v>
      </c>
      <c r="I56" s="365">
        <v>54.78193237071175</v>
      </c>
      <c r="J56" s="368">
        <f ca="1">(VLOOKUP($Q56,INDIRECT("'"&amp;A56&amp;"'!"&amp;"A20:E42"),3,0)-VLOOKUP($R56,INDIRECT("'"&amp;A56&amp;"'!"&amp;"A20:E42"),3,0))/(Q56-R56)</f>
        <v>2.9163939951273141</v>
      </c>
      <c r="L56" s="434"/>
      <c r="Q56" s="366" cm="1">
        <f t="array" aca="1" ref="Q56" ca="1">MAX(_xlfn._xlws.FILTER(INDIRECT("'"&amp;A56&amp;"'!"&amp;"A20:A42"),INDIRECT("'"&amp;A56&amp;"'!"&amp;"A20:A42")&lt;$D56))</f>
        <v>13750000</v>
      </c>
      <c r="R56" s="366" cm="1">
        <f t="array" aca="1" ref="R56" ca="1">MIN(_xlfn._xlws.FILTER(INDIRECT("'"&amp;A56&amp;"'!"&amp;"A20:A42"),INDIRECT("'"&amp;A56&amp;"'!"&amp;"A20:A42")&gt;=$D56))</f>
        <v>15000000</v>
      </c>
    </row>
    <row r="57" spans="1:18" ht="15.5" x14ac:dyDescent="0.35">
      <c r="B57" s="422" t="s">
        <v>154</v>
      </c>
      <c r="C57" s="423" t="s">
        <v>230</v>
      </c>
      <c r="D57" s="424">
        <v>33025004</v>
      </c>
      <c r="E57" s="425">
        <v>1089397.2019400175</v>
      </c>
      <c r="F57" s="424">
        <v>246138403.80632758</v>
      </c>
      <c r="G57" s="426">
        <v>7.4530923238140288</v>
      </c>
      <c r="H57" s="427">
        <v>0.1237973593094078</v>
      </c>
      <c r="I57" s="428">
        <v>30.314933746101513</v>
      </c>
      <c r="J57" s="429"/>
    </row>
    <row r="58" spans="1:18" x14ac:dyDescent="0.35">
      <c r="G58" s="97">
        <f>F57/D57</f>
        <v>7.4530923238140288</v>
      </c>
    </row>
    <row r="61" spans="1:18" x14ac:dyDescent="0.35">
      <c r="D61" s="473" t="s">
        <v>289</v>
      </c>
      <c r="E61" s="473"/>
      <c r="F61" s="473"/>
      <c r="G61" s="473"/>
      <c r="H61" s="473"/>
      <c r="I61" s="473"/>
    </row>
    <row r="62" spans="1:18" ht="62" x14ac:dyDescent="0.35">
      <c r="B62" s="430" t="s">
        <v>2</v>
      </c>
      <c r="C62" s="431" t="s">
        <v>3</v>
      </c>
      <c r="D62" s="431" t="s">
        <v>268</v>
      </c>
      <c r="E62" s="431" t="s">
        <v>269</v>
      </c>
      <c r="F62" s="431" t="s">
        <v>272</v>
      </c>
      <c r="G62" s="431" t="s">
        <v>270</v>
      </c>
      <c r="H62" s="431" t="s">
        <v>222</v>
      </c>
      <c r="I62" s="431" t="s">
        <v>223</v>
      </c>
      <c r="J62" s="432" t="s">
        <v>207</v>
      </c>
    </row>
    <row r="63" spans="1:18" x14ac:dyDescent="0.35">
      <c r="A63" s="97" t="s">
        <v>276</v>
      </c>
      <c r="B63" s="382" t="s">
        <v>173</v>
      </c>
      <c r="C63" s="383" t="s">
        <v>224</v>
      </c>
      <c r="D63" s="356">
        <v>1000000</v>
      </c>
      <c r="E63" s="359">
        <f>F63/VAC_Optim_Scenario!$F$32</f>
        <v>22310.299479529262</v>
      </c>
      <c r="F63" s="356">
        <v>5040789.0644048415</v>
      </c>
      <c r="G63" s="362">
        <f>F63/D63</f>
        <v>5.0407890644048416</v>
      </c>
      <c r="H63" s="435">
        <f>E63/$L$3</f>
        <v>2.5353068247735882E-3</v>
      </c>
      <c r="I63" s="365">
        <f>D63/E63</f>
        <v>44.822347674783416</v>
      </c>
      <c r="J63" s="412">
        <f ca="1">(VLOOKUP($Q63,INDIRECT("'"&amp;A63&amp;"'!"&amp;"A20:E42"),5,0)-VLOOKUP($R63,INDIRECT("'"&amp;A63&amp;"'!"&amp;"A20:E42"),5,0))/(Q63-R63)</f>
        <v>4.2588353994034396</v>
      </c>
      <c r="Q63" s="97" cm="1">
        <f t="array" aca="1" ref="Q63" ca="1">MAX(_xlfn._xlws.FILTER(INDIRECT("'"&amp;A63&amp;"'!"&amp;"A20:A42"),INDIRECT("'"&amp;A63&amp;"'!"&amp;"A20:A42")&lt;$D63))</f>
        <v>800000</v>
      </c>
      <c r="R63" s="97" cm="1">
        <f t="array" aca="1" ref="R63" ca="1">MIN(_xlfn._xlws.FILTER(INDIRECT("'"&amp;A63&amp;"'!"&amp;"A20:A42"),INDIRECT("'"&amp;A63&amp;"'!"&amp;"A20:A42")&gt;=$D63))</f>
        <v>1000000</v>
      </c>
    </row>
    <row r="64" spans="1:18" x14ac:dyDescent="0.35">
      <c r="A64" s="97" t="s">
        <v>277</v>
      </c>
      <c r="B64" s="382" t="s">
        <v>173</v>
      </c>
      <c r="C64" s="383" t="s">
        <v>225</v>
      </c>
      <c r="D64" s="356">
        <v>6600872.0516149877</v>
      </c>
      <c r="E64" s="359">
        <f>F64/VAC_Optim_Scenario!$F$32</f>
        <v>323429.4936188375</v>
      </c>
      <c r="F64" s="356">
        <v>73075659.78824015</v>
      </c>
      <c r="G64" s="362">
        <f t="shared" ref="G64:G72" si="10">F64/D64</f>
        <v>11.070606916303014</v>
      </c>
      <c r="H64" s="436">
        <f t="shared" ref="H64:H72" si="11">E64/$L$3</f>
        <v>3.6754011449164369E-2</v>
      </c>
      <c r="I64" s="365">
        <f t="shared" ref="I64:I72" si="12">D64/E64</f>
        <v>20.408998504614217</v>
      </c>
      <c r="J64" s="413">
        <f t="shared" ref="J64:J66" ca="1" si="13">(VLOOKUP($Q64,INDIRECT("'"&amp;A64&amp;"'!"&amp;"A20:E42"),5,0)-VLOOKUP($R64,INDIRECT("'"&amp;A64&amp;"'!"&amp;"A20:E42"),5,0))/(Q64-R64)</f>
        <v>6.9218682644031775</v>
      </c>
      <c r="Q64" s="97" cm="1">
        <f t="array" aca="1" ref="Q64" ca="1">MAX(_xlfn._xlws.FILTER(INDIRECT("'"&amp;A64&amp;"'!"&amp;"A20:A42"),INDIRECT("'"&amp;A64&amp;"'!"&amp;"A20:A42")&lt;$D64))</f>
        <v>6300000</v>
      </c>
      <c r="R64" s="97" cm="1">
        <f t="array" aca="1" ref="R64" ca="1">MIN(_xlfn._xlws.FILTER(INDIRECT("'"&amp;A64&amp;"'!"&amp;"A20:A42"),INDIRECT("'"&amp;A64&amp;"'!"&amp;"A20:A42")&gt;=$D64))</f>
        <v>6750000</v>
      </c>
    </row>
    <row r="65" spans="1:18" x14ac:dyDescent="0.35">
      <c r="A65" s="97" t="s">
        <v>280</v>
      </c>
      <c r="B65" s="382" t="s">
        <v>173</v>
      </c>
      <c r="C65" s="383" t="s">
        <v>226</v>
      </c>
      <c r="D65" s="356">
        <v>1599500</v>
      </c>
      <c r="E65" s="359">
        <f>F65/VAC_Optim_Scenario!$F$32</f>
        <v>64805.391873188775</v>
      </c>
      <c r="F65" s="356">
        <v>14642130.239828272</v>
      </c>
      <c r="G65" s="362">
        <f t="shared" si="10"/>
        <v>9.1541920849192078</v>
      </c>
      <c r="H65" s="436">
        <f t="shared" si="11"/>
        <v>7.3643813006175306E-3</v>
      </c>
      <c r="I65" s="365">
        <f t="shared" si="12"/>
        <v>24.681588271696626</v>
      </c>
      <c r="J65" s="413">
        <f ca="1">(VLOOKUP($Q65,INDIRECT("'"&amp;A65&amp;"'!"&amp;"A20:E42"),3,0)-VLOOKUP($R65,INDIRECT("'"&amp;A65&amp;"'!"&amp;"A20:E42"),3,0))/(Q65-R65)</f>
        <v>5.4608969926852584</v>
      </c>
      <c r="Q65" s="97" cm="1">
        <f t="array" aca="1" ref="Q65" ca="1">MAX(_xlfn._xlws.FILTER(INDIRECT("'"&amp;A65&amp;"'!"&amp;"A20:A42"),INDIRECT("'"&amp;A65&amp;"'!"&amp;"A20:A42")&lt;$D65))</f>
        <v>1500000</v>
      </c>
      <c r="R65" s="97" cm="1">
        <f t="array" aca="1" ref="R65" ca="1">MIN(_xlfn._xlws.FILTER(INDIRECT("'"&amp;A65&amp;"'!"&amp;"A20:A42"),INDIRECT("'"&amp;A65&amp;"'!"&amp;"A20:A42")&gt;=$D65))</f>
        <v>1750000</v>
      </c>
    </row>
    <row r="66" spans="1:18" x14ac:dyDescent="0.35">
      <c r="A66" s="97" t="s">
        <v>278</v>
      </c>
      <c r="B66" s="382" t="s">
        <v>173</v>
      </c>
      <c r="C66" s="383" t="s">
        <v>244</v>
      </c>
      <c r="D66" s="356">
        <v>500000</v>
      </c>
      <c r="E66" s="359">
        <f>F66/VAC_Optim_Scenario!$F$32</f>
        <v>13095.1080400832</v>
      </c>
      <c r="F66" s="356">
        <v>2958708.7105763983</v>
      </c>
      <c r="G66" s="362">
        <f t="shared" si="10"/>
        <v>5.9174174211527966</v>
      </c>
      <c r="H66" s="436">
        <f t="shared" si="11"/>
        <v>1.4881071773883213E-3</v>
      </c>
      <c r="I66" s="365">
        <f t="shared" si="12"/>
        <v>38.182197387721835</v>
      </c>
      <c r="J66" s="413">
        <f t="shared" ca="1" si="13"/>
        <v>2.1230601661533521</v>
      </c>
      <c r="Q66" s="97" cm="1">
        <f t="array" aca="1" ref="Q66" ca="1">MAX(_xlfn._xlws.FILTER(INDIRECT("'"&amp;A66&amp;"'!"&amp;"A20:A42"),INDIRECT("'"&amp;A66&amp;"'!"&amp;"A20:A42")&lt;$D66))</f>
        <v>415405.44738459925</v>
      </c>
      <c r="R66" s="97" cm="1">
        <f t="array" aca="1" ref="R66" ca="1">MIN(_xlfn._xlws.FILTER(INDIRECT("'"&amp;A66&amp;"'!"&amp;"A20:A42"),INDIRECT("'"&amp;A66&amp;"'!"&amp;"A20:A42")&gt;=$D66))</f>
        <v>519256.80923074903</v>
      </c>
    </row>
    <row r="67" spans="1:18" x14ac:dyDescent="0.35">
      <c r="A67" s="97" t="s">
        <v>285</v>
      </c>
      <c r="B67" s="382" t="s">
        <v>173</v>
      </c>
      <c r="C67" s="383" t="s">
        <v>246</v>
      </c>
      <c r="D67" s="356">
        <v>6463714.0003559459</v>
      </c>
      <c r="E67" s="359">
        <f>F67/VAC_Optim_Scenario!$F$32</f>
        <v>149272.39229658525</v>
      </c>
      <c r="F67" s="356">
        <v>33726604.315490469</v>
      </c>
      <c r="G67" s="362">
        <f t="shared" si="10"/>
        <v>5.217836728796045</v>
      </c>
      <c r="H67" s="436">
        <f t="shared" si="11"/>
        <v>1.6963076416211254E-2</v>
      </c>
      <c r="I67" s="365">
        <f t="shared" si="12"/>
        <v>43.301469889444583</v>
      </c>
      <c r="J67" s="413">
        <f ca="1">(VLOOKUP($Q67,INDIRECT("'"&amp;A67&amp;"'!"&amp;"A20:E42"),3,0)-VLOOKUP($R67,INDIRECT("'"&amp;A67&amp;"'!"&amp;"A20:E42"),3,0))/(Q67-R67)</f>
        <v>3.6898979193167833</v>
      </c>
      <c r="Q67" s="97" cm="1">
        <f t="array" aca="1" ref="Q67" ca="1">MAX(_xlfn._xlws.FILTER(INDIRECT("'"&amp;A67&amp;"'!"&amp;"A20:A42"),INDIRECT("'"&amp;A67&amp;"'!"&amp;"A20:A42")&lt;$D67))</f>
        <v>6000000</v>
      </c>
      <c r="R67" s="97" cm="1">
        <f t="array" aca="1" ref="R67" ca="1">MIN(_xlfn._xlws.FILTER(INDIRECT("'"&amp;A67&amp;"'!"&amp;"A20:A42"),INDIRECT("'"&amp;A67&amp;"'!"&amp;"A20:A42")&gt;=$D67))</f>
        <v>6500000</v>
      </c>
    </row>
    <row r="68" spans="1:18" x14ac:dyDescent="0.35">
      <c r="A68" s="97" t="s">
        <v>279</v>
      </c>
      <c r="B68" s="382" t="s">
        <v>173</v>
      </c>
      <c r="C68" s="383" t="s">
        <v>227</v>
      </c>
      <c r="D68" s="356">
        <v>3184123.9461473175</v>
      </c>
      <c r="E68" s="359">
        <f>F68/VAC_Optim_Scenario!$F$32</f>
        <v>163686.85548131724</v>
      </c>
      <c r="F68" s="356">
        <v>36983408.12744882</v>
      </c>
      <c r="G68" s="362">
        <f t="shared" si="10"/>
        <v>11.614939855654017</v>
      </c>
      <c r="H68" s="436">
        <f t="shared" si="11"/>
        <v>1.8601113006496847E-2</v>
      </c>
      <c r="I68" s="365">
        <f t="shared" si="12"/>
        <v>19.452532928099071</v>
      </c>
      <c r="J68" s="413">
        <f ca="1">(VLOOKUP($Q68,INDIRECT("'"&amp;A68&amp;"'!"&amp;"A20:E100"),5,0)-VLOOKUP($R68,INDIRECT("'"&amp;A68&amp;"'!"&amp;"A20:E100"),5,0))/(Q68-R68)</f>
        <v>6.8842699769585991</v>
      </c>
      <c r="Q68" s="97" cm="1">
        <f t="array" aca="1" ref="Q68" ca="1">MAX(_xlfn._xlws.FILTER(INDIRECT("'"&amp;A68&amp;"'!"&amp;"A20:A100"),INDIRECT("'"&amp;A68&amp;"'!"&amp;"A20:A100")&lt;$D68))</f>
        <v>3115540.85538449</v>
      </c>
      <c r="R68" s="97" cm="1">
        <f t="array" aca="1" ref="R68" ca="1">MIN(_xlfn._xlws.FILTER(INDIRECT("'"&amp;A68&amp;"'!"&amp;"A20:A100"),INDIRECT("'"&amp;A68&amp;"'!"&amp;"A20:A100")&gt;=$D68))</f>
        <v>3219392.2172306399</v>
      </c>
    </row>
    <row r="69" spans="1:18" x14ac:dyDescent="0.35">
      <c r="A69" s="97" t="s">
        <v>281</v>
      </c>
      <c r="B69" s="382" t="s">
        <v>173</v>
      </c>
      <c r="C69" s="383" t="s">
        <v>228</v>
      </c>
      <c r="D69" s="356">
        <v>390000</v>
      </c>
      <c r="E69" s="359">
        <f>F69/VAC_Optim_Scenario!$F$32</f>
        <v>142490.56083211911</v>
      </c>
      <c r="F69" s="356">
        <v>32194317.314408991</v>
      </c>
      <c r="G69" s="362">
        <f t="shared" si="10"/>
        <v>82.54953157540767</v>
      </c>
      <c r="H69" s="436">
        <f t="shared" si="11"/>
        <v>1.6192399912648332E-2</v>
      </c>
      <c r="I69" s="365">
        <f t="shared" si="12"/>
        <v>2.7370234050765925</v>
      </c>
      <c r="J69" s="413">
        <f ca="1">(VLOOKUP($Q69,INDIRECT("'"&amp;A69&amp;"'!"&amp;"A20:E42"),3,0)-VLOOKUP($R69,INDIRECT("'"&amp;A69&amp;"'!"&amp;"A20:E42"),3,0))/(Q69-R69)</f>
        <v>59.771182942678408</v>
      </c>
      <c r="Q69" s="97" cm="1">
        <f t="array" aca="1" ref="Q69" ca="1">MAX(_xlfn._xlws.FILTER(INDIRECT("'"&amp;A69&amp;"'!"&amp;"A20:A42"),INDIRECT("'"&amp;A69&amp;"'!"&amp;"A20:A42")&lt;$D69))</f>
        <v>300000</v>
      </c>
      <c r="R69" s="97" cm="1">
        <f t="array" aca="1" ref="R69" ca="1">MIN(_xlfn._xlws.FILTER(INDIRECT("'"&amp;A69&amp;"'!"&amp;"A20:A42"),INDIRECT("'"&amp;A69&amp;"'!"&amp;"A20:A42")&gt;=$D69))</f>
        <v>400000</v>
      </c>
    </row>
    <row r="70" spans="1:18" x14ac:dyDescent="0.35">
      <c r="A70" s="97" t="s">
        <v>282</v>
      </c>
      <c r="B70" s="382" t="s">
        <v>173</v>
      </c>
      <c r="C70" s="383" t="s">
        <v>284</v>
      </c>
      <c r="D70" s="356">
        <v>1400000</v>
      </c>
      <c r="E70" s="359">
        <f>F70/VAC_Optim_Scenario!$F$32</f>
        <v>69471.794076517137</v>
      </c>
      <c r="F70" s="356">
        <v>15696457.153648281</v>
      </c>
      <c r="G70" s="362">
        <f t="shared" si="10"/>
        <v>11.211755109748772</v>
      </c>
      <c r="H70" s="436">
        <f t="shared" si="11"/>
        <v>7.894663799249706E-3</v>
      </c>
      <c r="I70" s="365">
        <f t="shared" si="12"/>
        <v>20.152063418112132</v>
      </c>
      <c r="J70" s="413">
        <f ca="1">(VLOOKUP($Q70,INDIRECT("'"&amp;A70&amp;"'!"&amp;"A20:E42"),3,0)-VLOOKUP($R70,INDIRECT("'"&amp;A70&amp;"'!"&amp;"A20:E42"),3,0))/(Q70-R70)</f>
        <v>6.9332855708026697</v>
      </c>
      <c r="Q70" s="97" cm="1">
        <f t="array" aca="1" ref="Q70" ca="1">MAX(_xlfn._xlws.FILTER(INDIRECT("'"&amp;A70&amp;"'!"&amp;"A20:A42"),INDIRECT("'"&amp;A70&amp;"'!"&amp;"A20:A42")&lt;$D70))</f>
        <v>1200000</v>
      </c>
      <c r="R70" s="97" cm="1">
        <f t="array" aca="1" ref="R70" ca="1">MIN(_xlfn._xlws.FILTER(INDIRECT("'"&amp;A70&amp;"'!"&amp;"A20:A42"),INDIRECT("'"&amp;A70&amp;"'!"&amp;"A20:A42")&gt;=$D70))</f>
        <v>1400000</v>
      </c>
    </row>
    <row r="71" spans="1:18" x14ac:dyDescent="0.35">
      <c r="A71" s="97" t="s">
        <v>283</v>
      </c>
      <c r="B71" s="382" t="s">
        <v>173</v>
      </c>
      <c r="C71" s="383" t="s">
        <v>187</v>
      </c>
      <c r="D71" s="356">
        <v>14861790.00188175</v>
      </c>
      <c r="E71" s="359">
        <f>F71/VAC_Optim_Scenario!$F$32</f>
        <v>271289.99212271004</v>
      </c>
      <c r="F71" s="356">
        <v>61295260.820205107</v>
      </c>
      <c r="G71" s="362">
        <f t="shared" si="10"/>
        <v>4.1243525048089165</v>
      </c>
      <c r="H71" s="436">
        <f t="shared" si="11"/>
        <v>3.0828961715756945E-2</v>
      </c>
      <c r="I71" s="365">
        <f t="shared" si="12"/>
        <v>54.781932372792646</v>
      </c>
      <c r="J71" s="413">
        <f ca="1">(VLOOKUP($Q71,INDIRECT("'"&amp;A71&amp;"'!"&amp;"A20:E42"),3,0)-VLOOKUP($R71,INDIRECT("'"&amp;A71&amp;"'!"&amp;"A20:E42"),3,0))/(Q71-R71)</f>
        <v>2.9163939951273141</v>
      </c>
      <c r="Q71" s="97" cm="1">
        <f t="array" aca="1" ref="Q71" ca="1">MAX(_xlfn._xlws.FILTER(INDIRECT("'"&amp;A71&amp;"'!"&amp;"A20:A42"),INDIRECT("'"&amp;A71&amp;"'!"&amp;"A20:A42")&lt;$D71))</f>
        <v>13750000</v>
      </c>
      <c r="R71" s="97" cm="1">
        <f t="array" aca="1" ref="R71" ca="1">MIN(_xlfn._xlws.FILTER(INDIRECT("'"&amp;A71&amp;"'!"&amp;"A20:A42"),INDIRECT("'"&amp;A71&amp;"'!"&amp;"A20:A42")&gt;=$D71))</f>
        <v>15000000</v>
      </c>
    </row>
    <row r="72" spans="1:18" ht="15.5" x14ac:dyDescent="0.35">
      <c r="B72" s="422" t="s">
        <v>154</v>
      </c>
      <c r="C72" s="423" t="s">
        <v>230</v>
      </c>
      <c r="D72" s="424">
        <f>SUM(D63:D71)</f>
        <v>36000000</v>
      </c>
      <c r="E72" s="425">
        <f>SUM(E63:E71)</f>
        <v>1219851.8878208876</v>
      </c>
      <c r="F72" s="424">
        <f>SUM(F63:F71)</f>
        <v>275613335.53425133</v>
      </c>
      <c r="G72" s="426">
        <f t="shared" si="10"/>
        <v>7.6559259870625374</v>
      </c>
      <c r="H72" s="427">
        <f t="shared" si="11"/>
        <v>0.13862202160230691</v>
      </c>
      <c r="I72" s="428">
        <f t="shared" si="12"/>
        <v>29.511779552441801</v>
      </c>
      <c r="J72" s="429"/>
    </row>
    <row r="73" spans="1:18" x14ac:dyDescent="0.35">
      <c r="G73" s="97">
        <f>F72/D72</f>
        <v>7.6559259870625374</v>
      </c>
    </row>
    <row r="75" spans="1:18" x14ac:dyDescent="0.35">
      <c r="D75" s="473" t="s">
        <v>290</v>
      </c>
      <c r="E75" s="473"/>
      <c r="F75" s="473"/>
      <c r="G75" s="473"/>
      <c r="H75" s="473"/>
      <c r="I75" s="473"/>
    </row>
    <row r="76" spans="1:18" ht="62" x14ac:dyDescent="0.35">
      <c r="B76" s="430" t="s">
        <v>2</v>
      </c>
      <c r="C76" s="431" t="s">
        <v>3</v>
      </c>
      <c r="D76" s="431" t="s">
        <v>268</v>
      </c>
      <c r="E76" s="431" t="s">
        <v>269</v>
      </c>
      <c r="F76" s="431" t="s">
        <v>272</v>
      </c>
      <c r="G76" s="431" t="s">
        <v>270</v>
      </c>
      <c r="H76" s="431" t="s">
        <v>222</v>
      </c>
      <c r="I76" s="431" t="s">
        <v>223</v>
      </c>
      <c r="J76" s="432" t="s">
        <v>207</v>
      </c>
    </row>
    <row r="77" spans="1:18" x14ac:dyDescent="0.35">
      <c r="A77" s="97" t="s">
        <v>276</v>
      </c>
      <c r="B77" s="382" t="s">
        <v>173</v>
      </c>
      <c r="C77" s="383" t="s">
        <v>224</v>
      </c>
      <c r="D77" s="356">
        <v>1000000</v>
      </c>
      <c r="E77" s="359">
        <f>F77/VAC_Optim_Scenario!$F$32</f>
        <v>22310.299479529262</v>
      </c>
      <c r="F77" s="356">
        <v>5040789.0644048415</v>
      </c>
      <c r="G77" s="362">
        <f>F77/D77</f>
        <v>5.0407890644048416</v>
      </c>
      <c r="H77" s="435">
        <f>E77/$L$3</f>
        <v>2.5353068247735882E-3</v>
      </c>
      <c r="I77" s="365">
        <f>D77/E77</f>
        <v>44.822347674783416</v>
      </c>
      <c r="J77" s="412">
        <f ca="1">(VLOOKUP($Q77,INDIRECT("'"&amp;A77&amp;"'!"&amp;"A20:E42"),5,0)-VLOOKUP($R77,INDIRECT("'"&amp;A77&amp;"'!"&amp;"A20:E42"),5,0))/(Q77-R77)</f>
        <v>4.2588353994034396</v>
      </c>
      <c r="Q77" s="97" cm="1">
        <f t="array" aca="1" ref="Q77" ca="1">MAX(_xlfn._xlws.FILTER(INDIRECT("'"&amp;A77&amp;"'!"&amp;"A20:A42"),INDIRECT("'"&amp;A77&amp;"'!"&amp;"A20:A42")&lt;$D77))</f>
        <v>800000</v>
      </c>
      <c r="R77" s="97" cm="1">
        <f t="array" aca="1" ref="R77" ca="1">MIN(_xlfn._xlws.FILTER(INDIRECT("'"&amp;A77&amp;"'!"&amp;"A20:A42"),INDIRECT("'"&amp;A77&amp;"'!"&amp;"A20:A42")&gt;=$D77))</f>
        <v>1000000</v>
      </c>
    </row>
    <row r="78" spans="1:18" x14ac:dyDescent="0.35">
      <c r="A78" s="97" t="s">
        <v>277</v>
      </c>
      <c r="B78" s="382" t="s">
        <v>173</v>
      </c>
      <c r="C78" s="383" t="s">
        <v>225</v>
      </c>
      <c r="D78" s="356">
        <v>7713963.2766997935</v>
      </c>
      <c r="E78" s="359">
        <f>F78/VAC_Optim_Scenario!$F$32</f>
        <v>354690.90968408715</v>
      </c>
      <c r="F78" s="356">
        <v>80138864.134022653</v>
      </c>
      <c r="G78" s="362">
        <f t="shared" ref="G78:G86" si="14">F78/D78</f>
        <v>10.388805502365297</v>
      </c>
      <c r="H78" s="436">
        <f t="shared" ref="H78:H86" si="15">E78/$L$3</f>
        <v>4.0306508876419275E-2</v>
      </c>
      <c r="I78" s="365">
        <f t="shared" ref="I78:I86" si="16">D78/E78</f>
        <v>21.748409857953213</v>
      </c>
      <c r="J78" s="413">
        <f t="shared" ref="J78:J80" ca="1" si="17">(VLOOKUP($Q78,INDIRECT("'"&amp;A78&amp;"'!"&amp;"A20:E42"),5,0)-VLOOKUP($R78,INDIRECT("'"&amp;A78&amp;"'!"&amp;"A20:E42"),5,0))/(Q78-R78)</f>
        <v>5.7372760813294521</v>
      </c>
      <c r="Q78" s="97" cm="1">
        <f t="array" aca="1" ref="Q78" ca="1">MAX(_xlfn._xlws.FILTER(INDIRECT("'"&amp;A78&amp;"'!"&amp;"A20:A42"),INDIRECT("'"&amp;A78&amp;"'!"&amp;"A20:A42")&lt;$D78))</f>
        <v>7650000</v>
      </c>
      <c r="R78" s="97" cm="1">
        <f t="array" aca="1" ref="R78" ca="1">MIN(_xlfn._xlws.FILTER(INDIRECT("'"&amp;A78&amp;"'!"&amp;"A20:A42"),INDIRECT("'"&amp;A78&amp;"'!"&amp;"A20:A42")&gt;=$D78))</f>
        <v>8100000</v>
      </c>
    </row>
    <row r="79" spans="1:18" x14ac:dyDescent="0.35">
      <c r="A79" s="97" t="s">
        <v>280</v>
      </c>
      <c r="B79" s="382" t="s">
        <v>173</v>
      </c>
      <c r="C79" s="383" t="s">
        <v>226</v>
      </c>
      <c r="D79" s="356">
        <v>1599500</v>
      </c>
      <c r="E79" s="359">
        <f>F79/VAC_Optim_Scenario!$F$32</f>
        <v>64805.391873188775</v>
      </c>
      <c r="F79" s="356">
        <v>14642130.239828272</v>
      </c>
      <c r="G79" s="362">
        <f t="shared" si="14"/>
        <v>9.1541920849192078</v>
      </c>
      <c r="H79" s="436">
        <f t="shared" si="15"/>
        <v>7.3643813006175306E-3</v>
      </c>
      <c r="I79" s="365">
        <f t="shared" si="16"/>
        <v>24.681588271696626</v>
      </c>
      <c r="J79" s="413">
        <f ca="1">(VLOOKUP($Q79,INDIRECT("'"&amp;A79&amp;"'!"&amp;"A20:E42"),3,0)-VLOOKUP($R79,INDIRECT("'"&amp;A79&amp;"'!"&amp;"A20:E42"),3,0))/(Q79-R79)</f>
        <v>5.4608969926852584</v>
      </c>
      <c r="Q79" s="97" cm="1">
        <f t="array" aca="1" ref="Q79" ca="1">MAX(_xlfn._xlws.FILTER(INDIRECT("'"&amp;A79&amp;"'!"&amp;"A20:A42"),INDIRECT("'"&amp;A79&amp;"'!"&amp;"A20:A42")&lt;$D79))</f>
        <v>1500000</v>
      </c>
      <c r="R79" s="97" cm="1">
        <f t="array" aca="1" ref="R79" ca="1">MIN(_xlfn._xlws.FILTER(INDIRECT("'"&amp;A79&amp;"'!"&amp;"A20:A42"),INDIRECT("'"&amp;A79&amp;"'!"&amp;"A20:A42")&gt;=$D79))</f>
        <v>1750000</v>
      </c>
    </row>
    <row r="80" spans="1:18" x14ac:dyDescent="0.35">
      <c r="A80" s="97" t="s">
        <v>278</v>
      </c>
      <c r="B80" s="382" t="s">
        <v>173</v>
      </c>
      <c r="C80" s="383" t="s">
        <v>244</v>
      </c>
      <c r="D80" s="356">
        <v>500000</v>
      </c>
      <c r="E80" s="359">
        <f>F80/VAC_Optim_Scenario!$F$32</f>
        <v>13095.1080400832</v>
      </c>
      <c r="F80" s="356">
        <v>2958708.7105763983</v>
      </c>
      <c r="G80" s="362">
        <f t="shared" si="14"/>
        <v>5.9174174211527966</v>
      </c>
      <c r="H80" s="436">
        <f t="shared" si="15"/>
        <v>1.4881071773883213E-3</v>
      </c>
      <c r="I80" s="365">
        <f t="shared" si="16"/>
        <v>38.182197387721835</v>
      </c>
      <c r="J80" s="413">
        <f t="shared" ca="1" si="17"/>
        <v>2.1230601661533521</v>
      </c>
      <c r="Q80" s="97" cm="1">
        <f t="array" aca="1" ref="Q80" ca="1">MAX(_xlfn._xlws.FILTER(INDIRECT("'"&amp;A80&amp;"'!"&amp;"A20:A42"),INDIRECT("'"&amp;A80&amp;"'!"&amp;"A20:A42")&lt;$D80))</f>
        <v>415405.44738459925</v>
      </c>
      <c r="R80" s="97" cm="1">
        <f t="array" aca="1" ref="R80" ca="1">MIN(_xlfn._xlws.FILTER(INDIRECT("'"&amp;A80&amp;"'!"&amp;"A20:A42"),INDIRECT("'"&amp;A80&amp;"'!"&amp;"A20:A42")&gt;=$D80))</f>
        <v>519256.80923074903</v>
      </c>
    </row>
    <row r="81" spans="1:18" x14ac:dyDescent="0.35">
      <c r="A81" s="97" t="s">
        <v>285</v>
      </c>
      <c r="B81" s="382" t="s">
        <v>173</v>
      </c>
      <c r="C81" s="383" t="s">
        <v>246</v>
      </c>
      <c r="D81" s="356">
        <v>6463714</v>
      </c>
      <c r="E81" s="359">
        <f>F81/VAC_Optim_Scenario!$F$32</f>
        <v>149272.39229083114</v>
      </c>
      <c r="F81" s="356">
        <v>33726604.314190388</v>
      </c>
      <c r="G81" s="362">
        <f t="shared" si="14"/>
        <v>5.2178367288822471</v>
      </c>
      <c r="H81" s="436">
        <f t="shared" si="15"/>
        <v>1.6963076415557363E-2</v>
      </c>
      <c r="I81" s="365">
        <f t="shared" si="16"/>
        <v>43.301469888729216</v>
      </c>
      <c r="J81" s="413">
        <f ca="1">(VLOOKUP($Q81,INDIRECT("'"&amp;A81&amp;"'!"&amp;"A20:E42"),3,0)-VLOOKUP($R81,INDIRECT("'"&amp;A81&amp;"'!"&amp;"A20:E42"),3,0))/(Q81-R81)</f>
        <v>3.6898979193167833</v>
      </c>
      <c r="Q81" s="97" cm="1">
        <f t="array" aca="1" ref="Q81" ca="1">MAX(_xlfn._xlws.FILTER(INDIRECT("'"&amp;A81&amp;"'!"&amp;"A20:A42"),INDIRECT("'"&amp;A81&amp;"'!"&amp;"A20:A42")&lt;$D81))</f>
        <v>6000000</v>
      </c>
      <c r="R81" s="97" cm="1">
        <f t="array" aca="1" ref="R81" ca="1">MIN(_xlfn._xlws.FILTER(INDIRECT("'"&amp;A81&amp;"'!"&amp;"A20:A42"),INDIRECT("'"&amp;A81&amp;"'!"&amp;"A20:A42")&gt;=$D81))</f>
        <v>6500000</v>
      </c>
    </row>
    <row r="82" spans="1:18" x14ac:dyDescent="0.35">
      <c r="A82" s="97" t="s">
        <v>279</v>
      </c>
      <c r="B82" s="382" t="s">
        <v>173</v>
      </c>
      <c r="C82" s="383" t="s">
        <v>227</v>
      </c>
      <c r="D82" s="356">
        <v>3500000</v>
      </c>
      <c r="E82" s="359">
        <f>F82/VAC_Optim_Scenario!$F$32</f>
        <v>172806.84541229345</v>
      </c>
      <c r="F82" s="356">
        <v>39043978.652453579</v>
      </c>
      <c r="G82" s="362">
        <f t="shared" si="14"/>
        <v>11.155422472129594</v>
      </c>
      <c r="H82" s="436">
        <f t="shared" si="15"/>
        <v>1.9637494106404804E-2</v>
      </c>
      <c r="I82" s="365">
        <f t="shared" si="16"/>
        <v>20.253827281260065</v>
      </c>
      <c r="J82" s="413">
        <f ca="1">(VLOOKUP($Q82,INDIRECT("'"&amp;A82&amp;"'!"&amp;"A20:E100"),5,0)-VLOOKUP($R82,INDIRECT("'"&amp;A82&amp;"'!"&amp;"A20:E100"),5,0))/(Q82-R82)</f>
        <v>6.2493452356722443</v>
      </c>
      <c r="Q82" s="97" cm="1">
        <f t="array" aca="1" ref="Q82" ca="1">MAX(_xlfn._xlws.FILTER(INDIRECT("'"&amp;A82&amp;"'!"&amp;"A20:A100"),INDIRECT("'"&amp;A82&amp;"'!"&amp;"A20:A100")&lt;$D82))</f>
        <v>3427094.9409229401</v>
      </c>
      <c r="R82" s="97" cm="1">
        <f t="array" aca="1" ref="R82" ca="1">MIN(_xlfn._xlws.FILTER(INDIRECT("'"&amp;A82&amp;"'!"&amp;"A20:A100"),INDIRECT("'"&amp;A82&amp;"'!"&amp;"A20:A100")&gt;=$D82))</f>
        <v>3530946.30276909</v>
      </c>
    </row>
    <row r="83" spans="1:18" x14ac:dyDescent="0.35">
      <c r="A83" s="97" t="s">
        <v>281</v>
      </c>
      <c r="B83" s="382" t="s">
        <v>173</v>
      </c>
      <c r="C83" s="383" t="s">
        <v>228</v>
      </c>
      <c r="D83" s="356">
        <v>390000</v>
      </c>
      <c r="E83" s="359">
        <f>F83/VAC_Optim_Scenario!$F$32</f>
        <v>142490.56083211911</v>
      </c>
      <c r="F83" s="356">
        <v>32194317.314408991</v>
      </c>
      <c r="G83" s="362">
        <f t="shared" si="14"/>
        <v>82.54953157540767</v>
      </c>
      <c r="H83" s="436">
        <f t="shared" si="15"/>
        <v>1.6192399912648332E-2</v>
      </c>
      <c r="I83" s="365">
        <f t="shared" si="16"/>
        <v>2.7370234050765925</v>
      </c>
      <c r="J83" s="413">
        <f ca="1">(VLOOKUP($Q83,INDIRECT("'"&amp;A83&amp;"'!"&amp;"A20:E42"),3,0)-VLOOKUP($R83,INDIRECT("'"&amp;A83&amp;"'!"&amp;"A20:E42"),3,0))/(Q83-R83)</f>
        <v>59.771182942678408</v>
      </c>
      <c r="Q83" s="97" cm="1">
        <f t="array" aca="1" ref="Q83" ca="1">MAX(_xlfn._xlws.FILTER(INDIRECT("'"&amp;A83&amp;"'!"&amp;"A20:A42"),INDIRECT("'"&amp;A83&amp;"'!"&amp;"A20:A42")&lt;$D83))</f>
        <v>300000</v>
      </c>
      <c r="R83" s="97" cm="1">
        <f t="array" aca="1" ref="R83" ca="1">MIN(_xlfn._xlws.FILTER(INDIRECT("'"&amp;A83&amp;"'!"&amp;"A20:A42"),INDIRECT("'"&amp;A83&amp;"'!"&amp;"A20:A42")&gt;=$D83))</f>
        <v>400000</v>
      </c>
    </row>
    <row r="84" spans="1:18" x14ac:dyDescent="0.35">
      <c r="A84" s="97" t="s">
        <v>282</v>
      </c>
      <c r="B84" s="382" t="s">
        <v>173</v>
      </c>
      <c r="C84" s="383" t="s">
        <v>284</v>
      </c>
      <c r="D84" s="356">
        <v>1971032.7315392788</v>
      </c>
      <c r="E84" s="359">
        <f>F84/VAC_Optim_Scenario!$F$32</f>
        <v>85299.796462300597</v>
      </c>
      <c r="F84" s="356">
        <v>19272636.012692198</v>
      </c>
      <c r="G84" s="362">
        <f t="shared" si="14"/>
        <v>9.7779380850977677</v>
      </c>
      <c r="H84" s="436">
        <f t="shared" si="15"/>
        <v>9.6933327282808703E-3</v>
      </c>
      <c r="I84" s="365">
        <f t="shared" si="16"/>
        <v>23.107121157204677</v>
      </c>
      <c r="J84" s="413">
        <f ca="1">(VLOOKUP($Q84,INDIRECT("'"&amp;A84&amp;"'!"&amp;"A20:E42"),3,0)-VLOOKUP($R84,INDIRECT("'"&amp;A84&amp;"'!"&amp;"A20:E42"),3,0))/(Q84-R84)</f>
        <v>5.955072086481862</v>
      </c>
      <c r="Q84" s="97" cm="1">
        <f t="array" aca="1" ref="Q84" ca="1">MAX(_xlfn._xlws.FILTER(INDIRECT("'"&amp;A84&amp;"'!"&amp;"A20:A42"),INDIRECT("'"&amp;A84&amp;"'!"&amp;"A20:A42")&lt;$D84))</f>
        <v>1800000</v>
      </c>
      <c r="R84" s="97" cm="1">
        <f t="array" aca="1" ref="R84" ca="1">MIN(_xlfn._xlws.FILTER(INDIRECT("'"&amp;A84&amp;"'!"&amp;"A20:A42"),INDIRECT("'"&amp;A84&amp;"'!"&amp;"A20:A42")&gt;=$D84))</f>
        <v>2000000</v>
      </c>
    </row>
    <row r="85" spans="1:18" x14ac:dyDescent="0.35">
      <c r="A85" s="97" t="s">
        <v>283</v>
      </c>
      <c r="B85" s="382" t="s">
        <v>173</v>
      </c>
      <c r="C85" s="383" t="s">
        <v>187</v>
      </c>
      <c r="D85" s="356">
        <v>14861790</v>
      </c>
      <c r="E85" s="359">
        <f>F85/VAC_Optim_Scenario!$F$32</f>
        <v>271289.99209866516</v>
      </c>
      <c r="F85" s="356">
        <v>61295260.814772405</v>
      </c>
      <c r="G85" s="362">
        <f t="shared" si="14"/>
        <v>4.1243525049655796</v>
      </c>
      <c r="H85" s="436">
        <f t="shared" si="15"/>
        <v>3.0828961713024523E-2</v>
      </c>
      <c r="I85" s="365">
        <f t="shared" si="16"/>
        <v>54.78193237071175</v>
      </c>
      <c r="J85" s="413">
        <f ca="1">(VLOOKUP($Q85,INDIRECT("'"&amp;A85&amp;"'!"&amp;"A20:E42"),3,0)-VLOOKUP($R85,INDIRECT("'"&amp;A85&amp;"'!"&amp;"A20:E42"),3,0))/(Q85-R85)</f>
        <v>2.9163939951273141</v>
      </c>
      <c r="Q85" s="97" cm="1">
        <f t="array" aca="1" ref="Q85" ca="1">MAX(_xlfn._xlws.FILTER(INDIRECT("'"&amp;A85&amp;"'!"&amp;"A20:A42"),INDIRECT("'"&amp;A85&amp;"'!"&amp;"A20:A42")&lt;$D85))</f>
        <v>13750000</v>
      </c>
      <c r="R85" s="97" cm="1">
        <f t="array" aca="1" ref="R85" ca="1">MIN(_xlfn._xlws.FILTER(INDIRECT("'"&amp;A85&amp;"'!"&amp;"A20:A42"),INDIRECT("'"&amp;A85&amp;"'!"&amp;"A20:A42")&gt;=$D85))</f>
        <v>15000000</v>
      </c>
    </row>
    <row r="86" spans="1:18" ht="15.5" x14ac:dyDescent="0.35">
      <c r="B86" s="422" t="s">
        <v>154</v>
      </c>
      <c r="C86" s="423" t="s">
        <v>230</v>
      </c>
      <c r="D86" s="424">
        <f>SUM(D77:D85)</f>
        <v>38000000.008239076</v>
      </c>
      <c r="E86" s="425">
        <f>SUM(E77:E85)</f>
        <v>1276061.2961730978</v>
      </c>
      <c r="F86" s="424">
        <f>SUM(F77:F85)</f>
        <v>288313289.25734973</v>
      </c>
      <c r="G86" s="426">
        <f t="shared" si="14"/>
        <v>7.5871918209167966</v>
      </c>
      <c r="H86" s="427">
        <f t="shared" si="15"/>
        <v>0.14500956905511461</v>
      </c>
      <c r="I86" s="428">
        <f t="shared" si="16"/>
        <v>29.779133747102048</v>
      </c>
      <c r="J86" s="429"/>
    </row>
    <row r="87" spans="1:18" x14ac:dyDescent="0.35">
      <c r="G87" s="97">
        <f>F86/D86</f>
        <v>7.5871918209167966</v>
      </c>
    </row>
    <row r="90" spans="1:18" x14ac:dyDescent="0.35">
      <c r="D90" s="473" t="s">
        <v>291</v>
      </c>
      <c r="E90" s="473"/>
      <c r="F90" s="473"/>
      <c r="G90" s="473"/>
      <c r="H90" s="473"/>
      <c r="I90" s="473"/>
    </row>
    <row r="91" spans="1:18" ht="62" x14ac:dyDescent="0.35">
      <c r="B91" s="430" t="s">
        <v>2</v>
      </c>
      <c r="C91" s="431" t="s">
        <v>3</v>
      </c>
      <c r="D91" s="431" t="s">
        <v>268</v>
      </c>
      <c r="E91" s="431" t="s">
        <v>269</v>
      </c>
      <c r="F91" s="431" t="s">
        <v>272</v>
      </c>
      <c r="G91" s="431" t="s">
        <v>270</v>
      </c>
      <c r="H91" s="431" t="s">
        <v>222</v>
      </c>
      <c r="I91" s="431" t="s">
        <v>223</v>
      </c>
      <c r="J91" s="432" t="s">
        <v>207</v>
      </c>
    </row>
    <row r="92" spans="1:18" x14ac:dyDescent="0.35">
      <c r="A92" s="97" t="s">
        <v>276</v>
      </c>
      <c r="B92" s="382" t="s">
        <v>173</v>
      </c>
      <c r="C92" s="383" t="s">
        <v>224</v>
      </c>
      <c r="D92" s="356">
        <v>1000000</v>
      </c>
      <c r="E92" s="359">
        <f>F92/VAC_Optim_Scenario!$F$32</f>
        <v>22310.299479529262</v>
      </c>
      <c r="F92" s="356">
        <v>5040789.0644048415</v>
      </c>
      <c r="G92" s="362">
        <f>F92/D92</f>
        <v>5.0407890644048416</v>
      </c>
      <c r="H92" s="435">
        <f>E92/$L$3</f>
        <v>2.5353068247735882E-3</v>
      </c>
      <c r="I92" s="365">
        <f>D92/E92</f>
        <v>44.822347674783416</v>
      </c>
      <c r="J92" s="412">
        <f ca="1">(VLOOKUP($Q92,INDIRECT("'"&amp;A92&amp;"'!"&amp;"A20:E42"),5,0)-VLOOKUP($R92,INDIRECT("'"&amp;A92&amp;"'!"&amp;"A20:E42"),5,0))/(Q92-R92)</f>
        <v>4.2588353994034396</v>
      </c>
      <c r="Q92" s="97" cm="1">
        <f t="array" aca="1" ref="Q92" ca="1">MAX(_xlfn._xlws.FILTER(INDIRECT("'"&amp;A92&amp;"'!"&amp;"A20:A42"),INDIRECT("'"&amp;A92&amp;"'!"&amp;"A20:A42")&lt;$D92))</f>
        <v>800000</v>
      </c>
      <c r="R92" s="97" cm="1">
        <f t="array" aca="1" ref="R92" ca="1">MIN(_xlfn._xlws.FILTER(INDIRECT("'"&amp;A92&amp;"'!"&amp;"A20:A42"),INDIRECT("'"&amp;A92&amp;"'!"&amp;"A20:A42")&gt;=$D92))</f>
        <v>1000000</v>
      </c>
    </row>
    <row r="93" spans="1:18" x14ac:dyDescent="0.35">
      <c r="A93" s="97" t="s">
        <v>277</v>
      </c>
      <c r="B93" s="382" t="s">
        <v>173</v>
      </c>
      <c r="C93" s="383" t="s">
        <v>225</v>
      </c>
      <c r="D93" s="356">
        <v>8750000</v>
      </c>
      <c r="E93" s="359">
        <f>F93/VAC_Optim_Scenario!$F$32</f>
        <v>379735.43931977358</v>
      </c>
      <c r="F93" s="356">
        <v>85797425.159909636</v>
      </c>
      <c r="G93" s="362">
        <f t="shared" ref="G93:G101" si="18">F93/D93</f>
        <v>9.8054200182753863</v>
      </c>
      <c r="H93" s="436">
        <f t="shared" ref="H93:H101" si="19">E93/$L$3</f>
        <v>4.3152529252204024E-2</v>
      </c>
      <c r="I93" s="365">
        <f t="shared" ref="I93:I101" si="20">D93/E93</f>
        <v>23.042358163025344</v>
      </c>
      <c r="J93" s="413">
        <f t="shared" ref="J93:J95" ca="1" si="21">(VLOOKUP($Q93,INDIRECT("'"&amp;A93&amp;"'!"&amp;"A20:E42"),5,0)-VLOOKUP($R93,INDIRECT("'"&amp;A93&amp;"'!"&amp;"A20:E42"),5,0))/(Q93-R93)</f>
        <v>5.0580985034890311</v>
      </c>
      <c r="Q93" s="97" cm="1">
        <f t="array" aca="1" ref="Q93" ca="1">MAX(_xlfn._xlws.FILTER(INDIRECT("'"&amp;A93&amp;"'!"&amp;"A20:A42"),INDIRECT("'"&amp;A93&amp;"'!"&amp;"A20:A42")&lt;$D93))</f>
        <v>8550000</v>
      </c>
      <c r="R93" s="97" cm="1">
        <f t="array" aca="1" ref="R93" ca="1">MIN(_xlfn._xlws.FILTER(INDIRECT("'"&amp;A93&amp;"'!"&amp;"A20:A42"),INDIRECT("'"&amp;A93&amp;"'!"&amp;"A20:A42")&gt;=$D93))</f>
        <v>9000000</v>
      </c>
    </row>
    <row r="94" spans="1:18" x14ac:dyDescent="0.35">
      <c r="A94" s="97" t="s">
        <v>280</v>
      </c>
      <c r="B94" s="382" t="s">
        <v>173</v>
      </c>
      <c r="C94" s="383" t="s">
        <v>226</v>
      </c>
      <c r="D94" s="356">
        <v>2334495.9858692377</v>
      </c>
      <c r="E94" s="359">
        <f>F94/VAC_Optim_Scenario!$F$32</f>
        <v>81308.598139807553</v>
      </c>
      <c r="F94" s="356">
        <v>18370864.663708117</v>
      </c>
      <c r="G94" s="362">
        <f t="shared" si="18"/>
        <v>7.8693065976156813</v>
      </c>
      <c r="H94" s="436">
        <f t="shared" si="19"/>
        <v>9.2397793210159396E-3</v>
      </c>
      <c r="I94" s="365">
        <f t="shared" si="20"/>
        <v>28.71155129073983</v>
      </c>
      <c r="J94" s="413">
        <f ca="1">(VLOOKUP($Q94,INDIRECT("'"&amp;A94&amp;"'!"&amp;"A20:E42"),3,0)-VLOOKUP($R94,INDIRECT("'"&amp;A94&amp;"'!"&amp;"A20:E42"),3,0))/(Q94-R94)</f>
        <v>4.6904220107766088</v>
      </c>
      <c r="Q94" s="97" cm="1">
        <f t="array" aca="1" ref="Q94" ca="1">MAX(_xlfn._xlws.FILTER(INDIRECT("'"&amp;A94&amp;"'!"&amp;"A20:A42"),INDIRECT("'"&amp;A94&amp;"'!"&amp;"A20:A42")&lt;$D94))</f>
        <v>2250000</v>
      </c>
      <c r="R94" s="97" cm="1">
        <f t="array" aca="1" ref="R94" ca="1">MIN(_xlfn._xlws.FILTER(INDIRECT("'"&amp;A94&amp;"'!"&amp;"A20:A42"),INDIRECT("'"&amp;A94&amp;"'!"&amp;"A20:A42")&gt;=$D94))</f>
        <v>2500000</v>
      </c>
    </row>
    <row r="95" spans="1:18" x14ac:dyDescent="0.35">
      <c r="A95" s="97" t="s">
        <v>278</v>
      </c>
      <c r="B95" s="382" t="s">
        <v>173</v>
      </c>
      <c r="C95" s="383" t="s">
        <v>244</v>
      </c>
      <c r="D95" s="356">
        <v>500000</v>
      </c>
      <c r="E95" s="359">
        <f>F95/VAC_Optim_Scenario!$F$32</f>
        <v>13095.1080400832</v>
      </c>
      <c r="F95" s="356">
        <v>2958708.7105763983</v>
      </c>
      <c r="G95" s="362">
        <f t="shared" si="18"/>
        <v>5.9174174211527966</v>
      </c>
      <c r="H95" s="436">
        <f t="shared" si="19"/>
        <v>1.4881071773883213E-3</v>
      </c>
      <c r="I95" s="365">
        <f t="shared" si="20"/>
        <v>38.182197387721835</v>
      </c>
      <c r="J95" s="413">
        <f t="shared" ca="1" si="21"/>
        <v>2.1230601661533521</v>
      </c>
      <c r="Q95" s="97" cm="1">
        <f t="array" aca="1" ref="Q95" ca="1">MAX(_xlfn._xlws.FILTER(INDIRECT("'"&amp;A95&amp;"'!"&amp;"A20:A42"),INDIRECT("'"&amp;A95&amp;"'!"&amp;"A20:A42")&lt;$D95))</f>
        <v>415405.44738459925</v>
      </c>
      <c r="R95" s="97" cm="1">
        <f t="array" aca="1" ref="R95" ca="1">MIN(_xlfn._xlws.FILTER(INDIRECT("'"&amp;A95&amp;"'!"&amp;"A20:A42"),INDIRECT("'"&amp;A95&amp;"'!"&amp;"A20:A42")&gt;=$D95))</f>
        <v>519256.80923074903</v>
      </c>
    </row>
    <row r="96" spans="1:18" x14ac:dyDescent="0.35">
      <c r="A96" s="97" t="s">
        <v>285</v>
      </c>
      <c r="B96" s="382" t="s">
        <v>173</v>
      </c>
      <c r="C96" s="383" t="s">
        <v>246</v>
      </c>
      <c r="D96" s="356">
        <v>6463714</v>
      </c>
      <c r="E96" s="359">
        <f>F96/VAC_Optim_Scenario!$F$32</f>
        <v>149272.39229083114</v>
      </c>
      <c r="F96" s="356">
        <v>33726604.314190388</v>
      </c>
      <c r="G96" s="362">
        <f t="shared" si="18"/>
        <v>5.2178367288822471</v>
      </c>
      <c r="H96" s="436">
        <f t="shared" si="19"/>
        <v>1.6963076415557363E-2</v>
      </c>
      <c r="I96" s="365">
        <f t="shared" si="20"/>
        <v>43.301469888729216</v>
      </c>
      <c r="J96" s="413">
        <f ca="1">(VLOOKUP($Q96,INDIRECT("'"&amp;A96&amp;"'!"&amp;"A20:E42"),3,0)-VLOOKUP($R96,INDIRECT("'"&amp;A96&amp;"'!"&amp;"A20:E42"),3,0))/(Q96-R96)</f>
        <v>3.6898979193167833</v>
      </c>
      <c r="Q96" s="97" cm="1">
        <f t="array" aca="1" ref="Q96" ca="1">MAX(_xlfn._xlws.FILTER(INDIRECT("'"&amp;A96&amp;"'!"&amp;"A20:A42"),INDIRECT("'"&amp;A96&amp;"'!"&amp;"A20:A42")&lt;$D96))</f>
        <v>6000000</v>
      </c>
      <c r="R96" s="97" cm="1">
        <f t="array" aca="1" ref="R96" ca="1">MIN(_xlfn._xlws.FILTER(INDIRECT("'"&amp;A96&amp;"'!"&amp;"A20:A42"),INDIRECT("'"&amp;A96&amp;"'!"&amp;"A20:A42")&gt;=$D96))</f>
        <v>6500000</v>
      </c>
    </row>
    <row r="97" spans="1:18" x14ac:dyDescent="0.35">
      <c r="A97" s="97" t="s">
        <v>279</v>
      </c>
      <c r="B97" s="382" t="s">
        <v>173</v>
      </c>
      <c r="C97" s="383" t="s">
        <v>227</v>
      </c>
      <c r="D97" s="356">
        <v>3500000</v>
      </c>
      <c r="E97" s="359">
        <f>F97/VAC_Optim_Scenario!$F$32</f>
        <v>172806.84541229345</v>
      </c>
      <c r="F97" s="356">
        <v>39043978.652453579</v>
      </c>
      <c r="G97" s="362">
        <f t="shared" si="18"/>
        <v>11.155422472129594</v>
      </c>
      <c r="H97" s="436">
        <f t="shared" si="19"/>
        <v>1.9637494106404804E-2</v>
      </c>
      <c r="I97" s="365">
        <f t="shared" si="20"/>
        <v>20.253827281260065</v>
      </c>
      <c r="J97" s="413">
        <f ca="1">(VLOOKUP($Q97,INDIRECT("'"&amp;A97&amp;"'!"&amp;"A20:E100"),5,0)-VLOOKUP($R97,INDIRECT("'"&amp;A97&amp;"'!"&amp;"A20:E100"),5,0))/(Q97-R97)</f>
        <v>6.2493452356722443</v>
      </c>
      <c r="Q97" s="97" cm="1">
        <f t="array" aca="1" ref="Q97" ca="1">MAX(_xlfn._xlws.FILTER(INDIRECT("'"&amp;A97&amp;"'!"&amp;"A20:A100"),INDIRECT("'"&amp;A97&amp;"'!"&amp;"A20:A100")&lt;$D97))</f>
        <v>3427094.9409229401</v>
      </c>
      <c r="R97" s="97" cm="1">
        <f t="array" aca="1" ref="R97" ca="1">MIN(_xlfn._xlws.FILTER(INDIRECT("'"&amp;A97&amp;"'!"&amp;"A20:A100"),INDIRECT("'"&amp;A97&amp;"'!"&amp;"A20:A100")&gt;=$D97))</f>
        <v>3530946.30276909</v>
      </c>
    </row>
    <row r="98" spans="1:18" x14ac:dyDescent="0.35">
      <c r="A98" s="97" t="s">
        <v>281</v>
      </c>
      <c r="B98" s="382" t="s">
        <v>173</v>
      </c>
      <c r="C98" s="383" t="s">
        <v>228</v>
      </c>
      <c r="D98" s="356">
        <v>390000</v>
      </c>
      <c r="E98" s="359">
        <f>F98/VAC_Optim_Scenario!$F$32</f>
        <v>142490.56083211911</v>
      </c>
      <c r="F98" s="356">
        <v>32194317.314408991</v>
      </c>
      <c r="G98" s="362">
        <f t="shared" si="18"/>
        <v>82.54953157540767</v>
      </c>
      <c r="H98" s="436">
        <f t="shared" si="19"/>
        <v>1.6192399912648332E-2</v>
      </c>
      <c r="I98" s="365">
        <f t="shared" si="20"/>
        <v>2.7370234050765925</v>
      </c>
      <c r="J98" s="413">
        <f ca="1">(VLOOKUP($Q98,INDIRECT("'"&amp;A98&amp;"'!"&amp;"A20:E42"),3,0)-VLOOKUP($R98,INDIRECT("'"&amp;A98&amp;"'!"&amp;"A20:E42"),3,0))/(Q98-R98)</f>
        <v>59.771182942678408</v>
      </c>
      <c r="Q98" s="97" cm="1">
        <f t="array" aca="1" ref="Q98" ca="1">MAX(_xlfn._xlws.FILTER(INDIRECT("'"&amp;A98&amp;"'!"&amp;"A20:A42"),INDIRECT("'"&amp;A98&amp;"'!"&amp;"A20:A42")&lt;$D98))</f>
        <v>300000</v>
      </c>
      <c r="R98" s="97" cm="1">
        <f t="array" aca="1" ref="R98" ca="1">MIN(_xlfn._xlws.FILTER(INDIRECT("'"&amp;A98&amp;"'!"&amp;"A20:A42"),INDIRECT("'"&amp;A98&amp;"'!"&amp;"A20:A42")&gt;=$D98))</f>
        <v>400000</v>
      </c>
    </row>
    <row r="99" spans="1:18" x14ac:dyDescent="0.35">
      <c r="A99" s="97" t="s">
        <v>282</v>
      </c>
      <c r="B99" s="382" t="s">
        <v>173</v>
      </c>
      <c r="C99" s="383" t="s">
        <v>284</v>
      </c>
      <c r="D99" s="356">
        <v>2200000</v>
      </c>
      <c r="E99" s="359">
        <f>F99/VAC_Optim_Scenario!$F$32</f>
        <v>91114.039550668633</v>
      </c>
      <c r="F99" s="356">
        <v>20586306.096078072</v>
      </c>
      <c r="G99" s="362">
        <f t="shared" si="18"/>
        <v>9.3574118618536684</v>
      </c>
      <c r="H99" s="436">
        <f t="shared" si="19"/>
        <v>1.0354054033091574E-2</v>
      </c>
      <c r="I99" s="365">
        <f t="shared" si="20"/>
        <v>24.145565390903091</v>
      </c>
      <c r="J99" s="413">
        <f ca="1">(VLOOKUP($Q99,INDIRECT("'"&amp;A99&amp;"'!"&amp;"A20:E42"),3,0)-VLOOKUP($R99,INDIRECT("'"&amp;A99&amp;"'!"&amp;"A20:E42"),3,0))/(Q99-R99)</f>
        <v>5.7211105468156003</v>
      </c>
      <c r="Q99" s="97" cm="1">
        <f t="array" aca="1" ref="Q99" ca="1">MAX(_xlfn._xlws.FILTER(INDIRECT("'"&amp;A99&amp;"'!"&amp;"A20:A42"),INDIRECT("'"&amp;A99&amp;"'!"&amp;"A20:A42")&lt;$D99))</f>
        <v>2000000</v>
      </c>
      <c r="R99" s="97" cm="1">
        <f t="array" aca="1" ref="R99" ca="1">MIN(_xlfn._xlws.FILTER(INDIRECT("'"&amp;A99&amp;"'!"&amp;"A20:A42"),INDIRECT("'"&amp;A99&amp;"'!"&amp;"A20:A42")&gt;=$D99))</f>
        <v>2200000</v>
      </c>
    </row>
    <row r="100" spans="1:18" x14ac:dyDescent="0.35">
      <c r="A100" s="97" t="s">
        <v>283</v>
      </c>
      <c r="B100" s="382" t="s">
        <v>173</v>
      </c>
      <c r="C100" s="383" t="s">
        <v>187</v>
      </c>
      <c r="D100" s="356">
        <v>14861790</v>
      </c>
      <c r="E100" s="359">
        <f>F100/VAC_Optim_Scenario!$F$32</f>
        <v>271289.99209866516</v>
      </c>
      <c r="F100" s="356">
        <v>61295260.814772405</v>
      </c>
      <c r="G100" s="362">
        <f t="shared" si="18"/>
        <v>4.1243525049655796</v>
      </c>
      <c r="H100" s="436">
        <f t="shared" si="19"/>
        <v>3.0828961713024523E-2</v>
      </c>
      <c r="I100" s="365">
        <f t="shared" si="20"/>
        <v>54.78193237071175</v>
      </c>
      <c r="J100" s="413">
        <f ca="1">(VLOOKUP($Q100,INDIRECT("'"&amp;A100&amp;"'!"&amp;"A20:E42"),3,0)-VLOOKUP($R100,INDIRECT("'"&amp;A100&amp;"'!"&amp;"A20:E42"),3,0))/(Q100-R100)</f>
        <v>2.9163939951273141</v>
      </c>
      <c r="Q100" s="97" cm="1">
        <f t="array" aca="1" ref="Q100" ca="1">MAX(_xlfn._xlws.FILTER(INDIRECT("'"&amp;A100&amp;"'!"&amp;"A20:A42"),INDIRECT("'"&amp;A100&amp;"'!"&amp;"A20:A42")&lt;$D100))</f>
        <v>13750000</v>
      </c>
      <c r="R100" s="97" cm="1">
        <f t="array" aca="1" ref="R100" ca="1">MIN(_xlfn._xlws.FILTER(INDIRECT("'"&amp;A100&amp;"'!"&amp;"A20:A42"),INDIRECT("'"&amp;A100&amp;"'!"&amp;"A20:A42")&gt;=$D100))</f>
        <v>15000000</v>
      </c>
    </row>
    <row r="101" spans="1:18" ht="15.5" x14ac:dyDescent="0.35">
      <c r="B101" s="422" t="s">
        <v>154</v>
      </c>
      <c r="C101" s="423" t="s">
        <v>230</v>
      </c>
      <c r="D101" s="424">
        <v>39999999.985653713</v>
      </c>
      <c r="E101" s="425">
        <f>SUM(E92:E100)</f>
        <v>1323423.2751637709</v>
      </c>
      <c r="F101" s="424">
        <f>SUM(F92:F100)</f>
        <v>299014254.79050243</v>
      </c>
      <c r="G101" s="426">
        <f t="shared" si="18"/>
        <v>7.4753563724436507</v>
      </c>
      <c r="H101" s="427">
        <f t="shared" si="19"/>
        <v>0.15039170875610844</v>
      </c>
      <c r="I101" s="428">
        <f t="shared" si="20"/>
        <v>30.224645989170622</v>
      </c>
      <c r="J101" s="429"/>
    </row>
    <row r="102" spans="1:18" x14ac:dyDescent="0.35">
      <c r="G102" s="97">
        <f>F101/D101</f>
        <v>7.4753563724436507</v>
      </c>
    </row>
  </sheetData>
  <autoFilter ref="E16:F24" xr:uid="{380EE44D-258D-4367-AB3A-04116EB0896D}">
    <sortState xmlns:xlrd2="http://schemas.microsoft.com/office/spreadsheetml/2017/richdata2" ref="E17:F25">
      <sortCondition ref="F16:F24"/>
    </sortState>
  </autoFilter>
  <mergeCells count="6">
    <mergeCell ref="D90:I90"/>
    <mergeCell ref="D2:I2"/>
    <mergeCell ref="D30:I30"/>
    <mergeCell ref="D46:I46"/>
    <mergeCell ref="D61:I61"/>
    <mergeCell ref="D75:I75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G13 J6 J8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B7504-2173-4FB8-8086-11449C11E064}">
  <sheetPr>
    <tabColor theme="3" tint="0.79998168889431442"/>
    <pageSetUpPr autoPageBreaks="0"/>
  </sheetPr>
  <dimension ref="A1:AI56"/>
  <sheetViews>
    <sheetView showGridLines="0" topLeftCell="D34" zoomScale="75" zoomScaleNormal="75" workbookViewId="0">
      <selection activeCell="W40" sqref="W40"/>
    </sheetView>
  </sheetViews>
  <sheetFormatPr defaultColWidth="8.7265625" defaultRowHeight="14.5" x14ac:dyDescent="0.35"/>
  <cols>
    <col min="1" max="1" width="7.6328125" style="97" bestFit="1" customWidth="1"/>
    <col min="2" max="2" width="26.1796875" style="97" customWidth="1"/>
    <col min="3" max="3" width="13.08984375" style="97" bestFit="1" customWidth="1"/>
    <col min="4" max="4" width="13" style="97" customWidth="1"/>
    <col min="5" max="5" width="0.81640625" style="97" customWidth="1"/>
    <col min="6" max="6" width="11.7265625" style="97" customWidth="1"/>
    <col min="7" max="7" width="11.453125" style="97" customWidth="1"/>
    <col min="8" max="8" width="13.1796875" style="97" customWidth="1"/>
    <col min="9" max="9" width="0.81640625" style="97" customWidth="1"/>
    <col min="10" max="10" width="11.7265625" style="97" customWidth="1"/>
    <col min="11" max="11" width="11.453125" style="97" customWidth="1"/>
    <col min="12" max="12" width="13.1796875" style="97" customWidth="1"/>
    <col min="13" max="13" width="1" style="97" customWidth="1"/>
    <col min="14" max="14" width="11.7265625" style="97" customWidth="1"/>
    <col min="15" max="15" width="11.453125" style="97" customWidth="1"/>
    <col min="16" max="16" width="13.1796875" style="97" customWidth="1"/>
    <col min="17" max="17" width="1" style="262" customWidth="1"/>
    <col min="18" max="18" width="11.7265625" style="97" customWidth="1"/>
    <col min="19" max="19" width="11.453125" style="97" customWidth="1"/>
    <col min="20" max="20" width="19.26953125" style="97" customWidth="1"/>
    <col min="21" max="21" width="0.7265625" style="97" customWidth="1"/>
    <col min="22" max="22" width="11.7265625" style="97" customWidth="1"/>
    <col min="23" max="23" width="11.453125" style="97" customWidth="1"/>
    <col min="24" max="24" width="19.26953125" style="97" customWidth="1"/>
    <col min="25" max="25" width="0.81640625" style="97" customWidth="1"/>
    <col min="26" max="26" width="12.7265625" style="97" hidden="1" customWidth="1"/>
    <col min="27" max="27" width="12.54296875" style="97" hidden="1" customWidth="1"/>
    <col min="28" max="28" width="13.81640625" style="97" hidden="1" customWidth="1"/>
    <col min="29" max="29" width="0.81640625" style="97" hidden="1" customWidth="1"/>
    <col min="30" max="30" width="0.81640625" style="97" customWidth="1"/>
    <col min="31" max="31" width="12" style="97" customWidth="1"/>
    <col min="32" max="32" width="17.81640625" style="97" bestFit="1" customWidth="1"/>
    <col min="33" max="33" width="12.54296875" style="97" bestFit="1" customWidth="1"/>
    <col min="34" max="34" width="13.81640625" style="97" bestFit="1" customWidth="1"/>
    <col min="35" max="16384" width="8.7265625" style="97"/>
  </cols>
  <sheetData>
    <row r="1" spans="1:35" x14ac:dyDescent="0.35">
      <c r="H1" s="441"/>
    </row>
    <row r="3" spans="1:35" x14ac:dyDescent="0.35">
      <c r="B3" s="194">
        <f>SUM(C9:C13)</f>
        <v>11817798</v>
      </c>
      <c r="C3" s="194">
        <f>SUM(D9:D13)</f>
        <v>118836392.90779939</v>
      </c>
    </row>
    <row r="4" spans="1:35" x14ac:dyDescent="0.35">
      <c r="F4" s="457" t="s">
        <v>308</v>
      </c>
      <c r="G4" s="457"/>
      <c r="H4" s="457"/>
      <c r="I4" s="457"/>
      <c r="J4" s="457"/>
      <c r="K4" s="457"/>
      <c r="L4" s="457"/>
      <c r="M4" s="457"/>
      <c r="N4" s="457"/>
      <c r="O4" s="457"/>
      <c r="P4" s="457"/>
      <c r="Q4" s="457"/>
      <c r="R4" s="457"/>
      <c r="S4" s="457"/>
      <c r="T4" s="457"/>
      <c r="U4" s="457"/>
      <c r="V4" s="457"/>
      <c r="W4" s="457"/>
      <c r="X4" s="457"/>
      <c r="Y4" s="457"/>
      <c r="Z4" s="457"/>
      <c r="AA4" s="457"/>
      <c r="AB4" s="457"/>
    </row>
    <row r="5" spans="1:35" x14ac:dyDescent="0.35">
      <c r="F5" s="454" t="s">
        <v>302</v>
      </c>
      <c r="G5" s="455"/>
      <c r="H5" s="456"/>
      <c r="I5" s="195"/>
      <c r="J5" s="454" t="s">
        <v>301</v>
      </c>
      <c r="K5" s="455"/>
      <c r="L5" s="456"/>
      <c r="M5" s="195"/>
      <c r="N5" s="454" t="s">
        <v>300</v>
      </c>
      <c r="O5" s="455"/>
      <c r="P5" s="456"/>
      <c r="Q5" s="555"/>
      <c r="R5" s="454" t="s">
        <v>317</v>
      </c>
      <c r="S5" s="455"/>
      <c r="T5" s="456"/>
      <c r="U5" s="555"/>
      <c r="V5" s="454" t="s">
        <v>316</v>
      </c>
      <c r="W5" s="455"/>
      <c r="X5" s="456"/>
      <c r="Y5" s="195"/>
      <c r="Z5" s="454" t="s">
        <v>261</v>
      </c>
      <c r="AA5" s="455"/>
      <c r="AB5" s="456"/>
      <c r="AD5" s="195"/>
      <c r="AF5" s="97" t="s">
        <v>247</v>
      </c>
    </row>
    <row r="6" spans="1:35" ht="38.15" customHeight="1" x14ac:dyDescent="0.35">
      <c r="B6" s="196" t="s">
        <v>211</v>
      </c>
      <c r="C6" s="97" t="s">
        <v>212</v>
      </c>
      <c r="D6" s="197" t="s">
        <v>213</v>
      </c>
      <c r="E6" s="197"/>
      <c r="F6" s="197" t="s">
        <v>221</v>
      </c>
      <c r="G6" s="197" t="s">
        <v>214</v>
      </c>
      <c r="H6" s="197" t="s">
        <v>215</v>
      </c>
      <c r="I6" s="197"/>
      <c r="J6" s="197" t="s">
        <v>221</v>
      </c>
      <c r="K6" s="197" t="s">
        <v>214</v>
      </c>
      <c r="L6" s="197" t="s">
        <v>215</v>
      </c>
      <c r="M6" s="197"/>
      <c r="N6" s="197" t="s">
        <v>221</v>
      </c>
      <c r="O6" s="197" t="s">
        <v>214</v>
      </c>
      <c r="P6" s="197" t="s">
        <v>215</v>
      </c>
      <c r="Q6" s="557"/>
      <c r="R6" s="197" t="s">
        <v>221</v>
      </c>
      <c r="S6" s="197" t="s">
        <v>214</v>
      </c>
      <c r="T6" s="197" t="s">
        <v>215</v>
      </c>
      <c r="U6" s="197"/>
      <c r="V6" s="197" t="s">
        <v>221</v>
      </c>
      <c r="W6" s="197" t="s">
        <v>214</v>
      </c>
      <c r="X6" s="197" t="s">
        <v>215</v>
      </c>
      <c r="Z6" s="197" t="s">
        <v>221</v>
      </c>
      <c r="AA6" s="197" t="s">
        <v>214</v>
      </c>
      <c r="AB6" s="197" t="s">
        <v>215</v>
      </c>
      <c r="AF6" s="197" t="s">
        <v>221</v>
      </c>
      <c r="AG6" s="197" t="s">
        <v>214</v>
      </c>
      <c r="AH6" s="197" t="s">
        <v>215</v>
      </c>
    </row>
    <row r="7" spans="1:35" x14ac:dyDescent="0.35">
      <c r="A7" s="194"/>
      <c r="B7" s="198" t="str">
        <f>VAC_Optim_Scenario!B17</f>
        <v>HCC In Office</v>
      </c>
      <c r="C7" s="199">
        <f>VAC_Optim_Scenario!E17</f>
        <v>1000000</v>
      </c>
      <c r="D7" s="199">
        <f>VAC_Optim_Scenario!G35</f>
        <v>5040789.0644048415</v>
      </c>
      <c r="E7" s="199"/>
      <c r="F7" s="199">
        <v>1000000</v>
      </c>
      <c r="G7" s="191">
        <v>0</v>
      </c>
      <c r="H7" s="199">
        <v>5040789.0644048415</v>
      </c>
      <c r="I7" s="199"/>
      <c r="J7" s="199">
        <v>1172914.3259099026</v>
      </c>
      <c r="K7" s="191">
        <v>0.17291432590990258</v>
      </c>
      <c r="L7" s="199">
        <v>5723491.5044572558</v>
      </c>
      <c r="M7" s="199"/>
      <c r="N7" s="199">
        <v>1654588.7123287965</v>
      </c>
      <c r="O7" s="191">
        <v>0.65458871232879656</v>
      </c>
      <c r="P7" s="199">
        <v>7390785.6102872528</v>
      </c>
      <c r="Q7" s="558"/>
      <c r="R7" s="199">
        <v>1394329.1308148694</v>
      </c>
      <c r="S7" s="191">
        <v>0.39432913081486942</v>
      </c>
      <c r="T7" s="199">
        <v>6530520.1774925189</v>
      </c>
      <c r="U7" s="199"/>
      <c r="V7" s="199">
        <v>4659462.9908394488</v>
      </c>
      <c r="W7" s="191">
        <v>3.6594629908394487</v>
      </c>
      <c r="X7" s="199">
        <v>12819157.720395995</v>
      </c>
      <c r="Z7" s="199">
        <v>1228705.0999999999</v>
      </c>
      <c r="AA7" s="191">
        <v>-0.3000000000000001</v>
      </c>
      <c r="AB7" s="199">
        <v>5933732.8283146154</v>
      </c>
      <c r="AF7" s="199">
        <f>VAC_Optim_Scenario!$H35</f>
        <v>1394329.1308148694</v>
      </c>
      <c r="AG7" s="191">
        <f>(AF7-$C7)/$C7</f>
        <v>0.39432913081486942</v>
      </c>
      <c r="AH7" s="199">
        <f>VAC_Optim_Scenario!$J35</f>
        <v>6530520.1774925189</v>
      </c>
      <c r="AI7" s="194"/>
    </row>
    <row r="8" spans="1:35" x14ac:dyDescent="0.35">
      <c r="A8" s="194"/>
      <c r="B8" s="198" t="str">
        <f>VAC_Optim_Scenario!B18</f>
        <v>HCP MCM</v>
      </c>
      <c r="C8" s="199">
        <f>VAC_Optim_Scenario!E18</f>
        <v>7775778</v>
      </c>
      <c r="D8" s="199">
        <f>VAC_Optim_Scenario!G36</f>
        <v>80499957.11832428</v>
      </c>
      <c r="E8" s="199"/>
      <c r="F8" s="199">
        <v>8003662.6738821417</v>
      </c>
      <c r="G8" s="191">
        <v>2.9306993317214265E-2</v>
      </c>
      <c r="H8" s="199">
        <v>81804556.805221289</v>
      </c>
      <c r="I8" s="199"/>
      <c r="J8" s="199">
        <v>10781079.800402544</v>
      </c>
      <c r="K8" s="191">
        <v>0.38649531923397817</v>
      </c>
      <c r="L8" s="199">
        <v>94762614.331378147</v>
      </c>
      <c r="M8" s="199"/>
      <c r="N8" s="199">
        <v>12000000</v>
      </c>
      <c r="O8" s="191">
        <v>0.54325393549044221</v>
      </c>
      <c r="P8" s="199">
        <v>99028830.679674461</v>
      </c>
      <c r="Q8" s="558"/>
      <c r="R8" s="199">
        <v>11415499.642068511</v>
      </c>
      <c r="S8" s="191">
        <v>0.46808456235099699</v>
      </c>
      <c r="T8" s="199">
        <v>97075024.379153192</v>
      </c>
      <c r="U8" s="199"/>
      <c r="V8" s="199">
        <v>12000000</v>
      </c>
      <c r="W8" s="191">
        <v>0.54325393549044221</v>
      </c>
      <c r="X8" s="199">
        <v>99028830.679674461</v>
      </c>
      <c r="Z8" s="199">
        <v>5764800.4637740301</v>
      </c>
      <c r="AA8" s="191">
        <v>7.4445445258517609E-2</v>
      </c>
      <c r="AB8" s="199">
        <v>67005931.278226942</v>
      </c>
      <c r="AF8" s="199">
        <f>VAC_Optim_Scenario!$H36</f>
        <v>11415499.642068511</v>
      </c>
      <c r="AG8" s="191">
        <f t="shared" ref="AG8:AG15" si="0">(AF8-$C8)/$C8</f>
        <v>0.46808456235099699</v>
      </c>
      <c r="AH8" s="199">
        <f>VAC_Optim_Scenario!$J36</f>
        <v>97075024.379153192</v>
      </c>
      <c r="AI8" s="194"/>
    </row>
    <row r="9" spans="1:35" x14ac:dyDescent="0.35">
      <c r="A9" s="194"/>
      <c r="B9" s="198" t="str">
        <f>VAC_Optim_Scenario!B19</f>
        <v>HCC Social</v>
      </c>
      <c r="C9" s="199">
        <f>VAC_Optim_Scenario!E19</f>
        <v>1840000</v>
      </c>
      <c r="D9" s="199">
        <f>VAC_Optim_Scenario!G37</f>
        <v>15925915.704314221</v>
      </c>
      <c r="E9" s="199"/>
      <c r="F9" s="199">
        <v>1599500</v>
      </c>
      <c r="G9" s="191">
        <v>-0.13070652173913044</v>
      </c>
      <c r="H9" s="199">
        <v>14642130.239828272</v>
      </c>
      <c r="I9" s="199"/>
      <c r="J9" s="199">
        <v>3987918.0972265243</v>
      </c>
      <c r="K9" s="191">
        <v>1.167346791970937</v>
      </c>
      <c r="L9" s="199">
        <v>25331532.071219355</v>
      </c>
      <c r="M9" s="199"/>
      <c r="N9" s="199">
        <v>6500000</v>
      </c>
      <c r="O9" s="191">
        <v>2.5326086956521738</v>
      </c>
      <c r="P9" s="199">
        <v>33959534.839013599</v>
      </c>
      <c r="Q9" s="558"/>
      <c r="R9" s="199">
        <v>2576000</v>
      </c>
      <c r="S9" s="191">
        <v>0.4</v>
      </c>
      <c r="T9" s="199">
        <v>19488626.574727457</v>
      </c>
      <c r="U9" s="199"/>
      <c r="V9" s="199">
        <v>2576000</v>
      </c>
      <c r="W9" s="191">
        <v>0.4</v>
      </c>
      <c r="X9" s="199">
        <v>19488626.574727457</v>
      </c>
      <c r="Z9" s="199">
        <v>1311099.9999999998</v>
      </c>
      <c r="AA9" s="191">
        <v>-0.3000000000000001</v>
      </c>
      <c r="AB9" s="199">
        <v>12995566.302066876</v>
      </c>
      <c r="AF9" s="199">
        <f>VAC_Optim_Scenario!$H37</f>
        <v>2576000</v>
      </c>
      <c r="AG9" s="191">
        <f t="shared" si="0"/>
        <v>0.4</v>
      </c>
      <c r="AH9" s="199">
        <f>VAC_Optim_Scenario!$J37</f>
        <v>19488626.574727457</v>
      </c>
      <c r="AI9" s="194"/>
    </row>
    <row r="10" spans="1:35" x14ac:dyDescent="0.35">
      <c r="A10" s="194"/>
      <c r="B10" s="198" t="str">
        <f>VAC_Optim_Scenario!B20</f>
        <v>HCC Online Video</v>
      </c>
      <c r="C10" s="199">
        <f>VAC_Optim_Scenario!E20</f>
        <v>1220000</v>
      </c>
      <c r="D10" s="199">
        <f>VAC_Optim_Scenario!G38</f>
        <v>3394246.7935979273</v>
      </c>
      <c r="E10" s="199"/>
      <c r="F10" s="199">
        <v>1000000</v>
      </c>
      <c r="G10" s="191">
        <v>-0.18032786885245902</v>
      </c>
      <c r="H10" s="199">
        <v>3357832.8692201264</v>
      </c>
      <c r="I10" s="199"/>
      <c r="J10" s="199">
        <v>1000000</v>
      </c>
      <c r="K10" s="191">
        <v>-0.18032786885245902</v>
      </c>
      <c r="L10" s="199">
        <v>3357832.8692201264</v>
      </c>
      <c r="M10" s="199"/>
      <c r="N10" s="199">
        <v>999999.99999999988</v>
      </c>
      <c r="O10" s="191">
        <v>-0.18032786885245911</v>
      </c>
      <c r="P10" s="199">
        <v>3357832.8692201264</v>
      </c>
      <c r="Q10" s="558"/>
      <c r="R10" s="199">
        <v>1000000</v>
      </c>
      <c r="S10" s="191">
        <v>-0.18032786885245902</v>
      </c>
      <c r="T10" s="199">
        <v>3357832.8692201264</v>
      </c>
      <c r="U10" s="199"/>
      <c r="V10" s="199">
        <v>1000000</v>
      </c>
      <c r="W10" s="191">
        <v>-0.18032786885245902</v>
      </c>
      <c r="X10" s="199">
        <v>3357832.8692201264</v>
      </c>
      <c r="Z10" s="199">
        <v>144326.36168477585</v>
      </c>
      <c r="AA10" s="191">
        <v>-0.16611443624566133</v>
      </c>
      <c r="AB10" s="199">
        <v>1501233.1818446149</v>
      </c>
      <c r="AF10" s="199">
        <f>VAC_Optim_Scenario!$H38</f>
        <v>1000000</v>
      </c>
      <c r="AG10" s="191">
        <f t="shared" si="0"/>
        <v>-0.18032786885245902</v>
      </c>
      <c r="AH10" s="199">
        <f>VAC_Optim_Scenario!$J38</f>
        <v>3357832.8692201264</v>
      </c>
      <c r="AI10" s="194"/>
    </row>
    <row r="11" spans="1:35" x14ac:dyDescent="0.35">
      <c r="A11" s="194"/>
      <c r="B11" s="198" t="str">
        <f>VAC_Optim_Scenario!B21</f>
        <v>HCC Streaming Video</v>
      </c>
      <c r="C11" s="199">
        <f>VAC_Optim_Scenario!E21</f>
        <v>4817798</v>
      </c>
      <c r="D11" s="199">
        <f>VAC_Optim_Scenario!G39</f>
        <v>27455486.015820313</v>
      </c>
      <c r="E11" s="199"/>
      <c r="F11" s="199">
        <v>4817798</v>
      </c>
      <c r="G11" s="191">
        <v>0</v>
      </c>
      <c r="H11" s="199">
        <v>27455486.015820313</v>
      </c>
      <c r="I11" s="199"/>
      <c r="J11" s="199">
        <v>5609041.4509816822</v>
      </c>
      <c r="K11" s="191">
        <v>0.16423342177934447</v>
      </c>
      <c r="L11" s="199">
        <v>30539166.495960608</v>
      </c>
      <c r="M11" s="199"/>
      <c r="N11" s="199">
        <v>10772356.891532868</v>
      </c>
      <c r="O11" s="191">
        <v>1.2359503016799103</v>
      </c>
      <c r="P11" s="199">
        <v>48222823.851429246</v>
      </c>
      <c r="Q11" s="558"/>
      <c r="R11" s="199">
        <v>7570249.203999565</v>
      </c>
      <c r="S11" s="191">
        <v>0.57130896812186083</v>
      </c>
      <c r="T11" s="199">
        <v>37671442.332654163</v>
      </c>
      <c r="U11" s="199"/>
      <c r="V11" s="199">
        <v>12070113</v>
      </c>
      <c r="W11" s="191">
        <v>1.5053173669796867</v>
      </c>
      <c r="X11" s="199">
        <v>52219542.21615728</v>
      </c>
      <c r="Z11" s="199">
        <v>4326087.5</v>
      </c>
      <c r="AA11" s="191">
        <v>-0.3</v>
      </c>
      <c r="AB11" s="199">
        <v>25462546.467915077</v>
      </c>
      <c r="AF11" s="199">
        <f>VAC_Optim_Scenario!$H39</f>
        <v>7570249.203999565</v>
      </c>
      <c r="AG11" s="191">
        <f t="shared" si="0"/>
        <v>0.57130896812186083</v>
      </c>
      <c r="AH11" s="199">
        <f>VAC_Optim_Scenario!$J39</f>
        <v>37671442.332654163</v>
      </c>
      <c r="AI11" s="194"/>
    </row>
    <row r="12" spans="1:35" x14ac:dyDescent="0.35">
      <c r="A12" s="194"/>
      <c r="B12" s="198" t="str">
        <f>VAC_Optim_Scenario!B22</f>
        <v>HCC Display</v>
      </c>
      <c r="C12" s="199">
        <f>VAC_Optim_Scenario!E22</f>
        <v>3540000</v>
      </c>
      <c r="D12" s="199">
        <f>VAC_Optim_Scenario!G40</f>
        <v>39290778.509746693</v>
      </c>
      <c r="E12" s="199"/>
      <c r="F12" s="199">
        <v>3811839.4251255072</v>
      </c>
      <c r="G12" s="191">
        <v>7.6790798058052875E-2</v>
      </c>
      <c r="H12" s="199">
        <v>40889059.893896289</v>
      </c>
      <c r="I12" s="199"/>
      <c r="J12" s="199">
        <v>5062622.3862681137</v>
      </c>
      <c r="K12" s="191">
        <v>0.4301193181548344</v>
      </c>
      <c r="L12" s="199">
        <v>46723198.890398756</v>
      </c>
      <c r="M12" s="199"/>
      <c r="N12" s="199">
        <v>5686630.4364398532</v>
      </c>
      <c r="O12" s="191">
        <v>0.6063927786553257</v>
      </c>
      <c r="P12" s="199">
        <v>48883193.950172655</v>
      </c>
      <c r="Q12" s="558"/>
      <c r="R12" s="199">
        <v>5349497.9439856345</v>
      </c>
      <c r="S12" s="191">
        <v>0.51115761129537696</v>
      </c>
      <c r="T12" s="199">
        <v>47768827.174016483</v>
      </c>
      <c r="U12" s="199"/>
      <c r="V12" s="199">
        <v>7000000</v>
      </c>
      <c r="W12" s="191">
        <v>0.97740112994350281</v>
      </c>
      <c r="X12" s="199">
        <v>52254717.406990029</v>
      </c>
      <c r="Z12" s="199">
        <v>2142864.5810000002</v>
      </c>
      <c r="AA12" s="191">
        <v>0.30000000000000004</v>
      </c>
      <c r="AB12" s="199">
        <v>28569508.760968704</v>
      </c>
      <c r="AF12" s="199">
        <f>VAC_Optim_Scenario!$H40</f>
        <v>5349497.9439856345</v>
      </c>
      <c r="AG12" s="191">
        <f t="shared" si="0"/>
        <v>0.51115761129537696</v>
      </c>
      <c r="AH12" s="199">
        <f>VAC_Optim_Scenario!$J40</f>
        <v>47768827.174016483</v>
      </c>
      <c r="AI12" s="194"/>
    </row>
    <row r="13" spans="1:35" x14ac:dyDescent="0.35">
      <c r="A13" s="194"/>
      <c r="B13" s="198" t="str">
        <f>VAC_Optim_Scenario!B23</f>
        <v>HCC Paid Search</v>
      </c>
      <c r="C13" s="199">
        <f>VAC_Optim_Scenario!E23</f>
        <v>400000</v>
      </c>
      <c r="D13" s="199">
        <f>VAC_Optim_Scenario!G41</f>
        <v>32769965.884320233</v>
      </c>
      <c r="E13" s="199"/>
      <c r="F13" s="199">
        <v>400000</v>
      </c>
      <c r="G13" s="191">
        <v>0</v>
      </c>
      <c r="H13" s="199">
        <v>32769965.884320233</v>
      </c>
      <c r="I13" s="199"/>
      <c r="J13" s="199">
        <v>400000</v>
      </c>
      <c r="K13" s="191">
        <v>0</v>
      </c>
      <c r="L13" s="199">
        <v>32769965.884320233</v>
      </c>
      <c r="M13" s="199"/>
      <c r="N13" s="199">
        <v>400000</v>
      </c>
      <c r="O13" s="191">
        <v>0</v>
      </c>
      <c r="P13" s="199">
        <v>32769965.884320233</v>
      </c>
      <c r="Q13" s="558"/>
      <c r="R13" s="199">
        <v>400000</v>
      </c>
      <c r="S13" s="191">
        <v>0</v>
      </c>
      <c r="T13" s="199">
        <v>32769965.884320233</v>
      </c>
      <c r="U13" s="199"/>
      <c r="V13" s="199">
        <v>400000</v>
      </c>
      <c r="W13" s="191">
        <v>0</v>
      </c>
      <c r="X13" s="199">
        <v>32769965.884320233</v>
      </c>
      <c r="Z13" s="199">
        <v>448119.10000000003</v>
      </c>
      <c r="AA13" s="191">
        <v>0.3000000000000001</v>
      </c>
      <c r="AB13" s="199">
        <v>35482108.0336392</v>
      </c>
      <c r="AF13" s="199">
        <f>VAC_Optim_Scenario!$H41</f>
        <v>400000</v>
      </c>
      <c r="AG13" s="191">
        <f t="shared" si="0"/>
        <v>0</v>
      </c>
      <c r="AH13" s="199">
        <f>VAC_Optim_Scenario!$J41</f>
        <v>32769965.884320233</v>
      </c>
      <c r="AI13" s="194"/>
    </row>
    <row r="14" spans="1:35" x14ac:dyDescent="0.35">
      <c r="A14" s="194"/>
      <c r="B14" s="198" t="str">
        <f>VAC_Optim_Scenario!B24</f>
        <v>HCC Audio</v>
      </c>
      <c r="C14" s="199">
        <f>VAC_Optim_Scenario!E24</f>
        <v>2220000</v>
      </c>
      <c r="D14" s="199">
        <f>VAC_Optim_Scenario!G42</f>
        <v>20698391.738152172</v>
      </c>
      <c r="E14" s="199"/>
      <c r="F14" s="199">
        <v>2180775.9009923507</v>
      </c>
      <c r="G14" s="191">
        <v>-1.7668513066508715E-2</v>
      </c>
      <c r="H14" s="199">
        <v>20478184.007513106</v>
      </c>
      <c r="I14" s="199"/>
      <c r="J14" s="199">
        <v>4800000</v>
      </c>
      <c r="K14" s="191">
        <v>1.1621621621621621</v>
      </c>
      <c r="L14" s="199">
        <v>32875287.531392161</v>
      </c>
      <c r="M14" s="199"/>
      <c r="N14" s="199">
        <v>4800000</v>
      </c>
      <c r="O14" s="191">
        <v>1.1621621621621621</v>
      </c>
      <c r="P14" s="199">
        <v>32875287.531392161</v>
      </c>
      <c r="Q14" s="558"/>
      <c r="R14" s="199">
        <v>3108000</v>
      </c>
      <c r="S14" s="191">
        <v>0.4</v>
      </c>
      <c r="T14" s="199">
        <v>25328730.527752202</v>
      </c>
      <c r="U14" s="199"/>
      <c r="V14" s="199">
        <v>3108000</v>
      </c>
      <c r="W14" s="191">
        <v>0.4</v>
      </c>
      <c r="X14" s="199">
        <v>25328730.527752202</v>
      </c>
      <c r="Z14" s="199">
        <v>1005933.8870000001</v>
      </c>
      <c r="AA14" s="191">
        <v>-0.29999999999999988</v>
      </c>
      <c r="AB14" s="199">
        <v>12872606.114547707</v>
      </c>
      <c r="AF14" s="199">
        <f>VAC_Optim_Scenario!$H42</f>
        <v>3108000</v>
      </c>
      <c r="AG14" s="191">
        <f t="shared" si="0"/>
        <v>0.4</v>
      </c>
      <c r="AH14" s="199">
        <f>VAC_Optim_Scenario!$J42</f>
        <v>25328730.527752202</v>
      </c>
      <c r="AI14" s="194"/>
    </row>
    <row r="15" spans="1:35" x14ac:dyDescent="0.35">
      <c r="A15" s="194"/>
      <c r="B15" s="198" t="str">
        <f>VAC_Optim_Scenario!B25</f>
        <v>HCC Linear TV</v>
      </c>
      <c r="C15" s="199">
        <f>VAC_Optim_Scenario!E25</f>
        <v>16888801</v>
      </c>
      <c r="D15" s="199">
        <f>VAC_Optim_Scenario!G43</f>
        <v>67034177.652868718</v>
      </c>
      <c r="E15" s="199"/>
      <c r="F15" s="199">
        <v>16888801</v>
      </c>
      <c r="G15" s="191">
        <v>0</v>
      </c>
      <c r="H15" s="199">
        <v>67034177.652868718</v>
      </c>
      <c r="I15" s="199"/>
      <c r="J15" s="199">
        <v>16888801</v>
      </c>
      <c r="K15" s="191">
        <v>0</v>
      </c>
      <c r="L15" s="199">
        <v>67034177.652868718</v>
      </c>
      <c r="M15" s="199"/>
      <c r="N15" s="199">
        <v>16888801</v>
      </c>
      <c r="O15" s="191">
        <v>0</v>
      </c>
      <c r="P15" s="199">
        <v>67034177.652868718</v>
      </c>
      <c r="Q15" s="558"/>
      <c r="R15" s="199">
        <v>16888801</v>
      </c>
      <c r="S15" s="191">
        <v>0</v>
      </c>
      <c r="T15" s="199">
        <v>67034177.652868718</v>
      </c>
      <c r="U15" s="199"/>
      <c r="V15" s="199">
        <v>16888801</v>
      </c>
      <c r="W15" s="191">
        <v>0</v>
      </c>
      <c r="X15" s="199">
        <v>67034177.652868718</v>
      </c>
      <c r="Z15" s="199">
        <v>9452467.4929999989</v>
      </c>
      <c r="AA15" s="191">
        <v>-0.3000000000000001</v>
      </c>
      <c r="AB15" s="199">
        <v>44653833.41155564</v>
      </c>
      <c r="AF15" s="199">
        <f>VAC_Optim_Scenario!$H43</f>
        <v>16888801</v>
      </c>
      <c r="AG15" s="191">
        <f t="shared" si="0"/>
        <v>0</v>
      </c>
      <c r="AH15" s="199">
        <f>VAC_Optim_Scenario!$J43</f>
        <v>67034177.652868718</v>
      </c>
      <c r="AI15" s="194"/>
    </row>
    <row r="16" spans="1:35" ht="34.4" customHeight="1" x14ac:dyDescent="0.35">
      <c r="B16" s="201" t="s">
        <v>217</v>
      </c>
      <c r="C16" s="202">
        <f>SUM(C7:C15)</f>
        <v>39702377</v>
      </c>
      <c r="D16" s="202">
        <f>SUM(D7:D15)</f>
        <v>292109708.48154938</v>
      </c>
      <c r="E16" s="193"/>
      <c r="F16" s="202">
        <v>39702377</v>
      </c>
      <c r="G16" s="203">
        <v>0</v>
      </c>
      <c r="H16" s="202">
        <v>293472182.43309319</v>
      </c>
      <c r="I16" s="193"/>
      <c r="J16" s="202">
        <v>49702377.060788766</v>
      </c>
      <c r="K16" s="203">
        <v>0.25187408957374935</v>
      </c>
      <c r="L16" s="202">
        <v>339117267.23121536</v>
      </c>
      <c r="M16" s="193"/>
      <c r="N16" s="202">
        <v>59702377.040301517</v>
      </c>
      <c r="O16" s="203">
        <v>0.50374817710036646</v>
      </c>
      <c r="P16" s="202">
        <v>373522432.86837852</v>
      </c>
      <c r="Q16" s="559"/>
      <c r="R16" s="202">
        <v>49702376.920868576</v>
      </c>
      <c r="S16" s="203">
        <v>0.25187408604952233</v>
      </c>
      <c r="T16" s="202">
        <v>337025147.57220507</v>
      </c>
      <c r="U16" s="202"/>
      <c r="V16" s="202">
        <v>59702376.990839452</v>
      </c>
      <c r="W16" s="203">
        <v>0.50374817585454523</v>
      </c>
      <c r="X16" s="202">
        <v>364301581.53210652</v>
      </c>
      <c r="Y16" s="193"/>
      <c r="Z16" s="202">
        <f>SUM(Z7:Z15)</f>
        <v>25824404.486458804</v>
      </c>
      <c r="AA16" s="203">
        <f>(Z16-$C$16)/$C$16</f>
        <v>-0.34955016707289832</v>
      </c>
      <c r="AB16" s="202">
        <f>SUM(AB7:AB15)</f>
        <v>234477066.37907937</v>
      </c>
      <c r="AC16" s="193"/>
      <c r="AD16" s="193"/>
      <c r="AF16" s="202">
        <f>SUM(AF7:AF15)</f>
        <v>49702376.920868576</v>
      </c>
      <c r="AG16" s="203">
        <f>(AF16-$C$16)/$C$16</f>
        <v>0.25187408604952233</v>
      </c>
      <c r="AH16" s="202">
        <f>SUM(AH7:AH15)</f>
        <v>337025147.57220507</v>
      </c>
    </row>
    <row r="17" spans="1:32" x14ac:dyDescent="0.35">
      <c r="D17" s="97">
        <f>D16/C16</f>
        <v>7.3574866432191044</v>
      </c>
    </row>
    <row r="18" spans="1:32" x14ac:dyDescent="0.35">
      <c r="N18" s="194"/>
      <c r="R18" s="194"/>
      <c r="V18" s="194"/>
    </row>
    <row r="19" spans="1:32" ht="15" customHeight="1" x14ac:dyDescent="0.35">
      <c r="B19" s="386"/>
      <c r="C19" s="386"/>
      <c r="D19" s="386"/>
      <c r="E19" s="386"/>
      <c r="F19" s="479" t="str">
        <f>F4</f>
        <v>Optimal channel spend allowed to vary based on custom limits  for 2024 channel spend</v>
      </c>
      <c r="G19" s="480"/>
      <c r="H19" s="480"/>
      <c r="I19" s="480"/>
      <c r="J19" s="480"/>
      <c r="K19" s="480"/>
      <c r="L19" s="480"/>
      <c r="M19" s="480"/>
      <c r="N19" s="480"/>
      <c r="O19" s="480"/>
      <c r="P19" s="480"/>
      <c r="Q19" s="480"/>
      <c r="R19" s="480"/>
      <c r="S19" s="480"/>
      <c r="T19" s="480"/>
      <c r="U19" s="480"/>
      <c r="V19" s="480"/>
      <c r="W19" s="480"/>
      <c r="X19" s="480"/>
      <c r="Y19" s="480"/>
      <c r="Z19" s="480"/>
      <c r="AA19" s="480"/>
      <c r="AB19" s="480"/>
      <c r="AC19" s="480"/>
      <c r="AD19"/>
      <c r="AF19" s="371"/>
    </row>
    <row r="20" spans="1:32" ht="30.4" customHeight="1" x14ac:dyDescent="0.35">
      <c r="B20" s="386"/>
      <c r="C20" s="474" t="s">
        <v>303</v>
      </c>
      <c r="D20" s="475"/>
      <c r="E20" s="372"/>
      <c r="F20" s="476" t="str">
        <f>F5</f>
        <v>Current Optimal</v>
      </c>
      <c r="G20" s="477"/>
      <c r="H20" s="478"/>
      <c r="I20" s="387"/>
      <c r="J20" s="476" t="str">
        <f>J5</f>
        <v>10M increase In spend (50M)</v>
      </c>
      <c r="K20" s="477"/>
      <c r="L20" s="478"/>
      <c r="M20" s="387"/>
      <c r="N20" s="476" t="str">
        <f>N5</f>
        <v xml:space="preserve">20M increase in Spend (60M) </v>
      </c>
      <c r="O20" s="477"/>
      <c r="P20" s="478"/>
      <c r="Q20" s="556"/>
      <c r="R20" s="476" t="str">
        <f>R5</f>
        <v>10M increase in Spend (60M) with 40% cons</v>
      </c>
      <c r="S20" s="477"/>
      <c r="T20" s="478"/>
      <c r="U20" s="556"/>
      <c r="V20" s="476" t="str">
        <f>V5</f>
        <v>20M increase in Spend (60M) with 40% cons</v>
      </c>
      <c r="W20" s="477"/>
      <c r="X20" s="478"/>
      <c r="Y20" s="387"/>
      <c r="Z20" s="476" t="str">
        <f>Z5</f>
        <v>20% reduction optimal ($26M)</v>
      </c>
      <c r="AA20" s="477"/>
      <c r="AB20" s="478"/>
      <c r="AC20" s="386"/>
      <c r="AD20" s="205"/>
    </row>
    <row r="21" spans="1:32" ht="25" x14ac:dyDescent="0.35">
      <c r="B21" s="376" t="s">
        <v>211</v>
      </c>
      <c r="C21" s="388" t="s">
        <v>218</v>
      </c>
      <c r="D21" s="375" t="s">
        <v>292</v>
      </c>
      <c r="E21" s="373"/>
      <c r="F21" s="374" t="s">
        <v>221</v>
      </c>
      <c r="G21" s="375" t="s">
        <v>214</v>
      </c>
      <c r="H21" s="375" t="s">
        <v>292</v>
      </c>
      <c r="I21" s="373"/>
      <c r="J21" s="374" t="s">
        <v>221</v>
      </c>
      <c r="K21" s="375" t="s">
        <v>214</v>
      </c>
      <c r="L21" s="375" t="s">
        <v>292</v>
      </c>
      <c r="M21" s="373"/>
      <c r="N21" s="374" t="s">
        <v>221</v>
      </c>
      <c r="O21" s="375" t="s">
        <v>214</v>
      </c>
      <c r="P21" s="375" t="s">
        <v>292</v>
      </c>
      <c r="Q21" s="560"/>
      <c r="R21" s="374" t="s">
        <v>221</v>
      </c>
      <c r="S21" s="375" t="s">
        <v>214</v>
      </c>
      <c r="T21" s="375" t="s">
        <v>292</v>
      </c>
      <c r="U21" s="547"/>
      <c r="V21" s="374" t="s">
        <v>221</v>
      </c>
      <c r="W21" s="375" t="s">
        <v>214</v>
      </c>
      <c r="X21" s="375" t="s">
        <v>292</v>
      </c>
      <c r="Y21" s="383"/>
      <c r="Z21" s="374" t="s">
        <v>221</v>
      </c>
      <c r="AA21" s="375" t="s">
        <v>214</v>
      </c>
      <c r="AB21" s="389" t="s">
        <v>215</v>
      </c>
      <c r="AC21" s="386"/>
      <c r="AD21" s="193"/>
    </row>
    <row r="22" spans="1:32" x14ac:dyDescent="0.35">
      <c r="A22" s="186">
        <f>D22/C22</f>
        <v>5.0407890644048416</v>
      </c>
      <c r="B22" s="390" t="str">
        <f>B7</f>
        <v>HCC In Office</v>
      </c>
      <c r="C22" s="391">
        <f>C7/1000000</f>
        <v>1</v>
      </c>
      <c r="D22" s="392">
        <f>D7/1000000</f>
        <v>5.0407890644048416</v>
      </c>
      <c r="E22" s="393"/>
      <c r="F22" s="377">
        <f>F7/1000000</f>
        <v>1</v>
      </c>
      <c r="G22" s="378">
        <f>G7</f>
        <v>0</v>
      </c>
      <c r="H22" s="394">
        <f>H7/1000000</f>
        <v>5.0407890644048416</v>
      </c>
      <c r="I22" s="393"/>
      <c r="J22" s="377">
        <f>J7/1000000</f>
        <v>1.1729143259099026</v>
      </c>
      <c r="K22" s="378">
        <f>K7</f>
        <v>0.17291432590990258</v>
      </c>
      <c r="L22" s="394">
        <f>L7/1000000</f>
        <v>5.7234915044572556</v>
      </c>
      <c r="M22" s="393"/>
      <c r="N22" s="377">
        <f>N7/1000000</f>
        <v>1.6545887123287966</v>
      </c>
      <c r="O22" s="378">
        <f>O7</f>
        <v>0.65458871232879656</v>
      </c>
      <c r="P22" s="394">
        <f>P7/1000000</f>
        <v>7.3907856102872529</v>
      </c>
      <c r="Q22" s="561"/>
      <c r="R22" s="377">
        <f>R7/1000000</f>
        <v>1.3943291308148695</v>
      </c>
      <c r="S22" s="378">
        <f>S7</f>
        <v>0.39432913081486942</v>
      </c>
      <c r="T22" s="394">
        <f>T7/1000000</f>
        <v>6.5305201774925186</v>
      </c>
      <c r="U22" s="548"/>
      <c r="V22" s="377">
        <f>V7/1000000</f>
        <v>4.6594629908394491</v>
      </c>
      <c r="W22" s="378">
        <f>W7</f>
        <v>3.6594629908394487</v>
      </c>
      <c r="X22" s="394">
        <f>X7/1000000</f>
        <v>12.819157720395996</v>
      </c>
      <c r="Y22" s="383"/>
      <c r="Z22" s="377">
        <f>Z7/1000000</f>
        <v>1.2287050999999998</v>
      </c>
      <c r="AA22" s="378">
        <f>AA7</f>
        <v>-0.3000000000000001</v>
      </c>
      <c r="AB22" s="394">
        <f>AB7/1000000</f>
        <v>5.9337328283146151</v>
      </c>
      <c r="AC22" s="383"/>
      <c r="AD22" s="193"/>
      <c r="AF22"/>
    </row>
    <row r="23" spans="1:32" x14ac:dyDescent="0.35">
      <c r="A23" s="186">
        <f t="shared" ref="A23:A30" si="1">D23/C23</f>
        <v>10.352656302472148</v>
      </c>
      <c r="B23" s="395" t="str">
        <f t="shared" ref="B23:B30" si="2">B8</f>
        <v>HCP MCM</v>
      </c>
      <c r="C23" s="396">
        <f t="shared" ref="C23:D23" si="3">C8/1000000</f>
        <v>7.7757779999999999</v>
      </c>
      <c r="D23" s="397">
        <f t="shared" si="3"/>
        <v>80.499957118324275</v>
      </c>
      <c r="E23" s="393"/>
      <c r="F23" s="398">
        <f t="shared" ref="F23:F30" si="4">F8/1000000</f>
        <v>8.0036626738821415</v>
      </c>
      <c r="G23" s="399">
        <f t="shared" ref="G23:G30" si="5">G8</f>
        <v>2.9306993317214265E-2</v>
      </c>
      <c r="H23" s="400">
        <f t="shared" ref="H23:H30" si="6">H8/1000000</f>
        <v>81.804556805221296</v>
      </c>
      <c r="I23" s="393"/>
      <c r="J23" s="398">
        <f t="shared" ref="J23:J30" si="7">J8/1000000</f>
        <v>10.781079800402544</v>
      </c>
      <c r="K23" s="399">
        <f t="shared" ref="K23:K30" si="8">K8</f>
        <v>0.38649531923397817</v>
      </c>
      <c r="L23" s="400">
        <f t="shared" ref="L23:L30" si="9">L8/1000000</f>
        <v>94.762614331378145</v>
      </c>
      <c r="M23" s="393"/>
      <c r="N23" s="398">
        <f t="shared" ref="N23:N30" si="10">N8/1000000</f>
        <v>12</v>
      </c>
      <c r="O23" s="399">
        <f t="shared" ref="O23:O30" si="11">O8</f>
        <v>0.54325393549044221</v>
      </c>
      <c r="P23" s="400">
        <f t="shared" ref="P23:P30" si="12">P8/1000000</f>
        <v>99.028830679674456</v>
      </c>
      <c r="Q23" s="561"/>
      <c r="R23" s="398">
        <f t="shared" ref="R23:R30" si="13">R8/1000000</f>
        <v>11.415499642068511</v>
      </c>
      <c r="S23" s="399">
        <f t="shared" ref="S23:S30" si="14">S8</f>
        <v>0.46808456235099699</v>
      </c>
      <c r="T23" s="400">
        <f t="shared" ref="T23:T30" si="15">T8/1000000</f>
        <v>97.075024379153191</v>
      </c>
      <c r="U23" s="548"/>
      <c r="V23" s="398">
        <f t="shared" ref="V23:V30" si="16">V8/1000000</f>
        <v>12</v>
      </c>
      <c r="W23" s="399">
        <f t="shared" ref="W23:W30" si="17">W8</f>
        <v>0.54325393549044221</v>
      </c>
      <c r="X23" s="400">
        <f t="shared" ref="X23:X30" si="18">X8/1000000</f>
        <v>99.028830679674456</v>
      </c>
      <c r="Y23" s="383"/>
      <c r="Z23" s="398">
        <f t="shared" ref="Z23:Z30" si="19">Z8/1000000</f>
        <v>5.76480046377403</v>
      </c>
      <c r="AA23" s="399">
        <f t="shared" ref="AA23:AA30" si="20">AA8</f>
        <v>7.4445445258517609E-2</v>
      </c>
      <c r="AB23" s="400">
        <f t="shared" ref="AB23:AB30" si="21">AB8/1000000</f>
        <v>67.005931278226939</v>
      </c>
      <c r="AC23" s="383"/>
      <c r="AD23" s="193"/>
      <c r="AF23"/>
    </row>
    <row r="24" spans="1:32" x14ac:dyDescent="0.35">
      <c r="A24" s="186">
        <f t="shared" si="1"/>
        <v>8.6553889697359896</v>
      </c>
      <c r="B24" s="395" t="str">
        <f t="shared" si="2"/>
        <v>HCC Social</v>
      </c>
      <c r="C24" s="396">
        <f t="shared" ref="C24:D24" si="22">C9/1000000</f>
        <v>1.84</v>
      </c>
      <c r="D24" s="397">
        <f t="shared" si="22"/>
        <v>15.925915704314221</v>
      </c>
      <c r="E24" s="393"/>
      <c r="F24" s="398">
        <f t="shared" si="4"/>
        <v>1.5994999999999999</v>
      </c>
      <c r="G24" s="399">
        <f t="shared" si="5"/>
        <v>-0.13070652173913044</v>
      </c>
      <c r="H24" s="400">
        <f t="shared" si="6"/>
        <v>14.642130239828273</v>
      </c>
      <c r="I24" s="393"/>
      <c r="J24" s="398">
        <f t="shared" si="7"/>
        <v>3.9879180972265242</v>
      </c>
      <c r="K24" s="399">
        <f t="shared" si="8"/>
        <v>1.167346791970937</v>
      </c>
      <c r="L24" s="400">
        <f t="shared" si="9"/>
        <v>25.331532071219353</v>
      </c>
      <c r="M24" s="393"/>
      <c r="N24" s="398">
        <f t="shared" si="10"/>
        <v>6.5</v>
      </c>
      <c r="O24" s="399">
        <f t="shared" si="11"/>
        <v>2.5326086956521738</v>
      </c>
      <c r="P24" s="400">
        <f t="shared" si="12"/>
        <v>33.9595348390136</v>
      </c>
      <c r="Q24" s="561"/>
      <c r="R24" s="398">
        <f t="shared" si="13"/>
        <v>2.5760000000000001</v>
      </c>
      <c r="S24" s="399">
        <f t="shared" si="14"/>
        <v>0.4</v>
      </c>
      <c r="T24" s="400">
        <f t="shared" si="15"/>
        <v>19.488626574727459</v>
      </c>
      <c r="U24" s="548"/>
      <c r="V24" s="398">
        <f t="shared" si="16"/>
        <v>2.5760000000000001</v>
      </c>
      <c r="W24" s="399">
        <f t="shared" si="17"/>
        <v>0.4</v>
      </c>
      <c r="X24" s="400">
        <f t="shared" si="18"/>
        <v>19.488626574727459</v>
      </c>
      <c r="Y24" s="383"/>
      <c r="Z24" s="398">
        <f t="shared" si="19"/>
        <v>1.3110999999999997</v>
      </c>
      <c r="AA24" s="399">
        <f t="shared" si="20"/>
        <v>-0.3000000000000001</v>
      </c>
      <c r="AB24" s="400">
        <f t="shared" si="21"/>
        <v>12.995566302066875</v>
      </c>
      <c r="AC24" s="383"/>
      <c r="AD24" s="193"/>
      <c r="AF24"/>
    </row>
    <row r="25" spans="1:32" x14ac:dyDescent="0.35">
      <c r="A25" s="186">
        <f t="shared" si="1"/>
        <v>2.7821695029491207</v>
      </c>
      <c r="B25" s="395" t="str">
        <f t="shared" si="2"/>
        <v>HCC Online Video</v>
      </c>
      <c r="C25" s="396">
        <f t="shared" ref="C25:D25" si="23">C10/1000000</f>
        <v>1.22</v>
      </c>
      <c r="D25" s="397">
        <f t="shared" si="23"/>
        <v>3.3942467935979272</v>
      </c>
      <c r="E25" s="393"/>
      <c r="F25" s="398">
        <f t="shared" si="4"/>
        <v>1</v>
      </c>
      <c r="G25" s="399">
        <f t="shared" si="5"/>
        <v>-0.18032786885245902</v>
      </c>
      <c r="H25" s="400">
        <f t="shared" si="6"/>
        <v>3.3578328692201262</v>
      </c>
      <c r="I25" s="393"/>
      <c r="J25" s="398">
        <f t="shared" si="7"/>
        <v>1</v>
      </c>
      <c r="K25" s="399">
        <f t="shared" si="8"/>
        <v>-0.18032786885245902</v>
      </c>
      <c r="L25" s="400">
        <f t="shared" si="9"/>
        <v>3.3578328692201262</v>
      </c>
      <c r="M25" s="393"/>
      <c r="N25" s="398">
        <f t="shared" si="10"/>
        <v>0.99999999999999989</v>
      </c>
      <c r="O25" s="399">
        <f t="shared" si="11"/>
        <v>-0.18032786885245911</v>
      </c>
      <c r="P25" s="400">
        <f t="shared" si="12"/>
        <v>3.3578328692201262</v>
      </c>
      <c r="Q25" s="561"/>
      <c r="R25" s="398">
        <f t="shared" si="13"/>
        <v>1</v>
      </c>
      <c r="S25" s="399">
        <f t="shared" si="14"/>
        <v>-0.18032786885245902</v>
      </c>
      <c r="T25" s="400">
        <f t="shared" si="15"/>
        <v>3.3578328692201262</v>
      </c>
      <c r="U25" s="548"/>
      <c r="V25" s="398">
        <f t="shared" si="16"/>
        <v>1</v>
      </c>
      <c r="W25" s="399">
        <f t="shared" si="17"/>
        <v>-0.18032786885245902</v>
      </c>
      <c r="X25" s="400">
        <f t="shared" si="18"/>
        <v>3.3578328692201262</v>
      </c>
      <c r="Y25" s="383"/>
      <c r="Z25" s="398">
        <f t="shared" si="19"/>
        <v>0.14432636168477586</v>
      </c>
      <c r="AA25" s="399">
        <f t="shared" si="20"/>
        <v>-0.16611443624566133</v>
      </c>
      <c r="AB25" s="400">
        <f t="shared" si="21"/>
        <v>1.501233181844615</v>
      </c>
      <c r="AC25" s="383"/>
      <c r="AD25" s="193"/>
      <c r="AF25"/>
    </row>
    <row r="26" spans="1:32" x14ac:dyDescent="0.35">
      <c r="A26" s="186">
        <f t="shared" si="1"/>
        <v>5.6987623839397816</v>
      </c>
      <c r="B26" s="395" t="str">
        <f t="shared" si="2"/>
        <v>HCC Streaming Video</v>
      </c>
      <c r="C26" s="396">
        <f t="shared" ref="C26:D26" si="24">C11/1000000</f>
        <v>4.8177979999999998</v>
      </c>
      <c r="D26" s="397">
        <f t="shared" si="24"/>
        <v>27.455486015820313</v>
      </c>
      <c r="E26" s="393"/>
      <c r="F26" s="398">
        <f t="shared" si="4"/>
        <v>4.8177979999999998</v>
      </c>
      <c r="G26" s="399">
        <f t="shared" si="5"/>
        <v>0</v>
      </c>
      <c r="H26" s="400">
        <f t="shared" si="6"/>
        <v>27.455486015820313</v>
      </c>
      <c r="I26" s="393"/>
      <c r="J26" s="398">
        <f t="shared" si="7"/>
        <v>5.6090414509816826</v>
      </c>
      <c r="K26" s="399">
        <f t="shared" si="8"/>
        <v>0.16423342177934447</v>
      </c>
      <c r="L26" s="400">
        <f t="shared" si="9"/>
        <v>30.539166495960608</v>
      </c>
      <c r="M26" s="393"/>
      <c r="N26" s="398">
        <f t="shared" si="10"/>
        <v>10.772356891532867</v>
      </c>
      <c r="O26" s="399">
        <f t="shared" si="11"/>
        <v>1.2359503016799103</v>
      </c>
      <c r="P26" s="400">
        <f t="shared" si="12"/>
        <v>48.222823851429247</v>
      </c>
      <c r="Q26" s="561"/>
      <c r="R26" s="398">
        <f t="shared" si="13"/>
        <v>7.5702492039995652</v>
      </c>
      <c r="S26" s="399">
        <f t="shared" si="14"/>
        <v>0.57130896812186083</v>
      </c>
      <c r="T26" s="400">
        <f t="shared" si="15"/>
        <v>37.671442332654166</v>
      </c>
      <c r="U26" s="548"/>
      <c r="V26" s="398">
        <f t="shared" si="16"/>
        <v>12.070112999999999</v>
      </c>
      <c r="W26" s="399">
        <f t="shared" si="17"/>
        <v>1.5053173669796867</v>
      </c>
      <c r="X26" s="400">
        <f t="shared" si="18"/>
        <v>52.219542216157279</v>
      </c>
      <c r="Y26" s="383"/>
      <c r="Z26" s="398">
        <f t="shared" si="19"/>
        <v>4.3260874999999999</v>
      </c>
      <c r="AA26" s="399">
        <f t="shared" si="20"/>
        <v>-0.3</v>
      </c>
      <c r="AB26" s="400">
        <f t="shared" si="21"/>
        <v>25.462546467915075</v>
      </c>
      <c r="AC26" s="383"/>
      <c r="AD26" s="193"/>
      <c r="AF26"/>
    </row>
    <row r="27" spans="1:32" x14ac:dyDescent="0.35">
      <c r="A27" s="186">
        <f t="shared" si="1"/>
        <v>11.099089974504716</v>
      </c>
      <c r="B27" s="395" t="str">
        <f t="shared" si="2"/>
        <v>HCC Display</v>
      </c>
      <c r="C27" s="396">
        <f t="shared" ref="C27:D27" si="25">C12/1000000</f>
        <v>3.54</v>
      </c>
      <c r="D27" s="397">
        <f t="shared" si="25"/>
        <v>39.290778509746694</v>
      </c>
      <c r="E27" s="393"/>
      <c r="F27" s="398">
        <f t="shared" si="4"/>
        <v>3.8118394251255072</v>
      </c>
      <c r="G27" s="399">
        <f t="shared" si="5"/>
        <v>7.6790798058052875E-2</v>
      </c>
      <c r="H27" s="400">
        <f t="shared" si="6"/>
        <v>40.889059893896288</v>
      </c>
      <c r="I27" s="393"/>
      <c r="J27" s="398">
        <f t="shared" si="7"/>
        <v>5.0626223862681137</v>
      </c>
      <c r="K27" s="399">
        <f t="shared" si="8"/>
        <v>0.4301193181548344</v>
      </c>
      <c r="L27" s="400">
        <f t="shared" si="9"/>
        <v>46.723198890398756</v>
      </c>
      <c r="M27" s="393"/>
      <c r="N27" s="398">
        <f t="shared" si="10"/>
        <v>5.6866304364398532</v>
      </c>
      <c r="O27" s="399">
        <f t="shared" si="11"/>
        <v>0.6063927786553257</v>
      </c>
      <c r="P27" s="400">
        <f t="shared" si="12"/>
        <v>48.883193950172654</v>
      </c>
      <c r="Q27" s="561"/>
      <c r="R27" s="398">
        <f t="shared" si="13"/>
        <v>5.3494979439856341</v>
      </c>
      <c r="S27" s="399">
        <f t="shared" si="14"/>
        <v>0.51115761129537696</v>
      </c>
      <c r="T27" s="400">
        <f t="shared" si="15"/>
        <v>47.768827174016486</v>
      </c>
      <c r="U27" s="548"/>
      <c r="V27" s="398">
        <f t="shared" si="16"/>
        <v>7</v>
      </c>
      <c r="W27" s="399">
        <f t="shared" si="17"/>
        <v>0.97740112994350281</v>
      </c>
      <c r="X27" s="400">
        <f t="shared" si="18"/>
        <v>52.254717406990032</v>
      </c>
      <c r="Y27" s="383"/>
      <c r="Z27" s="398">
        <f t="shared" si="19"/>
        <v>2.1428645810000004</v>
      </c>
      <c r="AA27" s="399">
        <f t="shared" si="20"/>
        <v>0.30000000000000004</v>
      </c>
      <c r="AB27" s="400">
        <f t="shared" si="21"/>
        <v>28.569508760968702</v>
      </c>
      <c r="AC27" s="383"/>
      <c r="AD27" s="193"/>
      <c r="AF27"/>
    </row>
    <row r="28" spans="1:32" x14ac:dyDescent="0.35">
      <c r="A28" s="186">
        <f t="shared" si="1"/>
        <v>81.924914710800579</v>
      </c>
      <c r="B28" s="395" t="str">
        <f t="shared" si="2"/>
        <v>HCC Paid Search</v>
      </c>
      <c r="C28" s="401">
        <f t="shared" ref="C28:D28" si="26">C13/1000000</f>
        <v>0.4</v>
      </c>
      <c r="D28" s="402">
        <f t="shared" si="26"/>
        <v>32.769965884320236</v>
      </c>
      <c r="E28" s="403"/>
      <c r="F28" s="404">
        <f t="shared" si="4"/>
        <v>0.4</v>
      </c>
      <c r="G28" s="399">
        <f t="shared" si="5"/>
        <v>0</v>
      </c>
      <c r="H28" s="400">
        <f t="shared" si="6"/>
        <v>32.769965884320236</v>
      </c>
      <c r="I28" s="393"/>
      <c r="J28" s="404">
        <f t="shared" si="7"/>
        <v>0.4</v>
      </c>
      <c r="K28" s="399">
        <f t="shared" si="8"/>
        <v>0</v>
      </c>
      <c r="L28" s="400">
        <f t="shared" si="9"/>
        <v>32.769965884320236</v>
      </c>
      <c r="M28" s="393"/>
      <c r="N28" s="398">
        <f t="shared" si="10"/>
        <v>0.4</v>
      </c>
      <c r="O28" s="399">
        <f t="shared" si="11"/>
        <v>0</v>
      </c>
      <c r="P28" s="400">
        <f t="shared" si="12"/>
        <v>32.769965884320236</v>
      </c>
      <c r="Q28" s="561"/>
      <c r="R28" s="398">
        <f t="shared" si="13"/>
        <v>0.4</v>
      </c>
      <c r="S28" s="399">
        <f t="shared" si="14"/>
        <v>0</v>
      </c>
      <c r="T28" s="400">
        <f t="shared" si="15"/>
        <v>32.769965884320236</v>
      </c>
      <c r="U28" s="548"/>
      <c r="V28" s="398">
        <f t="shared" si="16"/>
        <v>0.4</v>
      </c>
      <c r="W28" s="399">
        <f t="shared" si="17"/>
        <v>0</v>
      </c>
      <c r="X28" s="400">
        <f t="shared" si="18"/>
        <v>32.769965884320236</v>
      </c>
      <c r="Y28" s="383"/>
      <c r="Z28" s="398">
        <f t="shared" si="19"/>
        <v>0.44811910000000005</v>
      </c>
      <c r="AA28" s="399">
        <f t="shared" si="20"/>
        <v>0.3000000000000001</v>
      </c>
      <c r="AB28" s="400">
        <f t="shared" si="21"/>
        <v>35.4821080336392</v>
      </c>
      <c r="AC28" s="383"/>
      <c r="AD28" s="193"/>
      <c r="AF28"/>
    </row>
    <row r="29" spans="1:32" x14ac:dyDescent="0.35">
      <c r="A29" s="186">
        <f t="shared" si="1"/>
        <v>9.3235998820505266</v>
      </c>
      <c r="B29" s="395" t="str">
        <f t="shared" si="2"/>
        <v>HCC Audio</v>
      </c>
      <c r="C29" s="396">
        <f t="shared" ref="C29:D29" si="27">C14/1000000</f>
        <v>2.2200000000000002</v>
      </c>
      <c r="D29" s="397">
        <f t="shared" si="27"/>
        <v>20.698391738152171</v>
      </c>
      <c r="E29" s="393"/>
      <c r="F29" s="398">
        <f t="shared" si="4"/>
        <v>2.1807759009923506</v>
      </c>
      <c r="G29" s="399">
        <f t="shared" si="5"/>
        <v>-1.7668513066508715E-2</v>
      </c>
      <c r="H29" s="400">
        <f t="shared" si="6"/>
        <v>20.478184007513107</v>
      </c>
      <c r="I29" s="393"/>
      <c r="J29" s="398">
        <f t="shared" si="7"/>
        <v>4.8</v>
      </c>
      <c r="K29" s="399">
        <f t="shared" si="8"/>
        <v>1.1621621621621621</v>
      </c>
      <c r="L29" s="400">
        <f t="shared" si="9"/>
        <v>32.875287531392161</v>
      </c>
      <c r="M29" s="393"/>
      <c r="N29" s="398">
        <f>N14/1000000</f>
        <v>4.8</v>
      </c>
      <c r="O29" s="399">
        <f t="shared" si="11"/>
        <v>1.1621621621621621</v>
      </c>
      <c r="P29" s="400">
        <f t="shared" si="12"/>
        <v>32.875287531392161</v>
      </c>
      <c r="Q29" s="561"/>
      <c r="R29" s="398">
        <f>R14/1000000</f>
        <v>3.1080000000000001</v>
      </c>
      <c r="S29" s="399">
        <f t="shared" si="14"/>
        <v>0.4</v>
      </c>
      <c r="T29" s="400">
        <f t="shared" si="15"/>
        <v>25.328730527752203</v>
      </c>
      <c r="U29" s="548"/>
      <c r="V29" s="398">
        <f>V14/1000000</f>
        <v>3.1080000000000001</v>
      </c>
      <c r="W29" s="399">
        <f t="shared" si="17"/>
        <v>0.4</v>
      </c>
      <c r="X29" s="400">
        <f t="shared" si="18"/>
        <v>25.328730527752203</v>
      </c>
      <c r="Y29" s="383"/>
      <c r="Z29" s="398">
        <f t="shared" si="19"/>
        <v>1.0059338870000001</v>
      </c>
      <c r="AA29" s="399">
        <f t="shared" si="20"/>
        <v>-0.29999999999999988</v>
      </c>
      <c r="AB29" s="400">
        <f t="shared" si="21"/>
        <v>12.872606114547708</v>
      </c>
      <c r="AC29" s="383"/>
      <c r="AD29" s="193"/>
      <c r="AF29"/>
    </row>
    <row r="30" spans="1:32" x14ac:dyDescent="0.35">
      <c r="A30" s="186">
        <f t="shared" si="1"/>
        <v>3.9691495952180809</v>
      </c>
      <c r="B30" s="395" t="str">
        <f t="shared" si="2"/>
        <v>HCC Linear TV</v>
      </c>
      <c r="C30" s="396">
        <f t="shared" ref="C30:D30" si="28">C15/1000000</f>
        <v>16.888801000000001</v>
      </c>
      <c r="D30" s="397">
        <f t="shared" si="28"/>
        <v>67.034177652868721</v>
      </c>
      <c r="E30" s="393"/>
      <c r="F30" s="398">
        <f t="shared" si="4"/>
        <v>16.888801000000001</v>
      </c>
      <c r="G30" s="399">
        <f t="shared" si="5"/>
        <v>0</v>
      </c>
      <c r="H30" s="400">
        <f t="shared" si="6"/>
        <v>67.034177652868721</v>
      </c>
      <c r="I30" s="393"/>
      <c r="J30" s="398">
        <f t="shared" si="7"/>
        <v>16.888801000000001</v>
      </c>
      <c r="K30" s="399">
        <f t="shared" si="8"/>
        <v>0</v>
      </c>
      <c r="L30" s="400">
        <f t="shared" si="9"/>
        <v>67.034177652868721</v>
      </c>
      <c r="M30" s="393"/>
      <c r="N30" s="398">
        <f t="shared" si="10"/>
        <v>16.888801000000001</v>
      </c>
      <c r="O30" s="399">
        <f t="shared" si="11"/>
        <v>0</v>
      </c>
      <c r="P30" s="400">
        <f t="shared" si="12"/>
        <v>67.034177652868721</v>
      </c>
      <c r="Q30" s="561"/>
      <c r="R30" s="398">
        <f t="shared" si="13"/>
        <v>16.888801000000001</v>
      </c>
      <c r="S30" s="399">
        <f t="shared" si="14"/>
        <v>0</v>
      </c>
      <c r="T30" s="400">
        <f t="shared" si="15"/>
        <v>67.034177652868721</v>
      </c>
      <c r="U30" s="548"/>
      <c r="V30" s="398">
        <f t="shared" si="16"/>
        <v>16.888801000000001</v>
      </c>
      <c r="W30" s="399">
        <f t="shared" si="17"/>
        <v>0</v>
      </c>
      <c r="X30" s="400">
        <f t="shared" si="18"/>
        <v>67.034177652868721</v>
      </c>
      <c r="Y30" s="383"/>
      <c r="Z30" s="398">
        <f t="shared" si="19"/>
        <v>9.4524674929999986</v>
      </c>
      <c r="AA30" s="399">
        <f t="shared" si="20"/>
        <v>-0.3000000000000001</v>
      </c>
      <c r="AB30" s="400">
        <f t="shared" si="21"/>
        <v>44.653833411555638</v>
      </c>
      <c r="AC30" s="383"/>
      <c r="AD30" s="193"/>
      <c r="AF30"/>
    </row>
    <row r="31" spans="1:32" ht="29.65" customHeight="1" x14ac:dyDescent="0.35">
      <c r="B31" s="405" t="s">
        <v>217</v>
      </c>
      <c r="C31" s="379">
        <f>C16/1000000</f>
        <v>39.702376999999998</v>
      </c>
      <c r="D31" s="406">
        <f>D16/1000000</f>
        <v>292.10970848154938</v>
      </c>
      <c r="E31" s="407"/>
      <c r="F31" s="380">
        <f>F16/1000000</f>
        <v>39.702376999999998</v>
      </c>
      <c r="G31" s="381">
        <f>G16</f>
        <v>0</v>
      </c>
      <c r="H31" s="408">
        <f>H16/1000000</f>
        <v>293.47218243309317</v>
      </c>
      <c r="I31" s="407"/>
      <c r="J31" s="380">
        <f>J16/1000000</f>
        <v>49.702377060788763</v>
      </c>
      <c r="K31" s="381">
        <f>K16</f>
        <v>0.25187408957374935</v>
      </c>
      <c r="L31" s="408">
        <f>L16/1000000</f>
        <v>339.11726723121535</v>
      </c>
      <c r="M31" s="407"/>
      <c r="N31" s="380">
        <f>N16/1000000</f>
        <v>59.702377040301513</v>
      </c>
      <c r="O31" s="381">
        <f>O16</f>
        <v>0.50374817710036646</v>
      </c>
      <c r="P31" s="408">
        <f>P16/1000000</f>
        <v>373.52243286837853</v>
      </c>
      <c r="Q31" s="562"/>
      <c r="R31" s="380">
        <f>R16/1000000</f>
        <v>49.702376920868574</v>
      </c>
      <c r="S31" s="381">
        <f>S16</f>
        <v>0.25187408604952233</v>
      </c>
      <c r="T31" s="408">
        <f>T16/1000000</f>
        <v>337.02514757220507</v>
      </c>
      <c r="U31" s="549"/>
      <c r="V31" s="380">
        <f>V16/1000000</f>
        <v>59.702376990839454</v>
      </c>
      <c r="W31" s="381">
        <f>W16</f>
        <v>0.50374817585454523</v>
      </c>
      <c r="X31" s="408">
        <f>X16/1000000</f>
        <v>364.30158153210652</v>
      </c>
      <c r="Y31" s="407"/>
      <c r="Z31" s="380">
        <f>Z16/1000000</f>
        <v>25.824404486458803</v>
      </c>
      <c r="AA31" s="381">
        <f>AA16</f>
        <v>-0.34955016707289832</v>
      </c>
      <c r="AB31" s="408">
        <f>AB16/1000000</f>
        <v>234.47706637907936</v>
      </c>
      <c r="AC31" s="386"/>
      <c r="AD31" s="224"/>
    </row>
    <row r="32" spans="1:32" ht="39.75" customHeight="1" x14ac:dyDescent="0.35">
      <c r="B32" s="405" t="s">
        <v>306</v>
      </c>
      <c r="C32" s="379"/>
      <c r="D32" s="409"/>
      <c r="E32" s="407"/>
      <c r="F32" s="380"/>
      <c r="G32" s="381"/>
      <c r="H32" s="411" t="str">
        <f>_xlfn.CONCAT("+$",ROUND(H33,0),"(",ROUND(H34*100,1),"%)")</f>
        <v>+$1(0.5%)</v>
      </c>
      <c r="I32" s="407"/>
      <c r="J32" s="380"/>
      <c r="K32" s="381"/>
      <c r="L32" s="411" t="str">
        <f>_xlfn.CONCAT("+$",ROUND(L33,0),"(",ROUND(L34*100,1),"%)")</f>
        <v>+$47(16.1%)</v>
      </c>
      <c r="M32" s="407"/>
      <c r="N32" s="380"/>
      <c r="O32" s="381"/>
      <c r="P32" s="411" t="str">
        <f>_xlfn.CONCAT("+$",ROUND(P33,0),"(",ROUND(P34*100,1),"%)")</f>
        <v>+$81(27.9%)</v>
      </c>
      <c r="Q32" s="563"/>
      <c r="R32" s="380"/>
      <c r="S32" s="381"/>
      <c r="T32" s="411" t="str">
        <f>_xlfn.CONCAT("+$",ROUND(T33,0),"(",ROUND(T34*100,1),"%)")</f>
        <v>+$45(15.4%)</v>
      </c>
      <c r="U32" s="550"/>
      <c r="V32" s="380"/>
      <c r="W32" s="381"/>
      <c r="X32" s="411" t="str">
        <f>_xlfn.CONCAT("+$",ROUND(X33,0),"(",ROUND(X34*100,1),"%)")</f>
        <v>+$72(24.7%)</v>
      </c>
      <c r="Y32" s="407"/>
      <c r="Z32" s="380"/>
      <c r="AA32" s="381"/>
      <c r="AB32" s="410" t="s">
        <v>271</v>
      </c>
      <c r="AC32" s="386"/>
      <c r="AD32" s="224"/>
    </row>
    <row r="33" spans="1:29" x14ac:dyDescent="0.35">
      <c r="H33" s="230">
        <f>(H31-$D$31)</f>
        <v>1.3624739515437909</v>
      </c>
      <c r="L33" s="230">
        <f>(L31-$D$31)</f>
        <v>47.007558749665975</v>
      </c>
      <c r="P33" s="230">
        <f>(P31-$D$31)</f>
        <v>81.412724386829154</v>
      </c>
      <c r="Q33" s="564"/>
      <c r="T33" s="230">
        <f>(T31-$D$31)</f>
        <v>44.915439090655696</v>
      </c>
      <c r="U33" s="551"/>
      <c r="X33" s="230">
        <f>(X31-$D$31)</f>
        <v>72.191873050557149</v>
      </c>
      <c r="AB33" s="230">
        <f>(AB31-$D$31)</f>
        <v>-57.632642102470015</v>
      </c>
    </row>
    <row r="34" spans="1:29" x14ac:dyDescent="0.35">
      <c r="H34" s="301">
        <f>H33/$D$31</f>
        <v>4.6642542578479527E-3</v>
      </c>
      <c r="L34" s="301">
        <f>L33/$D$31</f>
        <v>0.16092432871889684</v>
      </c>
      <c r="P34" s="301">
        <f>P33/$D$31</f>
        <v>0.27870598622014459</v>
      </c>
      <c r="Q34" s="565"/>
      <c r="T34" s="301">
        <f>T33/$D$31</f>
        <v>0.15376222626812386</v>
      </c>
      <c r="U34" s="301"/>
      <c r="X34" s="301">
        <f>X33/$D$31</f>
        <v>0.24713958815619794</v>
      </c>
      <c r="AB34" s="301">
        <f>AB33/$D$31</f>
        <v>-0.19729793440299259</v>
      </c>
    </row>
    <row r="35" spans="1:29" x14ac:dyDescent="0.35">
      <c r="B35" s="97" t="s">
        <v>307</v>
      </c>
      <c r="D35" s="188">
        <f>D31/C31</f>
        <v>7.3574866432191044</v>
      </c>
      <c r="H35" s="188">
        <f>H31/F31</f>
        <v>7.3918038316217984</v>
      </c>
      <c r="L35" s="186">
        <f>L31/J31</f>
        <v>6.8229587252226613</v>
      </c>
      <c r="P35" s="186">
        <f>P31/N31</f>
        <v>6.2564080592006546</v>
      </c>
      <c r="Q35" s="566"/>
      <c r="T35" s="186">
        <f>T31/R31</f>
        <v>6.7808657945833186</v>
      </c>
      <c r="U35" s="186"/>
      <c r="X35" s="186">
        <f>X31/V31</f>
        <v>6.101961092570968</v>
      </c>
      <c r="AB35" s="186">
        <f>AB31/Z31</f>
        <v>9.0796698333171229</v>
      </c>
    </row>
    <row r="37" spans="1:29" x14ac:dyDescent="0.35">
      <c r="F37" s="479" t="str">
        <f>F19</f>
        <v>Optimal channel spend allowed to vary based on custom limits  for 2024 channel spend</v>
      </c>
      <c r="G37" s="480"/>
      <c r="H37" s="480"/>
      <c r="I37" s="480"/>
      <c r="J37" s="480"/>
      <c r="K37" s="480"/>
      <c r="L37" s="480"/>
      <c r="M37" s="480"/>
      <c r="N37" s="480"/>
      <c r="O37" s="480"/>
      <c r="P37" s="480"/>
      <c r="Q37" s="480"/>
      <c r="R37" s="480"/>
      <c r="S37" s="480"/>
      <c r="T37" s="480"/>
      <c r="U37" s="480"/>
      <c r="V37" s="480"/>
      <c r="W37" s="480"/>
      <c r="X37" s="480"/>
      <c r="Y37" s="480"/>
      <c r="Z37" s="480"/>
      <c r="AA37" s="480"/>
      <c r="AB37" s="480"/>
      <c r="AC37" s="480"/>
    </row>
    <row r="38" spans="1:29" ht="31" customHeight="1" x14ac:dyDescent="0.35">
      <c r="B38" s="386"/>
      <c r="C38" s="474" t="str">
        <f>C20</f>
        <v>2024 Current Baseline ($MM)</v>
      </c>
      <c r="D38" s="475"/>
      <c r="E38" s="372"/>
      <c r="F38" s="476" t="str">
        <f>F20</f>
        <v>Current Optimal</v>
      </c>
      <c r="G38" s="477"/>
      <c r="H38" s="478"/>
      <c r="I38" s="387"/>
      <c r="J38" s="476" t="str">
        <f>J20</f>
        <v>10M increase In spend (50M)</v>
      </c>
      <c r="K38" s="477"/>
      <c r="L38" s="478"/>
      <c r="M38" s="387"/>
      <c r="N38" s="476" t="str">
        <f>N20</f>
        <v xml:space="preserve">20M increase in Spend (60M) </v>
      </c>
      <c r="O38" s="477"/>
      <c r="P38" s="478"/>
      <c r="Q38" s="556"/>
      <c r="R38" s="476" t="str">
        <f>R20</f>
        <v>10M increase in Spend (60M) with 40% cons</v>
      </c>
      <c r="S38" s="477"/>
      <c r="T38" s="478"/>
      <c r="U38" s="556"/>
      <c r="V38" s="476" t="str">
        <f>V20</f>
        <v>20M increase in Spend (60M) with 40% cons</v>
      </c>
      <c r="W38" s="477"/>
      <c r="X38" s="478"/>
    </row>
    <row r="39" spans="1:29" ht="37.5" x14ac:dyDescent="0.35">
      <c r="B39" s="376" t="s">
        <v>211</v>
      </c>
      <c r="C39" s="388" t="s">
        <v>218</v>
      </c>
      <c r="D39" s="375" t="s">
        <v>304</v>
      </c>
      <c r="E39" s="373"/>
      <c r="F39" s="374" t="s">
        <v>221</v>
      </c>
      <c r="G39" s="375" t="s">
        <v>214</v>
      </c>
      <c r="H39" s="375" t="s">
        <v>304</v>
      </c>
      <c r="I39" s="373"/>
      <c r="J39" s="374" t="s">
        <v>221</v>
      </c>
      <c r="K39" s="375" t="s">
        <v>214</v>
      </c>
      <c r="L39" s="375" t="s">
        <v>304</v>
      </c>
      <c r="M39" s="373"/>
      <c r="N39" s="374" t="s">
        <v>221</v>
      </c>
      <c r="O39" s="375" t="s">
        <v>214</v>
      </c>
      <c r="P39" s="375" t="s">
        <v>304</v>
      </c>
      <c r="Q39" s="560"/>
      <c r="R39" s="374" t="s">
        <v>221</v>
      </c>
      <c r="S39" s="375" t="s">
        <v>214</v>
      </c>
      <c r="T39" s="375" t="s">
        <v>304</v>
      </c>
      <c r="U39" s="547"/>
      <c r="V39" s="374" t="s">
        <v>221</v>
      </c>
      <c r="W39" s="375" t="s">
        <v>214</v>
      </c>
      <c r="X39" s="375" t="s">
        <v>304</v>
      </c>
    </row>
    <row r="40" spans="1:29" x14ac:dyDescent="0.35">
      <c r="A40" s="186"/>
      <c r="B40" s="390" t="str">
        <f>B7</f>
        <v>HCC In Office</v>
      </c>
      <c r="C40" s="391">
        <f>C7/1000000</f>
        <v>1</v>
      </c>
      <c r="D40" s="440">
        <f>D7/VAC_Optim_Scenario!$E$32/1000</f>
        <v>22.310299479529263</v>
      </c>
      <c r="E40" s="393"/>
      <c r="F40" s="377">
        <f t="shared" ref="F40:F49" si="29">F7/1000000</f>
        <v>1</v>
      </c>
      <c r="G40" s="378">
        <f>G7</f>
        <v>0</v>
      </c>
      <c r="H40" s="444">
        <f>H7/VAC_Optim_Scenario!$E$32/1000</f>
        <v>22.310299479529263</v>
      </c>
      <c r="I40" s="393"/>
      <c r="J40" s="377">
        <f t="shared" ref="J40:J49" si="30">J7/1000000</f>
        <v>1.1729143259099026</v>
      </c>
      <c r="K40" s="378">
        <f t="shared" ref="K40:K49" si="31">K7</f>
        <v>0.17291432590990258</v>
      </c>
      <c r="L40" s="444">
        <f>L7/VAC_Optim_Scenario!$E$32/1000</f>
        <v>25.331908933598548</v>
      </c>
      <c r="M40" s="393"/>
      <c r="N40" s="377">
        <f t="shared" ref="N40:N49" si="32">N7/1000000</f>
        <v>1.6545887123287966</v>
      </c>
      <c r="O40" s="378">
        <f t="shared" ref="O40:O49" si="33">O7</f>
        <v>0.65458871232879656</v>
      </c>
      <c r="P40" s="444">
        <f>P7/VAC_Optim_Scenario!$E$32/1000</f>
        <v>32.711275605414059</v>
      </c>
      <c r="Q40" s="567"/>
      <c r="R40" s="377">
        <f t="shared" ref="R40:R49" si="34">R7/1000000</f>
        <v>1.3943291308148695</v>
      </c>
      <c r="S40" s="378">
        <f t="shared" ref="S40:S49" si="35">S7</f>
        <v>0.39432913081486942</v>
      </c>
      <c r="T40" s="444">
        <f>T7/VAC_Optim_Scenario!$E$32/1000</f>
        <v>28.903780550112945</v>
      </c>
      <c r="U40" s="552"/>
      <c r="V40" s="377">
        <f t="shared" ref="V40:V49" si="36">V7/1000000</f>
        <v>4.6594629908394491</v>
      </c>
      <c r="W40" s="378">
        <f t="shared" ref="W40:W49" si="37">W7</f>
        <v>3.6594629908394487</v>
      </c>
      <c r="X40" s="444">
        <f>X7/VAC_Optim_Scenario!$E$32/1000</f>
        <v>56.736999736195429</v>
      </c>
    </row>
    <row r="41" spans="1:29" x14ac:dyDescent="0.35">
      <c r="A41" s="186"/>
      <c r="B41" s="390" t="str">
        <f t="shared" ref="B41:B48" si="38">B8</f>
        <v>HCP MCM</v>
      </c>
      <c r="C41" s="396">
        <f t="shared" ref="C41:C48" si="39">C8/1000000</f>
        <v>7.7757779999999999</v>
      </c>
      <c r="D41" s="442">
        <f>D8/VAC_Optim_Scenario!$E$32/1000</f>
        <v>356.28909054759799</v>
      </c>
      <c r="E41" s="393"/>
      <c r="F41" s="398">
        <f t="shared" si="29"/>
        <v>8.0036626738821415</v>
      </c>
      <c r="G41" s="399">
        <f t="shared" ref="G41:G49" si="40">G8</f>
        <v>2.9306993317214265E-2</v>
      </c>
      <c r="H41" s="445">
        <f>H8/VAC_Optim_Scenario!$E$32/1000</f>
        <v>362.0631884802217</v>
      </c>
      <c r="I41" s="393"/>
      <c r="J41" s="398">
        <f t="shared" si="30"/>
        <v>10.781079800402544</v>
      </c>
      <c r="K41" s="399">
        <f t="shared" si="31"/>
        <v>0.38649531923397817</v>
      </c>
      <c r="L41" s="445">
        <f>L8/VAC_Optim_Scenario!$E$32/1000</f>
        <v>419.41495233857722</v>
      </c>
      <c r="M41" s="393"/>
      <c r="N41" s="398">
        <f t="shared" si="32"/>
        <v>12</v>
      </c>
      <c r="O41" s="399">
        <f t="shared" si="33"/>
        <v>0.54325393549044221</v>
      </c>
      <c r="P41" s="445">
        <f>P8/VAC_Optim_Scenario!$E$32/1000</f>
        <v>438.29702876725884</v>
      </c>
      <c r="Q41" s="567"/>
      <c r="R41" s="398">
        <f t="shared" si="34"/>
        <v>11.415499642068511</v>
      </c>
      <c r="S41" s="399">
        <f t="shared" si="35"/>
        <v>0.46808456235099699</v>
      </c>
      <c r="T41" s="445">
        <f>T8/VAC_Optim_Scenario!$E$32/1000</f>
        <v>429.64957236059655</v>
      </c>
      <c r="U41" s="552"/>
      <c r="V41" s="398">
        <f t="shared" si="36"/>
        <v>12</v>
      </c>
      <c r="W41" s="399">
        <f t="shared" si="37"/>
        <v>0.54325393549044221</v>
      </c>
      <c r="X41" s="445">
        <f>X8/VAC_Optim_Scenario!$E$32/1000</f>
        <v>438.29702876725884</v>
      </c>
    </row>
    <row r="42" spans="1:29" x14ac:dyDescent="0.35">
      <c r="A42" s="186"/>
      <c r="B42" s="390" t="str">
        <f t="shared" si="38"/>
        <v>HCC Social</v>
      </c>
      <c r="C42" s="396">
        <f t="shared" si="39"/>
        <v>1.84</v>
      </c>
      <c r="D42" s="442">
        <f>D9/VAC_Optim_Scenario!$E$32/1000</f>
        <v>70.487367019183054</v>
      </c>
      <c r="E42" s="393"/>
      <c r="F42" s="398">
        <f t="shared" si="29"/>
        <v>1.5994999999999999</v>
      </c>
      <c r="G42" s="399">
        <f t="shared" si="40"/>
        <v>-0.13070652173913044</v>
      </c>
      <c r="H42" s="445">
        <f>H9/VAC_Optim_Scenario!$E$32/1000</f>
        <v>64.805391873188782</v>
      </c>
      <c r="I42" s="393"/>
      <c r="J42" s="398">
        <f t="shared" si="30"/>
        <v>3.9879180972265242</v>
      </c>
      <c r="K42" s="399">
        <f t="shared" si="31"/>
        <v>1.167346791970937</v>
      </c>
      <c r="L42" s="445">
        <f>L9/VAC_Optim_Scenario!$E$32/1000</f>
        <v>112.11619045418853</v>
      </c>
      <c r="M42" s="393"/>
      <c r="N42" s="398">
        <f t="shared" si="32"/>
        <v>6.5</v>
      </c>
      <c r="O42" s="399">
        <f t="shared" si="33"/>
        <v>2.5326086956521738</v>
      </c>
      <c r="P42" s="445">
        <f>P9/VAC_Optim_Scenario!$E$32/1000</f>
        <v>150.30333203068781</v>
      </c>
      <c r="Q42" s="567"/>
      <c r="R42" s="398">
        <f t="shared" si="34"/>
        <v>2.5760000000000001</v>
      </c>
      <c r="S42" s="399">
        <f t="shared" si="35"/>
        <v>0.4</v>
      </c>
      <c r="T42" s="445">
        <f>T9/VAC_Optim_Scenario!$E$32/1000</f>
        <v>86.255760709601915</v>
      </c>
      <c r="U42" s="552"/>
      <c r="V42" s="398">
        <f t="shared" si="36"/>
        <v>2.5760000000000001</v>
      </c>
      <c r="W42" s="399">
        <f t="shared" si="37"/>
        <v>0.4</v>
      </c>
      <c r="X42" s="445">
        <f>X9/VAC_Optim_Scenario!$E$32/1000</f>
        <v>86.255760709601915</v>
      </c>
    </row>
    <row r="43" spans="1:29" x14ac:dyDescent="0.35">
      <c r="A43" s="186"/>
      <c r="B43" s="390" t="str">
        <f t="shared" si="38"/>
        <v>HCC Online Video</v>
      </c>
      <c r="C43" s="396">
        <f t="shared" si="39"/>
        <v>1.22</v>
      </c>
      <c r="D43" s="442">
        <f>D10/VAC_Optim_Scenario!$E$32/1000</f>
        <v>15.022779470646752</v>
      </c>
      <c r="E43" s="393"/>
      <c r="F43" s="398">
        <f t="shared" si="29"/>
        <v>1</v>
      </c>
      <c r="G43" s="399">
        <f t="shared" si="40"/>
        <v>-0.18032786885245902</v>
      </c>
      <c r="H43" s="445">
        <f>H10/VAC_Optim_Scenario!$E$32/1000</f>
        <v>14.861613123927265</v>
      </c>
      <c r="I43" s="393"/>
      <c r="J43" s="398">
        <f t="shared" si="30"/>
        <v>1</v>
      </c>
      <c r="K43" s="399">
        <f t="shared" si="31"/>
        <v>-0.18032786885245902</v>
      </c>
      <c r="L43" s="445">
        <f>L10/VAC_Optim_Scenario!$E$32/1000</f>
        <v>14.861613123927265</v>
      </c>
      <c r="M43" s="393"/>
      <c r="N43" s="398">
        <f t="shared" si="32"/>
        <v>0.99999999999999989</v>
      </c>
      <c r="O43" s="399">
        <f t="shared" si="33"/>
        <v>-0.18032786885245911</v>
      </c>
      <c r="P43" s="445">
        <f>P10/VAC_Optim_Scenario!$E$32/1000</f>
        <v>14.861613123927265</v>
      </c>
      <c r="Q43" s="567"/>
      <c r="R43" s="398">
        <f t="shared" si="34"/>
        <v>1</v>
      </c>
      <c r="S43" s="399">
        <f t="shared" si="35"/>
        <v>-0.18032786885245902</v>
      </c>
      <c r="T43" s="445">
        <f>T10/VAC_Optim_Scenario!$E$32/1000</f>
        <v>14.861613123927265</v>
      </c>
      <c r="U43" s="552"/>
      <c r="V43" s="398">
        <f t="shared" si="36"/>
        <v>1</v>
      </c>
      <c r="W43" s="399">
        <f t="shared" si="37"/>
        <v>-0.18032786885245902</v>
      </c>
      <c r="X43" s="445">
        <f>X10/VAC_Optim_Scenario!$E$32/1000</f>
        <v>14.861613123927265</v>
      </c>
    </row>
    <row r="44" spans="1:29" x14ac:dyDescent="0.35">
      <c r="A44" s="186"/>
      <c r="B44" s="390" t="str">
        <f t="shared" si="38"/>
        <v>HCC Streaming Video</v>
      </c>
      <c r="C44" s="396">
        <f t="shared" si="39"/>
        <v>4.8177979999999998</v>
      </c>
      <c r="D44" s="442">
        <f>D11/VAC_Optim_Scenario!$E$32/1000</f>
        <v>121.5167124715425</v>
      </c>
      <c r="E44" s="393"/>
      <c r="F44" s="398">
        <f t="shared" si="29"/>
        <v>4.8177979999999998</v>
      </c>
      <c r="G44" s="399">
        <f t="shared" si="40"/>
        <v>0</v>
      </c>
      <c r="H44" s="445">
        <f>H11/VAC_Optim_Scenario!$E$32/1000</f>
        <v>121.5167124715425</v>
      </c>
      <c r="I44" s="393"/>
      <c r="J44" s="398">
        <f t="shared" si="30"/>
        <v>5.6090414509816826</v>
      </c>
      <c r="K44" s="399">
        <f t="shared" si="31"/>
        <v>0.16423342177934447</v>
      </c>
      <c r="L44" s="445">
        <f>L11/VAC_Optim_Scenario!$E$32/1000</f>
        <v>135.16493978915025</v>
      </c>
      <c r="M44" s="393"/>
      <c r="N44" s="398">
        <f t="shared" si="32"/>
        <v>10.772356891532867</v>
      </c>
      <c r="O44" s="399">
        <f t="shared" si="33"/>
        <v>1.2359503016799103</v>
      </c>
      <c r="P44" s="445">
        <f>P11/VAC_Optim_Scenario!$E$32/1000</f>
        <v>213.43199013644883</v>
      </c>
      <c r="Q44" s="567"/>
      <c r="R44" s="398">
        <f t="shared" si="34"/>
        <v>7.5702492039995652</v>
      </c>
      <c r="S44" s="399">
        <f t="shared" si="35"/>
        <v>0.57130896812186083</v>
      </c>
      <c r="T44" s="445">
        <f>T11/VAC_Optim_Scenario!$E$32/1000</f>
        <v>166.73206308158876</v>
      </c>
      <c r="U44" s="552"/>
      <c r="V44" s="398">
        <f t="shared" si="36"/>
        <v>12.070112999999999</v>
      </c>
      <c r="W44" s="399">
        <f t="shared" si="37"/>
        <v>1.5053173669796867</v>
      </c>
      <c r="X44" s="445">
        <f>X11/VAC_Optim_Scenario!$E$32/1000</f>
        <v>231.12128094253907</v>
      </c>
    </row>
    <row r="45" spans="1:29" x14ac:dyDescent="0.35">
      <c r="A45" s="186"/>
      <c r="B45" s="390" t="str">
        <f t="shared" si="38"/>
        <v>HCC Display</v>
      </c>
      <c r="C45" s="396">
        <f t="shared" si="39"/>
        <v>3.54</v>
      </c>
      <c r="D45" s="442">
        <f>D12/VAC_Optim_Scenario!$E$32/1000</f>
        <v>173.89917017680224</v>
      </c>
      <c r="E45" s="393"/>
      <c r="F45" s="398">
        <f t="shared" si="29"/>
        <v>3.8118394251255072</v>
      </c>
      <c r="G45" s="399">
        <f t="shared" si="40"/>
        <v>7.6790798058052875E-2</v>
      </c>
      <c r="H45" s="445">
        <f>H12/VAC_Optim_Scenario!$E$32/1000</f>
        <v>180.9730897313282</v>
      </c>
      <c r="I45" s="393"/>
      <c r="J45" s="398">
        <f t="shared" si="30"/>
        <v>5.0626223862681137</v>
      </c>
      <c r="K45" s="399">
        <f t="shared" si="31"/>
        <v>0.4301193181548344</v>
      </c>
      <c r="L45" s="445">
        <f>L12/VAC_Optim_Scenario!$E$32/1000</f>
        <v>206.79471935203486</v>
      </c>
      <c r="M45" s="393"/>
      <c r="N45" s="398">
        <f t="shared" si="32"/>
        <v>5.6866304364398532</v>
      </c>
      <c r="O45" s="399">
        <f t="shared" si="33"/>
        <v>0.6063927786553257</v>
      </c>
      <c r="P45" s="445">
        <f>P12/VAC_Optim_Scenario!$E$32/1000</f>
        <v>216.35475767979398</v>
      </c>
      <c r="Q45" s="567"/>
      <c r="R45" s="398">
        <f t="shared" si="34"/>
        <v>5.3494979439856341</v>
      </c>
      <c r="S45" s="399">
        <f t="shared" si="35"/>
        <v>0.51115761129537696</v>
      </c>
      <c r="T45" s="445">
        <f>T12/VAC_Optim_Scenario!$E$32/1000</f>
        <v>211.42262182002514</v>
      </c>
      <c r="U45" s="552"/>
      <c r="V45" s="398">
        <f t="shared" si="36"/>
        <v>7</v>
      </c>
      <c r="W45" s="399">
        <f t="shared" si="37"/>
        <v>0.97740112994350281</v>
      </c>
      <c r="X45" s="445">
        <f>X12/VAC_Optim_Scenario!$E$32/1000</f>
        <v>231.27696471182625</v>
      </c>
    </row>
    <row r="46" spans="1:29" x14ac:dyDescent="0.35">
      <c r="A46" s="186"/>
      <c r="B46" s="390" t="str">
        <f t="shared" si="38"/>
        <v>HCC Paid Search</v>
      </c>
      <c r="C46" s="401">
        <f t="shared" si="39"/>
        <v>0.4</v>
      </c>
      <c r="D46" s="442">
        <f>D13/VAC_Optim_Scenario!$E$32/1000</f>
        <v>145.03835480357722</v>
      </c>
      <c r="E46" s="403"/>
      <c r="F46" s="404">
        <f t="shared" si="29"/>
        <v>0.4</v>
      </c>
      <c r="G46" s="399">
        <f t="shared" si="40"/>
        <v>0</v>
      </c>
      <c r="H46" s="445">
        <f>H13/VAC_Optim_Scenario!$E$32/1000</f>
        <v>145.03835480357722</v>
      </c>
      <c r="I46" s="393"/>
      <c r="J46" s="404">
        <f t="shared" si="30"/>
        <v>0.4</v>
      </c>
      <c r="K46" s="399">
        <f t="shared" si="31"/>
        <v>0</v>
      </c>
      <c r="L46" s="445">
        <f>L13/VAC_Optim_Scenario!$E$32/1000</f>
        <v>145.03835480357722</v>
      </c>
      <c r="M46" s="393"/>
      <c r="N46" s="398">
        <f t="shared" si="32"/>
        <v>0.4</v>
      </c>
      <c r="O46" s="399">
        <f t="shared" si="33"/>
        <v>0</v>
      </c>
      <c r="P46" s="445">
        <f>P13/VAC_Optim_Scenario!$E$32/1000</f>
        <v>145.03835480357722</v>
      </c>
      <c r="Q46" s="567"/>
      <c r="R46" s="398">
        <f t="shared" si="34"/>
        <v>0.4</v>
      </c>
      <c r="S46" s="399">
        <f t="shared" si="35"/>
        <v>0</v>
      </c>
      <c r="T46" s="445">
        <f>T13/VAC_Optim_Scenario!$E$32/1000</f>
        <v>145.03835480357722</v>
      </c>
      <c r="U46" s="552"/>
      <c r="V46" s="398">
        <f t="shared" si="36"/>
        <v>0.4</v>
      </c>
      <c r="W46" s="399">
        <f t="shared" si="37"/>
        <v>0</v>
      </c>
      <c r="X46" s="445">
        <f>X13/VAC_Optim_Scenario!$E$32/1000</f>
        <v>145.03835480357722</v>
      </c>
    </row>
    <row r="47" spans="1:29" x14ac:dyDescent="0.35">
      <c r="A47" s="186"/>
      <c r="B47" s="390" t="str">
        <f t="shared" si="38"/>
        <v>HCC Audio</v>
      </c>
      <c r="C47" s="396">
        <f t="shared" si="39"/>
        <v>2.2200000000000002</v>
      </c>
      <c r="D47" s="442">
        <f>D14/VAC_Optim_Scenario!$E$32/1000</f>
        <v>91.610125423352102</v>
      </c>
      <c r="E47" s="393"/>
      <c r="F47" s="398">
        <f t="shared" si="29"/>
        <v>2.1807759009923506</v>
      </c>
      <c r="G47" s="399">
        <f t="shared" si="40"/>
        <v>-1.7668513066508715E-2</v>
      </c>
      <c r="H47" s="445">
        <f>H14/VAC_Optim_Scenario!$E$32/1000</f>
        <v>90.635496182672853</v>
      </c>
      <c r="I47" s="393"/>
      <c r="J47" s="398">
        <f t="shared" si="30"/>
        <v>4.8</v>
      </c>
      <c r="K47" s="399">
        <f t="shared" si="31"/>
        <v>1.1621621621621621</v>
      </c>
      <c r="L47" s="445">
        <f>L14/VAC_Optim_Scenario!$E$32/1000</f>
        <v>145.50450354692467</v>
      </c>
      <c r="M47" s="393"/>
      <c r="N47" s="398">
        <f t="shared" si="32"/>
        <v>4.8</v>
      </c>
      <c r="O47" s="399">
        <f t="shared" si="33"/>
        <v>1.1621621621621621</v>
      </c>
      <c r="P47" s="445">
        <f>P14/VAC_Optim_Scenario!$E$32/1000</f>
        <v>145.50450354692467</v>
      </c>
      <c r="Q47" s="567"/>
      <c r="R47" s="398">
        <f t="shared" si="34"/>
        <v>3.1080000000000001</v>
      </c>
      <c r="S47" s="399">
        <f t="shared" si="35"/>
        <v>0.4</v>
      </c>
      <c r="T47" s="445">
        <f>T14/VAC_Optim_Scenario!$E$32/1000</f>
        <v>112.1037909522537</v>
      </c>
      <c r="U47" s="552"/>
      <c r="V47" s="398">
        <f t="shared" si="36"/>
        <v>3.1080000000000001</v>
      </c>
      <c r="W47" s="399">
        <f t="shared" si="37"/>
        <v>0.4</v>
      </c>
      <c r="X47" s="445">
        <f>X14/VAC_Optim_Scenario!$E$32/1000</f>
        <v>112.1037909522537</v>
      </c>
    </row>
    <row r="48" spans="1:29" x14ac:dyDescent="0.35">
      <c r="A48" s="186"/>
      <c r="B48" s="390" t="str">
        <f t="shared" si="38"/>
        <v>HCC Linear TV</v>
      </c>
      <c r="C48" s="396">
        <f t="shared" si="39"/>
        <v>16.888801000000001</v>
      </c>
      <c r="D48" s="442">
        <f>D15/VAC_Optim_Scenario!$E$32/1000</f>
        <v>296.69017284619241</v>
      </c>
      <c r="E48" s="393"/>
      <c r="F48" s="398">
        <f t="shared" si="29"/>
        <v>16.888801000000001</v>
      </c>
      <c r="G48" s="399">
        <f t="shared" si="40"/>
        <v>0</v>
      </c>
      <c r="H48" s="445">
        <f>H15/VAC_Optim_Scenario!$E$32/1000</f>
        <v>296.69017284619241</v>
      </c>
      <c r="I48" s="393"/>
      <c r="J48" s="398">
        <f t="shared" si="30"/>
        <v>16.888801000000001</v>
      </c>
      <c r="K48" s="399">
        <f t="shared" si="31"/>
        <v>0</v>
      </c>
      <c r="L48" s="445">
        <f>L15/VAC_Optim_Scenario!$E$32/1000</f>
        <v>296.69017284619241</v>
      </c>
      <c r="M48" s="393"/>
      <c r="N48" s="398">
        <f t="shared" si="32"/>
        <v>16.888801000000001</v>
      </c>
      <c r="O48" s="399">
        <f t="shared" si="33"/>
        <v>0</v>
      </c>
      <c r="P48" s="445">
        <f>P15/VAC_Optim_Scenario!$E$32/1000</f>
        <v>296.69017284619241</v>
      </c>
      <c r="Q48" s="567"/>
      <c r="R48" s="398">
        <f t="shared" si="34"/>
        <v>16.888801000000001</v>
      </c>
      <c r="S48" s="399">
        <f t="shared" si="35"/>
        <v>0</v>
      </c>
      <c r="T48" s="445">
        <f>T15/VAC_Optim_Scenario!$E$32/1000</f>
        <v>296.69017284619241</v>
      </c>
      <c r="U48" s="552"/>
      <c r="V48" s="398">
        <f t="shared" si="36"/>
        <v>16.888801000000001</v>
      </c>
      <c r="W48" s="399">
        <f t="shared" si="37"/>
        <v>0</v>
      </c>
      <c r="X48" s="445">
        <f>X15/VAC_Optim_Scenario!$E$32/1000</f>
        <v>296.69017284619241</v>
      </c>
    </row>
    <row r="49" spans="2:24" ht="28" customHeight="1" x14ac:dyDescent="0.35">
      <c r="B49" s="405" t="s">
        <v>217</v>
      </c>
      <c r="C49" s="379">
        <f>C16/1000000</f>
        <v>39.702376999999998</v>
      </c>
      <c r="D49" s="443">
        <f>D16/VAC_Optim_Scenario!$E$32/1000</f>
        <v>1292.8640722384234</v>
      </c>
      <c r="E49" s="407"/>
      <c r="F49" s="380">
        <f t="shared" si="29"/>
        <v>39.702376999999998</v>
      </c>
      <c r="G49" s="381">
        <f t="shared" si="40"/>
        <v>0</v>
      </c>
      <c r="H49" s="446">
        <f>H16/VAC_Optim_Scenario!$E$32/1000</f>
        <v>1298.8943189921804</v>
      </c>
      <c r="I49" s="407"/>
      <c r="J49" s="380">
        <f t="shared" si="30"/>
        <v>49.702377060788763</v>
      </c>
      <c r="K49" s="381">
        <f t="shared" si="31"/>
        <v>0.25187408957374935</v>
      </c>
      <c r="L49" s="446">
        <f>L16/VAC_Optim_Scenario!$E$32/1000</f>
        <v>1500.9173551881709</v>
      </c>
      <c r="M49" s="407"/>
      <c r="N49" s="380">
        <f t="shared" si="32"/>
        <v>59.702377040301513</v>
      </c>
      <c r="O49" s="381">
        <f t="shared" si="33"/>
        <v>0.50374817710036646</v>
      </c>
      <c r="P49" s="446">
        <f>P16/VAC_Optim_Scenario!$E$32/1000</f>
        <v>1653.1930285402254</v>
      </c>
      <c r="Q49" s="568"/>
      <c r="R49" s="380">
        <f t="shared" si="34"/>
        <v>49.702376920868574</v>
      </c>
      <c r="S49" s="381">
        <f t="shared" si="35"/>
        <v>0.25187408604952233</v>
      </c>
      <c r="T49" s="446">
        <f>T16/VAC_Optim_Scenario!$E$32/1000</f>
        <v>1491.6577302478759</v>
      </c>
      <c r="U49" s="553"/>
      <c r="V49" s="380">
        <f t="shared" si="36"/>
        <v>59.702376990839454</v>
      </c>
      <c r="W49" s="381">
        <f t="shared" si="37"/>
        <v>0.50374817585454523</v>
      </c>
      <c r="X49" s="446">
        <f>X16/VAC_Optim_Scenario!$E$32/1000</f>
        <v>1612.3819665933722</v>
      </c>
    </row>
    <row r="50" spans="2:24" ht="41.5" customHeight="1" x14ac:dyDescent="0.35">
      <c r="B50" s="405" t="s">
        <v>305</v>
      </c>
      <c r="C50" s="379"/>
      <c r="D50" s="409"/>
      <c r="E50" s="407"/>
      <c r="F50" s="380"/>
      <c r="G50" s="381"/>
      <c r="H50" s="411" t="str">
        <f>_xlfn.CONCAT("+",ROUND(H51,0),"(",ROUND(H52*100,1),"%)")</f>
        <v>+6(0.5%)</v>
      </c>
      <c r="I50" s="407"/>
      <c r="J50" s="380"/>
      <c r="K50" s="381"/>
      <c r="L50" s="411" t="str">
        <f>_xlfn.CONCAT("+",ROUND(L51,0),"(",ROUND(L52*100,1),"%)")</f>
        <v>+208(16.1%)</v>
      </c>
      <c r="M50" s="407"/>
      <c r="N50" s="380"/>
      <c r="O50" s="381"/>
      <c r="P50" s="411" t="str">
        <f>_xlfn.CONCAT("+",ROUND(P51,0),"(",ROUND(P52*100,1),"%)")</f>
        <v>+360(27.9%)</v>
      </c>
      <c r="Q50" s="563"/>
      <c r="R50" s="380"/>
      <c r="S50" s="381"/>
      <c r="T50" s="411" t="str">
        <f>_xlfn.CONCAT("+",ROUND(T51,0),"(",ROUND(T52*100,1),"%)")</f>
        <v>+199(15.4%)</v>
      </c>
      <c r="U50" s="550"/>
      <c r="V50" s="380"/>
      <c r="W50" s="381"/>
      <c r="X50" s="411" t="str">
        <f>_xlfn.CONCAT("+",ROUND(X51,0),"(",ROUND(X52*100,1),"%)")</f>
        <v>+320(24.7%)</v>
      </c>
    </row>
    <row r="51" spans="2:24" x14ac:dyDescent="0.35">
      <c r="H51" s="447">
        <f>(H49-$D$49)</f>
        <v>6.0302467537569555</v>
      </c>
      <c r="L51" s="447">
        <f>(L49-$D$49)</f>
        <v>208.05328294974743</v>
      </c>
      <c r="P51" s="447">
        <f>(P49-$D$49)</f>
        <v>360.32895630180201</v>
      </c>
      <c r="Q51" s="569"/>
      <c r="T51" s="447">
        <f>(T49-$D$49)</f>
        <v>198.79365800945243</v>
      </c>
      <c r="U51" s="554"/>
      <c r="X51" s="447">
        <f>(X49-$D$49)</f>
        <v>319.51789435494879</v>
      </c>
    </row>
    <row r="52" spans="2:24" x14ac:dyDescent="0.35">
      <c r="H52" s="301">
        <f>H51/$D$49</f>
        <v>4.6642542578481426E-3</v>
      </c>
      <c r="L52" s="301">
        <f>L51/$D$49</f>
        <v>0.16092432871889667</v>
      </c>
      <c r="P52" s="301">
        <f>P51/$D$49</f>
        <v>0.27870598622014453</v>
      </c>
      <c r="Q52" s="565"/>
      <c r="T52" s="301">
        <f>T51/$D$49</f>
        <v>0.1537622262681238</v>
      </c>
      <c r="U52" s="301"/>
      <c r="X52" s="301">
        <f>X51/$D$49</f>
        <v>0.24713958815619785</v>
      </c>
    </row>
    <row r="56" spans="2:24" x14ac:dyDescent="0.35">
      <c r="D56" s="97">
        <f>D49*1000</f>
        <v>1292864.0722384234</v>
      </c>
      <c r="H56" s="97">
        <f>H49*1000</f>
        <v>1298894.3189921803</v>
      </c>
      <c r="L56" s="97">
        <f>L49*1000</f>
        <v>1500917.3551881709</v>
      </c>
      <c r="P56" s="97">
        <f>P49*1000</f>
        <v>1653193.0285402255</v>
      </c>
      <c r="T56" s="97">
        <f>T49*1000</f>
        <v>1491657.7302478759</v>
      </c>
      <c r="X56" s="97">
        <f>X49*1000</f>
        <v>1612381.9665933722</v>
      </c>
    </row>
  </sheetData>
  <mergeCells count="22">
    <mergeCell ref="C38:D38"/>
    <mergeCell ref="F38:H38"/>
    <mergeCell ref="J38:L38"/>
    <mergeCell ref="N38:P38"/>
    <mergeCell ref="F37:AC37"/>
    <mergeCell ref="V38:X38"/>
    <mergeCell ref="R38:T38"/>
    <mergeCell ref="F4:AB4"/>
    <mergeCell ref="C20:D20"/>
    <mergeCell ref="F5:H5"/>
    <mergeCell ref="N5:P5"/>
    <mergeCell ref="Z5:AB5"/>
    <mergeCell ref="F20:H20"/>
    <mergeCell ref="N20:P20"/>
    <mergeCell ref="Z20:AB20"/>
    <mergeCell ref="F19:AC19"/>
    <mergeCell ref="J5:L5"/>
    <mergeCell ref="J20:L20"/>
    <mergeCell ref="V5:X5"/>
    <mergeCell ref="V20:X20"/>
    <mergeCell ref="R5:T5"/>
    <mergeCell ref="R20:T20"/>
  </mergeCells>
  <conditionalFormatting sqref="G22:G30">
    <cfRule type="cellIs" dxfId="23" priority="51" operator="lessThan">
      <formula>0</formula>
    </cfRule>
    <cfRule type="cellIs" dxfId="22" priority="52" operator="greaterThan">
      <formula>0</formula>
    </cfRule>
  </conditionalFormatting>
  <conditionalFormatting sqref="O22:O30">
    <cfRule type="cellIs" dxfId="21" priority="49" operator="lessThan">
      <formula>0</formula>
    </cfRule>
    <cfRule type="cellIs" dxfId="20" priority="50" operator="greaterThan">
      <formula>0</formula>
    </cfRule>
  </conditionalFormatting>
  <conditionalFormatting sqref="AA22:AA30">
    <cfRule type="cellIs" dxfId="19" priority="47" operator="lessThan">
      <formula>0</formula>
    </cfRule>
    <cfRule type="cellIs" dxfId="18" priority="48" operator="greaterThan">
      <formula>0</formula>
    </cfRule>
  </conditionalFormatting>
  <conditionalFormatting sqref="K22:K30">
    <cfRule type="cellIs" dxfId="17" priority="15" operator="lessThan">
      <formula>0</formula>
    </cfRule>
    <cfRule type="cellIs" dxfId="16" priority="16" operator="greaterThan">
      <formula>0</formula>
    </cfRule>
  </conditionalFormatting>
  <conditionalFormatting sqref="G40:G48">
    <cfRule type="cellIs" dxfId="15" priority="13" operator="lessThan">
      <formula>0</formula>
    </cfRule>
    <cfRule type="cellIs" dxfId="14" priority="14" operator="greaterThan">
      <formula>0</formula>
    </cfRule>
  </conditionalFormatting>
  <conditionalFormatting sqref="O40:O48">
    <cfRule type="cellIs" dxfId="13" priority="11" operator="lessThan">
      <formula>0</formula>
    </cfRule>
    <cfRule type="cellIs" dxfId="12" priority="12" operator="greaterThan">
      <formula>0</formula>
    </cfRule>
  </conditionalFormatting>
  <conditionalFormatting sqref="K40:K48">
    <cfRule type="cellIs" dxfId="11" priority="9" operator="lessThan">
      <formula>0</formula>
    </cfRule>
    <cfRule type="cellIs" dxfId="10" priority="10" operator="greaterThan">
      <formula>0</formula>
    </cfRule>
  </conditionalFormatting>
  <conditionalFormatting sqref="W22:W30">
    <cfRule type="cellIs" dxfId="9" priority="7" operator="lessThan">
      <formula>0</formula>
    </cfRule>
    <cfRule type="cellIs" dxfId="8" priority="8" operator="greaterThan">
      <formula>0</formula>
    </cfRule>
  </conditionalFormatting>
  <conditionalFormatting sqref="W40:W48">
    <cfRule type="cellIs" dxfId="7" priority="5" operator="lessThan">
      <formula>0</formula>
    </cfRule>
    <cfRule type="cellIs" dxfId="6" priority="6" operator="greaterThan">
      <formula>0</formula>
    </cfRule>
  </conditionalFormatting>
  <conditionalFormatting sqref="S22:S30">
    <cfRule type="cellIs" dxfId="5" priority="3" operator="lessThan">
      <formula>0</formula>
    </cfRule>
    <cfRule type="cellIs" dxfId="4" priority="4" operator="greaterThan">
      <formula>0</formula>
    </cfRule>
  </conditionalFormatting>
  <conditionalFormatting sqref="S40:S48">
    <cfRule type="cellIs" dxfId="3" priority="1" operator="lessThan">
      <formula>0</formula>
    </cfRule>
    <cfRule type="cellIs" dxfId="2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235FBF-BBD0-409B-99E7-4E5047C99B70}">
  <dimension ref="B1:J21"/>
  <sheetViews>
    <sheetView showGridLines="0" tabSelected="1" workbookViewId="0">
      <selection activeCell="F8" sqref="F8"/>
    </sheetView>
  </sheetViews>
  <sheetFormatPr defaultRowHeight="14.5" x14ac:dyDescent="0.35"/>
  <cols>
    <col min="1" max="1" width="8.7265625" style="97"/>
    <col min="2" max="2" width="19.453125" style="97" bestFit="1" customWidth="1"/>
    <col min="3" max="3" width="16.453125" style="97" bestFit="1" customWidth="1"/>
    <col min="4" max="4" width="21" style="97" bestFit="1" customWidth="1"/>
    <col min="5" max="5" width="19.26953125" style="97" customWidth="1"/>
    <col min="6" max="6" width="16.453125" style="97" customWidth="1"/>
    <col min="7" max="7" width="16" style="97" bestFit="1" customWidth="1"/>
    <col min="8" max="8" width="11.36328125" style="97" bestFit="1" customWidth="1"/>
    <col min="9" max="16384" width="8.7265625" style="97"/>
  </cols>
  <sheetData>
    <row r="1" spans="2:10" ht="15" thickBot="1" x14ac:dyDescent="0.4"/>
    <row r="2" spans="2:10" ht="15" customHeight="1" thickBot="1" x14ac:dyDescent="0.4">
      <c r="B2" s="577" t="s">
        <v>294</v>
      </c>
      <c r="C2" s="578" t="s">
        <v>295</v>
      </c>
      <c r="D2" s="578" t="s">
        <v>296</v>
      </c>
      <c r="E2" s="578" t="s">
        <v>297</v>
      </c>
      <c r="F2" s="578" t="s">
        <v>298</v>
      </c>
      <c r="G2" s="576" t="s">
        <v>320</v>
      </c>
      <c r="I2" s="575" t="s">
        <v>318</v>
      </c>
      <c r="J2" s="576" t="s">
        <v>319</v>
      </c>
    </row>
    <row r="3" spans="2:10" x14ac:dyDescent="0.35">
      <c r="B3" s="595" t="s">
        <v>224</v>
      </c>
      <c r="C3" s="601">
        <v>1800000</v>
      </c>
      <c r="D3" s="573">
        <v>1000000</v>
      </c>
      <c r="E3" s="573">
        <f>D3</f>
        <v>1000000</v>
      </c>
      <c r="F3" s="573">
        <v>7500000</v>
      </c>
      <c r="G3" s="602">
        <v>7500000</v>
      </c>
      <c r="H3" s="598">
        <f>D3*150%</f>
        <v>1500000</v>
      </c>
      <c r="I3" s="585">
        <f>C21</f>
        <v>2.9225578919568274</v>
      </c>
      <c r="J3" s="586">
        <f>D21</f>
        <v>0.40246045506959016</v>
      </c>
    </row>
    <row r="4" spans="2:10" x14ac:dyDescent="0.35">
      <c r="B4" s="596" t="s">
        <v>225</v>
      </c>
      <c r="C4" s="603">
        <v>5400000</v>
      </c>
      <c r="D4" s="439">
        <v>7775778</v>
      </c>
      <c r="E4" s="439">
        <f>C4</f>
        <v>5400000</v>
      </c>
      <c r="F4" s="439">
        <v>12000000</v>
      </c>
      <c r="G4" s="604">
        <v>12000000</v>
      </c>
      <c r="H4" s="599">
        <f t="shared" ref="H4:H12" si="0">D4*150%</f>
        <v>11663667</v>
      </c>
      <c r="I4" s="587"/>
      <c r="J4" s="588"/>
    </row>
    <row r="5" spans="2:10" x14ac:dyDescent="0.35">
      <c r="B5" s="596" t="s">
        <v>226</v>
      </c>
      <c r="C5" s="603">
        <v>1900000</v>
      </c>
      <c r="D5" s="439">
        <v>1840000</v>
      </c>
      <c r="E5" s="439">
        <v>1599500</v>
      </c>
      <c r="F5" s="439">
        <v>6500000</v>
      </c>
      <c r="G5" s="605">
        <f>1.4*D5</f>
        <v>2576000</v>
      </c>
      <c r="H5" s="599">
        <f t="shared" si="0"/>
        <v>2760000</v>
      </c>
      <c r="I5" s="589">
        <f>C18</f>
        <v>1.9747752237809837E-4</v>
      </c>
      <c r="J5" s="590">
        <f>D18</f>
        <v>1.8361125979037275E-4</v>
      </c>
    </row>
    <row r="6" spans="2:10" x14ac:dyDescent="0.35">
      <c r="B6" s="596" t="s">
        <v>244</v>
      </c>
      <c r="C6" s="603">
        <v>200000</v>
      </c>
      <c r="D6" s="439">
        <v>1220000</v>
      </c>
      <c r="E6" s="439">
        <v>1000000</v>
      </c>
      <c r="F6" s="439">
        <v>3500000</v>
      </c>
      <c r="G6" s="604">
        <v>3500000</v>
      </c>
      <c r="H6" s="599">
        <f t="shared" si="0"/>
        <v>1830000</v>
      </c>
      <c r="I6" s="589">
        <f>C16</f>
        <v>2.9891057711779268E-3</v>
      </c>
      <c r="J6" s="590">
        <f>D16</f>
        <v>2.5450632203881618E-4</v>
      </c>
    </row>
    <row r="7" spans="2:10" x14ac:dyDescent="0.35">
      <c r="B7" s="596" t="s">
        <v>246</v>
      </c>
      <c r="C7" s="603">
        <v>6200000</v>
      </c>
      <c r="D7" s="439">
        <v>4817798</v>
      </c>
      <c r="E7" s="439">
        <f>D7</f>
        <v>4817798</v>
      </c>
      <c r="F7" s="439">
        <v>12070113</v>
      </c>
      <c r="G7" s="604">
        <v>12070113</v>
      </c>
      <c r="H7" s="599">
        <f t="shared" si="0"/>
        <v>7226697</v>
      </c>
      <c r="I7" s="589">
        <f>C19</f>
        <v>7.1811330513248616E-4</v>
      </c>
      <c r="J7" s="590">
        <f>D19</f>
        <v>1.2521141213876001E-4</v>
      </c>
    </row>
    <row r="8" spans="2:10" x14ac:dyDescent="0.35">
      <c r="B8" s="596" t="s">
        <v>227</v>
      </c>
      <c r="C8" s="603">
        <v>1600000</v>
      </c>
      <c r="D8" s="439">
        <v>3540000</v>
      </c>
      <c r="E8" s="439">
        <f>C8</f>
        <v>1600000</v>
      </c>
      <c r="F8" s="439">
        <v>7000000</v>
      </c>
      <c r="G8" s="604">
        <v>7000000</v>
      </c>
      <c r="H8" s="599">
        <f t="shared" si="0"/>
        <v>5310000</v>
      </c>
      <c r="I8" s="589">
        <f>C15</f>
        <v>1.1648197295694765E-4</v>
      </c>
      <c r="J8" s="590">
        <f>D15</f>
        <v>7.6990987395883026E-5</v>
      </c>
    </row>
    <row r="9" spans="2:10" x14ac:dyDescent="0.35">
      <c r="B9" s="596" t="s">
        <v>228</v>
      </c>
      <c r="C9" s="603">
        <v>300000</v>
      </c>
      <c r="D9" s="439">
        <v>400000</v>
      </c>
      <c r="E9" s="439">
        <v>300000</v>
      </c>
      <c r="F9" s="439">
        <v>400000</v>
      </c>
      <c r="G9" s="604">
        <v>400000</v>
      </c>
      <c r="H9" s="599">
        <f t="shared" si="0"/>
        <v>600000</v>
      </c>
      <c r="I9" s="591">
        <f>C17</f>
        <v>1.4455078582528924</v>
      </c>
      <c r="J9" s="592">
        <f>D17</f>
        <v>0.26308330644319622</v>
      </c>
    </row>
    <row r="10" spans="2:10" x14ac:dyDescent="0.35">
      <c r="B10" s="596" t="s">
        <v>284</v>
      </c>
      <c r="C10" s="603">
        <v>1400000</v>
      </c>
      <c r="D10" s="439">
        <v>2220000</v>
      </c>
      <c r="E10" s="439">
        <f>C10</f>
        <v>1400000</v>
      </c>
      <c r="F10" s="439">
        <v>4800000</v>
      </c>
      <c r="G10" s="605">
        <f>1.4*D10</f>
        <v>3108000</v>
      </c>
      <c r="H10" s="599">
        <f t="shared" si="0"/>
        <v>3330000</v>
      </c>
      <c r="I10" s="591">
        <f>C14</f>
        <v>2.683951526855519E-2</v>
      </c>
      <c r="J10" s="592">
        <f>D14</f>
        <v>8.4933199388333661E-3</v>
      </c>
    </row>
    <row r="11" spans="2:10" ht="15" thickBot="1" x14ac:dyDescent="0.4">
      <c r="B11" s="597" t="s">
        <v>293</v>
      </c>
      <c r="C11" s="606">
        <v>13500000</v>
      </c>
      <c r="D11" s="574">
        <v>16888801</v>
      </c>
      <c r="E11" s="574">
        <f>D11</f>
        <v>16888801</v>
      </c>
      <c r="F11" s="574">
        <f>D11</f>
        <v>16888801</v>
      </c>
      <c r="G11" s="607">
        <f>E11</f>
        <v>16888801</v>
      </c>
      <c r="H11" s="600">
        <f t="shared" si="0"/>
        <v>25333201.5</v>
      </c>
      <c r="I11" s="593"/>
      <c r="J11" s="594"/>
    </row>
    <row r="12" spans="2:10" ht="15" thickBot="1" x14ac:dyDescent="0.4">
      <c r="B12" s="579" t="s">
        <v>299</v>
      </c>
      <c r="C12" s="580">
        <f>SUM(C3:C11)</f>
        <v>32300000</v>
      </c>
      <c r="D12" s="580">
        <f>SUM(D3:D11)</f>
        <v>39702377</v>
      </c>
      <c r="E12" s="580">
        <f>SUM(E3:E11)</f>
        <v>34006099</v>
      </c>
      <c r="F12" s="580">
        <f>SUM(F3:F11)</f>
        <v>70658914</v>
      </c>
      <c r="G12" s="581">
        <f>SUM(F3:F4,F6:F9,F11,G10,G5)</f>
        <v>65042914</v>
      </c>
      <c r="H12" s="582">
        <f t="shared" si="0"/>
        <v>59553565.5</v>
      </c>
      <c r="I12" s="583"/>
      <c r="J12" s="584"/>
    </row>
    <row r="14" spans="2:10" x14ac:dyDescent="0.35">
      <c r="B14" s="570" t="s">
        <v>321</v>
      </c>
      <c r="C14" s="571">
        <v>2.683951526855519E-2</v>
      </c>
      <c r="D14" s="571">
        <v>8.4933199388333661E-3</v>
      </c>
    </row>
    <row r="15" spans="2:10" x14ac:dyDescent="0.35">
      <c r="B15" s="570" t="s">
        <v>322</v>
      </c>
      <c r="C15" s="571">
        <v>1.1648197295694765E-4</v>
      </c>
      <c r="D15" s="571">
        <v>7.6990987395883026E-5</v>
      </c>
    </row>
    <row r="16" spans="2:10" x14ac:dyDescent="0.35">
      <c r="B16" s="570" t="s">
        <v>323</v>
      </c>
      <c r="C16" s="571">
        <v>2.9891057711779268E-3</v>
      </c>
      <c r="D16" s="571">
        <v>2.5450632203881618E-4</v>
      </c>
    </row>
    <row r="17" spans="2:4" x14ac:dyDescent="0.35">
      <c r="B17" s="570" t="s">
        <v>324</v>
      </c>
      <c r="C17" s="571">
        <v>1.4455078582528924</v>
      </c>
      <c r="D17" s="571">
        <v>0.26308330644319622</v>
      </c>
    </row>
    <row r="18" spans="2:4" x14ac:dyDescent="0.35">
      <c r="B18" s="570" t="s">
        <v>325</v>
      </c>
      <c r="C18" s="571">
        <v>1.9747752237809837E-4</v>
      </c>
      <c r="D18" s="571">
        <v>1.8361125979037275E-4</v>
      </c>
    </row>
    <row r="19" spans="2:4" x14ac:dyDescent="0.35">
      <c r="B19" s="570" t="s">
        <v>326</v>
      </c>
      <c r="C19" s="571">
        <v>7.1811330513248616E-4</v>
      </c>
      <c r="D19" s="571">
        <v>1.2521141213876001E-4</v>
      </c>
    </row>
    <row r="20" spans="2:4" x14ac:dyDescent="0.35">
      <c r="B20" s="570" t="s">
        <v>327</v>
      </c>
      <c r="C20" s="571">
        <v>26.204343536924178</v>
      </c>
      <c r="D20" s="571">
        <v>7.4329909634536637</v>
      </c>
    </row>
    <row r="21" spans="2:4" x14ac:dyDescent="0.35">
      <c r="B21" s="572" t="s">
        <v>328</v>
      </c>
      <c r="C21" s="571">
        <v>2.9225578919568274</v>
      </c>
      <c r="D21" s="571">
        <v>0.40246045506959016</v>
      </c>
    </row>
  </sheetData>
  <conditionalFormatting sqref="C14:C20">
    <cfRule type="cellIs" dxfId="1" priority="2" operator="lessThan">
      <formula>0</formula>
    </cfRule>
  </conditionalFormatting>
  <conditionalFormatting sqref="C21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theme="5" tint="-0.249977111117893"/>
  </sheetPr>
  <dimension ref="A1:V58"/>
  <sheetViews>
    <sheetView topLeftCell="A9" zoomScale="90" zoomScaleNormal="90" workbookViewId="0">
      <selection activeCell="C10" sqref="C10"/>
    </sheetView>
  </sheetViews>
  <sheetFormatPr defaultColWidth="8.81640625" defaultRowHeight="13" x14ac:dyDescent="0.3"/>
  <cols>
    <col min="1" max="1" width="21.26953125" style="1" bestFit="1" customWidth="1"/>
    <col min="2" max="2" width="21.1796875" style="1" customWidth="1"/>
    <col min="3" max="3" width="21.90625" style="1" customWidth="1"/>
    <col min="4" max="4" width="12.453125" style="1" customWidth="1"/>
    <col min="5" max="5" width="13.81640625" style="1" customWidth="1"/>
    <col min="6" max="6" width="12.453125" style="1" customWidth="1"/>
    <col min="7" max="7" width="13.7265625" style="1" customWidth="1"/>
    <col min="8" max="8" width="14" style="1" customWidth="1"/>
    <col min="9" max="10" width="14.7265625" style="1" customWidth="1"/>
    <col min="11" max="11" width="13.81640625" style="1" customWidth="1"/>
    <col min="12" max="12" width="13.453125" style="1" customWidth="1"/>
    <col min="13" max="13" width="13.1796875" style="1" bestFit="1" customWidth="1"/>
    <col min="14" max="14" width="10.453125" style="1" customWidth="1"/>
    <col min="15" max="15" width="12" style="1" bestFit="1" customWidth="1"/>
    <col min="16" max="16" width="9.453125" style="1" bestFit="1" customWidth="1"/>
    <col min="17" max="16384" width="8.81640625" style="1"/>
  </cols>
  <sheetData>
    <row r="1" spans="1:14" x14ac:dyDescent="0.3">
      <c r="A1" s="48" t="s">
        <v>0</v>
      </c>
      <c r="B1" s="1" t="s">
        <v>192</v>
      </c>
    </row>
    <row r="2" spans="1:14" x14ac:dyDescent="0.3">
      <c r="A2" s="48" t="s">
        <v>76</v>
      </c>
      <c r="B2" s="1" t="s">
        <v>198</v>
      </c>
    </row>
    <row r="3" spans="1:14" x14ac:dyDescent="0.3">
      <c r="A3" s="48" t="s">
        <v>77</v>
      </c>
      <c r="B3" s="1" t="s">
        <v>199</v>
      </c>
    </row>
    <row r="4" spans="1:14" ht="28.9" customHeight="1" x14ac:dyDescent="0.3">
      <c r="A4" s="49" t="s">
        <v>78</v>
      </c>
      <c r="B4" s="483" t="s">
        <v>274</v>
      </c>
      <c r="C4" s="484"/>
      <c r="D4" s="484"/>
      <c r="E4" s="484"/>
      <c r="F4" s="484"/>
      <c r="G4" s="484"/>
      <c r="H4" s="484"/>
      <c r="I4" s="484"/>
    </row>
    <row r="5" spans="1:14" x14ac:dyDescent="0.3">
      <c r="A5" s="48" t="s">
        <v>79</v>
      </c>
      <c r="B5" s="1" t="s">
        <v>127</v>
      </c>
      <c r="E5" s="485" t="s">
        <v>50</v>
      </c>
      <c r="F5" s="486"/>
      <c r="G5" s="486"/>
      <c r="H5" s="486"/>
      <c r="I5" s="487"/>
    </row>
    <row r="6" spans="1:14" x14ac:dyDescent="0.3">
      <c r="A6" s="48" t="s">
        <v>80</v>
      </c>
      <c r="B6" s="1" t="s">
        <v>193</v>
      </c>
      <c r="E6" s="488" t="s">
        <v>51</v>
      </c>
      <c r="F6" s="489"/>
      <c r="G6" s="489"/>
      <c r="H6" s="489"/>
      <c r="I6" s="490"/>
    </row>
    <row r="7" spans="1:14" ht="13.5" thickBot="1" x14ac:dyDescent="0.35"/>
    <row r="8" spans="1:14" ht="13.5" thickBot="1" x14ac:dyDescent="0.35">
      <c r="A8" s="51" t="s">
        <v>81</v>
      </c>
      <c r="C8" s="448" t="s">
        <v>309</v>
      </c>
    </row>
    <row r="9" spans="1:14" ht="13.5" thickBot="1" x14ac:dyDescent="0.35">
      <c r="A9" s="29" t="s">
        <v>83</v>
      </c>
      <c r="B9" s="57">
        <f>J26</f>
        <v>1491657.7302478761</v>
      </c>
      <c r="C9" s="449">
        <f>'Current Constraints'!D12+10000000</f>
        <v>49702377</v>
      </c>
      <c r="I9" s="149">
        <v>40000000</v>
      </c>
    </row>
    <row r="10" spans="1:14" ht="13.5" thickBot="1" x14ac:dyDescent="0.35">
      <c r="A10" s="50"/>
      <c r="B10" s="1">
        <f>C9/'Current Constraints'!D12</f>
        <v>1.2518740880426378</v>
      </c>
      <c r="E10" s="1" t="s">
        <v>94</v>
      </c>
      <c r="I10" s="433">
        <f>I9/E26</f>
        <v>1.0074963521705513</v>
      </c>
    </row>
    <row r="11" spans="1:14" ht="26.5" thickBot="1" x14ac:dyDescent="0.35">
      <c r="A11" s="286" t="s">
        <v>82</v>
      </c>
      <c r="B11" s="283" t="s">
        <v>84</v>
      </c>
      <c r="C11" s="279" t="s">
        <v>97</v>
      </c>
      <c r="D11" s="156" t="s">
        <v>98</v>
      </c>
      <c r="E11" s="279" t="s">
        <v>159</v>
      </c>
      <c r="F11" s="156" t="s">
        <v>160</v>
      </c>
    </row>
    <row r="12" spans="1:14" s="267" customFormat="1" ht="13.5" thickBot="1" x14ac:dyDescent="0.35">
      <c r="A12" s="157" t="s">
        <v>158</v>
      </c>
      <c r="B12" s="158">
        <f>E26*B10</f>
        <v>49702377</v>
      </c>
      <c r="C12" s="159">
        <f>B12*E12</f>
        <v>0</v>
      </c>
      <c r="D12" s="159">
        <f>B12*F12</f>
        <v>49702377</v>
      </c>
      <c r="E12" s="160">
        <v>0</v>
      </c>
      <c r="F12" s="161">
        <v>1</v>
      </c>
      <c r="I12" s="284"/>
      <c r="K12" s="285"/>
      <c r="L12" s="285"/>
    </row>
    <row r="13" spans="1:14" ht="13.5" thickBot="1" x14ac:dyDescent="0.35">
      <c r="L13" s="149">
        <f>G44</f>
        <v>292109708.48154938</v>
      </c>
      <c r="M13" s="113">
        <f>J44</f>
        <v>337025147.57220507</v>
      </c>
    </row>
    <row r="14" spans="1:14" ht="60.65" customHeight="1" thickBot="1" x14ac:dyDescent="0.35">
      <c r="A14" s="52" t="s">
        <v>85</v>
      </c>
      <c r="D14" s="96" t="s">
        <v>95</v>
      </c>
      <c r="E14" s="96" t="s">
        <v>95</v>
      </c>
      <c r="F14" s="96" t="s">
        <v>96</v>
      </c>
      <c r="G14" s="295"/>
      <c r="H14" s="295"/>
      <c r="I14" s="56" t="s">
        <v>95</v>
      </c>
      <c r="J14" s="56" t="s">
        <v>96</v>
      </c>
    </row>
    <row r="15" spans="1:14" ht="27.75" customHeight="1" x14ac:dyDescent="0.3">
      <c r="A15" s="468" t="s">
        <v>2</v>
      </c>
      <c r="B15" s="470" t="s">
        <v>3</v>
      </c>
      <c r="C15" s="470" t="s">
        <v>38</v>
      </c>
      <c r="D15" s="470" t="s">
        <v>128</v>
      </c>
      <c r="E15" s="491" t="s">
        <v>86</v>
      </c>
      <c r="F15" s="493"/>
      <c r="G15" s="471" t="s">
        <v>131</v>
      </c>
      <c r="H15" s="472"/>
      <c r="I15" s="471" t="s">
        <v>89</v>
      </c>
      <c r="J15" s="472"/>
      <c r="K15" s="491" t="s">
        <v>90</v>
      </c>
      <c r="L15" s="492"/>
      <c r="M15" s="492"/>
      <c r="N15" s="493"/>
    </row>
    <row r="16" spans="1:14" ht="26" x14ac:dyDescent="0.3">
      <c r="A16" s="469"/>
      <c r="B16" s="469"/>
      <c r="C16" s="469"/>
      <c r="D16" s="469"/>
      <c r="E16" s="78" t="s">
        <v>149</v>
      </c>
      <c r="F16" s="78" t="s">
        <v>191</v>
      </c>
      <c r="G16" s="78" t="s">
        <v>87</v>
      </c>
      <c r="H16" s="78" t="s">
        <v>88</v>
      </c>
      <c r="I16" s="55" t="s">
        <v>148</v>
      </c>
      <c r="J16" s="55" t="s">
        <v>194</v>
      </c>
      <c r="K16" s="78" t="s">
        <v>130</v>
      </c>
      <c r="L16" s="78" t="s">
        <v>195</v>
      </c>
      <c r="M16" s="78" t="s">
        <v>91</v>
      </c>
      <c r="N16" s="78" t="s">
        <v>92</v>
      </c>
    </row>
    <row r="17" spans="1:17" x14ac:dyDescent="0.3">
      <c r="A17" s="288" t="s">
        <v>173</v>
      </c>
      <c r="B17" s="306" t="s">
        <v>224</v>
      </c>
      <c r="C17" s="54" t="s">
        <v>129</v>
      </c>
      <c r="D17" s="315">
        <v>1</v>
      </c>
      <c r="E17" s="326">
        <v>1000000</v>
      </c>
      <c r="F17" s="316">
        <v>22310.299479529262</v>
      </c>
      <c r="G17" s="329">
        <v>1000000</v>
      </c>
      <c r="H17" s="329">
        <v>7500000</v>
      </c>
      <c r="I17" s="330">
        <v>1394329.1308148694</v>
      </c>
      <c r="J17" s="317">
        <f>GINOFF!F9</f>
        <v>28903.780550112948</v>
      </c>
      <c r="K17" s="318">
        <f>I17-E17</f>
        <v>394329.13081486942</v>
      </c>
      <c r="L17" s="318">
        <f>J17-F17</f>
        <v>6593.4810705836862</v>
      </c>
      <c r="M17" s="319">
        <f>K17/E17</f>
        <v>0.39432913081486942</v>
      </c>
      <c r="N17" s="319">
        <f>L17/F17</f>
        <v>0.29553530093280517</v>
      </c>
      <c r="O17" s="352">
        <f>E17/F17</f>
        <v>44.822347674783416</v>
      </c>
      <c r="P17" s="308">
        <f>G17/1000000</f>
        <v>1</v>
      </c>
      <c r="Q17" s="308">
        <f>H17/1000000</f>
        <v>7.5</v>
      </c>
    </row>
    <row r="18" spans="1:17" x14ac:dyDescent="0.3">
      <c r="A18" s="289" t="s">
        <v>173</v>
      </c>
      <c r="B18" s="307" t="s">
        <v>225</v>
      </c>
      <c r="C18" s="54" t="s">
        <v>129</v>
      </c>
      <c r="D18" s="320">
        <v>1</v>
      </c>
      <c r="E18" s="327">
        <v>7775778</v>
      </c>
      <c r="F18" s="321">
        <v>356289.09054759797</v>
      </c>
      <c r="G18" s="331">
        <v>5400000</v>
      </c>
      <c r="H18" s="331">
        <v>12000000</v>
      </c>
      <c r="I18" s="332">
        <v>11415499.642068511</v>
      </c>
      <c r="J18" s="322">
        <f>GMCM!F9</f>
        <v>429649.57236059662</v>
      </c>
      <c r="K18" s="323">
        <f>I18-E18</f>
        <v>3639721.6420685109</v>
      </c>
      <c r="L18" s="323">
        <f t="shared" ref="L18" si="0">J18-F18</f>
        <v>73360.481812998652</v>
      </c>
      <c r="M18" s="324">
        <f>K18/E18</f>
        <v>0.46808456235099699</v>
      </c>
      <c r="N18" s="324">
        <f t="shared" ref="N18:N24" si="1">L18/F18</f>
        <v>0.20590156633829954</v>
      </c>
      <c r="O18" s="352">
        <f t="shared" ref="O18:O25" si="2">E18/F18</f>
        <v>21.824350524033811</v>
      </c>
      <c r="P18" s="308">
        <f t="shared" ref="P18:Q25" si="3">G18/1000000</f>
        <v>5.4</v>
      </c>
      <c r="Q18" s="308">
        <f t="shared" si="3"/>
        <v>12</v>
      </c>
    </row>
    <row r="19" spans="1:17" s="98" customFormat="1" x14ac:dyDescent="0.3">
      <c r="A19" s="289" t="s">
        <v>173</v>
      </c>
      <c r="B19" s="307" t="s">
        <v>226</v>
      </c>
      <c r="C19" s="54" t="s">
        <v>167</v>
      </c>
      <c r="D19" s="320">
        <v>1</v>
      </c>
      <c r="E19" s="327">
        <v>1840000</v>
      </c>
      <c r="F19" s="321">
        <v>70487.367019183061</v>
      </c>
      <c r="G19" s="331">
        <v>1599500</v>
      </c>
      <c r="H19" s="331">
        <v>2576000</v>
      </c>
      <c r="I19" s="332">
        <v>2576000</v>
      </c>
      <c r="J19" s="322">
        <f>GSOC!F9</f>
        <v>86255.76070960192</v>
      </c>
      <c r="K19" s="323">
        <f t="shared" ref="K19:K25" si="4">I19-E19</f>
        <v>736000</v>
      </c>
      <c r="L19" s="323">
        <f t="shared" ref="L19:L25" si="5">J19-F19</f>
        <v>15768.393690418859</v>
      </c>
      <c r="M19" s="324">
        <f t="shared" ref="M19:M25" si="6">K19/E19</f>
        <v>0.4</v>
      </c>
      <c r="N19" s="324">
        <f t="shared" si="1"/>
        <v>0.22370524474445908</v>
      </c>
      <c r="O19" s="352">
        <f t="shared" si="2"/>
        <v>26.103968382011573</v>
      </c>
      <c r="P19" s="308">
        <f t="shared" si="3"/>
        <v>1.5994999999999999</v>
      </c>
      <c r="Q19" s="308">
        <f t="shared" si="3"/>
        <v>2.5760000000000001</v>
      </c>
    </row>
    <row r="20" spans="1:17" s="98" customFormat="1" x14ac:dyDescent="0.3">
      <c r="A20" s="289" t="s">
        <v>173</v>
      </c>
      <c r="B20" s="307" t="s">
        <v>244</v>
      </c>
      <c r="C20" s="54" t="s">
        <v>129</v>
      </c>
      <c r="D20" s="320">
        <v>1</v>
      </c>
      <c r="E20" s="327">
        <v>1220000</v>
      </c>
      <c r="F20" s="321">
        <v>15022.779470646754</v>
      </c>
      <c r="G20" s="331">
        <v>1000000</v>
      </c>
      <c r="H20" s="331">
        <v>3500000</v>
      </c>
      <c r="I20" s="332">
        <v>1000000</v>
      </c>
      <c r="J20" s="322">
        <f>GOLV!F9</f>
        <v>14861.613123927265</v>
      </c>
      <c r="K20" s="323">
        <f t="shared" si="4"/>
        <v>-220000</v>
      </c>
      <c r="L20" s="323">
        <f t="shared" si="5"/>
        <v>-161.1663467194885</v>
      </c>
      <c r="M20" s="324">
        <f t="shared" si="6"/>
        <v>-0.18032786885245902</v>
      </c>
      <c r="N20" s="324">
        <f t="shared" si="1"/>
        <v>-1.0728131038227244E-2</v>
      </c>
      <c r="O20" s="352">
        <f t="shared" si="2"/>
        <v>81.210005271246729</v>
      </c>
      <c r="P20" s="308">
        <f t="shared" si="3"/>
        <v>1</v>
      </c>
      <c r="Q20" s="308">
        <f t="shared" si="3"/>
        <v>3.5</v>
      </c>
    </row>
    <row r="21" spans="1:17" s="98" customFormat="1" x14ac:dyDescent="0.3">
      <c r="A21" s="289" t="s">
        <v>173</v>
      </c>
      <c r="B21" s="307" t="s">
        <v>246</v>
      </c>
      <c r="C21" s="54" t="s">
        <v>167</v>
      </c>
      <c r="D21" s="320">
        <v>1</v>
      </c>
      <c r="E21" s="327">
        <v>4817798</v>
      </c>
      <c r="F21" s="321">
        <v>121516.7124715425</v>
      </c>
      <c r="G21" s="331">
        <v>4817798</v>
      </c>
      <c r="H21" s="331">
        <v>12070113</v>
      </c>
      <c r="I21" s="332">
        <v>7570249.203999565</v>
      </c>
      <c r="J21" s="322">
        <f>GSTRV!F9</f>
        <v>166732.06308158877</v>
      </c>
      <c r="K21" s="323">
        <f t="shared" si="4"/>
        <v>2752451.203999565</v>
      </c>
      <c r="L21" s="323">
        <f t="shared" si="5"/>
        <v>45215.350610046269</v>
      </c>
      <c r="M21" s="324">
        <f t="shared" si="6"/>
        <v>0.57130896812186083</v>
      </c>
      <c r="N21" s="324">
        <f t="shared" si="1"/>
        <v>0.37209162172351451</v>
      </c>
      <c r="O21" s="352">
        <f t="shared" si="2"/>
        <v>39.647204915358948</v>
      </c>
      <c r="P21" s="308">
        <f t="shared" si="3"/>
        <v>4.8177979999999998</v>
      </c>
      <c r="Q21" s="308">
        <f t="shared" si="3"/>
        <v>12.070112999999999</v>
      </c>
    </row>
    <row r="22" spans="1:17" s="98" customFormat="1" x14ac:dyDescent="0.3">
      <c r="A22" s="289" t="s">
        <v>173</v>
      </c>
      <c r="B22" s="307" t="s">
        <v>227</v>
      </c>
      <c r="C22" s="54" t="s">
        <v>129</v>
      </c>
      <c r="D22" s="320">
        <v>1</v>
      </c>
      <c r="E22" s="327">
        <v>3540000</v>
      </c>
      <c r="F22" s="321">
        <v>173899.1701768022</v>
      </c>
      <c r="G22" s="331">
        <v>1600000</v>
      </c>
      <c r="H22" s="331">
        <v>7000000</v>
      </c>
      <c r="I22" s="332">
        <v>5349497.9439856345</v>
      </c>
      <c r="J22" s="322">
        <f>GDISP!F9</f>
        <v>211422.62182002515</v>
      </c>
      <c r="K22" s="323">
        <f t="shared" si="4"/>
        <v>1809497.9439856345</v>
      </c>
      <c r="L22" s="323">
        <f t="shared" si="5"/>
        <v>37523.451643222943</v>
      </c>
      <c r="M22" s="324">
        <f t="shared" si="6"/>
        <v>0.51115761129537696</v>
      </c>
      <c r="N22" s="324">
        <f t="shared" si="1"/>
        <v>0.21577705980467349</v>
      </c>
      <c r="O22" s="352">
        <f t="shared" si="2"/>
        <v>20.356623878083514</v>
      </c>
      <c r="P22" s="308">
        <f t="shared" si="3"/>
        <v>1.6</v>
      </c>
      <c r="Q22" s="308">
        <f t="shared" si="3"/>
        <v>7</v>
      </c>
    </row>
    <row r="23" spans="1:17" s="98" customFormat="1" x14ac:dyDescent="0.3">
      <c r="A23" s="289" t="s">
        <v>173</v>
      </c>
      <c r="B23" s="307" t="s">
        <v>228</v>
      </c>
      <c r="C23" s="54" t="s">
        <v>167</v>
      </c>
      <c r="D23" s="320">
        <v>1</v>
      </c>
      <c r="E23" s="327">
        <v>400000</v>
      </c>
      <c r="F23" s="321">
        <v>145038.35480357721</v>
      </c>
      <c r="G23" s="331">
        <v>300000</v>
      </c>
      <c r="H23" s="331">
        <v>400000</v>
      </c>
      <c r="I23" s="332">
        <v>400000</v>
      </c>
      <c r="J23" s="322">
        <f>GSEARCH!F9</f>
        <v>145038.35480357721</v>
      </c>
      <c r="K23" s="323">
        <f t="shared" si="4"/>
        <v>0</v>
      </c>
      <c r="L23" s="323">
        <f t="shared" si="5"/>
        <v>0</v>
      </c>
      <c r="M23" s="324">
        <f t="shared" si="6"/>
        <v>0</v>
      </c>
      <c r="N23" s="324">
        <f t="shared" si="1"/>
        <v>0</v>
      </c>
      <c r="O23" s="352">
        <f t="shared" si="2"/>
        <v>2.7578911836232054</v>
      </c>
      <c r="P23" s="308">
        <f t="shared" si="3"/>
        <v>0.3</v>
      </c>
      <c r="Q23" s="308">
        <f t="shared" si="3"/>
        <v>0.4</v>
      </c>
    </row>
    <row r="24" spans="1:17" x14ac:dyDescent="0.3">
      <c r="A24" s="289" t="s">
        <v>173</v>
      </c>
      <c r="B24" s="307" t="s">
        <v>284</v>
      </c>
      <c r="C24" s="54" t="s">
        <v>167</v>
      </c>
      <c r="D24" s="320">
        <v>1</v>
      </c>
      <c r="E24" s="327">
        <v>2220000</v>
      </c>
      <c r="F24" s="321">
        <v>91610.125423352103</v>
      </c>
      <c r="G24" s="331">
        <v>1400000</v>
      </c>
      <c r="H24" s="331">
        <v>3108000</v>
      </c>
      <c r="I24" s="332">
        <v>3108000</v>
      </c>
      <c r="J24" s="322">
        <f>GRADIO!F9</f>
        <v>112103.79095225371</v>
      </c>
      <c r="K24" s="323">
        <f t="shared" si="4"/>
        <v>888000</v>
      </c>
      <c r="L24" s="323">
        <f t="shared" si="5"/>
        <v>20493.665528901605</v>
      </c>
      <c r="M24" s="324">
        <f t="shared" si="6"/>
        <v>0.4</v>
      </c>
      <c r="N24" s="324">
        <f t="shared" si="1"/>
        <v>0.22370524474445941</v>
      </c>
      <c r="O24" s="352">
        <f t="shared" si="2"/>
        <v>24.233129140920326</v>
      </c>
      <c r="P24" s="308">
        <f t="shared" si="3"/>
        <v>1.4</v>
      </c>
      <c r="Q24" s="308">
        <f t="shared" si="3"/>
        <v>3.1080000000000001</v>
      </c>
    </row>
    <row r="25" spans="1:17" s="98" customFormat="1" x14ac:dyDescent="0.3">
      <c r="A25" s="289" t="s">
        <v>173</v>
      </c>
      <c r="B25" s="307" t="s">
        <v>293</v>
      </c>
      <c r="C25" s="54" t="s">
        <v>167</v>
      </c>
      <c r="D25" s="320">
        <v>1</v>
      </c>
      <c r="E25" s="327">
        <v>16888801</v>
      </c>
      <c r="F25" s="321">
        <v>296690.17284619244</v>
      </c>
      <c r="G25" s="355">
        <v>16888801</v>
      </c>
      <c r="H25" s="355">
        <v>16888801</v>
      </c>
      <c r="I25" s="332">
        <v>16888801</v>
      </c>
      <c r="J25" s="322">
        <f>GTV!F9</f>
        <v>296690.17284619244</v>
      </c>
      <c r="K25" s="323">
        <f t="shared" si="4"/>
        <v>0</v>
      </c>
      <c r="L25" s="323">
        <f t="shared" si="5"/>
        <v>0</v>
      </c>
      <c r="M25" s="324">
        <f t="shared" si="6"/>
        <v>0</v>
      </c>
      <c r="N25" s="324">
        <f t="shared" ref="N25" si="7">L25/F25</f>
        <v>0</v>
      </c>
      <c r="O25" s="352">
        <f t="shared" si="2"/>
        <v>56.924032360031511</v>
      </c>
      <c r="P25" s="308">
        <f t="shared" si="3"/>
        <v>16.888801000000001</v>
      </c>
      <c r="Q25" s="308">
        <f t="shared" si="3"/>
        <v>16.888801000000001</v>
      </c>
    </row>
    <row r="26" spans="1:17" s="98" customFormat="1" x14ac:dyDescent="0.3">
      <c r="A26" s="127" t="s">
        <v>154</v>
      </c>
      <c r="B26" s="127" t="s">
        <v>99</v>
      </c>
      <c r="C26" s="127"/>
      <c r="D26" s="325"/>
      <c r="E26" s="328">
        <f>SUM(E17:E25)</f>
        <v>39702377</v>
      </c>
      <c r="F26" s="334">
        <f t="shared" ref="F26:L26" si="8">SUM(F17:F25)</f>
        <v>1292864.0722384234</v>
      </c>
      <c r="G26" s="333">
        <f t="shared" si="8"/>
        <v>34006099</v>
      </c>
      <c r="H26" s="333">
        <f t="shared" si="8"/>
        <v>65042914</v>
      </c>
      <c r="I26" s="333">
        <f t="shared" si="8"/>
        <v>49702376.920868576</v>
      </c>
      <c r="J26" s="334">
        <f t="shared" si="8"/>
        <v>1491657.7302478761</v>
      </c>
      <c r="K26" s="333">
        <f t="shared" si="8"/>
        <v>9999999.9208685793</v>
      </c>
      <c r="L26" s="165">
        <f t="shared" si="8"/>
        <v>198793.65800945251</v>
      </c>
      <c r="M26" s="166">
        <f>K26/E26</f>
        <v>0.25187408604952238</v>
      </c>
      <c r="N26" s="166">
        <f>L26/F26</f>
        <v>0.15376222626812389</v>
      </c>
    </row>
    <row r="27" spans="1:17" x14ac:dyDescent="0.3">
      <c r="E27" s="113"/>
    </row>
    <row r="29" spans="1:17" x14ac:dyDescent="0.3">
      <c r="J29" s="342"/>
      <c r="K29" s="87"/>
    </row>
    <row r="30" spans="1:17" s="98" customFormat="1" x14ac:dyDescent="0.3">
      <c r="D30" s="498" t="s">
        <v>154</v>
      </c>
      <c r="E30" s="498"/>
      <c r="F30" s="498"/>
      <c r="G30" s="498"/>
      <c r="H30" s="498"/>
      <c r="I30" s="498"/>
      <c r="J30" s="497"/>
      <c r="K30" s="497"/>
      <c r="L30" s="497"/>
      <c r="M30" s="497"/>
      <c r="N30" s="497"/>
      <c r="O30" s="497"/>
      <c r="P30" s="134"/>
    </row>
    <row r="31" spans="1:17" ht="52" x14ac:dyDescent="0.3">
      <c r="A31" s="500" t="s">
        <v>132</v>
      </c>
      <c r="D31" s="146" t="s">
        <v>126</v>
      </c>
      <c r="E31" s="146" t="s">
        <v>141</v>
      </c>
      <c r="F31" s="146" t="s">
        <v>145</v>
      </c>
      <c r="G31" s="146" t="s">
        <v>142</v>
      </c>
      <c r="H31" s="146" t="s">
        <v>143</v>
      </c>
      <c r="I31" s="146" t="s">
        <v>144</v>
      </c>
      <c r="J31" s="82"/>
      <c r="K31" s="82"/>
      <c r="L31" s="82"/>
      <c r="M31" s="82"/>
      <c r="N31" s="82"/>
      <c r="O31" s="82"/>
      <c r="P31" s="134"/>
    </row>
    <row r="32" spans="1:17" x14ac:dyDescent="0.3">
      <c r="A32" s="500"/>
      <c r="D32" s="168">
        <v>1</v>
      </c>
      <c r="E32" s="126">
        <v>225.94</v>
      </c>
      <c r="F32" s="314">
        <f>E32</f>
        <v>225.94</v>
      </c>
      <c r="G32" s="126">
        <f>E32</f>
        <v>225.94</v>
      </c>
      <c r="H32" s="147"/>
      <c r="I32" s="126">
        <f>E32</f>
        <v>225.94</v>
      </c>
      <c r="J32" s="133"/>
      <c r="K32" s="135"/>
      <c r="L32" s="136"/>
      <c r="M32" s="135"/>
      <c r="N32" s="137"/>
      <c r="O32" s="135"/>
      <c r="P32" s="134"/>
    </row>
    <row r="33" spans="1:22" ht="13.9" customHeight="1" x14ac:dyDescent="0.3">
      <c r="A33" s="499" t="s">
        <v>2</v>
      </c>
      <c r="B33" s="470" t="s">
        <v>3</v>
      </c>
      <c r="C33" s="470" t="str">
        <f t="shared" ref="C33:C43" si="9">D15</f>
        <v>Response Scaling Factor for Sensitivity Analysis</v>
      </c>
      <c r="D33" s="494" t="s">
        <v>86</v>
      </c>
      <c r="E33" s="495"/>
      <c r="F33" s="495"/>
      <c r="G33" s="496"/>
      <c r="H33" s="481" t="s">
        <v>89</v>
      </c>
      <c r="I33" s="482"/>
      <c r="J33" s="482"/>
      <c r="K33" s="494" t="s">
        <v>136</v>
      </c>
      <c r="L33" s="495"/>
      <c r="M33" s="495"/>
      <c r="N33" s="496"/>
      <c r="P33" s="134"/>
      <c r="Q33" s="134"/>
      <c r="R33" s="134"/>
      <c r="S33" s="134"/>
      <c r="T33" s="134"/>
      <c r="U33" s="134"/>
      <c r="V33" s="134"/>
    </row>
    <row r="34" spans="1:22" ht="74.5" customHeight="1" x14ac:dyDescent="0.3">
      <c r="A34" s="469"/>
      <c r="B34" s="469"/>
      <c r="C34" s="469">
        <f t="shared" si="9"/>
        <v>0</v>
      </c>
      <c r="D34" s="93" t="s">
        <v>266</v>
      </c>
      <c r="E34" s="93" t="s">
        <v>133</v>
      </c>
      <c r="F34" s="93" t="s">
        <v>134</v>
      </c>
      <c r="G34" s="93" t="s">
        <v>146</v>
      </c>
      <c r="H34" s="55" t="s">
        <v>267</v>
      </c>
      <c r="I34" s="55" t="s">
        <v>135</v>
      </c>
      <c r="J34" s="55" t="s">
        <v>147</v>
      </c>
      <c r="K34" s="93" t="s">
        <v>137</v>
      </c>
      <c r="L34" s="93" t="s">
        <v>138</v>
      </c>
      <c r="M34" s="93" t="s">
        <v>139</v>
      </c>
      <c r="N34" s="93" t="s">
        <v>140</v>
      </c>
      <c r="P34" s="1" t="s">
        <v>207</v>
      </c>
    </row>
    <row r="35" spans="1:22" x14ac:dyDescent="0.3">
      <c r="A35" s="247" t="str">
        <f t="shared" ref="A35:B38" si="10">A17</f>
        <v>Gardasil Adolescents</v>
      </c>
      <c r="B35" s="247" t="str">
        <f t="shared" si="10"/>
        <v>HCC In Office</v>
      </c>
      <c r="C35" s="315">
        <f t="shared" si="9"/>
        <v>1</v>
      </c>
      <c r="D35" s="99">
        <f t="shared" ref="D35:D43" si="11">E17</f>
        <v>1000000</v>
      </c>
      <c r="E35" s="269" t="s">
        <v>166</v>
      </c>
      <c r="F35" s="101">
        <f t="shared" ref="F35:F43" si="12">F17/$D$32</f>
        <v>22310.299479529262</v>
      </c>
      <c r="G35" s="103">
        <f>F35*$F$32</f>
        <v>5040789.0644048415</v>
      </c>
      <c r="H35" s="105">
        <f t="shared" ref="H35:H43" si="13">I17</f>
        <v>1394329.1308148694</v>
      </c>
      <c r="I35" s="101">
        <f>J17/$D$32</f>
        <v>28903.780550112948</v>
      </c>
      <c r="J35" s="107">
        <f>I35*$F$32</f>
        <v>6530520.1774925189</v>
      </c>
      <c r="K35" s="99">
        <f>H35-D35</f>
        <v>394329.13081486942</v>
      </c>
      <c r="L35" s="99">
        <f>J35-G35</f>
        <v>1489731.1130876774</v>
      </c>
      <c r="M35" s="109">
        <f>K35/D35</f>
        <v>0.39432913081486942</v>
      </c>
      <c r="N35" s="110">
        <f>L35/G35</f>
        <v>0.295535300932805</v>
      </c>
      <c r="O35" s="148"/>
      <c r="P35" s="336">
        <f>(J35-G35)/1000000</f>
        <v>1.4897311130876774</v>
      </c>
    </row>
    <row r="36" spans="1:22" x14ac:dyDescent="0.3">
      <c r="A36" s="253" t="str">
        <f t="shared" si="10"/>
        <v>Gardasil Adolescents</v>
      </c>
      <c r="B36" s="253" t="str">
        <f t="shared" si="10"/>
        <v>HCP MCM</v>
      </c>
      <c r="C36" s="320">
        <f t="shared" si="9"/>
        <v>1</v>
      </c>
      <c r="D36" s="100">
        <f>E18</f>
        <v>7775778</v>
      </c>
      <c r="E36" s="270" t="s">
        <v>166</v>
      </c>
      <c r="F36" s="102">
        <f t="shared" si="12"/>
        <v>356289.09054759797</v>
      </c>
      <c r="G36" s="104">
        <f>F36*$F$32</f>
        <v>80499957.11832428</v>
      </c>
      <c r="H36" s="106">
        <f t="shared" si="13"/>
        <v>11415499.642068511</v>
      </c>
      <c r="I36" s="102">
        <f t="shared" ref="I36:I43" si="14">J18/$D$32</f>
        <v>429649.57236059662</v>
      </c>
      <c r="J36" s="108">
        <f t="shared" ref="J36" si="15">I36*$F$32</f>
        <v>97075024.379153192</v>
      </c>
      <c r="K36" s="100">
        <f t="shared" ref="K36" si="16">H36-D36</f>
        <v>3639721.6420685109</v>
      </c>
      <c r="L36" s="100">
        <f t="shared" ref="L36" si="17">J36-G36</f>
        <v>16575067.260828912</v>
      </c>
      <c r="M36" s="111">
        <f t="shared" ref="M36" si="18">K36/D36</f>
        <v>0.46808456235099699</v>
      </c>
      <c r="N36" s="112">
        <f t="shared" ref="N36" si="19">L36/G36</f>
        <v>0.20590156633829951</v>
      </c>
      <c r="O36" s="148"/>
      <c r="P36" s="336">
        <f t="shared" ref="P36:P43" si="20">(J36-G36)/1000000</f>
        <v>16.575067260828913</v>
      </c>
    </row>
    <row r="37" spans="1:22" s="98" customFormat="1" x14ac:dyDescent="0.3">
      <c r="A37" s="253" t="str">
        <f t="shared" si="10"/>
        <v>Gardasil Adolescents</v>
      </c>
      <c r="B37" s="253" t="str">
        <f t="shared" si="10"/>
        <v>HCC Social</v>
      </c>
      <c r="C37" s="320">
        <f t="shared" si="9"/>
        <v>1</v>
      </c>
      <c r="D37" s="100">
        <f t="shared" si="11"/>
        <v>1840000</v>
      </c>
      <c r="E37" s="270" t="s">
        <v>166</v>
      </c>
      <c r="F37" s="102">
        <f>F19/$D$32</f>
        <v>70487.367019183061</v>
      </c>
      <c r="G37" s="104">
        <f t="shared" ref="G37:G43" si="21">F37*$F$32</f>
        <v>15925915.704314221</v>
      </c>
      <c r="H37" s="106">
        <f t="shared" si="13"/>
        <v>2576000</v>
      </c>
      <c r="I37" s="102">
        <f t="shared" si="14"/>
        <v>86255.76070960192</v>
      </c>
      <c r="J37" s="108">
        <f t="shared" ref="J37:J43" si="22">I37*$F$32</f>
        <v>19488626.574727457</v>
      </c>
      <c r="K37" s="100">
        <f t="shared" ref="K37:K43" si="23">H37-D37</f>
        <v>736000</v>
      </c>
      <c r="L37" s="100">
        <f t="shared" ref="L37:L43" si="24">J37-G37</f>
        <v>3562710.8704132363</v>
      </c>
      <c r="M37" s="111">
        <f t="shared" ref="M37:M43" si="25">K37/D37</f>
        <v>0.4</v>
      </c>
      <c r="N37" s="112">
        <f t="shared" ref="N37:N43" si="26">L37/G37</f>
        <v>0.22370524474445902</v>
      </c>
      <c r="O37" s="148"/>
      <c r="P37" s="336">
        <f t="shared" si="20"/>
        <v>3.5627108704132362</v>
      </c>
    </row>
    <row r="38" spans="1:22" s="98" customFormat="1" x14ac:dyDescent="0.3">
      <c r="A38" s="253" t="str">
        <f t="shared" si="10"/>
        <v>Gardasil Adolescents</v>
      </c>
      <c r="B38" s="253" t="str">
        <f t="shared" si="10"/>
        <v>HCC Online Video</v>
      </c>
      <c r="C38" s="320">
        <f t="shared" si="9"/>
        <v>1</v>
      </c>
      <c r="D38" s="100">
        <f t="shared" si="11"/>
        <v>1220000</v>
      </c>
      <c r="E38" s="270" t="s">
        <v>166</v>
      </c>
      <c r="F38" s="102">
        <f t="shared" si="12"/>
        <v>15022.779470646754</v>
      </c>
      <c r="G38" s="104">
        <f t="shared" si="21"/>
        <v>3394246.7935979273</v>
      </c>
      <c r="H38" s="106">
        <f t="shared" si="13"/>
        <v>1000000</v>
      </c>
      <c r="I38" s="102">
        <f t="shared" si="14"/>
        <v>14861.613123927265</v>
      </c>
      <c r="J38" s="108">
        <f t="shared" si="22"/>
        <v>3357832.8692201264</v>
      </c>
      <c r="K38" s="100">
        <f t="shared" si="23"/>
        <v>-220000</v>
      </c>
      <c r="L38" s="100">
        <f t="shared" si="24"/>
        <v>-36413.924377800897</v>
      </c>
      <c r="M38" s="111">
        <f t="shared" si="25"/>
        <v>-0.18032786885245902</v>
      </c>
      <c r="N38" s="112">
        <f t="shared" si="26"/>
        <v>-1.0728131038227147E-2</v>
      </c>
      <c r="O38" s="148"/>
      <c r="P38" s="336">
        <f t="shared" si="20"/>
        <v>-3.6413924377800895E-2</v>
      </c>
    </row>
    <row r="39" spans="1:22" s="98" customFormat="1" x14ac:dyDescent="0.3">
      <c r="A39" s="289" t="s">
        <v>173</v>
      </c>
      <c r="B39" s="253" t="str">
        <f>B21</f>
        <v>HCC Streaming Video</v>
      </c>
      <c r="C39" s="320">
        <f t="shared" si="9"/>
        <v>1</v>
      </c>
      <c r="D39" s="100">
        <f t="shared" si="11"/>
        <v>4817798</v>
      </c>
      <c r="E39" s="270" t="s">
        <v>166</v>
      </c>
      <c r="F39" s="102">
        <f t="shared" si="12"/>
        <v>121516.7124715425</v>
      </c>
      <c r="G39" s="104">
        <f t="shared" si="21"/>
        <v>27455486.015820313</v>
      </c>
      <c r="H39" s="106">
        <f t="shared" si="13"/>
        <v>7570249.203999565</v>
      </c>
      <c r="I39" s="102">
        <f t="shared" si="14"/>
        <v>166732.06308158877</v>
      </c>
      <c r="J39" s="108">
        <f t="shared" si="22"/>
        <v>37671442.332654163</v>
      </c>
      <c r="K39" s="100">
        <f t="shared" si="23"/>
        <v>2752451.203999565</v>
      </c>
      <c r="L39" s="100">
        <f t="shared" si="24"/>
        <v>10215956.31683385</v>
      </c>
      <c r="M39" s="111">
        <f t="shared" si="25"/>
        <v>0.57130896812186083</v>
      </c>
      <c r="N39" s="112">
        <f t="shared" si="26"/>
        <v>0.37209162172351434</v>
      </c>
      <c r="O39" s="148"/>
      <c r="P39" s="336">
        <f t="shared" si="20"/>
        <v>10.21595631683385</v>
      </c>
    </row>
    <row r="40" spans="1:22" s="98" customFormat="1" x14ac:dyDescent="0.3">
      <c r="A40" s="253" t="str">
        <f>A22</f>
        <v>Gardasil Adolescents</v>
      </c>
      <c r="B40" s="253" t="str">
        <f>B22</f>
        <v>HCC Display</v>
      </c>
      <c r="C40" s="320">
        <f t="shared" si="9"/>
        <v>1</v>
      </c>
      <c r="D40" s="100">
        <f t="shared" si="11"/>
        <v>3540000</v>
      </c>
      <c r="E40" s="270" t="s">
        <v>166</v>
      </c>
      <c r="F40" s="102">
        <f t="shared" si="12"/>
        <v>173899.1701768022</v>
      </c>
      <c r="G40" s="104">
        <f t="shared" si="21"/>
        <v>39290778.509746693</v>
      </c>
      <c r="H40" s="106">
        <f t="shared" si="13"/>
        <v>5349497.9439856345</v>
      </c>
      <c r="I40" s="102">
        <f t="shared" si="14"/>
        <v>211422.62182002515</v>
      </c>
      <c r="J40" s="108">
        <f t="shared" si="22"/>
        <v>47768827.174016483</v>
      </c>
      <c r="K40" s="100">
        <f t="shared" si="23"/>
        <v>1809497.9439856345</v>
      </c>
      <c r="L40" s="100">
        <f t="shared" si="24"/>
        <v>8478048.6642697901</v>
      </c>
      <c r="M40" s="111">
        <f t="shared" si="25"/>
        <v>0.51115761129537696</v>
      </c>
      <c r="N40" s="112">
        <f t="shared" si="26"/>
        <v>0.21577705980467343</v>
      </c>
      <c r="O40" s="148"/>
      <c r="P40" s="336">
        <f t="shared" si="20"/>
        <v>8.4780486642697905</v>
      </c>
    </row>
    <row r="41" spans="1:22" x14ac:dyDescent="0.3">
      <c r="A41" s="253" t="str">
        <f>A23</f>
        <v>Gardasil Adolescents</v>
      </c>
      <c r="B41" s="253" t="str">
        <f>B23</f>
        <v>HCC Paid Search</v>
      </c>
      <c r="C41" s="320">
        <f t="shared" si="9"/>
        <v>1</v>
      </c>
      <c r="D41" s="100">
        <f t="shared" si="11"/>
        <v>400000</v>
      </c>
      <c r="E41" s="270" t="s">
        <v>166</v>
      </c>
      <c r="F41" s="102">
        <f t="shared" si="12"/>
        <v>145038.35480357721</v>
      </c>
      <c r="G41" s="104">
        <f t="shared" si="21"/>
        <v>32769965.884320233</v>
      </c>
      <c r="H41" s="106">
        <f t="shared" si="13"/>
        <v>400000</v>
      </c>
      <c r="I41" s="102">
        <f t="shared" si="14"/>
        <v>145038.35480357721</v>
      </c>
      <c r="J41" s="108">
        <f t="shared" si="22"/>
        <v>32769965.884320233</v>
      </c>
      <c r="K41" s="100">
        <f t="shared" si="23"/>
        <v>0</v>
      </c>
      <c r="L41" s="100">
        <f t="shared" si="24"/>
        <v>0</v>
      </c>
      <c r="M41" s="111">
        <f t="shared" si="25"/>
        <v>0</v>
      </c>
      <c r="N41" s="112">
        <f t="shared" si="26"/>
        <v>0</v>
      </c>
      <c r="O41" s="148"/>
      <c r="P41" s="336">
        <f t="shared" si="20"/>
        <v>0</v>
      </c>
    </row>
    <row r="42" spans="1:22" s="98" customFormat="1" x14ac:dyDescent="0.3">
      <c r="A42" s="253" t="str">
        <f>A24</f>
        <v>Gardasil Adolescents</v>
      </c>
      <c r="B42" s="253" t="str">
        <f>B24</f>
        <v>HCC Audio</v>
      </c>
      <c r="C42" s="320">
        <f t="shared" si="9"/>
        <v>1</v>
      </c>
      <c r="D42" s="100">
        <f t="shared" si="11"/>
        <v>2220000</v>
      </c>
      <c r="E42" s="270" t="s">
        <v>166</v>
      </c>
      <c r="F42" s="102">
        <f t="shared" si="12"/>
        <v>91610.125423352103</v>
      </c>
      <c r="G42" s="104">
        <f t="shared" si="21"/>
        <v>20698391.738152172</v>
      </c>
      <c r="H42" s="106">
        <f t="shared" si="13"/>
        <v>3108000</v>
      </c>
      <c r="I42" s="102">
        <f t="shared" si="14"/>
        <v>112103.79095225371</v>
      </c>
      <c r="J42" s="108">
        <f t="shared" si="22"/>
        <v>25328730.527752202</v>
      </c>
      <c r="K42" s="100">
        <f t="shared" si="23"/>
        <v>888000</v>
      </c>
      <c r="L42" s="100">
        <f t="shared" si="24"/>
        <v>4630338.7896000296</v>
      </c>
      <c r="M42" s="111">
        <f t="shared" si="25"/>
        <v>0.4</v>
      </c>
      <c r="N42" s="112">
        <f t="shared" si="26"/>
        <v>0.22370524474445946</v>
      </c>
      <c r="O42" s="148"/>
      <c r="P42" s="336">
        <f t="shared" si="20"/>
        <v>4.6303387896000299</v>
      </c>
    </row>
    <row r="43" spans="1:22" s="98" customFormat="1" x14ac:dyDescent="0.3">
      <c r="A43" s="253" t="str">
        <f>A25</f>
        <v>Gardasil Adolescents</v>
      </c>
      <c r="B43" s="253" t="str">
        <f>B25</f>
        <v>HCC Linear TV</v>
      </c>
      <c r="C43" s="320">
        <f t="shared" si="9"/>
        <v>1</v>
      </c>
      <c r="D43" s="100">
        <f t="shared" si="11"/>
        <v>16888801</v>
      </c>
      <c r="E43" s="270" t="s">
        <v>166</v>
      </c>
      <c r="F43" s="102">
        <f t="shared" si="12"/>
        <v>296690.17284619244</v>
      </c>
      <c r="G43" s="104">
        <f t="shared" si="21"/>
        <v>67034177.652868718</v>
      </c>
      <c r="H43" s="106">
        <f t="shared" si="13"/>
        <v>16888801</v>
      </c>
      <c r="I43" s="102">
        <f t="shared" si="14"/>
        <v>296690.17284619244</v>
      </c>
      <c r="J43" s="108">
        <f t="shared" si="22"/>
        <v>67034177.652868718</v>
      </c>
      <c r="K43" s="100">
        <f t="shared" si="23"/>
        <v>0</v>
      </c>
      <c r="L43" s="100">
        <f t="shared" si="24"/>
        <v>0</v>
      </c>
      <c r="M43" s="111">
        <f t="shared" si="25"/>
        <v>0</v>
      </c>
      <c r="N43" s="112">
        <f t="shared" si="26"/>
        <v>0</v>
      </c>
      <c r="O43" s="148"/>
      <c r="P43" s="336">
        <f t="shared" si="20"/>
        <v>0</v>
      </c>
    </row>
    <row r="44" spans="1:22" s="98" customFormat="1" x14ac:dyDescent="0.3">
      <c r="A44" s="128" t="s">
        <v>154</v>
      </c>
      <c r="B44" s="128" t="s">
        <v>99</v>
      </c>
      <c r="C44" s="335"/>
      <c r="D44" s="131">
        <f>SUM(D35:D43)</f>
        <v>39702377</v>
      </c>
      <c r="E44" s="271"/>
      <c r="F44" s="130">
        <f>SUM(F35:F43)</f>
        <v>1292864.0722384234</v>
      </c>
      <c r="G44" s="131">
        <f>SUM(G35:G43)</f>
        <v>292109708.48154938</v>
      </c>
      <c r="H44" s="131">
        <f>SUM(H35:H43)</f>
        <v>49702376.920868576</v>
      </c>
      <c r="I44" s="130">
        <f>SUM(I35:I43)</f>
        <v>1491657.7302478761</v>
      </c>
      <c r="J44" s="131">
        <f>SUM(J35:J43)</f>
        <v>337025147.57220507</v>
      </c>
      <c r="K44" s="131">
        <f t="shared" ref="K44" si="27">H44-D44</f>
        <v>9999999.9208685756</v>
      </c>
      <c r="L44" s="131">
        <f t="shared" ref="L44" si="28">J44-G44</f>
        <v>44915439.090655684</v>
      </c>
      <c r="M44" s="129">
        <f t="shared" ref="M44" si="29">K44/D44</f>
        <v>0.25187408604952233</v>
      </c>
      <c r="N44" s="132">
        <f t="shared" ref="N44" si="30">L44/G44</f>
        <v>0.15376222626812383</v>
      </c>
    </row>
    <row r="45" spans="1:22" x14ac:dyDescent="0.3">
      <c r="D45" s="162"/>
      <c r="E45" s="272"/>
      <c r="F45" s="163"/>
      <c r="G45" s="113"/>
      <c r="H45" s="98"/>
      <c r="I45" s="94"/>
      <c r="J45" s="113"/>
      <c r="K45" s="98"/>
      <c r="L45" s="113"/>
      <c r="M45" s="117"/>
      <c r="N45" s="114"/>
    </row>
    <row r="46" spans="1:22" x14ac:dyDescent="0.3">
      <c r="D46" s="162"/>
      <c r="E46" s="272"/>
      <c r="F46" s="163"/>
      <c r="G46" s="113"/>
      <c r="H46" s="98"/>
      <c r="I46" s="94"/>
      <c r="J46" s="113"/>
      <c r="K46" s="98"/>
      <c r="L46" s="113"/>
      <c r="M46" s="117"/>
      <c r="N46" s="114"/>
    </row>
    <row r="47" spans="1:22" x14ac:dyDescent="0.3">
      <c r="D47" s="162"/>
      <c r="E47" s="272"/>
      <c r="F47" s="163"/>
      <c r="G47" s="113"/>
      <c r="H47" s="98"/>
      <c r="I47" s="94"/>
      <c r="J47" s="113"/>
      <c r="K47" s="98"/>
      <c r="L47" s="113"/>
      <c r="M47" s="117"/>
      <c r="N47" s="114"/>
    </row>
    <row r="48" spans="1:22" x14ac:dyDescent="0.3">
      <c r="D48" s="134"/>
      <c r="E48" s="273"/>
      <c r="F48" s="354"/>
      <c r="G48" s="98"/>
      <c r="H48" s="98"/>
      <c r="I48" s="98"/>
      <c r="J48" s="98"/>
      <c r="K48" s="98"/>
      <c r="L48" s="98"/>
      <c r="M48" s="98"/>
      <c r="N48" s="98"/>
    </row>
    <row r="49" spans="4:14" x14ac:dyDescent="0.3">
      <c r="D49" s="164"/>
      <c r="E49" s="273"/>
      <c r="F49" s="354"/>
      <c r="G49" s="98"/>
      <c r="H49" s="98"/>
      <c r="I49" s="98"/>
      <c r="J49" s="98"/>
      <c r="K49" s="98"/>
      <c r="L49" s="98"/>
      <c r="M49" s="98"/>
      <c r="N49" s="98"/>
    </row>
    <row r="50" spans="4:14" x14ac:dyDescent="0.3">
      <c r="D50" s="134"/>
      <c r="E50" s="273"/>
      <c r="F50" s="354"/>
    </row>
    <row r="51" spans="4:14" x14ac:dyDescent="0.3">
      <c r="E51" s="274"/>
      <c r="F51" s="354"/>
    </row>
    <row r="52" spans="4:14" x14ac:dyDescent="0.3">
      <c r="E52" s="274"/>
      <c r="F52" s="354"/>
    </row>
    <row r="53" spans="4:14" x14ac:dyDescent="0.3">
      <c r="E53" s="274"/>
      <c r="F53" s="354"/>
    </row>
    <row r="54" spans="4:14" x14ac:dyDescent="0.3">
      <c r="E54" s="274"/>
      <c r="F54" s="354"/>
    </row>
    <row r="55" spans="4:14" x14ac:dyDescent="0.3">
      <c r="E55" s="274"/>
      <c r="F55" s="354"/>
    </row>
    <row r="56" spans="4:14" x14ac:dyDescent="0.3">
      <c r="F56" s="354"/>
    </row>
    <row r="57" spans="4:14" x14ac:dyDescent="0.3">
      <c r="F57" s="354"/>
    </row>
    <row r="58" spans="4:14" x14ac:dyDescent="0.3">
      <c r="F58" s="354"/>
    </row>
  </sheetData>
  <mergeCells count="20">
    <mergeCell ref="A33:A34"/>
    <mergeCell ref="B33:B34"/>
    <mergeCell ref="A31:A32"/>
    <mergeCell ref="A15:A16"/>
    <mergeCell ref="B15:B16"/>
    <mergeCell ref="H33:J33"/>
    <mergeCell ref="B4:I4"/>
    <mergeCell ref="E5:I5"/>
    <mergeCell ref="E6:I6"/>
    <mergeCell ref="K15:N15"/>
    <mergeCell ref="K33:N33"/>
    <mergeCell ref="J30:O30"/>
    <mergeCell ref="C15:C16"/>
    <mergeCell ref="D15:D16"/>
    <mergeCell ref="E15:F15"/>
    <mergeCell ref="G15:H15"/>
    <mergeCell ref="I15:J15"/>
    <mergeCell ref="D30:I30"/>
    <mergeCell ref="C33:C34"/>
    <mergeCell ref="D33:G33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3" tint="0.79998168889431442"/>
  </sheetPr>
  <dimension ref="A1:R42"/>
  <sheetViews>
    <sheetView topLeftCell="A36" workbookViewId="0">
      <selection activeCell="B9" sqref="B9:I9"/>
    </sheetView>
  </sheetViews>
  <sheetFormatPr defaultColWidth="8.81640625" defaultRowHeight="13" x14ac:dyDescent="0.3"/>
  <cols>
    <col min="1" max="1" width="12.1796875" style="98" customWidth="1"/>
    <col min="2" max="2" width="13.453125" style="98" customWidth="1"/>
    <col min="3" max="3" width="12.453125" style="98" customWidth="1"/>
    <col min="4" max="4" width="13.7265625" style="98" customWidth="1"/>
    <col min="5" max="5" width="14.7265625" style="98" customWidth="1"/>
    <col min="6" max="6" width="12.453125" style="98" customWidth="1"/>
    <col min="7" max="7" width="12" style="98" customWidth="1"/>
    <col min="8" max="10" width="10.26953125" style="98" customWidth="1"/>
    <col min="11" max="11" width="14.26953125" style="98" bestFit="1" customWidth="1"/>
    <col min="12" max="13" width="12" style="98" bestFit="1" customWidth="1"/>
    <col min="14" max="14" width="12.7265625" style="98" customWidth="1"/>
    <col min="15" max="15" width="9.7265625" style="98" bestFit="1" customWidth="1"/>
    <col min="16" max="16" width="8.81640625" style="98"/>
    <col min="17" max="18" width="10.26953125" style="98" customWidth="1"/>
    <col min="19" max="16384" width="8.81640625" style="98"/>
  </cols>
  <sheetData>
    <row r="1" spans="1:18" ht="13.5" thickBot="1" x14ac:dyDescent="0.35">
      <c r="A1" s="6" t="s">
        <v>0</v>
      </c>
      <c r="B1" s="98" t="s">
        <v>153</v>
      </c>
    </row>
    <row r="2" spans="1:18" x14ac:dyDescent="0.3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120" t="s">
        <v>102</v>
      </c>
      <c r="I2" s="121"/>
      <c r="J2" s="121"/>
      <c r="K2" s="121"/>
      <c r="L2" s="122"/>
    </row>
    <row r="3" spans="1:18" ht="13.5" thickBot="1" x14ac:dyDescent="0.35">
      <c r="A3" s="11" t="s">
        <v>3</v>
      </c>
      <c r="B3" s="12" t="s">
        <v>155</v>
      </c>
      <c r="C3" s="13" t="s">
        <v>5</v>
      </c>
      <c r="D3" s="12" t="s">
        <v>174</v>
      </c>
      <c r="E3" s="13" t="s">
        <v>104</v>
      </c>
      <c r="F3" s="14" t="s">
        <v>176</v>
      </c>
    </row>
    <row r="4" spans="1:18" ht="15" customHeight="1" thickBot="1" x14ac:dyDescent="0.35">
      <c r="A4" s="80" t="s">
        <v>38</v>
      </c>
      <c r="B4" s="501" t="s">
        <v>106</v>
      </c>
      <c r="C4" s="501"/>
      <c r="D4" s="501"/>
      <c r="E4" s="501"/>
      <c r="F4" s="502"/>
      <c r="H4" s="98" t="s">
        <v>107</v>
      </c>
    </row>
    <row r="5" spans="1:18" x14ac:dyDescent="0.3">
      <c r="H5" s="98" t="s">
        <v>177</v>
      </c>
    </row>
    <row r="6" spans="1:18" ht="13.5" thickBot="1" x14ac:dyDescent="0.35">
      <c r="B6" s="94">
        <f>VAC_Optim_Scenario!$G$14</f>
        <v>0</v>
      </c>
      <c r="C6" s="94">
        <f>VAC_Optim_Scenario!$H$14</f>
        <v>0</v>
      </c>
    </row>
    <row r="7" spans="1:18" ht="27.75" customHeight="1" x14ac:dyDescent="0.3">
      <c r="A7" s="503" t="s">
        <v>8</v>
      </c>
      <c r="B7" s="506" t="s">
        <v>9</v>
      </c>
      <c r="C7" s="507"/>
      <c r="D7" s="508" t="s">
        <v>12</v>
      </c>
      <c r="E7" s="509"/>
      <c r="F7" s="510"/>
      <c r="G7" s="506" t="s">
        <v>124</v>
      </c>
      <c r="H7" s="506"/>
      <c r="I7" s="511"/>
      <c r="J7" s="98" t="s">
        <v>125</v>
      </c>
    </row>
    <row r="8" spans="1:18" ht="28.15" customHeight="1" x14ac:dyDescent="0.3">
      <c r="A8" s="504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35">
      <c r="A9" s="505"/>
      <c r="B9" s="95">
        <f>VAC_Optim_Scenario!G17</f>
        <v>1000000</v>
      </c>
      <c r="C9" s="95">
        <f>VAC_Optim_Scenario!H17</f>
        <v>7500000</v>
      </c>
      <c r="D9" s="68">
        <f>VAC_Optim_Scenario!I17</f>
        <v>1394329.1308148694</v>
      </c>
      <c r="E9" s="84">
        <f>((($R$12/(1+EXP($P$12+$Q$12*D9)))-1) - ($F$12-$C$12))*$I$12</f>
        <v>28903.780550112948</v>
      </c>
      <c r="F9" s="89">
        <f>E9*$G$12</f>
        <v>28903.780550112948</v>
      </c>
      <c r="G9" s="95">
        <f>VAC_Optim_Scenario!E17</f>
        <v>1000000</v>
      </c>
      <c r="H9" s="85">
        <f>((($R$12/(1+EXP($P$12+$Q$12*G9)))-1) - ($F$12-$C$12))*$I$12</f>
        <v>22310.299479529262</v>
      </c>
      <c r="I9" s="90">
        <f>H9*$G$12</f>
        <v>22310.299479529262</v>
      </c>
      <c r="J9" s="87">
        <f>G9/I9</f>
        <v>44.822347674783416</v>
      </c>
      <c r="K9" s="98" t="s">
        <v>178</v>
      </c>
    </row>
    <row r="10" spans="1:18" ht="13.5" thickBot="1" x14ac:dyDescent="0.35"/>
    <row r="11" spans="1:18" ht="51.65" customHeight="1" x14ac:dyDescent="0.3">
      <c r="A11" s="503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179</v>
      </c>
      <c r="H11" s="123" t="s">
        <v>119</v>
      </c>
      <c r="I11" s="92" t="s">
        <v>122</v>
      </c>
      <c r="K11" s="512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35">
      <c r="A12" s="505"/>
      <c r="B12" s="95">
        <f>'[1]HCC Inoffice Curve'!$B$12</f>
        <v>1700000</v>
      </c>
      <c r="C12" s="167">
        <f>'[1]HCC Inoffice Curve'!$C$12</f>
        <v>33335.304822477454</v>
      </c>
      <c r="D12" s="167">
        <f>'[1]HCC Inoffice Curve'!$D$12</f>
        <v>0</v>
      </c>
      <c r="E12" s="167">
        <f>'[1]HCC Inoffice Curve'!$E$12</f>
        <v>66670.609644954908</v>
      </c>
      <c r="F12" s="167">
        <f>'[1]HCC Inoffice Curve'!$F$12</f>
        <v>8649234</v>
      </c>
      <c r="G12" s="169">
        <f>VAC_Optim_Scenario!$D$32</f>
        <v>1</v>
      </c>
      <c r="H12" s="71">
        <f>C12*G12</f>
        <v>33335.304822477454</v>
      </c>
      <c r="I12" s="115">
        <f>VAC_Optim_Scenario!D17</f>
        <v>1</v>
      </c>
      <c r="K12" s="513"/>
      <c r="L12" s="71">
        <f>F12-C12</f>
        <v>8615898.6951775234</v>
      </c>
      <c r="M12" s="71">
        <f>L12+E12</f>
        <v>8682569.3048224784</v>
      </c>
      <c r="N12" s="72">
        <f>B12</f>
        <v>1700000</v>
      </c>
      <c r="O12" s="71">
        <f>F12</f>
        <v>8649234</v>
      </c>
      <c r="P12" s="24">
        <f>LN((($M$12+1)/($L$12+1))-1)</f>
        <v>-4.8616003562706958</v>
      </c>
      <c r="Q12" s="73">
        <f>(LN((($M$12+1)/($O$12+1))-1)-$P$12)/$N$12</f>
        <v>-4.1000515305443182E-7</v>
      </c>
      <c r="R12" s="74">
        <f>M12+1</f>
        <v>8682570.3048224784</v>
      </c>
    </row>
    <row r="13" spans="1:18" ht="34.15" customHeight="1" x14ac:dyDescent="0.3">
      <c r="A13" s="514" t="s">
        <v>180</v>
      </c>
      <c r="B13" s="515"/>
      <c r="C13" s="515"/>
      <c r="D13" s="515"/>
      <c r="E13" s="515"/>
      <c r="F13" s="516"/>
      <c r="G13" s="119" t="s">
        <v>150</v>
      </c>
      <c r="H13" s="119" t="s">
        <v>151</v>
      </c>
      <c r="K13" s="514" t="s">
        <v>115</v>
      </c>
      <c r="L13" s="515"/>
      <c r="M13" s="515"/>
      <c r="N13" s="515"/>
      <c r="O13" s="515"/>
      <c r="P13" s="515"/>
      <c r="Q13" s="515"/>
      <c r="R13" s="516"/>
    </row>
    <row r="14" spans="1:18" ht="33.65" customHeight="1" thickBot="1" x14ac:dyDescent="0.35">
      <c r="A14" s="517"/>
      <c r="B14" s="518"/>
      <c r="C14" s="518"/>
      <c r="D14" s="518"/>
      <c r="E14" s="518"/>
      <c r="F14" s="519"/>
      <c r="G14" s="95">
        <f>VAC_Optim_Scenario!$I$32</f>
        <v>225.94</v>
      </c>
      <c r="H14" s="95">
        <f>VAC_Optim_Scenario!$F$32</f>
        <v>225.94</v>
      </c>
      <c r="K14" s="517"/>
      <c r="L14" s="518"/>
      <c r="M14" s="518"/>
      <c r="N14" s="518"/>
      <c r="O14" s="518"/>
      <c r="P14" s="518"/>
      <c r="Q14" s="518"/>
      <c r="R14" s="519"/>
    </row>
    <row r="16" spans="1:18" ht="13.5" thickBot="1" x14ac:dyDescent="0.35"/>
    <row r="17" spans="1:8" ht="42.65" customHeight="1" x14ac:dyDescent="0.3">
      <c r="A17" s="512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35">
      <c r="A18" s="513"/>
      <c r="B18" s="75">
        <v>0</v>
      </c>
      <c r="C18" s="76">
        <v>4000000</v>
      </c>
      <c r="D18" s="26">
        <v>20</v>
      </c>
    </row>
    <row r="20" spans="1:8" x14ac:dyDescent="0.3">
      <c r="A20" s="500" t="s">
        <v>37</v>
      </c>
      <c r="B20" s="500"/>
      <c r="C20" s="500"/>
    </row>
    <row r="21" spans="1:8" ht="26" x14ac:dyDescent="0.3">
      <c r="A21" s="119" t="s">
        <v>35</v>
      </c>
      <c r="B21" s="119" t="s">
        <v>181</v>
      </c>
      <c r="C21" s="119" t="s">
        <v>182</v>
      </c>
      <c r="D21" s="98" t="s">
        <v>183</v>
      </c>
      <c r="E21" s="119" t="s">
        <v>152</v>
      </c>
    </row>
    <row r="22" spans="1:8" x14ac:dyDescent="0.3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3">
      <c r="A23" s="86">
        <f>A22+(($C$18-$B$18)/$D$18)</f>
        <v>200000</v>
      </c>
      <c r="B23" s="79">
        <f t="shared" si="0"/>
        <v>5211.7558389939368</v>
      </c>
      <c r="C23" s="79">
        <f t="shared" ref="C23:C42" si="1">B23*$G$12</f>
        <v>5211.7558389939368</v>
      </c>
      <c r="D23" s="98">
        <f>(B23-B22)/A23</f>
        <v>2.6058779194969683E-2</v>
      </c>
      <c r="E23" s="116">
        <f t="shared" ref="E23:E42" si="2">B23*$H$14</f>
        <v>1177544.1142622901</v>
      </c>
    </row>
    <row r="24" spans="1:8" x14ac:dyDescent="0.3">
      <c r="A24" s="86">
        <f t="shared" ref="A24:A42" si="3">A23+(($C$18-$B$18)/$D$18)</f>
        <v>400000</v>
      </c>
      <c r="B24" s="79">
        <f t="shared" si="0"/>
        <v>10018.778631821275</v>
      </c>
      <c r="C24" s="79">
        <f t="shared" si="1"/>
        <v>10018.778631821275</v>
      </c>
      <c r="D24" s="98">
        <f t="shared" ref="D24:D42" si="4">(B24-B23)/A24</f>
        <v>1.2017556982068345E-2</v>
      </c>
      <c r="E24" s="116">
        <f t="shared" si="2"/>
        <v>2263642.8440736989</v>
      </c>
    </row>
    <row r="25" spans="1:8" x14ac:dyDescent="0.3">
      <c r="A25" s="86">
        <f t="shared" si="3"/>
        <v>600000</v>
      </c>
      <c r="B25" s="79">
        <f t="shared" si="0"/>
        <v>14452.096033310518</v>
      </c>
      <c r="C25" s="79">
        <f t="shared" si="1"/>
        <v>14452.096033310518</v>
      </c>
      <c r="D25" s="98">
        <f t="shared" si="4"/>
        <v>7.3888623358154045E-3</v>
      </c>
      <c r="E25" s="116">
        <f t="shared" si="2"/>
        <v>3265306.5777661782</v>
      </c>
    </row>
    <row r="26" spans="1:8" x14ac:dyDescent="0.3">
      <c r="A26" s="86">
        <f t="shared" si="3"/>
        <v>800000</v>
      </c>
      <c r="B26" s="79">
        <f t="shared" si="0"/>
        <v>18540.417741542682</v>
      </c>
      <c r="C26" s="79">
        <f t="shared" si="1"/>
        <v>18540.417741542682</v>
      </c>
      <c r="D26" s="98">
        <f t="shared" si="4"/>
        <v>5.1104021352902053E-3</v>
      </c>
      <c r="E26" s="116">
        <f t="shared" si="2"/>
        <v>4189021.9845241536</v>
      </c>
    </row>
    <row r="27" spans="1:8" x14ac:dyDescent="0.3">
      <c r="A27" s="86">
        <f t="shared" si="3"/>
        <v>1000000</v>
      </c>
      <c r="B27" s="79">
        <f t="shared" si="0"/>
        <v>22310.299479529262</v>
      </c>
      <c r="C27" s="79">
        <f t="shared" si="1"/>
        <v>22310.299479529262</v>
      </c>
      <c r="D27" s="98">
        <f t="shared" si="4"/>
        <v>3.7698817379865795E-3</v>
      </c>
      <c r="E27" s="116">
        <f t="shared" si="2"/>
        <v>5040789.0644048415</v>
      </c>
    </row>
    <row r="28" spans="1:8" x14ac:dyDescent="0.3">
      <c r="A28" s="86">
        <f t="shared" si="3"/>
        <v>1200000</v>
      </c>
      <c r="B28" s="79">
        <f t="shared" si="0"/>
        <v>25786.296786425635</v>
      </c>
      <c r="C28" s="79">
        <f t="shared" si="1"/>
        <v>25786.296786425635</v>
      </c>
      <c r="D28" s="98">
        <f t="shared" si="4"/>
        <v>2.8966644224136446E-3</v>
      </c>
      <c r="E28" s="116">
        <f t="shared" si="2"/>
        <v>5826155.8959250078</v>
      </c>
    </row>
    <row r="29" spans="1:8" x14ac:dyDescent="0.3">
      <c r="A29" s="86">
        <f t="shared" si="3"/>
        <v>1400000</v>
      </c>
      <c r="B29" s="79">
        <f t="shared" si="0"/>
        <v>28991.10902637057</v>
      </c>
      <c r="C29" s="79">
        <f t="shared" si="1"/>
        <v>28991.10902637057</v>
      </c>
      <c r="D29" s="98">
        <f t="shared" si="4"/>
        <v>2.2891515999606676E-3</v>
      </c>
      <c r="E29" s="116">
        <f t="shared" si="2"/>
        <v>6550251.1734181661</v>
      </c>
    </row>
    <row r="30" spans="1:8" x14ac:dyDescent="0.3">
      <c r="A30" s="86">
        <f t="shared" si="3"/>
        <v>1600000</v>
      </c>
      <c r="B30" s="79">
        <f t="shared" si="0"/>
        <v>31945.714046832174</v>
      </c>
      <c r="C30" s="79">
        <f t="shared" si="1"/>
        <v>31945.714046832174</v>
      </c>
      <c r="D30" s="98">
        <f t="shared" si="4"/>
        <v>1.8466281377885025E-3</v>
      </c>
      <c r="E30" s="116">
        <f t="shared" si="2"/>
        <v>7217814.6317412611</v>
      </c>
    </row>
    <row r="31" spans="1:8" x14ac:dyDescent="0.3">
      <c r="A31" s="86">
        <f t="shared" si="3"/>
        <v>1800000</v>
      </c>
      <c r="B31" s="79">
        <f t="shared" si="0"/>
        <v>34669.493932643905</v>
      </c>
      <c r="C31" s="79">
        <f t="shared" si="1"/>
        <v>34669.493932643905</v>
      </c>
      <c r="D31" s="98">
        <f t="shared" si="4"/>
        <v>1.513211047673184E-3</v>
      </c>
      <c r="E31" s="116">
        <f t="shared" si="2"/>
        <v>7833225.4591415636</v>
      </c>
    </row>
    <row r="32" spans="1:8" x14ac:dyDescent="0.3">
      <c r="A32" s="86">
        <f t="shared" si="3"/>
        <v>2000000</v>
      </c>
      <c r="B32" s="79">
        <f t="shared" si="0"/>
        <v>37180.352308388799</v>
      </c>
      <c r="C32" s="79">
        <f t="shared" si="1"/>
        <v>37180.352308388799</v>
      </c>
      <c r="D32" s="98">
        <f t="shared" si="4"/>
        <v>1.2554291878724472E-3</v>
      </c>
      <c r="E32" s="116">
        <f t="shared" si="2"/>
        <v>8400528.8005573656</v>
      </c>
    </row>
    <row r="33" spans="1:5" x14ac:dyDescent="0.3">
      <c r="A33" s="86">
        <f t="shared" si="3"/>
        <v>2200000</v>
      </c>
      <c r="B33" s="79">
        <f t="shared" si="0"/>
        <v>39494.823641894385</v>
      </c>
      <c r="C33" s="79">
        <f t="shared" si="1"/>
        <v>39494.823641894385</v>
      </c>
      <c r="D33" s="98">
        <f t="shared" si="4"/>
        <v>1.0520324243207208E-3</v>
      </c>
      <c r="E33" s="116">
        <f t="shared" si="2"/>
        <v>8923460.4536496177</v>
      </c>
    </row>
    <row r="34" spans="1:5" x14ac:dyDescent="0.3">
      <c r="A34" s="86">
        <f>A33+(($C$18-$B$18)/$D$18)</f>
        <v>2400000</v>
      </c>
      <c r="B34" s="79">
        <f t="shared" si="0"/>
        <v>41628.17499676533</v>
      </c>
      <c r="C34" s="79">
        <f t="shared" si="1"/>
        <v>41628.17499676533</v>
      </c>
      <c r="D34" s="98">
        <f t="shared" si="4"/>
        <v>8.888963978628938E-4</v>
      </c>
      <c r="E34" s="116">
        <f t="shared" si="2"/>
        <v>9405469.8587691579</v>
      </c>
    </row>
    <row r="35" spans="1:5" x14ac:dyDescent="0.3">
      <c r="A35" s="86">
        <f t="shared" si="3"/>
        <v>2600000</v>
      </c>
      <c r="B35" s="79">
        <f t="shared" si="0"/>
        <v>43594.50067294389</v>
      </c>
      <c r="C35" s="79">
        <f t="shared" si="1"/>
        <v>43594.50067294389</v>
      </c>
      <c r="D35" s="98">
        <f t="shared" si="4"/>
        <v>7.5627910622252297E-4</v>
      </c>
      <c r="E35" s="116">
        <f t="shared" si="2"/>
        <v>9849741.4820449427</v>
      </c>
    </row>
    <row r="36" spans="1:5" x14ac:dyDescent="0.3">
      <c r="A36" s="86">
        <f t="shared" si="3"/>
        <v>2800000</v>
      </c>
      <c r="B36" s="79">
        <f t="shared" si="0"/>
        <v>45406.810162452981</v>
      </c>
      <c r="C36" s="79">
        <f t="shared" si="1"/>
        <v>45406.810162452981</v>
      </c>
      <c r="D36" s="98">
        <f t="shared" si="4"/>
        <v>6.4725338911038961E-4</v>
      </c>
      <c r="E36" s="116">
        <f t="shared" si="2"/>
        <v>10259214.688104626</v>
      </c>
    </row>
    <row r="37" spans="1:5" x14ac:dyDescent="0.3">
      <c r="A37" s="86">
        <f t="shared" si="3"/>
        <v>3000000</v>
      </c>
      <c r="B37" s="79">
        <f t="shared" si="0"/>
        <v>47077.109833175316</v>
      </c>
      <c r="C37" s="79">
        <f t="shared" si="1"/>
        <v>47077.109833175316</v>
      </c>
      <c r="D37" s="98">
        <f t="shared" si="4"/>
        <v>5.5676655690744517E-4</v>
      </c>
      <c r="E37" s="116">
        <f t="shared" si="2"/>
        <v>10636602.19570763</v>
      </c>
    </row>
    <row r="38" spans="1:5" x14ac:dyDescent="0.3">
      <c r="A38" s="86">
        <f t="shared" si="3"/>
        <v>3200000</v>
      </c>
      <c r="B38" s="79">
        <f t="shared" si="0"/>
        <v>48616.478737717494</v>
      </c>
      <c r="C38" s="79">
        <f t="shared" si="1"/>
        <v>48616.478737717494</v>
      </c>
      <c r="D38" s="98">
        <f t="shared" si="4"/>
        <v>4.8105278266943061E-4</v>
      </c>
      <c r="E38" s="116">
        <f t="shared" si="2"/>
        <v>10984407.20599989</v>
      </c>
    </row>
    <row r="39" spans="1:5" x14ac:dyDescent="0.3">
      <c r="A39" s="86">
        <f t="shared" si="3"/>
        <v>3400000</v>
      </c>
      <c r="B39" s="79">
        <f t="shared" si="0"/>
        <v>50035.138927262276</v>
      </c>
      <c r="C39" s="79">
        <f t="shared" si="1"/>
        <v>50035.138927262276</v>
      </c>
      <c r="D39" s="98">
        <f t="shared" si="4"/>
        <v>4.172529969249359E-4</v>
      </c>
      <c r="E39" s="116">
        <f t="shared" si="2"/>
        <v>11304939.289225638</v>
      </c>
    </row>
    <row r="40" spans="1:5" x14ac:dyDescent="0.3">
      <c r="A40" s="86">
        <f t="shared" si="3"/>
        <v>3600000</v>
      </c>
      <c r="B40" s="79">
        <f t="shared" si="0"/>
        <v>51342.520632671192</v>
      </c>
      <c r="C40" s="79">
        <f t="shared" si="1"/>
        <v>51342.520632671192</v>
      </c>
      <c r="D40" s="98">
        <f t="shared" si="4"/>
        <v>3.6316158483580996E-4</v>
      </c>
      <c r="E40" s="116">
        <f t="shared" si="2"/>
        <v>11600329.111745728</v>
      </c>
    </row>
    <row r="41" spans="1:5" x14ac:dyDescent="0.3">
      <c r="A41" s="86">
        <f>A40+(($C$18-$B$18)/$D$18)</f>
        <v>3800000</v>
      </c>
      <c r="B41" s="79">
        <f t="shared" si="0"/>
        <v>52547.322656903416</v>
      </c>
      <c r="C41" s="79">
        <f t="shared" si="1"/>
        <v>52547.322656903416</v>
      </c>
      <c r="D41" s="98">
        <f t="shared" si="4"/>
        <v>3.1705316427163777E-4</v>
      </c>
      <c r="E41" s="116">
        <f t="shared" si="2"/>
        <v>11872542.081100758</v>
      </c>
    </row>
    <row r="42" spans="1:5" x14ac:dyDescent="0.3">
      <c r="A42" s="86">
        <f t="shared" si="3"/>
        <v>4000000</v>
      </c>
      <c r="B42" s="79">
        <f t="shared" si="0"/>
        <v>53657.568304600194</v>
      </c>
      <c r="C42" s="79">
        <f t="shared" si="1"/>
        <v>53657.568304600194</v>
      </c>
      <c r="D42" s="98">
        <f t="shared" si="4"/>
        <v>2.7756141192419452E-4</v>
      </c>
      <c r="E42" s="116">
        <f t="shared" si="2"/>
        <v>12123390.982741367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3" tint="0.79998168889431442"/>
  </sheetPr>
  <dimension ref="A1:R42"/>
  <sheetViews>
    <sheetView topLeftCell="A14" workbookViewId="0">
      <selection activeCell="F22" sqref="F22"/>
    </sheetView>
  </sheetViews>
  <sheetFormatPr defaultColWidth="8.81640625" defaultRowHeight="13" x14ac:dyDescent="0.3"/>
  <cols>
    <col min="1" max="1" width="12.1796875" style="98" customWidth="1"/>
    <col min="2" max="2" width="13.453125" style="98" customWidth="1"/>
    <col min="3" max="3" width="12.453125" style="98" customWidth="1"/>
    <col min="4" max="4" width="13.7265625" style="98" customWidth="1"/>
    <col min="5" max="5" width="14.7265625" style="98" customWidth="1"/>
    <col min="6" max="6" width="12.453125" style="98" customWidth="1"/>
    <col min="7" max="7" width="12" style="98" customWidth="1"/>
    <col min="8" max="10" width="10.26953125" style="98" customWidth="1"/>
    <col min="11" max="11" width="14.26953125" style="98" bestFit="1" customWidth="1"/>
    <col min="12" max="13" width="12" style="98" bestFit="1" customWidth="1"/>
    <col min="14" max="14" width="12.7265625" style="98" customWidth="1"/>
    <col min="15" max="15" width="10.7265625" style="98" bestFit="1" customWidth="1"/>
    <col min="16" max="16" width="8.81640625" style="98"/>
    <col min="17" max="18" width="10.26953125" style="98" customWidth="1"/>
    <col min="19" max="16384" width="8.81640625" style="98"/>
  </cols>
  <sheetData>
    <row r="1" spans="1:18" ht="13.5" thickBot="1" x14ac:dyDescent="0.35">
      <c r="A1" s="6" t="s">
        <v>0</v>
      </c>
      <c r="B1" s="98" t="s">
        <v>156</v>
      </c>
    </row>
    <row r="2" spans="1:18" x14ac:dyDescent="0.3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120" t="s">
        <v>102</v>
      </c>
      <c r="I2" s="121"/>
      <c r="J2" s="121"/>
      <c r="K2" s="121"/>
      <c r="L2" s="122"/>
    </row>
    <row r="3" spans="1:18" ht="13.5" thickBot="1" x14ac:dyDescent="0.35">
      <c r="A3" s="11" t="s">
        <v>3</v>
      </c>
      <c r="B3" s="12" t="s">
        <v>93</v>
      </c>
      <c r="C3" s="13" t="s">
        <v>5</v>
      </c>
      <c r="D3" s="12" t="s">
        <v>174</v>
      </c>
      <c r="E3" s="13" t="s">
        <v>104</v>
      </c>
      <c r="F3" s="14" t="s">
        <v>176</v>
      </c>
    </row>
    <row r="4" spans="1:18" ht="15" customHeight="1" thickBot="1" x14ac:dyDescent="0.35">
      <c r="A4" s="80" t="s">
        <v>38</v>
      </c>
      <c r="B4" s="501" t="s">
        <v>106</v>
      </c>
      <c r="C4" s="501"/>
      <c r="D4" s="501"/>
      <c r="E4" s="501"/>
      <c r="F4" s="502"/>
      <c r="H4" s="98" t="s">
        <v>107</v>
      </c>
    </row>
    <row r="5" spans="1:18" x14ac:dyDescent="0.3">
      <c r="H5" s="98" t="s">
        <v>184</v>
      </c>
    </row>
    <row r="6" spans="1:18" ht="13.5" thickBot="1" x14ac:dyDescent="0.35">
      <c r="B6" s="94">
        <f>VAC_Optim_Scenario!$G$14</f>
        <v>0</v>
      </c>
      <c r="C6" s="94">
        <f>VAC_Optim_Scenario!$H$14</f>
        <v>0</v>
      </c>
    </row>
    <row r="7" spans="1:18" ht="27.75" customHeight="1" x14ac:dyDescent="0.3">
      <c r="A7" s="503" t="s">
        <v>8</v>
      </c>
      <c r="B7" s="506" t="s">
        <v>9</v>
      </c>
      <c r="C7" s="507"/>
      <c r="D7" s="508" t="s">
        <v>12</v>
      </c>
      <c r="E7" s="509"/>
      <c r="F7" s="510"/>
      <c r="G7" s="506" t="s">
        <v>124</v>
      </c>
      <c r="H7" s="506"/>
      <c r="I7" s="511"/>
      <c r="J7" s="98" t="s">
        <v>125</v>
      </c>
    </row>
    <row r="8" spans="1:18" ht="28.15" customHeight="1" x14ac:dyDescent="0.3">
      <c r="A8" s="504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35">
      <c r="A9" s="505"/>
      <c r="B9" s="95">
        <f>VAC_Optim_Scenario!G18</f>
        <v>5400000</v>
      </c>
      <c r="C9" s="95">
        <f>VAC_Optim_Scenario!H18</f>
        <v>12000000</v>
      </c>
      <c r="D9" s="68">
        <f>VAC_Optim_Scenario!I18</f>
        <v>11415499.642068511</v>
      </c>
      <c r="E9" s="84">
        <f>((($R$12/(1+EXP($P$12+$Q$12*D9)))-1) - ($F$12-$C$12))*$I$12</f>
        <v>429649.57236059662</v>
      </c>
      <c r="F9" s="89">
        <f>E9*$G$12</f>
        <v>429649.57236059662</v>
      </c>
      <c r="G9" s="95">
        <f>VAC_Optim_Scenario!E18</f>
        <v>7775778</v>
      </c>
      <c r="H9" s="85">
        <f>((($R$12/(1+EXP($P$12+$Q$12*G9)))-1) - ($F$12-$C$12))*$I$12</f>
        <v>356289.09054759797</v>
      </c>
      <c r="I9" s="90">
        <f>H9*$G$12</f>
        <v>356289.09054759797</v>
      </c>
      <c r="J9" s="87">
        <f>G9/I9</f>
        <v>21.824350524033811</v>
      </c>
      <c r="K9" s="98" t="s">
        <v>178</v>
      </c>
    </row>
    <row r="10" spans="1:18" ht="13.5" thickBot="1" x14ac:dyDescent="0.35"/>
    <row r="11" spans="1:18" ht="51.65" customHeight="1" x14ac:dyDescent="0.3">
      <c r="A11" s="503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179</v>
      </c>
      <c r="H11" s="123" t="s">
        <v>119</v>
      </c>
      <c r="I11" s="92" t="s">
        <v>122</v>
      </c>
      <c r="K11" s="512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35">
      <c r="A12" s="505"/>
      <c r="B12" s="95">
        <f>'[2]HCP MCM SCurve'!$B$12</f>
        <v>5365372.8900000006</v>
      </c>
      <c r="C12" s="95">
        <f>'[2]HCP MCM SCurve'!$C$12</f>
        <v>282596.87941192201</v>
      </c>
      <c r="D12" s="95">
        <f>'[2]HCP MCM SCurve'!$D$12</f>
        <v>0</v>
      </c>
      <c r="E12" s="95">
        <f>'[2]HCP MCM SCurve'!$E$12</f>
        <v>536934.07088265184</v>
      </c>
      <c r="F12" s="95">
        <f>'[2]HCP MCM SCurve'!$F$12</f>
        <v>8649234</v>
      </c>
      <c r="G12" s="91">
        <f>VAC_Optim_Scenario!$D$32</f>
        <v>1</v>
      </c>
      <c r="H12" s="71">
        <f>C12*G12</f>
        <v>282596.87941192201</v>
      </c>
      <c r="I12" s="115">
        <f>VAC_Optim_Scenario!D18</f>
        <v>1</v>
      </c>
      <c r="K12" s="513"/>
      <c r="L12" s="71">
        <f>F12-C12</f>
        <v>8366637.1205880782</v>
      </c>
      <c r="M12" s="71">
        <f>L12+E12</f>
        <v>8903571.1914707292</v>
      </c>
      <c r="N12" s="72">
        <f>B12</f>
        <v>5365372.8900000006</v>
      </c>
      <c r="O12" s="71">
        <f>F12</f>
        <v>8649234</v>
      </c>
      <c r="P12" s="24">
        <f>LN((($M$12+1)/($L$12+1))-1)</f>
        <v>-2.7461321106228493</v>
      </c>
      <c r="Q12" s="73">
        <f>(LN((($M$12+1)/($O$12+1))-1)-$P$12)/$N$12</f>
        <v>-1.4545738944432554E-7</v>
      </c>
      <c r="R12" s="74">
        <f>M12+1</f>
        <v>8903572.1914707292</v>
      </c>
    </row>
    <row r="13" spans="1:18" ht="34.15" customHeight="1" x14ac:dyDescent="0.3">
      <c r="A13" s="514" t="s">
        <v>185</v>
      </c>
      <c r="B13" s="515"/>
      <c r="C13" s="515"/>
      <c r="D13" s="515"/>
      <c r="E13" s="515"/>
      <c r="F13" s="516"/>
      <c r="G13" s="119" t="s">
        <v>150</v>
      </c>
      <c r="H13" s="119" t="s">
        <v>151</v>
      </c>
      <c r="K13" s="514" t="s">
        <v>115</v>
      </c>
      <c r="L13" s="515"/>
      <c r="M13" s="515"/>
      <c r="N13" s="515"/>
      <c r="O13" s="515"/>
      <c r="P13" s="515"/>
      <c r="Q13" s="515"/>
      <c r="R13" s="516"/>
    </row>
    <row r="14" spans="1:18" ht="33.65" customHeight="1" thickBot="1" x14ac:dyDescent="0.35">
      <c r="A14" s="517"/>
      <c r="B14" s="518"/>
      <c r="C14" s="518"/>
      <c r="D14" s="518"/>
      <c r="E14" s="518"/>
      <c r="F14" s="519"/>
      <c r="G14" s="95">
        <f>VAC_Optim_Scenario!$I$32</f>
        <v>225.94</v>
      </c>
      <c r="H14" s="95">
        <f>VAC_Optim_Scenario!$F$32</f>
        <v>225.94</v>
      </c>
      <c r="K14" s="517"/>
      <c r="L14" s="518"/>
      <c r="M14" s="518"/>
      <c r="N14" s="518"/>
      <c r="O14" s="518"/>
      <c r="P14" s="518"/>
      <c r="Q14" s="518"/>
      <c r="R14" s="519"/>
    </row>
    <row r="16" spans="1:18" ht="13.5" thickBot="1" x14ac:dyDescent="0.35"/>
    <row r="17" spans="1:8" ht="42.65" customHeight="1" x14ac:dyDescent="0.3">
      <c r="A17" s="512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35">
      <c r="A18" s="513"/>
      <c r="B18" s="75">
        <v>0</v>
      </c>
      <c r="C18" s="76">
        <v>9000000</v>
      </c>
      <c r="D18" s="26">
        <v>20</v>
      </c>
    </row>
    <row r="20" spans="1:8" x14ac:dyDescent="0.3">
      <c r="A20" s="500" t="s">
        <v>37</v>
      </c>
      <c r="B20" s="500"/>
      <c r="C20" s="500"/>
    </row>
    <row r="21" spans="1:8" ht="26" x14ac:dyDescent="0.3">
      <c r="A21" s="119" t="s">
        <v>35</v>
      </c>
      <c r="B21" s="119" t="s">
        <v>175</v>
      </c>
      <c r="C21" s="119" t="s">
        <v>182</v>
      </c>
      <c r="D21" s="98" t="s">
        <v>186</v>
      </c>
      <c r="E21" s="119" t="s">
        <v>152</v>
      </c>
    </row>
    <row r="22" spans="1:8" x14ac:dyDescent="0.3">
      <c r="A22" s="86">
        <f>B18</f>
        <v>0</v>
      </c>
      <c r="B22" s="79">
        <f t="shared" ref="B22:B42" si="0">((($R$12/(1+EXP($P$12+$Q$12*A22)))-1) - ($F$12-$C$12))*$I$12</f>
        <v>9.3132257461547852E-10</v>
      </c>
      <c r="C22" s="79">
        <f>B22*$G$12</f>
        <v>9.3132257461547852E-10</v>
      </c>
      <c r="E22" s="116">
        <f>B22*$H$14</f>
        <v>2.1042302250862121E-7</v>
      </c>
    </row>
    <row r="23" spans="1:8" x14ac:dyDescent="0.3">
      <c r="A23" s="86">
        <f>A22+(($C$18-$B$18)/$D$18)</f>
        <v>450000</v>
      </c>
      <c r="B23" s="79">
        <f t="shared" si="0"/>
        <v>32090.946621055715</v>
      </c>
      <c r="C23" s="79">
        <f t="shared" ref="C23:C42" si="1">B23*$G$12</f>
        <v>32090.946621055715</v>
      </c>
      <c r="D23" s="98">
        <f>(B23-B22)/A23</f>
        <v>7.1313214713455073E-2</v>
      </c>
      <c r="E23" s="116">
        <f t="shared" ref="E23:E42" si="2">B23*$H$14</f>
        <v>7250628.479561328</v>
      </c>
    </row>
    <row r="24" spans="1:8" x14ac:dyDescent="0.3">
      <c r="A24" s="86">
        <f t="shared" ref="A24:A42" si="3">A23+(($C$18-$B$18)/$D$18)</f>
        <v>900000</v>
      </c>
      <c r="B24" s="79">
        <f t="shared" si="0"/>
        <v>62372.702283534221</v>
      </c>
      <c r="C24" s="79">
        <f t="shared" si="1"/>
        <v>62372.702283534221</v>
      </c>
      <c r="D24" s="98">
        <f t="shared" ref="D24:D42" si="4">(B24-B23)/A24</f>
        <v>3.3646395180531675E-2</v>
      </c>
      <c r="E24" s="116">
        <f t="shared" si="2"/>
        <v>14092488.353941722</v>
      </c>
    </row>
    <row r="25" spans="1:8" x14ac:dyDescent="0.3">
      <c r="A25" s="86">
        <f t="shared" si="3"/>
        <v>1350000</v>
      </c>
      <c r="B25" s="79">
        <f t="shared" si="0"/>
        <v>90934.537746489979</v>
      </c>
      <c r="C25" s="79">
        <f t="shared" si="1"/>
        <v>90934.537746489979</v>
      </c>
      <c r="D25" s="98">
        <f t="shared" si="4"/>
        <v>2.1156915157745006E-2</v>
      </c>
      <c r="E25" s="116">
        <f t="shared" si="2"/>
        <v>20545749.458441947</v>
      </c>
    </row>
    <row r="26" spans="1:8" x14ac:dyDescent="0.3">
      <c r="A26" s="86">
        <f t="shared" si="3"/>
        <v>1800000</v>
      </c>
      <c r="B26" s="79">
        <f t="shared" si="0"/>
        <v>117862.82305689622</v>
      </c>
      <c r="C26" s="79">
        <f t="shared" si="1"/>
        <v>117862.82305689622</v>
      </c>
      <c r="D26" s="98">
        <f t="shared" si="4"/>
        <v>1.4960158505781243E-2</v>
      </c>
      <c r="E26" s="116">
        <f t="shared" si="2"/>
        <v>26629926.241475131</v>
      </c>
    </row>
    <row r="27" spans="1:8" x14ac:dyDescent="0.3">
      <c r="A27" s="86">
        <f t="shared" si="3"/>
        <v>2250000</v>
      </c>
      <c r="B27" s="79">
        <f t="shared" si="0"/>
        <v>143240.93136705179</v>
      </c>
      <c r="C27" s="79">
        <f t="shared" si="1"/>
        <v>143240.93136705179</v>
      </c>
      <c r="D27" s="98">
        <f t="shared" si="4"/>
        <v>1.1279159248958032E-2</v>
      </c>
      <c r="E27" s="116">
        <f t="shared" si="2"/>
        <v>32363856.033071682</v>
      </c>
    </row>
    <row r="28" spans="1:8" x14ac:dyDescent="0.3">
      <c r="A28" s="86">
        <f t="shared" si="3"/>
        <v>2700000</v>
      </c>
      <c r="B28" s="79">
        <f t="shared" si="0"/>
        <v>167149.17398581188</v>
      </c>
      <c r="C28" s="79">
        <f t="shared" si="1"/>
        <v>167149.17398581188</v>
      </c>
      <c r="D28" s="98">
        <f t="shared" si="4"/>
        <v>8.8549046736148499E-3</v>
      </c>
      <c r="E28" s="116">
        <f t="shared" si="2"/>
        <v>37765684.370354339</v>
      </c>
    </row>
    <row r="29" spans="1:8" x14ac:dyDescent="0.3">
      <c r="A29" s="86">
        <f t="shared" si="3"/>
        <v>3150000</v>
      </c>
      <c r="B29" s="79">
        <f t="shared" si="0"/>
        <v>189664.76300015021</v>
      </c>
      <c r="C29" s="79">
        <f t="shared" si="1"/>
        <v>189664.76300015021</v>
      </c>
      <c r="D29" s="98">
        <f t="shared" si="4"/>
        <v>7.1478060362978827E-3</v>
      </c>
      <c r="E29" s="116">
        <f t="shared" si="2"/>
        <v>42852856.552253939</v>
      </c>
    </row>
    <row r="30" spans="1:8" x14ac:dyDescent="0.3">
      <c r="A30" s="86">
        <f t="shared" si="3"/>
        <v>3600000</v>
      </c>
      <c r="B30" s="79">
        <f t="shared" si="0"/>
        <v>210861.79804271925</v>
      </c>
      <c r="C30" s="79">
        <f t="shared" si="1"/>
        <v>210861.79804271925</v>
      </c>
      <c r="D30" s="98">
        <f t="shared" si="4"/>
        <v>5.8880652896025117E-3</v>
      </c>
      <c r="E30" s="116">
        <f t="shared" si="2"/>
        <v>47642114.649771988</v>
      </c>
    </row>
    <row r="31" spans="1:8" x14ac:dyDescent="0.3">
      <c r="A31" s="86">
        <f t="shared" si="3"/>
        <v>4050000</v>
      </c>
      <c r="B31" s="79">
        <f t="shared" si="0"/>
        <v>230811.27402984444</v>
      </c>
      <c r="C31" s="79">
        <f t="shared" si="1"/>
        <v>230811.27402984444</v>
      </c>
      <c r="D31" s="98">
        <f t="shared" si="4"/>
        <v>4.9257965400309103E-3</v>
      </c>
      <c r="E31" s="116">
        <f t="shared" si="2"/>
        <v>52149499.254303053</v>
      </c>
    </row>
    <row r="32" spans="1:8" x14ac:dyDescent="0.3">
      <c r="A32" s="86">
        <f t="shared" si="3"/>
        <v>4500000</v>
      </c>
      <c r="B32" s="79">
        <f t="shared" si="0"/>
        <v>249581.10694633145</v>
      </c>
      <c r="C32" s="79">
        <f t="shared" si="1"/>
        <v>249581.10694633145</v>
      </c>
      <c r="D32" s="98">
        <f t="shared" si="4"/>
        <v>4.1710739814415573E-3</v>
      </c>
      <c r="E32" s="116">
        <f t="shared" si="2"/>
        <v>56390355.303454123</v>
      </c>
    </row>
    <row r="33" spans="1:5" x14ac:dyDescent="0.3">
      <c r="A33" s="86">
        <f t="shared" si="3"/>
        <v>4950000</v>
      </c>
      <c r="B33" s="79">
        <f t="shared" si="0"/>
        <v>267236.17500382755</v>
      </c>
      <c r="C33" s="79">
        <f t="shared" si="1"/>
        <v>267236.17500382755</v>
      </c>
      <c r="D33" s="98">
        <f t="shared" si="4"/>
        <v>3.566680415655778E-3</v>
      </c>
      <c r="E33" s="116">
        <f t="shared" si="2"/>
        <v>60379341.380364798</v>
      </c>
    </row>
    <row r="34" spans="1:5" x14ac:dyDescent="0.3">
      <c r="A34" s="86">
        <f>A33+(($C$18-$B$18)/$D$18)</f>
        <v>5400000</v>
      </c>
      <c r="B34" s="79">
        <f t="shared" si="0"/>
        <v>283838.37274381984</v>
      </c>
      <c r="C34" s="79">
        <f t="shared" si="1"/>
        <v>283838.37274381984</v>
      </c>
      <c r="D34" s="98">
        <f t="shared" si="4"/>
        <v>3.0744810629615353E-3</v>
      </c>
      <c r="E34" s="116">
        <f t="shared" si="2"/>
        <v>64130441.937738657</v>
      </c>
    </row>
    <row r="35" spans="1:5" x14ac:dyDescent="0.3">
      <c r="A35" s="86">
        <f t="shared" si="3"/>
        <v>5850000</v>
      </c>
      <c r="B35" s="79">
        <f t="shared" si="0"/>
        <v>299446.6758922087</v>
      </c>
      <c r="C35" s="79">
        <f t="shared" si="1"/>
        <v>299446.6758922087</v>
      </c>
      <c r="D35" s="98">
        <f t="shared" si="4"/>
        <v>2.6680860082716005E-3</v>
      </c>
      <c r="E35" s="116">
        <f t="shared" si="2"/>
        <v>67656981.951085627</v>
      </c>
    </row>
    <row r="36" spans="1:5" x14ac:dyDescent="0.3">
      <c r="A36" s="86">
        <f t="shared" si="3"/>
        <v>6300000</v>
      </c>
      <c r="B36" s="79">
        <f t="shared" si="0"/>
        <v>314117.21499689016</v>
      </c>
      <c r="C36" s="79">
        <f t="shared" si="1"/>
        <v>314117.21499689016</v>
      </c>
      <c r="D36" s="98">
        <f t="shared" si="4"/>
        <v>2.3286570007430892E-3</v>
      </c>
      <c r="E36" s="116">
        <f t="shared" si="2"/>
        <v>70971643.556397364</v>
      </c>
    </row>
    <row r="37" spans="1:5" x14ac:dyDescent="0.3">
      <c r="A37" s="86">
        <f t="shared" si="3"/>
        <v>6750000</v>
      </c>
      <c r="B37" s="79">
        <f t="shared" si="0"/>
        <v>327903.35609178897</v>
      </c>
      <c r="C37" s="79">
        <f t="shared" si="1"/>
        <v>327903.35609178897</v>
      </c>
      <c r="D37" s="98">
        <f t="shared" si="4"/>
        <v>2.0423912733183417E-3</v>
      </c>
      <c r="E37" s="116">
        <f t="shared" si="2"/>
        <v>74086484.275378793</v>
      </c>
    </row>
    <row r="38" spans="1:5" x14ac:dyDescent="0.3">
      <c r="A38" s="86">
        <f t="shared" si="3"/>
        <v>7200000</v>
      </c>
      <c r="B38" s="79">
        <f t="shared" si="0"/>
        <v>340855.78682918753</v>
      </c>
      <c r="C38" s="79">
        <f t="shared" si="1"/>
        <v>340855.78682918753</v>
      </c>
      <c r="D38" s="98">
        <f t="shared" si="4"/>
        <v>1.7989487135275785E-3</v>
      </c>
      <c r="E38" s="116">
        <f t="shared" si="2"/>
        <v>77012956.476186633</v>
      </c>
    </row>
    <row r="39" spans="1:5" x14ac:dyDescent="0.3">
      <c r="A39" s="86">
        <f t="shared" si="3"/>
        <v>7650000</v>
      </c>
      <c r="B39" s="79">
        <f t="shared" si="0"/>
        <v>353022.60670624953</v>
      </c>
      <c r="C39" s="79">
        <f t="shared" si="1"/>
        <v>353022.60670624953</v>
      </c>
      <c r="D39" s="98">
        <f t="shared" si="4"/>
        <v>1.5904339708577768E-3</v>
      </c>
      <c r="E39" s="116">
        <f t="shared" si="2"/>
        <v>79761927.75921002</v>
      </c>
    </row>
    <row r="40" spans="1:5" x14ac:dyDescent="0.3">
      <c r="A40" s="86">
        <f t="shared" si="3"/>
        <v>8100000</v>
      </c>
      <c r="B40" s="79">
        <f t="shared" si="0"/>
        <v>364449.42018150073</v>
      </c>
      <c r="C40" s="79">
        <f t="shared" si="1"/>
        <v>364449.42018150073</v>
      </c>
      <c r="D40" s="98">
        <f t="shared" si="4"/>
        <v>1.410717712993975E-3</v>
      </c>
      <c r="E40" s="116">
        <f t="shared" si="2"/>
        <v>82343701.995808274</v>
      </c>
    </row>
    <row r="41" spans="1:5" x14ac:dyDescent="0.3">
      <c r="A41" s="86">
        <f>A40+(($C$18-$B$18)/$D$18)</f>
        <v>8550000</v>
      </c>
      <c r="B41" s="79">
        <f t="shared" si="0"/>
        <v>375179.43163259048</v>
      </c>
      <c r="C41" s="79">
        <f t="shared" si="1"/>
        <v>375179.43163259048</v>
      </c>
      <c r="D41" s="98">
        <f t="shared" si="4"/>
        <v>1.2549720995426615E-3</v>
      </c>
      <c r="E41" s="116">
        <f t="shared" si="2"/>
        <v>84768040.783067495</v>
      </c>
    </row>
    <row r="42" spans="1:5" x14ac:dyDescent="0.3">
      <c r="A42" s="86">
        <f t="shared" si="3"/>
        <v>9000000</v>
      </c>
      <c r="B42" s="79">
        <f t="shared" si="0"/>
        <v>385253.54124828521</v>
      </c>
      <c r="C42" s="79">
        <f t="shared" si="1"/>
        <v>385253.54124828521</v>
      </c>
      <c r="D42" s="98">
        <f t="shared" si="4"/>
        <v>1.1193455128549702E-3</v>
      </c>
      <c r="E42" s="116">
        <f t="shared" si="2"/>
        <v>87044185.109637558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967B9-4732-46CE-9BD7-314895D3D801}">
  <sheetPr>
    <tabColor theme="3" tint="0.79998168889431442"/>
    <pageSetUpPr autoPageBreaks="0"/>
  </sheetPr>
  <dimension ref="A1:I41"/>
  <sheetViews>
    <sheetView topLeftCell="A20" workbookViewId="0">
      <selection activeCell="B9" sqref="B9:I9"/>
    </sheetView>
  </sheetViews>
  <sheetFormatPr defaultColWidth="8.81640625" defaultRowHeight="14.5" x14ac:dyDescent="0.35"/>
  <cols>
    <col min="1" max="1" width="16.453125" style="97" bestFit="1" customWidth="1"/>
    <col min="2" max="2" width="18" style="97" customWidth="1"/>
    <col min="3" max="3" width="12.453125" style="97" bestFit="1" customWidth="1"/>
    <col min="4" max="4" width="19.26953125" style="97" customWidth="1"/>
    <col min="5" max="5" width="17.81640625" style="97" customWidth="1"/>
    <col min="6" max="6" width="15.453125" style="97" customWidth="1"/>
    <col min="7" max="7" width="15.81640625" style="97" customWidth="1"/>
    <col min="8" max="8" width="15" style="97" customWidth="1"/>
    <col min="9" max="9" width="14.1796875" style="97" customWidth="1"/>
    <col min="10" max="16384" width="8.81640625" style="97"/>
  </cols>
  <sheetData>
    <row r="1" spans="1:9" ht="15" thickBot="1" x14ac:dyDescent="0.4">
      <c r="A1" s="6" t="s">
        <v>0</v>
      </c>
      <c r="B1" s="98" t="s">
        <v>188</v>
      </c>
      <c r="C1" s="98"/>
      <c r="D1" s="98"/>
      <c r="E1" s="98"/>
      <c r="F1" s="98"/>
      <c r="G1" s="98"/>
      <c r="H1" s="98"/>
      <c r="I1" s="98"/>
    </row>
    <row r="2" spans="1:9" x14ac:dyDescent="0.3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" thickBot="1" x14ac:dyDescent="0.4">
      <c r="A3" s="11" t="s">
        <v>3</v>
      </c>
      <c r="B3" s="12" t="s">
        <v>162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" thickBot="1" x14ac:dyDescent="0.4">
      <c r="A4" s="29" t="s">
        <v>38</v>
      </c>
      <c r="B4" s="520"/>
      <c r="C4" s="521"/>
      <c r="D4" s="521"/>
      <c r="E4" s="521"/>
      <c r="F4" s="522"/>
      <c r="G4" s="98"/>
      <c r="H4" s="98"/>
      <c r="I4" s="98"/>
    </row>
    <row r="5" spans="1:9" x14ac:dyDescent="0.35">
      <c r="A5" s="98"/>
      <c r="B5" s="98"/>
      <c r="C5" s="98"/>
      <c r="D5" s="98"/>
      <c r="E5" s="98"/>
      <c r="F5" s="98"/>
      <c r="G5" s="98"/>
      <c r="H5" s="98"/>
      <c r="I5" s="98"/>
    </row>
    <row r="6" spans="1:9" ht="15" thickBot="1" x14ac:dyDescent="0.4">
      <c r="A6" s="98"/>
      <c r="B6" s="170">
        <v>0.7</v>
      </c>
      <c r="C6" s="170">
        <v>1.2</v>
      </c>
      <c r="D6" s="98"/>
      <c r="E6" s="98"/>
      <c r="F6" s="98"/>
      <c r="G6" s="98"/>
      <c r="H6" s="98"/>
      <c r="I6" s="98"/>
    </row>
    <row r="7" spans="1:9" x14ac:dyDescent="0.35">
      <c r="A7" s="503" t="s">
        <v>8</v>
      </c>
      <c r="B7" s="506" t="s">
        <v>9</v>
      </c>
      <c r="C7" s="506"/>
      <c r="D7" s="506" t="s">
        <v>12</v>
      </c>
      <c r="E7" s="506"/>
      <c r="F7" s="506"/>
      <c r="G7" s="506" t="s">
        <v>124</v>
      </c>
      <c r="H7" s="506"/>
      <c r="I7" s="511"/>
    </row>
    <row r="8" spans="1:9" x14ac:dyDescent="0.35">
      <c r="A8" s="504"/>
      <c r="B8" s="280" t="s">
        <v>10</v>
      </c>
      <c r="C8" s="280" t="s">
        <v>11</v>
      </c>
      <c r="D8" s="280" t="s">
        <v>20</v>
      </c>
      <c r="E8" s="280" t="s">
        <v>21</v>
      </c>
      <c r="F8" s="280" t="s">
        <v>117</v>
      </c>
      <c r="G8" s="280" t="s">
        <v>22</v>
      </c>
      <c r="H8" s="280" t="s">
        <v>23</v>
      </c>
      <c r="I8" s="4" t="s">
        <v>123</v>
      </c>
    </row>
    <row r="9" spans="1:9" ht="15" thickBot="1" x14ac:dyDescent="0.4">
      <c r="A9" s="505"/>
      <c r="B9" s="171">
        <f>VAC_Optim_Scenario!G$19</f>
        <v>1599500</v>
      </c>
      <c r="C9" s="171">
        <f>VAC_Optim_Scenario!H$19</f>
        <v>2576000</v>
      </c>
      <c r="D9" s="172">
        <f>VAC_Optim_Scenario!I$19</f>
        <v>2576000</v>
      </c>
      <c r="E9" s="84">
        <f>((GSOC!D9/$B$12)^$D$12)*$C$12*$F$12</f>
        <v>86255.76070960192</v>
      </c>
      <c r="F9" s="84">
        <f>E9*F11</f>
        <v>86255.76070960192</v>
      </c>
      <c r="G9" s="76">
        <f>VAC_Optim_Scenario!E19</f>
        <v>1840000</v>
      </c>
      <c r="H9" s="173">
        <f>((GSOC!G9/$B$12)^$D$12)*$C$12*$F$12</f>
        <v>70487.367019183061</v>
      </c>
      <c r="I9" s="174">
        <f>H9*F11</f>
        <v>70487.367019183061</v>
      </c>
    </row>
    <row r="10" spans="1:9" ht="15" thickBot="1" x14ac:dyDescent="0.4"/>
    <row r="11" spans="1:9" ht="49" customHeight="1" x14ac:dyDescent="0.35">
      <c r="A11" s="500" t="s">
        <v>15</v>
      </c>
      <c r="B11" s="281" t="s">
        <v>16</v>
      </c>
      <c r="C11" s="281" t="s">
        <v>17</v>
      </c>
      <c r="D11" s="281" t="s">
        <v>168</v>
      </c>
      <c r="E11" s="280" t="s">
        <v>126</v>
      </c>
      <c r="F11" s="175">
        <v>1</v>
      </c>
    </row>
    <row r="12" spans="1:9" ht="40.5" customHeight="1" thickBot="1" x14ac:dyDescent="0.4">
      <c r="A12" s="500"/>
      <c r="B12" s="176">
        <f>'[3]HCC Social - Power'!$B$12</f>
        <v>1873000</v>
      </c>
      <c r="C12" s="176">
        <f>'[3]HCC Social - Power'!$C$12</f>
        <v>71243.17418511775</v>
      </c>
      <c r="D12" s="341">
        <f>'[3]HCC Social - Power'!$D$12</f>
        <v>0.6</v>
      </c>
      <c r="E12" s="280" t="s">
        <v>122</v>
      </c>
      <c r="F12" s="177">
        <f>VAC_Optim_Scenario!D19</f>
        <v>1</v>
      </c>
      <c r="G12" s="287">
        <f>B12*2</f>
        <v>3746000</v>
      </c>
    </row>
    <row r="13" spans="1:9" ht="18.75" customHeight="1" x14ac:dyDescent="0.35">
      <c r="A13" s="514" t="s">
        <v>169</v>
      </c>
      <c r="B13" s="515"/>
      <c r="C13" s="515"/>
      <c r="D13" s="515"/>
      <c r="E13" s="280" t="s">
        <v>170</v>
      </c>
      <c r="F13" s="280" t="s">
        <v>171</v>
      </c>
    </row>
    <row r="14" spans="1:9" ht="15" thickBot="1" x14ac:dyDescent="0.4">
      <c r="A14" s="517"/>
      <c r="B14" s="518"/>
      <c r="C14" s="518"/>
      <c r="D14" s="518"/>
      <c r="E14" s="95">
        <f>VAC_Optim_Scenario!G32</f>
        <v>225.94</v>
      </c>
      <c r="F14" s="95">
        <f>VAC_Optim_Scenario!E32</f>
        <v>225.94</v>
      </c>
    </row>
    <row r="15" spans="1:9" ht="15" thickBot="1" x14ac:dyDescent="0.4"/>
    <row r="16" spans="1:9" x14ac:dyDescent="0.35">
      <c r="A16" s="512" t="s">
        <v>34</v>
      </c>
      <c r="B16" s="281" t="s">
        <v>32</v>
      </c>
      <c r="C16" s="281" t="s">
        <v>31</v>
      </c>
      <c r="D16" s="282" t="s">
        <v>33</v>
      </c>
    </row>
    <row r="17" spans="1:4" ht="15" thickBot="1" x14ac:dyDescent="0.4">
      <c r="A17" s="513"/>
      <c r="B17" s="76">
        <v>0</v>
      </c>
      <c r="C17" s="76">
        <v>5000000</v>
      </c>
      <c r="D17" s="26">
        <v>20</v>
      </c>
    </row>
    <row r="18" spans="1:4" x14ac:dyDescent="0.35">
      <c r="A18" s="98"/>
      <c r="B18" s="98"/>
      <c r="C18" s="98"/>
      <c r="D18" s="98"/>
    </row>
    <row r="19" spans="1:4" x14ac:dyDescent="0.35">
      <c r="A19" s="500" t="s">
        <v>37</v>
      </c>
      <c r="B19" s="500"/>
      <c r="C19" s="500"/>
      <c r="D19" s="98"/>
    </row>
    <row r="20" spans="1:4" ht="26" x14ac:dyDescent="0.35">
      <c r="A20" s="280" t="s">
        <v>35</v>
      </c>
      <c r="B20" s="280" t="s">
        <v>175</v>
      </c>
      <c r="C20" s="280" t="s">
        <v>172</v>
      </c>
    </row>
    <row r="21" spans="1:4" x14ac:dyDescent="0.35">
      <c r="A21" s="178">
        <f>B17</f>
        <v>0</v>
      </c>
      <c r="B21" s="173">
        <f>((GSOC!A21/$B$12)^$D$12)*$C$12*$F$12</f>
        <v>0</v>
      </c>
      <c r="C21" s="179">
        <f>B21*$F$14</f>
        <v>0</v>
      </c>
    </row>
    <row r="22" spans="1:4" x14ac:dyDescent="0.35">
      <c r="A22" s="178">
        <f>A21+(($C$17-$B$17)/$D$17)</f>
        <v>250000</v>
      </c>
      <c r="B22" s="173">
        <f>((GSOC!A22/$B$12)^$D$12)*$C$12*$F$12</f>
        <v>21280.635822412063</v>
      </c>
      <c r="C22" s="179">
        <f t="shared" ref="C22:C41" si="0">B22*$F$14</f>
        <v>4808146.8577157818</v>
      </c>
    </row>
    <row r="23" spans="1:4" x14ac:dyDescent="0.35">
      <c r="A23" s="178">
        <f t="shared" ref="A23:A41" si="1">A22+(($C$17-$B$17)/$D$17)</f>
        <v>500000</v>
      </c>
      <c r="B23" s="173">
        <f>((GSOC!A23/$B$12)^$D$12)*$C$12*$F$12</f>
        <v>32255.412261904592</v>
      </c>
      <c r="C23" s="179">
        <f t="shared" si="0"/>
        <v>7287787.8464547237</v>
      </c>
    </row>
    <row r="24" spans="1:4" x14ac:dyDescent="0.35">
      <c r="A24" s="178">
        <f t="shared" si="1"/>
        <v>750000</v>
      </c>
      <c r="B24" s="173">
        <f>((GSOC!A24/$B$12)^$D$12)*$C$12*$F$12</f>
        <v>41139.343076618679</v>
      </c>
      <c r="C24" s="179">
        <f t="shared" si="0"/>
        <v>9295023.1747312248</v>
      </c>
    </row>
    <row r="25" spans="1:4" x14ac:dyDescent="0.35">
      <c r="A25" s="178">
        <f t="shared" si="1"/>
        <v>1000000</v>
      </c>
      <c r="B25" s="173">
        <f>((GSOC!A25/$B$12)^$D$12)*$C$12*$F$12</f>
        <v>48890.062724991418</v>
      </c>
      <c r="C25" s="179">
        <f t="shared" si="0"/>
        <v>11046220.77208456</v>
      </c>
    </row>
    <row r="26" spans="1:4" x14ac:dyDescent="0.35">
      <c r="A26" s="178">
        <f t="shared" si="1"/>
        <v>1250000</v>
      </c>
      <c r="B26" s="173">
        <f>((GSOC!A26/$B$12)^$D$12)*$C$12*$F$12</f>
        <v>55894.181682956114</v>
      </c>
      <c r="C26" s="179">
        <f t="shared" si="0"/>
        <v>12628731.409447104</v>
      </c>
    </row>
    <row r="27" spans="1:4" x14ac:dyDescent="0.35">
      <c r="A27" s="178">
        <f t="shared" si="1"/>
        <v>1500000</v>
      </c>
      <c r="B27" s="173">
        <f>((GSOC!A27/$B$12)^$D$12)*$C$12*$F$12</f>
        <v>62355.583836585771</v>
      </c>
      <c r="C27" s="179">
        <f t="shared" si="0"/>
        <v>14088620.61203819</v>
      </c>
    </row>
    <row r="28" spans="1:4" x14ac:dyDescent="0.35">
      <c r="A28" s="178">
        <f t="shared" si="1"/>
        <v>1750000</v>
      </c>
      <c r="B28" s="173">
        <f>((GSOC!A28/$B$12)^$D$12)*$C$12*$F$12</f>
        <v>68398.003276133066</v>
      </c>
      <c r="C28" s="179">
        <f t="shared" si="0"/>
        <v>15453844.860209504</v>
      </c>
    </row>
    <row r="29" spans="1:4" x14ac:dyDescent="0.35">
      <c r="A29" s="178">
        <f t="shared" si="1"/>
        <v>2000000</v>
      </c>
      <c r="B29" s="173">
        <f>((GSOC!A29/$B$12)^$D$12)*$C$12*$F$12</f>
        <v>74103.478010002</v>
      </c>
      <c r="C29" s="179">
        <f t="shared" si="0"/>
        <v>16742939.821579851</v>
      </c>
    </row>
    <row r="30" spans="1:4" x14ac:dyDescent="0.35">
      <c r="A30" s="178">
        <f t="shared" si="1"/>
        <v>2250000</v>
      </c>
      <c r="B30" s="173">
        <f>((GSOC!A30/$B$12)^$D$12)*$C$12*$F$12</f>
        <v>79529.839376007047</v>
      </c>
      <c r="C30" s="179">
        <f t="shared" si="0"/>
        <v>17968971.90861503</v>
      </c>
    </row>
    <row r="31" spans="1:4" x14ac:dyDescent="0.35">
      <c r="A31" s="178">
        <f t="shared" si="1"/>
        <v>2500000</v>
      </c>
      <c r="B31" s="173">
        <f>((GSOC!A31/$B$12)^$D$12)*$C$12*$F$12</f>
        <v>84719.737148398606</v>
      </c>
      <c r="C31" s="179">
        <f t="shared" si="0"/>
        <v>19141577.411309183</v>
      </c>
    </row>
    <row r="32" spans="1:4" x14ac:dyDescent="0.35">
      <c r="A32" s="178">
        <f t="shared" si="1"/>
        <v>2750000</v>
      </c>
      <c r="B32" s="173">
        <f>((GSOC!A32/$B$12)^$D$12)*$C$12*$F$12</f>
        <v>89705.735378365556</v>
      </c>
      <c r="C32" s="179">
        <f t="shared" si="0"/>
        <v>20268113.851387914</v>
      </c>
    </row>
    <row r="33" spans="1:3" x14ac:dyDescent="0.35">
      <c r="A33" s="178">
        <f t="shared" si="1"/>
        <v>3000000</v>
      </c>
      <c r="B33" s="173">
        <f>((GSOC!A33/$B$12)^$D$12)*$C$12*$F$12</f>
        <v>94513.391435541067</v>
      </c>
      <c r="C33" s="179">
        <f t="shared" si="0"/>
        <v>21354355.660946149</v>
      </c>
    </row>
    <row r="34" spans="1:3" x14ac:dyDescent="0.35">
      <c r="A34" s="178">
        <f t="shared" si="1"/>
        <v>3250000</v>
      </c>
      <c r="B34" s="173">
        <f>((GSOC!A34/$B$12)^$D$12)*$C$12*$F$12</f>
        <v>99163.217815008757</v>
      </c>
      <c r="C34" s="179">
        <f t="shared" si="0"/>
        <v>22404937.433123078</v>
      </c>
    </row>
    <row r="35" spans="1:3" x14ac:dyDescent="0.35">
      <c r="A35" s="178">
        <f t="shared" si="1"/>
        <v>3500000</v>
      </c>
      <c r="B35" s="173">
        <f>((GSOC!A35/$B$12)^$D$12)*$C$12*$F$12</f>
        <v>103671.98668186736</v>
      </c>
      <c r="C35" s="179">
        <f t="shared" si="0"/>
        <v>23423648.670901112</v>
      </c>
    </row>
    <row r="36" spans="1:3" x14ac:dyDescent="0.35">
      <c r="A36" s="178">
        <f t="shared" si="1"/>
        <v>3750000</v>
      </c>
      <c r="B36" s="173">
        <f>((GSOC!A36/$B$12)^$D$12)*$C$12*$F$12</f>
        <v>108053.62844564456</v>
      </c>
      <c r="C36" s="179">
        <f t="shared" si="0"/>
        <v>24413636.81100893</v>
      </c>
    </row>
    <row r="37" spans="1:3" x14ac:dyDescent="0.35">
      <c r="A37" s="178">
        <f t="shared" si="1"/>
        <v>4000000</v>
      </c>
      <c r="B37" s="173">
        <f>((GSOC!A37/$B$12)^$D$12)*$C$12*$F$12</f>
        <v>112319.869255799</v>
      </c>
      <c r="C37" s="179">
        <f t="shared" si="0"/>
        <v>25377551.259655226</v>
      </c>
    </row>
    <row r="38" spans="1:3" x14ac:dyDescent="0.35">
      <c r="A38" s="178">
        <f t="shared" si="1"/>
        <v>4250000</v>
      </c>
      <c r="B38" s="173">
        <f>((GSOC!A38/$B$12)^$D$12)*$C$12*$F$12</f>
        <v>116480.69479189794</v>
      </c>
      <c r="C38" s="179">
        <f t="shared" si="0"/>
        <v>26317648.181281421</v>
      </c>
    </row>
    <row r="39" spans="1:3" x14ac:dyDescent="0.35">
      <c r="A39" s="178">
        <f t="shared" si="1"/>
        <v>4500000</v>
      </c>
      <c r="B39" s="173">
        <f>((GSOC!A39/$B$12)^$D$12)*$C$12*$F$12</f>
        <v>120544.69507412486</v>
      </c>
      <c r="C39" s="179">
        <f t="shared" si="0"/>
        <v>27235868.405047771</v>
      </c>
    </row>
    <row r="40" spans="1:3" x14ac:dyDescent="0.35">
      <c r="A40" s="178">
        <f t="shared" si="1"/>
        <v>4750000</v>
      </c>
      <c r="B40" s="173">
        <f>((GSOC!A40/$B$12)^$D$12)*$C$12*$F$12</f>
        <v>124519.32570439449</v>
      </c>
      <c r="C40" s="179">
        <f t="shared" si="0"/>
        <v>28133896.449650891</v>
      </c>
    </row>
    <row r="41" spans="1:3" x14ac:dyDescent="0.35">
      <c r="A41" s="178">
        <f t="shared" si="1"/>
        <v>5000000</v>
      </c>
      <c r="B41" s="173">
        <f>((GSOC!A41/$B$12)^$D$12)*$C$12*$F$12</f>
        <v>128411.10910623417</v>
      </c>
      <c r="C41" s="179">
        <f t="shared" si="0"/>
        <v>29013205.991462547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>
    <tabColor theme="3" tint="0.79998168889431442"/>
  </sheetPr>
  <dimension ref="A1:R44"/>
  <sheetViews>
    <sheetView topLeftCell="A27" workbookViewId="0">
      <selection activeCell="G32" sqref="G32"/>
    </sheetView>
  </sheetViews>
  <sheetFormatPr defaultColWidth="8.81640625" defaultRowHeight="13" x14ac:dyDescent="0.3"/>
  <cols>
    <col min="1" max="1" width="12.1796875" style="98" customWidth="1"/>
    <col min="2" max="2" width="13.453125" style="98" customWidth="1"/>
    <col min="3" max="3" width="12.453125" style="98" customWidth="1"/>
    <col min="4" max="4" width="13.7265625" style="98" customWidth="1"/>
    <col min="5" max="5" width="14.7265625" style="98" customWidth="1"/>
    <col min="6" max="6" width="12.453125" style="98" customWidth="1"/>
    <col min="7" max="7" width="12" style="98" customWidth="1"/>
    <col min="8" max="10" width="10.26953125" style="98" customWidth="1"/>
    <col min="11" max="11" width="14.26953125" style="98" bestFit="1" customWidth="1"/>
    <col min="12" max="13" width="12" style="98" bestFit="1" customWidth="1"/>
    <col min="14" max="14" width="12.7265625" style="98" customWidth="1"/>
    <col min="15" max="15" width="9.7265625" style="98" bestFit="1" customWidth="1"/>
    <col min="16" max="16" width="8.81640625" style="98"/>
    <col min="17" max="18" width="10.26953125" style="98" customWidth="1"/>
    <col min="19" max="16384" width="8.81640625" style="98"/>
  </cols>
  <sheetData>
    <row r="1" spans="1:18" ht="13.5" thickBot="1" x14ac:dyDescent="0.35">
      <c r="A1" s="6" t="s">
        <v>0</v>
      </c>
      <c r="B1" s="98" t="s">
        <v>157</v>
      </c>
    </row>
    <row r="2" spans="1:18" x14ac:dyDescent="0.3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140" t="s">
        <v>102</v>
      </c>
      <c r="I2" s="141"/>
      <c r="J2" s="141"/>
      <c r="K2" s="141"/>
      <c r="L2" s="142"/>
    </row>
    <row r="3" spans="1:18" ht="13.5" thickBot="1" x14ac:dyDescent="0.35">
      <c r="A3" s="11" t="s">
        <v>3</v>
      </c>
      <c r="B3" s="12" t="s">
        <v>245</v>
      </c>
      <c r="C3" s="13" t="s">
        <v>5</v>
      </c>
      <c r="D3" s="12" t="s">
        <v>174</v>
      </c>
      <c r="E3" s="13" t="s">
        <v>104</v>
      </c>
      <c r="F3" s="14" t="s">
        <v>166</v>
      </c>
    </row>
    <row r="4" spans="1:18" ht="15" customHeight="1" thickBot="1" x14ac:dyDescent="0.35">
      <c r="A4" s="80" t="s">
        <v>38</v>
      </c>
      <c r="B4" s="501" t="s">
        <v>106</v>
      </c>
      <c r="C4" s="501"/>
      <c r="D4" s="501"/>
      <c r="E4" s="501"/>
      <c r="F4" s="502"/>
      <c r="H4" s="98" t="s">
        <v>107</v>
      </c>
    </row>
    <row r="5" spans="1:18" x14ac:dyDescent="0.3">
      <c r="H5" s="98" t="s">
        <v>108</v>
      </c>
    </row>
    <row r="6" spans="1:18" ht="13.5" thickBot="1" x14ac:dyDescent="0.35">
      <c r="B6" s="94">
        <f>VAC_Optim_Scenario!$G$14</f>
        <v>0</v>
      </c>
      <c r="C6" s="94">
        <f>VAC_Optim_Scenario!$H$14</f>
        <v>0</v>
      </c>
    </row>
    <row r="7" spans="1:18" ht="27.75" customHeight="1" x14ac:dyDescent="0.3">
      <c r="A7" s="503" t="s">
        <v>8</v>
      </c>
      <c r="B7" s="506" t="s">
        <v>9</v>
      </c>
      <c r="C7" s="507"/>
      <c r="D7" s="508" t="s">
        <v>12</v>
      </c>
      <c r="E7" s="509"/>
      <c r="F7" s="510"/>
      <c r="G7" s="506" t="s">
        <v>124</v>
      </c>
      <c r="H7" s="506"/>
      <c r="I7" s="511"/>
      <c r="J7" s="98" t="s">
        <v>125</v>
      </c>
    </row>
    <row r="8" spans="1:18" ht="28.15" customHeight="1" x14ac:dyDescent="0.3">
      <c r="A8" s="504"/>
      <c r="B8" s="139" t="s">
        <v>10</v>
      </c>
      <c r="C8" s="17" t="s">
        <v>11</v>
      </c>
      <c r="D8" s="19" t="s">
        <v>20</v>
      </c>
      <c r="E8" s="139" t="s">
        <v>21</v>
      </c>
      <c r="F8" s="81" t="s">
        <v>117</v>
      </c>
      <c r="G8" s="138" t="s">
        <v>22</v>
      </c>
      <c r="H8" s="139" t="s">
        <v>23</v>
      </c>
      <c r="I8" s="88" t="s">
        <v>123</v>
      </c>
    </row>
    <row r="9" spans="1:18" ht="14.65" customHeight="1" thickBot="1" x14ac:dyDescent="0.35">
      <c r="A9" s="505"/>
      <c r="B9" s="95">
        <f>VAC_Optim_Scenario!G20</f>
        <v>1000000</v>
      </c>
      <c r="C9" s="95">
        <f>VAC_Optim_Scenario!H20</f>
        <v>3500000</v>
      </c>
      <c r="D9" s="68">
        <f>VAC_Optim_Scenario!I20</f>
        <v>1000000</v>
      </c>
      <c r="E9" s="84">
        <f>((($R$12/(1+EXP($P$12+$Q$12*D9)))-1) - ($F$12-$C$12))*$I$12</f>
        <v>14861.613123927265</v>
      </c>
      <c r="F9" s="89">
        <f>E9*$G$12</f>
        <v>14861.613123927265</v>
      </c>
      <c r="G9" s="95">
        <f>VAC_Optim_Scenario!E20</f>
        <v>1220000</v>
      </c>
      <c r="H9" s="85">
        <f>((($R$12/(1+EXP($P$12+$Q$12*G9)))-1) - ($F$12-$C$12))*$I$12</f>
        <v>15022.779470646754</v>
      </c>
      <c r="I9" s="90">
        <f>H9*$G$12</f>
        <v>15022.779470646754</v>
      </c>
      <c r="J9" s="87">
        <f>G9/I9</f>
        <v>81.210005271246729</v>
      </c>
      <c r="K9" s="98" t="s">
        <v>196</v>
      </c>
    </row>
    <row r="10" spans="1:18" ht="13.5" thickBot="1" x14ac:dyDescent="0.35"/>
    <row r="11" spans="1:18" ht="51.65" customHeight="1" x14ac:dyDescent="0.3">
      <c r="A11" s="503" t="s">
        <v>15</v>
      </c>
      <c r="B11" s="144" t="s">
        <v>16</v>
      </c>
      <c r="C11" s="144" t="s">
        <v>17</v>
      </c>
      <c r="D11" s="144" t="s">
        <v>18</v>
      </c>
      <c r="E11" s="144" t="s">
        <v>19</v>
      </c>
      <c r="F11" s="145" t="s">
        <v>109</v>
      </c>
      <c r="G11" s="143" t="s">
        <v>118</v>
      </c>
      <c r="H11" s="144" t="s">
        <v>119</v>
      </c>
      <c r="I11" s="92" t="s">
        <v>122</v>
      </c>
      <c r="K11" s="512" t="s">
        <v>25</v>
      </c>
      <c r="L11" s="144" t="s">
        <v>110</v>
      </c>
      <c r="M11" s="144" t="s">
        <v>111</v>
      </c>
      <c r="N11" s="144" t="s">
        <v>112</v>
      </c>
      <c r="O11" s="144" t="s">
        <v>113</v>
      </c>
      <c r="P11" s="144" t="s">
        <v>26</v>
      </c>
      <c r="Q11" s="144" t="s">
        <v>27</v>
      </c>
      <c r="R11" s="145" t="s">
        <v>28</v>
      </c>
    </row>
    <row r="12" spans="1:18" ht="15" customHeight="1" thickBot="1" x14ac:dyDescent="0.35">
      <c r="A12" s="505"/>
      <c r="B12" s="95">
        <f>'[4]HCC Online Video Curve'!$B$12</f>
        <v>173076.94</v>
      </c>
      <c r="C12" s="95">
        <f>'[4]HCC Online Video Curve'!$C$12</f>
        <v>7568.2941111774026</v>
      </c>
      <c r="D12" s="95">
        <f>'[4]HCC Online Video Curve'!$D$12</f>
        <v>0</v>
      </c>
      <c r="E12" s="95">
        <f>'[4]HCC Online Video Curve'!$E$12</f>
        <v>15136.588222354803</v>
      </c>
      <c r="F12" s="95">
        <f>'[4]HCC Online Video Curve'!$F$12</f>
        <v>8649234</v>
      </c>
      <c r="G12" s="91">
        <f>VAC_Optim_Scenario!$D$32</f>
        <v>1</v>
      </c>
      <c r="H12" s="71">
        <f>C12*G12</f>
        <v>7568.2941111774026</v>
      </c>
      <c r="I12" s="115">
        <f>VAC_Optim_Scenario!D20</f>
        <v>1</v>
      </c>
      <c r="K12" s="513"/>
      <c r="L12" s="71">
        <f>F12-C12</f>
        <v>8641665.7058888227</v>
      </c>
      <c r="M12" s="71">
        <f>L12+E12</f>
        <v>8656802.2941111773</v>
      </c>
      <c r="N12" s="72">
        <f>B12</f>
        <v>173076.94</v>
      </c>
      <c r="O12" s="71">
        <f>F12</f>
        <v>8649234</v>
      </c>
      <c r="P12" s="24">
        <f>LN((($M$12+1)/($L$12+1))-1)</f>
        <v>-6.3472358749433937</v>
      </c>
      <c r="Q12" s="73">
        <f>(LN((($M$12+1)/($O$12+1))-1)-$P$12)/$N$12</f>
        <v>-4.0099078958764274E-6</v>
      </c>
      <c r="R12" s="74">
        <f>M12+1</f>
        <v>8656803.2941111773</v>
      </c>
    </row>
    <row r="13" spans="1:18" ht="34.15" customHeight="1" x14ac:dyDescent="0.3">
      <c r="A13" s="514" t="s">
        <v>114</v>
      </c>
      <c r="B13" s="515"/>
      <c r="C13" s="515"/>
      <c r="D13" s="515"/>
      <c r="E13" s="515"/>
      <c r="F13" s="516"/>
      <c r="G13" s="139" t="s">
        <v>150</v>
      </c>
      <c r="H13" s="139" t="s">
        <v>151</v>
      </c>
      <c r="K13" s="514" t="s">
        <v>115</v>
      </c>
      <c r="L13" s="515"/>
      <c r="M13" s="515"/>
      <c r="N13" s="515"/>
      <c r="O13" s="515"/>
      <c r="P13" s="515"/>
      <c r="Q13" s="515"/>
      <c r="R13" s="516"/>
    </row>
    <row r="14" spans="1:18" ht="33.65" customHeight="1" thickBot="1" x14ac:dyDescent="0.35">
      <c r="A14" s="517"/>
      <c r="B14" s="518"/>
      <c r="C14" s="518"/>
      <c r="D14" s="518"/>
      <c r="E14" s="518"/>
      <c r="F14" s="519"/>
      <c r="G14" s="95">
        <f>VAC_Optim_Scenario!$I$32</f>
        <v>225.94</v>
      </c>
      <c r="H14" s="95">
        <f>VAC_Optim_Scenario!$F$32</f>
        <v>225.94</v>
      </c>
      <c r="K14" s="517"/>
      <c r="L14" s="518"/>
      <c r="M14" s="518"/>
      <c r="N14" s="518"/>
      <c r="O14" s="518"/>
      <c r="P14" s="518"/>
      <c r="Q14" s="518"/>
      <c r="R14" s="519"/>
    </row>
    <row r="16" spans="1:18" ht="13.5" thickBot="1" x14ac:dyDescent="0.35"/>
    <row r="17" spans="1:8" ht="42.65" customHeight="1" x14ac:dyDescent="0.3">
      <c r="A17" s="512" t="s">
        <v>34</v>
      </c>
      <c r="B17" s="144" t="s">
        <v>32</v>
      </c>
      <c r="C17" s="144" t="s">
        <v>31</v>
      </c>
      <c r="D17" s="145" t="s">
        <v>33</v>
      </c>
      <c r="F17" s="82"/>
      <c r="G17" s="82"/>
      <c r="H17" s="83"/>
    </row>
    <row r="18" spans="1:8" ht="23.65" customHeight="1" thickBot="1" x14ac:dyDescent="0.35">
      <c r="A18" s="513"/>
      <c r="B18" s="75">
        <v>0</v>
      </c>
      <c r="C18" s="76">
        <v>2000000</v>
      </c>
      <c r="D18" s="26">
        <v>20</v>
      </c>
    </row>
    <row r="20" spans="1:8" x14ac:dyDescent="0.3">
      <c r="A20" s="500" t="s">
        <v>37</v>
      </c>
      <c r="B20" s="500"/>
      <c r="C20" s="500"/>
    </row>
    <row r="21" spans="1:8" x14ac:dyDescent="0.3">
      <c r="A21" s="139" t="s">
        <v>35</v>
      </c>
      <c r="B21" s="139" t="s">
        <v>120</v>
      </c>
      <c r="C21" s="139" t="s">
        <v>197</v>
      </c>
      <c r="D21" s="98" t="s">
        <v>121</v>
      </c>
      <c r="E21" s="139" t="s">
        <v>152</v>
      </c>
    </row>
    <row r="22" spans="1:8" x14ac:dyDescent="0.3">
      <c r="A22" s="86">
        <v>103851.36184614981</v>
      </c>
      <c r="B22" s="79">
        <f t="shared" ref="B22:B44" si="0">((($R$12/(1+EXP($P$12+$Q$12*A22)))-1) - ($F$12-$C$12))*$I$12</f>
        <v>5149.6684685442597</v>
      </c>
      <c r="C22" s="79">
        <f>B22*$G$12</f>
        <v>5149.6684685442597</v>
      </c>
      <c r="E22" s="116">
        <f>B22*$H$14</f>
        <v>1163516.0937828901</v>
      </c>
    </row>
    <row r="23" spans="1:8" x14ac:dyDescent="0.3">
      <c r="A23" s="86">
        <v>207702.72369229962</v>
      </c>
      <c r="B23" s="79">
        <f t="shared" si="0"/>
        <v>8548.6868997849524</v>
      </c>
      <c r="C23" s="79">
        <f t="shared" ref="C23:C42" si="1">B23*$G$12</f>
        <v>8548.6868997849524</v>
      </c>
      <c r="D23" s="98">
        <f>(B23-B22)/A23</f>
        <v>1.6364823584481034E-2</v>
      </c>
      <c r="E23" s="116">
        <f t="shared" ref="E23:E42" si="2">B23*$H$14</f>
        <v>1931490.3181374122</v>
      </c>
    </row>
    <row r="24" spans="1:8" x14ac:dyDescent="0.3">
      <c r="A24" s="86">
        <v>311554.08553844941</v>
      </c>
      <c r="B24" s="79">
        <f t="shared" si="0"/>
        <v>10791.440849991515</v>
      </c>
      <c r="C24" s="79">
        <f t="shared" si="1"/>
        <v>10791.440849991515</v>
      </c>
      <c r="D24" s="98">
        <f t="shared" ref="D24:D42" si="3">(B24-B23)/A24</f>
        <v>7.1986022790568767E-3</v>
      </c>
      <c r="E24" s="116">
        <f t="shared" si="2"/>
        <v>2438218.1456470829</v>
      </c>
    </row>
    <row r="25" spans="1:8" x14ac:dyDescent="0.3">
      <c r="A25" s="86">
        <v>415405.44738459925</v>
      </c>
      <c r="B25" s="79">
        <f t="shared" si="0"/>
        <v>12270.935196105391</v>
      </c>
      <c r="C25" s="79">
        <f t="shared" si="1"/>
        <v>12270.935196105391</v>
      </c>
      <c r="D25" s="98">
        <f t="shared" si="3"/>
        <v>3.5615670315081341E-3</v>
      </c>
      <c r="E25" s="116">
        <f t="shared" si="2"/>
        <v>2772495.0982080521</v>
      </c>
    </row>
    <row r="26" spans="1:8" x14ac:dyDescent="0.3">
      <c r="A26" s="86">
        <v>519256.80923074903</v>
      </c>
      <c r="B26" s="79">
        <f t="shared" si="0"/>
        <v>13246.78139215894</v>
      </c>
      <c r="C26" s="79">
        <f t="shared" si="1"/>
        <v>13246.78139215894</v>
      </c>
      <c r="D26" s="98">
        <f t="shared" si="3"/>
        <v>1.8793132390487342E-3</v>
      </c>
      <c r="E26" s="116">
        <f t="shared" si="2"/>
        <v>2992977.7877443908</v>
      </c>
    </row>
    <row r="27" spans="1:8" x14ac:dyDescent="0.3">
      <c r="A27" s="86">
        <v>623108.17107689881</v>
      </c>
      <c r="B27" s="79">
        <f t="shared" si="0"/>
        <v>13890.368708251044</v>
      </c>
      <c r="C27" s="79">
        <f t="shared" si="1"/>
        <v>13890.368708251044</v>
      </c>
      <c r="D27" s="98">
        <f t="shared" si="3"/>
        <v>1.0328661153324492E-3</v>
      </c>
      <c r="E27" s="116">
        <f t="shared" si="2"/>
        <v>3138389.9059422407</v>
      </c>
    </row>
    <row r="28" spans="1:8" x14ac:dyDescent="0.3">
      <c r="A28" s="86">
        <v>726959.53292304859</v>
      </c>
      <c r="B28" s="79">
        <f t="shared" si="0"/>
        <v>14314.798543367535</v>
      </c>
      <c r="C28" s="79">
        <f t="shared" si="1"/>
        <v>14314.798543367535</v>
      </c>
      <c r="D28" s="98">
        <f t="shared" si="3"/>
        <v>5.8384245050049877E-4</v>
      </c>
      <c r="E28" s="116">
        <f t="shared" si="2"/>
        <v>3234285.5828884607</v>
      </c>
    </row>
    <row r="29" spans="1:8" x14ac:dyDescent="0.3">
      <c r="A29" s="86">
        <v>830810.89476919849</v>
      </c>
      <c r="B29" s="79">
        <f t="shared" si="0"/>
        <v>14594.687705844641</v>
      </c>
      <c r="C29" s="79">
        <f t="shared" si="1"/>
        <v>14594.687705844641</v>
      </c>
      <c r="D29" s="98">
        <f t="shared" si="3"/>
        <v>3.3688672625659273E-4</v>
      </c>
      <c r="E29" s="116">
        <f t="shared" si="2"/>
        <v>3297523.7402585382</v>
      </c>
    </row>
    <row r="30" spans="1:8" x14ac:dyDescent="0.3">
      <c r="A30" s="86">
        <v>934662.25661534828</v>
      </c>
      <c r="B30" s="79">
        <f t="shared" si="0"/>
        <v>14779.254778794944</v>
      </c>
      <c r="C30" s="79">
        <f t="shared" si="1"/>
        <v>14779.254778794944</v>
      </c>
      <c r="D30" s="98">
        <f t="shared" si="3"/>
        <v>1.9746926940076542E-4</v>
      </c>
      <c r="E30" s="116">
        <f t="shared" si="2"/>
        <v>3339224.8247209298</v>
      </c>
    </row>
    <row r="31" spans="1:8" x14ac:dyDescent="0.3">
      <c r="A31" s="86">
        <v>1038513.6184614981</v>
      </c>
      <c r="B31" s="79">
        <f t="shared" si="0"/>
        <v>14900.961462955922</v>
      </c>
      <c r="C31" s="79">
        <f t="shared" si="1"/>
        <v>14900.961462955922</v>
      </c>
      <c r="D31" s="98">
        <f t="shared" si="3"/>
        <v>1.1719315182527841E-4</v>
      </c>
      <c r="E31" s="116">
        <f t="shared" si="2"/>
        <v>3366723.2329402608</v>
      </c>
    </row>
    <row r="32" spans="1:8" x14ac:dyDescent="0.3">
      <c r="A32" s="86">
        <v>1142364.980307648</v>
      </c>
      <c r="B32" s="79">
        <f t="shared" si="0"/>
        <v>14981.215964648873</v>
      </c>
      <c r="C32" s="79">
        <f t="shared" si="1"/>
        <v>14981.215964648873</v>
      </c>
      <c r="D32" s="98">
        <f t="shared" si="3"/>
        <v>7.025294286536825E-5</v>
      </c>
      <c r="E32" s="116">
        <f t="shared" si="2"/>
        <v>3384855.9350527665</v>
      </c>
      <c r="G32" s="98">
        <f>(E33-E32)/(A33-A32)</f>
        <v>0.11513353838437583</v>
      </c>
    </row>
    <row r="33" spans="1:5" x14ac:dyDescent="0.3">
      <c r="A33" s="86">
        <v>1246216.3421537976</v>
      </c>
      <c r="B33" s="79">
        <f t="shared" si="0"/>
        <v>15034.136097230017</v>
      </c>
      <c r="C33" s="79">
        <f t="shared" si="1"/>
        <v>15034.136097230017</v>
      </c>
      <c r="D33" s="98">
        <f t="shared" si="3"/>
        <v>4.2464643409894887E-5</v>
      </c>
      <c r="E33" s="116">
        <f t="shared" si="2"/>
        <v>3396812.7098081498</v>
      </c>
    </row>
    <row r="34" spans="1:5" x14ac:dyDescent="0.3">
      <c r="A34" s="86">
        <v>1350067.7039999475</v>
      </c>
      <c r="B34" s="79">
        <f t="shared" si="0"/>
        <v>15069.031656967476</v>
      </c>
      <c r="C34" s="79">
        <f t="shared" si="1"/>
        <v>15069.031656967476</v>
      </c>
      <c r="D34" s="98">
        <f t="shared" si="3"/>
        <v>2.5847266499354897E-5</v>
      </c>
      <c r="E34" s="116">
        <f t="shared" si="2"/>
        <v>3404697.0125752315</v>
      </c>
    </row>
    <row r="35" spans="1:5" x14ac:dyDescent="0.3">
      <c r="A35" s="86">
        <v>1453919.0658460972</v>
      </c>
      <c r="B35" s="79">
        <f t="shared" si="0"/>
        <v>15092.0417255871</v>
      </c>
      <c r="C35" s="79">
        <f t="shared" si="1"/>
        <v>15092.0417255871</v>
      </c>
      <c r="D35" s="98">
        <f t="shared" si="3"/>
        <v>1.5826237622266303E-5</v>
      </c>
      <c r="E35" s="116">
        <f t="shared" si="2"/>
        <v>3409895.9074791493</v>
      </c>
    </row>
    <row r="36" spans="1:5" x14ac:dyDescent="0.3">
      <c r="A36" s="86">
        <v>1557770.4276922471</v>
      </c>
      <c r="B36" s="79">
        <f t="shared" si="0"/>
        <v>15107.214488411322</v>
      </c>
      <c r="C36" s="79">
        <f t="shared" si="1"/>
        <v>15107.214488411322</v>
      </c>
      <c r="D36" s="98">
        <f t="shared" si="3"/>
        <v>9.7400506226710669E-6</v>
      </c>
      <c r="E36" s="116">
        <f t="shared" si="2"/>
        <v>3413324.0415116539</v>
      </c>
    </row>
    <row r="37" spans="1:5" x14ac:dyDescent="0.3">
      <c r="A37" s="86">
        <v>1661621.789538397</v>
      </c>
      <c r="B37" s="79">
        <f t="shared" si="0"/>
        <v>15117.219342796132</v>
      </c>
      <c r="C37" s="79">
        <f t="shared" si="1"/>
        <v>15117.219342796132</v>
      </c>
      <c r="D37" s="98">
        <f t="shared" si="3"/>
        <v>6.0211381722365998E-6</v>
      </c>
      <c r="E37" s="116">
        <f t="shared" si="2"/>
        <v>3415584.5383113581</v>
      </c>
    </row>
    <row r="38" spans="1:5" x14ac:dyDescent="0.3">
      <c r="A38" s="86">
        <v>1765473.1513845467</v>
      </c>
      <c r="B38" s="79">
        <f t="shared" si="0"/>
        <v>15123.816494101658</v>
      </c>
      <c r="C38" s="79">
        <f t="shared" si="1"/>
        <v>15123.816494101658</v>
      </c>
      <c r="D38" s="98">
        <f t="shared" si="3"/>
        <v>3.7367610492137903E-6</v>
      </c>
      <c r="E38" s="116">
        <f t="shared" si="2"/>
        <v>3417075.0986773288</v>
      </c>
    </row>
    <row r="39" spans="1:5" x14ac:dyDescent="0.3">
      <c r="A39" s="86">
        <v>1869324.5132306966</v>
      </c>
      <c r="B39" s="79">
        <f t="shared" si="0"/>
        <v>15128.166620077565</v>
      </c>
      <c r="C39" s="79">
        <f t="shared" si="1"/>
        <v>15128.166620077565</v>
      </c>
      <c r="D39" s="98">
        <f t="shared" si="3"/>
        <v>2.3271111811339052E-6</v>
      </c>
      <c r="E39" s="116">
        <f t="shared" si="2"/>
        <v>3418057.9661403252</v>
      </c>
    </row>
    <row r="40" spans="1:5" x14ac:dyDescent="0.3">
      <c r="A40" s="86">
        <v>1973175.8750768462</v>
      </c>
      <c r="B40" s="79">
        <f t="shared" si="0"/>
        <v>15131.035068435594</v>
      </c>
      <c r="C40" s="79">
        <f t="shared" si="1"/>
        <v>15131.035068435594</v>
      </c>
      <c r="D40" s="98">
        <f t="shared" si="3"/>
        <v>1.4537215836968481E-6</v>
      </c>
      <c r="E40" s="116">
        <f t="shared" si="2"/>
        <v>3418706.0633623381</v>
      </c>
    </row>
    <row r="41" spans="1:5" x14ac:dyDescent="0.3">
      <c r="A41" s="86">
        <v>2077027.2369229961</v>
      </c>
      <c r="B41" s="79">
        <f t="shared" si="0"/>
        <v>15132.926506454125</v>
      </c>
      <c r="C41" s="79">
        <f t="shared" si="1"/>
        <v>15132.926506454125</v>
      </c>
      <c r="D41" s="98">
        <f t="shared" si="3"/>
        <v>9.1064670934824652E-7</v>
      </c>
      <c r="E41" s="116">
        <f t="shared" si="2"/>
        <v>3419133.4148682449</v>
      </c>
    </row>
    <row r="42" spans="1:5" x14ac:dyDescent="0.3">
      <c r="A42" s="86">
        <v>2180878.598769146</v>
      </c>
      <c r="B42" s="79">
        <f t="shared" si="0"/>
        <v>15134.173709353432</v>
      </c>
      <c r="C42" s="79">
        <f t="shared" si="1"/>
        <v>15134.173709353432</v>
      </c>
      <c r="D42" s="98">
        <f t="shared" si="3"/>
        <v>5.7188093826539202E-7</v>
      </c>
      <c r="E42" s="116">
        <f t="shared" si="2"/>
        <v>3419415.2078913143</v>
      </c>
    </row>
    <row r="43" spans="1:5" x14ac:dyDescent="0.3">
      <c r="A43" s="98">
        <v>2284729.9606152959</v>
      </c>
      <c r="B43" s="79">
        <f t="shared" si="0"/>
        <v>15134.996107371524</v>
      </c>
    </row>
    <row r="44" spans="1:5" x14ac:dyDescent="0.3">
      <c r="A44" s="98">
        <v>2388581.3224614454</v>
      </c>
      <c r="B44" s="79">
        <f t="shared" si="0"/>
        <v>15135.538391588256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5CF4A-1AB8-4F47-AC9B-7D0905B2D875}">
  <sheetPr>
    <tabColor theme="3" tint="0.79998168889431442"/>
    <pageSetUpPr autoPageBreaks="0"/>
  </sheetPr>
  <dimension ref="A1:I41"/>
  <sheetViews>
    <sheetView topLeftCell="A21" workbookViewId="0">
      <selection activeCell="B9" sqref="B9:I9"/>
    </sheetView>
  </sheetViews>
  <sheetFormatPr defaultColWidth="8.81640625" defaultRowHeight="14.5" x14ac:dyDescent="0.35"/>
  <cols>
    <col min="1" max="1" width="16.453125" style="97" bestFit="1" customWidth="1"/>
    <col min="2" max="2" width="18" style="97" customWidth="1"/>
    <col min="3" max="3" width="12.453125" style="97" bestFit="1" customWidth="1"/>
    <col min="4" max="4" width="19.26953125" style="97" customWidth="1"/>
    <col min="5" max="5" width="17.81640625" style="97" customWidth="1"/>
    <col min="6" max="6" width="15.453125" style="97" customWidth="1"/>
    <col min="7" max="7" width="15.81640625" style="97" customWidth="1"/>
    <col min="8" max="8" width="15" style="97" customWidth="1"/>
    <col min="9" max="9" width="14.1796875" style="97" customWidth="1"/>
    <col min="10" max="16384" width="8.81640625" style="97"/>
  </cols>
  <sheetData>
    <row r="1" spans="1:9" ht="15" thickBot="1" x14ac:dyDescent="0.4">
      <c r="A1" s="6" t="s">
        <v>0</v>
      </c>
      <c r="B1" s="98" t="s">
        <v>188</v>
      </c>
      <c r="C1" s="98"/>
      <c r="D1" s="98"/>
      <c r="E1" s="98"/>
      <c r="F1" s="98"/>
      <c r="G1" s="98"/>
      <c r="H1" s="98"/>
      <c r="I1" s="98"/>
    </row>
    <row r="2" spans="1:9" x14ac:dyDescent="0.3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" thickBot="1" x14ac:dyDescent="0.4">
      <c r="A3" s="11" t="s">
        <v>3</v>
      </c>
      <c r="B3" s="12" t="s">
        <v>253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" thickBot="1" x14ac:dyDescent="0.4">
      <c r="A4" s="29" t="s">
        <v>38</v>
      </c>
      <c r="B4" s="520"/>
      <c r="C4" s="521"/>
      <c r="D4" s="521"/>
      <c r="E4" s="521"/>
      <c r="F4" s="522"/>
      <c r="G4" s="98"/>
      <c r="H4" s="98"/>
      <c r="I4" s="98"/>
    </row>
    <row r="5" spans="1:9" x14ac:dyDescent="0.35">
      <c r="A5" s="98"/>
      <c r="B5" s="98"/>
      <c r="C5" s="98"/>
      <c r="D5" s="98"/>
      <c r="E5" s="98"/>
      <c r="F5" s="98"/>
      <c r="G5" s="98"/>
      <c r="H5" s="98"/>
      <c r="I5" s="98"/>
    </row>
    <row r="6" spans="1:9" ht="15" thickBot="1" x14ac:dyDescent="0.4">
      <c r="A6" s="98"/>
      <c r="B6" s="170">
        <v>0.7</v>
      </c>
      <c r="C6" s="170">
        <v>1.2</v>
      </c>
      <c r="D6" s="98"/>
      <c r="E6" s="98"/>
      <c r="F6" s="87"/>
      <c r="G6" s="98"/>
      <c r="H6" s="98"/>
      <c r="I6" s="98"/>
    </row>
    <row r="7" spans="1:9" x14ac:dyDescent="0.35">
      <c r="A7" s="503" t="s">
        <v>8</v>
      </c>
      <c r="B7" s="506" t="s">
        <v>9</v>
      </c>
      <c r="C7" s="506"/>
      <c r="D7" s="506" t="s">
        <v>12</v>
      </c>
      <c r="E7" s="506"/>
      <c r="F7" s="506"/>
      <c r="G7" s="506" t="s">
        <v>124</v>
      </c>
      <c r="H7" s="506"/>
      <c r="I7" s="511"/>
    </row>
    <row r="8" spans="1:9" x14ac:dyDescent="0.35">
      <c r="A8" s="504"/>
      <c r="B8" s="290" t="s">
        <v>10</v>
      </c>
      <c r="C8" s="290" t="s">
        <v>11</v>
      </c>
      <c r="D8" s="290" t="s">
        <v>20</v>
      </c>
      <c r="E8" s="290" t="s">
        <v>21</v>
      </c>
      <c r="F8" s="290" t="s">
        <v>117</v>
      </c>
      <c r="G8" s="290" t="s">
        <v>22</v>
      </c>
      <c r="H8" s="290" t="s">
        <v>23</v>
      </c>
      <c r="I8" s="4" t="s">
        <v>123</v>
      </c>
    </row>
    <row r="9" spans="1:9" ht="15" thickBot="1" x14ac:dyDescent="0.4">
      <c r="A9" s="505"/>
      <c r="B9" s="171">
        <f>VAC_Optim_Scenario!G21</f>
        <v>4817798</v>
      </c>
      <c r="C9" s="171">
        <f>VAC_Optim_Scenario!H21</f>
        <v>12070113</v>
      </c>
      <c r="D9" s="172">
        <f>VAC_Optim_Scenario!I21</f>
        <v>7570249.203999565</v>
      </c>
      <c r="E9" s="84">
        <f>((GSTRV!D9/$B$12)^$D$12)*$C$12*$F$12</f>
        <v>166732.06308158877</v>
      </c>
      <c r="F9" s="84">
        <f>E9*F11</f>
        <v>166732.06308158877</v>
      </c>
      <c r="G9" s="76">
        <f>VAC_Optim_Scenario!E21</f>
        <v>4817798</v>
      </c>
      <c r="H9" s="173">
        <f>((GSTRV!G9/$B$12)^$D$12)*$C$12*$F$12</f>
        <v>121516.7124715425</v>
      </c>
      <c r="I9" s="174">
        <f>H9*F11</f>
        <v>121516.7124715425</v>
      </c>
    </row>
    <row r="10" spans="1:9" ht="15" thickBot="1" x14ac:dyDescent="0.4"/>
    <row r="11" spans="1:9" ht="49" customHeight="1" x14ac:dyDescent="0.35">
      <c r="A11" s="500" t="s">
        <v>15</v>
      </c>
      <c r="B11" s="291" t="s">
        <v>16</v>
      </c>
      <c r="C11" s="291" t="s">
        <v>17</v>
      </c>
      <c r="D11" s="291" t="s">
        <v>168</v>
      </c>
      <c r="E11" s="290" t="s">
        <v>126</v>
      </c>
      <c r="F11" s="175">
        <v>1</v>
      </c>
    </row>
    <row r="12" spans="1:9" ht="40.5" customHeight="1" thickBot="1" x14ac:dyDescent="0.4">
      <c r="A12" s="500"/>
      <c r="B12" s="176">
        <f>'[5]Streaming Video - Power'!$B$12</f>
        <v>5935125</v>
      </c>
      <c r="C12" s="176">
        <f>'[5]Streaming Video - Power'!$C$12</f>
        <v>140618.64530883348</v>
      </c>
      <c r="D12" s="341">
        <f>'[5]Streaming Video - Power'!$D$12</f>
        <v>0.7</v>
      </c>
      <c r="E12" s="290" t="s">
        <v>122</v>
      </c>
      <c r="F12" s="177">
        <f>VAC_Optim_Scenario!D21</f>
        <v>1</v>
      </c>
      <c r="H12" s="287"/>
    </row>
    <row r="13" spans="1:9" ht="18.75" customHeight="1" x14ac:dyDescent="0.35">
      <c r="A13" s="514" t="s">
        <v>169</v>
      </c>
      <c r="B13" s="515"/>
      <c r="C13" s="515"/>
      <c r="D13" s="515"/>
      <c r="E13" s="290" t="s">
        <v>170</v>
      </c>
      <c r="F13" s="290" t="s">
        <v>171</v>
      </c>
    </row>
    <row r="14" spans="1:9" ht="15" thickBot="1" x14ac:dyDescent="0.4">
      <c r="A14" s="517"/>
      <c r="B14" s="518"/>
      <c r="C14" s="518"/>
      <c r="D14" s="518"/>
      <c r="E14" s="95">
        <f>VAC_Optim_Scenario!G32</f>
        <v>225.94</v>
      </c>
      <c r="F14" s="95">
        <f>VAC_Optim_Scenario!E32</f>
        <v>225.94</v>
      </c>
    </row>
    <row r="15" spans="1:9" ht="15" thickBot="1" x14ac:dyDescent="0.4"/>
    <row r="16" spans="1:9" x14ac:dyDescent="0.35">
      <c r="A16" s="512" t="s">
        <v>34</v>
      </c>
      <c r="B16" s="291" t="s">
        <v>32</v>
      </c>
      <c r="C16" s="291" t="s">
        <v>31</v>
      </c>
      <c r="D16" s="292" t="s">
        <v>33</v>
      </c>
    </row>
    <row r="17" spans="1:4" ht="15" thickBot="1" x14ac:dyDescent="0.4">
      <c r="A17" s="513"/>
      <c r="B17" s="76">
        <v>0</v>
      </c>
      <c r="C17" s="76">
        <v>10000000</v>
      </c>
      <c r="D17" s="26">
        <v>20</v>
      </c>
    </row>
    <row r="18" spans="1:4" x14ac:dyDescent="0.35">
      <c r="A18" s="98"/>
      <c r="B18" s="98"/>
      <c r="C18" s="98"/>
      <c r="D18" s="98"/>
    </row>
    <row r="19" spans="1:4" x14ac:dyDescent="0.35">
      <c r="A19" s="500" t="s">
        <v>37</v>
      </c>
      <c r="B19" s="500"/>
      <c r="C19" s="500"/>
      <c r="D19" s="98"/>
    </row>
    <row r="20" spans="1:4" ht="26" x14ac:dyDescent="0.35">
      <c r="A20" s="290" t="s">
        <v>35</v>
      </c>
      <c r="B20" s="290" t="s">
        <v>175</v>
      </c>
      <c r="C20" s="290" t="s">
        <v>172</v>
      </c>
    </row>
    <row r="21" spans="1:4" x14ac:dyDescent="0.35">
      <c r="A21" s="178">
        <f>B17</f>
        <v>0</v>
      </c>
      <c r="B21" s="173">
        <f>((GSTRV!A21/$B$12)^$D$12)*$C$12*$F$12</f>
        <v>0</v>
      </c>
      <c r="C21" s="179">
        <f>B21*$F$14</f>
        <v>0</v>
      </c>
    </row>
    <row r="22" spans="1:4" x14ac:dyDescent="0.35">
      <c r="A22" s="178">
        <f>A21+(($C$17-$B$17)/$D$17)</f>
        <v>500000</v>
      </c>
      <c r="B22" s="173">
        <f>((GSTRV!A22/$B$12)^$D$12)*$C$12*$F$12</f>
        <v>24884.046469428908</v>
      </c>
      <c r="C22" s="179">
        <f t="shared" ref="C22:C41" si="0">B22*$F$14</f>
        <v>5622301.4593027672</v>
      </c>
    </row>
    <row r="23" spans="1:4" x14ac:dyDescent="0.35">
      <c r="A23" s="178">
        <f t="shared" ref="A23:A41" si="1">A22+(($C$17-$B$17)/$D$17)</f>
        <v>1000000</v>
      </c>
      <c r="B23" s="173">
        <f>((GSTRV!A23/$B$12)^$D$12)*$C$12*$F$12</f>
        <v>40424.252751667111</v>
      </c>
      <c r="C23" s="179">
        <f t="shared" si="0"/>
        <v>9133455.6667116676</v>
      </c>
    </row>
    <row r="24" spans="1:4" x14ac:dyDescent="0.35">
      <c r="A24" s="178">
        <f t="shared" si="1"/>
        <v>1500000</v>
      </c>
      <c r="B24" s="173">
        <f>((GSTRV!A24/$B$12)^$D$12)*$C$12*$F$12</f>
        <v>53691.542628546988</v>
      </c>
      <c r="C24" s="179">
        <f t="shared" si="0"/>
        <v>12131067.141493905</v>
      </c>
    </row>
    <row r="25" spans="1:4" x14ac:dyDescent="0.35">
      <c r="A25" s="178">
        <f t="shared" si="1"/>
        <v>2000000</v>
      </c>
      <c r="B25" s="173">
        <f>((GSTRV!A25/$B$12)^$D$12)*$C$12*$F$12</f>
        <v>65669.392336903504</v>
      </c>
      <c r="C25" s="179">
        <f t="shared" si="0"/>
        <v>14837342.504599977</v>
      </c>
    </row>
    <row r="26" spans="1:4" x14ac:dyDescent="0.35">
      <c r="A26" s="178">
        <f t="shared" si="1"/>
        <v>2500000</v>
      </c>
      <c r="B26" s="173">
        <f>((GSTRV!A26/$B$12)^$D$12)*$C$12*$F$12</f>
        <v>76771.496565679685</v>
      </c>
      <c r="C26" s="179">
        <f t="shared" si="0"/>
        <v>17345751.93404967</v>
      </c>
    </row>
    <row r="27" spans="1:4" x14ac:dyDescent="0.35">
      <c r="A27" s="178">
        <f t="shared" si="1"/>
        <v>3000000</v>
      </c>
      <c r="B27" s="173">
        <f>((GSTRV!A27/$B$12)^$D$12)*$C$12*$F$12</f>
        <v>87222.168328200525</v>
      </c>
      <c r="C27" s="179">
        <f t="shared" si="0"/>
        <v>19706976.712073628</v>
      </c>
    </row>
    <row r="28" spans="1:4" x14ac:dyDescent="0.35">
      <c r="A28" s="178">
        <f t="shared" si="1"/>
        <v>3500000</v>
      </c>
      <c r="B28" s="173">
        <f>((GSTRV!A28/$B$12)^$D$12)*$C$12*$F$12</f>
        <v>97160.475531144242</v>
      </c>
      <c r="C28" s="179">
        <f t="shared" si="0"/>
        <v>21952437.841506731</v>
      </c>
    </row>
    <row r="29" spans="1:4" x14ac:dyDescent="0.35">
      <c r="A29" s="178">
        <f t="shared" si="1"/>
        <v>4000000</v>
      </c>
      <c r="B29" s="173">
        <f>((GSTRV!A29/$B$12)^$D$12)*$C$12*$F$12</f>
        <v>106680.24258581536</v>
      </c>
      <c r="C29" s="179">
        <f t="shared" si="0"/>
        <v>24103334.009839121</v>
      </c>
    </row>
    <row r="30" spans="1:4" x14ac:dyDescent="0.35">
      <c r="A30" s="178">
        <f t="shared" si="1"/>
        <v>4500000</v>
      </c>
      <c r="B30" s="173">
        <f>((GSTRV!A30/$B$12)^$D$12)*$C$12*$F$12</f>
        <v>115848.59212406214</v>
      </c>
      <c r="C30" s="179">
        <f t="shared" si="0"/>
        <v>26174830.904510599</v>
      </c>
    </row>
    <row r="31" spans="1:4" x14ac:dyDescent="0.35">
      <c r="A31" s="178">
        <f t="shared" si="1"/>
        <v>5000000</v>
      </c>
      <c r="B31" s="173">
        <f>((GSTRV!A31/$B$12)^$D$12)*$C$12*$F$12</f>
        <v>124715.66411465566</v>
      </c>
      <c r="C31" s="179">
        <f t="shared" si="0"/>
        <v>28178257.150065299</v>
      </c>
    </row>
    <row r="32" spans="1:4" x14ac:dyDescent="0.35">
      <c r="A32" s="178">
        <f t="shared" si="1"/>
        <v>5500000</v>
      </c>
      <c r="B32" s="173">
        <f>((GSTRV!A32/$B$12)^$D$12)*$C$12*$F$12</f>
        <v>133320.17753068838</v>
      </c>
      <c r="C32" s="179">
        <f t="shared" si="0"/>
        <v>30122360.911283731</v>
      </c>
    </row>
    <row r="33" spans="1:3" x14ac:dyDescent="0.35">
      <c r="A33" s="178">
        <f t="shared" si="1"/>
        <v>6000000</v>
      </c>
      <c r="B33" s="173">
        <f>((GSTRV!A33/$B$12)^$D$12)*$C$12*$F$12</f>
        <v>141692.83047993566</v>
      </c>
      <c r="C33" s="179">
        <f t="shared" si="0"/>
        <v>32014078.11863666</v>
      </c>
    </row>
    <row r="34" spans="1:3" x14ac:dyDescent="0.35">
      <c r="A34" s="178">
        <f t="shared" si="1"/>
        <v>6500000</v>
      </c>
      <c r="B34" s="173">
        <f>((GSTRV!A34/$B$12)^$D$12)*$C$12*$F$12</f>
        <v>149858.48932590534</v>
      </c>
      <c r="C34" s="179">
        <f t="shared" si="0"/>
        <v>33859027.078295052</v>
      </c>
    </row>
    <row r="35" spans="1:3" x14ac:dyDescent="0.35">
      <c r="A35" s="178">
        <f t="shared" si="1"/>
        <v>7000000</v>
      </c>
      <c r="B35" s="173">
        <f>((GSTRV!A35/$B$12)^$D$12)*$C$12*$F$12</f>
        <v>157837.6581625666</v>
      </c>
      <c r="C35" s="179">
        <f t="shared" si="0"/>
        <v>35661840.485250294</v>
      </c>
    </row>
    <row r="36" spans="1:3" x14ac:dyDescent="0.35">
      <c r="A36" s="178">
        <f t="shared" si="1"/>
        <v>7500000</v>
      </c>
      <c r="B36" s="173">
        <f>((GSTRV!A36/$B$12)^$D$12)*$C$12*$F$12</f>
        <v>165647.49971744206</v>
      </c>
      <c r="C36" s="179">
        <f t="shared" si="0"/>
        <v>37426396.086158857</v>
      </c>
    </row>
    <row r="37" spans="1:3" x14ac:dyDescent="0.35">
      <c r="A37" s="178">
        <f t="shared" si="1"/>
        <v>8000000</v>
      </c>
      <c r="B37" s="173">
        <f>((GSTRV!A37/$B$12)^$D$12)*$C$12*$F$12</f>
        <v>173302.56536838613</v>
      </c>
      <c r="C37" s="179">
        <f t="shared" si="0"/>
        <v>39155981.619333163</v>
      </c>
    </row>
    <row r="38" spans="1:3" x14ac:dyDescent="0.35">
      <c r="A38" s="178">
        <f t="shared" si="1"/>
        <v>8500000</v>
      </c>
      <c r="B38" s="173">
        <f>((GSTRV!A38/$B$12)^$D$12)*$C$12*$F$12</f>
        <v>180815.33013485884</v>
      </c>
      <c r="C38" s="179">
        <f t="shared" si="0"/>
        <v>40853415.690670006</v>
      </c>
    </row>
    <row r="39" spans="1:3" x14ac:dyDescent="0.35">
      <c r="A39" s="178">
        <f t="shared" si="1"/>
        <v>9000000</v>
      </c>
      <c r="B39" s="173">
        <f>((GSTRV!A39/$B$12)^$D$12)*$C$12*$F$12</f>
        <v>188196.59313453117</v>
      </c>
      <c r="C39" s="179">
        <f t="shared" si="0"/>
        <v>42521138.252815969</v>
      </c>
    </row>
    <row r="40" spans="1:3" x14ac:dyDescent="0.35">
      <c r="A40" s="178">
        <f t="shared" si="1"/>
        <v>9500000</v>
      </c>
      <c r="B40" s="173">
        <f>((GSTRV!A40/$B$12)^$D$12)*$C$12*$F$12</f>
        <v>195455.78291760079</v>
      </c>
      <c r="C40" s="179">
        <f t="shared" si="0"/>
        <v>44161279.592402726</v>
      </c>
    </row>
    <row r="41" spans="1:3" x14ac:dyDescent="0.35">
      <c r="A41" s="178">
        <f t="shared" si="1"/>
        <v>10000000</v>
      </c>
      <c r="B41" s="173">
        <f>((GSTRV!A41/$B$12)^$D$12)*$C$12*$F$12</f>
        <v>202601.19408057688</v>
      </c>
      <c r="C41" s="179">
        <f t="shared" si="0"/>
        <v>45775713.790565543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0EAAD-132A-4240-B70A-F93E97FA0320}">
  <sheetPr>
    <tabColor theme="3" tint="0.79998168889431442"/>
  </sheetPr>
  <dimension ref="A1:R58"/>
  <sheetViews>
    <sheetView topLeftCell="A17" workbookViewId="0">
      <selection activeCell="E21" sqref="E21"/>
    </sheetView>
  </sheetViews>
  <sheetFormatPr defaultColWidth="8.81640625" defaultRowHeight="13" x14ac:dyDescent="0.3"/>
  <cols>
    <col min="1" max="1" width="12.1796875" style="98" customWidth="1"/>
    <col min="2" max="2" width="13.453125" style="98" customWidth="1"/>
    <col min="3" max="3" width="12.453125" style="98" customWidth="1"/>
    <col min="4" max="4" width="13.7265625" style="98" customWidth="1"/>
    <col min="5" max="5" width="14.7265625" style="98" customWidth="1"/>
    <col min="6" max="6" width="12.453125" style="98" customWidth="1"/>
    <col min="7" max="7" width="12" style="98" customWidth="1"/>
    <col min="8" max="10" width="10.26953125" style="98" customWidth="1"/>
    <col min="11" max="11" width="14.26953125" style="98" bestFit="1" customWidth="1"/>
    <col min="12" max="13" width="12" style="98" bestFit="1" customWidth="1"/>
    <col min="14" max="14" width="12.7265625" style="98" customWidth="1"/>
    <col min="15" max="15" width="9.7265625" style="98" bestFit="1" customWidth="1"/>
    <col min="16" max="16" width="8.81640625" style="98"/>
    <col min="17" max="18" width="10.26953125" style="98" customWidth="1"/>
    <col min="19" max="16384" width="8.81640625" style="98"/>
  </cols>
  <sheetData>
    <row r="1" spans="1:18" ht="13.5" thickBot="1" x14ac:dyDescent="0.35">
      <c r="A1" s="6" t="s">
        <v>0</v>
      </c>
      <c r="B1" s="98" t="s">
        <v>251</v>
      </c>
    </row>
    <row r="2" spans="1:18" x14ac:dyDescent="0.3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343" t="s">
        <v>102</v>
      </c>
      <c r="I2" s="344"/>
      <c r="J2" s="344"/>
      <c r="K2" s="344"/>
      <c r="L2" s="345"/>
    </row>
    <row r="3" spans="1:18" ht="13.5" thickBot="1" x14ac:dyDescent="0.35">
      <c r="A3" s="11" t="s">
        <v>3</v>
      </c>
      <c r="B3" s="12" t="s">
        <v>165</v>
      </c>
      <c r="C3" s="13" t="s">
        <v>5</v>
      </c>
      <c r="D3" s="12" t="s">
        <v>174</v>
      </c>
      <c r="E3" s="13" t="s">
        <v>104</v>
      </c>
      <c r="F3" s="14" t="s">
        <v>166</v>
      </c>
    </row>
    <row r="4" spans="1:18" ht="15" customHeight="1" thickBot="1" x14ac:dyDescent="0.35">
      <c r="A4" s="80" t="s">
        <v>38</v>
      </c>
      <c r="B4" s="501" t="s">
        <v>106</v>
      </c>
      <c r="C4" s="501"/>
      <c r="D4" s="501"/>
      <c r="E4" s="501"/>
      <c r="F4" s="502"/>
      <c r="H4" s="98" t="s">
        <v>107</v>
      </c>
    </row>
    <row r="5" spans="1:18" x14ac:dyDescent="0.3">
      <c r="H5" s="98" t="s">
        <v>108</v>
      </c>
    </row>
    <row r="6" spans="1:18" ht="13.5" thickBot="1" x14ac:dyDescent="0.35">
      <c r="B6" s="94">
        <f>VAC_Optim_Scenario!$G$14</f>
        <v>0</v>
      </c>
      <c r="C6" s="94">
        <f>VAC_Optim_Scenario!$H$14</f>
        <v>0</v>
      </c>
      <c r="F6" s="336"/>
    </row>
    <row r="7" spans="1:18" ht="27.75" customHeight="1" x14ac:dyDescent="0.3">
      <c r="A7" s="503" t="s">
        <v>8</v>
      </c>
      <c r="B7" s="506" t="s">
        <v>9</v>
      </c>
      <c r="C7" s="507"/>
      <c r="D7" s="508" t="s">
        <v>12</v>
      </c>
      <c r="E7" s="509"/>
      <c r="F7" s="510"/>
      <c r="G7" s="506" t="s">
        <v>124</v>
      </c>
      <c r="H7" s="506"/>
      <c r="I7" s="511"/>
      <c r="J7" s="98" t="s">
        <v>125</v>
      </c>
    </row>
    <row r="8" spans="1:18" ht="28.15" customHeight="1" x14ac:dyDescent="0.3">
      <c r="A8" s="504"/>
      <c r="B8" s="347" t="s">
        <v>10</v>
      </c>
      <c r="C8" s="17" t="s">
        <v>11</v>
      </c>
      <c r="D8" s="19" t="s">
        <v>20</v>
      </c>
      <c r="E8" s="347" t="s">
        <v>21</v>
      </c>
      <c r="F8" s="81" t="s">
        <v>117</v>
      </c>
      <c r="G8" s="346" t="s">
        <v>22</v>
      </c>
      <c r="H8" s="347" t="s">
        <v>23</v>
      </c>
      <c r="I8" s="88" t="s">
        <v>123</v>
      </c>
    </row>
    <row r="9" spans="1:18" ht="14.65" customHeight="1" thickBot="1" x14ac:dyDescent="0.35">
      <c r="A9" s="505"/>
      <c r="B9" s="95">
        <f>VAC_Optim_Scenario!G22</f>
        <v>1600000</v>
      </c>
      <c r="C9" s="95">
        <f>VAC_Optim_Scenario!H22</f>
        <v>7000000</v>
      </c>
      <c r="D9" s="68">
        <f>VAC_Optim_Scenario!I22</f>
        <v>5349497.9439856345</v>
      </c>
      <c r="E9" s="84">
        <f>((($R$12/(1+EXP($P$12+$Q$12*D9)))-1) - ($F$12-$C$12))*$I$12</f>
        <v>211422.62182002515</v>
      </c>
      <c r="F9" s="89">
        <f>E9*$G$12</f>
        <v>211422.62182002515</v>
      </c>
      <c r="G9" s="95">
        <f>VAC_Optim_Scenario!E22</f>
        <v>3540000</v>
      </c>
      <c r="H9" s="85">
        <f>((($R$12/(1+EXP($P$12+$Q$12*G9)))-1) - ($F$12-$C$12))*$I$12</f>
        <v>173899.1701768022</v>
      </c>
      <c r="I9" s="90">
        <f>H9*$G$12</f>
        <v>173899.1701768022</v>
      </c>
      <c r="J9" s="87">
        <f>G9/I9</f>
        <v>20.356623878083514</v>
      </c>
      <c r="K9" s="98" t="s">
        <v>196</v>
      </c>
    </row>
    <row r="10" spans="1:18" ht="13.5" thickBot="1" x14ac:dyDescent="0.35"/>
    <row r="11" spans="1:18" ht="51.65" customHeight="1" x14ac:dyDescent="0.3">
      <c r="A11" s="503" t="s">
        <v>15</v>
      </c>
      <c r="B11" s="349" t="s">
        <v>16</v>
      </c>
      <c r="C11" s="349" t="s">
        <v>17</v>
      </c>
      <c r="D11" s="349" t="s">
        <v>18</v>
      </c>
      <c r="E11" s="349" t="s">
        <v>19</v>
      </c>
      <c r="F11" s="350" t="s">
        <v>109</v>
      </c>
      <c r="G11" s="348" t="s">
        <v>118</v>
      </c>
      <c r="H11" s="349" t="s">
        <v>119</v>
      </c>
      <c r="I11" s="92" t="s">
        <v>122</v>
      </c>
      <c r="K11" s="512" t="s">
        <v>25</v>
      </c>
      <c r="L11" s="349" t="s">
        <v>110</v>
      </c>
      <c r="M11" s="349" t="s">
        <v>111</v>
      </c>
      <c r="N11" s="349" t="s">
        <v>112</v>
      </c>
      <c r="O11" s="349" t="s">
        <v>113</v>
      </c>
      <c r="P11" s="349" t="s">
        <v>26</v>
      </c>
      <c r="Q11" s="349" t="s">
        <v>27</v>
      </c>
      <c r="R11" s="350" t="s">
        <v>28</v>
      </c>
    </row>
    <row r="12" spans="1:18" ht="15" customHeight="1" thickBot="1" x14ac:dyDescent="0.35">
      <c r="A12" s="505"/>
      <c r="B12" s="95">
        <f>'[6]HCC Display'!$B$12</f>
        <v>1648357.37</v>
      </c>
      <c r="C12" s="95">
        <f>'[6]HCC Display'!$C$12</f>
        <v>104116.3698638577</v>
      </c>
      <c r="D12" s="95">
        <f>'[6]HCC Display'!$D$12</f>
        <v>0</v>
      </c>
      <c r="E12" s="95">
        <f>'[6]HCC Display'!$E$12</f>
        <v>260290.92465964428</v>
      </c>
      <c r="F12" s="95">
        <f>'[6]HCC Display'!$F$12</f>
        <v>8649234</v>
      </c>
      <c r="G12" s="91">
        <f>VAC_Optim_Scenario!$D$32</f>
        <v>1</v>
      </c>
      <c r="H12" s="71">
        <f>C12*G12</f>
        <v>104116.3698638577</v>
      </c>
      <c r="I12" s="115">
        <f>VAC_Optim_Scenario!D20</f>
        <v>1</v>
      </c>
      <c r="K12" s="513"/>
      <c r="L12" s="71">
        <f>F12-C12</f>
        <v>8545117.6301361416</v>
      </c>
      <c r="M12" s="71">
        <f>L12+E12</f>
        <v>8805408.5547957867</v>
      </c>
      <c r="N12" s="72">
        <f>B12</f>
        <v>1648357.37</v>
      </c>
      <c r="O12" s="71">
        <f>F12</f>
        <v>8649234</v>
      </c>
      <c r="P12" s="24">
        <f>LN((($M$12+1)/($L$12+1))-1)</f>
        <v>-3.4913155319754781</v>
      </c>
      <c r="Q12" s="73">
        <f>(LN((($M$12+1)/($O$12+1))-1)-$P$12)/$N$12</f>
        <v>-3.1724692202688177E-7</v>
      </c>
      <c r="R12" s="74">
        <f>M12+1</f>
        <v>8805409.5547957867</v>
      </c>
    </row>
    <row r="13" spans="1:18" ht="34.15" customHeight="1" x14ac:dyDescent="0.3">
      <c r="A13" s="514" t="s">
        <v>114</v>
      </c>
      <c r="B13" s="515"/>
      <c r="C13" s="515"/>
      <c r="D13" s="515"/>
      <c r="E13" s="515"/>
      <c r="F13" s="516"/>
      <c r="G13" s="347" t="s">
        <v>150</v>
      </c>
      <c r="H13" s="347" t="s">
        <v>151</v>
      </c>
      <c r="K13" s="514" t="s">
        <v>115</v>
      </c>
      <c r="L13" s="515"/>
      <c r="M13" s="515"/>
      <c r="N13" s="515"/>
      <c r="O13" s="515"/>
      <c r="P13" s="515"/>
      <c r="Q13" s="515"/>
      <c r="R13" s="516"/>
    </row>
    <row r="14" spans="1:18" ht="33.65" customHeight="1" thickBot="1" x14ac:dyDescent="0.35">
      <c r="A14" s="517"/>
      <c r="B14" s="518"/>
      <c r="C14" s="518"/>
      <c r="D14" s="518"/>
      <c r="E14" s="518"/>
      <c r="F14" s="519"/>
      <c r="G14" s="95">
        <f>VAC_Optim_Scenario!$I$32</f>
        <v>225.94</v>
      </c>
      <c r="H14" s="95">
        <f>VAC_Optim_Scenario!$F$32</f>
        <v>225.94</v>
      </c>
      <c r="K14" s="517"/>
      <c r="L14" s="518"/>
      <c r="M14" s="518"/>
      <c r="N14" s="518"/>
      <c r="O14" s="518"/>
      <c r="P14" s="518"/>
      <c r="Q14" s="518"/>
      <c r="R14" s="519"/>
    </row>
    <row r="16" spans="1:18" ht="13.5" thickBot="1" x14ac:dyDescent="0.35"/>
    <row r="17" spans="1:8" ht="42.65" customHeight="1" x14ac:dyDescent="0.3">
      <c r="A17" s="512" t="s">
        <v>34</v>
      </c>
      <c r="B17" s="349" t="s">
        <v>32</v>
      </c>
      <c r="C17" s="349" t="s">
        <v>31</v>
      </c>
      <c r="D17" s="350" t="s">
        <v>33</v>
      </c>
      <c r="F17" s="82"/>
      <c r="G17" s="82"/>
      <c r="H17" s="83"/>
    </row>
    <row r="18" spans="1:8" ht="23.65" customHeight="1" thickBot="1" x14ac:dyDescent="0.35">
      <c r="A18" s="513"/>
      <c r="B18" s="75">
        <v>0</v>
      </c>
      <c r="C18" s="76">
        <v>2000000</v>
      </c>
      <c r="D18" s="26">
        <v>20</v>
      </c>
    </row>
    <row r="20" spans="1:8" x14ac:dyDescent="0.3">
      <c r="A20" s="500" t="s">
        <v>37</v>
      </c>
      <c r="B20" s="500"/>
      <c r="C20" s="500"/>
    </row>
    <row r="21" spans="1:8" x14ac:dyDescent="0.3">
      <c r="A21" s="347" t="s">
        <v>35</v>
      </c>
      <c r="B21" s="347" t="s">
        <v>120</v>
      </c>
      <c r="C21" s="347" t="s">
        <v>197</v>
      </c>
      <c r="D21" s="98" t="s">
        <v>121</v>
      </c>
      <c r="E21" s="347" t="s">
        <v>152</v>
      </c>
    </row>
    <row r="22" spans="1:8" x14ac:dyDescent="0.3">
      <c r="A22" s="86">
        <v>103851.36184614981</v>
      </c>
      <c r="B22" s="79">
        <f t="shared" ref="B22:B58" si="0">((($R$12/(1+EXP($P$12+$Q$12*A22)))-1) - ($F$12-$C$12))*$I$12</f>
        <v>8194.431742310524</v>
      </c>
      <c r="C22" s="79">
        <f>B22*$G$12</f>
        <v>8194.431742310524</v>
      </c>
      <c r="E22" s="116">
        <f>B22*$H$14</f>
        <v>1851449.9078576397</v>
      </c>
    </row>
    <row r="23" spans="1:8" x14ac:dyDescent="0.3">
      <c r="A23" s="86">
        <v>207702.72369229962</v>
      </c>
      <c r="B23" s="79">
        <f t="shared" si="0"/>
        <v>16138.258794490248</v>
      </c>
      <c r="C23" s="79">
        <f t="shared" ref="C23:C58" si="1">B23*$G$12</f>
        <v>16138.258794490248</v>
      </c>
      <c r="D23" s="98">
        <f>(B23-B22)/A23</f>
        <v>3.8246138090842152E-2</v>
      </c>
      <c r="E23" s="116">
        <f t="shared" ref="E23:E58" si="2">B23*$H$14</f>
        <v>3646278.1920271264</v>
      </c>
    </row>
    <row r="24" spans="1:8" x14ac:dyDescent="0.3">
      <c r="A24" s="86">
        <v>311554.08553844941</v>
      </c>
      <c r="B24" s="79">
        <f t="shared" si="0"/>
        <v>23838.687388489023</v>
      </c>
      <c r="C24" s="79">
        <f t="shared" si="1"/>
        <v>23838.687388489023</v>
      </c>
      <c r="D24" s="98">
        <f t="shared" ref="D24:D58" si="3">(B24-B23)/A24</f>
        <v>2.4716185572371357E-2</v>
      </c>
      <c r="E24" s="116">
        <f t="shared" si="2"/>
        <v>5386113.0285552097</v>
      </c>
    </row>
    <row r="25" spans="1:8" x14ac:dyDescent="0.3">
      <c r="A25" s="86">
        <v>415405.44738459925</v>
      </c>
      <c r="B25" s="79">
        <f t="shared" si="0"/>
        <v>31302.745052527636</v>
      </c>
      <c r="C25" s="79">
        <f t="shared" si="1"/>
        <v>31302.745052527636</v>
      </c>
      <c r="D25" s="98">
        <f t="shared" si="3"/>
        <v>1.7968126588210301E-2</v>
      </c>
      <c r="E25" s="116">
        <f t="shared" si="2"/>
        <v>7072542.2171680937</v>
      </c>
    </row>
    <row r="26" spans="1:8" x14ac:dyDescent="0.3">
      <c r="A26" s="86">
        <v>519256.80923074903</v>
      </c>
      <c r="B26" s="79">
        <f t="shared" si="0"/>
        <v>38537.283223880455</v>
      </c>
      <c r="C26" s="79">
        <f t="shared" si="1"/>
        <v>38537.283223880455</v>
      </c>
      <c r="D26" s="98">
        <f t="shared" si="3"/>
        <v>1.3932485896661417E-2</v>
      </c>
      <c r="E26" s="116">
        <f t="shared" si="2"/>
        <v>8707113.7716035508</v>
      </c>
    </row>
    <row r="27" spans="1:8" x14ac:dyDescent="0.3">
      <c r="A27" s="86">
        <v>623108.17107689881</v>
      </c>
      <c r="B27" s="79">
        <f t="shared" si="0"/>
        <v>45548.979951588437</v>
      </c>
      <c r="C27" s="79">
        <f t="shared" si="1"/>
        <v>45548.979951588437</v>
      </c>
      <c r="D27" s="98">
        <f t="shared" si="3"/>
        <v>1.1252776087962192E-2</v>
      </c>
      <c r="E27" s="116">
        <f t="shared" si="2"/>
        <v>10291336.530261891</v>
      </c>
    </row>
    <row r="28" spans="1:8" x14ac:dyDescent="0.3">
      <c r="A28" s="86">
        <v>726959.53292304859</v>
      </c>
      <c r="B28" s="79">
        <f t="shared" si="0"/>
        <v>52344.342677412555</v>
      </c>
      <c r="C28" s="79">
        <f t="shared" si="1"/>
        <v>52344.342677412555</v>
      </c>
      <c r="D28" s="98">
        <f t="shared" si="3"/>
        <v>9.3476492405299167E-3</v>
      </c>
      <c r="E28" s="116">
        <f t="shared" si="2"/>
        <v>11826680.784534592</v>
      </c>
    </row>
    <row r="29" spans="1:8" x14ac:dyDescent="0.3">
      <c r="A29" s="86">
        <v>830810.89476919849</v>
      </c>
      <c r="B29" s="79">
        <f t="shared" si="0"/>
        <v>58929.711084183306</v>
      </c>
      <c r="C29" s="79">
        <f t="shared" si="1"/>
        <v>58929.711084183306</v>
      </c>
      <c r="D29" s="98">
        <f t="shared" si="3"/>
        <v>7.9264348219701478E-3</v>
      </c>
      <c r="E29" s="116">
        <f t="shared" si="2"/>
        <v>13314578.922360376</v>
      </c>
    </row>
    <row r="30" spans="1:8" x14ac:dyDescent="0.3">
      <c r="A30" s="86">
        <v>934662.25661534828</v>
      </c>
      <c r="B30" s="79">
        <f t="shared" si="0"/>
        <v>65311.260001372546</v>
      </c>
      <c r="C30" s="79">
        <f t="shared" si="1"/>
        <v>65311.260001372546</v>
      </c>
      <c r="D30" s="98">
        <f t="shared" si="3"/>
        <v>6.8276523118612556E-3</v>
      </c>
      <c r="E30" s="116">
        <f t="shared" si="2"/>
        <v>14756426.084710114</v>
      </c>
    </row>
    <row r="31" spans="1:8" x14ac:dyDescent="0.3">
      <c r="A31" s="86">
        <v>1038513.6184614981</v>
      </c>
      <c r="B31" s="79">
        <f t="shared" si="0"/>
        <v>71495.002358317375</v>
      </c>
      <c r="C31" s="79">
        <f t="shared" si="1"/>
        <v>71495.002358317375</v>
      </c>
      <c r="D31" s="98">
        <f t="shared" si="3"/>
        <v>5.9544162416528632E-3</v>
      </c>
      <c r="E31" s="116">
        <f t="shared" si="2"/>
        <v>16153580.832838228</v>
      </c>
    </row>
    <row r="32" spans="1:8" x14ac:dyDescent="0.3">
      <c r="A32" s="86">
        <v>1142364.980307648</v>
      </c>
      <c r="B32" s="79">
        <f t="shared" si="0"/>
        <v>77486.79217626527</v>
      </c>
      <c r="C32" s="79">
        <f t="shared" si="1"/>
        <v>77486.79217626527</v>
      </c>
      <c r="D32" s="98">
        <f t="shared" si="3"/>
        <v>5.2450748414348781E-3</v>
      </c>
      <c r="E32" s="116">
        <f t="shared" si="2"/>
        <v>17507365.824305374</v>
      </c>
    </row>
    <row r="33" spans="1:5" x14ac:dyDescent="0.3">
      <c r="A33" s="86">
        <v>1246216.3421537976</v>
      </c>
      <c r="B33" s="79">
        <f t="shared" si="0"/>
        <v>83292.327590946108</v>
      </c>
      <c r="C33" s="79">
        <f t="shared" si="1"/>
        <v>83292.327590946108</v>
      </c>
      <c r="D33" s="98">
        <f t="shared" si="3"/>
        <v>4.6585293566663629E-3</v>
      </c>
      <c r="E33" s="116">
        <f t="shared" si="2"/>
        <v>18819068.495898362</v>
      </c>
    </row>
    <row r="34" spans="1:5" x14ac:dyDescent="0.3">
      <c r="A34" s="86">
        <v>1350067.7039999475</v>
      </c>
      <c r="B34" s="79">
        <f t="shared" si="0"/>
        <v>88917.153897989541</v>
      </c>
      <c r="C34" s="79">
        <f t="shared" si="1"/>
        <v>88917.153897989541</v>
      </c>
      <c r="D34" s="98">
        <f t="shared" si="3"/>
        <v>4.1663290591859468E-3</v>
      </c>
      <c r="E34" s="116">
        <f t="shared" si="2"/>
        <v>20089941.751711756</v>
      </c>
    </row>
    <row r="35" spans="1:5" x14ac:dyDescent="0.3">
      <c r="A35" s="86">
        <v>1453919.0658460972</v>
      </c>
      <c r="B35" s="79">
        <f t="shared" si="0"/>
        <v>94366.666614044458</v>
      </c>
      <c r="C35" s="79">
        <f t="shared" si="1"/>
        <v>94366.666614044458</v>
      </c>
      <c r="D35" s="98">
        <f t="shared" si="3"/>
        <v>3.7481541057332608E-3</v>
      </c>
      <c r="E35" s="116">
        <f t="shared" si="2"/>
        <v>21321204.654777203</v>
      </c>
    </row>
    <row r="36" spans="1:5" x14ac:dyDescent="0.3">
      <c r="A36" s="86">
        <v>1557770.4276922471</v>
      </c>
      <c r="B36" s="79">
        <f t="shared" si="0"/>
        <v>99646.114547008649</v>
      </c>
      <c r="C36" s="79">
        <f t="shared" si="1"/>
        <v>99646.114547008649</v>
      </c>
      <c r="D36" s="98">
        <f t="shared" si="3"/>
        <v>3.3891052488301556E-3</v>
      </c>
      <c r="E36" s="116">
        <f t="shared" si="2"/>
        <v>22514043.120751135</v>
      </c>
    </row>
    <row r="37" spans="1:5" x14ac:dyDescent="0.3">
      <c r="A37" s="86">
        <v>1661621.789538397</v>
      </c>
      <c r="B37" s="79">
        <f t="shared" si="0"/>
        <v>104760.60286923684</v>
      </c>
      <c r="C37" s="79">
        <f t="shared" si="1"/>
        <v>104760.60286923684</v>
      </c>
      <c r="D37" s="98">
        <f t="shared" si="3"/>
        <v>3.0780099023912126E-3</v>
      </c>
      <c r="E37" s="116">
        <f t="shared" si="2"/>
        <v>23669610.612275373</v>
      </c>
    </row>
    <row r="38" spans="1:5" x14ac:dyDescent="0.3">
      <c r="A38" s="86">
        <v>1765473.1513845467</v>
      </c>
      <c r="B38" s="79">
        <f t="shared" si="0"/>
        <v>109715.09618811496</v>
      </c>
      <c r="C38" s="79">
        <f t="shared" si="1"/>
        <v>109715.09618811496</v>
      </c>
      <c r="D38" s="98">
        <f t="shared" si="3"/>
        <v>2.8063260633516998E-3</v>
      </c>
      <c r="E38" s="116">
        <f t="shared" si="2"/>
        <v>24789028.832742695</v>
      </c>
    </row>
    <row r="39" spans="1:5" x14ac:dyDescent="0.3">
      <c r="A39" s="86">
        <v>1869324.5132306966</v>
      </c>
      <c r="B39" s="79">
        <f t="shared" si="0"/>
        <v>114514.42160880566</v>
      </c>
      <c r="C39" s="79">
        <f t="shared" si="1"/>
        <v>114514.42160880566</v>
      </c>
      <c r="D39" s="98">
        <f t="shared" si="3"/>
        <v>2.5674115899738418E-3</v>
      </c>
      <c r="E39" s="116">
        <f t="shared" si="2"/>
        <v>25873388.418293551</v>
      </c>
    </row>
    <row r="40" spans="1:5" x14ac:dyDescent="0.3">
      <c r="A40" s="86">
        <v>1973175.8750768462</v>
      </c>
      <c r="B40" s="79">
        <f t="shared" si="0"/>
        <v>119163.27178439125</v>
      </c>
      <c r="C40" s="79">
        <f t="shared" si="1"/>
        <v>119163.27178439125</v>
      </c>
      <c r="D40" s="98">
        <f t="shared" si="3"/>
        <v>2.3560242319527378E-3</v>
      </c>
      <c r="E40" s="116">
        <f t="shared" si="2"/>
        <v>26923749.626965359</v>
      </c>
    </row>
    <row r="41" spans="1:5" x14ac:dyDescent="0.3">
      <c r="A41" s="86">
        <v>2077027.2369229961</v>
      </c>
      <c r="B41" s="79">
        <f t="shared" si="0"/>
        <v>123666.20794909261</v>
      </c>
      <c r="C41" s="79">
        <f t="shared" si="1"/>
        <v>123666.20794909261</v>
      </c>
      <c r="D41" s="98">
        <f t="shared" si="3"/>
        <v>2.1679716494099588E-3</v>
      </c>
      <c r="E41" s="116">
        <f t="shared" si="2"/>
        <v>27941143.024017986</v>
      </c>
    </row>
    <row r="42" spans="1:5" x14ac:dyDescent="0.3">
      <c r="A42" s="86">
        <v>2180878.598769146</v>
      </c>
      <c r="B42" s="79">
        <f t="shared" si="0"/>
        <v>128027.66293053329</v>
      </c>
      <c r="C42" s="79">
        <f t="shared" si="1"/>
        <v>128027.66293053329</v>
      </c>
      <c r="D42" s="98">
        <f t="shared" si="3"/>
        <v>1.9998614246121795E-3</v>
      </c>
      <c r="E42" s="116">
        <f t="shared" si="2"/>
        <v>28926570.162524693</v>
      </c>
    </row>
    <row r="43" spans="1:5" x14ac:dyDescent="0.3">
      <c r="A43" s="86">
        <v>2284729.9606152959</v>
      </c>
      <c r="B43" s="79">
        <f t="shared" si="0"/>
        <v>132251.9441374708</v>
      </c>
      <c r="C43" s="79">
        <f t="shared" si="1"/>
        <v>132251.9441374708</v>
      </c>
      <c r="D43" s="98">
        <f t="shared" si="3"/>
        <v>1.8489192507458844E-3</v>
      </c>
      <c r="E43" s="116">
        <f t="shared" si="2"/>
        <v>29881004.258420151</v>
      </c>
    </row>
    <row r="44" spans="1:5" x14ac:dyDescent="0.3">
      <c r="A44" s="86">
        <v>2388581.3224614454</v>
      </c>
      <c r="B44" s="79">
        <f t="shared" si="0"/>
        <v>136343.23651968129</v>
      </c>
      <c r="C44" s="79">
        <f t="shared" si="1"/>
        <v>136343.23651968129</v>
      </c>
      <c r="D44" s="98">
        <f t="shared" si="3"/>
        <v>1.7128545483200861E-3</v>
      </c>
      <c r="E44" s="116">
        <f t="shared" si="2"/>
        <v>30805390.859256789</v>
      </c>
    </row>
    <row r="45" spans="1:5" x14ac:dyDescent="0.3">
      <c r="A45" s="86">
        <v>2492432.6843075999</v>
      </c>
      <c r="B45" s="79">
        <f t="shared" si="0"/>
        <v>140305.60549703427</v>
      </c>
      <c r="C45" s="79">
        <f t="shared" si="1"/>
        <v>140305.60549703427</v>
      </c>
      <c r="D45" s="98">
        <f t="shared" si="3"/>
        <v>1.5897596762793722E-3</v>
      </c>
      <c r="E45" s="116">
        <f t="shared" si="2"/>
        <v>31700648.505999923</v>
      </c>
    </row>
    <row r="46" spans="1:5" x14ac:dyDescent="0.3">
      <c r="A46" s="86">
        <v>2596284.0461537498</v>
      </c>
      <c r="B46" s="79">
        <f t="shared" si="0"/>
        <v>144142.99985508993</v>
      </c>
      <c r="C46" s="79">
        <f t="shared" si="1"/>
        <v>144142.99985508993</v>
      </c>
      <c r="D46" s="98">
        <f t="shared" si="3"/>
        <v>1.4780333314224814E-3</v>
      </c>
      <c r="E46" s="116">
        <f t="shared" si="2"/>
        <v>32567669.387259018</v>
      </c>
    </row>
    <row r="47" spans="1:5" x14ac:dyDescent="0.3">
      <c r="A47" s="86">
        <v>2700135.4079999002</v>
      </c>
      <c r="B47" s="79">
        <f t="shared" si="0"/>
        <v>147859.25460480526</v>
      </c>
      <c r="C47" s="79">
        <f t="shared" si="1"/>
        <v>147859.25460480526</v>
      </c>
      <c r="D47" s="98">
        <f t="shared" si="3"/>
        <v>1.376321623984076E-3</v>
      </c>
      <c r="E47" s="116">
        <f t="shared" si="2"/>
        <v>33407319.985409699</v>
      </c>
    </row>
    <row r="48" spans="1:5" x14ac:dyDescent="0.3">
      <c r="A48" s="86">
        <v>2803986.7698460501</v>
      </c>
      <c r="B48" s="79">
        <f t="shared" si="0"/>
        <v>151458.09380422905</v>
      </c>
      <c r="C48" s="79">
        <f t="shared" si="1"/>
        <v>151458.09380422905</v>
      </c>
      <c r="D48" s="98">
        <f t="shared" si="3"/>
        <v>1.2834722467757508E-3</v>
      </c>
      <c r="E48" s="116">
        <f t="shared" si="2"/>
        <v>34220441.714127511</v>
      </c>
    </row>
    <row r="49" spans="1:5" x14ac:dyDescent="0.3">
      <c r="A49" s="86">
        <v>2907838.1316921902</v>
      </c>
      <c r="B49" s="79">
        <f t="shared" si="0"/>
        <v>154943.13334030472</v>
      </c>
      <c r="C49" s="79">
        <f t="shared" si="1"/>
        <v>154943.13334030472</v>
      </c>
      <c r="D49" s="98">
        <f t="shared" si="3"/>
        <v>1.1984984645784184E-3</v>
      </c>
      <c r="E49" s="116">
        <f t="shared" si="2"/>
        <v>35007851.546908446</v>
      </c>
    </row>
    <row r="50" spans="1:5" x14ac:dyDescent="0.3">
      <c r="A50" s="86">
        <v>3011689.4935383401</v>
      </c>
      <c r="B50" s="79">
        <f t="shared" si="0"/>
        <v>158317.8836690858</v>
      </c>
      <c r="C50" s="79">
        <f t="shared" si="1"/>
        <v>158317.8836690858</v>
      </c>
      <c r="D50" s="98">
        <f t="shared" si="3"/>
        <v>1.1205505534424116E-3</v>
      </c>
      <c r="E50" s="116">
        <f t="shared" si="2"/>
        <v>35770342.636193246</v>
      </c>
    </row>
    <row r="51" spans="1:5" x14ac:dyDescent="0.3">
      <c r="A51" s="86">
        <v>3115540.85538449</v>
      </c>
      <c r="B51" s="79">
        <f t="shared" si="0"/>
        <v>161585.75251294114</v>
      </c>
      <c r="C51" s="79">
        <f t="shared" si="1"/>
        <v>161585.75251294114</v>
      </c>
      <c r="D51" s="98">
        <f t="shared" si="3"/>
        <v>1.0488929516708416E-3</v>
      </c>
      <c r="E51" s="116">
        <f t="shared" si="2"/>
        <v>36508684.92277392</v>
      </c>
    </row>
    <row r="52" spans="1:5" x14ac:dyDescent="0.3">
      <c r="A52" s="86">
        <v>3219392.2172306399</v>
      </c>
      <c r="B52" s="79">
        <f t="shared" si="0"/>
        <v>164750.04751348868</v>
      </c>
      <c r="C52" s="79">
        <f t="shared" si="1"/>
        <v>164750.04751348868</v>
      </c>
      <c r="D52" s="98">
        <f t="shared" si="3"/>
        <v>9.8288583280154297E-4</v>
      </c>
      <c r="E52" s="116">
        <f t="shared" si="2"/>
        <v>37223625.735197634</v>
      </c>
    </row>
    <row r="53" spans="1:5" x14ac:dyDescent="0.3">
      <c r="A53" s="86">
        <v>3323243.5790767898</v>
      </c>
      <c r="B53" s="79">
        <f t="shared" si="0"/>
        <v>167813.97883919999</v>
      </c>
      <c r="C53" s="79">
        <f t="shared" si="1"/>
        <v>167813.97883919999</v>
      </c>
      <c r="D53" s="98">
        <f t="shared" si="3"/>
        <v>9.2197013333656459E-4</v>
      </c>
      <c r="E53" s="116">
        <f t="shared" si="2"/>
        <v>37915890.378928848</v>
      </c>
    </row>
    <row r="54" spans="1:5" x14ac:dyDescent="0.3">
      <c r="A54" s="86">
        <v>3427094.9409229401</v>
      </c>
      <c r="B54" s="79">
        <f t="shared" si="0"/>
        <v>170780.66174676828</v>
      </c>
      <c r="C54" s="79">
        <f t="shared" si="1"/>
        <v>170780.66174676828</v>
      </c>
      <c r="D54" s="98">
        <f t="shared" si="3"/>
        <v>8.6565530243797181E-4</v>
      </c>
      <c r="E54" s="116">
        <f t="shared" si="2"/>
        <v>38586182.715064824</v>
      </c>
    </row>
    <row r="55" spans="1:5" x14ac:dyDescent="0.3">
      <c r="A55" s="86">
        <v>3530946.30276909</v>
      </c>
      <c r="B55" s="79">
        <f t="shared" si="0"/>
        <v>173653.11909549497</v>
      </c>
      <c r="C55" s="79">
        <f t="shared" si="1"/>
        <v>173653.11909549497</v>
      </c>
      <c r="D55" s="98">
        <f t="shared" si="3"/>
        <v>8.1350921323102802E-4</v>
      </c>
      <c r="E55" s="116">
        <f t="shared" si="2"/>
        <v>39235185.728436135</v>
      </c>
    </row>
    <row r="56" spans="1:5" x14ac:dyDescent="0.3">
      <c r="A56" s="86">
        <v>3634797.6646152399</v>
      </c>
      <c r="B56" s="79">
        <f t="shared" si="0"/>
        <v>176434.2838141527</v>
      </c>
      <c r="C56" s="79">
        <f t="shared" si="1"/>
        <v>176434.2838141527</v>
      </c>
      <c r="D56" s="98">
        <f t="shared" si="3"/>
        <v>7.6514980344913666E-4</v>
      </c>
      <c r="E56" s="116">
        <f t="shared" si="2"/>
        <v>39863562.084969662</v>
      </c>
    </row>
    <row r="57" spans="1:5" x14ac:dyDescent="0.3">
      <c r="A57" s="86">
        <v>3738649.0264613898</v>
      </c>
      <c r="B57" s="79">
        <f t="shared" si="0"/>
        <v>179127.00131981447</v>
      </c>
      <c r="C57" s="79">
        <f t="shared" si="1"/>
        <v>179127.00131981447</v>
      </c>
      <c r="D57" s="98">
        <f t="shared" si="3"/>
        <v>7.2023810916811639E-4</v>
      </c>
      <c r="E57" s="116">
        <f t="shared" si="2"/>
        <v>40471954.678198881</v>
      </c>
    </row>
    <row r="58" spans="1:5" x14ac:dyDescent="0.3">
      <c r="A58" s="86">
        <v>3842500.3883075402</v>
      </c>
      <c r="B58" s="79">
        <f t="shared" si="0"/>
        <v>181734.03188835643</v>
      </c>
      <c r="C58" s="79">
        <f t="shared" si="1"/>
        <v>181734.03188835643</v>
      </c>
      <c r="D58" s="98">
        <f t="shared" si="3"/>
        <v>6.7847242812908248E-4</v>
      </c>
      <c r="E58" s="116">
        <f t="shared" si="2"/>
        <v>41060987.164855249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horizontalDpi="1200" verticalDpi="1200" r:id="rId1"/>
  <headerFooter>
    <oddHeader>&amp;L&amp;"Calibri"&amp;12&amp;K00B294Proprietary&amp;1#</oddHead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0393B-A990-4290-AB06-D9B500943F36}">
  <sheetPr>
    <tabColor theme="3" tint="0.79998168889431442"/>
    <pageSetUpPr autoPageBreaks="0"/>
  </sheetPr>
  <dimension ref="A1:I41"/>
  <sheetViews>
    <sheetView topLeftCell="A20" workbookViewId="0">
      <selection activeCell="B9" sqref="B9:I9"/>
    </sheetView>
  </sheetViews>
  <sheetFormatPr defaultColWidth="8.81640625" defaultRowHeight="14.5" x14ac:dyDescent="0.35"/>
  <cols>
    <col min="1" max="1" width="16.453125" style="97" bestFit="1" customWidth="1"/>
    <col min="2" max="2" width="18" style="97" customWidth="1"/>
    <col min="3" max="3" width="12.453125" style="97" bestFit="1" customWidth="1"/>
    <col min="4" max="4" width="19.26953125" style="97" customWidth="1"/>
    <col min="5" max="5" width="17.81640625" style="97" customWidth="1"/>
    <col min="6" max="6" width="15.453125" style="97" customWidth="1"/>
    <col min="7" max="7" width="15.81640625" style="97" customWidth="1"/>
    <col min="8" max="8" width="15" style="97" customWidth="1"/>
    <col min="9" max="9" width="14.1796875" style="97" customWidth="1"/>
    <col min="10" max="16384" width="8.81640625" style="97"/>
  </cols>
  <sheetData>
    <row r="1" spans="1:9" ht="15" thickBot="1" x14ac:dyDescent="0.4">
      <c r="A1" s="6" t="s">
        <v>0</v>
      </c>
      <c r="B1" s="98" t="s">
        <v>188</v>
      </c>
      <c r="C1" s="98"/>
      <c r="D1" s="98"/>
      <c r="E1" s="98"/>
      <c r="F1" s="98"/>
      <c r="G1" s="98"/>
      <c r="H1" s="98"/>
      <c r="I1" s="98"/>
    </row>
    <row r="2" spans="1:9" x14ac:dyDescent="0.3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" thickBot="1" x14ac:dyDescent="0.4">
      <c r="A3" s="11" t="s">
        <v>3</v>
      </c>
      <c r="B3" s="12" t="s">
        <v>252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" thickBot="1" x14ac:dyDescent="0.4">
      <c r="A4" s="29" t="s">
        <v>38</v>
      </c>
      <c r="B4" s="520"/>
      <c r="C4" s="521"/>
      <c r="D4" s="521"/>
      <c r="E4" s="521"/>
      <c r="F4" s="522"/>
      <c r="G4" s="98"/>
      <c r="H4" s="98"/>
      <c r="I4" s="98"/>
    </row>
    <row r="5" spans="1:9" x14ac:dyDescent="0.35">
      <c r="A5" s="98"/>
      <c r="B5" s="98"/>
      <c r="C5" s="98"/>
      <c r="D5" s="98"/>
      <c r="E5" s="98"/>
      <c r="F5" s="98"/>
      <c r="G5" s="98"/>
      <c r="H5" s="98"/>
      <c r="I5" s="98"/>
    </row>
    <row r="6" spans="1:9" ht="15" thickBot="1" x14ac:dyDescent="0.4">
      <c r="A6" s="98"/>
      <c r="B6" s="170">
        <v>0.7</v>
      </c>
      <c r="C6" s="170">
        <v>1.2</v>
      </c>
      <c r="D6" s="98"/>
      <c r="E6" s="98"/>
      <c r="F6" s="98"/>
      <c r="G6" s="87"/>
      <c r="H6" s="98"/>
      <c r="I6" s="98"/>
    </row>
    <row r="7" spans="1:9" x14ac:dyDescent="0.35">
      <c r="A7" s="503" t="s">
        <v>8</v>
      </c>
      <c r="B7" s="506" t="s">
        <v>9</v>
      </c>
      <c r="C7" s="506"/>
      <c r="D7" s="506" t="s">
        <v>12</v>
      </c>
      <c r="E7" s="506"/>
      <c r="F7" s="506"/>
      <c r="G7" s="506" t="s">
        <v>124</v>
      </c>
      <c r="H7" s="506"/>
      <c r="I7" s="511"/>
    </row>
    <row r="8" spans="1:9" x14ac:dyDescent="0.35">
      <c r="A8" s="504"/>
      <c r="B8" s="153" t="s">
        <v>10</v>
      </c>
      <c r="C8" s="153" t="s">
        <v>11</v>
      </c>
      <c r="D8" s="153" t="s">
        <v>20</v>
      </c>
      <c r="E8" s="153" t="s">
        <v>21</v>
      </c>
      <c r="F8" s="153" t="s">
        <v>117</v>
      </c>
      <c r="G8" s="153" t="s">
        <v>22</v>
      </c>
      <c r="H8" s="153" t="s">
        <v>23</v>
      </c>
      <c r="I8" s="4" t="s">
        <v>123</v>
      </c>
    </row>
    <row r="9" spans="1:9" ht="15" thickBot="1" x14ac:dyDescent="0.4">
      <c r="A9" s="505"/>
      <c r="B9" s="171">
        <f>VAC_Optim_Scenario!G23</f>
        <v>300000</v>
      </c>
      <c r="C9" s="171">
        <f>VAC_Optim_Scenario!H23</f>
        <v>400000</v>
      </c>
      <c r="D9" s="172">
        <f>VAC_Optim_Scenario!I23</f>
        <v>400000</v>
      </c>
      <c r="E9" s="84">
        <f>((GSEARCH!D9/$B$12)^$D$12)*$C$12*$F$12</f>
        <v>145038.35480357721</v>
      </c>
      <c r="F9" s="84">
        <f>E9*F11</f>
        <v>145038.35480357721</v>
      </c>
      <c r="G9" s="76">
        <f>VAC_Optim_Scenario!E23</f>
        <v>400000</v>
      </c>
      <c r="H9" s="173">
        <f>((GSEARCH!G9/$B$12)^$D$12)*$C$12*$F$12</f>
        <v>145038.35480357721</v>
      </c>
      <c r="I9" s="174">
        <f>H9*F11</f>
        <v>145038.35480357721</v>
      </c>
    </row>
    <row r="10" spans="1:9" ht="15" thickBot="1" x14ac:dyDescent="0.4"/>
    <row r="11" spans="1:9" ht="49" customHeight="1" x14ac:dyDescent="0.35">
      <c r="A11" s="500" t="s">
        <v>15</v>
      </c>
      <c r="B11" s="154" t="s">
        <v>16</v>
      </c>
      <c r="C11" s="154" t="s">
        <v>17</v>
      </c>
      <c r="D11" s="154" t="s">
        <v>168</v>
      </c>
      <c r="E11" s="153" t="s">
        <v>126</v>
      </c>
      <c r="F11" s="175">
        <v>1</v>
      </c>
    </row>
    <row r="12" spans="1:9" ht="40.5" customHeight="1" thickBot="1" x14ac:dyDescent="0.4">
      <c r="A12" s="500"/>
      <c r="B12" s="176">
        <f>'[7]HCC Paid Search - Power'!$B$12</f>
        <v>344707</v>
      </c>
      <c r="C12" s="176">
        <f>'[7]HCC Paid Search - Power'!$C$12</f>
        <v>130694.08808973072</v>
      </c>
      <c r="D12" s="341">
        <f>'[7]HCC Paid Search - Power'!$D$12</f>
        <v>0.7</v>
      </c>
      <c r="E12" s="153" t="s">
        <v>122</v>
      </c>
      <c r="F12" s="177">
        <f>VAC_Optim_Scenario!D23</f>
        <v>1</v>
      </c>
    </row>
    <row r="13" spans="1:9" ht="18.75" customHeight="1" x14ac:dyDescent="0.35">
      <c r="A13" s="514" t="s">
        <v>169</v>
      </c>
      <c r="B13" s="515"/>
      <c r="C13" s="515"/>
      <c r="D13" s="515"/>
      <c r="E13" s="153" t="s">
        <v>170</v>
      </c>
      <c r="F13" s="153" t="s">
        <v>171</v>
      </c>
    </row>
    <row r="14" spans="1:9" ht="15" thickBot="1" x14ac:dyDescent="0.4">
      <c r="A14" s="517"/>
      <c r="B14" s="518"/>
      <c r="C14" s="518"/>
      <c r="D14" s="518"/>
      <c r="E14" s="95">
        <f>VAC_Optim_Scenario!G32</f>
        <v>225.94</v>
      </c>
      <c r="F14" s="95">
        <f>VAC_Optim_Scenario!E32</f>
        <v>225.94</v>
      </c>
    </row>
    <row r="15" spans="1:9" ht="15" thickBot="1" x14ac:dyDescent="0.4"/>
    <row r="16" spans="1:9" x14ac:dyDescent="0.35">
      <c r="A16" s="512" t="s">
        <v>34</v>
      </c>
      <c r="B16" s="154" t="s">
        <v>32</v>
      </c>
      <c r="C16" s="154" t="s">
        <v>31</v>
      </c>
      <c r="D16" s="155" t="s">
        <v>33</v>
      </c>
    </row>
    <row r="17" spans="1:4" ht="15" thickBot="1" x14ac:dyDescent="0.4">
      <c r="A17" s="513"/>
      <c r="B17" s="76">
        <v>0</v>
      </c>
      <c r="C17" s="76">
        <v>3000000</v>
      </c>
      <c r="D17" s="26">
        <v>30</v>
      </c>
    </row>
    <row r="18" spans="1:4" x14ac:dyDescent="0.35">
      <c r="A18" s="98"/>
      <c r="B18" s="98"/>
      <c r="C18" s="98"/>
      <c r="D18" s="98"/>
    </row>
    <row r="19" spans="1:4" x14ac:dyDescent="0.35">
      <c r="A19" s="500" t="s">
        <v>37</v>
      </c>
      <c r="B19" s="500"/>
      <c r="C19" s="500"/>
      <c r="D19" s="98"/>
    </row>
    <row r="20" spans="1:4" ht="26" x14ac:dyDescent="0.35">
      <c r="A20" s="153" t="s">
        <v>35</v>
      </c>
      <c r="B20" s="153" t="s">
        <v>175</v>
      </c>
      <c r="C20" s="153" t="s">
        <v>172</v>
      </c>
    </row>
    <row r="21" spans="1:4" x14ac:dyDescent="0.35">
      <c r="A21" s="178">
        <f>B17</f>
        <v>0</v>
      </c>
      <c r="B21" s="173">
        <f>((GSEARCH!A21/$B$12)^$D$12)*$C$12*$F$12</f>
        <v>0</v>
      </c>
      <c r="C21" s="179">
        <f>B21*$F$14</f>
        <v>0</v>
      </c>
    </row>
    <row r="22" spans="1:4" x14ac:dyDescent="0.35">
      <c r="A22" s="178">
        <f>A21+(($C$17-$B$17)/$D$17)</f>
        <v>100000</v>
      </c>
      <c r="B22" s="173">
        <f>((GSEARCH!A22/$B$12)^$D$12)*$C$12*$F$12</f>
        <v>54959.259288798734</v>
      </c>
      <c r="C22" s="179">
        <f t="shared" ref="C22:C41" si="0">B22*$F$14</f>
        <v>12417495.043711185</v>
      </c>
    </row>
    <row r="23" spans="1:4" x14ac:dyDescent="0.35">
      <c r="A23" s="178">
        <f t="shared" ref="A23:A41" si="1">A22+(($C$17-$B$17)/$D$17)</f>
        <v>200000</v>
      </c>
      <c r="B23" s="173">
        <f>((GSEARCH!A23/$B$12)^$D$12)*$C$12*$F$12</f>
        <v>89281.580118580925</v>
      </c>
      <c r="C23" s="179">
        <f t="shared" si="0"/>
        <v>20172280.211992174</v>
      </c>
    </row>
    <row r="24" spans="1:4" x14ac:dyDescent="0.35">
      <c r="A24" s="178">
        <f t="shared" si="1"/>
        <v>300000</v>
      </c>
      <c r="B24" s="173">
        <f>((GSEARCH!A24/$B$12)^$D$12)*$C$12*$F$12</f>
        <v>118583.90541759932</v>
      </c>
      <c r="C24" s="179">
        <f t="shared" si="0"/>
        <v>26792847.590052392</v>
      </c>
    </row>
    <row r="25" spans="1:4" x14ac:dyDescent="0.35">
      <c r="A25" s="178">
        <f t="shared" si="1"/>
        <v>400000</v>
      </c>
      <c r="B25" s="173">
        <f>((GSEARCH!A25/$B$12)^$D$12)*$C$12*$F$12</f>
        <v>145038.35480357721</v>
      </c>
      <c r="C25" s="179">
        <f t="shared" si="0"/>
        <v>32769965.884320233</v>
      </c>
    </row>
    <row r="26" spans="1:4" x14ac:dyDescent="0.35">
      <c r="A26" s="178">
        <f t="shared" si="1"/>
        <v>500000</v>
      </c>
      <c r="B26" s="173">
        <f>((GSEARCH!A26/$B$12)^$D$12)*$C$12*$F$12</f>
        <v>169558.62025599024</v>
      </c>
      <c r="C26" s="179">
        <f t="shared" si="0"/>
        <v>38310074.660638437</v>
      </c>
    </row>
    <row r="27" spans="1:4" x14ac:dyDescent="0.35">
      <c r="A27" s="178">
        <f t="shared" si="1"/>
        <v>600000</v>
      </c>
      <c r="B27" s="173">
        <f>((GSEARCH!A27/$B$12)^$D$12)*$C$12*$F$12</f>
        <v>192640.12268945246</v>
      </c>
      <c r="C27" s="179">
        <f t="shared" si="0"/>
        <v>43525109.320454888</v>
      </c>
    </row>
    <row r="28" spans="1:4" x14ac:dyDescent="0.35">
      <c r="A28" s="178">
        <f t="shared" si="1"/>
        <v>700000</v>
      </c>
      <c r="B28" s="173">
        <f>((GSEARCH!A28/$B$12)^$D$12)*$C$12*$F$12</f>
        <v>214590.0094624639</v>
      </c>
      <c r="C28" s="179">
        <f t="shared" si="0"/>
        <v>48484466.737949096</v>
      </c>
    </row>
    <row r="29" spans="1:4" x14ac:dyDescent="0.35">
      <c r="A29" s="178">
        <f t="shared" si="1"/>
        <v>800000</v>
      </c>
      <c r="B29" s="173">
        <f>((GSEARCH!A29/$B$12)^$D$12)*$C$12*$F$12</f>
        <v>235615.50250554297</v>
      </c>
      <c r="C29" s="179">
        <f t="shared" si="0"/>
        <v>53234966.636102378</v>
      </c>
    </row>
    <row r="30" spans="1:4" x14ac:dyDescent="0.35">
      <c r="A30" s="178">
        <f t="shared" si="1"/>
        <v>900000</v>
      </c>
      <c r="B30" s="173">
        <f>((GSEARCH!A30/$B$12)^$D$12)*$C$12*$F$12</f>
        <v>255864.84981896676</v>
      </c>
      <c r="C30" s="179">
        <f t="shared" si="0"/>
        <v>57810104.168097347</v>
      </c>
    </row>
    <row r="31" spans="1:4" x14ac:dyDescent="0.35">
      <c r="A31" s="178">
        <f t="shared" si="1"/>
        <v>1000000</v>
      </c>
      <c r="B31" s="173">
        <f>((GSEARCH!A31/$B$12)^$D$12)*$C$12*$F$12</f>
        <v>275448.79125156999</v>
      </c>
      <c r="C31" s="179">
        <f t="shared" si="0"/>
        <v>62234899.895379722</v>
      </c>
    </row>
    <row r="32" spans="1:4" x14ac:dyDescent="0.35">
      <c r="A32" s="178">
        <f t="shared" si="1"/>
        <v>1100000</v>
      </c>
      <c r="B32" s="173">
        <f>((GSEARCH!A32/$B$12)^$D$12)*$C$12*$F$12</f>
        <v>294452.84207853925</v>
      </c>
      <c r="C32" s="179">
        <f t="shared" si="0"/>
        <v>66528675.139225155</v>
      </c>
    </row>
    <row r="33" spans="1:3" x14ac:dyDescent="0.35">
      <c r="A33" s="178">
        <f t="shared" si="1"/>
        <v>1200000</v>
      </c>
      <c r="B33" s="173">
        <f>((GSEARCH!A33/$B$12)^$D$12)*$C$12*$F$12</f>
        <v>312944.80257773394</v>
      </c>
      <c r="C33" s="179">
        <f t="shared" si="0"/>
        <v>70706748.6944132</v>
      </c>
    </row>
    <row r="34" spans="1:3" x14ac:dyDescent="0.35">
      <c r="A34" s="178">
        <f t="shared" si="1"/>
        <v>1300000</v>
      </c>
      <c r="B34" s="173">
        <f>((GSEARCH!A34/$B$12)^$D$12)*$C$12*$F$12</f>
        <v>330979.59295360238</v>
      </c>
      <c r="C34" s="179">
        <f t="shared" si="0"/>
        <v>74781529.231936917</v>
      </c>
    </row>
    <row r="35" spans="1:3" x14ac:dyDescent="0.35">
      <c r="A35" s="178">
        <f t="shared" si="1"/>
        <v>1400000</v>
      </c>
      <c r="B35" s="173">
        <f>((GSEARCH!A35/$B$12)^$D$12)*$C$12*$F$12</f>
        <v>348602.49883998709</v>
      </c>
      <c r="C35" s="179">
        <f t="shared" si="0"/>
        <v>78763248.587906688</v>
      </c>
    </row>
    <row r="36" spans="1:3" x14ac:dyDescent="0.35">
      <c r="A36" s="178">
        <f t="shared" si="1"/>
        <v>1500000</v>
      </c>
      <c r="B36" s="173">
        <f>((GSEARCH!A36/$B$12)^$D$12)*$C$12*$F$12</f>
        <v>365851.4260812279</v>
      </c>
      <c r="C36" s="179">
        <f t="shared" si="0"/>
        <v>82660471.208792627</v>
      </c>
    </row>
    <row r="37" spans="1:3" x14ac:dyDescent="0.35">
      <c r="A37" s="178">
        <f t="shared" si="1"/>
        <v>1600000</v>
      </c>
      <c r="B37" s="173">
        <f>((GSEARCH!A37/$B$12)^$D$12)*$C$12*$F$12</f>
        <v>382758.51305761177</v>
      </c>
      <c r="C37" s="179">
        <f t="shared" si="0"/>
        <v>86480458.440236807</v>
      </c>
    </row>
    <row r="38" spans="1:3" x14ac:dyDescent="0.35">
      <c r="A38" s="178">
        <f t="shared" si="1"/>
        <v>1700000</v>
      </c>
      <c r="B38" s="173">
        <f>((GSEARCH!A38/$B$12)^$D$12)*$C$12*$F$12</f>
        <v>399351.31227471598</v>
      </c>
      <c r="C38" s="179">
        <f t="shared" si="0"/>
        <v>90229435.495349333</v>
      </c>
    </row>
    <row r="39" spans="1:3" x14ac:dyDescent="0.35">
      <c r="A39" s="178">
        <f t="shared" si="1"/>
        <v>1800000</v>
      </c>
      <c r="B39" s="173">
        <f>((GSEARCH!A39/$B$12)^$D$12)*$C$12*$F$12</f>
        <v>415653.6748175681</v>
      </c>
      <c r="C39" s="179">
        <f t="shared" si="0"/>
        <v>93912791.288281336</v>
      </c>
    </row>
    <row r="40" spans="1:3" x14ac:dyDescent="0.35">
      <c r="A40" s="178">
        <f t="shared" si="1"/>
        <v>1900000</v>
      </c>
      <c r="B40" s="173">
        <f>((GSEARCH!A40/$B$12)^$D$12)*$C$12*$F$12</f>
        <v>431686.42471636215</v>
      </c>
      <c r="C40" s="179">
        <f t="shared" si="0"/>
        <v>97535230.80041486</v>
      </c>
    </row>
    <row r="41" spans="1:3" x14ac:dyDescent="0.35">
      <c r="A41" s="178">
        <f t="shared" si="1"/>
        <v>2000000</v>
      </c>
      <c r="B41" s="173">
        <f>((GSEARCH!A41/$B$12)^$D$12)*$C$12*$F$12</f>
        <v>447467.88153503247</v>
      </c>
      <c r="C41" s="179">
        <f t="shared" si="0"/>
        <v>101100893.15402524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C7EC0-4A19-4F37-A884-0130FBC5A991}">
  <sheetPr>
    <tabColor theme="3" tint="0.79998168889431442"/>
    <pageSetUpPr autoPageBreaks="0"/>
  </sheetPr>
  <dimension ref="A1:I41"/>
  <sheetViews>
    <sheetView topLeftCell="A14" workbookViewId="0">
      <selection activeCell="B9" sqref="B9:I9"/>
    </sheetView>
  </sheetViews>
  <sheetFormatPr defaultColWidth="8.81640625" defaultRowHeight="14.5" x14ac:dyDescent="0.35"/>
  <cols>
    <col min="1" max="1" width="16.453125" style="97" bestFit="1" customWidth="1"/>
    <col min="2" max="2" width="18" style="97" customWidth="1"/>
    <col min="3" max="3" width="11.453125" style="97" bestFit="1" customWidth="1"/>
    <col min="4" max="4" width="19.26953125" style="97" customWidth="1"/>
    <col min="5" max="5" width="17.81640625" style="97" customWidth="1"/>
    <col min="6" max="6" width="15.453125" style="97" customWidth="1"/>
    <col min="7" max="7" width="15.81640625" style="97" customWidth="1"/>
    <col min="8" max="8" width="15" style="97" customWidth="1"/>
    <col min="9" max="9" width="14.1796875" style="97" customWidth="1"/>
    <col min="10" max="16384" width="8.81640625" style="97"/>
  </cols>
  <sheetData>
    <row r="1" spans="1:9" ht="15" thickBot="1" x14ac:dyDescent="0.4">
      <c r="A1" s="6" t="s">
        <v>0</v>
      </c>
      <c r="B1" s="98" t="s">
        <v>189</v>
      </c>
      <c r="C1" s="98"/>
      <c r="D1" s="98"/>
      <c r="E1" s="98"/>
      <c r="F1" s="98"/>
      <c r="G1" s="98"/>
      <c r="H1" s="98"/>
      <c r="I1" s="98"/>
    </row>
    <row r="2" spans="1:9" x14ac:dyDescent="0.3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" thickBot="1" x14ac:dyDescent="0.4">
      <c r="A3" s="11" t="s">
        <v>3</v>
      </c>
      <c r="B3" s="12" t="s">
        <v>190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" thickBot="1" x14ac:dyDescent="0.4">
      <c r="A4" s="29" t="s">
        <v>38</v>
      </c>
      <c r="B4" s="520"/>
      <c r="C4" s="521"/>
      <c r="D4" s="521"/>
      <c r="E4" s="521"/>
      <c r="F4" s="522"/>
      <c r="G4" s="98"/>
      <c r="H4" s="98"/>
      <c r="I4" s="98"/>
    </row>
    <row r="5" spans="1:9" x14ac:dyDescent="0.35">
      <c r="A5" s="98"/>
      <c r="B5" s="98"/>
      <c r="C5" s="98"/>
      <c r="D5" s="98"/>
      <c r="E5" s="98"/>
      <c r="F5" s="98"/>
      <c r="G5" s="98"/>
      <c r="H5" s="98"/>
      <c r="I5" s="98"/>
    </row>
    <row r="6" spans="1:9" ht="15" thickBot="1" x14ac:dyDescent="0.4">
      <c r="A6" s="98"/>
      <c r="B6" s="170">
        <v>0.7</v>
      </c>
      <c r="C6" s="170">
        <v>1.2</v>
      </c>
      <c r="D6" s="98"/>
      <c r="E6" s="98"/>
      <c r="F6" s="98"/>
      <c r="G6" s="98"/>
      <c r="H6" s="98"/>
      <c r="I6" s="98"/>
    </row>
    <row r="7" spans="1:9" x14ac:dyDescent="0.35">
      <c r="A7" s="503" t="s">
        <v>8</v>
      </c>
      <c r="B7" s="506" t="s">
        <v>9</v>
      </c>
      <c r="C7" s="506"/>
      <c r="D7" s="506" t="s">
        <v>12</v>
      </c>
      <c r="E7" s="506"/>
      <c r="F7" s="506"/>
      <c r="G7" s="506" t="s">
        <v>124</v>
      </c>
      <c r="H7" s="506"/>
      <c r="I7" s="511"/>
    </row>
    <row r="8" spans="1:9" x14ac:dyDescent="0.35">
      <c r="A8" s="504"/>
      <c r="B8" s="150" t="s">
        <v>10</v>
      </c>
      <c r="C8" s="150" t="s">
        <v>11</v>
      </c>
      <c r="D8" s="150" t="s">
        <v>20</v>
      </c>
      <c r="E8" s="150" t="s">
        <v>21</v>
      </c>
      <c r="F8" s="150" t="s">
        <v>117</v>
      </c>
      <c r="G8" s="150" t="s">
        <v>22</v>
      </c>
      <c r="H8" s="150" t="s">
        <v>23</v>
      </c>
      <c r="I8" s="4" t="s">
        <v>123</v>
      </c>
    </row>
    <row r="9" spans="1:9" ht="15" thickBot="1" x14ac:dyDescent="0.4">
      <c r="A9" s="505"/>
      <c r="B9" s="171">
        <f>VAC_Optim_Scenario!G24</f>
        <v>1400000</v>
      </c>
      <c r="C9" s="171">
        <f>VAC_Optim_Scenario!H24</f>
        <v>3108000</v>
      </c>
      <c r="D9" s="172">
        <f>VAC_Optim_Scenario!I24</f>
        <v>3108000</v>
      </c>
      <c r="E9" s="173">
        <f>((GRADIO!D9/$B$12)^$D$12)*$C$12*$F$12</f>
        <v>112103.79095225371</v>
      </c>
      <c r="F9" s="84">
        <f>E9*F11</f>
        <v>112103.79095225371</v>
      </c>
      <c r="G9" s="76">
        <f>VAC_Optim_Scenario!E24</f>
        <v>2220000</v>
      </c>
      <c r="H9" s="173">
        <f>((GRADIO!G9/$B$12)^$D$12)*$C$12*$F$12</f>
        <v>91610.125423352103</v>
      </c>
      <c r="I9" s="174">
        <f>H9*F11</f>
        <v>91610.125423352103</v>
      </c>
    </row>
    <row r="10" spans="1:9" ht="15" thickBot="1" x14ac:dyDescent="0.4"/>
    <row r="11" spans="1:9" ht="49" customHeight="1" x14ac:dyDescent="0.35">
      <c r="A11" s="500" t="s">
        <v>15</v>
      </c>
      <c r="B11" s="151" t="s">
        <v>16</v>
      </c>
      <c r="C11" s="151" t="s">
        <v>17</v>
      </c>
      <c r="D11" s="151" t="s">
        <v>168</v>
      </c>
      <c r="E11" s="150" t="s">
        <v>126</v>
      </c>
      <c r="F11" s="175">
        <v>1</v>
      </c>
    </row>
    <row r="12" spans="1:9" ht="40.5" customHeight="1" thickBot="1" x14ac:dyDescent="0.4">
      <c r="A12" s="500"/>
      <c r="B12" s="176">
        <f>'[8]Radio - Power'!$B$12</f>
        <v>1437048.41</v>
      </c>
      <c r="C12" s="176">
        <f>'[8]Radio - Power'!$C$12</f>
        <v>70569.092436493243</v>
      </c>
      <c r="D12" s="341">
        <f>'[8]Radio - Power'!$D$12</f>
        <v>0.6</v>
      </c>
      <c r="E12" s="150" t="s">
        <v>122</v>
      </c>
      <c r="F12" s="177">
        <f>VAC_Optim_Scenario!D24</f>
        <v>1</v>
      </c>
    </row>
    <row r="13" spans="1:9" ht="18.75" customHeight="1" x14ac:dyDescent="0.35">
      <c r="A13" s="514" t="s">
        <v>169</v>
      </c>
      <c r="B13" s="515"/>
      <c r="C13" s="515"/>
      <c r="D13" s="515"/>
      <c r="E13" s="150" t="s">
        <v>170</v>
      </c>
      <c r="F13" s="150" t="s">
        <v>171</v>
      </c>
    </row>
    <row r="14" spans="1:9" ht="15" thickBot="1" x14ac:dyDescent="0.4">
      <c r="A14" s="517"/>
      <c r="B14" s="518"/>
      <c r="C14" s="518"/>
      <c r="D14" s="518"/>
      <c r="E14" s="95">
        <f>VAC_Optim_Scenario!G32</f>
        <v>225.94</v>
      </c>
      <c r="F14" s="95">
        <f>VAC_Optim_Scenario!E32</f>
        <v>225.94</v>
      </c>
    </row>
    <row r="15" spans="1:9" ht="15" thickBot="1" x14ac:dyDescent="0.4"/>
    <row r="16" spans="1:9" x14ac:dyDescent="0.35">
      <c r="A16" s="512" t="s">
        <v>34</v>
      </c>
      <c r="B16" s="151" t="s">
        <v>32</v>
      </c>
      <c r="C16" s="151" t="s">
        <v>31</v>
      </c>
      <c r="D16" s="152" t="s">
        <v>33</v>
      </c>
    </row>
    <row r="17" spans="1:4" ht="15" thickBot="1" x14ac:dyDescent="0.4">
      <c r="A17" s="513"/>
      <c r="B17" s="76">
        <v>0</v>
      </c>
      <c r="C17" s="76">
        <v>4000000</v>
      </c>
      <c r="D17" s="26">
        <v>20</v>
      </c>
    </row>
    <row r="18" spans="1:4" x14ac:dyDescent="0.35">
      <c r="A18" s="98"/>
      <c r="B18" s="98"/>
      <c r="C18" s="98"/>
      <c r="D18" s="98"/>
    </row>
    <row r="19" spans="1:4" x14ac:dyDescent="0.35">
      <c r="A19" s="500" t="s">
        <v>37</v>
      </c>
      <c r="B19" s="500"/>
      <c r="C19" s="500"/>
      <c r="D19" s="98"/>
    </row>
    <row r="20" spans="1:4" ht="26" x14ac:dyDescent="0.35">
      <c r="A20" s="150" t="s">
        <v>35</v>
      </c>
      <c r="B20" s="150" t="s">
        <v>175</v>
      </c>
      <c r="C20" s="150" t="s">
        <v>172</v>
      </c>
    </row>
    <row r="21" spans="1:4" x14ac:dyDescent="0.35">
      <c r="A21" s="178">
        <f>B17</f>
        <v>0</v>
      </c>
      <c r="B21" s="173">
        <f>((GRADIO!A21/$B$12)^$D$12)*$C$12*$F$12</f>
        <v>0</v>
      </c>
      <c r="C21" s="179">
        <f>B21*$F$14</f>
        <v>0</v>
      </c>
    </row>
    <row r="22" spans="1:4" x14ac:dyDescent="0.35">
      <c r="A22" s="178">
        <f>A21+(($C$17-$B$17)/$D$17)</f>
        <v>200000</v>
      </c>
      <c r="B22" s="173">
        <f>((GRADIO!A22/$B$12)^$D$12)*$C$12*$F$12</f>
        <v>21614.723805655918</v>
      </c>
      <c r="C22" s="179">
        <f t="shared" ref="C22:C41" si="0">B22*$F$14</f>
        <v>4883630.6966498978</v>
      </c>
    </row>
    <row r="23" spans="1:4" x14ac:dyDescent="0.35">
      <c r="A23" s="178">
        <f t="shared" ref="A23:A41" si="1">A22+(($C$17-$B$17)/$D$17)</f>
        <v>400000</v>
      </c>
      <c r="B23" s="173">
        <f>((GRADIO!A23/$B$12)^$D$12)*$C$12*$F$12</f>
        <v>32761.79495277935</v>
      </c>
      <c r="C23" s="179">
        <f t="shared" si="0"/>
        <v>7402199.9516309658</v>
      </c>
    </row>
    <row r="24" spans="1:4" x14ac:dyDescent="0.35">
      <c r="A24" s="178">
        <f t="shared" si="1"/>
        <v>600000</v>
      </c>
      <c r="B24" s="173">
        <f>((GRADIO!A24/$B$12)^$D$12)*$C$12*$F$12</f>
        <v>41785.195967253159</v>
      </c>
      <c r="C24" s="179">
        <f t="shared" si="0"/>
        <v>9440947.1768411789</v>
      </c>
    </row>
    <row r="25" spans="1:4" x14ac:dyDescent="0.35">
      <c r="A25" s="178">
        <f t="shared" si="1"/>
        <v>800000</v>
      </c>
      <c r="B25" s="173">
        <f>((GRADIO!A25/$B$12)^$D$12)*$C$12*$F$12</f>
        <v>49657.595358544408</v>
      </c>
      <c r="C25" s="179">
        <f t="shared" si="0"/>
        <v>11219637.095309524</v>
      </c>
    </row>
    <row r="26" spans="1:4" x14ac:dyDescent="0.35">
      <c r="A26" s="178">
        <f t="shared" si="1"/>
        <v>1000000</v>
      </c>
      <c r="B26" s="173">
        <f>((GRADIO!A26/$B$12)^$D$12)*$C$12*$F$12</f>
        <v>56771.673060063273</v>
      </c>
      <c r="C26" s="179">
        <f t="shared" si="0"/>
        <v>12826991.811190696</v>
      </c>
    </row>
    <row r="27" spans="1:4" x14ac:dyDescent="0.35">
      <c r="A27" s="178">
        <f t="shared" si="1"/>
        <v>1200000</v>
      </c>
      <c r="B27" s="173">
        <f>((GRADIO!A27/$B$12)^$D$12)*$C$12*$F$12</f>
        <v>63334.513762449089</v>
      </c>
      <c r="C27" s="179">
        <f t="shared" si="0"/>
        <v>14309800.039487747</v>
      </c>
    </row>
    <row r="28" spans="1:4" x14ac:dyDescent="0.35">
      <c r="A28" s="178">
        <f t="shared" si="1"/>
        <v>1400000</v>
      </c>
      <c r="B28" s="173">
        <f>((GRADIO!A28/$B$12)^$D$12)*$C$12*$F$12</f>
        <v>69471.794076517137</v>
      </c>
      <c r="C28" s="179">
        <f t="shared" si="0"/>
        <v>15696457.153648281</v>
      </c>
    </row>
    <row r="29" spans="1:4" x14ac:dyDescent="0.35">
      <c r="A29" s="178">
        <f t="shared" si="1"/>
        <v>1600000</v>
      </c>
      <c r="B29" s="173">
        <f>((GRADIO!A29/$B$12)^$D$12)*$C$12*$F$12</f>
        <v>75266.839938015604</v>
      </c>
      <c r="C29" s="179">
        <f t="shared" si="0"/>
        <v>17005789.815595247</v>
      </c>
    </row>
    <row r="30" spans="1:4" x14ac:dyDescent="0.35">
      <c r="A30" s="178">
        <f t="shared" si="1"/>
        <v>1800000</v>
      </c>
      <c r="B30" s="173">
        <f>((GRADIO!A30/$B$12)^$D$12)*$C$12*$F$12</f>
        <v>80778.390587848902</v>
      </c>
      <c r="C30" s="179">
        <f t="shared" si="0"/>
        <v>18251069.569418579</v>
      </c>
    </row>
    <row r="31" spans="1:4" x14ac:dyDescent="0.35">
      <c r="A31" s="178">
        <f t="shared" si="1"/>
        <v>2000000</v>
      </c>
      <c r="B31" s="173">
        <f>((GRADIO!A31/$B$12)^$D$12)*$C$12*$F$12</f>
        <v>86049.765365649961</v>
      </c>
      <c r="C31" s="179">
        <f t="shared" si="0"/>
        <v>19442083.986714952</v>
      </c>
    </row>
    <row r="32" spans="1:4" x14ac:dyDescent="0.35">
      <c r="A32" s="178">
        <f t="shared" si="1"/>
        <v>2200000</v>
      </c>
      <c r="B32" s="173">
        <f>((GRADIO!A32/$B$12)^$D$12)*$C$12*$F$12</f>
        <v>91114.039550668633</v>
      </c>
      <c r="C32" s="179">
        <f t="shared" si="0"/>
        <v>20586306.096078072</v>
      </c>
    </row>
    <row r="33" spans="1:3" x14ac:dyDescent="0.35">
      <c r="A33" s="178">
        <f t="shared" si="1"/>
        <v>2400000</v>
      </c>
      <c r="B33" s="173">
        <f>((GRADIO!A33/$B$12)^$D$12)*$C$12*$F$12</f>
        <v>95997.171741624887</v>
      </c>
      <c r="C33" s="179">
        <f t="shared" si="0"/>
        <v>21689600.983302727</v>
      </c>
    </row>
    <row r="34" spans="1:3" x14ac:dyDescent="0.35">
      <c r="A34" s="178">
        <f t="shared" si="1"/>
        <v>2600000</v>
      </c>
      <c r="B34" s="173">
        <f>((GRADIO!A34/$B$12)^$D$12)*$C$12*$F$12</f>
        <v>100719.99646242571</v>
      </c>
      <c r="C34" s="179">
        <f t="shared" si="0"/>
        <v>22756676.000720464</v>
      </c>
    </row>
    <row r="35" spans="1:3" x14ac:dyDescent="0.35">
      <c r="A35" s="178">
        <f t="shared" si="1"/>
        <v>2800000</v>
      </c>
      <c r="B35" s="173">
        <f>((GRADIO!A35/$B$12)^$D$12)*$C$12*$F$12</f>
        <v>105299.54918697597</v>
      </c>
      <c r="C35" s="179">
        <f t="shared" si="0"/>
        <v>23791380.14330535</v>
      </c>
    </row>
    <row r="36" spans="1:3" x14ac:dyDescent="0.35">
      <c r="A36" s="178">
        <f t="shared" si="1"/>
        <v>3000000</v>
      </c>
      <c r="B36" s="173">
        <f>((GRADIO!A36/$B$12)^$D$12)*$C$12*$F$12</f>
        <v>109749.97902045058</v>
      </c>
      <c r="C36" s="179">
        <f t="shared" si="0"/>
        <v>24796910.259880606</v>
      </c>
    </row>
    <row r="37" spans="1:3" x14ac:dyDescent="0.35">
      <c r="A37" s="178">
        <f t="shared" si="1"/>
        <v>3200000</v>
      </c>
      <c r="B37" s="173">
        <f>((GRADIO!A37/$B$12)^$D$12)*$C$12*$F$12</f>
        <v>114083.19620293671</v>
      </c>
      <c r="C37" s="179">
        <f t="shared" si="0"/>
        <v>25775957.350091521</v>
      </c>
    </row>
    <row r="38" spans="1:3" x14ac:dyDescent="0.35">
      <c r="A38" s="178">
        <f t="shared" si="1"/>
        <v>3400000</v>
      </c>
      <c r="B38" s="173">
        <f>((GRADIO!A38/$B$12)^$D$12)*$C$12*$F$12</f>
        <v>118309.34318072496</v>
      </c>
      <c r="C38" s="179">
        <f t="shared" si="0"/>
        <v>26730812.998252995</v>
      </c>
    </row>
    <row r="39" spans="1:3" x14ac:dyDescent="0.35">
      <c r="A39" s="178">
        <f t="shared" si="1"/>
        <v>3600000</v>
      </c>
      <c r="B39" s="173">
        <f>((GRADIO!A39/$B$12)^$D$12)*$C$12*$F$12</f>
        <v>122437.14483005021</v>
      </c>
      <c r="C39" s="179">
        <f t="shared" si="0"/>
        <v>27663448.502901543</v>
      </c>
    </row>
    <row r="40" spans="1:3" x14ac:dyDescent="0.35">
      <c r="A40" s="178">
        <f t="shared" si="1"/>
        <v>3800000</v>
      </c>
      <c r="B40" s="173">
        <f>((GRADIO!A40/$B$12)^$D$12)*$C$12*$F$12</f>
        <v>126474.1737994713</v>
      </c>
      <c r="C40" s="179">
        <f t="shared" si="0"/>
        <v>28575574.828252546</v>
      </c>
    </row>
    <row r="41" spans="1:3" x14ac:dyDescent="0.35">
      <c r="A41" s="178">
        <f t="shared" si="1"/>
        <v>4000000</v>
      </c>
      <c r="B41" s="173">
        <f>((GRADIO!A41/$B$12)^$D$12)*$C$12*$F$12</f>
        <v>130427.05490904833</v>
      </c>
      <c r="C41" s="179">
        <f t="shared" si="0"/>
        <v>29468688.786150377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7FBC2-9F0E-4D70-991F-C00603DE2D68}">
  <sheetPr>
    <tabColor theme="3" tint="0.79998168889431442"/>
    <pageSetUpPr autoPageBreaks="0"/>
  </sheetPr>
  <dimension ref="A1:I41"/>
  <sheetViews>
    <sheetView topLeftCell="A32" workbookViewId="0">
      <selection activeCell="D17" sqref="D17"/>
    </sheetView>
  </sheetViews>
  <sheetFormatPr defaultColWidth="8.81640625" defaultRowHeight="14.5" x14ac:dyDescent="0.35"/>
  <cols>
    <col min="1" max="1" width="16.453125" style="97" bestFit="1" customWidth="1"/>
    <col min="2" max="2" width="18" style="97" customWidth="1"/>
    <col min="3" max="3" width="12.453125" style="97" bestFit="1" customWidth="1"/>
    <col min="4" max="4" width="19.26953125" style="97" customWidth="1"/>
    <col min="5" max="5" width="17.81640625" style="97" customWidth="1"/>
    <col min="6" max="6" width="15.453125" style="97" customWidth="1"/>
    <col min="7" max="7" width="15.81640625" style="97" customWidth="1"/>
    <col min="8" max="8" width="15" style="97" customWidth="1"/>
    <col min="9" max="9" width="14.1796875" style="97" customWidth="1"/>
    <col min="10" max="16384" width="8.81640625" style="97"/>
  </cols>
  <sheetData>
    <row r="1" spans="1:9" ht="15" thickBot="1" x14ac:dyDescent="0.4">
      <c r="A1" s="6" t="s">
        <v>0</v>
      </c>
      <c r="B1" s="98" t="s">
        <v>188</v>
      </c>
      <c r="C1" s="98"/>
      <c r="D1" s="98"/>
      <c r="E1" s="98"/>
      <c r="F1" s="98"/>
      <c r="G1" s="98"/>
      <c r="H1" s="98"/>
      <c r="I1" s="98"/>
    </row>
    <row r="2" spans="1:9" x14ac:dyDescent="0.3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" thickBot="1" x14ac:dyDescent="0.4">
      <c r="A3" s="11" t="s">
        <v>3</v>
      </c>
      <c r="B3" s="12" t="s">
        <v>187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" thickBot="1" x14ac:dyDescent="0.4">
      <c r="A4" s="29" t="s">
        <v>38</v>
      </c>
      <c r="B4" s="520"/>
      <c r="C4" s="521"/>
      <c r="D4" s="521"/>
      <c r="E4" s="521"/>
      <c r="F4" s="522"/>
      <c r="G4" s="98"/>
      <c r="H4" s="98"/>
      <c r="I4" s="98"/>
    </row>
    <row r="5" spans="1:9" x14ac:dyDescent="0.35">
      <c r="A5" s="98"/>
      <c r="B5" s="98"/>
      <c r="C5" s="98"/>
      <c r="D5" s="98"/>
      <c r="E5" s="98"/>
      <c r="F5" s="98"/>
      <c r="G5" s="98"/>
      <c r="H5" s="98"/>
      <c r="I5" s="98"/>
    </row>
    <row r="6" spans="1:9" ht="15" thickBot="1" x14ac:dyDescent="0.4">
      <c r="A6" s="98"/>
      <c r="B6" s="170">
        <v>0.7</v>
      </c>
      <c r="C6" s="170">
        <v>1.2</v>
      </c>
      <c r="D6" s="98"/>
      <c r="E6" s="98"/>
      <c r="F6" s="98"/>
      <c r="G6" s="87"/>
      <c r="H6" s="98"/>
      <c r="I6" s="98"/>
    </row>
    <row r="7" spans="1:9" x14ac:dyDescent="0.35">
      <c r="A7" s="503" t="s">
        <v>8</v>
      </c>
      <c r="B7" s="506" t="s">
        <v>9</v>
      </c>
      <c r="C7" s="506"/>
      <c r="D7" s="506" t="s">
        <v>12</v>
      </c>
      <c r="E7" s="506"/>
      <c r="F7" s="506"/>
      <c r="G7" s="506" t="s">
        <v>124</v>
      </c>
      <c r="H7" s="506"/>
      <c r="I7" s="511"/>
    </row>
    <row r="8" spans="1:9" x14ac:dyDescent="0.35">
      <c r="A8" s="504"/>
      <c r="B8" s="150" t="s">
        <v>10</v>
      </c>
      <c r="C8" s="150" t="s">
        <v>11</v>
      </c>
      <c r="D8" s="150" t="s">
        <v>20</v>
      </c>
      <c r="E8" s="150" t="s">
        <v>21</v>
      </c>
      <c r="F8" s="150" t="s">
        <v>117</v>
      </c>
      <c r="G8" s="150" t="s">
        <v>22</v>
      </c>
      <c r="H8" s="150" t="s">
        <v>23</v>
      </c>
      <c r="I8" s="4" t="s">
        <v>123</v>
      </c>
    </row>
    <row r="9" spans="1:9" ht="15" thickBot="1" x14ac:dyDescent="0.4">
      <c r="A9" s="505"/>
      <c r="B9" s="171">
        <f>VAC_Optim_Scenario!G25</f>
        <v>16888801</v>
      </c>
      <c r="C9" s="171">
        <f>VAC_Optim_Scenario!H25</f>
        <v>16888801</v>
      </c>
      <c r="D9" s="172">
        <f>VAC_Optim_Scenario!I25</f>
        <v>16888801</v>
      </c>
      <c r="E9" s="84">
        <f>((GTV!D9/$B$12)^$D$12)*$C$12*$F$12</f>
        <v>296690.17284619244</v>
      </c>
      <c r="F9" s="84">
        <f>E9*F11</f>
        <v>296690.17284619244</v>
      </c>
      <c r="G9" s="76">
        <f>VAC_Optim_Scenario!E25</f>
        <v>16888801</v>
      </c>
      <c r="H9" s="173">
        <f>((GTV!G9/$B$12)^$D$12)*$C$12*$F$12</f>
        <v>296690.17284619244</v>
      </c>
      <c r="I9" s="174">
        <f>H9*F11</f>
        <v>296690.17284619244</v>
      </c>
    </row>
    <row r="10" spans="1:9" ht="15" thickBot="1" x14ac:dyDescent="0.4"/>
    <row r="11" spans="1:9" ht="49" customHeight="1" x14ac:dyDescent="0.35">
      <c r="A11" s="500" t="s">
        <v>15</v>
      </c>
      <c r="B11" s="151" t="s">
        <v>16</v>
      </c>
      <c r="C11" s="151" t="s">
        <v>17</v>
      </c>
      <c r="D11" s="151" t="s">
        <v>168</v>
      </c>
      <c r="E11" s="150" t="s">
        <v>126</v>
      </c>
      <c r="F11" s="175">
        <v>1</v>
      </c>
    </row>
    <row r="12" spans="1:9" ht="40.5" customHeight="1" thickBot="1" x14ac:dyDescent="0.4">
      <c r="A12" s="500"/>
      <c r="B12" s="176">
        <f>'[9]TV - Power'!$B$12</f>
        <v>13503524.99</v>
      </c>
      <c r="C12" s="176">
        <f>'[9]TV - Power'!$C$12</f>
        <v>253686.28893952153</v>
      </c>
      <c r="D12" s="341">
        <f>'[9]TV - Power'!$D$12</f>
        <v>0.7</v>
      </c>
      <c r="E12" s="150" t="s">
        <v>122</v>
      </c>
      <c r="F12" s="177">
        <f>VAC_Optim_Scenario!D25</f>
        <v>1</v>
      </c>
    </row>
    <row r="13" spans="1:9" ht="18.75" customHeight="1" x14ac:dyDescent="0.35">
      <c r="A13" s="514" t="s">
        <v>169</v>
      </c>
      <c r="B13" s="515"/>
      <c r="C13" s="515"/>
      <c r="D13" s="515"/>
      <c r="E13" s="150" t="s">
        <v>170</v>
      </c>
      <c r="F13" s="150" t="s">
        <v>171</v>
      </c>
    </row>
    <row r="14" spans="1:9" ht="15" thickBot="1" x14ac:dyDescent="0.4">
      <c r="A14" s="517"/>
      <c r="B14" s="518"/>
      <c r="C14" s="518"/>
      <c r="D14" s="518"/>
      <c r="E14" s="95">
        <f>VAC_Optim_Scenario!G32</f>
        <v>225.94</v>
      </c>
      <c r="F14" s="95">
        <f>VAC_Optim_Scenario!E32</f>
        <v>225.94</v>
      </c>
    </row>
    <row r="15" spans="1:9" ht="15" thickBot="1" x14ac:dyDescent="0.4"/>
    <row r="16" spans="1:9" x14ac:dyDescent="0.35">
      <c r="A16" s="512" t="s">
        <v>34</v>
      </c>
      <c r="B16" s="151" t="s">
        <v>32</v>
      </c>
      <c r="C16" s="151" t="s">
        <v>31</v>
      </c>
      <c r="D16" s="152" t="s">
        <v>33</v>
      </c>
    </row>
    <row r="17" spans="1:4" ht="15" thickBot="1" x14ac:dyDescent="0.4">
      <c r="A17" s="513"/>
      <c r="B17" s="76">
        <v>0</v>
      </c>
      <c r="C17" s="76">
        <v>25000000</v>
      </c>
      <c r="D17" s="26">
        <v>20</v>
      </c>
    </row>
    <row r="18" spans="1:4" x14ac:dyDescent="0.35">
      <c r="A18" s="98"/>
      <c r="B18" s="98"/>
      <c r="C18" s="98"/>
      <c r="D18" s="98"/>
    </row>
    <row r="19" spans="1:4" x14ac:dyDescent="0.35">
      <c r="A19" s="500" t="s">
        <v>37</v>
      </c>
      <c r="B19" s="500"/>
      <c r="C19" s="500"/>
      <c r="D19" s="98"/>
    </row>
    <row r="20" spans="1:4" ht="26" x14ac:dyDescent="0.35">
      <c r="A20" s="150" t="s">
        <v>35</v>
      </c>
      <c r="B20" s="150" t="s">
        <v>175</v>
      </c>
      <c r="C20" s="150" t="s">
        <v>172</v>
      </c>
    </row>
    <row r="21" spans="1:4" x14ac:dyDescent="0.35">
      <c r="A21" s="178">
        <f>B17</f>
        <v>0</v>
      </c>
      <c r="B21" s="173">
        <f>((GTV!A21/$B$12)^$D$12)*$C$12*$F$12</f>
        <v>0</v>
      </c>
      <c r="C21" s="179">
        <f>B21*$F$14</f>
        <v>0</v>
      </c>
    </row>
    <row r="22" spans="1:4" x14ac:dyDescent="0.35">
      <c r="A22" s="178">
        <f>A21+(($C$17-$B$17)/$D$17)</f>
        <v>1250000</v>
      </c>
      <c r="B22" s="173">
        <f>((GTV!A22/$B$12)^$D$12)*$C$12*$F$12</f>
        <v>47953.575867360239</v>
      </c>
      <c r="C22" s="179">
        <f t="shared" ref="C22:C41" si="0">B22*$F$14</f>
        <v>10834630.931471372</v>
      </c>
    </row>
    <row r="23" spans="1:4" x14ac:dyDescent="0.35">
      <c r="A23" s="178">
        <f t="shared" ref="A23:A41" si="1">A22+(($C$17-$B$17)/$D$17)</f>
        <v>2500000</v>
      </c>
      <c r="B23" s="173">
        <f>((GTV!A23/$B$12)^$D$12)*$C$12*$F$12</f>
        <v>77900.813824227807</v>
      </c>
      <c r="C23" s="179">
        <f t="shared" si="0"/>
        <v>17600909.875446029</v>
      </c>
    </row>
    <row r="24" spans="1:4" x14ac:dyDescent="0.35">
      <c r="A24" s="178">
        <f t="shared" si="1"/>
        <v>3750000</v>
      </c>
      <c r="B24" s="173">
        <f>((GTV!A24/$B$12)^$D$12)*$C$12*$F$12</f>
        <v>103467.95751393421</v>
      </c>
      <c r="C24" s="179">
        <f t="shared" si="0"/>
        <v>23377550.320698295</v>
      </c>
    </row>
    <row r="25" spans="1:4" x14ac:dyDescent="0.35">
      <c r="A25" s="178">
        <f t="shared" si="1"/>
        <v>5000000</v>
      </c>
      <c r="B25" s="173">
        <f>((GTV!A25/$B$12)^$D$12)*$C$12*$F$12</f>
        <v>126550.24541365997</v>
      </c>
      <c r="C25" s="179">
        <f t="shared" si="0"/>
        <v>28592762.448762335</v>
      </c>
    </row>
    <row r="26" spans="1:4" x14ac:dyDescent="0.35">
      <c r="A26" s="178">
        <f t="shared" si="1"/>
        <v>6250000</v>
      </c>
      <c r="B26" s="173">
        <f>((GTV!A26/$B$12)^$D$12)*$C$12*$F$12</f>
        <v>147944.9007433716</v>
      </c>
      <c r="C26" s="179">
        <f t="shared" si="0"/>
        <v>33426670.873957381</v>
      </c>
    </row>
    <row r="27" spans="1:4" x14ac:dyDescent="0.35">
      <c r="A27" s="178">
        <f t="shared" si="1"/>
        <v>7500000</v>
      </c>
      <c r="B27" s="173">
        <f>((GTV!A27/$B$12)^$D$12)*$C$12*$F$12</f>
        <v>168084.19287355643</v>
      </c>
      <c r="C27" s="179">
        <f t="shared" si="0"/>
        <v>37976942.537851341</v>
      </c>
    </row>
    <row r="28" spans="1:4" x14ac:dyDescent="0.35">
      <c r="A28" s="178">
        <f t="shared" si="1"/>
        <v>8750000</v>
      </c>
      <c r="B28" s="173">
        <f>((GTV!A28/$B$12)^$D$12)*$C$12*$F$12</f>
        <v>187236.11694004576</v>
      </c>
      <c r="C28" s="179">
        <f t="shared" si="0"/>
        <v>42304128.261433937</v>
      </c>
    </row>
    <row r="29" spans="1:4" x14ac:dyDescent="0.35">
      <c r="A29" s="178">
        <f t="shared" si="1"/>
        <v>10000000</v>
      </c>
      <c r="B29" s="173">
        <f>((GTV!A29/$B$12)^$D$12)*$C$12*$F$12</f>
        <v>205581.48019343003</v>
      </c>
      <c r="C29" s="179">
        <f t="shared" si="0"/>
        <v>46449079.63490358</v>
      </c>
    </row>
    <row r="30" spans="1:4" x14ac:dyDescent="0.35">
      <c r="A30" s="178">
        <f t="shared" si="1"/>
        <v>11250000</v>
      </c>
      <c r="B30" s="173">
        <f>((GTV!A30/$B$12)^$D$12)*$C$12*$F$12</f>
        <v>223249.63338953216</v>
      </c>
      <c r="C30" s="179">
        <f t="shared" si="0"/>
        <v>50441022.168030895</v>
      </c>
    </row>
    <row r="31" spans="1:4" x14ac:dyDescent="0.35">
      <c r="A31" s="178">
        <f t="shared" si="1"/>
        <v>12500000</v>
      </c>
      <c r="B31" s="173">
        <f>((GTV!A31/$B$12)^$D$12)*$C$12*$F$12</f>
        <v>240337.20031497802</v>
      </c>
      <c r="C31" s="179">
        <f t="shared" si="0"/>
        <v>54301787.03916613</v>
      </c>
    </row>
    <row r="32" spans="1:4" x14ac:dyDescent="0.35">
      <c r="A32" s="178">
        <f t="shared" si="1"/>
        <v>13750000</v>
      </c>
      <c r="B32" s="173">
        <f>((GTV!A32/$B$12)^$D$12)*$C$12*$F$12</f>
        <v>256918.795571375</v>
      </c>
      <c r="C32" s="179">
        <f t="shared" si="0"/>
        <v>58048232.671396464</v>
      </c>
    </row>
    <row r="33" spans="1:3" x14ac:dyDescent="0.35">
      <c r="A33" s="178">
        <f t="shared" si="1"/>
        <v>15000000</v>
      </c>
      <c r="B33" s="173">
        <f>((GTV!A33/$B$12)^$D$12)*$C$12*$F$12</f>
        <v>273053.57690229977</v>
      </c>
      <c r="C33" s="179">
        <f t="shared" si="0"/>
        <v>61693725.165305607</v>
      </c>
    </row>
    <row r="34" spans="1:3" x14ac:dyDescent="0.35">
      <c r="A34" s="178">
        <f t="shared" si="1"/>
        <v>16250000</v>
      </c>
      <c r="B34" s="173">
        <f>((GTV!A34/$B$12)^$D$12)*$C$12*$F$12</f>
        <v>288789.46380711853</v>
      </c>
      <c r="C34" s="179">
        <f t="shared" si="0"/>
        <v>65249091.452580363</v>
      </c>
    </row>
    <row r="35" spans="1:3" x14ac:dyDescent="0.35">
      <c r="A35" s="178">
        <f t="shared" si="1"/>
        <v>17500000</v>
      </c>
      <c r="B35" s="173">
        <f>((GTV!A35/$B$12)^$D$12)*$C$12*$F$12</f>
        <v>304165.969337977</v>
      </c>
      <c r="C35" s="179">
        <f t="shared" si="0"/>
        <v>68723259.112222522</v>
      </c>
    </row>
    <row r="36" spans="1:3" x14ac:dyDescent="0.35">
      <c r="A36" s="178">
        <f t="shared" si="1"/>
        <v>18750000</v>
      </c>
      <c r="B36" s="173">
        <f>((GTV!A36/$B$12)^$D$12)*$C$12*$F$12</f>
        <v>319216.16746286326</v>
      </c>
      <c r="C36" s="179">
        <f t="shared" si="0"/>
        <v>72123700.876559317</v>
      </c>
    </row>
    <row r="37" spans="1:3" x14ac:dyDescent="0.35">
      <c r="A37" s="178">
        <f t="shared" si="1"/>
        <v>20000000</v>
      </c>
      <c r="B37" s="173">
        <f>((GTV!A37/$B$12)^$D$12)*$C$12*$F$12</f>
        <v>333968.099867151</v>
      </c>
      <c r="C37" s="179">
        <f t="shared" si="0"/>
        <v>75456752.483984098</v>
      </c>
    </row>
    <row r="38" spans="1:3" x14ac:dyDescent="0.35">
      <c r="A38" s="178">
        <f t="shared" si="1"/>
        <v>21250000</v>
      </c>
      <c r="B38" s="173">
        <f>((GTV!A38/$B$12)^$D$12)*$C$12*$F$12</f>
        <v>348445.80692517635</v>
      </c>
      <c r="C38" s="179">
        <f t="shared" si="0"/>
        <v>78727845.616674349</v>
      </c>
    </row>
    <row r="39" spans="1:3" x14ac:dyDescent="0.35">
      <c r="A39" s="178">
        <f t="shared" si="1"/>
        <v>22500000</v>
      </c>
      <c r="B39" s="173">
        <f>((GTV!A39/$B$12)^$D$12)*$C$12*$F$12</f>
        <v>362670.09941259713</v>
      </c>
      <c r="C39" s="179">
        <f t="shared" si="0"/>
        <v>81941682.261282191</v>
      </c>
    </row>
    <row r="40" spans="1:3" x14ac:dyDescent="0.35">
      <c r="A40" s="178">
        <f t="shared" si="1"/>
        <v>23750000</v>
      </c>
      <c r="B40" s="173">
        <f>((GTV!A40/$B$12)^$D$12)*$C$12*$F$12</f>
        <v>376659.1469103847</v>
      </c>
      <c r="C40" s="179">
        <f t="shared" si="0"/>
        <v>85102367.652932316</v>
      </c>
    </row>
    <row r="41" spans="1:3" x14ac:dyDescent="0.35">
      <c r="A41" s="178">
        <f t="shared" si="1"/>
        <v>25000000</v>
      </c>
      <c r="B41" s="173">
        <f>((GTV!A41/$B$12)^$D$12)*$C$12*$F$12</f>
        <v>390428.93377877894</v>
      </c>
      <c r="C41" s="179">
        <f t="shared" si="0"/>
        <v>88213513.297977313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theme="3" tint="0.79998168889431442"/>
  </sheetPr>
  <dimension ref="A1:R42"/>
  <sheetViews>
    <sheetView workbookViewId="0">
      <selection activeCell="B12" sqref="B12"/>
    </sheetView>
  </sheetViews>
  <sheetFormatPr defaultColWidth="8.81640625" defaultRowHeight="13" x14ac:dyDescent="0.3"/>
  <cols>
    <col min="1" max="1" width="12.1796875" style="98" customWidth="1"/>
    <col min="2" max="2" width="13.453125" style="98" customWidth="1"/>
    <col min="3" max="3" width="12.453125" style="98" customWidth="1"/>
    <col min="4" max="4" width="13.7265625" style="98" customWidth="1"/>
    <col min="5" max="5" width="14.7265625" style="98" customWidth="1"/>
    <col min="6" max="6" width="12.453125" style="98" customWidth="1"/>
    <col min="7" max="7" width="12" style="98" customWidth="1"/>
    <col min="8" max="10" width="10.26953125" style="98" customWidth="1"/>
    <col min="11" max="11" width="14.26953125" style="98" bestFit="1" customWidth="1"/>
    <col min="12" max="13" width="12" style="98" bestFit="1" customWidth="1"/>
    <col min="14" max="14" width="12.7265625" style="98" customWidth="1"/>
    <col min="15" max="15" width="9.7265625" style="98" bestFit="1" customWidth="1"/>
    <col min="16" max="16" width="8.81640625" style="98"/>
    <col min="17" max="18" width="10.26953125" style="98" customWidth="1"/>
    <col min="19" max="16384" width="8.81640625" style="98"/>
  </cols>
  <sheetData>
    <row r="1" spans="1:18" ht="13.5" thickBot="1" x14ac:dyDescent="0.35">
      <c r="A1" s="6" t="s">
        <v>0</v>
      </c>
      <c r="B1" s="98" t="s">
        <v>1</v>
      </c>
    </row>
    <row r="2" spans="1:18" x14ac:dyDescent="0.3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120" t="s">
        <v>102</v>
      </c>
      <c r="I2" s="121"/>
      <c r="J2" s="121"/>
      <c r="K2" s="121"/>
      <c r="L2" s="122"/>
    </row>
    <row r="3" spans="1:18" ht="13.5" thickBot="1" x14ac:dyDescent="0.35">
      <c r="A3" s="11" t="s">
        <v>3</v>
      </c>
      <c r="B3" s="12" t="s">
        <v>161</v>
      </c>
      <c r="C3" s="13" t="s">
        <v>5</v>
      </c>
      <c r="D3" s="12" t="s">
        <v>174</v>
      </c>
      <c r="E3" s="13" t="s">
        <v>104</v>
      </c>
      <c r="F3" s="14" t="s">
        <v>166</v>
      </c>
    </row>
    <row r="4" spans="1:18" ht="15" customHeight="1" thickBot="1" x14ac:dyDescent="0.35">
      <c r="A4" s="80" t="s">
        <v>38</v>
      </c>
      <c r="B4" s="501" t="s">
        <v>106</v>
      </c>
      <c r="C4" s="501"/>
      <c r="D4" s="501"/>
      <c r="E4" s="501"/>
      <c r="F4" s="502"/>
      <c r="H4" s="98" t="s">
        <v>107</v>
      </c>
    </row>
    <row r="5" spans="1:18" x14ac:dyDescent="0.3">
      <c r="H5" s="98" t="s">
        <v>108</v>
      </c>
    </row>
    <row r="6" spans="1:18" ht="13.5" thickBot="1" x14ac:dyDescent="0.35">
      <c r="B6" s="94">
        <f>VAC_Optim_Scenario!$G$14</f>
        <v>0</v>
      </c>
      <c r="C6" s="94">
        <f>VAC_Optim_Scenario!$H$14</f>
        <v>0</v>
      </c>
    </row>
    <row r="7" spans="1:18" ht="27.75" customHeight="1" x14ac:dyDescent="0.3">
      <c r="A7" s="503" t="s">
        <v>8</v>
      </c>
      <c r="B7" s="506" t="s">
        <v>9</v>
      </c>
      <c r="C7" s="507"/>
      <c r="D7" s="508" t="s">
        <v>12</v>
      </c>
      <c r="E7" s="509"/>
      <c r="F7" s="510"/>
      <c r="G7" s="506" t="s">
        <v>124</v>
      </c>
      <c r="H7" s="506"/>
      <c r="I7" s="511"/>
      <c r="J7" s="98" t="s">
        <v>125</v>
      </c>
    </row>
    <row r="8" spans="1:18" ht="28.15" customHeight="1" x14ac:dyDescent="0.3">
      <c r="A8" s="504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35">
      <c r="A9" s="505"/>
      <c r="B9" s="95" t="e">
        <f>VAC_Optim_Scenario!#REF!</f>
        <v>#REF!</v>
      </c>
      <c r="C9" s="95" t="e">
        <f>VAC_Optim_Scenario!#REF!</f>
        <v>#REF!</v>
      </c>
      <c r="D9" s="68" t="e">
        <f>VAC_Optim_Scenario!#REF!</f>
        <v>#REF!</v>
      </c>
      <c r="E9" s="84" t="e">
        <f>((($R$12/(1+EXP($P$12+$Q$12*D9)))-1) - ($F$12-$C$12))*$I$12</f>
        <v>#REF!</v>
      </c>
      <c r="F9" s="89" t="e">
        <f>E9*$G$12</f>
        <v>#REF!</v>
      </c>
      <c r="G9" s="95" t="e">
        <f>VAC_Optim_Scenario!#REF!</f>
        <v>#REF!</v>
      </c>
      <c r="H9" s="85" t="e">
        <f>((($R$12/(1+EXP($P$12+$Q$12*G9)))-1) - ($F$12-$C$12))*$I$12</f>
        <v>#REF!</v>
      </c>
      <c r="I9" s="90" t="e">
        <f>H9*$G$12</f>
        <v>#REF!</v>
      </c>
      <c r="J9" s="87" t="e">
        <f>G9/I9</f>
        <v>#REF!</v>
      </c>
      <c r="K9" s="98" t="s">
        <v>196</v>
      </c>
    </row>
    <row r="10" spans="1:18" ht="13.5" thickBot="1" x14ac:dyDescent="0.35"/>
    <row r="11" spans="1:18" ht="51.65" customHeight="1" x14ac:dyDescent="0.3">
      <c r="A11" s="503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118</v>
      </c>
      <c r="H11" s="123" t="s">
        <v>119</v>
      </c>
      <c r="I11" s="92" t="s">
        <v>122</v>
      </c>
      <c r="K11" s="512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35">
      <c r="A12" s="505"/>
      <c r="B12" s="95">
        <v>3269319</v>
      </c>
      <c r="C12" s="95">
        <v>54924.559200000003</v>
      </c>
      <c r="D12" s="95">
        <v>0</v>
      </c>
      <c r="E12" s="95">
        <v>178010.42170690201</v>
      </c>
      <c r="F12" s="95">
        <v>11867361.4471268</v>
      </c>
      <c r="G12" s="91">
        <f>VAC_Optim_Scenario!$D$32</f>
        <v>1</v>
      </c>
      <c r="H12" s="71">
        <f>C12*G12</f>
        <v>54924.559200000003</v>
      </c>
      <c r="I12" s="115" t="e">
        <f>VAC_Optim_Scenario!#REF!</f>
        <v>#REF!</v>
      </c>
      <c r="K12" s="513"/>
      <c r="L12" s="71">
        <f>F12-C12</f>
        <v>11812436.8879268</v>
      </c>
      <c r="M12" s="71">
        <f>L12+E12</f>
        <v>11990447.309633702</v>
      </c>
      <c r="N12" s="72">
        <f>B12</f>
        <v>3269319</v>
      </c>
      <c r="O12" s="71">
        <f>F12</f>
        <v>11867361.4471268</v>
      </c>
      <c r="P12" s="24">
        <f>LN((($M$12+1)/($L$12+1))-1)</f>
        <v>-4.1950662161299004</v>
      </c>
      <c r="Q12" s="73">
        <f>(LN((($M$12+1)/($O$12+1))-1)-$P$12)/$N$12</f>
        <v>-1.1427421506155515E-7</v>
      </c>
      <c r="R12" s="74">
        <f>M12+1</f>
        <v>11990448.309633702</v>
      </c>
    </row>
    <row r="13" spans="1:18" ht="34.15" customHeight="1" x14ac:dyDescent="0.3">
      <c r="A13" s="514" t="s">
        <v>114</v>
      </c>
      <c r="B13" s="515"/>
      <c r="C13" s="515"/>
      <c r="D13" s="515"/>
      <c r="E13" s="515"/>
      <c r="F13" s="516"/>
      <c r="G13" s="119" t="s">
        <v>150</v>
      </c>
      <c r="H13" s="119" t="s">
        <v>151</v>
      </c>
      <c r="K13" s="514" t="s">
        <v>115</v>
      </c>
      <c r="L13" s="515"/>
      <c r="M13" s="515"/>
      <c r="N13" s="515"/>
      <c r="O13" s="515"/>
      <c r="P13" s="515"/>
      <c r="Q13" s="515"/>
      <c r="R13" s="516"/>
    </row>
    <row r="14" spans="1:18" ht="33.65" customHeight="1" thickBot="1" x14ac:dyDescent="0.35">
      <c r="A14" s="517"/>
      <c r="B14" s="518"/>
      <c r="C14" s="518"/>
      <c r="D14" s="518"/>
      <c r="E14" s="518"/>
      <c r="F14" s="519"/>
      <c r="G14" s="95">
        <f>VAC_Optim_Scenario!I32</f>
        <v>225.94</v>
      </c>
      <c r="H14" s="95">
        <f>VAC_Optim_Scenario!G32</f>
        <v>225.94</v>
      </c>
      <c r="K14" s="517"/>
      <c r="L14" s="518"/>
      <c r="M14" s="518"/>
      <c r="N14" s="518"/>
      <c r="O14" s="518"/>
      <c r="P14" s="518"/>
      <c r="Q14" s="518"/>
      <c r="R14" s="519"/>
    </row>
    <row r="16" spans="1:18" ht="13.5" thickBot="1" x14ac:dyDescent="0.35"/>
    <row r="17" spans="1:8" ht="42.65" customHeight="1" x14ac:dyDescent="0.3">
      <c r="A17" s="512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35">
      <c r="A18" s="513"/>
      <c r="B18" s="75">
        <v>0</v>
      </c>
      <c r="C18" s="76">
        <v>4000000</v>
      </c>
      <c r="D18" s="26">
        <v>20</v>
      </c>
    </row>
    <row r="20" spans="1:8" x14ac:dyDescent="0.3">
      <c r="A20" s="500" t="s">
        <v>37</v>
      </c>
      <c r="B20" s="500"/>
      <c r="C20" s="500"/>
    </row>
    <row r="21" spans="1:8" x14ac:dyDescent="0.3">
      <c r="A21" s="119" t="s">
        <v>35</v>
      </c>
      <c r="B21" s="119" t="s">
        <v>120</v>
      </c>
      <c r="C21" s="119" t="s">
        <v>197</v>
      </c>
      <c r="D21" s="98" t="s">
        <v>121</v>
      </c>
      <c r="E21" s="119" t="s">
        <v>152</v>
      </c>
    </row>
    <row r="22" spans="1:8" x14ac:dyDescent="0.3">
      <c r="A22" s="86">
        <f>B18</f>
        <v>0</v>
      </c>
      <c r="B22" s="79" t="e">
        <f t="shared" ref="B22:B42" si="0">((($R$12/(1+EXP($P$12+$Q$12*A22)))-1) - ($F$12-$C$12))*$I$12</f>
        <v>#REF!</v>
      </c>
      <c r="C22" s="79" t="e">
        <f>B22*$G$12</f>
        <v>#REF!</v>
      </c>
      <c r="E22" s="116" t="e">
        <f>B22*$H$14</f>
        <v>#REF!</v>
      </c>
    </row>
    <row r="23" spans="1:8" x14ac:dyDescent="0.3">
      <c r="A23" s="86">
        <f>A22+(($C$18-$B$18)/$D$18)</f>
        <v>200000</v>
      </c>
      <c r="B23" s="79" t="e">
        <f t="shared" si="0"/>
        <v>#REF!</v>
      </c>
      <c r="C23" s="79" t="e">
        <f t="shared" ref="C23:C42" si="1">B23*$G$12</f>
        <v>#REF!</v>
      </c>
      <c r="D23" s="98" t="e">
        <f>(B23-B22)/A23</f>
        <v>#REF!</v>
      </c>
      <c r="E23" s="116" t="e">
        <f t="shared" ref="E23:E42" si="2">B23*$H$14</f>
        <v>#REF!</v>
      </c>
    </row>
    <row r="24" spans="1:8" x14ac:dyDescent="0.3">
      <c r="A24" s="86">
        <f t="shared" ref="A24:A42" si="3">A23+(($C$18-$B$18)/$D$18)</f>
        <v>400000</v>
      </c>
      <c r="B24" s="79" t="e">
        <f t="shared" si="0"/>
        <v>#REF!</v>
      </c>
      <c r="C24" s="79" t="e">
        <f t="shared" si="1"/>
        <v>#REF!</v>
      </c>
      <c r="D24" s="98" t="e">
        <f t="shared" ref="D24:D42" si="4">(B24-B23)/A24</f>
        <v>#REF!</v>
      </c>
      <c r="E24" s="116" t="e">
        <f t="shared" si="2"/>
        <v>#REF!</v>
      </c>
    </row>
    <row r="25" spans="1:8" x14ac:dyDescent="0.3">
      <c r="A25" s="86">
        <f t="shared" si="3"/>
        <v>600000</v>
      </c>
      <c r="B25" s="79" t="e">
        <f t="shared" si="0"/>
        <v>#REF!</v>
      </c>
      <c r="C25" s="79" t="e">
        <f t="shared" si="1"/>
        <v>#REF!</v>
      </c>
      <c r="D25" s="98" t="e">
        <f t="shared" si="4"/>
        <v>#REF!</v>
      </c>
      <c r="E25" s="116" t="e">
        <f t="shared" si="2"/>
        <v>#REF!</v>
      </c>
    </row>
    <row r="26" spans="1:8" x14ac:dyDescent="0.3">
      <c r="A26" s="86">
        <f t="shared" si="3"/>
        <v>800000</v>
      </c>
      <c r="B26" s="79" t="e">
        <f t="shared" si="0"/>
        <v>#REF!</v>
      </c>
      <c r="C26" s="79" t="e">
        <f t="shared" si="1"/>
        <v>#REF!</v>
      </c>
      <c r="D26" s="98" t="e">
        <f t="shared" si="4"/>
        <v>#REF!</v>
      </c>
      <c r="E26" s="116" t="e">
        <f t="shared" si="2"/>
        <v>#REF!</v>
      </c>
    </row>
    <row r="27" spans="1:8" x14ac:dyDescent="0.3">
      <c r="A27" s="86">
        <f t="shared" si="3"/>
        <v>1000000</v>
      </c>
      <c r="B27" s="79" t="e">
        <f t="shared" si="0"/>
        <v>#REF!</v>
      </c>
      <c r="C27" s="79" t="e">
        <f t="shared" si="1"/>
        <v>#REF!</v>
      </c>
      <c r="D27" s="98" t="e">
        <f t="shared" si="4"/>
        <v>#REF!</v>
      </c>
      <c r="E27" s="116" t="e">
        <f t="shared" si="2"/>
        <v>#REF!</v>
      </c>
    </row>
    <row r="28" spans="1:8" x14ac:dyDescent="0.3">
      <c r="A28" s="86">
        <f t="shared" si="3"/>
        <v>1200000</v>
      </c>
      <c r="B28" s="79" t="e">
        <f t="shared" si="0"/>
        <v>#REF!</v>
      </c>
      <c r="C28" s="79" t="e">
        <f t="shared" si="1"/>
        <v>#REF!</v>
      </c>
      <c r="D28" s="98" t="e">
        <f t="shared" si="4"/>
        <v>#REF!</v>
      </c>
      <c r="E28" s="116" t="e">
        <f t="shared" si="2"/>
        <v>#REF!</v>
      </c>
    </row>
    <row r="29" spans="1:8" x14ac:dyDescent="0.3">
      <c r="A29" s="86">
        <f t="shared" si="3"/>
        <v>1400000</v>
      </c>
      <c r="B29" s="79" t="e">
        <f t="shared" si="0"/>
        <v>#REF!</v>
      </c>
      <c r="C29" s="79" t="e">
        <f t="shared" si="1"/>
        <v>#REF!</v>
      </c>
      <c r="D29" s="98" t="e">
        <f t="shared" si="4"/>
        <v>#REF!</v>
      </c>
      <c r="E29" s="116" t="e">
        <f t="shared" si="2"/>
        <v>#REF!</v>
      </c>
    </row>
    <row r="30" spans="1:8" x14ac:dyDescent="0.3">
      <c r="A30" s="86">
        <f t="shared" si="3"/>
        <v>1600000</v>
      </c>
      <c r="B30" s="79" t="e">
        <f t="shared" si="0"/>
        <v>#REF!</v>
      </c>
      <c r="C30" s="79" t="e">
        <f t="shared" si="1"/>
        <v>#REF!</v>
      </c>
      <c r="D30" s="98" t="e">
        <f t="shared" si="4"/>
        <v>#REF!</v>
      </c>
      <c r="E30" s="116" t="e">
        <f t="shared" si="2"/>
        <v>#REF!</v>
      </c>
    </row>
    <row r="31" spans="1:8" x14ac:dyDescent="0.3">
      <c r="A31" s="86">
        <f t="shared" si="3"/>
        <v>1800000</v>
      </c>
      <c r="B31" s="79" t="e">
        <f t="shared" si="0"/>
        <v>#REF!</v>
      </c>
      <c r="C31" s="79" t="e">
        <f t="shared" si="1"/>
        <v>#REF!</v>
      </c>
      <c r="D31" s="98" t="e">
        <f t="shared" si="4"/>
        <v>#REF!</v>
      </c>
      <c r="E31" s="116" t="e">
        <f t="shared" si="2"/>
        <v>#REF!</v>
      </c>
    </row>
    <row r="32" spans="1:8" x14ac:dyDescent="0.3">
      <c r="A32" s="86">
        <f t="shared" si="3"/>
        <v>2000000</v>
      </c>
      <c r="B32" s="79" t="e">
        <f t="shared" si="0"/>
        <v>#REF!</v>
      </c>
      <c r="C32" s="79" t="e">
        <f t="shared" si="1"/>
        <v>#REF!</v>
      </c>
      <c r="D32" s="98" t="e">
        <f t="shared" si="4"/>
        <v>#REF!</v>
      </c>
      <c r="E32" s="116" t="e">
        <f t="shared" si="2"/>
        <v>#REF!</v>
      </c>
    </row>
    <row r="33" spans="1:5" x14ac:dyDescent="0.3">
      <c r="A33" s="86">
        <f t="shared" si="3"/>
        <v>2200000</v>
      </c>
      <c r="B33" s="79" t="e">
        <f t="shared" si="0"/>
        <v>#REF!</v>
      </c>
      <c r="C33" s="79" t="e">
        <f t="shared" si="1"/>
        <v>#REF!</v>
      </c>
      <c r="D33" s="98" t="e">
        <f t="shared" si="4"/>
        <v>#REF!</v>
      </c>
      <c r="E33" s="116" t="e">
        <f t="shared" si="2"/>
        <v>#REF!</v>
      </c>
    </row>
    <row r="34" spans="1:5" x14ac:dyDescent="0.3">
      <c r="A34" s="86">
        <f>A33+(($C$18-$B$18)/$D$18)</f>
        <v>2400000</v>
      </c>
      <c r="B34" s="79" t="e">
        <f t="shared" si="0"/>
        <v>#REF!</v>
      </c>
      <c r="C34" s="79" t="e">
        <f t="shared" si="1"/>
        <v>#REF!</v>
      </c>
      <c r="D34" s="98" t="e">
        <f t="shared" si="4"/>
        <v>#REF!</v>
      </c>
      <c r="E34" s="116" t="e">
        <f t="shared" si="2"/>
        <v>#REF!</v>
      </c>
    </row>
    <row r="35" spans="1:5" x14ac:dyDescent="0.3">
      <c r="A35" s="86">
        <f t="shared" si="3"/>
        <v>2600000</v>
      </c>
      <c r="B35" s="79" t="e">
        <f t="shared" si="0"/>
        <v>#REF!</v>
      </c>
      <c r="C35" s="79" t="e">
        <f t="shared" si="1"/>
        <v>#REF!</v>
      </c>
      <c r="D35" s="98" t="e">
        <f t="shared" si="4"/>
        <v>#REF!</v>
      </c>
      <c r="E35" s="116" t="e">
        <f t="shared" si="2"/>
        <v>#REF!</v>
      </c>
    </row>
    <row r="36" spans="1:5" x14ac:dyDescent="0.3">
      <c r="A36" s="86">
        <f t="shared" si="3"/>
        <v>2800000</v>
      </c>
      <c r="B36" s="79" t="e">
        <f t="shared" si="0"/>
        <v>#REF!</v>
      </c>
      <c r="C36" s="79" t="e">
        <f t="shared" si="1"/>
        <v>#REF!</v>
      </c>
      <c r="D36" s="98" t="e">
        <f t="shared" si="4"/>
        <v>#REF!</v>
      </c>
      <c r="E36" s="116" t="e">
        <f t="shared" si="2"/>
        <v>#REF!</v>
      </c>
    </row>
    <row r="37" spans="1:5" x14ac:dyDescent="0.3">
      <c r="A37" s="86">
        <f t="shared" si="3"/>
        <v>3000000</v>
      </c>
      <c r="B37" s="79" t="e">
        <f t="shared" si="0"/>
        <v>#REF!</v>
      </c>
      <c r="C37" s="79" t="e">
        <f t="shared" si="1"/>
        <v>#REF!</v>
      </c>
      <c r="D37" s="98" t="e">
        <f t="shared" si="4"/>
        <v>#REF!</v>
      </c>
      <c r="E37" s="116" t="e">
        <f t="shared" si="2"/>
        <v>#REF!</v>
      </c>
    </row>
    <row r="38" spans="1:5" x14ac:dyDescent="0.3">
      <c r="A38" s="86">
        <f t="shared" si="3"/>
        <v>3200000</v>
      </c>
      <c r="B38" s="79" t="e">
        <f t="shared" si="0"/>
        <v>#REF!</v>
      </c>
      <c r="C38" s="79" t="e">
        <f t="shared" si="1"/>
        <v>#REF!</v>
      </c>
      <c r="D38" s="98" t="e">
        <f t="shared" si="4"/>
        <v>#REF!</v>
      </c>
      <c r="E38" s="116" t="e">
        <f t="shared" si="2"/>
        <v>#REF!</v>
      </c>
    </row>
    <row r="39" spans="1:5" x14ac:dyDescent="0.3">
      <c r="A39" s="86">
        <f t="shared" si="3"/>
        <v>3400000</v>
      </c>
      <c r="B39" s="79" t="e">
        <f t="shared" si="0"/>
        <v>#REF!</v>
      </c>
      <c r="C39" s="79" t="e">
        <f t="shared" si="1"/>
        <v>#REF!</v>
      </c>
      <c r="D39" s="98" t="e">
        <f t="shared" si="4"/>
        <v>#REF!</v>
      </c>
      <c r="E39" s="116" t="e">
        <f t="shared" si="2"/>
        <v>#REF!</v>
      </c>
    </row>
    <row r="40" spans="1:5" x14ac:dyDescent="0.3">
      <c r="A40" s="86">
        <f t="shared" si="3"/>
        <v>3600000</v>
      </c>
      <c r="B40" s="79" t="e">
        <f t="shared" si="0"/>
        <v>#REF!</v>
      </c>
      <c r="C40" s="79" t="e">
        <f t="shared" si="1"/>
        <v>#REF!</v>
      </c>
      <c r="D40" s="98" t="e">
        <f t="shared" si="4"/>
        <v>#REF!</v>
      </c>
      <c r="E40" s="116" t="e">
        <f t="shared" si="2"/>
        <v>#REF!</v>
      </c>
    </row>
    <row r="41" spans="1:5" x14ac:dyDescent="0.3">
      <c r="A41" s="86">
        <f>A40+(($C$18-$B$18)/$D$18)</f>
        <v>3800000</v>
      </c>
      <c r="B41" s="79" t="e">
        <f t="shared" si="0"/>
        <v>#REF!</v>
      </c>
      <c r="C41" s="79" t="e">
        <f t="shared" si="1"/>
        <v>#REF!</v>
      </c>
      <c r="D41" s="98" t="e">
        <f t="shared" si="4"/>
        <v>#REF!</v>
      </c>
      <c r="E41" s="116" t="e">
        <f t="shared" si="2"/>
        <v>#REF!</v>
      </c>
    </row>
    <row r="42" spans="1:5" x14ac:dyDescent="0.3">
      <c r="A42" s="86">
        <f t="shared" si="3"/>
        <v>4000000</v>
      </c>
      <c r="B42" s="79" t="e">
        <f t="shared" si="0"/>
        <v>#REF!</v>
      </c>
      <c r="C42" s="79" t="e">
        <f t="shared" si="1"/>
        <v>#REF!</v>
      </c>
      <c r="D42" s="98" t="e">
        <f t="shared" si="4"/>
        <v>#REF!</v>
      </c>
      <c r="E42" s="116" t="e">
        <f t="shared" si="2"/>
        <v>#REF!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">
    <tabColor theme="1" tint="4.9989318521683403E-2"/>
  </sheetPr>
  <dimension ref="A1"/>
  <sheetViews>
    <sheetView workbookViewId="0"/>
  </sheetViews>
  <sheetFormatPr defaultRowHeight="14.5" x14ac:dyDescent="0.3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">
    <tabColor theme="1" tint="4.9989318521683403E-2"/>
  </sheetPr>
  <dimension ref="A1:L42"/>
  <sheetViews>
    <sheetView topLeftCell="B1" workbookViewId="0">
      <selection activeCell="G5" sqref="G5"/>
    </sheetView>
  </sheetViews>
  <sheetFormatPr defaultColWidth="8.81640625" defaultRowHeight="13" x14ac:dyDescent="0.3"/>
  <cols>
    <col min="1" max="1" width="12.1796875" style="1" customWidth="1"/>
    <col min="2" max="2" width="10.453125" style="1" customWidth="1"/>
    <col min="3" max="3" width="11" style="1" customWidth="1"/>
    <col min="4" max="4" width="12.1796875" style="1" customWidth="1"/>
    <col min="5" max="5" width="12.453125" style="1" customWidth="1"/>
    <col min="6" max="6" width="11.1796875" style="1" customWidth="1"/>
    <col min="7" max="7" width="12" style="1" customWidth="1"/>
    <col min="8" max="10" width="10.26953125" style="1" customWidth="1"/>
    <col min="11" max="16384" width="8.81640625" style="1"/>
  </cols>
  <sheetData>
    <row r="1" spans="1:12" ht="13.5" thickBot="1" x14ac:dyDescent="0.35">
      <c r="A1" s="6" t="s">
        <v>0</v>
      </c>
      <c r="B1" s="1" t="s">
        <v>1</v>
      </c>
    </row>
    <row r="2" spans="1:12" x14ac:dyDescent="0.3">
      <c r="A2" s="7" t="s">
        <v>2</v>
      </c>
      <c r="B2" s="8" t="s">
        <v>13</v>
      </c>
      <c r="C2" s="9" t="s">
        <v>4</v>
      </c>
      <c r="D2" s="10" t="s">
        <v>6</v>
      </c>
      <c r="F2" s="485" t="s">
        <v>100</v>
      </c>
      <c r="G2" s="486"/>
      <c r="H2" s="486"/>
      <c r="I2" s="486"/>
      <c r="J2" s="486"/>
      <c r="K2" s="486"/>
      <c r="L2" s="487"/>
    </row>
    <row r="3" spans="1:12" ht="13.5" thickBot="1" x14ac:dyDescent="0.35">
      <c r="A3" s="11" t="s">
        <v>3</v>
      </c>
      <c r="B3" s="12" t="s">
        <v>14</v>
      </c>
      <c r="C3" s="13" t="s">
        <v>5</v>
      </c>
      <c r="D3" s="14" t="s">
        <v>7</v>
      </c>
      <c r="F3" s="488" t="s">
        <v>72</v>
      </c>
      <c r="G3" s="489"/>
      <c r="H3" s="489"/>
      <c r="I3" s="489"/>
      <c r="J3" s="489"/>
      <c r="K3" s="489"/>
      <c r="L3" s="490"/>
    </row>
    <row r="4" spans="1:12" ht="13.5" thickBot="1" x14ac:dyDescent="0.35">
      <c r="A4" s="29" t="s">
        <v>38</v>
      </c>
      <c r="B4" s="523" t="s">
        <v>39</v>
      </c>
      <c r="C4" s="523"/>
      <c r="D4" s="524"/>
    </row>
    <row r="6" spans="1:12" ht="13.5" thickBot="1" x14ac:dyDescent="0.35"/>
    <row r="7" spans="1:12" ht="27.75" customHeight="1" x14ac:dyDescent="0.3">
      <c r="A7" s="503" t="s">
        <v>8</v>
      </c>
      <c r="B7" s="506" t="s">
        <v>9</v>
      </c>
      <c r="C7" s="507"/>
      <c r="D7" s="508" t="s">
        <v>12</v>
      </c>
      <c r="E7" s="510"/>
      <c r="F7" s="509" t="s">
        <v>24</v>
      </c>
      <c r="G7" s="531"/>
    </row>
    <row r="8" spans="1:12" ht="26" x14ac:dyDescent="0.3">
      <c r="A8" s="504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35">
      <c r="A9" s="505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3.5" thickBot="1" x14ac:dyDescent="0.35"/>
    <row r="11" spans="1:12" x14ac:dyDescent="0.3">
      <c r="A11" s="503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503" t="s">
        <v>25</v>
      </c>
      <c r="H11" s="21" t="s">
        <v>26</v>
      </c>
      <c r="I11" s="21" t="s">
        <v>27</v>
      </c>
      <c r="J11" s="15" t="s">
        <v>28</v>
      </c>
    </row>
    <row r="12" spans="1:12" ht="13.5" thickBot="1" x14ac:dyDescent="0.35">
      <c r="A12" s="505"/>
      <c r="B12" s="12">
        <v>20</v>
      </c>
      <c r="C12" s="12">
        <v>30</v>
      </c>
      <c r="D12" s="12">
        <v>0</v>
      </c>
      <c r="E12" s="14">
        <v>70</v>
      </c>
      <c r="G12" s="505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15" customHeight="1" x14ac:dyDescent="0.3">
      <c r="A13" s="514" t="s">
        <v>30</v>
      </c>
      <c r="B13" s="515"/>
      <c r="C13" s="515"/>
      <c r="D13" s="515"/>
      <c r="E13" s="516"/>
      <c r="G13" s="525" t="s">
        <v>29</v>
      </c>
      <c r="H13" s="526"/>
      <c r="I13" s="526"/>
      <c r="J13" s="527"/>
    </row>
    <row r="14" spans="1:12" ht="33.65" customHeight="1" x14ac:dyDescent="0.3">
      <c r="A14" s="517"/>
      <c r="B14" s="518"/>
      <c r="C14" s="518"/>
      <c r="D14" s="518"/>
      <c r="E14" s="519"/>
      <c r="G14" s="528"/>
      <c r="H14" s="529"/>
      <c r="I14" s="529"/>
      <c r="J14" s="530"/>
    </row>
    <row r="16" spans="1:12" ht="13.5" thickBot="1" x14ac:dyDescent="0.35"/>
    <row r="17" spans="1:4" ht="16.899999999999999" customHeight="1" x14ac:dyDescent="0.3">
      <c r="A17" s="512" t="s">
        <v>34</v>
      </c>
      <c r="B17" s="21" t="s">
        <v>32</v>
      </c>
      <c r="C17" s="21" t="s">
        <v>31</v>
      </c>
      <c r="D17" s="15" t="s">
        <v>33</v>
      </c>
    </row>
    <row r="18" spans="1:4" ht="23.65" customHeight="1" thickBot="1" x14ac:dyDescent="0.35">
      <c r="A18" s="513"/>
      <c r="B18" s="12">
        <v>0</v>
      </c>
      <c r="C18" s="12">
        <v>100</v>
      </c>
      <c r="D18" s="26">
        <v>20</v>
      </c>
    </row>
    <row r="20" spans="1:4" x14ac:dyDescent="0.3">
      <c r="A20" s="500" t="s">
        <v>37</v>
      </c>
      <c r="B20" s="500"/>
    </row>
    <row r="21" spans="1:4" x14ac:dyDescent="0.3">
      <c r="A21" s="3" t="s">
        <v>35</v>
      </c>
      <c r="B21" s="3" t="s">
        <v>36</v>
      </c>
    </row>
    <row r="22" spans="1:4" x14ac:dyDescent="0.3">
      <c r="A22" s="2">
        <f>B18</f>
        <v>0</v>
      </c>
      <c r="B22" s="2">
        <f>($J$12/(1+EXP($H$12+$I$12*A22)))-1</f>
        <v>-1.4084507042253946E-2</v>
      </c>
    </row>
    <row r="23" spans="1:4" x14ac:dyDescent="0.3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3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3">
      <c r="A25" s="2">
        <f t="shared" si="1"/>
        <v>15</v>
      </c>
      <c r="B25" s="2">
        <f t="shared" si="0"/>
        <v>14.549143800281053</v>
      </c>
    </row>
    <row r="26" spans="1:4" x14ac:dyDescent="0.3">
      <c r="A26" s="2">
        <f t="shared" si="1"/>
        <v>20</v>
      </c>
      <c r="B26" s="2">
        <f t="shared" si="0"/>
        <v>29.563380281690133</v>
      </c>
    </row>
    <row r="27" spans="1:4" x14ac:dyDescent="0.3">
      <c r="A27" s="2">
        <f t="shared" si="1"/>
        <v>25</v>
      </c>
      <c r="B27" s="2">
        <f t="shared" si="0"/>
        <v>46.443381393398674</v>
      </c>
    </row>
    <row r="28" spans="1:4" x14ac:dyDescent="0.3">
      <c r="A28" s="2">
        <f t="shared" si="1"/>
        <v>30</v>
      </c>
      <c r="B28" s="2">
        <f t="shared" si="0"/>
        <v>58.565058904816425</v>
      </c>
    </row>
    <row r="29" spans="1:4" x14ac:dyDescent="0.3">
      <c r="A29" s="2">
        <f t="shared" si="1"/>
        <v>35</v>
      </c>
      <c r="B29" s="2">
        <f t="shared" si="0"/>
        <v>64.755462936002587</v>
      </c>
    </row>
    <row r="30" spans="1:4" x14ac:dyDescent="0.3">
      <c r="A30" s="2">
        <f t="shared" si="1"/>
        <v>40</v>
      </c>
      <c r="B30" s="2">
        <f t="shared" si="0"/>
        <v>67.373747640482065</v>
      </c>
    </row>
    <row r="31" spans="1:4" x14ac:dyDescent="0.3">
      <c r="A31" s="2">
        <f t="shared" si="1"/>
        <v>45</v>
      </c>
      <c r="B31" s="2">
        <f t="shared" si="0"/>
        <v>68.391855033022836</v>
      </c>
    </row>
    <row r="32" spans="1:4" x14ac:dyDescent="0.3">
      <c r="A32" s="2">
        <f t="shared" si="1"/>
        <v>50</v>
      </c>
      <c r="B32" s="2">
        <f t="shared" si="0"/>
        <v>68.774681657683672</v>
      </c>
    </row>
    <row r="33" spans="1:2" x14ac:dyDescent="0.3">
      <c r="A33" s="2">
        <f t="shared" si="1"/>
        <v>55</v>
      </c>
      <c r="B33" s="2">
        <f t="shared" si="0"/>
        <v>68.91680823426843</v>
      </c>
    </row>
    <row r="34" spans="1:2" x14ac:dyDescent="0.3">
      <c r="A34" s="2">
        <f>A33+(($C$18-$B$18)/$D$18)</f>
        <v>60</v>
      </c>
      <c r="B34" s="2">
        <f t="shared" si="0"/>
        <v>68.969323452015516</v>
      </c>
    </row>
    <row r="35" spans="1:2" x14ac:dyDescent="0.3">
      <c r="A35" s="2">
        <f t="shared" si="1"/>
        <v>65</v>
      </c>
      <c r="B35" s="2">
        <f t="shared" si="0"/>
        <v>68.988693537060527</v>
      </c>
    </row>
    <row r="36" spans="1:2" x14ac:dyDescent="0.3">
      <c r="A36" s="2">
        <f t="shared" si="1"/>
        <v>70</v>
      </c>
      <c r="B36" s="2">
        <f t="shared" si="0"/>
        <v>68.995833502451546</v>
      </c>
    </row>
    <row r="37" spans="1:2" x14ac:dyDescent="0.3">
      <c r="A37" s="2">
        <f t="shared" si="1"/>
        <v>75</v>
      </c>
      <c r="B37" s="2">
        <f t="shared" si="0"/>
        <v>68.998464720255058</v>
      </c>
    </row>
    <row r="38" spans="1:2" x14ac:dyDescent="0.3">
      <c r="A38" s="2">
        <f t="shared" si="1"/>
        <v>80</v>
      </c>
      <c r="B38" s="2">
        <f t="shared" si="0"/>
        <v>68.999434290332985</v>
      </c>
    </row>
    <row r="39" spans="1:2" x14ac:dyDescent="0.3">
      <c r="A39" s="2">
        <f t="shared" si="1"/>
        <v>85</v>
      </c>
      <c r="B39" s="2">
        <f t="shared" si="0"/>
        <v>68.999791552888652</v>
      </c>
    </row>
    <row r="40" spans="1:2" x14ac:dyDescent="0.3">
      <c r="A40" s="2">
        <f t="shared" si="1"/>
        <v>90</v>
      </c>
      <c r="B40" s="2">
        <f t="shared" si="0"/>
        <v>68.999923193714523</v>
      </c>
    </row>
    <row r="41" spans="1:2" x14ac:dyDescent="0.3">
      <c r="A41" s="2">
        <f>A40+(($C$18-$B$18)/$D$18)</f>
        <v>95</v>
      </c>
      <c r="B41" s="2">
        <f t="shared" si="0"/>
        <v>68.999971699303273</v>
      </c>
    </row>
    <row r="42" spans="1:2" x14ac:dyDescent="0.3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>
    <tabColor theme="1" tint="4.9989318521683403E-2"/>
  </sheetPr>
  <dimension ref="A1:L43"/>
  <sheetViews>
    <sheetView workbookViewId="0">
      <selection activeCell="G5" sqref="G5"/>
    </sheetView>
  </sheetViews>
  <sheetFormatPr defaultColWidth="8.81640625" defaultRowHeight="13" x14ac:dyDescent="0.3"/>
  <cols>
    <col min="1" max="1" width="12.1796875" style="1" customWidth="1"/>
    <col min="2" max="2" width="10.453125" style="1" customWidth="1"/>
    <col min="3" max="3" width="11" style="1" customWidth="1"/>
    <col min="4" max="4" width="12.1796875" style="1" customWidth="1"/>
    <col min="5" max="5" width="12.453125" style="1" customWidth="1"/>
    <col min="6" max="6" width="15.26953125" style="1" customWidth="1"/>
    <col min="7" max="7" width="12" style="1" customWidth="1"/>
    <col min="8" max="10" width="10.26953125" style="1" customWidth="1"/>
    <col min="11" max="16384" width="8.81640625" style="1"/>
  </cols>
  <sheetData>
    <row r="1" spans="1:12" ht="13.5" thickBot="1" x14ac:dyDescent="0.35">
      <c r="A1" s="6" t="s">
        <v>0</v>
      </c>
      <c r="B1" s="1" t="s">
        <v>40</v>
      </c>
    </row>
    <row r="2" spans="1:12" x14ac:dyDescent="0.3">
      <c r="A2" s="7" t="s">
        <v>2</v>
      </c>
      <c r="B2" s="8" t="s">
        <v>13</v>
      </c>
      <c r="C2" s="9" t="s">
        <v>4</v>
      </c>
      <c r="D2" s="10" t="s">
        <v>6</v>
      </c>
      <c r="F2" s="485" t="s">
        <v>100</v>
      </c>
      <c r="G2" s="486"/>
      <c r="H2" s="486"/>
      <c r="I2" s="486"/>
      <c r="J2" s="486"/>
      <c r="K2" s="486"/>
      <c r="L2" s="487"/>
    </row>
    <row r="3" spans="1:12" ht="13.5" thickBot="1" x14ac:dyDescent="0.35">
      <c r="A3" s="11" t="s">
        <v>3</v>
      </c>
      <c r="B3" s="12" t="s">
        <v>53</v>
      </c>
      <c r="C3" s="13" t="s">
        <v>5</v>
      </c>
      <c r="D3" s="14" t="s">
        <v>7</v>
      </c>
      <c r="F3" s="488" t="s">
        <v>72</v>
      </c>
      <c r="G3" s="489"/>
      <c r="H3" s="489"/>
      <c r="I3" s="489"/>
      <c r="J3" s="489"/>
      <c r="K3" s="489"/>
      <c r="L3" s="490"/>
    </row>
    <row r="4" spans="1:12" ht="31.9" customHeight="1" thickBot="1" x14ac:dyDescent="0.35">
      <c r="A4" s="29" t="s">
        <v>38</v>
      </c>
      <c r="B4" s="536" t="s">
        <v>41</v>
      </c>
      <c r="C4" s="537"/>
      <c r="D4" s="538"/>
    </row>
    <row r="6" spans="1:12" ht="13.5" thickBot="1" x14ac:dyDescent="0.35"/>
    <row r="7" spans="1:12" ht="27.75" customHeight="1" x14ac:dyDescent="0.3">
      <c r="A7" s="503" t="s">
        <v>8</v>
      </c>
      <c r="B7" s="506" t="s">
        <v>9</v>
      </c>
      <c r="C7" s="507"/>
      <c r="D7" s="508" t="s">
        <v>12</v>
      </c>
      <c r="E7" s="510"/>
      <c r="F7" s="509" t="s">
        <v>24</v>
      </c>
      <c r="G7" s="531"/>
      <c r="H7" s="1" t="s">
        <v>54</v>
      </c>
    </row>
    <row r="8" spans="1:12" ht="26" x14ac:dyDescent="0.3">
      <c r="A8" s="504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35">
      <c r="A9" s="505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3.5" thickBot="1" x14ac:dyDescent="0.35"/>
    <row r="11" spans="1:12" ht="27.75" customHeight="1" x14ac:dyDescent="0.3">
      <c r="A11" s="503" t="s">
        <v>42</v>
      </c>
      <c r="B11" s="468" t="s">
        <v>47</v>
      </c>
      <c r="C11" s="533" t="s">
        <v>46</v>
      </c>
      <c r="D11" s="509"/>
      <c r="E11" s="509"/>
      <c r="F11" s="3" t="s">
        <v>48</v>
      </c>
      <c r="G11" s="33"/>
      <c r="H11" s="32"/>
      <c r="I11" s="32"/>
      <c r="J11" s="32"/>
    </row>
    <row r="12" spans="1:12" x14ac:dyDescent="0.3">
      <c r="A12" s="534"/>
      <c r="B12" s="469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3">
      <c r="A13" s="535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9" customHeight="1" x14ac:dyDescent="0.3">
      <c r="A14" s="532" t="s">
        <v>52</v>
      </c>
      <c r="B14" s="532"/>
      <c r="C14" s="532"/>
      <c r="D14" s="532"/>
      <c r="E14" s="532"/>
      <c r="F14" s="532"/>
      <c r="G14" s="38"/>
      <c r="H14" s="39"/>
      <c r="I14" s="39"/>
      <c r="J14" s="39"/>
    </row>
    <row r="15" spans="1:12" ht="30.65" customHeight="1" x14ac:dyDescent="0.3">
      <c r="A15" s="532"/>
      <c r="B15" s="532"/>
      <c r="C15" s="532"/>
      <c r="D15" s="532"/>
      <c r="E15" s="532"/>
      <c r="F15" s="532"/>
      <c r="G15" s="38"/>
      <c r="H15" s="39"/>
      <c r="I15" s="39"/>
      <c r="J15" s="39"/>
    </row>
    <row r="17" spans="1:4" ht="13.5" thickBot="1" x14ac:dyDescent="0.35"/>
    <row r="18" spans="1:4" ht="16.899999999999999" customHeight="1" x14ac:dyDescent="0.3">
      <c r="A18" s="512" t="s">
        <v>34</v>
      </c>
      <c r="B18" s="21" t="s">
        <v>32</v>
      </c>
      <c r="C18" s="21" t="s">
        <v>31</v>
      </c>
      <c r="D18" s="15" t="s">
        <v>33</v>
      </c>
    </row>
    <row r="19" spans="1:4" ht="23.65" customHeight="1" thickBot="1" x14ac:dyDescent="0.35">
      <c r="A19" s="513"/>
      <c r="B19" s="12">
        <v>0</v>
      </c>
      <c r="C19" s="12">
        <v>20000000</v>
      </c>
      <c r="D19" s="26">
        <v>20</v>
      </c>
    </row>
    <row r="21" spans="1:4" x14ac:dyDescent="0.3">
      <c r="A21" s="500" t="s">
        <v>37</v>
      </c>
      <c r="B21" s="500"/>
    </row>
    <row r="22" spans="1:4" x14ac:dyDescent="0.3">
      <c r="A22" s="3" t="s">
        <v>35</v>
      </c>
      <c r="B22" s="3" t="s">
        <v>36</v>
      </c>
    </row>
    <row r="23" spans="1:4" x14ac:dyDescent="0.3">
      <c r="A23" s="2">
        <f>B19</f>
        <v>0</v>
      </c>
      <c r="B23" s="36">
        <f t="shared" ref="B23:B43" si="0">$C$13*A23</f>
        <v>0</v>
      </c>
    </row>
    <row r="24" spans="1:4" x14ac:dyDescent="0.3">
      <c r="A24" s="2">
        <f>A23+(($C$19-$B$19)/$D$19)</f>
        <v>1000000</v>
      </c>
      <c r="B24" s="36">
        <f t="shared" si="0"/>
        <v>10000</v>
      </c>
    </row>
    <row r="25" spans="1:4" x14ac:dyDescent="0.3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3">
      <c r="A26" s="2">
        <f t="shared" si="1"/>
        <v>3000000</v>
      </c>
      <c r="B26" s="36">
        <f t="shared" si="0"/>
        <v>30000</v>
      </c>
    </row>
    <row r="27" spans="1:4" x14ac:dyDescent="0.3">
      <c r="A27" s="2">
        <f t="shared" si="1"/>
        <v>4000000</v>
      </c>
      <c r="B27" s="36">
        <f t="shared" si="0"/>
        <v>40000</v>
      </c>
    </row>
    <row r="28" spans="1:4" x14ac:dyDescent="0.3">
      <c r="A28" s="2">
        <f t="shared" si="1"/>
        <v>5000000</v>
      </c>
      <c r="B28" s="36">
        <f t="shared" si="0"/>
        <v>50000</v>
      </c>
    </row>
    <row r="29" spans="1:4" x14ac:dyDescent="0.3">
      <c r="A29" s="2">
        <f t="shared" si="1"/>
        <v>6000000</v>
      </c>
      <c r="B29" s="36">
        <f t="shared" si="0"/>
        <v>60000</v>
      </c>
    </row>
    <row r="30" spans="1:4" x14ac:dyDescent="0.3">
      <c r="A30" s="2">
        <f t="shared" si="1"/>
        <v>7000000</v>
      </c>
      <c r="B30" s="36">
        <f t="shared" si="0"/>
        <v>70000</v>
      </c>
    </row>
    <row r="31" spans="1:4" x14ac:dyDescent="0.3">
      <c r="A31" s="2">
        <f t="shared" si="1"/>
        <v>8000000</v>
      </c>
      <c r="B31" s="36">
        <f t="shared" si="0"/>
        <v>80000</v>
      </c>
    </row>
    <row r="32" spans="1:4" x14ac:dyDescent="0.3">
      <c r="A32" s="2">
        <f t="shared" si="1"/>
        <v>9000000</v>
      </c>
      <c r="B32" s="36">
        <f t="shared" si="0"/>
        <v>90000</v>
      </c>
    </row>
    <row r="33" spans="1:2" x14ac:dyDescent="0.3">
      <c r="A33" s="2">
        <f t="shared" si="1"/>
        <v>10000000</v>
      </c>
      <c r="B33" s="36">
        <f t="shared" si="0"/>
        <v>100000</v>
      </c>
    </row>
    <row r="34" spans="1:2" x14ac:dyDescent="0.3">
      <c r="A34" s="2">
        <f t="shared" si="1"/>
        <v>11000000</v>
      </c>
      <c r="B34" s="36">
        <f t="shared" si="0"/>
        <v>110000</v>
      </c>
    </row>
    <row r="35" spans="1:2" x14ac:dyDescent="0.3">
      <c r="A35" s="2">
        <f>A34+(($C$19-$B$19)/$D$19)</f>
        <v>12000000</v>
      </c>
      <c r="B35" s="36">
        <f t="shared" si="0"/>
        <v>120000</v>
      </c>
    </row>
    <row r="36" spans="1:2" x14ac:dyDescent="0.3">
      <c r="A36" s="2">
        <f t="shared" si="1"/>
        <v>13000000</v>
      </c>
      <c r="B36" s="36">
        <f t="shared" si="0"/>
        <v>130000</v>
      </c>
    </row>
    <row r="37" spans="1:2" x14ac:dyDescent="0.3">
      <c r="A37" s="2">
        <f t="shared" si="1"/>
        <v>14000000</v>
      </c>
      <c r="B37" s="36">
        <f t="shared" si="0"/>
        <v>140000</v>
      </c>
    </row>
    <row r="38" spans="1:2" x14ac:dyDescent="0.3">
      <c r="A38" s="2">
        <f t="shared" si="1"/>
        <v>15000000</v>
      </c>
      <c r="B38" s="36">
        <f t="shared" si="0"/>
        <v>150000</v>
      </c>
    </row>
    <row r="39" spans="1:2" x14ac:dyDescent="0.3">
      <c r="A39" s="2">
        <f t="shared" si="1"/>
        <v>16000000</v>
      </c>
      <c r="B39" s="36">
        <f t="shared" si="0"/>
        <v>160000</v>
      </c>
    </row>
    <row r="40" spans="1:2" x14ac:dyDescent="0.3">
      <c r="A40" s="2">
        <f t="shared" si="1"/>
        <v>17000000</v>
      </c>
      <c r="B40" s="36">
        <f t="shared" si="0"/>
        <v>170000</v>
      </c>
    </row>
    <row r="41" spans="1:2" x14ac:dyDescent="0.3">
      <c r="A41" s="2">
        <f t="shared" si="1"/>
        <v>18000000</v>
      </c>
      <c r="B41" s="36">
        <f t="shared" si="0"/>
        <v>180000</v>
      </c>
    </row>
    <row r="42" spans="1:2" x14ac:dyDescent="0.3">
      <c r="A42" s="2">
        <f>A41+(($C$19-$B$19)/$D$19)</f>
        <v>19000000</v>
      </c>
      <c r="B42" s="36">
        <f t="shared" si="0"/>
        <v>190000</v>
      </c>
    </row>
    <row r="43" spans="1:2" x14ac:dyDescent="0.3">
      <c r="A43" s="2">
        <f t="shared" si="1"/>
        <v>20000000</v>
      </c>
      <c r="B43" s="36">
        <f t="shared" si="0"/>
        <v>200000</v>
      </c>
    </row>
  </sheetData>
  <mergeCells count="13">
    <mergeCell ref="F2:L2"/>
    <mergeCell ref="F3:L3"/>
    <mergeCell ref="B4:D4"/>
    <mergeCell ref="A7:A9"/>
    <mergeCell ref="B7:C7"/>
    <mergeCell ref="D7:E7"/>
    <mergeCell ref="F7:G7"/>
    <mergeCell ref="A14:F15"/>
    <mergeCell ref="A18:A19"/>
    <mergeCell ref="A21:B21"/>
    <mergeCell ref="B11:B12"/>
    <mergeCell ref="C11:E11"/>
    <mergeCell ref="A11:A13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theme="1"/>
  </sheetPr>
  <dimension ref="A1:O42"/>
  <sheetViews>
    <sheetView workbookViewId="0">
      <selection activeCell="G5" sqref="G5"/>
    </sheetView>
  </sheetViews>
  <sheetFormatPr defaultColWidth="8.81640625" defaultRowHeight="13" x14ac:dyDescent="0.3"/>
  <cols>
    <col min="1" max="1" width="12.1796875" style="1" customWidth="1"/>
    <col min="2" max="2" width="13.453125" style="1" customWidth="1"/>
    <col min="3" max="3" width="12.453125" style="1" customWidth="1"/>
    <col min="4" max="4" width="13.7265625" style="1" customWidth="1"/>
    <col min="5" max="6" width="12.453125" style="1" customWidth="1"/>
    <col min="7" max="7" width="12" style="1" customWidth="1"/>
    <col min="8" max="10" width="10.26953125" style="1" customWidth="1"/>
    <col min="11" max="11" width="14.26953125" style="1" bestFit="1" customWidth="1"/>
    <col min="12" max="13" width="12" style="1" bestFit="1" customWidth="1"/>
    <col min="14" max="14" width="11.453125" style="1" bestFit="1" customWidth="1"/>
    <col min="15" max="15" width="9.7265625" style="1" bestFit="1" customWidth="1"/>
    <col min="16" max="16384" width="8.81640625" style="1"/>
  </cols>
  <sheetData>
    <row r="1" spans="1:15" ht="13.5" thickBot="1" x14ac:dyDescent="0.35">
      <c r="A1" s="6" t="s">
        <v>0</v>
      </c>
      <c r="B1" s="1" t="s">
        <v>1</v>
      </c>
    </row>
    <row r="2" spans="1:15" x14ac:dyDescent="0.3">
      <c r="A2" s="7" t="s">
        <v>2</v>
      </c>
      <c r="B2" s="8" t="s">
        <v>101</v>
      </c>
      <c r="C2" s="9" t="s">
        <v>4</v>
      </c>
      <c r="D2" s="10" t="s">
        <v>6</v>
      </c>
      <c r="H2" s="59" t="s">
        <v>102</v>
      </c>
      <c r="I2" s="60"/>
      <c r="J2" s="60"/>
      <c r="K2" s="60"/>
      <c r="L2" s="61"/>
    </row>
    <row r="3" spans="1:15" ht="13.5" thickBot="1" x14ac:dyDescent="0.35">
      <c r="A3" s="67" t="s">
        <v>3</v>
      </c>
      <c r="B3" s="27" t="s">
        <v>103</v>
      </c>
      <c r="C3" s="6" t="s">
        <v>5</v>
      </c>
      <c r="D3" s="28" t="s">
        <v>7</v>
      </c>
      <c r="E3" s="6" t="s">
        <v>104</v>
      </c>
      <c r="F3" s="28" t="s">
        <v>105</v>
      </c>
    </row>
    <row r="4" spans="1:15" ht="15" customHeight="1" thickBot="1" x14ac:dyDescent="0.35">
      <c r="A4" s="29" t="s">
        <v>38</v>
      </c>
      <c r="B4" s="539" t="s">
        <v>106</v>
      </c>
      <c r="C4" s="539"/>
      <c r="D4" s="539"/>
      <c r="E4" s="539"/>
      <c r="F4" s="540"/>
      <c r="H4" s="1" t="s">
        <v>107</v>
      </c>
    </row>
    <row r="5" spans="1:15" x14ac:dyDescent="0.3">
      <c r="H5" s="1" t="s">
        <v>108</v>
      </c>
    </row>
    <row r="6" spans="1:15" ht="13.5" thickBot="1" x14ac:dyDescent="0.35">
      <c r="B6" s="64">
        <v>0.6</v>
      </c>
      <c r="C6" s="64">
        <v>1.3</v>
      </c>
    </row>
    <row r="7" spans="1:15" ht="27.75" customHeight="1" x14ac:dyDescent="0.3">
      <c r="A7" s="503" t="s">
        <v>8</v>
      </c>
      <c r="B7" s="506" t="s">
        <v>9</v>
      </c>
      <c r="C7" s="507"/>
      <c r="D7" s="508" t="s">
        <v>12</v>
      </c>
      <c r="E7" s="510"/>
      <c r="F7" s="509" t="s">
        <v>24</v>
      </c>
      <c r="G7" s="531"/>
    </row>
    <row r="8" spans="1:15" ht="26" x14ac:dyDescent="0.3">
      <c r="A8" s="504"/>
      <c r="B8" s="62" t="s">
        <v>10</v>
      </c>
      <c r="C8" s="17" t="s">
        <v>11</v>
      </c>
      <c r="D8" s="19" t="s">
        <v>20</v>
      </c>
      <c r="E8" s="17" t="s">
        <v>21</v>
      </c>
      <c r="F8" s="58" t="s">
        <v>22</v>
      </c>
      <c r="G8" s="4" t="s">
        <v>23</v>
      </c>
    </row>
    <row r="9" spans="1:15" ht="13.5" thickBot="1" x14ac:dyDescent="0.35">
      <c r="A9" s="505"/>
      <c r="B9" s="65">
        <f>B6*B12</f>
        <v>13460703.6</v>
      </c>
      <c r="C9" s="65">
        <f>C6*B12</f>
        <v>29164857.800000001</v>
      </c>
      <c r="D9" s="68">
        <f>F9</f>
        <v>22434506</v>
      </c>
      <c r="E9" s="69">
        <f>(($O$12/(1+EXP($M$12+$N$12*D9)))-1) - ($F$12-$C$12)</f>
        <v>135699.36912083253</v>
      </c>
      <c r="F9" s="65">
        <f>B12</f>
        <v>22434506</v>
      </c>
      <c r="G9" s="66">
        <f>C12</f>
        <v>135699.3691208323</v>
      </c>
    </row>
    <row r="10" spans="1:15" ht="13.5" thickBot="1" x14ac:dyDescent="0.35"/>
    <row r="11" spans="1:15" ht="51.65" customHeight="1" x14ac:dyDescent="0.3">
      <c r="A11" s="503" t="s">
        <v>15</v>
      </c>
      <c r="B11" s="63" t="s">
        <v>16</v>
      </c>
      <c r="C11" s="63" t="s">
        <v>17</v>
      </c>
      <c r="D11" s="63" t="s">
        <v>18</v>
      </c>
      <c r="E11" s="63" t="s">
        <v>19</v>
      </c>
      <c r="F11" s="15" t="s">
        <v>109</v>
      </c>
      <c r="H11" s="512" t="s">
        <v>25</v>
      </c>
      <c r="I11" s="63" t="s">
        <v>110</v>
      </c>
      <c r="J11" s="63" t="s">
        <v>111</v>
      </c>
      <c r="K11" s="63" t="s">
        <v>112</v>
      </c>
      <c r="L11" s="63" t="s">
        <v>113</v>
      </c>
      <c r="M11" s="63" t="s">
        <v>26</v>
      </c>
      <c r="N11" s="63" t="s">
        <v>27</v>
      </c>
      <c r="O11" s="15" t="s">
        <v>28</v>
      </c>
    </row>
    <row r="12" spans="1:15" ht="15" customHeight="1" thickBot="1" x14ac:dyDescent="0.35">
      <c r="A12" s="505"/>
      <c r="B12" s="65">
        <v>22434506</v>
      </c>
      <c r="C12" s="66">
        <v>135699.3691208323</v>
      </c>
      <c r="D12" s="12">
        <v>0</v>
      </c>
      <c r="E12" s="66">
        <v>516500</v>
      </c>
      <c r="F12" s="70">
        <v>5165000</v>
      </c>
      <c r="H12" s="513"/>
      <c r="I12" s="71">
        <f>F12-C12</f>
        <v>5029300.6308791675</v>
      </c>
      <c r="J12" s="71">
        <f>I12+E12</f>
        <v>5545800.6308791675</v>
      </c>
      <c r="K12" s="72">
        <f>B12</f>
        <v>22434506</v>
      </c>
      <c r="L12" s="71">
        <f>F12</f>
        <v>5165000</v>
      </c>
      <c r="M12" s="24">
        <f>LN((($J$12+1)/($I$12+1))-1)</f>
        <v>-2.2759611241153297</v>
      </c>
      <c r="N12" s="73">
        <f>(LN((($J$12+1)/($L$12+1))-1)-$M$12)/$K$12</f>
        <v>-1.4772934666486198E-8</v>
      </c>
      <c r="O12" s="74">
        <f>J12+1</f>
        <v>5545801.6308791675</v>
      </c>
    </row>
    <row r="13" spans="1:15" ht="34.15" customHeight="1" x14ac:dyDescent="0.3">
      <c r="A13" s="514" t="s">
        <v>114</v>
      </c>
      <c r="B13" s="515"/>
      <c r="C13" s="515"/>
      <c r="D13" s="515"/>
      <c r="E13" s="515"/>
      <c r="F13" s="516"/>
      <c r="H13" s="514" t="s">
        <v>115</v>
      </c>
      <c r="I13" s="515"/>
      <c r="J13" s="515"/>
      <c r="K13" s="515"/>
      <c r="L13" s="515"/>
      <c r="M13" s="515"/>
      <c r="N13" s="515"/>
      <c r="O13" s="516"/>
    </row>
    <row r="14" spans="1:15" ht="33.65" customHeight="1" x14ac:dyDescent="0.3">
      <c r="A14" s="517"/>
      <c r="B14" s="518"/>
      <c r="C14" s="518"/>
      <c r="D14" s="518"/>
      <c r="E14" s="518"/>
      <c r="F14" s="519"/>
      <c r="H14" s="517"/>
      <c r="I14" s="518"/>
      <c r="J14" s="518"/>
      <c r="K14" s="518"/>
      <c r="L14" s="518"/>
      <c r="M14" s="518"/>
      <c r="N14" s="518"/>
      <c r="O14" s="519"/>
    </row>
    <row r="16" spans="1:15" ht="13.5" thickBot="1" x14ac:dyDescent="0.35"/>
    <row r="17" spans="1:4" ht="16.899999999999999" customHeight="1" x14ac:dyDescent="0.3">
      <c r="A17" s="512" t="s">
        <v>34</v>
      </c>
      <c r="B17" s="63" t="s">
        <v>32</v>
      </c>
      <c r="C17" s="63" t="s">
        <v>31</v>
      </c>
      <c r="D17" s="15" t="s">
        <v>33</v>
      </c>
    </row>
    <row r="18" spans="1:4" ht="23.65" customHeight="1" thickBot="1" x14ac:dyDescent="0.35">
      <c r="A18" s="513"/>
      <c r="B18" s="75">
        <v>0</v>
      </c>
      <c r="C18" s="76">
        <v>200000000</v>
      </c>
      <c r="D18" s="26">
        <v>20</v>
      </c>
    </row>
    <row r="20" spans="1:4" x14ac:dyDescent="0.3">
      <c r="A20" s="500" t="s">
        <v>37</v>
      </c>
      <c r="B20" s="500"/>
    </row>
    <row r="21" spans="1:4" x14ac:dyDescent="0.3">
      <c r="A21" s="62" t="s">
        <v>35</v>
      </c>
      <c r="B21" s="62" t="s">
        <v>36</v>
      </c>
    </row>
    <row r="22" spans="1:4" x14ac:dyDescent="0.3">
      <c r="A22" s="2">
        <f>B18</f>
        <v>0</v>
      </c>
      <c r="B22" s="2">
        <f>(($O$12/(1+EXP($M$12+$N$12*A22)))-1) - ($F$12-$C$12)</f>
        <v>0</v>
      </c>
    </row>
    <row r="23" spans="1:4" x14ac:dyDescent="0.3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77">
        <f>(B23-B22)/A23</f>
        <v>6.5160884199584835E-3</v>
      </c>
    </row>
    <row r="24" spans="1:4" x14ac:dyDescent="0.3">
      <c r="A24" s="2">
        <f t="shared" ref="A24:A42" si="1">A23+(($C$18-$B$18)/$D$18)</f>
        <v>20000000</v>
      </c>
      <c r="B24" s="2">
        <f t="shared" si="0"/>
        <v>122744.77582018357</v>
      </c>
      <c r="C24" s="77">
        <f t="shared" ref="C24:C42" si="2">(B24-B23)/A24</f>
        <v>2.8791945810299367E-3</v>
      </c>
    </row>
    <row r="25" spans="1:4" x14ac:dyDescent="0.3">
      <c r="A25" s="2">
        <f t="shared" si="1"/>
        <v>30000000</v>
      </c>
      <c r="B25" s="2">
        <f t="shared" si="0"/>
        <v>173476.53353370167</v>
      </c>
      <c r="C25" s="77">
        <f t="shared" si="2"/>
        <v>1.6910585904506036E-3</v>
      </c>
    </row>
    <row r="26" spans="1:4" x14ac:dyDescent="0.3">
      <c r="A26" s="2">
        <f t="shared" si="1"/>
        <v>40000000</v>
      </c>
      <c r="B26" s="2">
        <f t="shared" si="0"/>
        <v>218050.60666741617</v>
      </c>
      <c r="C26" s="77">
        <f t="shared" si="2"/>
        <v>1.1143518283428624E-3</v>
      </c>
    </row>
    <row r="27" spans="1:4" x14ac:dyDescent="0.3">
      <c r="A27" s="2">
        <f t="shared" si="1"/>
        <v>50000000</v>
      </c>
      <c r="B27" s="2">
        <f t="shared" si="0"/>
        <v>257121.2781913355</v>
      </c>
      <c r="C27" s="77">
        <f t="shared" si="2"/>
        <v>7.8141343047838656E-4</v>
      </c>
    </row>
    <row r="28" spans="1:4" x14ac:dyDescent="0.3">
      <c r="A28" s="2">
        <f t="shared" si="1"/>
        <v>60000000</v>
      </c>
      <c r="B28" s="2">
        <f t="shared" si="0"/>
        <v>291296.63727436401</v>
      </c>
      <c r="C28" s="77">
        <f t="shared" si="2"/>
        <v>5.6958931805047518E-4</v>
      </c>
    </row>
    <row r="29" spans="1:4" x14ac:dyDescent="0.3">
      <c r="A29" s="2">
        <f t="shared" si="1"/>
        <v>70000000</v>
      </c>
      <c r="B29" s="2">
        <f t="shared" si="0"/>
        <v>321135.50980218779</v>
      </c>
      <c r="C29" s="77">
        <f t="shared" si="2"/>
        <v>4.2626960754033977E-4</v>
      </c>
    </row>
    <row r="30" spans="1:4" x14ac:dyDescent="0.3">
      <c r="A30" s="2">
        <f t="shared" si="1"/>
        <v>80000000</v>
      </c>
      <c r="B30" s="2">
        <f t="shared" si="0"/>
        <v>347146.64896780811</v>
      </c>
      <c r="C30" s="77">
        <f t="shared" si="2"/>
        <v>3.2513923957025399E-4</v>
      </c>
    </row>
    <row r="31" spans="1:4" x14ac:dyDescent="0.3">
      <c r="A31" s="2">
        <f t="shared" si="1"/>
        <v>90000000</v>
      </c>
      <c r="B31" s="2">
        <f t="shared" si="0"/>
        <v>369789.58456045669</v>
      </c>
      <c r="C31" s="77">
        <f t="shared" si="2"/>
        <v>2.5158817325165084E-4</v>
      </c>
    </row>
    <row r="32" spans="1:4" x14ac:dyDescent="0.3">
      <c r="A32" s="2">
        <f t="shared" si="1"/>
        <v>100000000</v>
      </c>
      <c r="B32" s="2">
        <f t="shared" si="0"/>
        <v>389476.63249957375</v>
      </c>
      <c r="C32" s="77">
        <f t="shared" si="2"/>
        <v>1.9687047939117067E-4</v>
      </c>
    </row>
    <row r="33" spans="1:3" x14ac:dyDescent="0.3">
      <c r="A33" s="2">
        <f t="shared" si="1"/>
        <v>110000000</v>
      </c>
      <c r="B33" s="2">
        <f t="shared" si="0"/>
        <v>406575.66504135821</v>
      </c>
      <c r="C33" s="77">
        <f t="shared" si="2"/>
        <v>1.5544575037985871E-4</v>
      </c>
    </row>
    <row r="34" spans="1:3" x14ac:dyDescent="0.3">
      <c r="A34" s="2">
        <f>A33+(($C$18-$B$18)/$D$18)</f>
        <v>120000000</v>
      </c>
      <c r="B34" s="2">
        <f t="shared" si="0"/>
        <v>421413.33103184588</v>
      </c>
      <c r="C34" s="77">
        <f t="shared" si="2"/>
        <v>1.2364721658739727E-4</v>
      </c>
    </row>
    <row r="35" spans="1:3" x14ac:dyDescent="0.3">
      <c r="A35" s="2">
        <f t="shared" si="1"/>
        <v>130000000</v>
      </c>
      <c r="B35" s="2">
        <f t="shared" si="0"/>
        <v>434278.49192497414</v>
      </c>
      <c r="C35" s="77">
        <f t="shared" si="2"/>
        <v>9.896277610098657E-5</v>
      </c>
    </row>
    <row r="36" spans="1:3" x14ac:dyDescent="0.3">
      <c r="A36" s="2">
        <f t="shared" si="1"/>
        <v>140000000</v>
      </c>
      <c r="B36" s="2">
        <f t="shared" si="0"/>
        <v>445425.7024764372</v>
      </c>
      <c r="C36" s="77">
        <f t="shared" si="2"/>
        <v>7.9622932510450481E-5</v>
      </c>
    </row>
    <row r="37" spans="1:3" x14ac:dyDescent="0.3">
      <c r="A37" s="2">
        <f t="shared" si="1"/>
        <v>150000000</v>
      </c>
      <c r="B37" s="2">
        <f t="shared" si="0"/>
        <v>455078.61578376312</v>
      </c>
      <c r="C37" s="77">
        <f t="shared" si="2"/>
        <v>6.4352755382172757E-5</v>
      </c>
    </row>
    <row r="38" spans="1:3" x14ac:dyDescent="0.3">
      <c r="A38" s="2">
        <f t="shared" si="1"/>
        <v>160000000</v>
      </c>
      <c r="B38" s="2">
        <f t="shared" si="0"/>
        <v>463433.23205492459</v>
      </c>
      <c r="C38" s="77">
        <f t="shared" si="2"/>
        <v>5.2216351694759215E-5</v>
      </c>
    </row>
    <row r="39" spans="1:3" x14ac:dyDescent="0.3">
      <c r="A39" s="2">
        <f t="shared" si="1"/>
        <v>170000000</v>
      </c>
      <c r="B39" s="2">
        <f t="shared" si="0"/>
        <v>470660.94080024865</v>
      </c>
      <c r="C39" s="77">
        <f t="shared" si="2"/>
        <v>4.2515933796023838E-5</v>
      </c>
    </row>
    <row r="40" spans="1:3" x14ac:dyDescent="0.3">
      <c r="A40" s="2">
        <f t="shared" si="1"/>
        <v>180000000</v>
      </c>
      <c r="B40" s="2">
        <f t="shared" si="0"/>
        <v>476911.32871761266</v>
      </c>
      <c r="C40" s="77">
        <f t="shared" si="2"/>
        <v>3.4724377318688977E-5</v>
      </c>
    </row>
    <row r="41" spans="1:3" x14ac:dyDescent="0.3">
      <c r="A41" s="2">
        <f>A40+(($C$18-$B$18)/$D$18)</f>
        <v>190000000</v>
      </c>
      <c r="B41" s="2">
        <f t="shared" si="0"/>
        <v>482314.74191566277</v>
      </c>
      <c r="C41" s="77">
        <f t="shared" si="2"/>
        <v>2.8439016831842692E-5</v>
      </c>
    </row>
    <row r="42" spans="1:3" x14ac:dyDescent="0.3">
      <c r="A42" s="2">
        <f t="shared" si="1"/>
        <v>200000000</v>
      </c>
      <c r="B42" s="2">
        <f t="shared" si="0"/>
        <v>486984.60263799503</v>
      </c>
      <c r="C42" s="77">
        <f t="shared" si="2"/>
        <v>2.3349303611661307E-5</v>
      </c>
    </row>
  </sheetData>
  <mergeCells count="11">
    <mergeCell ref="H11:H12"/>
    <mergeCell ref="A13:F14"/>
    <mergeCell ref="H13:O14"/>
    <mergeCell ref="A17:A18"/>
    <mergeCell ref="A20:B20"/>
    <mergeCell ref="A11:A12"/>
    <mergeCell ref="B4:F4"/>
    <mergeCell ref="A7:A9"/>
    <mergeCell ref="B7:C7"/>
    <mergeCell ref="D7:E7"/>
    <mergeCell ref="F7:G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>
    <tabColor theme="1" tint="4.9989318521683403E-2"/>
  </sheetPr>
  <dimension ref="A1:N47"/>
  <sheetViews>
    <sheetView workbookViewId="0">
      <selection activeCell="G5" sqref="G5"/>
    </sheetView>
  </sheetViews>
  <sheetFormatPr defaultColWidth="8.81640625" defaultRowHeight="13" x14ac:dyDescent="0.3"/>
  <cols>
    <col min="1" max="1" width="12.1796875" style="1" customWidth="1"/>
    <col min="2" max="2" width="10.453125" style="1" customWidth="1"/>
    <col min="3" max="3" width="11" style="1" customWidth="1"/>
    <col min="4" max="4" width="12.1796875" style="1" customWidth="1"/>
    <col min="5" max="5" width="14.81640625" style="1" customWidth="1"/>
    <col min="6" max="6" width="11.1796875" style="1" customWidth="1"/>
    <col min="7" max="7" width="12" style="1" customWidth="1"/>
    <col min="8" max="10" width="10.26953125" style="1" customWidth="1"/>
    <col min="11" max="16384" width="8.81640625" style="1"/>
  </cols>
  <sheetData>
    <row r="1" spans="1:14" ht="13.5" thickBot="1" x14ac:dyDescent="0.35">
      <c r="A1" s="6" t="s">
        <v>0</v>
      </c>
      <c r="B1" s="1" t="s">
        <v>55</v>
      </c>
    </row>
    <row r="2" spans="1:14" x14ac:dyDescent="0.3">
      <c r="A2" s="7" t="s">
        <v>2</v>
      </c>
      <c r="B2" s="8" t="s">
        <v>13</v>
      </c>
      <c r="C2" s="9" t="s">
        <v>4</v>
      </c>
      <c r="D2" s="10" t="s">
        <v>6</v>
      </c>
      <c r="F2" s="485" t="s">
        <v>100</v>
      </c>
      <c r="G2" s="486"/>
      <c r="H2" s="486"/>
      <c r="I2" s="486"/>
      <c r="J2" s="486"/>
      <c r="K2" s="486"/>
      <c r="L2" s="487"/>
    </row>
    <row r="3" spans="1:14" ht="13.5" thickBot="1" x14ac:dyDescent="0.35">
      <c r="A3" s="11" t="s">
        <v>3</v>
      </c>
      <c r="B3" s="12" t="s">
        <v>56</v>
      </c>
      <c r="C3" s="13" t="s">
        <v>5</v>
      </c>
      <c r="D3" s="14" t="s">
        <v>7</v>
      </c>
      <c r="F3" s="488" t="s">
        <v>72</v>
      </c>
      <c r="G3" s="489"/>
      <c r="H3" s="489"/>
      <c r="I3" s="489"/>
      <c r="J3" s="489"/>
      <c r="K3" s="489"/>
      <c r="L3" s="490"/>
    </row>
    <row r="4" spans="1:14" ht="13.5" thickBot="1" x14ac:dyDescent="0.35">
      <c r="A4" s="29" t="s">
        <v>38</v>
      </c>
      <c r="B4" s="523" t="s">
        <v>57</v>
      </c>
      <c r="C4" s="523"/>
      <c r="D4" s="524"/>
    </row>
    <row r="6" spans="1:14" ht="13.5" thickBot="1" x14ac:dyDescent="0.35"/>
    <row r="7" spans="1:14" ht="27.75" customHeight="1" x14ac:dyDescent="0.3">
      <c r="A7" s="503" t="s">
        <v>8</v>
      </c>
      <c r="B7" s="506" t="s">
        <v>9</v>
      </c>
      <c r="C7" s="507"/>
      <c r="D7" s="508" t="s">
        <v>12</v>
      </c>
      <c r="E7" s="510"/>
      <c r="F7" s="509" t="s">
        <v>24</v>
      </c>
      <c r="G7" s="531"/>
      <c r="I7" s="546" t="s">
        <v>73</v>
      </c>
      <c r="J7" s="546"/>
      <c r="K7" s="546"/>
      <c r="L7" s="546"/>
      <c r="N7" s="47" t="s">
        <v>58</v>
      </c>
    </row>
    <row r="8" spans="1:14" ht="26" x14ac:dyDescent="0.3">
      <c r="A8" s="504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546"/>
      <c r="J8" s="546"/>
      <c r="K8" s="546"/>
      <c r="L8" s="546"/>
      <c r="N8" s="47" t="s">
        <v>59</v>
      </c>
    </row>
    <row r="9" spans="1:14" ht="13.5" thickBot="1" x14ac:dyDescent="0.35">
      <c r="A9" s="505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3.5" thickBot="1" x14ac:dyDescent="0.35"/>
    <row r="11" spans="1:14" ht="13.9" customHeight="1" x14ac:dyDescent="0.3">
      <c r="A11" s="500" t="s">
        <v>60</v>
      </c>
      <c r="B11" s="3" t="s">
        <v>61</v>
      </c>
      <c r="C11" s="3" t="s">
        <v>62</v>
      </c>
      <c r="D11" s="32"/>
      <c r="E11" s="544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65" customHeight="1" x14ac:dyDescent="0.3">
      <c r="A12" s="500"/>
      <c r="B12" s="41">
        <v>0</v>
      </c>
      <c r="C12" s="41">
        <v>0</v>
      </c>
      <c r="D12" s="32"/>
      <c r="E12" s="545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65" customHeight="1" x14ac:dyDescent="0.3">
      <c r="A13" s="500"/>
      <c r="B13" s="41">
        <v>1</v>
      </c>
      <c r="C13" s="41">
        <v>0.75</v>
      </c>
      <c r="D13" s="32"/>
      <c r="E13" s="545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65" customHeight="1" x14ac:dyDescent="0.3">
      <c r="A14" s="500"/>
      <c r="B14" s="41">
        <v>2</v>
      </c>
      <c r="C14" s="41">
        <v>0</v>
      </c>
      <c r="D14" s="32"/>
      <c r="E14" s="545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65" customHeight="1" x14ac:dyDescent="0.3">
      <c r="A15" s="500"/>
      <c r="B15" s="41">
        <v>3</v>
      </c>
      <c r="C15" s="41">
        <v>-1</v>
      </c>
      <c r="D15" s="32"/>
      <c r="E15" s="545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65" customHeight="1" x14ac:dyDescent="0.3">
      <c r="A16" s="500"/>
      <c r="B16" s="41">
        <v>4</v>
      </c>
      <c r="C16" s="41">
        <v>3</v>
      </c>
      <c r="D16" s="32"/>
      <c r="E16" s="545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3">
      <c r="A17" s="500"/>
      <c r="B17" s="42">
        <v>5</v>
      </c>
      <c r="C17" s="42">
        <v>3</v>
      </c>
      <c r="D17" s="40"/>
      <c r="E17" s="545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.25" customHeight="1" x14ac:dyDescent="0.3">
      <c r="A18" s="541" t="s">
        <v>74</v>
      </c>
      <c r="B18" s="542"/>
      <c r="C18" s="543"/>
      <c r="D18" s="33"/>
      <c r="E18" s="532" t="s">
        <v>75</v>
      </c>
      <c r="F18" s="532"/>
      <c r="G18" s="532"/>
      <c r="H18" s="532"/>
      <c r="I18" s="532"/>
      <c r="J18" s="532"/>
      <c r="K18" s="532"/>
      <c r="L18" s="532"/>
      <c r="M18" s="532"/>
    </row>
    <row r="19" spans="1:13" ht="35.65" customHeight="1" x14ac:dyDescent="0.3">
      <c r="A19" s="517"/>
      <c r="B19" s="518"/>
      <c r="C19" s="519"/>
      <c r="D19" s="33"/>
      <c r="E19" s="532"/>
      <c r="F19" s="532"/>
      <c r="G19" s="532"/>
      <c r="H19" s="532"/>
      <c r="I19" s="532"/>
      <c r="J19" s="532"/>
      <c r="K19" s="532"/>
      <c r="L19" s="532"/>
      <c r="M19" s="532"/>
    </row>
    <row r="21" spans="1:13" ht="13.5" thickBot="1" x14ac:dyDescent="0.35"/>
    <row r="22" spans="1:13" ht="16.899999999999999" customHeight="1" x14ac:dyDescent="0.3">
      <c r="A22" s="512" t="s">
        <v>34</v>
      </c>
      <c r="B22" s="21" t="s">
        <v>32</v>
      </c>
      <c r="C22" s="21" t="s">
        <v>31</v>
      </c>
      <c r="D22" s="15" t="s">
        <v>33</v>
      </c>
    </row>
    <row r="23" spans="1:13" ht="23.65" customHeight="1" thickBot="1" x14ac:dyDescent="0.35">
      <c r="A23" s="513"/>
      <c r="B23" s="12">
        <v>0</v>
      </c>
      <c r="C23" s="12">
        <v>5</v>
      </c>
      <c r="D23" s="26">
        <v>20</v>
      </c>
    </row>
    <row r="25" spans="1:13" x14ac:dyDescent="0.3">
      <c r="A25" s="500" t="s">
        <v>37</v>
      </c>
      <c r="B25" s="500"/>
    </row>
    <row r="26" spans="1:13" x14ac:dyDescent="0.3">
      <c r="A26" s="3" t="s">
        <v>35</v>
      </c>
      <c r="B26" s="3" t="s">
        <v>36</v>
      </c>
    </row>
    <row r="27" spans="1:13" x14ac:dyDescent="0.3">
      <c r="A27" s="2">
        <f>B23</f>
        <v>0</v>
      </c>
      <c r="B27" s="36">
        <f>csplinePred($B$12:$B$17,$C$12:$C$17,$F$12:$M$17,A27)</f>
        <v>0</v>
      </c>
    </row>
    <row r="28" spans="1:13" x14ac:dyDescent="0.3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3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3">
      <c r="A30" s="2">
        <f t="shared" si="1"/>
        <v>0.75</v>
      </c>
      <c r="B30" s="36">
        <f t="shared" si="0"/>
        <v>0.65081115430622016</v>
      </c>
    </row>
    <row r="31" spans="1:13" x14ac:dyDescent="0.3">
      <c r="A31" s="2">
        <f t="shared" si="1"/>
        <v>1</v>
      </c>
      <c r="B31" s="36">
        <f t="shared" si="0"/>
        <v>0.75</v>
      </c>
    </row>
    <row r="32" spans="1:13" x14ac:dyDescent="0.3">
      <c r="A32" s="2">
        <f t="shared" si="1"/>
        <v>1.25</v>
      </c>
      <c r="B32" s="36">
        <f t="shared" si="0"/>
        <v>0.75005607057416268</v>
      </c>
    </row>
    <row r="33" spans="1:2" x14ac:dyDescent="0.3">
      <c r="A33" s="2">
        <f t="shared" si="1"/>
        <v>1.5</v>
      </c>
      <c r="B33" s="36">
        <f t="shared" si="0"/>
        <v>0.63471889952153115</v>
      </c>
    </row>
    <row r="34" spans="1:2" x14ac:dyDescent="0.3">
      <c r="A34" s="2">
        <f t="shared" si="1"/>
        <v>1.75</v>
      </c>
      <c r="B34" s="36">
        <f t="shared" si="0"/>
        <v>0.389522278708134</v>
      </c>
    </row>
    <row r="35" spans="1:2" x14ac:dyDescent="0.3">
      <c r="A35" s="2">
        <f t="shared" si="1"/>
        <v>2</v>
      </c>
      <c r="B35" s="36">
        <f t="shared" si="0"/>
        <v>0</v>
      </c>
    </row>
    <row r="36" spans="1:2" x14ac:dyDescent="0.3">
      <c r="A36" s="2">
        <f t="shared" si="1"/>
        <v>2.25</v>
      </c>
      <c r="B36" s="36">
        <f t="shared" si="0"/>
        <v>-0.51252242822966498</v>
      </c>
    </row>
    <row r="37" spans="1:2" x14ac:dyDescent="0.3">
      <c r="A37" s="2">
        <f t="shared" si="1"/>
        <v>2.5</v>
      </c>
      <c r="B37" s="36">
        <f t="shared" si="0"/>
        <v>-0.98355263157894723</v>
      </c>
    </row>
    <row r="38" spans="1:2" x14ac:dyDescent="0.3">
      <c r="A38" s="2">
        <f t="shared" si="1"/>
        <v>2.75</v>
      </c>
      <c r="B38" s="36">
        <f t="shared" si="0"/>
        <v>-1.2128065191387558</v>
      </c>
    </row>
    <row r="39" spans="1:2" x14ac:dyDescent="0.3">
      <c r="A39" s="2">
        <f>A38+(($C$23-$B$23)/$D$23)</f>
        <v>3</v>
      </c>
      <c r="B39" s="36">
        <f t="shared" si="0"/>
        <v>-1</v>
      </c>
    </row>
    <row r="40" spans="1:2" x14ac:dyDescent="0.3">
      <c r="A40" s="2">
        <f t="shared" si="1"/>
        <v>3.25</v>
      </c>
      <c r="B40" s="36">
        <f t="shared" si="0"/>
        <v>-0.22731010765550241</v>
      </c>
    </row>
    <row r="41" spans="1:2" x14ac:dyDescent="0.3">
      <c r="A41" s="2">
        <f t="shared" si="1"/>
        <v>3.5</v>
      </c>
      <c r="B41" s="36">
        <f t="shared" si="0"/>
        <v>0.89324162679425823</v>
      </c>
    </row>
    <row r="42" spans="1:2" x14ac:dyDescent="0.3">
      <c r="A42" s="2">
        <f t="shared" si="1"/>
        <v>3.75</v>
      </c>
      <c r="B42" s="36">
        <f t="shared" si="0"/>
        <v>2.0671725478468899</v>
      </c>
    </row>
    <row r="43" spans="1:2" x14ac:dyDescent="0.3">
      <c r="A43" s="2">
        <f t="shared" si="1"/>
        <v>4</v>
      </c>
      <c r="B43" s="36">
        <f t="shared" si="0"/>
        <v>3</v>
      </c>
    </row>
    <row r="44" spans="1:2" x14ac:dyDescent="0.3">
      <c r="A44" s="2">
        <f t="shared" si="1"/>
        <v>4.25</v>
      </c>
      <c r="B44" s="36">
        <f t="shared" si="0"/>
        <v>3.4686378588516744</v>
      </c>
    </row>
    <row r="45" spans="1:2" x14ac:dyDescent="0.3">
      <c r="A45" s="2">
        <f t="shared" si="1"/>
        <v>4.5</v>
      </c>
      <c r="B45" s="36">
        <f t="shared" si="0"/>
        <v>3.535586124401914</v>
      </c>
    </row>
    <row r="46" spans="1:2" x14ac:dyDescent="0.3">
      <c r="A46" s="2">
        <f>A45+(($C$23-$B$23)/$D$23)</f>
        <v>4.75</v>
      </c>
      <c r="B46" s="36">
        <f t="shared" si="0"/>
        <v>3.3347413277511961</v>
      </c>
    </row>
    <row r="47" spans="1:2" x14ac:dyDescent="0.3">
      <c r="A47" s="2">
        <f t="shared" si="1"/>
        <v>5</v>
      </c>
      <c r="B47" s="36">
        <f t="shared" si="0"/>
        <v>2.9999999999999996</v>
      </c>
    </row>
  </sheetData>
  <mergeCells count="14">
    <mergeCell ref="F2:L2"/>
    <mergeCell ref="F3:L3"/>
    <mergeCell ref="F7:G7"/>
    <mergeCell ref="E11:E17"/>
    <mergeCell ref="E18:M19"/>
    <mergeCell ref="I7:L8"/>
    <mergeCell ref="A11:A17"/>
    <mergeCell ref="A22:A23"/>
    <mergeCell ref="A25:B25"/>
    <mergeCell ref="A18:C19"/>
    <mergeCell ref="B4:D4"/>
    <mergeCell ref="A7:A9"/>
    <mergeCell ref="B7:C7"/>
    <mergeCell ref="D7:E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id_classification_euconfidential" value=""/>
  <element uid="cefbaa69-3bfa-4b56-8d22-6839cb7b06d0" value=""/>
</sisl>
</file>

<file path=customXml/itemProps1.xml><?xml version="1.0" encoding="utf-8"?>
<ds:datastoreItem xmlns:ds="http://schemas.openxmlformats.org/officeDocument/2006/customXml" ds:itemID="{4ED9C36B-819B-4147-8A4A-4F0FF66BB305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YOY Curve comparison</vt:lpstr>
      <vt:lpstr>Scenario summary</vt:lpstr>
      <vt:lpstr>Chart - Combined</vt:lpstr>
      <vt:lpstr>Scenario deep dive_2023</vt:lpstr>
      <vt:lpstr>Senstivity</vt:lpstr>
      <vt:lpstr>Sensitivity - Template</vt:lpstr>
      <vt:lpstr>Contribution, promo eff, ROI</vt:lpstr>
      <vt:lpstr>Scenario deep dive</vt:lpstr>
      <vt:lpstr>Current Constraints</vt:lpstr>
      <vt:lpstr>VAC_Optim_Scenario</vt:lpstr>
      <vt:lpstr>GINOFF</vt:lpstr>
      <vt:lpstr>GMCM</vt:lpstr>
      <vt:lpstr>GSOC</vt:lpstr>
      <vt:lpstr>GOLV</vt:lpstr>
      <vt:lpstr>GSTRV</vt:lpstr>
      <vt:lpstr>GDISP</vt:lpstr>
      <vt:lpstr>GSEARCH</vt:lpstr>
      <vt:lpstr>GRADIO</vt:lpstr>
      <vt:lpstr>GTV</vt:lpstr>
      <vt:lpstr>GPRNT</vt:lpstr>
      <vt:lpstr>Fn.Templates ==&gt;</vt:lpstr>
      <vt:lpstr>FT_SCurveEst</vt:lpstr>
      <vt:lpstr>FT_Equation</vt:lpstr>
      <vt:lpstr>FT_SCurve3Est</vt:lpstr>
      <vt:lpstr>FT_Interpolate</vt:lpstr>
    </vt:vector>
  </TitlesOfParts>
  <Company>Merck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Kumar, Ajeeth</cp:lastModifiedBy>
  <cp:lastPrinted>2013-05-08T17:24:00Z</cp:lastPrinted>
  <dcterms:created xsi:type="dcterms:W3CDTF">2013-03-17T16:17:06Z</dcterms:created>
  <dcterms:modified xsi:type="dcterms:W3CDTF">2023-10-04T15:17:31Z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4dc0ce48-2f6e-4b34-b7da-db143b6331a5</vt:lpwstr>
  </property>
  <property fmtid="{D5CDD505-2E9C-101B-9397-08002B2CF9AE}" pid="3" name="bjSaver">
    <vt:lpwstr>pPneHbi9DKHzPsy9kETYNVatLtYuav4s</vt:lpwstr>
  </property>
  <property fmtid="{D5CDD505-2E9C-101B-9397-08002B2CF9AE}" pid="4" name="bjDocumentSecurityLabel">
    <vt:lpwstr>Proprietary</vt:lpwstr>
  </property>
  <property fmtid="{D5CDD505-2E9C-101B-9397-08002B2CF9AE}" pid="5" name="MerckMetadataExchange">
    <vt:lpwstr>!$MRK@Proprietary-Footer-Left</vt:lpwstr>
  </property>
  <property fmtid="{D5CDD505-2E9C-101B-9397-08002B2CF9AE}" pid="6" name="bjLeftFooterLabel">
    <vt:lpwstr>&amp;"Times New Roman,Regular"&amp;12&amp;K00C0C0Proprietary</vt:lpwstr>
  </property>
  <property fmtid="{D5CDD505-2E9C-101B-9397-08002B2CF9AE}" pid="7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8" name="bjDocumentLabelXML-0">
    <vt:lpwstr>ames.com/2008/01/sie/internal/label"&gt;&lt;element uid="id_classification_euconfidential" value="" /&gt;&lt;element uid="cefbaa69-3bfa-4b56-8d22-6839cb7b06d0" value="" /&gt;&lt;/sisl&gt;</vt:lpwstr>
  </property>
  <property fmtid="{D5CDD505-2E9C-101B-9397-08002B2CF9AE}" pid="9" name="bjLeftFooterLabel-first">
    <vt:lpwstr>&amp;"Times New Roman,Regular"&amp;12&amp;K00C0C0Proprietary</vt:lpwstr>
  </property>
  <property fmtid="{D5CDD505-2E9C-101B-9397-08002B2CF9AE}" pid="10" name="bjLeftFooterLabel-even">
    <vt:lpwstr>&amp;"Times New Roman,Regular"&amp;12&amp;K00C0C0Proprietary</vt:lpwstr>
  </property>
  <property fmtid="{D5CDD505-2E9C-101B-9397-08002B2CF9AE}" pid="11" name="MSIP_Label_927fd646-07cb-4c4e-a107-4e4d6b30ba1b_Enabled">
    <vt:lpwstr>true</vt:lpwstr>
  </property>
  <property fmtid="{D5CDD505-2E9C-101B-9397-08002B2CF9AE}" pid="12" name="MSIP_Label_927fd646-07cb-4c4e-a107-4e4d6b30ba1b_SetDate">
    <vt:lpwstr>2021-09-08T11:36:12Z</vt:lpwstr>
  </property>
  <property fmtid="{D5CDD505-2E9C-101B-9397-08002B2CF9AE}" pid="13" name="MSIP_Label_927fd646-07cb-4c4e-a107-4e4d6b30ba1b_Method">
    <vt:lpwstr>Standard</vt:lpwstr>
  </property>
  <property fmtid="{D5CDD505-2E9C-101B-9397-08002B2CF9AE}" pid="14" name="MSIP_Label_927fd646-07cb-4c4e-a107-4e4d6b30ba1b_Name">
    <vt:lpwstr>927fd646-07cb-4c4e-a107-4e4d6b30ba1b</vt:lpwstr>
  </property>
  <property fmtid="{D5CDD505-2E9C-101B-9397-08002B2CF9AE}" pid="15" name="MSIP_Label_927fd646-07cb-4c4e-a107-4e4d6b30ba1b_SiteId">
    <vt:lpwstr>a00de4ec-48a8-43a6-be74-e31274e2060d</vt:lpwstr>
  </property>
  <property fmtid="{D5CDD505-2E9C-101B-9397-08002B2CF9AE}" pid="16" name="MSIP_Label_927fd646-07cb-4c4e-a107-4e4d6b30ba1b_ActionId">
    <vt:lpwstr>7261fa70-9df8-4165-8492-1e719750d48a</vt:lpwstr>
  </property>
  <property fmtid="{D5CDD505-2E9C-101B-9397-08002B2CF9AE}" pid="17" name="MSIP_Label_927fd646-07cb-4c4e-a107-4e4d6b30ba1b_ContentBits">
    <vt:lpwstr>1</vt:lpwstr>
  </property>
</Properties>
</file>