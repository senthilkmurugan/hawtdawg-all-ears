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0E43A915-2C4E-485E-AF2B-A50C882BFAC3}" xr6:coauthVersionLast="47" xr6:coauthVersionMax="47" xr10:uidLastSave="{00000000-0000-0000-0000-000000000000}"/>
  <bookViews>
    <workbookView xWindow="15" yWindow="15" windowWidth="20460" windowHeight="10890" tabRatio="709" firstSheet="2" activeTab="2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heet1" sheetId="90" r:id="rId4"/>
    <sheet name="Scenario deep dive" sheetId="79" r:id="rId5"/>
    <sheet name="Scenario deep dive_2023" sheetId="89" state="hidden" r:id="rId6"/>
    <sheet name="Senstivity" sheetId="87" state="hidden" r:id="rId7"/>
    <sheet name="Sensitivity - Template" sheetId="86" state="hidden" r:id="rId8"/>
    <sheet name="Contribution, promo eff, ROI" sheetId="8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8" hidden="1">'Contribution, promo eff, ROI'!$E$16:$F$24</definedName>
    <definedName name="solver_adj" localSheetId="9" hidden="1">VAC_Optim_Scenario!$I$17:$I$25</definedName>
    <definedName name="solver_cvg" localSheetId="7" hidden="1">0.0001</definedName>
    <definedName name="solver_cvg" localSheetId="6" hidden="1">0.0001</definedName>
    <definedName name="solver_cvg" localSheetId="9" hidden="1">0.0001</definedName>
    <definedName name="solver_drv" localSheetId="7" hidden="1">1</definedName>
    <definedName name="solver_drv" localSheetId="6" hidden="1">1</definedName>
    <definedName name="solver_drv" localSheetId="9" hidden="1">1</definedName>
    <definedName name="solver_eng" localSheetId="7" hidden="1">1</definedName>
    <definedName name="solver_eng" localSheetId="6" hidden="1">1</definedName>
    <definedName name="solver_eng" localSheetId="9" hidden="1">1</definedName>
    <definedName name="solver_est" localSheetId="7" hidden="1">1</definedName>
    <definedName name="solver_est" localSheetId="6" hidden="1">1</definedName>
    <definedName name="solver_est" localSheetId="9" hidden="1">1</definedName>
    <definedName name="solver_itr" localSheetId="7" hidden="1">2147483647</definedName>
    <definedName name="solver_itr" localSheetId="6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7" hidden="1">2147483647</definedName>
    <definedName name="solver_mip" localSheetId="6" hidden="1">2147483647</definedName>
    <definedName name="solver_mip" localSheetId="9" hidden="1">2147483647</definedName>
    <definedName name="solver_mni" localSheetId="7" hidden="1">30</definedName>
    <definedName name="solver_mni" localSheetId="6" hidden="1">30</definedName>
    <definedName name="solver_mni" localSheetId="9" hidden="1">30</definedName>
    <definedName name="solver_mrt" localSheetId="7" hidden="1">0.075</definedName>
    <definedName name="solver_mrt" localSheetId="6" hidden="1">0.075</definedName>
    <definedName name="solver_mrt" localSheetId="9" hidden="1">0.075</definedName>
    <definedName name="solver_msl" localSheetId="7" hidden="1">2</definedName>
    <definedName name="solver_msl" localSheetId="6" hidden="1">2</definedName>
    <definedName name="solver_msl" localSheetId="9" hidden="1">2</definedName>
    <definedName name="solver_neg" localSheetId="7" hidden="1">1</definedName>
    <definedName name="solver_neg" localSheetId="6" hidden="1">1</definedName>
    <definedName name="solver_neg" localSheetId="9" hidden="1">1</definedName>
    <definedName name="solver_nod" localSheetId="7" hidden="1">2147483647</definedName>
    <definedName name="solver_nod" localSheetId="6" hidden="1">2147483647</definedName>
    <definedName name="solver_nod" localSheetId="9" hidden="1">2147483647</definedName>
    <definedName name="solver_num" localSheetId="7" hidden="1">0</definedName>
    <definedName name="solver_num" localSheetId="6" hidden="1">0</definedName>
    <definedName name="solver_num" localSheetId="9" hidden="1">3</definedName>
    <definedName name="solver_nwt" localSheetId="7" hidden="1">1</definedName>
    <definedName name="solver_nwt" localSheetId="6" hidden="1">1</definedName>
    <definedName name="solver_nwt" localSheetId="9" hidden="1">1</definedName>
    <definedName name="solver_opt" localSheetId="7" hidden="1">'Sensitivity - Template'!$F$6</definedName>
    <definedName name="solver_opt" localSheetId="6" hidden="1">Senstivity!$F$6</definedName>
    <definedName name="solver_opt" localSheetId="9" hidden="1">VAC_Optim_Scenario!$B$9</definedName>
    <definedName name="solver_pre" localSheetId="7" hidden="1">0.000001</definedName>
    <definedName name="solver_pre" localSheetId="6" hidden="1">0.000001</definedName>
    <definedName name="solver_pre" localSheetId="9" hidden="1">0.00000001</definedName>
    <definedName name="solver_rbv" localSheetId="7" hidden="1">1</definedName>
    <definedName name="solver_rbv" localSheetId="6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VAC_Optim_Scenario!$I$27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7" hidden="1">2</definedName>
    <definedName name="solver_rlx" localSheetId="6" hidden="1">2</definedName>
    <definedName name="solver_rlx" localSheetId="9" hidden="1">2</definedName>
    <definedName name="solver_rsd" localSheetId="7" hidden="1">0</definedName>
    <definedName name="solver_rsd" localSheetId="6" hidden="1">0</definedName>
    <definedName name="solver_rsd" localSheetId="9" hidden="1">0</definedName>
    <definedName name="solver_scl" localSheetId="7" hidden="1">1</definedName>
    <definedName name="solver_scl" localSheetId="6" hidden="1">1</definedName>
    <definedName name="solver_scl" localSheetId="9" hidden="1">1</definedName>
    <definedName name="solver_sho" localSheetId="7" hidden="1">2</definedName>
    <definedName name="solver_sho" localSheetId="6" hidden="1">2</definedName>
    <definedName name="solver_sho" localSheetId="9" hidden="1">2</definedName>
    <definedName name="solver_ssz" localSheetId="7" hidden="1">100</definedName>
    <definedName name="solver_ssz" localSheetId="6" hidden="1">100</definedName>
    <definedName name="solver_ssz" localSheetId="9" hidden="1">100</definedName>
    <definedName name="solver_tim" localSheetId="7" hidden="1">2147483647</definedName>
    <definedName name="solver_tim" localSheetId="6" hidden="1">2147483647</definedName>
    <definedName name="solver_tim" localSheetId="9" hidden="1">2147483647</definedName>
    <definedName name="solver_tol" localSheetId="7" hidden="1">0.01</definedName>
    <definedName name="solver_tol" localSheetId="6" hidden="1">0.01</definedName>
    <definedName name="solver_tol" localSheetId="9" hidden="1">0.01</definedName>
    <definedName name="solver_typ" localSheetId="7" hidden="1">1</definedName>
    <definedName name="solver_typ" localSheetId="6" hidden="1">1</definedName>
    <definedName name="solver_typ" localSheetId="9" hidden="1">1</definedName>
    <definedName name="solver_val" localSheetId="7" hidden="1">0</definedName>
    <definedName name="solver_val" localSheetId="6" hidden="1">0</definedName>
    <definedName name="solver_val" localSheetId="9" hidden="1">0</definedName>
    <definedName name="solver_ver" localSheetId="7" hidden="1">3</definedName>
    <definedName name="solver_ver" localSheetId="6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0" i="50" l="1"/>
  <c r="B50" i="50" s="1"/>
  <c r="A43" i="50"/>
  <c r="B43" i="50"/>
  <c r="E43" i="50" s="1"/>
  <c r="A44" i="50"/>
  <c r="B44" i="50" s="1"/>
  <c r="A50" i="84"/>
  <c r="B50" i="84"/>
  <c r="C50" i="84" s="1"/>
  <c r="A51" i="84"/>
  <c r="B51" i="84" s="1"/>
  <c r="C51" i="84" s="1"/>
  <c r="A52" i="84"/>
  <c r="B52" i="84" s="1"/>
  <c r="C52" i="84" s="1"/>
  <c r="A42" i="84"/>
  <c r="B42" i="84" s="1"/>
  <c r="C42" i="84" s="1"/>
  <c r="A43" i="84"/>
  <c r="B43" i="84" s="1"/>
  <c r="C43" i="84" s="1"/>
  <c r="A42" i="74"/>
  <c r="B42" i="74" s="1"/>
  <c r="C42" i="74" s="1"/>
  <c r="A43" i="74"/>
  <c r="B43" i="74" s="1"/>
  <c r="C43" i="74" s="1"/>
  <c r="A24" i="88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23" i="88"/>
  <c r="A22" i="88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23" i="59"/>
  <c r="A24" i="59"/>
  <c r="A25" i="59" s="1"/>
  <c r="A26" i="59" s="1"/>
  <c r="A27" i="59" s="1"/>
  <c r="A28" i="59" s="1"/>
  <c r="A29" i="59" s="1"/>
  <c r="A30" i="59" s="1"/>
  <c r="A31" i="59" s="1"/>
  <c r="A32" i="59" s="1"/>
  <c r="A33" i="59" s="1"/>
  <c r="A34" i="59" s="1"/>
  <c r="A35" i="59" s="1"/>
  <c r="A36" i="59" s="1"/>
  <c r="A37" i="59" s="1"/>
  <c r="A38" i="59" s="1"/>
  <c r="A39" i="59" s="1"/>
  <c r="A40" i="59" s="1"/>
  <c r="A41" i="59" s="1"/>
  <c r="A42" i="59" s="1"/>
  <c r="A43" i="59" s="1"/>
  <c r="A44" i="59" s="1"/>
  <c r="A22" i="59"/>
  <c r="A23" i="59" s="1"/>
  <c r="E50" i="50" l="1"/>
  <c r="D50" i="50"/>
  <c r="C50" i="50"/>
  <c r="A51" i="50"/>
  <c r="D44" i="50"/>
  <c r="E44" i="50"/>
  <c r="C44" i="50"/>
  <c r="D43" i="50"/>
  <c r="A45" i="50"/>
  <c r="C43" i="50"/>
  <c r="A53" i="84"/>
  <c r="A44" i="84"/>
  <c r="A44" i="74"/>
  <c r="F13" i="90"/>
  <c r="E13" i="90"/>
  <c r="D13" i="90"/>
  <c r="E5" i="90"/>
  <c r="F5" i="90"/>
  <c r="E6" i="90"/>
  <c r="F6" i="90"/>
  <c r="E7" i="90"/>
  <c r="F7" i="90"/>
  <c r="E8" i="90"/>
  <c r="F8" i="90"/>
  <c r="E9" i="90"/>
  <c r="F9" i="90"/>
  <c r="E10" i="90"/>
  <c r="F10" i="90"/>
  <c r="E11" i="90"/>
  <c r="F11" i="90"/>
  <c r="E12" i="90"/>
  <c r="F12" i="90"/>
  <c r="F4" i="90"/>
  <c r="E4" i="90"/>
  <c r="I11" i="90"/>
  <c r="I9" i="90"/>
  <c r="I7" i="90"/>
  <c r="I5" i="90"/>
  <c r="H13" i="90"/>
  <c r="B51" i="50" l="1"/>
  <c r="A52" i="50"/>
  <c r="B45" i="50"/>
  <c r="A46" i="50"/>
  <c r="A54" i="84"/>
  <c r="B53" i="84"/>
  <c r="C53" i="84" s="1"/>
  <c r="A45" i="84"/>
  <c r="B44" i="84"/>
  <c r="C44" i="84" s="1"/>
  <c r="B44" i="74"/>
  <c r="C44" i="74" s="1"/>
  <c r="A45" i="74"/>
  <c r="I13" i="90"/>
  <c r="I8" i="90"/>
  <c r="I10" i="90"/>
  <c r="I12" i="90"/>
  <c r="I6" i="90"/>
  <c r="I4" i="90"/>
  <c r="I6" i="80"/>
  <c r="I7" i="80"/>
  <c r="I8" i="80"/>
  <c r="I9" i="80"/>
  <c r="I10" i="80"/>
  <c r="I11" i="80"/>
  <c r="I12" i="80"/>
  <c r="F6" i="80"/>
  <c r="F7" i="80"/>
  <c r="F8" i="80"/>
  <c r="F9" i="80"/>
  <c r="F10" i="80"/>
  <c r="F11" i="80"/>
  <c r="F12" i="80"/>
  <c r="D5" i="80"/>
  <c r="D6" i="80"/>
  <c r="D7" i="80"/>
  <c r="D8" i="80"/>
  <c r="D9" i="80"/>
  <c r="D10" i="80"/>
  <c r="D11" i="80"/>
  <c r="D12" i="80"/>
  <c r="D4" i="80"/>
  <c r="R11" i="80" a="1"/>
  <c r="Q11" i="80" a="1"/>
  <c r="R9" i="80" a="1"/>
  <c r="Q9" i="80" a="1"/>
  <c r="Q7" i="80" a="1"/>
  <c r="R7" i="80" a="1"/>
  <c r="R4" i="80" a="1"/>
  <c r="Q4" i="80" a="1"/>
  <c r="A53" i="50" l="1"/>
  <c r="B52" i="50"/>
  <c r="D51" i="50"/>
  <c r="E51" i="50"/>
  <c r="C51" i="50"/>
  <c r="B46" i="50"/>
  <c r="A47" i="50"/>
  <c r="C45" i="50"/>
  <c r="D45" i="50"/>
  <c r="E45" i="50"/>
  <c r="B54" i="84"/>
  <c r="C54" i="84" s="1"/>
  <c r="A55" i="84"/>
  <c r="A46" i="84"/>
  <c r="B45" i="84"/>
  <c r="C45" i="84" s="1"/>
  <c r="A46" i="74"/>
  <c r="B45" i="74"/>
  <c r="C45" i="74" s="1"/>
  <c r="Q11" i="80"/>
  <c r="R11" i="80"/>
  <c r="Q9" i="80"/>
  <c r="R9" i="80"/>
  <c r="R7" i="80"/>
  <c r="Q7" i="80"/>
  <c r="Q4" i="80"/>
  <c r="R4" i="80"/>
  <c r="J11" i="80"/>
  <c r="C52" i="50" l="1"/>
  <c r="D52" i="50"/>
  <c r="E52" i="50"/>
  <c r="B53" i="50"/>
  <c r="A54" i="50"/>
  <c r="B47" i="50"/>
  <c r="A48" i="50"/>
  <c r="C46" i="50"/>
  <c r="D46" i="50"/>
  <c r="E46" i="50"/>
  <c r="B55" i="84"/>
  <c r="C55" i="84" s="1"/>
  <c r="A56" i="84"/>
  <c r="B56" i="84" s="1"/>
  <c r="C56" i="84" s="1"/>
  <c r="B46" i="84"/>
  <c r="C46" i="84" s="1"/>
  <c r="A47" i="84"/>
  <c r="A47" i="74"/>
  <c r="B46" i="74"/>
  <c r="C46" i="74" s="1"/>
  <c r="C8" i="78"/>
  <c r="E53" i="50" l="1"/>
  <c r="C53" i="50"/>
  <c r="D53" i="50"/>
  <c r="B54" i="50"/>
  <c r="A55" i="50"/>
  <c r="B48" i="50"/>
  <c r="A49" i="50"/>
  <c r="B49" i="50" s="1"/>
  <c r="E47" i="50"/>
  <c r="C47" i="50"/>
  <c r="D47" i="50"/>
  <c r="B47" i="84"/>
  <c r="C47" i="84" s="1"/>
  <c r="A48" i="84"/>
  <c r="B47" i="74"/>
  <c r="C47" i="74" s="1"/>
  <c r="A48" i="74"/>
  <c r="B12" i="23"/>
  <c r="G27" i="23"/>
  <c r="H27" i="23"/>
  <c r="I27" i="23"/>
  <c r="E27" i="23"/>
  <c r="H25" i="23"/>
  <c r="G25" i="23"/>
  <c r="X16" i="79"/>
  <c r="W16" i="79"/>
  <c r="V16" i="79"/>
  <c r="T16" i="79"/>
  <c r="R16" i="79"/>
  <c r="S16" i="79" s="1"/>
  <c r="P16" i="79"/>
  <c r="N16" i="79"/>
  <c r="O16" i="79" s="1"/>
  <c r="L16" i="79"/>
  <c r="J16" i="79"/>
  <c r="K16" i="79" s="1"/>
  <c r="H16" i="79"/>
  <c r="F16" i="79"/>
  <c r="G16" i="79" s="1"/>
  <c r="E54" i="50" l="1"/>
  <c r="C54" i="50"/>
  <c r="D54" i="50"/>
  <c r="B55" i="50"/>
  <c r="A56" i="50"/>
  <c r="C49" i="50"/>
  <c r="D49" i="50"/>
  <c r="E49" i="50"/>
  <c r="D48" i="50"/>
  <c r="C48" i="50"/>
  <c r="E48" i="50"/>
  <c r="A49" i="84"/>
  <c r="B49" i="84" s="1"/>
  <c r="C49" i="84" s="1"/>
  <c r="B48" i="84"/>
  <c r="C48" i="84" s="1"/>
  <c r="B48" i="74"/>
  <c r="C48" i="74" s="1"/>
  <c r="A49" i="74"/>
  <c r="F12" i="50"/>
  <c r="E12" i="50"/>
  <c r="D12" i="50"/>
  <c r="C12" i="50"/>
  <c r="B12" i="50"/>
  <c r="D55" i="50" l="1"/>
  <c r="E55" i="50"/>
  <c r="C55" i="50"/>
  <c r="B56" i="50"/>
  <c r="A57" i="50"/>
  <c r="A50" i="74"/>
  <c r="B49" i="74"/>
  <c r="C49" i="74" s="1"/>
  <c r="D12" i="74"/>
  <c r="C12" i="74"/>
  <c r="B12" i="74"/>
  <c r="C56" i="50" l="1"/>
  <c r="D56" i="50"/>
  <c r="E56" i="50"/>
  <c r="B57" i="50"/>
  <c r="A58" i="50"/>
  <c r="A51" i="74"/>
  <c r="B50" i="74"/>
  <c r="C50" i="74" s="1"/>
  <c r="D12" i="75"/>
  <c r="C12" i="75"/>
  <c r="B12" i="75"/>
  <c r="C57" i="50" l="1"/>
  <c r="D57" i="50"/>
  <c r="E57" i="50"/>
  <c r="B58" i="50"/>
  <c r="A59" i="50"/>
  <c r="B51" i="74"/>
  <c r="C51" i="74" s="1"/>
  <c r="A52" i="74"/>
  <c r="D12" i="77"/>
  <c r="C12" i="77"/>
  <c r="B12" i="77"/>
  <c r="E58" i="50" l="1"/>
  <c r="D58" i="50"/>
  <c r="C58" i="50"/>
  <c r="B59" i="50"/>
  <c r="A60" i="50"/>
  <c r="B60" i="50" s="1"/>
  <c r="B52" i="74"/>
  <c r="C52" i="74" s="1"/>
  <c r="A53" i="74"/>
  <c r="F12" i="88"/>
  <c r="E12" i="88"/>
  <c r="D12" i="88"/>
  <c r="C12" i="88"/>
  <c r="B12" i="88"/>
  <c r="D59" i="50" l="1"/>
  <c r="E59" i="50"/>
  <c r="C59" i="50"/>
  <c r="C60" i="50"/>
  <c r="D60" i="50"/>
  <c r="E60" i="50"/>
  <c r="A54" i="74"/>
  <c r="B53" i="74"/>
  <c r="C53" i="74" s="1"/>
  <c r="D12" i="84"/>
  <c r="C12" i="84"/>
  <c r="B12" i="84"/>
  <c r="A55" i="74" l="1"/>
  <c r="B54" i="74"/>
  <c r="C54" i="74" s="1"/>
  <c r="F12" i="59"/>
  <c r="E12" i="59"/>
  <c r="D12" i="59"/>
  <c r="C12" i="59"/>
  <c r="B12" i="59"/>
  <c r="B55" i="74" l="1"/>
  <c r="C55" i="74" s="1"/>
  <c r="A56" i="74"/>
  <c r="D12" i="82"/>
  <c r="C12" i="82"/>
  <c r="B12" i="82"/>
  <c r="A57" i="74" l="1"/>
  <c r="B56" i="74"/>
  <c r="C56" i="74" s="1"/>
  <c r="F12" i="5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58" i="74" l="1"/>
  <c r="B57" i="74"/>
  <c r="C57" i="74" s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A59" i="74" l="1"/>
  <c r="B58" i="74"/>
  <c r="C58" i="74" s="1"/>
  <c r="L33" i="89"/>
  <c r="L34" i="89" s="1"/>
  <c r="T33" i="89"/>
  <c r="T34" i="89" s="1"/>
  <c r="H33" i="89"/>
  <c r="H34" i="89" s="1"/>
  <c r="P33" i="89"/>
  <c r="P34" i="89" s="1"/>
  <c r="B59" i="74" l="1"/>
  <c r="C59" i="74" s="1"/>
  <c r="A60" i="74"/>
  <c r="O12" i="88"/>
  <c r="I12" i="88"/>
  <c r="G12" i="88"/>
  <c r="H12" i="88" s="1"/>
  <c r="L12" i="88"/>
  <c r="M12" i="88" s="1"/>
  <c r="N12" i="88"/>
  <c r="C6" i="88"/>
  <c r="B6" i="88"/>
  <c r="A61" i="74" l="1"/>
  <c r="B60" i="74"/>
  <c r="C60" i="74" s="1"/>
  <c r="R12" i="88"/>
  <c r="P12" i="88"/>
  <c r="Q12" i="88" s="1"/>
  <c r="G18" i="23"/>
  <c r="G19" i="23"/>
  <c r="G20" i="23"/>
  <c r="G21" i="23"/>
  <c r="G22" i="23"/>
  <c r="B9" i="88" s="1"/>
  <c r="G23" i="23"/>
  <c r="G24" i="23"/>
  <c r="A62" i="74" l="1"/>
  <c r="B61" i="74"/>
  <c r="C61" i="74" s="1"/>
  <c r="E9" i="88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29" i="88"/>
  <c r="B22" i="88"/>
  <c r="H9" i="88"/>
  <c r="I9" i="88" s="1"/>
  <c r="B41" i="88"/>
  <c r="B39" i="88"/>
  <c r="B37" i="88"/>
  <c r="B35" i="88"/>
  <c r="B33" i="88"/>
  <c r="B31" i="88"/>
  <c r="B27" i="88"/>
  <c r="B25" i="88"/>
  <c r="B23" i="88"/>
  <c r="B62" i="74" l="1"/>
  <c r="C62" i="74" s="1"/>
  <c r="A63" i="74"/>
  <c r="J9" i="88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B63" i="74" l="1"/>
  <c r="C63" i="74" s="1"/>
  <c r="A64" i="74"/>
  <c r="C43" i="23"/>
  <c r="B64" i="74" l="1"/>
  <c r="C64" i="74" s="1"/>
  <c r="A65" i="74"/>
  <c r="C39" i="87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A66" i="74" l="1"/>
  <c r="B65" i="74"/>
  <c r="C65" i="74" s="1"/>
  <c r="E26" i="23"/>
  <c r="B66" i="74" l="1"/>
  <c r="C66" i="74" s="1"/>
  <c r="A67" i="74"/>
  <c r="G15" i="78"/>
  <c r="B67" i="74" l="1"/>
  <c r="C67" i="74" s="1"/>
  <c r="A68" i="74"/>
  <c r="I32" i="23"/>
  <c r="G14" i="88" s="1"/>
  <c r="B68" i="74" l="1"/>
  <c r="C68" i="74" s="1"/>
  <c r="A69" i="74"/>
  <c r="F32" i="23"/>
  <c r="H14" i="88" s="1"/>
  <c r="G32" i="23"/>
  <c r="A70" i="74" l="1"/>
  <c r="B69" i="74"/>
  <c r="C69" i="74" s="1"/>
  <c r="E26" i="88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A71" i="74" l="1"/>
  <c r="B70" i="74"/>
  <c r="C70" i="74" s="1"/>
  <c r="I12" i="59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B71" i="74" l="1"/>
  <c r="C71" i="74" s="1"/>
  <c r="A72" i="74"/>
  <c r="F12" i="84"/>
  <c r="D9" i="84"/>
  <c r="G9" i="84"/>
  <c r="K21" i="23"/>
  <c r="M21" i="23" s="1"/>
  <c r="I26" i="23"/>
  <c r="A73" i="74" l="1"/>
  <c r="B72" i="74"/>
  <c r="C72" i="74" s="1"/>
  <c r="H21" i="23"/>
  <c r="A74" i="74" l="1"/>
  <c r="B73" i="74"/>
  <c r="C73" i="74" s="1"/>
  <c r="B9" i="84"/>
  <c r="P21" i="23"/>
  <c r="C9" i="84"/>
  <c r="Q21" i="23"/>
  <c r="A22" i="84"/>
  <c r="A21" i="84"/>
  <c r="F14" i="84"/>
  <c r="E14" i="84"/>
  <c r="H9" i="84"/>
  <c r="B74" i="74" l="1"/>
  <c r="C74" i="74" s="1"/>
  <c r="A75" i="74"/>
  <c r="A23" i="84"/>
  <c r="B23" i="84" s="1"/>
  <c r="C23" i="84" s="1"/>
  <c r="I9" i="84"/>
  <c r="F21" i="23"/>
  <c r="B21" i="84"/>
  <c r="C21" i="84" s="1"/>
  <c r="E9" i="84"/>
  <c r="F9" i="84" s="1"/>
  <c r="J21" i="23" s="1"/>
  <c r="B22" i="84"/>
  <c r="C22" i="84" s="1"/>
  <c r="B75" i="74" l="1"/>
  <c r="C75" i="74" s="1"/>
  <c r="A76" i="74"/>
  <c r="A24" i="84"/>
  <c r="A25" i="84" s="1"/>
  <c r="E8" i="80"/>
  <c r="O21" i="23"/>
  <c r="L21" i="23"/>
  <c r="N21" i="23" s="1"/>
  <c r="B24" i="84"/>
  <c r="C24" i="84" s="1"/>
  <c r="I39" i="23"/>
  <c r="J39" i="23" s="1"/>
  <c r="AB11" i="89" s="1"/>
  <c r="H39" i="23"/>
  <c r="Z11" i="89" s="1"/>
  <c r="AA11" i="89" s="1"/>
  <c r="F39" i="23"/>
  <c r="G39" i="23" s="1"/>
  <c r="D39" i="23"/>
  <c r="C39" i="23"/>
  <c r="B39" i="23"/>
  <c r="B40" i="23"/>
  <c r="B41" i="23"/>
  <c r="B42" i="23"/>
  <c r="B43" i="23"/>
  <c r="A77" i="74" l="1"/>
  <c r="B76" i="74"/>
  <c r="C76" i="74" s="1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A78" i="74" l="1"/>
  <c r="B77" i="74"/>
  <c r="C77" i="74" s="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78" i="74" l="1"/>
  <c r="C78" i="74" s="1"/>
  <c r="A79" i="74"/>
  <c r="B27" i="84"/>
  <c r="C27" i="84" s="1"/>
  <c r="A28" i="84"/>
  <c r="E9" i="80"/>
  <c r="B79" i="74" l="1"/>
  <c r="C79" i="74" s="1"/>
  <c r="A80" i="74"/>
  <c r="H9" i="80"/>
  <c r="B28" i="84"/>
  <c r="C28" i="84" s="1"/>
  <c r="A29" i="84"/>
  <c r="A81" i="74" l="1"/>
  <c r="B80" i="74"/>
  <c r="C80" i="74" s="1"/>
  <c r="B29" i="84"/>
  <c r="C29" i="84" s="1"/>
  <c r="A30" i="84"/>
  <c r="A82" i="74" l="1"/>
  <c r="B81" i="74"/>
  <c r="C81" i="74" s="1"/>
  <c r="A31" i="84"/>
  <c r="B30" i="84"/>
  <c r="C30" i="84" s="1"/>
  <c r="B82" i="74" l="1"/>
  <c r="C82" i="74" s="1"/>
  <c r="A83" i="74"/>
  <c r="B31" i="84"/>
  <c r="C31" i="84" s="1"/>
  <c r="A32" i="84"/>
  <c r="B83" i="74" l="1"/>
  <c r="C83" i="74" s="1"/>
  <c r="A84" i="74"/>
  <c r="B32" i="84"/>
  <c r="C32" i="84" s="1"/>
  <c r="A33" i="84"/>
  <c r="A85" i="74" l="1"/>
  <c r="B84" i="74"/>
  <c r="C84" i="74" s="1"/>
  <c r="B33" i="84"/>
  <c r="C33" i="84" s="1"/>
  <c r="A34" i="84"/>
  <c r="A86" i="74" l="1"/>
  <c r="B85" i="74"/>
  <c r="C85" i="74" s="1"/>
  <c r="A35" i="84"/>
  <c r="B34" i="84"/>
  <c r="C34" i="84" s="1"/>
  <c r="B86" i="74" l="1"/>
  <c r="C86" i="74" s="1"/>
  <c r="A87" i="74"/>
  <c r="A36" i="84"/>
  <c r="B35" i="84"/>
  <c r="C35" i="84" s="1"/>
  <c r="B87" i="74" l="1"/>
  <c r="C87" i="74" s="1"/>
  <c r="A88" i="74"/>
  <c r="B36" i="84"/>
  <c r="C36" i="84" s="1"/>
  <c r="A37" i="84"/>
  <c r="B88" i="74" l="1"/>
  <c r="C88" i="74" s="1"/>
  <c r="A89" i="74"/>
  <c r="B37" i="84"/>
  <c r="C37" i="84" s="1"/>
  <c r="A38" i="84"/>
  <c r="A90" i="74" l="1"/>
  <c r="B89" i="74"/>
  <c r="C89" i="74" s="1"/>
  <c r="A39" i="84"/>
  <c r="B38" i="84"/>
  <c r="C38" i="84" s="1"/>
  <c r="A91" i="74" l="1"/>
  <c r="B90" i="74"/>
  <c r="C90" i="74" s="1"/>
  <c r="A40" i="84"/>
  <c r="B39" i="84"/>
  <c r="C39" i="84" s="1"/>
  <c r="B91" i="74" l="1"/>
  <c r="C91" i="74" s="1"/>
  <c r="B40" i="84"/>
  <c r="C40" i="84" s="1"/>
  <c r="A41" i="84"/>
  <c r="R8" i="80" a="1"/>
  <c r="Q8" i="80" a="1"/>
  <c r="Q8" i="80" l="1"/>
  <c r="R8" i="80"/>
  <c r="B41" i="84"/>
  <c r="C41" i="84" s="1"/>
  <c r="G9" i="82"/>
  <c r="D9" i="82"/>
  <c r="A22" i="82"/>
  <c r="A21" i="82"/>
  <c r="J8" i="80"/>
  <c r="A23" i="82" l="1"/>
  <c r="A24" i="82" s="1"/>
  <c r="H9" i="82"/>
  <c r="I9" i="82" s="1"/>
  <c r="F19" i="23" s="1"/>
  <c r="O19" i="23" s="1"/>
  <c r="E9" i="82"/>
  <c r="F9" i="82" s="1"/>
  <c r="J19" i="23" s="1"/>
  <c r="G12" i="82"/>
  <c r="B21" i="82"/>
  <c r="C21" i="82" s="1"/>
  <c r="B22" i="82"/>
  <c r="C22" i="82" s="1"/>
  <c r="B23" i="82" l="1"/>
  <c r="C23" i="82" s="1"/>
  <c r="F37" i="23"/>
  <c r="E6" i="80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R6" i="80" a="1"/>
  <c r="Q6" i="80" a="1"/>
  <c r="Q6" i="80" l="1"/>
  <c r="R6" i="80"/>
  <c r="B41" i="82"/>
  <c r="C41" i="82" s="1"/>
  <c r="F19" i="79"/>
  <c r="F53" i="79"/>
  <c r="N54" i="79"/>
  <c r="J54" i="79"/>
  <c r="F54" i="79"/>
  <c r="N20" i="79"/>
  <c r="J20" i="79"/>
  <c r="F20" i="79"/>
  <c r="B22" i="79"/>
  <c r="J6" i="80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l="1"/>
  <c r="I16" i="78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H10" i="80" s="1"/>
  <c r="O23" i="23"/>
  <c r="I18" i="78"/>
  <c r="I15" i="78"/>
  <c r="B24" i="77"/>
  <c r="C24" i="77" s="1"/>
  <c r="A25" i="77"/>
  <c r="B25" i="77" l="1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R10" i="80" a="1"/>
  <c r="Q10" i="80" a="1"/>
  <c r="Q10" i="80" l="1"/>
  <c r="R10" i="80"/>
  <c r="B41" i="77"/>
  <c r="C41" i="77" s="1"/>
  <c r="F12" i="75"/>
  <c r="G9" i="75"/>
  <c r="D9" i="75"/>
  <c r="D9" i="74"/>
  <c r="F12" i="74"/>
  <c r="G9" i="74"/>
  <c r="J10" i="80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E9" i="74"/>
  <c r="F9" i="74" s="1"/>
  <c r="J25" i="23" s="1"/>
  <c r="B22" i="74" l="1"/>
  <c r="C22" i="74" s="1"/>
  <c r="E11" i="80"/>
  <c r="O24" i="23"/>
  <c r="E12" i="80"/>
  <c r="O25" i="23"/>
  <c r="H11" i="80"/>
  <c r="A22" i="75"/>
  <c r="A23" i="75" s="1"/>
  <c r="A24" i="75" s="1"/>
  <c r="A23" i="74"/>
  <c r="B21" i="74"/>
  <c r="C21" i="74" s="1"/>
  <c r="H12" i="80" l="1"/>
  <c r="B23" i="75"/>
  <c r="C23" i="75" s="1"/>
  <c r="B22" i="75"/>
  <c r="C22" i="75" s="1"/>
  <c r="F2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0" i="74"/>
  <c r="C40" i="74" s="1"/>
  <c r="Q12" i="80" a="1"/>
  <c r="R12" i="80" a="1"/>
  <c r="R12" i="80" l="1"/>
  <c r="Q12" i="80"/>
  <c r="B41" i="74"/>
  <c r="C41" i="74" s="1"/>
  <c r="H18" i="23"/>
  <c r="Q18" i="23" s="1"/>
  <c r="J12" i="80"/>
  <c r="H23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Q25" i="23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C42" i="59" l="1"/>
  <c r="H9" i="59"/>
  <c r="I9" i="59" s="1"/>
  <c r="C25" i="59"/>
  <c r="C23" i="59"/>
  <c r="C28" i="59"/>
  <c r="C37" i="59"/>
  <c r="C27" i="59"/>
  <c r="C32" i="59"/>
  <c r="C33" i="59"/>
  <c r="E9" i="59"/>
  <c r="F9" i="59" s="1"/>
  <c r="C34" i="59"/>
  <c r="C36" i="59"/>
  <c r="C29" i="59"/>
  <c r="C22" i="59"/>
  <c r="C35" i="59"/>
  <c r="C24" i="59"/>
  <c r="C40" i="59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H7" i="80" s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F21" i="80" l="1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G9" i="80" s="1"/>
  <c r="G41" i="23"/>
  <c r="G38" i="23"/>
  <c r="P38" i="23" s="1"/>
  <c r="G42" i="23"/>
  <c r="H14" i="59"/>
  <c r="N10" i="87" l="1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J7" i="80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I35" i="23"/>
  <c r="F18" i="80"/>
  <c r="G37" i="23"/>
  <c r="G6" i="80" s="1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E4" i="80"/>
  <c r="O17" i="23"/>
  <c r="D9" i="79"/>
  <c r="L19" i="23"/>
  <c r="N19" i="23" s="1"/>
  <c r="I37" i="23"/>
  <c r="J37" i="23" s="1"/>
  <c r="AB9" i="89" s="1"/>
  <c r="F35" i="23"/>
  <c r="G35" i="23" s="1"/>
  <c r="J35" i="23"/>
  <c r="AB7" i="89" s="1"/>
  <c r="A28" i="50" l="1"/>
  <c r="F4" i="80"/>
  <c r="G4" i="80" s="1"/>
  <c r="H4" i="80"/>
  <c r="I4" i="80"/>
  <c r="F2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A29" i="50" l="1"/>
  <c r="X22" i="79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7" i="23"/>
  <c r="M27" i="23" s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E9" i="5"/>
  <c r="B28" i="5"/>
  <c r="B30" i="5"/>
  <c r="B36" i="5"/>
  <c r="B37" i="5"/>
  <c r="B32" i="5"/>
  <c r="B41" i="5"/>
  <c r="B42" i="5"/>
  <c r="B31" i="5"/>
  <c r="B46" i="5"/>
  <c r="B43" i="5"/>
  <c r="B34" i="5"/>
  <c r="B44" i="5"/>
  <c r="B40" i="5"/>
  <c r="B33" i="5"/>
  <c r="B39" i="5"/>
  <c r="B47" i="5"/>
  <c r="B45" i="5"/>
  <c r="B38" i="5"/>
  <c r="B35" i="5"/>
  <c r="B29" i="5"/>
  <c r="B27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R5" i="80" a="1"/>
  <c r="R5" i="80" l="1"/>
  <c r="Q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27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J9" i="50"/>
  <c r="J5" i="80"/>
  <c r="O18" i="23" l="1"/>
  <c r="F27" i="23"/>
  <c r="L18" i="23"/>
  <c r="E5" i="80"/>
  <c r="I5" i="80" s="1"/>
  <c r="F36" i="23"/>
  <c r="F26" i="23"/>
  <c r="J36" i="23"/>
  <c r="AB8" i="89" s="1"/>
  <c r="AB16" i="89" s="1"/>
  <c r="I44" i="23"/>
  <c r="N18" i="23" l="1"/>
  <c r="L27" i="23"/>
  <c r="N27" i="23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44" i="23"/>
  <c r="B9" i="23"/>
  <c r="E13" i="80"/>
  <c r="I13" i="80" s="1"/>
  <c r="F25" i="80"/>
  <c r="F5" i="80" l="1"/>
  <c r="G5" i="80" s="1"/>
  <c r="P36" i="23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G9" i="78"/>
  <c r="K9" i="78" s="1"/>
  <c r="T31" i="79"/>
  <c r="T35" i="79" s="1"/>
  <c r="G7" i="78"/>
  <c r="G6" i="78"/>
  <c r="X31" i="79"/>
  <c r="X35" i="79" s="1"/>
  <c r="P31" i="79"/>
  <c r="P35" i="79" s="1"/>
  <c r="G10" i="78"/>
  <c r="H31" i="79"/>
  <c r="H35" i="79" s="1"/>
  <c r="G8" i="78"/>
  <c r="F13" i="80"/>
  <c r="F16" i="78" l="1"/>
  <c r="H16" i="78" s="1"/>
  <c r="F17" i="78"/>
  <c r="H17" i="78" s="1"/>
  <c r="G13" i="80"/>
  <c r="F8" i="78"/>
  <c r="I10" i="78" s="1"/>
  <c r="D17" i="79"/>
  <c r="D31" i="79"/>
  <c r="D33" i="79" s="1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<sst xmlns="http://schemas.openxmlformats.org/spreadsheetml/2006/main" count="1338" uniqueCount="303">
  <si>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</si>
  <si>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</si>
  <si>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</si>
  <si>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</si>
  <si>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</si>
  <si>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</si>
  <si>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</si>
  <si>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</si>
  <si>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</si>
  <si>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</si>
  <si>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</si>
  <si>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</si>
  <si>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</si>
  <si>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</si>
  <si>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</si>
  <si>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</si>
  <si>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</si>
  <si>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</si>
  <si>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</si>
  <si>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</si>
  <si>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</si>
  <si>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</si>
  <si>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</si>
  <si>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</si>
  <si>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</si>
  <si>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</si>
  <si>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</si>
  <si>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</si>
  <si>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</si>
  <si>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</si>
  <si>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</si>
  <si>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</si>
  <si>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</si>
  <si>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</si>
  <si>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</si>
  <si>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</si>
  <si>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</si>
  <si>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</si>
  <si>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</si>
  <si>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</si>
  <si>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</si>
  <si>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</si>
  <si>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</si>
  <si>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</si>
  <si>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</si>
  <si>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</si>
  <si>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</si>
  <si>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</si>
  <si>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</si>
  <si>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</si>
  <si>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</si>
  <si>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</si>
  <si>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</si>
  <si>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</si>
  <si>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</si>
  <si>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</si>
  <si>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</si>
  <si>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</si>
  <si>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</si>
  <si>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</si>
  <si>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</si>
  <si>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</si>
  <si>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</si>
  <si>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</si>
  <si>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</si>
  <si>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</si>
  <si>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</si>
  <si>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</si>
  <si>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</si>
  <si>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</si>
  <si>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</si>
  <si>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</si>
  <si>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</si>
  <si>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</si>
  <si>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</si>
  <si>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</si>
  <si>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</si>
  <si>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</si>
  <si>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</si>
  <si>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</si>
  <si>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</si>
  <si>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</si>
  <si>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</si>
  <si>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</si>
  <si>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</si>
  <si>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</si>
  <si>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</si>
  <si>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</si>
  <si>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</si>
  <si>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</si>
  <si>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</si>
  <si>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</si>
  <si>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</si>
  <si>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</si>
  <si>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</si>
  <si>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</si>
  <si>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</si>
  <si>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</si>
  <si>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</si>
  <si>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</si>
  <si>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</si>
  <si>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</si>
  <si>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</si>
  <si>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</si>
  <si>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</si>
  <si>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</si>
  <si>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</si>
  <si>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</si>
  <si>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</si>
  <si>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</si>
  <si>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</si>
  <si>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</si>
  <si>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</si>
  <si>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</si>
  <si>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</si>
  <si>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</si>
  <si>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</si>
  <si>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</si>
  <si>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</si>
  <si>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</si>
  <si>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</si>
  <si>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</si>
  <si>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</si>
  <si>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</si>
  <si>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</si>
  <si>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</si>
  <si>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</si>
  <si>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</si>
  <si>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</si>
  <si>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</si>
  <si>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</si>
  <si>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</si>
  <si>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</si>
  <si>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</si>
  <si>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</si>
  <si>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</si>
  <si>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</si>
  <si>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</si>
  <si>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</si>
  <si>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</si>
  <si>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</si>
  <si>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</si>
  <si>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</si>
  <si>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</si>
  <si>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</si>
  <si>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</si>
  <si>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</si>
  <si>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</si>
  <si>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</si>
  <si>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</si>
  <si>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</si>
  <si>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</si>
  <si>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</si>
  <si>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</si>
  <si>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</si>
  <si>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</si>
  <si>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</si>
  <si>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</si>
  <si>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</si>
  <si>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</si>
  <si>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</si>
  <si>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</si>
  <si>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</si>
  <si>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</si>
  <si>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</si>
  <si>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</si>
  <si>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</si>
  <si>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</si>
  <si>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</si>
  <si>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</si>
  <si>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</si>
  <si>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</si>
  <si>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</si>
  <si>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</si>
  <si>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</si>
  <si>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</si>
  <si>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</si>
  <si>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</si>
  <si>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</si>
  <si>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</si>
  <si>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</si>
  <si>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</si>
  <si>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</si>
  <si>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</si>
  <si>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</si>
  <si>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</si>
  <si>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</si>
  <si>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</si>
  <si>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</si>
  <si>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</si>
  <si>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</si>
  <si>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</si>
  <si>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</si>
  <si>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</si>
  <si>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</si>
  <si>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</si>
  <si>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</si>
  <si>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</si>
  <si>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</si>
  <si>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</si>
  <si>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</si>
  <si>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</si>
  <si>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</si>
  <si>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</si>
  <si>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</si>
  <si>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</si>
  <si>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</si>
  <si>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</si>
  <si>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</si>
  <si>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</si>
  <si>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</si>
  <si>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</si>
  <si>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</si>
  <si>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</si>
  <si>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</si>
  <si>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</si>
  <si>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</si>
  <si>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</si>
  <si>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</si>
  <si>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</si>
  <si>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</si>
  <si>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</si>
  <si>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</si>
  <si>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</si>
  <si>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</si>
  <si>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</si>
  <si>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</si>
  <si>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</si>
  <si>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</si>
  <si>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</si>
  <si>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</si>
  <si>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</si>
  <si>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</si>
  <si>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</si>
  <si>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</si>
  <si>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</si>
  <si>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</si>
  <si>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</si>
  <si>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</si>
  <si>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</si>
  <si>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</si>
  <si>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</si>
  <si>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</si>
  <si>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</si>
  <si>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</si>
  <si>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</si>
  <si>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</si>
  <si>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</si>
  <si>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</si>
  <si>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</si>
  <si>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</si>
  <si>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</si>
  <si>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</si>
  <si>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</si>
  <si>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</si>
  <si>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</si>
  <si>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</si>
  <si>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</si>
  <si>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</si>
  <si>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</si>
  <si>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</si>
  <si>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</si>
  <si>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</si>
  <si>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</si>
  <si>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</si>
  <si>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</si>
  <si>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</si>
  <si>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</si>
  <si>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</si>
  <si>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Estimated Pre-tax ROI</t>
  </si>
  <si>
    <t>2023 Current Baseline ($MM)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</si>
  <si>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</si>
  <si>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</si>
  <si>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</si>
  <si>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</si>
  <si>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</si>
  <si>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</si>
  <si>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</si>
  <si>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</si>
  <si>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</si>
  <si>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</si>
  <si>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</si>
  <si>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</si>
  <si>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TOTAL WITHOUT TV</t>
  </si>
  <si>
    <t>10% reduction optimal ($30M)</t>
  </si>
  <si>
    <t>20% reduction optimal ($29M)</t>
  </si>
  <si>
    <t>10% increase optimal ($34M)</t>
  </si>
  <si>
    <t>20% increase optimal ($36M)</t>
  </si>
  <si>
    <t>Optimal channel spend allowed to vary between +/- 30% of the 2023 channel spend  except Linear TV</t>
  </si>
  <si>
    <t>+$15(6.1%)</t>
  </si>
  <si>
    <t>+$3(1.1%)</t>
  </si>
  <si>
    <t>-$13(-5.1%)</t>
  </si>
  <si>
    <t>+$24(9.5%)</t>
  </si>
  <si>
    <t>+$30(12.3%)</t>
  </si>
  <si>
    <t>GSTRV</t>
  </si>
  <si>
    <t>2023 Estimated Pre-Tax NPV ($MM)</t>
  </si>
  <si>
    <t>Δ Pre-tax Revenue w.r.t 2023 Current baseline</t>
  </si>
  <si>
    <t>Gardasil Adolescent</t>
  </si>
  <si>
    <t xml:space="preserve">2023 Estimated pre-tax Incr. Doses </t>
  </si>
  <si>
    <t>2023 pre-tax Spend ($MM)</t>
  </si>
  <si>
    <t>Minimum spend</t>
  </si>
  <si>
    <t>Maximum Spend</t>
  </si>
  <si>
    <t>Current optimal ($32MM)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</si>
</sst>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0.0,,\ 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.5"/>
      <color theme="1"/>
      <name val="Arial"/>
      <family val="2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170" fontId="0" fillId="0" borderId="100" xfId="4" applyNumberFormat="1" applyFont="1" applyFill="1" applyBorder="1" applyAlignment="1">
      <alignment horizontal="center" vertical="center"/>
    </xf>
    <xf numFmtId="0" fontId="41" fillId="0" borderId="0" xfId="0" applyFont="1"/>
    <xf numFmtId="173" fontId="43" fillId="0" borderId="42" xfId="0" applyNumberFormat="1" applyFont="1" applyBorder="1" applyAlignment="1">
      <alignment horizontal="center" vertical="center"/>
    </xf>
    <xf numFmtId="2" fontId="42" fillId="0" borderId="101" xfId="3" applyNumberFormat="1" applyFont="1" applyBorder="1" applyAlignment="1">
      <alignment horizontal="center" vertical="center"/>
    </xf>
    <xf numFmtId="0" fontId="44" fillId="47" borderId="47" xfId="0" applyFont="1" applyFill="1" applyBorder="1" applyAlignment="1">
      <alignment horizontal="center" vertical="center" wrapText="1"/>
    </xf>
    <xf numFmtId="0" fontId="44" fillId="47" borderId="48" xfId="0" applyFont="1" applyFill="1" applyBorder="1" applyAlignment="1">
      <alignment horizontal="center" vertical="center" wrapText="1"/>
    </xf>
    <xf numFmtId="0" fontId="44" fillId="47" borderId="49" xfId="0" applyFont="1" applyFill="1" applyBorder="1" applyAlignment="1">
      <alignment horizontal="center" vertical="center" wrapText="1"/>
    </xf>
    <xf numFmtId="174" fontId="42" fillId="0" borderId="0" xfId="0" applyNumberFormat="1" applyFont="1" applyBorder="1" applyAlignment="1">
      <alignment horizontal="center" vertical="center"/>
    </xf>
    <xf numFmtId="174" fontId="42" fillId="0" borderId="48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0" fontId="47" fillId="0" borderId="0" xfId="0" applyFont="1"/>
    <xf numFmtId="0" fontId="48" fillId="47" borderId="67" xfId="0" applyFont="1" applyFill="1" applyBorder="1" applyAlignment="1">
      <alignment horizontal="center" vertical="center"/>
    </xf>
    <xf numFmtId="0" fontId="48" fillId="47" borderId="68" xfId="0" applyFont="1" applyFill="1" applyBorder="1" applyAlignment="1">
      <alignment horizontal="center" vertical="center"/>
    </xf>
    <xf numFmtId="0" fontId="48" fillId="47" borderId="69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/>
    </xf>
    <xf numFmtId="0" fontId="47" fillId="0" borderId="70" xfId="0" applyFont="1" applyBorder="1" applyAlignment="1">
      <alignment horizontal="left" vertical="center" wrapText="1" indent="1"/>
    </xf>
    <xf numFmtId="0" fontId="47" fillId="0" borderId="70" xfId="0" applyFont="1" applyBorder="1" applyAlignment="1">
      <alignment horizontal="center" vertical="center"/>
    </xf>
    <xf numFmtId="0" fontId="47" fillId="0" borderId="7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78" xfId="0" applyFont="1" applyBorder="1" applyAlignment="1">
      <alignment horizontal="center" vertical="center" wrapText="1"/>
    </xf>
    <xf numFmtId="0" fontId="47" fillId="0" borderId="79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7" fillId="0" borderId="73" xfId="0" applyFont="1" applyBorder="1" applyAlignment="1">
      <alignment horizontal="center" vertical="center" wrapText="1"/>
    </xf>
    <xf numFmtId="0" fontId="47" fillId="0" borderId="74" xfId="0" applyFont="1" applyBorder="1" applyAlignment="1">
      <alignment horizontal="center" vertical="center" wrapText="1"/>
    </xf>
    <xf numFmtId="0" fontId="49" fillId="0" borderId="71" xfId="0" applyFont="1" applyBorder="1" applyAlignment="1">
      <alignment horizontal="left" vertical="center" indent="1"/>
    </xf>
    <xf numFmtId="170" fontId="49" fillId="0" borderId="80" xfId="4" applyNumberFormat="1" applyFont="1" applyBorder="1" applyAlignment="1">
      <alignment horizontal="center" vertical="center"/>
    </xf>
    <xf numFmtId="166" fontId="49" fillId="0" borderId="0" xfId="4" applyNumberFormat="1" applyFont="1" applyAlignment="1">
      <alignment horizontal="center" vertical="center"/>
    </xf>
    <xf numFmtId="170" fontId="49" fillId="0" borderId="82" xfId="4" applyNumberFormat="1" applyFont="1" applyBorder="1" applyAlignment="1">
      <alignment horizontal="center" vertical="center"/>
    </xf>
    <xf numFmtId="9" fontId="49" fillId="0" borderId="80" xfId="3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/>
    <xf numFmtId="170" fontId="49" fillId="0" borderId="83" xfId="4" applyNumberFormat="1" applyFont="1" applyBorder="1" applyAlignment="1">
      <alignment horizontal="center" vertical="center"/>
    </xf>
    <xf numFmtId="170" fontId="49" fillId="0" borderId="84" xfId="4" applyNumberFormat="1" applyFont="1" applyBorder="1" applyAlignment="1">
      <alignment horizontal="center" vertical="center"/>
    </xf>
    <xf numFmtId="170" fontId="49" fillId="0" borderId="86" xfId="4" applyNumberFormat="1" applyFont="1" applyBorder="1" applyAlignment="1">
      <alignment horizontal="center" vertical="center"/>
    </xf>
    <xf numFmtId="9" fontId="49" fillId="0" borderId="84" xfId="3" applyFont="1" applyBorder="1" applyAlignment="1">
      <alignment horizontal="center" vertical="center"/>
    </xf>
    <xf numFmtId="170" fontId="49" fillId="0" borderId="87" xfId="4" applyNumberFormat="1" applyFont="1" applyBorder="1" applyAlignment="1">
      <alignment horizontal="center" vertical="center"/>
    </xf>
    <xf numFmtId="170" fontId="47" fillId="48" borderId="89" xfId="0" applyNumberFormat="1" applyFont="1" applyFill="1" applyBorder="1" applyAlignment="1">
      <alignment horizontal="center" vertical="center"/>
    </xf>
    <xf numFmtId="170" fontId="47" fillId="48" borderId="91" xfId="4" applyNumberFormat="1" applyFont="1" applyFill="1" applyBorder="1" applyAlignment="1">
      <alignment horizontal="center" vertical="center" wrapText="1"/>
    </xf>
    <xf numFmtId="9" fontId="47" fillId="48" borderId="92" xfId="3" applyFont="1" applyFill="1" applyBorder="1" applyAlignment="1">
      <alignment horizontal="center" vertical="center"/>
    </xf>
    <xf numFmtId="170" fontId="47" fillId="48" borderId="93" xfId="4" applyNumberFormat="1" applyFont="1" applyFill="1" applyBorder="1" applyAlignment="1">
      <alignment horizontal="center" vertical="center" wrapText="1"/>
    </xf>
    <xf numFmtId="0" fontId="50" fillId="0" borderId="0" xfId="0" applyFont="1"/>
    <xf numFmtId="170" fontId="47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/>
    </xf>
    <xf numFmtId="166" fontId="52" fillId="48" borderId="93" xfId="4" quotePrefix="1" applyNumberFormat="1" applyFont="1" applyFill="1" applyBorder="1" applyAlignment="1">
      <alignment horizontal="center" vertical="center"/>
    </xf>
    <xf numFmtId="170" fontId="49" fillId="0" borderId="81" xfId="4" applyNumberFormat="1" applyFont="1" applyBorder="1" applyAlignment="1">
      <alignment horizontal="center" vertical="center"/>
    </xf>
    <xf numFmtId="170" fontId="49" fillId="0" borderId="85" xfId="4" applyNumberFormat="1" applyFont="1" applyBorder="1" applyAlignment="1">
      <alignment horizontal="center" vertical="center"/>
    </xf>
    <xf numFmtId="0" fontId="47" fillId="48" borderId="88" xfId="0" applyFont="1" applyFill="1" applyBorder="1" applyAlignment="1">
      <alignment horizontal="left" vertical="center" wrapText="1" indent="1"/>
    </xf>
    <xf numFmtId="174" fontId="45" fillId="0" borderId="42" xfId="0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42" xfId="0" applyFont="1" applyFill="1" applyBorder="1" applyAlignment="1">
      <alignment horizontal="left" vertical="center"/>
    </xf>
    <xf numFmtId="3" fontId="46" fillId="0" borderId="42" xfId="0" applyNumberFormat="1" applyFont="1" applyBorder="1" applyAlignment="1">
      <alignment horizontal="center" vertical="center"/>
    </xf>
    <xf numFmtId="169" fontId="46" fillId="0" borderId="42" xfId="0" applyNumberFormat="1" applyFont="1" applyBorder="1" applyAlignment="1">
      <alignment horizontal="center" vertical="center"/>
    </xf>
    <xf numFmtId="171" fontId="46" fillId="0" borderId="42" xfId="0" applyNumberFormat="1" applyFont="1" applyBorder="1" applyAlignment="1">
      <alignment horizontal="center" vertical="center"/>
    </xf>
    <xf numFmtId="166" fontId="46" fillId="0" borderId="42" xfId="4" applyNumberFormat="1" applyFont="1" applyBorder="1" applyAlignment="1">
      <alignment horizontal="center" vertical="center"/>
    </xf>
    <xf numFmtId="172" fontId="46" fillId="0" borderId="13" xfId="0" applyNumberFormat="1" applyFont="1" applyBorder="1" applyAlignment="1">
      <alignment horizontal="center" vertical="center"/>
    </xf>
    <xf numFmtId="0" fontId="50" fillId="0" borderId="73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50" fillId="0" borderId="74" xfId="0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70" xfId="0" applyFont="1" applyBorder="1" applyAlignment="1">
      <alignment horizontal="left" vertical="center" wrapText="1" indent="1"/>
    </xf>
    <xf numFmtId="170" fontId="50" fillId="0" borderId="70" xfId="0" applyNumberFormat="1" applyFont="1" applyBorder="1" applyAlignment="1">
      <alignment horizontal="center" vertical="center"/>
    </xf>
    <xf numFmtId="170" fontId="50" fillId="0" borderId="103" xfId="0" applyNumberFormat="1" applyFont="1" applyBorder="1" applyAlignment="1">
      <alignment horizontal="center" vertical="center"/>
    </xf>
    <xf numFmtId="170" fontId="50" fillId="0" borderId="82" xfId="4" applyNumberFormat="1" applyFont="1" applyBorder="1" applyAlignment="1">
      <alignment horizontal="center" vertical="center"/>
    </xf>
    <xf numFmtId="9" fontId="50" fillId="0" borderId="80" xfId="3" applyFont="1" applyBorder="1" applyAlignment="1">
      <alignment horizontal="center" vertical="center"/>
    </xf>
    <xf numFmtId="0" fontId="50" fillId="0" borderId="71" xfId="0" applyFont="1" applyBorder="1" applyAlignment="1">
      <alignment horizontal="left" vertical="center" indent="1"/>
    </xf>
    <xf numFmtId="170" fontId="50" fillId="0" borderId="0" xfId="0" applyNumberFormat="1" applyFont="1" applyAlignment="1">
      <alignment horizontal="center" vertical="center"/>
    </xf>
    <xf numFmtId="166" fontId="47" fillId="48" borderId="89" xfId="0" applyNumberFormat="1" applyFont="1" applyFill="1" applyBorder="1" applyAlignment="1">
      <alignment horizontal="center" vertical="center"/>
    </xf>
    <xf numFmtId="166" fontId="47" fillId="48" borderId="91" xfId="4" applyNumberFormat="1" applyFont="1" applyFill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278827751.78509402</c:v>
                </c:pt>
                <c:pt idx="1">
                  <c:v>271885539.47725081</c:v>
                </c:pt>
                <c:pt idx="2">
                  <c:v>263473120.22208402</c:v>
                </c:pt>
                <c:pt idx="3">
                  <c:v>251089732.37749994</c:v>
                </c:pt>
                <c:pt idx="4">
                  <c:v>235766394.6766302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14491.829565511085</c:v>
                </c:pt>
                <c:pt idx="2">
                  <c:v>28616.288684363477</c:v>
                </c:pt>
                <c:pt idx="3">
                  <c:v>42381.419556918554</c:v>
                </c:pt>
                <c:pt idx="4">
                  <c:v>55795.156779288314</c:v>
                </c:pt>
                <c:pt idx="5">
                  <c:v>68865.324822614901</c:v>
                </c:pt>
                <c:pt idx="6">
                  <c:v>81599.635803586803</c:v>
                </c:pt>
                <c:pt idx="7">
                  <c:v>94005.687532191165</c:v>
                </c:pt>
                <c:pt idx="8">
                  <c:v>106090.96182303969</c:v>
                </c:pt>
                <c:pt idx="9">
                  <c:v>117862.82305689622</c:v>
                </c:pt>
                <c:pt idx="10">
                  <c:v>129328.51697935257</c:v>
                </c:pt>
                <c:pt idx="11">
                  <c:v>140495.16972395312</c:v>
                </c:pt>
                <c:pt idx="12">
                  <c:v>151369.78704747837</c:v>
                </c:pt>
                <c:pt idx="13">
                  <c:v>161959.25376532879</c:v>
                </c:pt>
                <c:pt idx="14">
                  <c:v>172270.33337551448</c:v>
                </c:pt>
                <c:pt idx="15">
                  <c:v>182309.66785994079</c:v>
                </c:pt>
                <c:pt idx="16">
                  <c:v>192083.77765223477</c:v>
                </c:pt>
                <c:pt idx="17">
                  <c:v>201599.06176160742</c:v>
                </c:pt>
                <c:pt idx="18">
                  <c:v>210861.79804271925</c:v>
                </c:pt>
                <c:pt idx="19">
                  <c:v>219878.14360188972</c:v>
                </c:pt>
                <c:pt idx="20">
                  <c:v>228654.13533029426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13295.509529323937</c:v>
                </c:pt>
                <c:pt idx="2">
                  <c:v>21598.618951941058</c:v>
                </c:pt>
                <c:pt idx="3">
                  <c:v>28687.312473031718</c:v>
                </c:pt>
                <c:pt idx="4">
                  <c:v>35087.060003398656</c:v>
                </c:pt>
                <c:pt idx="5">
                  <c:v>41018.898008547214</c:v>
                </c:pt>
                <c:pt idx="6">
                  <c:v>46602.676602480256</c:v>
                </c:pt>
                <c:pt idx="7">
                  <c:v>51912.699563754672</c:v>
                </c:pt>
                <c:pt idx="8">
                  <c:v>56999.097137711164</c:v>
                </c:pt>
                <c:pt idx="9">
                  <c:v>61897.732848092484</c:v>
                </c:pt>
                <c:pt idx="10">
                  <c:v>66635.396406668966</c:v>
                </c:pt>
                <c:pt idx="11">
                  <c:v>71232.775303971939</c:v>
                </c:pt>
                <c:pt idx="12">
                  <c:v>75706.271493958528</c:v>
                </c:pt>
                <c:pt idx="13">
                  <c:v>80069.171038177607</c:v>
                </c:pt>
                <c:pt idx="14">
                  <c:v>84332.429243962077</c:v>
                </c:pt>
                <c:pt idx="15">
                  <c:v>88505.216131453315</c:v>
                </c:pt>
                <c:pt idx="16">
                  <c:v>92595.306480495492</c:v>
                </c:pt>
                <c:pt idx="17">
                  <c:v>96609.365675687935</c:v>
                </c:pt>
                <c:pt idx="18">
                  <c:v>100553.16366976241</c:v>
                </c:pt>
                <c:pt idx="19">
                  <c:v>104431.73812325994</c:v>
                </c:pt>
                <c:pt idx="20">
                  <c:v>108249.52082692913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89281.580118580925</c:v>
                </c:pt>
                <c:pt idx="2">
                  <c:v>145038.35480357721</c:v>
                </c:pt>
                <c:pt idx="3">
                  <c:v>192640.12268945246</c:v>
                </c:pt>
                <c:pt idx="4">
                  <c:v>235615.50250554297</c:v>
                </c:pt>
                <c:pt idx="5">
                  <c:v>275448.79125156999</c:v>
                </c:pt>
                <c:pt idx="6">
                  <c:v>312944.80257773394</c:v>
                </c:pt>
                <c:pt idx="7">
                  <c:v>348602.49883998709</c:v>
                </c:pt>
                <c:pt idx="8">
                  <c:v>382758.51305761177</c:v>
                </c:pt>
                <c:pt idx="9">
                  <c:v>415653.6748175681</c:v>
                </c:pt>
                <c:pt idx="10">
                  <c:v>447467.88153503247</c:v>
                </c:pt>
                <c:pt idx="11">
                  <c:v>478340.05318439531</c:v>
                </c:pt>
                <c:pt idx="12">
                  <c:v>508380.33164198685</c:v>
                </c:pt>
                <c:pt idx="13">
                  <c:v>537677.93504314986</c:v>
                </c:pt>
                <c:pt idx="14">
                  <c:v>566306.43011710269</c:v>
                </c:pt>
                <c:pt idx="15">
                  <c:v>594327.39508964703</c:v>
                </c:pt>
                <c:pt idx="16">
                  <c:v>621793.0389135892</c:v>
                </c:pt>
                <c:pt idx="17">
                  <c:v>648748.12076629081</c:v>
                </c:pt>
                <c:pt idx="18">
                  <c:v>675231.38684969023</c:v>
                </c:pt>
                <c:pt idx="19">
                  <c:v>701276.66590064147</c:v>
                </c:pt>
                <c:pt idx="20">
                  <c:v>726913.71813855623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18613.952094099255</c:v>
                </c:pt>
                <c:pt idx="2">
                  <c:v>28213.475557257159</c:v>
                </c:pt>
                <c:pt idx="3">
                  <c:v>35984.157973532667</c:v>
                </c:pt>
                <c:pt idx="4">
                  <c:v>42763.632300970858</c:v>
                </c:pt>
                <c:pt idx="5">
                  <c:v>48890.062724991418</c:v>
                </c:pt>
                <c:pt idx="6">
                  <c:v>54541.784372410693</c:v>
                </c:pt>
                <c:pt idx="7">
                  <c:v>59827.026172457583</c:v>
                </c:pt>
                <c:pt idx="8">
                  <c:v>64817.545922740705</c:v>
                </c:pt>
                <c:pt idx="9">
                  <c:v>69563.92809642147</c:v>
                </c:pt>
                <c:pt idx="10">
                  <c:v>74103.478010002</c:v>
                </c:pt>
                <c:pt idx="11">
                  <c:v>78464.679102317328</c:v>
                </c:pt>
                <c:pt idx="12">
                  <c:v>82669.88614030082</c:v>
                </c:pt>
                <c:pt idx="13">
                  <c:v>86737.041191285593</c:v>
                </c:pt>
                <c:pt idx="14">
                  <c:v>90680.814694645131</c:v>
                </c:pt>
                <c:pt idx="15">
                  <c:v>94513.391435541067</c:v>
                </c:pt>
                <c:pt idx="16">
                  <c:v>98245.028155646592</c:v>
                </c:pt>
                <c:pt idx="17">
                  <c:v>101884.45922561883</c:v>
                </c:pt>
                <c:pt idx="18">
                  <c:v>105439.19824728416</c:v>
                </c:pt>
                <c:pt idx="19">
                  <c:v>108915.76655854023</c:v>
                </c:pt>
                <c:pt idx="20">
                  <c:v>112319.869255799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0</c:v>
                </c:pt>
                <c:pt idx="1">
                  <c:v>8342.1920884288847</c:v>
                </c:pt>
                <c:pt idx="2">
                  <c:v>12088.393296157941</c:v>
                </c:pt>
                <c:pt idx="3">
                  <c:v>13769.391793690622</c:v>
                </c:pt>
                <c:pt idx="4">
                  <c:v>14523.429975576699</c:v>
                </c:pt>
                <c:pt idx="5">
                  <c:v>14861.613123927265</c:v>
                </c:pt>
                <c:pt idx="6">
                  <c:v>15013.276375984773</c:v>
                </c:pt>
                <c:pt idx="7">
                  <c:v>15081.28988950327</c:v>
                </c:pt>
                <c:pt idx="8">
                  <c:v>15111.790180195123</c:v>
                </c:pt>
                <c:pt idx="9">
                  <c:v>15125.467784030363</c:v>
                </c:pt>
                <c:pt idx="10">
                  <c:v>15131.601375410333</c:v>
                </c:pt>
                <c:pt idx="11">
                  <c:v>15134.351922670379</c:v>
                </c:pt>
                <c:pt idx="12">
                  <c:v>15135.585377179086</c:v>
                </c:pt>
                <c:pt idx="13">
                  <c:v>15136.138506973162</c:v>
                </c:pt>
                <c:pt idx="14">
                  <c:v>15136.386552223936</c:v>
                </c:pt>
                <c:pt idx="15">
                  <c:v>15136.49778550677</c:v>
                </c:pt>
                <c:pt idx="16">
                  <c:v>15136.547666901723</c:v>
                </c:pt>
                <c:pt idx="17">
                  <c:v>15136.570035688579</c:v>
                </c:pt>
                <c:pt idx="18">
                  <c:v>15136.580066736788</c:v>
                </c:pt>
                <c:pt idx="19">
                  <c:v>15136.584565052763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1346172.4927629044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28154.025053609163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448119.10000000003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157042.17063662564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2142864.5810000002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126447.32566596754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13102.766377672971</c:v>
                </c:pt>
                <c:pt idx="2">
                  <c:v>21285.506778321567</c:v>
                </c:pt>
                <c:pt idx="3">
                  <c:v>28271.436495788948</c:v>
                </c:pt>
                <c:pt idx="4">
                  <c:v>34578.407776697168</c:v>
                </c:pt>
                <c:pt idx="5">
                  <c:v>40424.252751667111</c:v>
                </c:pt>
                <c:pt idx="6">
                  <c:v>45927.084084275411</c:v>
                </c:pt>
                <c:pt idx="7">
                  <c:v>51160.128381540155</c:v>
                </c:pt>
                <c:pt idx="8">
                  <c:v>56172.789157610736</c:v>
                </c:pt>
                <c:pt idx="9">
                  <c:v>61000.41002771636</c:v>
                </c:pt>
                <c:pt idx="10">
                  <c:v>65669.392336903504</c:v>
                </c:pt>
                <c:pt idx="11">
                  <c:v>70200.123672031797</c:v>
                </c:pt>
                <c:pt idx="12">
                  <c:v>74608.768210214039</c:v>
                </c:pt>
                <c:pt idx="13">
                  <c:v>78908.419406813613</c:v>
                </c:pt>
                <c:pt idx="14">
                  <c:v>83109.873751597304</c:v>
                </c:pt>
                <c:pt idx="15">
                  <c:v>87222.168328200525</c:v>
                </c:pt>
                <c:pt idx="16">
                  <c:v>91252.965206565772</c:v>
                </c:pt>
                <c:pt idx="17">
                  <c:v>95208.833144139324</c:v>
                </c:pt>
                <c:pt idx="18">
                  <c:v>99095.458447451107</c:v>
                </c:pt>
                <c:pt idx="19">
                  <c:v>102917.80574677821</c:v>
                </c:pt>
                <c:pt idx="20">
                  <c:v>106680.24258581536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2434900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83389.097243970609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7092172.847014742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159289.63557628606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1.3461724927629044</c:v>
                </c:pt>
                <c:pt idx="1">
                  <c:v>1.3461724927629044</c:v>
                </c:pt>
                <c:pt idx="2">
                  <c:v>1.3461724927629044</c:v>
                </c:pt>
                <c:pt idx="3">
                  <c:v>1.3461724927629044</c:v>
                </c:pt>
                <c:pt idx="4">
                  <c:v>1.3461724927629044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6.9749847570000014</c:v>
                </c:pt>
                <c:pt idx="1">
                  <c:v>6.9749847570000014</c:v>
                </c:pt>
                <c:pt idx="2">
                  <c:v>6.9749847570000014</c:v>
                </c:pt>
                <c:pt idx="3">
                  <c:v>6.9749847570000014</c:v>
                </c:pt>
                <c:pt idx="4">
                  <c:v>6.9749847570000014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2.4348999999999998</c:v>
                </c:pt>
                <c:pt idx="1">
                  <c:v>2.4348999999999998</c:v>
                </c:pt>
                <c:pt idx="2">
                  <c:v>2.4348999999999998</c:v>
                </c:pt>
                <c:pt idx="3">
                  <c:v>2.4348999999999998</c:v>
                </c:pt>
                <c:pt idx="4">
                  <c:v>2.4348999999999998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7.0921728470147416</c:v>
                </c:pt>
                <c:pt idx="1">
                  <c:v>7.0921728470147416</c:v>
                </c:pt>
                <c:pt idx="2">
                  <c:v>7.0921728470147416</c:v>
                </c:pt>
                <c:pt idx="3">
                  <c:v>7.0921728470147416</c:v>
                </c:pt>
                <c:pt idx="4">
                  <c:v>7.0921728470147416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2.1428645810000004</c:v>
                </c:pt>
                <c:pt idx="1">
                  <c:v>2.1428645810000004</c:v>
                </c:pt>
                <c:pt idx="2">
                  <c:v>2.1428645810000004</c:v>
                </c:pt>
                <c:pt idx="3">
                  <c:v>2.1428645810000004</c:v>
                </c:pt>
                <c:pt idx="4">
                  <c:v>2.1428645810000004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0.44811910000000005</c:v>
                </c:pt>
                <c:pt idx="1">
                  <c:v>0.44811910000000005</c:v>
                </c:pt>
                <c:pt idx="2">
                  <c:v>0.44811910000000005</c:v>
                </c:pt>
                <c:pt idx="3">
                  <c:v>0.44811910000000005</c:v>
                </c:pt>
                <c:pt idx="4">
                  <c:v>0.44811910000000005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14</xdr:row>
      <xdr:rowOff>2116</xdr:rowOff>
    </xdr:from>
    <xdr:to>
      <xdr:col>20</xdr:col>
      <xdr:colOff>87983</xdr:colOff>
      <xdr:row>29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>
        <row r="5">
          <cell r="D5">
            <v>225.94</v>
          </cell>
        </row>
      </sheetData>
      <sheetData sheetId="2">
        <row r="3">
          <cell r="D3" t="str">
            <v>Incr. Doses</v>
          </cell>
        </row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topLeftCell="A16" zoomScale="75" zoomScaleNormal="75" workbookViewId="0">
      <selection activeCell="K8" sqref="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50" t="s">
        <v>200</v>
      </c>
      <c r="H4" s="350"/>
      <c r="I4" s="351" t="s">
        <v>201</v>
      </c>
      <c r="J4" s="351"/>
      <c r="K4" s="352" t="s">
        <v>202</v>
      </c>
      <c r="L4" s="352"/>
    </row>
    <row r="5" spans="2:13" ht="38.65" customHeight="1" x14ac:dyDescent="0.25">
      <c r="B5" s="197"/>
      <c r="C5" s="271" t="s">
        <v>203</v>
      </c>
      <c r="D5" s="271" t="s">
        <v>204</v>
      </c>
      <c r="E5" s="181" t="s">
        <v>205</v>
      </c>
      <c r="F5" s="271" t="s">
        <v>274</v>
      </c>
      <c r="G5" s="292" t="s">
        <v>247</v>
      </c>
      <c r="H5" s="292"/>
      <c r="I5" s="292" t="s">
        <v>247</v>
      </c>
      <c r="J5" s="292"/>
      <c r="K5" s="292" t="s">
        <v>247</v>
      </c>
      <c r="L5" s="292"/>
      <c r="M5" s="293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278827751.78509402</v>
      </c>
      <c r="H6" s="183"/>
      <c r="I6" s="183">
        <f t="shared" ref="I6:J10" si="0">G6-$F$8</f>
        <v>30471991.440669239</v>
      </c>
      <c r="J6" s="183">
        <f t="shared" si="0"/>
        <v>-248355760.34442478</v>
      </c>
      <c r="K6" s="186">
        <f t="shared" ref="K6:L10" si="1">G6/$C6</f>
        <v>7.1980427661241988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271885539.47725081</v>
      </c>
      <c r="H7" s="187"/>
      <c r="I7" s="183">
        <f t="shared" si="0"/>
        <v>23529779.13282603</v>
      </c>
      <c r="J7" s="183">
        <f t="shared" si="0"/>
        <v>-248355760.34442478</v>
      </c>
      <c r="K7" s="186">
        <f t="shared" si="1"/>
        <v>7.6569021351402302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263473120.22208402</v>
      </c>
      <c r="H8" s="183"/>
      <c r="I8" s="183">
        <f t="shared" si="0"/>
        <v>15117359.877659231</v>
      </c>
      <c r="J8" s="183">
        <f t="shared" si="0"/>
        <v>-248355760.34442478</v>
      </c>
      <c r="K8" s="186">
        <f t="shared" si="1"/>
        <v>8.1619886468594842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251089732.37749994</v>
      </c>
      <c r="H9" s="183"/>
      <c r="I9" s="183">
        <f t="shared" si="0"/>
        <v>2733972.0330751538</v>
      </c>
      <c r="J9" s="183">
        <f t="shared" si="0"/>
        <v>-248355760.34442478</v>
      </c>
      <c r="K9" s="186">
        <f t="shared" si="1"/>
        <v>8.6426338852188085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235766394.6766302</v>
      </c>
      <c r="H10" s="183"/>
      <c r="I10" s="183">
        <f t="shared" si="0"/>
        <v>-12589365.667794585</v>
      </c>
      <c r="J10" s="183">
        <f t="shared" si="0"/>
        <v>-248355760.34442478</v>
      </c>
      <c r="K10" s="186">
        <f t="shared" si="1"/>
        <v>9.1295965744039567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53" t="s">
        <v>206</v>
      </c>
      <c r="G13" s="353"/>
      <c r="H13" s="353" t="s">
        <v>207</v>
      </c>
      <c r="I13" s="353"/>
    </row>
    <row r="14" spans="2:13" x14ac:dyDescent="0.25">
      <c r="C14" s="180" t="s">
        <v>203</v>
      </c>
      <c r="D14" s="180" t="s">
        <v>204</v>
      </c>
      <c r="E14" s="97" t="s">
        <v>208</v>
      </c>
      <c r="F14" s="292" t="s">
        <v>247</v>
      </c>
      <c r="G14" s="182"/>
      <c r="H14" s="292" t="s">
        <v>247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6942212.3078432083</v>
      </c>
      <c r="G15" s="192">
        <f>H6-H7</f>
        <v>0</v>
      </c>
      <c r="H15" s="186">
        <f t="shared" ref="H15:I18" si="4">F15/$E15</f>
        <v>2.1505897069478426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8412419.2551667988</v>
      </c>
      <c r="G16" s="192">
        <f t="shared" si="3"/>
        <v>0</v>
      </c>
      <c r="H16" s="186">
        <f>F16/$E16</f>
        <v>2.6060370179476968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12383387.844584078</v>
      </c>
      <c r="G17" s="192">
        <f t="shared" si="3"/>
        <v>0</v>
      </c>
      <c r="H17" s="186">
        <f>F17/$E17</f>
        <v>3.836181501625572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15323337.700869739</v>
      </c>
      <c r="G18" s="192">
        <f t="shared" si="3"/>
        <v>0</v>
      </c>
      <c r="H18" s="186">
        <f t="shared" si="4"/>
        <v>4.7469323717376177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abSelected="1" topLeftCell="A10" zoomScale="75" zoomScaleNormal="75" workbookViewId="0">
      <selection activeCell="W27" sqref="W27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359-CAD4-43FF-B805-E3FA1795751D}">
  <dimension ref="C2:I13"/>
  <sheetViews>
    <sheetView showGridLines="0" workbookViewId="0">
      <selection activeCell="F15" sqref="F15"/>
    </sheetView>
  </sheetViews>
  <sheetFormatPr defaultRowHeight="15" x14ac:dyDescent="0.25"/>
  <cols>
    <col min="1" max="2" width="9.140625" style="97"/>
    <col min="3" max="3" width="21" style="97" customWidth="1"/>
    <col min="4" max="4" width="11.7109375" style="97" bestFit="1" customWidth="1"/>
    <col min="5" max="5" width="9.7109375" style="97" customWidth="1"/>
    <col min="6" max="6" width="10.855468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480"/>
      <c r="D2" s="508" t="s">
        <v>270</v>
      </c>
      <c r="E2" s="509"/>
      <c r="F2" s="510"/>
      <c r="G2" s="450"/>
      <c r="H2" s="451" t="s">
        <v>302</v>
      </c>
      <c r="I2" s="452"/>
    </row>
    <row r="3" spans="3:9" ht="25.5" x14ac:dyDescent="0.25">
      <c r="C3" s="511" t="s">
        <v>211</v>
      </c>
      <c r="D3" s="511" t="s">
        <v>218</v>
      </c>
      <c r="E3" s="512" t="s">
        <v>300</v>
      </c>
      <c r="F3" s="513" t="s">
        <v>301</v>
      </c>
      <c r="G3" s="513"/>
      <c r="H3" s="514" t="s">
        <v>221</v>
      </c>
      <c r="I3" s="512" t="s">
        <v>214</v>
      </c>
    </row>
    <row r="4" spans="3:9" x14ac:dyDescent="0.25">
      <c r="C4" s="515" t="s">
        <v>224</v>
      </c>
      <c r="D4" s="516">
        <v>1.755293</v>
      </c>
      <c r="E4" s="516">
        <f>VAC_Optim_Scenario!G17/1000000</f>
        <v>1.2287050999999998</v>
      </c>
      <c r="F4" s="516">
        <f>VAC_Optim_Scenario!H17/1000000</f>
        <v>2.2818809</v>
      </c>
      <c r="G4" s="517"/>
      <c r="H4" s="518">
        <v>1.2287050999999998</v>
      </c>
      <c r="I4" s="519">
        <f>(H4-D4)/D4</f>
        <v>-0.3000000000000001</v>
      </c>
    </row>
    <row r="5" spans="3:9" x14ac:dyDescent="0.25">
      <c r="C5" s="520" t="s">
        <v>225</v>
      </c>
      <c r="D5" s="516">
        <v>5.3653728900000006</v>
      </c>
      <c r="E5" s="516">
        <f>VAC_Optim_Scenario!G18/1000000</f>
        <v>3.7557610230000003</v>
      </c>
      <c r="F5" s="516">
        <f>VAC_Optim_Scenario!H18/1000000</f>
        <v>6.9749847570000014</v>
      </c>
      <c r="G5" s="521"/>
      <c r="H5" s="518">
        <v>6.9749847570000023</v>
      </c>
      <c r="I5" s="519">
        <f t="shared" ref="I5:I12" si="0">(H5-D5)/D5</f>
        <v>0.30000000000000027</v>
      </c>
    </row>
    <row r="6" spans="3:9" x14ac:dyDescent="0.25">
      <c r="C6" s="520" t="s">
        <v>226</v>
      </c>
      <c r="D6" s="516">
        <v>1.873</v>
      </c>
      <c r="E6" s="516">
        <f>VAC_Optim_Scenario!G19/1000000</f>
        <v>1.3110999999999999</v>
      </c>
      <c r="F6" s="516">
        <f>VAC_Optim_Scenario!H19/1000000</f>
        <v>2.4348999999999998</v>
      </c>
      <c r="G6" s="521"/>
      <c r="H6" s="518">
        <v>1.5630566187892538</v>
      </c>
      <c r="I6" s="519">
        <f t="shared" si="0"/>
        <v>-0.1654796482705532</v>
      </c>
    </row>
    <row r="7" spans="3:9" x14ac:dyDescent="0.25">
      <c r="C7" s="520" t="s">
        <v>244</v>
      </c>
      <c r="D7" s="516">
        <v>0.17307694000000001</v>
      </c>
      <c r="E7" s="516">
        <f>VAC_Optim_Scenario!G20/1000000</f>
        <v>0.12115385799999999</v>
      </c>
      <c r="F7" s="516">
        <f>VAC_Optim_Scenario!H20/1000000</f>
        <v>0.22500002199999999</v>
      </c>
      <c r="G7" s="521"/>
      <c r="H7" s="518">
        <v>0.22500002199999999</v>
      </c>
      <c r="I7" s="519">
        <f t="shared" si="0"/>
        <v>0.29999999999999988</v>
      </c>
    </row>
    <row r="8" spans="3:9" x14ac:dyDescent="0.25">
      <c r="C8" s="520" t="s">
        <v>246</v>
      </c>
      <c r="D8" s="516">
        <v>6.1801250000000003</v>
      </c>
      <c r="E8" s="516">
        <f>VAC_Optim_Scenario!G21/1000000</f>
        <v>4.3260874999999999</v>
      </c>
      <c r="F8" s="516">
        <f>VAC_Optim_Scenario!H21/1000000</f>
        <v>8.0341625000000008</v>
      </c>
      <c r="G8" s="521"/>
      <c r="H8" s="518">
        <v>4.3260874999999999</v>
      </c>
      <c r="I8" s="519">
        <f t="shared" si="0"/>
        <v>-0.30000000000000004</v>
      </c>
    </row>
    <row r="9" spans="3:9" x14ac:dyDescent="0.25">
      <c r="C9" s="520" t="s">
        <v>227</v>
      </c>
      <c r="D9" s="516">
        <v>1.64835737</v>
      </c>
      <c r="E9" s="516">
        <f>VAC_Optim_Scenario!G22/1000000</f>
        <v>1.1538501589999999</v>
      </c>
      <c r="F9" s="516">
        <f>VAC_Optim_Scenario!H22/1000000</f>
        <v>2.1428645810000004</v>
      </c>
      <c r="G9" s="521"/>
      <c r="H9" s="518">
        <v>2.1428645810000004</v>
      </c>
      <c r="I9" s="519">
        <f t="shared" si="0"/>
        <v>0.30000000000000021</v>
      </c>
    </row>
    <row r="10" spans="3:9" x14ac:dyDescent="0.25">
      <c r="C10" s="520" t="s">
        <v>228</v>
      </c>
      <c r="D10" s="516">
        <v>0.34470699999999999</v>
      </c>
      <c r="E10" s="516">
        <f>VAC_Optim_Scenario!G23/1000000</f>
        <v>0.24129490000000001</v>
      </c>
      <c r="F10" s="516">
        <f>VAC_Optim_Scenario!H23/1000000</f>
        <v>0.44811910000000005</v>
      </c>
      <c r="G10" s="521"/>
      <c r="H10" s="518">
        <v>0.44811910000000005</v>
      </c>
      <c r="I10" s="519">
        <f t="shared" si="0"/>
        <v>0.30000000000000021</v>
      </c>
    </row>
    <row r="11" spans="3:9" x14ac:dyDescent="0.25">
      <c r="C11" s="520" t="s">
        <v>190</v>
      </c>
      <c r="D11" s="516">
        <v>1.4370484099999998</v>
      </c>
      <c r="E11" s="516">
        <f>VAC_Optim_Scenario!G24/1000000</f>
        <v>1.0059338869999999</v>
      </c>
      <c r="F11" s="516">
        <f>VAC_Optim_Scenario!H24/1000000</f>
        <v>1.868162933</v>
      </c>
      <c r="G11" s="521"/>
      <c r="H11" s="518">
        <v>1.868162933</v>
      </c>
      <c r="I11" s="519">
        <f t="shared" si="0"/>
        <v>0.30000000000000016</v>
      </c>
    </row>
    <row r="12" spans="3:9" x14ac:dyDescent="0.25">
      <c r="C12" s="520" t="s">
        <v>187</v>
      </c>
      <c r="D12" s="516">
        <v>13.503524990000001</v>
      </c>
      <c r="E12" s="516">
        <f>VAC_Optim_Scenario!G25/1000000</f>
        <v>13.503524990000001</v>
      </c>
      <c r="F12" s="516">
        <f>VAC_Optim_Scenario!H25/1000000</f>
        <v>13.503524990000001</v>
      </c>
      <c r="G12" s="521"/>
      <c r="H12" s="518">
        <v>13.503524990000001</v>
      </c>
      <c r="I12" s="519">
        <f t="shared" si="0"/>
        <v>0</v>
      </c>
    </row>
    <row r="13" spans="3:9" ht="25.5" x14ac:dyDescent="0.25">
      <c r="C13" s="487" t="s">
        <v>217</v>
      </c>
      <c r="D13" s="522">
        <f>SUM(D4:D12)</f>
        <v>32.280505599999998</v>
      </c>
      <c r="E13" s="522">
        <f>SUM(E4:E12)</f>
        <v>26.647411417000001</v>
      </c>
      <c r="F13" s="522">
        <f>SUM(F4:F12)</f>
        <v>37.913599783000002</v>
      </c>
      <c r="G13" s="521"/>
      <c r="H13" s="523">
        <f>SUM(H4:H12)</f>
        <v>32.280505601789258</v>
      </c>
      <c r="I13" s="478">
        <f>(H13-D13)/D13</f>
        <v>5.5428509009525981E-11</v>
      </c>
    </row>
  </sheetData>
  <mergeCells count="2">
    <mergeCell ref="D2:F2"/>
    <mergeCell ref="H2:I2"/>
  </mergeCells>
  <conditionalFormatting sqref="I4:I12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F67"/>
  <sheetViews>
    <sheetView showGridLines="0" topLeftCell="A19" zoomScale="90" zoomScaleNormal="90" workbookViewId="0">
      <selection activeCell="F22" sqref="F22:F30"/>
    </sheetView>
  </sheetViews>
  <sheetFormatPr defaultColWidth="8.7109375" defaultRowHeight="15" x14ac:dyDescent="0.25"/>
  <cols>
    <col min="1" max="1" width="5.28515625" style="97" bestFit="1" customWidth="1"/>
    <col min="2" max="2" width="20.140625" style="97" customWidth="1"/>
    <col min="3" max="3" width="10.7109375" style="97" customWidth="1"/>
    <col min="4" max="4" width="10.5703125" style="97" customWidth="1"/>
    <col min="5" max="5" width="0.85546875" style="97" customWidth="1"/>
    <col min="6" max="8" width="10" style="97" customWidth="1"/>
    <col min="9" max="9" width="0.85546875" style="97" customWidth="1"/>
    <col min="10" max="12" width="10" style="97" customWidth="1"/>
    <col min="13" max="13" width="0.85546875" style="97" customWidth="1"/>
    <col min="14" max="16" width="10" style="97" customWidth="1"/>
    <col min="17" max="17" width="0.85546875" style="97" customWidth="1"/>
    <col min="18" max="20" width="10" style="97" customWidth="1"/>
    <col min="21" max="21" width="0.85546875" style="97" customWidth="1"/>
    <col min="22" max="23" width="10" style="97" customWidth="1"/>
    <col min="24" max="24" width="11.42578125" style="97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29" width="8.7109375" style="97"/>
    <col min="30" max="30" width="11" style="97" bestFit="1" customWidth="1"/>
    <col min="31" max="31" width="8.7109375" style="97"/>
    <col min="32" max="32" width="12" style="97" bestFit="1" customWidth="1"/>
    <col min="33" max="16384" width="8.7109375" style="97"/>
  </cols>
  <sheetData>
    <row r="3" spans="1:32" x14ac:dyDescent="0.25">
      <c r="B3" s="194">
        <f>SUM(C9:C13)</f>
        <v>10219266.309999999</v>
      </c>
      <c r="C3" s="194">
        <f>SUM(D9:D13)</f>
        <v>103543587.85847765</v>
      </c>
    </row>
    <row r="4" spans="1:32" x14ac:dyDescent="0.25">
      <c r="F4" s="362" t="s">
        <v>288</v>
      </c>
      <c r="G4" s="362"/>
      <c r="H4" s="362"/>
      <c r="I4" s="362"/>
      <c r="J4" s="362"/>
      <c r="K4" s="362"/>
      <c r="L4" s="362"/>
      <c r="M4" s="362"/>
      <c r="N4" s="362"/>
      <c r="O4" s="362"/>
      <c r="P4" s="362"/>
    </row>
    <row r="5" spans="1:32" x14ac:dyDescent="0.25">
      <c r="F5" s="356" t="s">
        <v>255</v>
      </c>
      <c r="G5" s="357"/>
      <c r="H5" s="358"/>
      <c r="I5" s="195"/>
      <c r="J5" s="356" t="s">
        <v>284</v>
      </c>
      <c r="K5" s="357"/>
      <c r="L5" s="358"/>
      <c r="M5" s="195"/>
      <c r="N5" s="356" t="s">
        <v>285</v>
      </c>
      <c r="O5" s="357"/>
      <c r="P5" s="358"/>
      <c r="R5" s="356" t="s">
        <v>286</v>
      </c>
      <c r="S5" s="357"/>
      <c r="T5" s="358"/>
      <c r="V5" s="356" t="s">
        <v>287</v>
      </c>
      <c r="W5" s="357"/>
      <c r="X5" s="358"/>
      <c r="Z5" s="97" t="s">
        <v>248</v>
      </c>
    </row>
    <row r="6" spans="1:32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32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1228705.0999999999</v>
      </c>
      <c r="G7" s="191">
        <v>-0.3000000000000001</v>
      </c>
      <c r="H7" s="199">
        <v>5933732.8283146154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1228705.0999999999</v>
      </c>
      <c r="S7" s="191">
        <v>-0.3000000000000001</v>
      </c>
      <c r="T7" s="199">
        <v>5933732.8283146154</v>
      </c>
      <c r="V7" s="199">
        <v>1346172.4927629044</v>
      </c>
      <c r="W7" s="191">
        <v>-0.23307818537252506</v>
      </c>
      <c r="X7" s="199">
        <v>6361120.4206124544</v>
      </c>
      <c r="Z7" s="199">
        <f>VAC_Optim_Scenario!$H35</f>
        <v>1346172.4927629044</v>
      </c>
      <c r="AA7" s="191">
        <f>(Z7-$C7)/$C7</f>
        <v>-0.23307818537252506</v>
      </c>
      <c r="AB7" s="199">
        <f>VAC_Optim_Scenario!$J35</f>
        <v>6361120.4206124544</v>
      </c>
      <c r="AD7" s="199"/>
      <c r="AE7" s="191"/>
      <c r="AF7" s="199"/>
    </row>
    <row r="8" spans="1:32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6974984.7570000021</v>
      </c>
      <c r="G8" s="191">
        <v>0.30000000000000027</v>
      </c>
      <c r="H8" s="199">
        <v>75572474.639871225</v>
      </c>
      <c r="I8" s="199"/>
      <c r="J8" s="199">
        <v>6142471.5812666574</v>
      </c>
      <c r="K8" s="191">
        <v>0.14483591489326231</v>
      </c>
      <c r="L8" s="199">
        <v>69834638.480821177</v>
      </c>
      <c r="N8" s="199">
        <v>4437620.453671799</v>
      </c>
      <c r="O8" s="191">
        <v>-0.17291481046123552</v>
      </c>
      <c r="P8" s="199">
        <v>55817844.991430849</v>
      </c>
      <c r="R8" s="199">
        <v>6974984.7570000011</v>
      </c>
      <c r="S8" s="191">
        <v>0.30000000000000004</v>
      </c>
      <c r="T8" s="199">
        <v>75572474.639871225</v>
      </c>
      <c r="V8" s="199">
        <v>6974984.7570000011</v>
      </c>
      <c r="W8" s="191">
        <v>0.30000000000000004</v>
      </c>
      <c r="X8" s="199">
        <v>75572474.639871225</v>
      </c>
      <c r="Z8" s="199">
        <f>VAC_Optim_Scenario!$H36</f>
        <v>6974984.7570000011</v>
      </c>
      <c r="AA8" s="191">
        <f t="shared" ref="AA8:AA15" si="0">(Z8-$C8)/$C8</f>
        <v>0.30000000000000004</v>
      </c>
      <c r="AB8" s="199">
        <f>VAC_Optim_Scenario!$J36</f>
        <v>75572474.639871225</v>
      </c>
      <c r="AD8" s="199"/>
      <c r="AE8" s="191"/>
      <c r="AF8" s="199"/>
    </row>
    <row r="9" spans="1:32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1563056.6187892538</v>
      </c>
      <c r="G9" s="191">
        <v>-0.16547964827055325</v>
      </c>
      <c r="H9" s="199">
        <v>14441042.454781551</v>
      </c>
      <c r="I9" s="199"/>
      <c r="J9" s="199">
        <v>1311100</v>
      </c>
      <c r="K9" s="191">
        <v>-0.3</v>
      </c>
      <c r="L9" s="199">
        <v>12995566.302066877</v>
      </c>
      <c r="N9" s="199">
        <v>1311100</v>
      </c>
      <c r="O9" s="191">
        <v>-0.3</v>
      </c>
      <c r="P9" s="199">
        <v>12995566.302066877</v>
      </c>
      <c r="R9" s="199">
        <v>2434900</v>
      </c>
      <c r="S9" s="191">
        <v>0.3</v>
      </c>
      <c r="T9" s="199">
        <v>18840932.631302718</v>
      </c>
      <c r="V9" s="199">
        <v>2434900</v>
      </c>
      <c r="W9" s="191">
        <v>0.3</v>
      </c>
      <c r="X9" s="199">
        <v>18840932.631302718</v>
      </c>
      <c r="Z9" s="199">
        <f>VAC_Optim_Scenario!$H37</f>
        <v>2434900</v>
      </c>
      <c r="AA9" s="191">
        <f t="shared" si="0"/>
        <v>0.3</v>
      </c>
      <c r="AB9" s="199">
        <f>VAC_Optim_Scenario!$J37</f>
        <v>18840932.631302718</v>
      </c>
      <c r="AD9" s="199"/>
      <c r="AE9" s="191"/>
      <c r="AF9" s="199"/>
    </row>
    <row r="10" spans="1:32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157330.70412100258</v>
      </c>
      <c r="K10" s="191">
        <v>-9.0978242849668031E-2</v>
      </c>
      <c r="L10" s="199">
        <v>1598632.8120784354</v>
      </c>
      <c r="N10" s="199">
        <v>121153.85800000001</v>
      </c>
      <c r="O10" s="191">
        <v>-0.3</v>
      </c>
      <c r="P10" s="199">
        <v>1314601.0547516858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  <c r="AD10" s="199"/>
      <c r="AE10" s="191"/>
      <c r="AF10" s="199"/>
    </row>
    <row r="11" spans="1:32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4326087.5</v>
      </c>
      <c r="G11" s="191">
        <v>-0.3</v>
      </c>
      <c r="H11" s="199">
        <v>25462546.467915077</v>
      </c>
      <c r="I11" s="199"/>
      <c r="J11" s="199">
        <v>4326087.5</v>
      </c>
      <c r="K11" s="191">
        <v>-0.3</v>
      </c>
      <c r="L11" s="199">
        <v>25462546.467915077</v>
      </c>
      <c r="N11" s="199">
        <v>4326087.5</v>
      </c>
      <c r="O11" s="191">
        <v>-0.3</v>
      </c>
      <c r="P11" s="199">
        <v>25462546.467915077</v>
      </c>
      <c r="R11" s="199">
        <v>5331942.1791104125</v>
      </c>
      <c r="S11" s="191">
        <v>-0.13724363518368762</v>
      </c>
      <c r="T11" s="199">
        <v>29475075.546560727</v>
      </c>
      <c r="V11" s="199">
        <v>7092172.847014742</v>
      </c>
      <c r="W11" s="191">
        <v>0.14757757278610739</v>
      </c>
      <c r="X11" s="199">
        <v>35989900.262106076</v>
      </c>
      <c r="Z11" s="199">
        <f>VAC_Optim_Scenario!$H39</f>
        <v>7092172.847014742</v>
      </c>
      <c r="AA11" s="191">
        <f t="shared" si="0"/>
        <v>0.14757757278610739</v>
      </c>
      <c r="AB11" s="199">
        <f>VAC_Optim_Scenario!$J39</f>
        <v>35989900.262106076</v>
      </c>
      <c r="AD11" s="199"/>
      <c r="AE11" s="191"/>
      <c r="AF11" s="199"/>
    </row>
    <row r="12" spans="1:32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2142864.5810000002</v>
      </c>
      <c r="G12" s="191">
        <v>0.30000000000000004</v>
      </c>
      <c r="H12" s="199">
        <v>28569508.760968704</v>
      </c>
      <c r="I12" s="199"/>
      <c r="J12" s="199">
        <v>2142864.5810000002</v>
      </c>
      <c r="K12" s="191">
        <v>0.30000000000000004</v>
      </c>
      <c r="L12" s="199">
        <v>28569508.760968704</v>
      </c>
      <c r="N12" s="199">
        <v>2142864.5810000002</v>
      </c>
      <c r="O12" s="191">
        <v>0.30000000000000004</v>
      </c>
      <c r="P12" s="199">
        <v>28569508.760968704</v>
      </c>
      <c r="R12" s="199">
        <v>2142864.5810000002</v>
      </c>
      <c r="S12" s="191">
        <v>0.30000000000000004</v>
      </c>
      <c r="T12" s="199">
        <v>28569508.760968704</v>
      </c>
      <c r="V12" s="199">
        <v>2142864.5810000002</v>
      </c>
      <c r="W12" s="191">
        <v>0.30000000000000004</v>
      </c>
      <c r="X12" s="199">
        <v>28569508.760968704</v>
      </c>
      <c r="Z12" s="199">
        <f>VAC_Optim_Scenario!$H40</f>
        <v>2142864.5810000002</v>
      </c>
      <c r="AA12" s="191">
        <f t="shared" si="0"/>
        <v>0.30000000000000004</v>
      </c>
      <c r="AB12" s="199">
        <f>VAC_Optim_Scenario!$J40</f>
        <v>28569508.760968704</v>
      </c>
      <c r="AD12" s="199"/>
      <c r="AE12" s="191"/>
      <c r="AF12" s="199"/>
    </row>
    <row r="13" spans="1:32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448119.10000000003</v>
      </c>
      <c r="G13" s="191">
        <v>0.3000000000000001</v>
      </c>
      <c r="H13" s="199">
        <v>35482108.0336392</v>
      </c>
      <c r="I13" s="199"/>
      <c r="J13" s="199">
        <v>448119.10000000003</v>
      </c>
      <c r="K13" s="191">
        <v>0.3000000000000001</v>
      </c>
      <c r="L13" s="199">
        <v>35482108.0336392</v>
      </c>
      <c r="N13" s="199">
        <v>448119.10000000003</v>
      </c>
      <c r="O13" s="191">
        <v>0.3000000000000001</v>
      </c>
      <c r="P13" s="199">
        <v>35482108.0336392</v>
      </c>
      <c r="R13" s="199">
        <v>448119.10000000003</v>
      </c>
      <c r="S13" s="191">
        <v>0.3000000000000001</v>
      </c>
      <c r="T13" s="199">
        <v>35482108.0336392</v>
      </c>
      <c r="V13" s="199">
        <v>448119.10000000003</v>
      </c>
      <c r="W13" s="191">
        <v>0.3000000000000001</v>
      </c>
      <c r="X13" s="199">
        <v>35482108.0336392</v>
      </c>
      <c r="Z13" s="199">
        <f>VAC_Optim_Scenario!$H41</f>
        <v>448119.10000000003</v>
      </c>
      <c r="AA13" s="191">
        <f t="shared" si="0"/>
        <v>0.3000000000000001</v>
      </c>
      <c r="AB13" s="199">
        <f>VAC_Optim_Scenario!$J41</f>
        <v>35482108.0336392</v>
      </c>
      <c r="AD13" s="199"/>
      <c r="AE13" s="191"/>
      <c r="AF13" s="199"/>
    </row>
    <row r="14" spans="1:32" x14ac:dyDescent="0.25">
      <c r="A14" s="194"/>
      <c r="B14" s="198" t="str">
        <f>VAC_Optim_Scenario!B24</f>
        <v>HCC Radio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1142603.9801617302</v>
      </c>
      <c r="K14" s="191">
        <v>-0.20489527547528461</v>
      </c>
      <c r="L14" s="199">
        <v>13895118.568700375</v>
      </c>
      <c r="N14" s="199">
        <v>1005933.8869999999</v>
      </c>
      <c r="O14" s="191">
        <v>-0.30000000000000004</v>
      </c>
      <c r="P14" s="199">
        <v>12872606.114547707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  <c r="AD14" s="199"/>
      <c r="AE14" s="191"/>
      <c r="AF14" s="199"/>
    </row>
    <row r="15" spans="1:32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13503524.99</v>
      </c>
      <c r="G15" s="191">
        <v>0</v>
      </c>
      <c r="H15" s="199">
        <v>57317880.122995496</v>
      </c>
      <c r="I15" s="199"/>
      <c r="J15" s="199">
        <v>13503524.99</v>
      </c>
      <c r="K15" s="191">
        <v>0</v>
      </c>
      <c r="L15" s="199">
        <v>57317880.122995496</v>
      </c>
      <c r="N15" s="199">
        <v>13503524.99</v>
      </c>
      <c r="O15" s="191">
        <v>0</v>
      </c>
      <c r="P15" s="199">
        <v>57317880.122995496</v>
      </c>
      <c r="R15" s="199">
        <v>13503524.99</v>
      </c>
      <c r="S15" s="191">
        <v>0</v>
      </c>
      <c r="T15" s="199">
        <v>57317880.122995496</v>
      </c>
      <c r="V15" s="199">
        <v>13503524.99</v>
      </c>
      <c r="W15" s="191">
        <v>0</v>
      </c>
      <c r="X15" s="199">
        <v>57317880.122995496</v>
      </c>
      <c r="Z15" s="199">
        <f>VAC_Optim_Scenario!$H43</f>
        <v>13503524.99</v>
      </c>
      <c r="AA15" s="191">
        <f t="shared" si="0"/>
        <v>0</v>
      </c>
      <c r="AB15" s="199">
        <f>VAC_Optim_Scenario!$J43</f>
        <v>57317880.122995496</v>
      </c>
      <c r="AD15" s="199"/>
      <c r="AE15" s="191"/>
      <c r="AF15" s="199"/>
    </row>
    <row r="16" spans="1:32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32280505.601789258</v>
      </c>
      <c r="G16" s="203">
        <f>(F16-$C$16)/$C$16</f>
        <v>5.5428404763005238E-11</v>
      </c>
      <c r="H16" s="202">
        <f>SUM(H7:H15)</f>
        <v>263473120.22208402</v>
      </c>
      <c r="I16" s="193"/>
      <c r="J16" s="202">
        <f>SUM(J7:J15)</f>
        <v>30402807.536549389</v>
      </c>
      <c r="K16" s="203">
        <f>(J16-$C$16)/$C$16</f>
        <v>-5.8168173904023734E-2</v>
      </c>
      <c r="L16" s="202">
        <f>SUM(L7:L15)</f>
        <v>251089732.37749994</v>
      </c>
      <c r="M16" s="193"/>
      <c r="N16" s="202">
        <f>SUM(N7:N15)</f>
        <v>28525109.469671801</v>
      </c>
      <c r="O16" s="203">
        <f>(N16-$C$16)/$C$16</f>
        <v>-0.11633634791420988</v>
      </c>
      <c r="P16" s="202">
        <f>SUM(P7:P15)</f>
        <v>235766394.6766302</v>
      </c>
      <c r="Q16" s="193"/>
      <c r="R16" s="202">
        <f>SUM(R7:R15)</f>
        <v>34158203.662110411</v>
      </c>
      <c r="S16" s="203">
        <f>(R16-$C$16)/$C$16</f>
        <v>5.8168173862506327E-2</v>
      </c>
      <c r="T16" s="202">
        <f>SUM(T7:T15)</f>
        <v>271885539.47725081</v>
      </c>
      <c r="V16" s="202">
        <f>SUM(V7:V15)</f>
        <v>36035901.72277765</v>
      </c>
      <c r="W16" s="203">
        <f>(V16-$C$16)/$C$16</f>
        <v>0.11633634768030549</v>
      </c>
      <c r="X16" s="202">
        <f>SUM(X7:X15)</f>
        <v>278827751.78509402</v>
      </c>
      <c r="Z16" s="202">
        <f>SUM(Z7:Z15)</f>
        <v>36035901.72277765</v>
      </c>
      <c r="AA16" s="203">
        <f>(Z16-$C$16)/$C$16</f>
        <v>0.11633634768030549</v>
      </c>
      <c r="AB16" s="202">
        <f>SUM(AB7:AB15)</f>
        <v>278827751.78509402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362" t="str">
        <f>F4</f>
        <v>Optimal channel spend allowed to vary between +/- 30% of the 2023 channel spend  except Linear TV</v>
      </c>
      <c r="G19" s="362"/>
      <c r="H19" s="362"/>
      <c r="I19" s="362"/>
      <c r="J19" s="362"/>
      <c r="K19" s="362"/>
      <c r="L19" s="362"/>
      <c r="M19" s="362"/>
      <c r="N19" s="362"/>
      <c r="O19" s="362"/>
      <c r="P19" s="362"/>
    </row>
    <row r="20" spans="1:24" ht="30.4" customHeight="1" x14ac:dyDescent="0.25">
      <c r="B20" s="450"/>
      <c r="C20" s="462" t="s">
        <v>270</v>
      </c>
      <c r="D20" s="463"/>
      <c r="E20" s="450"/>
      <c r="F20" s="451" t="str">
        <f>F5</f>
        <v>Current Optimal ($32MM)</v>
      </c>
      <c r="G20" s="452"/>
      <c r="H20" s="453"/>
      <c r="I20" s="454"/>
      <c r="J20" s="451" t="str">
        <f>J5</f>
        <v>10% reduction optimal ($30M)</v>
      </c>
      <c r="K20" s="452"/>
      <c r="L20" s="453"/>
      <c r="M20" s="454"/>
      <c r="N20" s="451" t="str">
        <f>N5</f>
        <v>20% reduction optimal ($29M)</v>
      </c>
      <c r="O20" s="452"/>
      <c r="P20" s="453"/>
      <c r="Q20" s="450"/>
      <c r="R20" s="451" t="str">
        <f>R5</f>
        <v>10% increase optimal ($34M)</v>
      </c>
      <c r="S20" s="452"/>
      <c r="T20" s="453"/>
      <c r="U20" s="450"/>
      <c r="V20" s="451" t="str">
        <f>V5</f>
        <v>20% increase optimal ($36M)</v>
      </c>
      <c r="W20" s="452"/>
      <c r="X20" s="453"/>
    </row>
    <row r="21" spans="1:24" ht="45.75" customHeight="1" x14ac:dyDescent="0.25">
      <c r="B21" s="455" t="s">
        <v>211</v>
      </c>
      <c r="C21" s="456" t="s">
        <v>218</v>
      </c>
      <c r="D21" s="457" t="s">
        <v>219</v>
      </c>
      <c r="E21" s="458"/>
      <c r="F21" s="459" t="s">
        <v>221</v>
      </c>
      <c r="G21" s="457" t="s">
        <v>204</v>
      </c>
      <c r="H21" s="460" t="s">
        <v>215</v>
      </c>
      <c r="I21" s="458"/>
      <c r="J21" s="459" t="s">
        <v>221</v>
      </c>
      <c r="K21" s="457" t="s">
        <v>204</v>
      </c>
      <c r="L21" s="460" t="s">
        <v>215</v>
      </c>
      <c r="M21" s="461"/>
      <c r="N21" s="459" t="s">
        <v>221</v>
      </c>
      <c r="O21" s="457" t="s">
        <v>204</v>
      </c>
      <c r="P21" s="460" t="s">
        <v>215</v>
      </c>
      <c r="Q21" s="450"/>
      <c r="R21" s="459" t="s">
        <v>221</v>
      </c>
      <c r="S21" s="457" t="s">
        <v>204</v>
      </c>
      <c r="T21" s="460" t="s">
        <v>215</v>
      </c>
      <c r="U21" s="450"/>
      <c r="V21" s="459" t="s">
        <v>221</v>
      </c>
      <c r="W21" s="457" t="s">
        <v>204</v>
      </c>
      <c r="X21" s="460" t="s">
        <v>215</v>
      </c>
    </row>
    <row r="22" spans="1:24" x14ac:dyDescent="0.25">
      <c r="A22" s="186">
        <f>D22/C22</f>
        <v>4.3867164533332925</v>
      </c>
      <c r="B22" s="464" t="str">
        <f>B7</f>
        <v>HCC In Office</v>
      </c>
      <c r="C22" s="465">
        <f>C7/1000000</f>
        <v>1.755293</v>
      </c>
      <c r="D22" s="485">
        <f>D7/1000000</f>
        <v>7.6999726835207554</v>
      </c>
      <c r="E22" s="466"/>
      <c r="F22" s="467">
        <f>F7/1000000</f>
        <v>1.2287050999999998</v>
      </c>
      <c r="G22" s="468">
        <f>G7</f>
        <v>-0.3000000000000001</v>
      </c>
      <c r="H22" s="471">
        <f>H7/1000000</f>
        <v>5.9337328283146151</v>
      </c>
      <c r="I22" s="466"/>
      <c r="J22" s="467">
        <f>J7/1000000</f>
        <v>1.2287050999999998</v>
      </c>
      <c r="K22" s="468">
        <f>K7</f>
        <v>-0.3000000000000001</v>
      </c>
      <c r="L22" s="471">
        <f>L7/1000000</f>
        <v>5.9337328283146151</v>
      </c>
      <c r="M22" s="469"/>
      <c r="N22" s="467">
        <f>N7/1000000</f>
        <v>1.2287050999999998</v>
      </c>
      <c r="O22" s="468">
        <f>O7</f>
        <v>-0.3000000000000001</v>
      </c>
      <c r="P22" s="471">
        <f>P7/1000000</f>
        <v>5.9337328283146151</v>
      </c>
      <c r="Q22" s="469"/>
      <c r="R22" s="467">
        <f>R7/1000000</f>
        <v>1.2287050999999998</v>
      </c>
      <c r="S22" s="468">
        <f>S7</f>
        <v>-0.3000000000000001</v>
      </c>
      <c r="T22" s="471">
        <f>T7/1000000</f>
        <v>5.9337328283146151</v>
      </c>
      <c r="U22" s="470"/>
      <c r="V22" s="467">
        <f>V7/1000000</f>
        <v>1.3461724927629044</v>
      </c>
      <c r="W22" s="468">
        <f>W7</f>
        <v>-0.23307818537252506</v>
      </c>
      <c r="X22" s="471">
        <f>X7/1000000</f>
        <v>6.3611204206124548</v>
      </c>
    </row>
    <row r="23" spans="1:24" x14ac:dyDescent="0.25">
      <c r="A23" s="186">
        <f t="shared" ref="A23:A30" si="1">D23/C23</f>
        <v>11.900373048317544</v>
      </c>
      <c r="B23" s="464" t="str">
        <f t="shared" ref="B23:B30" si="2">B8</f>
        <v>HCP MCM</v>
      </c>
      <c r="C23" s="472">
        <f t="shared" ref="C23:D23" si="3">C8/1000000</f>
        <v>5.3653728900000006</v>
      </c>
      <c r="D23" s="486">
        <f t="shared" si="3"/>
        <v>63.849938934329622</v>
      </c>
      <c r="E23" s="466"/>
      <c r="F23" s="473">
        <f t="shared" ref="F23:F30" si="4">F8/1000000</f>
        <v>6.9749847570000023</v>
      </c>
      <c r="G23" s="474">
        <f t="shared" ref="G23:G30" si="5">G8</f>
        <v>0.30000000000000027</v>
      </c>
      <c r="H23" s="475">
        <f t="shared" ref="H23:H30" si="6">H8/1000000</f>
        <v>75.572474639871231</v>
      </c>
      <c r="I23" s="466"/>
      <c r="J23" s="473">
        <f t="shared" ref="J23:J30" si="7">J8/1000000</f>
        <v>6.1424715812666575</v>
      </c>
      <c r="K23" s="474">
        <f t="shared" ref="K23:K30" si="8">K8</f>
        <v>0.14483591489326231</v>
      </c>
      <c r="L23" s="475">
        <f t="shared" ref="L23:L30" si="9">L8/1000000</f>
        <v>69.834638480821184</v>
      </c>
      <c r="M23" s="469"/>
      <c r="N23" s="473">
        <f t="shared" ref="N23:N30" si="10">N8/1000000</f>
        <v>4.4376204536717987</v>
      </c>
      <c r="O23" s="474">
        <f t="shared" ref="O23:O30" si="11">O8</f>
        <v>-0.17291481046123552</v>
      </c>
      <c r="P23" s="475">
        <f t="shared" ref="P23:P30" si="12">P8/1000000</f>
        <v>55.817844991430846</v>
      </c>
      <c r="Q23" s="469"/>
      <c r="R23" s="473">
        <f t="shared" ref="R23:R30" si="13">R8/1000000</f>
        <v>6.9749847570000014</v>
      </c>
      <c r="S23" s="468">
        <f t="shared" ref="S23:S30" si="14">S8</f>
        <v>0.30000000000000004</v>
      </c>
      <c r="T23" s="475">
        <f t="shared" ref="T23:T30" si="15">T8/1000000</f>
        <v>75.572474639871231</v>
      </c>
      <c r="U23" s="470"/>
      <c r="V23" s="473">
        <f t="shared" ref="V23:V30" si="16">V8/1000000</f>
        <v>6.9749847570000014</v>
      </c>
      <c r="W23" s="468">
        <f t="shared" ref="W23:W30" si="17">W8</f>
        <v>0.30000000000000004</v>
      </c>
      <c r="X23" s="475">
        <f t="shared" ref="X23:X30" si="18">X8/1000000</f>
        <v>75.572474639871231</v>
      </c>
    </row>
    <row r="24" spans="1:24" x14ac:dyDescent="0.25">
      <c r="A24" s="186">
        <f t="shared" si="1"/>
        <v>8.5940644823200767</v>
      </c>
      <c r="B24" s="464" t="str">
        <f t="shared" si="2"/>
        <v>HCC Social</v>
      </c>
      <c r="C24" s="472">
        <f t="shared" ref="C24:D24" si="19">C9/1000000</f>
        <v>1.873</v>
      </c>
      <c r="D24" s="486">
        <f t="shared" si="19"/>
        <v>16.096682775385503</v>
      </c>
      <c r="E24" s="466"/>
      <c r="F24" s="473">
        <f t="shared" si="4"/>
        <v>1.5630566187892538</v>
      </c>
      <c r="G24" s="474">
        <f t="shared" si="5"/>
        <v>-0.16547964827055325</v>
      </c>
      <c r="H24" s="475">
        <f t="shared" si="6"/>
        <v>14.441042454781551</v>
      </c>
      <c r="I24" s="466"/>
      <c r="J24" s="473">
        <f t="shared" si="7"/>
        <v>1.3110999999999999</v>
      </c>
      <c r="K24" s="474">
        <f t="shared" si="8"/>
        <v>-0.3</v>
      </c>
      <c r="L24" s="475">
        <f t="shared" si="9"/>
        <v>12.995566302066878</v>
      </c>
      <c r="M24" s="469"/>
      <c r="N24" s="473">
        <f t="shared" si="10"/>
        <v>1.3110999999999999</v>
      </c>
      <c r="O24" s="474">
        <f t="shared" si="11"/>
        <v>-0.3</v>
      </c>
      <c r="P24" s="475">
        <f t="shared" si="12"/>
        <v>12.995566302066878</v>
      </c>
      <c r="Q24" s="469"/>
      <c r="R24" s="473">
        <f t="shared" si="13"/>
        <v>2.4348999999999998</v>
      </c>
      <c r="S24" s="468">
        <f t="shared" si="14"/>
        <v>0.3</v>
      </c>
      <c r="T24" s="475">
        <f t="shared" si="15"/>
        <v>18.840932631302717</v>
      </c>
      <c r="U24" s="470"/>
      <c r="V24" s="473">
        <f t="shared" si="16"/>
        <v>2.4348999999999998</v>
      </c>
      <c r="W24" s="468">
        <f t="shared" si="17"/>
        <v>0.3</v>
      </c>
      <c r="X24" s="475">
        <f t="shared" si="18"/>
        <v>18.840932631302717</v>
      </c>
    </row>
    <row r="25" spans="1:24" x14ac:dyDescent="0.25">
      <c r="A25" s="186">
        <f t="shared" si="1"/>
        <v>9.879885624736632</v>
      </c>
      <c r="B25" s="464" t="str">
        <f t="shared" si="2"/>
        <v>HCC Online Video</v>
      </c>
      <c r="C25" s="472">
        <f t="shared" ref="C25:D25" si="20">C10/1000000</f>
        <v>0.17307694000000001</v>
      </c>
      <c r="D25" s="486">
        <f t="shared" si="20"/>
        <v>1.7099803714794048</v>
      </c>
      <c r="E25" s="466"/>
      <c r="F25" s="473">
        <f t="shared" si="4"/>
        <v>0.22500002199999999</v>
      </c>
      <c r="G25" s="474">
        <f t="shared" si="5"/>
        <v>0.3</v>
      </c>
      <c r="H25" s="475">
        <f t="shared" si="6"/>
        <v>2.0311615894317665</v>
      </c>
      <c r="I25" s="466"/>
      <c r="J25" s="473">
        <f t="shared" si="7"/>
        <v>0.15733070412100258</v>
      </c>
      <c r="K25" s="474">
        <f t="shared" si="8"/>
        <v>-9.0978242849668031E-2</v>
      </c>
      <c r="L25" s="475">
        <f t="shared" si="9"/>
        <v>1.5986328120784354</v>
      </c>
      <c r="M25" s="469"/>
      <c r="N25" s="473">
        <f t="shared" si="10"/>
        <v>0.121153858</v>
      </c>
      <c r="O25" s="474">
        <f t="shared" si="11"/>
        <v>-0.3</v>
      </c>
      <c r="P25" s="475">
        <f t="shared" si="12"/>
        <v>1.3146010547516858</v>
      </c>
      <c r="Q25" s="469"/>
      <c r="R25" s="473">
        <f t="shared" si="13"/>
        <v>0.22500002199999999</v>
      </c>
      <c r="S25" s="468">
        <f t="shared" si="14"/>
        <v>0.3</v>
      </c>
      <c r="T25" s="475">
        <f t="shared" si="15"/>
        <v>2.0311615894317665</v>
      </c>
      <c r="U25" s="470"/>
      <c r="V25" s="473">
        <f t="shared" si="16"/>
        <v>0.22500002199999999</v>
      </c>
      <c r="W25" s="468">
        <f t="shared" si="17"/>
        <v>0.3</v>
      </c>
      <c r="X25" s="475">
        <f t="shared" si="18"/>
        <v>2.0311615894317665</v>
      </c>
    </row>
    <row r="26" spans="1:24" x14ac:dyDescent="0.25">
      <c r="A26" s="186">
        <f t="shared" si="1"/>
        <v>5.288541872790403</v>
      </c>
      <c r="B26" s="464" t="str">
        <f t="shared" si="2"/>
        <v>HCC Streaming Video</v>
      </c>
      <c r="C26" s="472">
        <f t="shared" ref="C26:D26" si="21">C11/1000000</f>
        <v>6.1801250000000003</v>
      </c>
      <c r="D26" s="486">
        <f t="shared" si="21"/>
        <v>32.683849841578791</v>
      </c>
      <c r="E26" s="466"/>
      <c r="F26" s="473">
        <f t="shared" si="4"/>
        <v>4.3260874999999999</v>
      </c>
      <c r="G26" s="474">
        <f t="shared" si="5"/>
        <v>-0.3</v>
      </c>
      <c r="H26" s="475">
        <f t="shared" si="6"/>
        <v>25.462546467915075</v>
      </c>
      <c r="I26" s="466"/>
      <c r="J26" s="473">
        <f t="shared" si="7"/>
        <v>4.3260874999999999</v>
      </c>
      <c r="K26" s="474">
        <f t="shared" si="8"/>
        <v>-0.3</v>
      </c>
      <c r="L26" s="475">
        <f t="shared" si="9"/>
        <v>25.462546467915075</v>
      </c>
      <c r="M26" s="469"/>
      <c r="N26" s="473">
        <f t="shared" si="10"/>
        <v>4.3260874999999999</v>
      </c>
      <c r="O26" s="474">
        <f t="shared" si="11"/>
        <v>-0.3</v>
      </c>
      <c r="P26" s="475">
        <f t="shared" si="12"/>
        <v>25.462546467915075</v>
      </c>
      <c r="Q26" s="469"/>
      <c r="R26" s="473">
        <f t="shared" si="13"/>
        <v>5.3319421791104125</v>
      </c>
      <c r="S26" s="468">
        <f t="shared" si="14"/>
        <v>-0.13724363518368762</v>
      </c>
      <c r="T26" s="475">
        <f t="shared" si="15"/>
        <v>29.475075546560728</v>
      </c>
      <c r="U26" s="470"/>
      <c r="V26" s="473">
        <f t="shared" si="16"/>
        <v>7.0921728470147416</v>
      </c>
      <c r="W26" s="468">
        <f t="shared" si="17"/>
        <v>0.14757757278610739</v>
      </c>
      <c r="X26" s="475">
        <f t="shared" si="18"/>
        <v>35.989900262106076</v>
      </c>
    </row>
    <row r="27" spans="1:24" x14ac:dyDescent="0.25">
      <c r="A27" s="186">
        <f t="shared" si="1"/>
        <v>14.271209044334954</v>
      </c>
      <c r="B27" s="464" t="str">
        <f t="shared" si="2"/>
        <v>HCC Display</v>
      </c>
      <c r="C27" s="472">
        <f t="shared" ref="C27:D27" si="22">C12/1000000</f>
        <v>1.64835737</v>
      </c>
      <c r="D27" s="486">
        <f t="shared" si="22"/>
        <v>23.524052607040179</v>
      </c>
      <c r="E27" s="466"/>
      <c r="F27" s="473">
        <f t="shared" si="4"/>
        <v>2.1428645810000004</v>
      </c>
      <c r="G27" s="474">
        <f t="shared" si="5"/>
        <v>0.30000000000000004</v>
      </c>
      <c r="H27" s="475">
        <f t="shared" si="6"/>
        <v>28.569508760968702</v>
      </c>
      <c r="I27" s="466"/>
      <c r="J27" s="473">
        <f t="shared" si="7"/>
        <v>2.1428645810000004</v>
      </c>
      <c r="K27" s="474">
        <f t="shared" si="8"/>
        <v>0.30000000000000004</v>
      </c>
      <c r="L27" s="475">
        <f t="shared" si="9"/>
        <v>28.569508760968702</v>
      </c>
      <c r="M27" s="469"/>
      <c r="N27" s="473">
        <f t="shared" si="10"/>
        <v>2.1428645810000004</v>
      </c>
      <c r="O27" s="474">
        <f t="shared" si="11"/>
        <v>0.30000000000000004</v>
      </c>
      <c r="P27" s="475">
        <f t="shared" si="12"/>
        <v>28.569508760968702</v>
      </c>
      <c r="Q27" s="469"/>
      <c r="R27" s="473">
        <f t="shared" si="13"/>
        <v>2.1428645810000004</v>
      </c>
      <c r="S27" s="468">
        <f t="shared" si="14"/>
        <v>0.30000000000000004</v>
      </c>
      <c r="T27" s="475">
        <f t="shared" si="15"/>
        <v>28.569508760968702</v>
      </c>
      <c r="U27" s="470"/>
      <c r="V27" s="473">
        <f t="shared" si="16"/>
        <v>2.1428645810000004</v>
      </c>
      <c r="W27" s="468">
        <f t="shared" si="17"/>
        <v>0.30000000000000004</v>
      </c>
      <c r="X27" s="475">
        <f t="shared" si="18"/>
        <v>28.569508760968702</v>
      </c>
    </row>
    <row r="28" spans="1:24" x14ac:dyDescent="0.25">
      <c r="A28" s="186">
        <f t="shared" si="1"/>
        <v>85.664121305902583</v>
      </c>
      <c r="B28" s="464" t="str">
        <f t="shared" si="2"/>
        <v>HCC Paid Search</v>
      </c>
      <c r="C28" s="472">
        <f t="shared" ref="C28:D28" si="23">C13/1000000</f>
        <v>0.34470699999999999</v>
      </c>
      <c r="D28" s="486">
        <f t="shared" si="23"/>
        <v>29.52902226299376</v>
      </c>
      <c r="E28" s="466"/>
      <c r="F28" s="473">
        <f t="shared" si="4"/>
        <v>0.44811910000000005</v>
      </c>
      <c r="G28" s="474">
        <f t="shared" si="5"/>
        <v>0.3000000000000001</v>
      </c>
      <c r="H28" s="475">
        <f t="shared" si="6"/>
        <v>35.4821080336392</v>
      </c>
      <c r="I28" s="466"/>
      <c r="J28" s="473">
        <f t="shared" si="7"/>
        <v>0.44811910000000005</v>
      </c>
      <c r="K28" s="474">
        <f t="shared" si="8"/>
        <v>0.3000000000000001</v>
      </c>
      <c r="L28" s="475">
        <f t="shared" si="9"/>
        <v>35.4821080336392</v>
      </c>
      <c r="M28" s="469"/>
      <c r="N28" s="473">
        <f t="shared" si="10"/>
        <v>0.44811910000000005</v>
      </c>
      <c r="O28" s="474">
        <f t="shared" si="11"/>
        <v>0.3000000000000001</v>
      </c>
      <c r="P28" s="475">
        <f t="shared" si="12"/>
        <v>35.4821080336392</v>
      </c>
      <c r="Q28" s="469"/>
      <c r="R28" s="473">
        <f t="shared" si="13"/>
        <v>0.44811910000000005</v>
      </c>
      <c r="S28" s="468">
        <f t="shared" si="14"/>
        <v>0.3000000000000001</v>
      </c>
      <c r="T28" s="475">
        <f t="shared" si="15"/>
        <v>35.4821080336392</v>
      </c>
      <c r="U28" s="470"/>
      <c r="V28" s="473">
        <f t="shared" si="16"/>
        <v>0.44811910000000005</v>
      </c>
      <c r="W28" s="468">
        <f t="shared" si="17"/>
        <v>0.3000000000000001</v>
      </c>
      <c r="X28" s="475">
        <f t="shared" si="18"/>
        <v>35.4821080336392</v>
      </c>
    </row>
    <row r="29" spans="1:24" x14ac:dyDescent="0.25">
      <c r="A29" s="186">
        <f t="shared" si="1"/>
        <v>11.095228688295396</v>
      </c>
      <c r="B29" s="464" t="str">
        <f t="shared" si="2"/>
        <v>HCC Radio</v>
      </c>
      <c r="C29" s="472">
        <f t="shared" ref="C29:D29" si="24">C14/1000000</f>
        <v>1.4370484099999998</v>
      </c>
      <c r="D29" s="486">
        <f t="shared" si="24"/>
        <v>15.944380745101283</v>
      </c>
      <c r="E29" s="466"/>
      <c r="F29" s="473">
        <f t="shared" si="4"/>
        <v>1.868162933</v>
      </c>
      <c r="G29" s="474">
        <f t="shared" si="5"/>
        <v>0.30000000000000004</v>
      </c>
      <c r="H29" s="475">
        <f t="shared" si="6"/>
        <v>18.66266532416639</v>
      </c>
      <c r="I29" s="466"/>
      <c r="J29" s="473">
        <f t="shared" si="7"/>
        <v>1.1426039801617303</v>
      </c>
      <c r="K29" s="474">
        <f t="shared" si="8"/>
        <v>-0.20489527547528461</v>
      </c>
      <c r="L29" s="475">
        <f t="shared" si="9"/>
        <v>13.895118568700376</v>
      </c>
      <c r="M29" s="469"/>
      <c r="N29" s="473">
        <f t="shared" si="10"/>
        <v>1.0059338869999999</v>
      </c>
      <c r="O29" s="474">
        <f t="shared" si="11"/>
        <v>-0.30000000000000004</v>
      </c>
      <c r="P29" s="475">
        <f t="shared" si="12"/>
        <v>12.872606114547708</v>
      </c>
      <c r="Q29" s="469"/>
      <c r="R29" s="473">
        <f t="shared" si="13"/>
        <v>1.868162933</v>
      </c>
      <c r="S29" s="468">
        <f t="shared" si="14"/>
        <v>0.30000000000000004</v>
      </c>
      <c r="T29" s="475">
        <f t="shared" si="15"/>
        <v>18.66266532416639</v>
      </c>
      <c r="U29" s="470"/>
      <c r="V29" s="473">
        <f t="shared" si="16"/>
        <v>1.868162933</v>
      </c>
      <c r="W29" s="468">
        <f t="shared" si="17"/>
        <v>0.30000000000000004</v>
      </c>
      <c r="X29" s="475">
        <f t="shared" si="18"/>
        <v>18.66266532416639</v>
      </c>
    </row>
    <row r="30" spans="1:24" x14ac:dyDescent="0.25">
      <c r="A30" s="186">
        <f t="shared" si="1"/>
        <v>4.2446605731053264</v>
      </c>
      <c r="B30" s="464" t="str">
        <f t="shared" si="2"/>
        <v>HCC TV</v>
      </c>
      <c r="C30" s="472">
        <f t="shared" ref="C30:D30" si="25">C15/1000000</f>
        <v>13.503524990000001</v>
      </c>
      <c r="D30" s="486">
        <f t="shared" si="25"/>
        <v>57.317880122995497</v>
      </c>
      <c r="E30" s="466"/>
      <c r="F30" s="473">
        <f t="shared" si="4"/>
        <v>13.503524990000001</v>
      </c>
      <c r="G30" s="474">
        <f t="shared" si="5"/>
        <v>0</v>
      </c>
      <c r="H30" s="475">
        <f t="shared" si="6"/>
        <v>57.317880122995497</v>
      </c>
      <c r="I30" s="466"/>
      <c r="J30" s="473">
        <f t="shared" si="7"/>
        <v>13.503524990000001</v>
      </c>
      <c r="K30" s="474">
        <f t="shared" si="8"/>
        <v>0</v>
      </c>
      <c r="L30" s="475">
        <f t="shared" si="9"/>
        <v>57.317880122995497</v>
      </c>
      <c r="M30" s="469"/>
      <c r="N30" s="473">
        <f t="shared" si="10"/>
        <v>13.503524990000001</v>
      </c>
      <c r="O30" s="474">
        <f t="shared" si="11"/>
        <v>0</v>
      </c>
      <c r="P30" s="475">
        <f t="shared" si="12"/>
        <v>57.317880122995497</v>
      </c>
      <c r="Q30" s="469"/>
      <c r="R30" s="473">
        <f t="shared" si="13"/>
        <v>13.503524990000001</v>
      </c>
      <c r="S30" s="468">
        <f t="shared" si="14"/>
        <v>0</v>
      </c>
      <c r="T30" s="475">
        <f t="shared" si="15"/>
        <v>57.317880122995497</v>
      </c>
      <c r="U30" s="470"/>
      <c r="V30" s="473">
        <f t="shared" si="16"/>
        <v>13.503524990000001</v>
      </c>
      <c r="W30" s="468">
        <f t="shared" si="17"/>
        <v>0</v>
      </c>
      <c r="X30" s="475">
        <f t="shared" si="18"/>
        <v>57.317880122995497</v>
      </c>
    </row>
    <row r="31" spans="1:24" ht="29.65" customHeight="1" x14ac:dyDescent="0.25">
      <c r="B31" s="487" t="s">
        <v>217</v>
      </c>
      <c r="C31" s="476">
        <f>C16/1000000</f>
        <v>32.280505600000005</v>
      </c>
      <c r="D31" s="481">
        <f>D16/1000000</f>
        <v>248.35576034442479</v>
      </c>
      <c r="E31" s="461"/>
      <c r="F31" s="477">
        <f>F16/1000000</f>
        <v>32.280505601789258</v>
      </c>
      <c r="G31" s="478">
        <f>G16</f>
        <v>5.5428404763005238E-11</v>
      </c>
      <c r="H31" s="479">
        <f>H16/1000000</f>
        <v>263.47312022208399</v>
      </c>
      <c r="I31" s="461"/>
      <c r="J31" s="477">
        <f>J16/1000000</f>
        <v>30.402807536549389</v>
      </c>
      <c r="K31" s="478">
        <f>K16</f>
        <v>-5.8168173904023734E-2</v>
      </c>
      <c r="L31" s="479">
        <f>L16/1000000</f>
        <v>251.08973237749993</v>
      </c>
      <c r="M31" s="461"/>
      <c r="N31" s="477">
        <f>N16/1000000</f>
        <v>28.525109469671801</v>
      </c>
      <c r="O31" s="478">
        <f>O16</f>
        <v>-0.11633634791420988</v>
      </c>
      <c r="P31" s="479">
        <f>P16/1000000</f>
        <v>235.7663946766302</v>
      </c>
      <c r="Q31" s="480"/>
      <c r="R31" s="477">
        <f>R16/1000000</f>
        <v>34.158203662110409</v>
      </c>
      <c r="S31" s="478">
        <f>S16</f>
        <v>5.8168173862506327E-2</v>
      </c>
      <c r="T31" s="479">
        <f>T16/1000000</f>
        <v>271.8855394772508</v>
      </c>
      <c r="U31" s="480"/>
      <c r="V31" s="477">
        <f>V16/1000000</f>
        <v>36.035901722777652</v>
      </c>
      <c r="W31" s="478">
        <f>W16</f>
        <v>0.11633634768030549</v>
      </c>
      <c r="X31" s="479">
        <f>X16/1000000</f>
        <v>278.82775178509399</v>
      </c>
    </row>
    <row r="32" spans="1:24" ht="38.25" x14ac:dyDescent="0.25">
      <c r="B32" s="487" t="s">
        <v>296</v>
      </c>
      <c r="C32" s="476"/>
      <c r="D32" s="481"/>
      <c r="E32" s="461"/>
      <c r="F32" s="477"/>
      <c r="G32" s="478"/>
      <c r="H32" s="483" t="s">
        <v>289</v>
      </c>
      <c r="I32" s="461"/>
      <c r="J32" s="477"/>
      <c r="K32" s="478"/>
      <c r="L32" s="482" t="s">
        <v>290</v>
      </c>
      <c r="M32" s="461"/>
      <c r="N32" s="477"/>
      <c r="O32" s="478"/>
      <c r="P32" s="484" t="s">
        <v>291</v>
      </c>
      <c r="Q32" s="480"/>
      <c r="R32" s="477"/>
      <c r="S32" s="478"/>
      <c r="T32" s="483" t="s">
        <v>292</v>
      </c>
      <c r="U32" s="480"/>
      <c r="V32" s="477"/>
      <c r="W32" s="478"/>
      <c r="X32" s="483" t="s">
        <v>293</v>
      </c>
    </row>
    <row r="33" spans="2:24" x14ac:dyDescent="0.25">
      <c r="D33" s="440">
        <f>D31/C31</f>
        <v>7.6936762831999994</v>
      </c>
      <c r="G33" s="194"/>
      <c r="H33" s="230">
        <f>(H31-$D$31)</f>
        <v>15.117359877659197</v>
      </c>
      <c r="L33" s="230">
        <f>(L31-$D$31)</f>
        <v>2.7339720330751334</v>
      </c>
      <c r="P33" s="230">
        <f>(P31-$D$31)</f>
        <v>-12.589365667794596</v>
      </c>
      <c r="T33" s="230">
        <f>(T31-$D$31)</f>
        <v>23.529779132826008</v>
      </c>
      <c r="X33" s="230">
        <f>(X31-$D$31)</f>
        <v>30.4719914406692</v>
      </c>
    </row>
    <row r="34" spans="2:24" x14ac:dyDescent="0.25">
      <c r="H34" s="297">
        <f>H33/$D$31</f>
        <v>6.0869777518726111E-2</v>
      </c>
      <c r="L34" s="297">
        <f>L33/$D$31</f>
        <v>1.10082891948373E-2</v>
      </c>
      <c r="P34" s="297">
        <f>P33/$D$31</f>
        <v>-5.0690854322587117E-2</v>
      </c>
      <c r="T34" s="297">
        <f>T33/$D$31</f>
        <v>9.4742232272746293E-2</v>
      </c>
      <c r="X34" s="297">
        <f>X33/$D$31</f>
        <v>0.1226949252089423</v>
      </c>
    </row>
    <row r="35" spans="2:24" x14ac:dyDescent="0.25">
      <c r="H35" s="186">
        <f>H31/F31</f>
        <v>8.1619886464070781</v>
      </c>
      <c r="L35" s="186">
        <f>L31/J31</f>
        <v>8.2587679468630331</v>
      </c>
      <c r="P35" s="186">
        <f>P31/N31</f>
        <v>8.2652231335798909</v>
      </c>
      <c r="T35" s="186">
        <f>T31/R31</f>
        <v>7.9595971195299322</v>
      </c>
      <c r="X35" s="186">
        <f>X31/V31</f>
        <v>7.7374989511876686</v>
      </c>
    </row>
    <row r="36" spans="2:24" x14ac:dyDescent="0.25">
      <c r="B36" s="363" t="s">
        <v>250</v>
      </c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  <c r="O36" s="363"/>
      <c r="P36" s="363"/>
      <c r="Q36" s="363"/>
      <c r="R36" s="363"/>
      <c r="S36" s="363"/>
      <c r="T36" s="363"/>
    </row>
    <row r="37" spans="2:24" x14ac:dyDescent="0.25">
      <c r="B37" s="363"/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</row>
    <row r="39" spans="2:24" x14ac:dyDescent="0.25">
      <c r="F39" s="356" t="s">
        <v>242</v>
      </c>
      <c r="G39" s="357"/>
      <c r="H39" s="358"/>
      <c r="I39" s="195"/>
      <c r="J39" s="356" t="s">
        <v>209</v>
      </c>
      <c r="K39" s="357"/>
      <c r="L39" s="358"/>
      <c r="M39" s="195"/>
      <c r="N39" s="356" t="s">
        <v>210</v>
      </c>
      <c r="O39" s="357"/>
      <c r="P39" s="358"/>
      <c r="R39" s="364"/>
      <c r="S39" s="365"/>
      <c r="T39" s="366"/>
    </row>
    <row r="40" spans="2:24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67" t="str">
        <f>B36</f>
        <v>Optimal Channel Spend  allowed to vary between  of the 2021 spend</v>
      </c>
      <c r="G53" s="367"/>
      <c r="H53" s="367"/>
      <c r="I53" s="367"/>
      <c r="J53" s="367"/>
      <c r="K53" s="367"/>
      <c r="L53" s="367"/>
      <c r="M53" s="367"/>
      <c r="N53" s="367"/>
      <c r="O53" s="367"/>
      <c r="P53" s="367"/>
    </row>
    <row r="54" spans="2:20" x14ac:dyDescent="0.25">
      <c r="C54" s="354" t="s">
        <v>243</v>
      </c>
      <c r="D54" s="355"/>
      <c r="E54" s="204"/>
      <c r="F54" s="356" t="str">
        <f>F39</f>
        <v>Current Optimal ($MM)</v>
      </c>
      <c r="G54" s="357"/>
      <c r="H54" s="358"/>
      <c r="I54" s="205"/>
      <c r="J54" s="356" t="str">
        <f>J39</f>
        <v>10% reduction optimal ($)</v>
      </c>
      <c r="K54" s="357"/>
      <c r="L54" s="358"/>
      <c r="M54" s="205"/>
      <c r="N54" s="356" t="str">
        <f>N39</f>
        <v>20% reduction optimal ()</v>
      </c>
      <c r="O54" s="357"/>
      <c r="P54" s="358"/>
      <c r="R54" s="359"/>
      <c r="S54" s="360"/>
      <c r="T54" s="361"/>
    </row>
    <row r="55" spans="2:20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37" priority="17" operator="lessThan">
      <formula>0</formula>
    </cfRule>
    <cfRule type="cellIs" dxfId="36" priority="18" operator="greaterThan">
      <formula>0</formula>
    </cfRule>
  </conditionalFormatting>
  <conditionalFormatting sqref="K22:K30">
    <cfRule type="cellIs" dxfId="35" priority="15" operator="lessThan">
      <formula>0</formula>
    </cfRule>
    <cfRule type="cellIs" dxfId="34" priority="16" operator="greaterThan">
      <formula>0</formula>
    </cfRule>
  </conditionalFormatting>
  <conditionalFormatting sqref="O22:O30">
    <cfRule type="cellIs" dxfId="33" priority="13" operator="lessThan">
      <formula>0</formula>
    </cfRule>
    <cfRule type="cellIs" dxfId="32" priority="14" operator="greaterThan">
      <formula>0</formula>
    </cfRule>
  </conditionalFormatting>
  <conditionalFormatting sqref="S22:S30">
    <cfRule type="cellIs" dxfId="31" priority="11" operator="lessThan">
      <formula>0</formula>
    </cfRule>
    <cfRule type="cellIs" dxfId="30" priority="12" operator="greaterThan">
      <formula>0</formula>
    </cfRule>
  </conditionalFormatting>
  <conditionalFormatting sqref="G56:G63">
    <cfRule type="cellIs" dxfId="29" priority="9" operator="lessThan">
      <formula>0</formula>
    </cfRule>
    <cfRule type="cellIs" dxfId="28" priority="10" operator="greaterThan">
      <formula>0</formula>
    </cfRule>
  </conditionalFormatting>
  <conditionalFormatting sqref="K56:K63">
    <cfRule type="cellIs" dxfId="27" priority="7" operator="lessThan">
      <formula>0</formula>
    </cfRule>
    <cfRule type="cellIs" dxfId="26" priority="8" operator="greaterThan">
      <formula>0</formula>
    </cfRule>
  </conditionalFormatting>
  <conditionalFormatting sqref="O56:O63">
    <cfRule type="cellIs" dxfId="25" priority="5" operator="lessThan">
      <formula>0</formula>
    </cfRule>
    <cfRule type="cellIs" dxfId="24" priority="6" operator="greaterThan">
      <formula>0</formula>
    </cfRule>
  </conditionalFormatting>
  <conditionalFormatting sqref="S56:S63">
    <cfRule type="cellIs" dxfId="23" priority="3" operator="lessThan">
      <formula>0</formula>
    </cfRule>
    <cfRule type="cellIs" dxfId="22" priority="4" operator="greaterThan">
      <formula>0</formula>
    </cfRule>
  </conditionalFormatting>
  <conditionalFormatting sqref="W22:W30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362" t="s">
        <v>249</v>
      </c>
      <c r="G4" s="362"/>
      <c r="H4" s="362"/>
      <c r="I4" s="362"/>
      <c r="J4" s="362"/>
      <c r="K4" s="362"/>
      <c r="L4" s="362"/>
      <c r="M4" s="362"/>
      <c r="N4" s="362"/>
      <c r="O4" s="362"/>
      <c r="P4" s="362"/>
    </row>
    <row r="5" spans="1:28" x14ac:dyDescent="0.25">
      <c r="F5" s="356" t="s">
        <v>255</v>
      </c>
      <c r="G5" s="357"/>
      <c r="H5" s="358"/>
      <c r="I5" s="195"/>
      <c r="J5" s="356" t="s">
        <v>261</v>
      </c>
      <c r="K5" s="357"/>
      <c r="L5" s="358"/>
      <c r="M5" s="195"/>
      <c r="N5" s="356" t="s">
        <v>262</v>
      </c>
      <c r="O5" s="357"/>
      <c r="P5" s="358"/>
      <c r="R5" s="356" t="s">
        <v>263</v>
      </c>
      <c r="S5" s="357"/>
      <c r="T5" s="358"/>
      <c r="V5" s="356" t="s">
        <v>264</v>
      </c>
      <c r="W5" s="357"/>
      <c r="X5" s="358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1346172.4927629044</v>
      </c>
      <c r="AA7" s="191">
        <f>(Z7-$C7)/$C7</f>
        <v>-0.20813382778652684</v>
      </c>
      <c r="AB7" s="199">
        <f>VAC_Optim_Scenario!$J35</f>
        <v>6361120.4206124544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6974984.7570000011</v>
      </c>
      <c r="AA8" s="191">
        <f t="shared" ref="AA8:AA15" si="0">(Z8-$C8)/$C8</f>
        <v>0.21433330031268083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2434900</v>
      </c>
      <c r="AA9" s="191">
        <f t="shared" si="0"/>
        <v>0.25170030035255292</v>
      </c>
      <c r="AB9" s="199">
        <f>VAC_Optim_Scenario!$J37</f>
        <v>18840932.631302718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7092172.847014742</v>
      </c>
      <c r="AA11" s="191">
        <f t="shared" si="0"/>
        <v>0.3515773109802674</v>
      </c>
      <c r="AB11" s="199">
        <f>VAC_Optim_Scenario!$J39</f>
        <v>35989900.262106076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2142864.5810000002</v>
      </c>
      <c r="AA12" s="191">
        <f t="shared" si="0"/>
        <v>1.1583926621615357</v>
      </c>
      <c r="AB12" s="199">
        <f>VAC_Optim_Scenario!$J40</f>
        <v>28569508.760968704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448119.10000000003</v>
      </c>
      <c r="AA13" s="191">
        <f t="shared" si="0"/>
        <v>-0.43985113200186082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Radio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13503524.99</v>
      </c>
      <c r="AA15" s="191">
        <f t="shared" si="0"/>
        <v>-9.8797946508791742E-3</v>
      </c>
      <c r="AB15" s="199">
        <f>VAC_Optim_Scenario!$J43</f>
        <v>57317880.122995496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36035901.72277765</v>
      </c>
      <c r="AA16" s="203">
        <f>(Z16-$C$16)/$C$16</f>
        <v>0.13006554611843874</v>
      </c>
      <c r="AB16" s="202">
        <f>SUM(AB7:AB15)</f>
        <v>278827751.78509402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362" t="str">
        <f>F4</f>
        <v>Optimal channel spend allowed to vary between +/- 30% of the 2021 channel spend</v>
      </c>
      <c r="G19" s="362"/>
      <c r="H19" s="362"/>
      <c r="I19" s="362"/>
      <c r="J19" s="362"/>
      <c r="K19" s="362"/>
      <c r="L19" s="362"/>
      <c r="M19" s="362"/>
      <c r="N19" s="362"/>
      <c r="O19" s="362"/>
      <c r="P19" s="362"/>
    </row>
    <row r="20" spans="1:24" ht="30.4" customHeight="1" x14ac:dyDescent="0.25">
      <c r="C20" s="354" t="s">
        <v>266</v>
      </c>
      <c r="D20" s="355"/>
      <c r="E20" s="204"/>
      <c r="F20" s="356" t="str">
        <f>F5</f>
        <v>Current Optimal ($32MM)</v>
      </c>
      <c r="G20" s="357"/>
      <c r="H20" s="358"/>
      <c r="I20" s="205"/>
      <c r="J20" s="356" t="str">
        <f>J5</f>
        <v>10% reduction optimal ($29M)</v>
      </c>
      <c r="K20" s="357"/>
      <c r="L20" s="358"/>
      <c r="M20" s="205"/>
      <c r="N20" s="356" t="str">
        <f>N5</f>
        <v>20% reduction optimal ($26M)</v>
      </c>
      <c r="O20" s="357"/>
      <c r="P20" s="358"/>
      <c r="R20" s="356" t="str">
        <f>R5</f>
        <v>10% increase optimal ($35M)</v>
      </c>
      <c r="S20" s="357"/>
      <c r="T20" s="358"/>
      <c r="V20" s="356" t="str">
        <f>V5</f>
        <v>20% increase optimal ($38M)</v>
      </c>
      <c r="W20" s="357"/>
      <c r="X20" s="358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299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4">
        <f>H7/1000000</f>
        <v>13.6100055720021</v>
      </c>
      <c r="I22" s="212"/>
      <c r="J22" s="213">
        <f>J7/1000000</f>
        <v>2.04</v>
      </c>
      <c r="K22" s="214">
        <f>K7</f>
        <v>0.2</v>
      </c>
      <c r="L22" s="294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4">
        <f>P7/1000000</f>
        <v>10.4732293814481</v>
      </c>
      <c r="Q22" s="193"/>
      <c r="R22" s="213">
        <f>R7/1000000</f>
        <v>2.04</v>
      </c>
      <c r="S22" s="214">
        <f>S7</f>
        <v>0.2</v>
      </c>
      <c r="T22" s="294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0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5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5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5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5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0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5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5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5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5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0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5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5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5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5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0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5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5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5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5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0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5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5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5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5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0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5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5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5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5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Radio</v>
      </c>
      <c r="C29" s="216">
        <f t="shared" si="3"/>
        <v>1.30483043</v>
      </c>
      <c r="D29" s="300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5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5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5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5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00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5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5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5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5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1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296" t="s">
        <v>265</v>
      </c>
      <c r="C32" s="222"/>
      <c r="D32" s="223"/>
      <c r="E32" s="224"/>
      <c r="F32" s="225"/>
      <c r="G32" s="226"/>
      <c r="H32" s="298" t="s">
        <v>256</v>
      </c>
      <c r="I32" s="224"/>
      <c r="J32" s="225"/>
      <c r="K32" s="226"/>
      <c r="L32" s="229" t="s">
        <v>257</v>
      </c>
      <c r="M32" s="224"/>
      <c r="N32" s="225"/>
      <c r="O32" s="226"/>
      <c r="P32" s="229" t="s">
        <v>258</v>
      </c>
      <c r="R32" s="225"/>
      <c r="S32" s="226"/>
      <c r="T32" s="298" t="s">
        <v>259</v>
      </c>
      <c r="V32" s="225"/>
      <c r="W32" s="226"/>
      <c r="X32" s="298" t="s">
        <v>260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297">
        <f>H33/$D$31</f>
        <v>3.5705042417482985E-2</v>
      </c>
      <c r="L34" s="297">
        <f>L33/$D$31</f>
        <v>-1.4899195132062636E-2</v>
      </c>
      <c r="P34" s="297">
        <f>P33/$D$31</f>
        <v>-9.1912082788183316E-2</v>
      </c>
      <c r="T34" s="297">
        <f>T33/$D$31</f>
        <v>8.2681401230603579E-2</v>
      </c>
      <c r="X34" s="297">
        <f>X33/$D$31</f>
        <v>0.11903943039343379</v>
      </c>
    </row>
    <row r="36" spans="2:24" x14ac:dyDescent="0.25">
      <c r="B36" s="363" t="s">
        <v>250</v>
      </c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  <c r="O36" s="363"/>
      <c r="P36" s="363"/>
      <c r="Q36" s="363"/>
      <c r="R36" s="363"/>
      <c r="S36" s="363"/>
      <c r="T36" s="363"/>
    </row>
    <row r="37" spans="2:24" x14ac:dyDescent="0.25">
      <c r="B37" s="363"/>
      <c r="C37" s="363"/>
      <c r="D37" s="363"/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</row>
    <row r="39" spans="2:24" x14ac:dyDescent="0.25">
      <c r="F39" s="356" t="s">
        <v>242</v>
      </c>
      <c r="G39" s="357"/>
      <c r="H39" s="358"/>
      <c r="I39" s="195"/>
      <c r="J39" s="356" t="s">
        <v>209</v>
      </c>
      <c r="K39" s="357"/>
      <c r="L39" s="358"/>
      <c r="M39" s="195"/>
      <c r="N39" s="356" t="s">
        <v>210</v>
      </c>
      <c r="O39" s="357"/>
      <c r="P39" s="358"/>
      <c r="R39" s="364"/>
      <c r="S39" s="365"/>
      <c r="T39" s="366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67" t="str">
        <f>B36</f>
        <v>Optimal Channel Spend  allowed to vary between  of the 2021 spend</v>
      </c>
      <c r="G53" s="367"/>
      <c r="H53" s="367"/>
      <c r="I53" s="367"/>
      <c r="J53" s="367"/>
      <c r="K53" s="367"/>
      <c r="L53" s="367"/>
      <c r="M53" s="367"/>
      <c r="N53" s="367"/>
      <c r="O53" s="367"/>
      <c r="P53" s="367"/>
    </row>
    <row r="54" spans="2:20" x14ac:dyDescent="0.25">
      <c r="C54" s="354" t="s">
        <v>243</v>
      </c>
      <c r="D54" s="355"/>
      <c r="E54" s="204"/>
      <c r="F54" s="356" t="str">
        <f>F39</f>
        <v>Current Optimal ($MM)</v>
      </c>
      <c r="G54" s="357"/>
      <c r="H54" s="358"/>
      <c r="I54" s="205"/>
      <c r="J54" s="356" t="str">
        <f>J39</f>
        <v>10% reduction optimal ($)</v>
      </c>
      <c r="K54" s="357"/>
      <c r="L54" s="358"/>
      <c r="M54" s="205"/>
      <c r="N54" s="356" t="str">
        <f>N39</f>
        <v>20% reduction optimal ()</v>
      </c>
      <c r="O54" s="357"/>
      <c r="P54" s="358"/>
      <c r="R54" s="359"/>
      <c r="S54" s="360"/>
      <c r="T54" s="361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6"/>
      <c r="J67" s="346"/>
      <c r="K67" s="346"/>
      <c r="L67" s="191" t="e">
        <f>L66/$D$64</f>
        <v>#DIV/0!</v>
      </c>
      <c r="M67" s="346"/>
      <c r="N67" s="346"/>
      <c r="O67" s="346"/>
      <c r="P67" s="191" t="e">
        <f>P66/$D$64</f>
        <v>#DIV/0!</v>
      </c>
      <c r="Q67" s="346"/>
      <c r="R67" s="346"/>
      <c r="S67" s="346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372" t="s">
        <v>2</v>
      </c>
      <c r="C3" s="370" t="s">
        <v>3</v>
      </c>
      <c r="D3" s="368" t="s">
        <v>232</v>
      </c>
      <c r="E3" s="369"/>
      <c r="F3" s="368" t="s">
        <v>233</v>
      </c>
      <c r="G3" s="369"/>
      <c r="H3" s="368" t="s">
        <v>234</v>
      </c>
      <c r="I3" s="369"/>
      <c r="K3" s="372" t="s">
        <v>2</v>
      </c>
      <c r="L3" s="370" t="s">
        <v>3</v>
      </c>
      <c r="M3" s="368" t="s">
        <v>232</v>
      </c>
      <c r="N3" s="369"/>
      <c r="O3" s="368" t="s">
        <v>233</v>
      </c>
      <c r="P3" s="369"/>
      <c r="Q3" s="368" t="s">
        <v>234</v>
      </c>
      <c r="R3" s="369"/>
    </row>
    <row r="4" spans="2:20" ht="25.5" x14ac:dyDescent="0.25">
      <c r="B4" s="371"/>
      <c r="C4" s="371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371"/>
      <c r="L4" s="371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v>3081000</v>
      </c>
      <c r="E5" s="245">
        <v>15505097.624899359</v>
      </c>
      <c r="F5" s="244">
        <v>1659000</v>
      </c>
      <c r="G5" s="245">
        <v>5231470.2092302376</v>
      </c>
      <c r="H5" s="244">
        <v>3081000</v>
      </c>
      <c r="I5" s="245">
        <v>31010195.249798719</v>
      </c>
      <c r="J5" s="246"/>
      <c r="K5" s="53" t="s">
        <v>154</v>
      </c>
      <c r="L5" s="53" t="str">
        <f>VAC_Optim_Scenario!B17</f>
        <v>HCC In Office</v>
      </c>
      <c r="M5" s="247">
        <f>D5/1000000</f>
        <v>3.081</v>
      </c>
      <c r="N5" s="248">
        <f t="shared" ref="N5:R13" si="0">E5/1000000</f>
        <v>15.50509762489936</v>
      </c>
      <c r="O5" s="247">
        <f t="shared" si="0"/>
        <v>1.659</v>
      </c>
      <c r="P5" s="248">
        <f t="shared" si="0"/>
        <v>5.2314702092302374</v>
      </c>
      <c r="Q5" s="247">
        <f t="shared" si="0"/>
        <v>3.081</v>
      </c>
      <c r="R5" s="248">
        <f t="shared" si="0"/>
        <v>31.01019524979872</v>
      </c>
    </row>
    <row r="6" spans="2:20" x14ac:dyDescent="0.25">
      <c r="B6" s="54" t="s">
        <v>154</v>
      </c>
      <c r="C6" s="249" t="str">
        <f>VAC_Optim_Scenario!B18</f>
        <v>HCP MCM</v>
      </c>
      <c r="D6" s="250">
        <v>7913749.9886468202</v>
      </c>
      <c r="E6" s="251">
        <v>57060597.324814886</v>
      </c>
      <c r="F6" s="250">
        <v>7913749.9886468202</v>
      </c>
      <c r="G6" s="251">
        <v>28530298.662407443</v>
      </c>
      <c r="H6" s="250">
        <v>7913749.9886468202</v>
      </c>
      <c r="I6" s="251">
        <v>114121194.64962977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7.9137499886468206</v>
      </c>
      <c r="N6" s="253">
        <f t="shared" si="0"/>
        <v>57.060597324814886</v>
      </c>
      <c r="O6" s="252">
        <f t="shared" si="0"/>
        <v>7.9137499886468206</v>
      </c>
      <c r="P6" s="253">
        <f t="shared" si="0"/>
        <v>28.530298662407443</v>
      </c>
      <c r="Q6" s="252">
        <f t="shared" si="0"/>
        <v>7.9137499886468206</v>
      </c>
      <c r="R6" s="253">
        <f t="shared" si="0"/>
        <v>114.12119464962977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v>2938000</v>
      </c>
      <c r="E7" s="251">
        <v>12484947.958885178</v>
      </c>
      <c r="F7" s="250">
        <v>1582000</v>
      </c>
      <c r="G7" s="251">
        <v>4305757.3675515149</v>
      </c>
      <c r="H7" s="250">
        <v>2938000</v>
      </c>
      <c r="I7" s="251">
        <v>24969895.917770356</v>
      </c>
      <c r="J7" s="254"/>
      <c r="K7" s="54" t="s">
        <v>154</v>
      </c>
      <c r="L7" s="54" t="str">
        <f>VAC_Optim_Scenario!B19</f>
        <v>HCC Social</v>
      </c>
      <c r="M7" s="252">
        <f t="shared" si="1"/>
        <v>2.9380000000000002</v>
      </c>
      <c r="N7" s="253">
        <f t="shared" si="0"/>
        <v>12.484947958885177</v>
      </c>
      <c r="O7" s="252">
        <f t="shared" si="0"/>
        <v>1.5820000000000001</v>
      </c>
      <c r="P7" s="253">
        <f t="shared" si="0"/>
        <v>4.3057573675515153</v>
      </c>
      <c r="Q7" s="252">
        <f t="shared" si="0"/>
        <v>2.9380000000000002</v>
      </c>
      <c r="R7" s="253">
        <f t="shared" si="0"/>
        <v>24.969895917770355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v>693000</v>
      </c>
      <c r="E8" s="251">
        <v>1393371.6974633737</v>
      </c>
      <c r="F8" s="250">
        <v>693000</v>
      </c>
      <c r="G8" s="251">
        <v>696685.84873168683</v>
      </c>
      <c r="H8" s="250">
        <v>1287000</v>
      </c>
      <c r="I8" s="251">
        <v>5072075.9622077979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0.69299999999999995</v>
      </c>
      <c r="N8" s="253">
        <f t="shared" si="0"/>
        <v>1.3933716974633736</v>
      </c>
      <c r="O8" s="252">
        <f t="shared" si="0"/>
        <v>0.69299999999999995</v>
      </c>
      <c r="P8" s="253">
        <f t="shared" si="0"/>
        <v>0.69668584873168682</v>
      </c>
      <c r="Q8" s="252">
        <f t="shared" si="0"/>
        <v>1.2869999999999999</v>
      </c>
      <c r="R8" s="253">
        <f t="shared" si="0"/>
        <v>5.0720759622077978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v>3941643.9999999995</v>
      </c>
      <c r="E9" s="251">
        <v>16046723.043048661</v>
      </c>
      <c r="F9" s="250">
        <v>3941643.9999999995</v>
      </c>
      <c r="G9" s="251">
        <v>8023361.5215243306</v>
      </c>
      <c r="H9" s="250">
        <v>7320196</v>
      </c>
      <c r="I9" s="251">
        <v>46528980.850825705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3.9416439999999997</v>
      </c>
      <c r="N9" s="253">
        <f t="shared" si="0"/>
        <v>16.046723043048662</v>
      </c>
      <c r="O9" s="252">
        <f t="shared" si="0"/>
        <v>3.9416439999999997</v>
      </c>
      <c r="P9" s="253">
        <f t="shared" si="0"/>
        <v>8.0233615215243308</v>
      </c>
      <c r="Q9" s="252">
        <f t="shared" si="0"/>
        <v>7.3201960000000001</v>
      </c>
      <c r="R9" s="253">
        <f t="shared" si="0"/>
        <v>46.528980850825704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v>1921400</v>
      </c>
      <c r="E10" s="251">
        <v>18796150.349974733</v>
      </c>
      <c r="F10" s="250">
        <v>1921400</v>
      </c>
      <c r="G10" s="251">
        <v>9398075.1749873664</v>
      </c>
      <c r="H10" s="250">
        <v>1921400</v>
      </c>
      <c r="I10" s="251">
        <v>37592300.699949466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1.9214</v>
      </c>
      <c r="N10" s="253">
        <f t="shared" si="0"/>
        <v>18.796150349974734</v>
      </c>
      <c r="O10" s="252">
        <f t="shared" si="0"/>
        <v>1.9214</v>
      </c>
      <c r="P10" s="253">
        <f t="shared" si="0"/>
        <v>9.3980751749873672</v>
      </c>
      <c r="Q10" s="252">
        <f t="shared" si="0"/>
        <v>1.9214</v>
      </c>
      <c r="R10" s="253">
        <f t="shared" si="0"/>
        <v>37.592300699949469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v>1232000</v>
      </c>
      <c r="E11" s="251">
        <v>1724376.7699591145</v>
      </c>
      <c r="F11" s="250">
        <v>1232000</v>
      </c>
      <c r="G11" s="251">
        <v>862188.38497955725</v>
      </c>
      <c r="H11" s="250">
        <v>1232000</v>
      </c>
      <c r="I11" s="251">
        <v>3448753.539918229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1.232</v>
      </c>
      <c r="N11" s="253">
        <f t="shared" si="0"/>
        <v>1.7243767699591146</v>
      </c>
      <c r="O11" s="252">
        <f t="shared" si="0"/>
        <v>1.232</v>
      </c>
      <c r="P11" s="253">
        <f t="shared" si="0"/>
        <v>0.8621883849795573</v>
      </c>
      <c r="Q11" s="252">
        <f t="shared" si="0"/>
        <v>1.232</v>
      </c>
      <c r="R11" s="253">
        <f t="shared" si="0"/>
        <v>3.4487535399182292</v>
      </c>
    </row>
    <row r="12" spans="2:20" x14ac:dyDescent="0.25">
      <c r="B12" s="54" t="s">
        <v>154</v>
      </c>
      <c r="C12" s="249" t="str">
        <f>VAC_Optim_Scenario!B24</f>
        <v>HCC Radio</v>
      </c>
      <c r="D12" s="250">
        <v>1599670.8676800225</v>
      </c>
      <c r="E12" s="251">
        <v>9996421.98813181</v>
      </c>
      <c r="F12" s="250">
        <v>913707.9</v>
      </c>
      <c r="G12" s="251">
        <v>3995078.1857456174</v>
      </c>
      <c r="H12" s="250">
        <v>1696886.1</v>
      </c>
      <c r="I12" s="251">
        <v>20470261.90992026</v>
      </c>
      <c r="J12" s="246"/>
      <c r="K12" s="54" t="s">
        <v>154</v>
      </c>
      <c r="L12" s="54" t="str">
        <f>VAC_Optim_Scenario!B24</f>
        <v>HCC Radio</v>
      </c>
      <c r="M12" s="252">
        <f t="shared" si="1"/>
        <v>1.5996708676800224</v>
      </c>
      <c r="N12" s="253">
        <f t="shared" si="0"/>
        <v>9.9964219881318108</v>
      </c>
      <c r="O12" s="252">
        <f t="shared" si="0"/>
        <v>0.91370790000000002</v>
      </c>
      <c r="P12" s="253">
        <f t="shared" si="0"/>
        <v>3.9950781857456175</v>
      </c>
      <c r="Q12" s="252">
        <f t="shared" si="0"/>
        <v>1.6968861000000002</v>
      </c>
      <c r="R12" s="253">
        <f t="shared" si="0"/>
        <v>20.470261909920261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v>15034299.993673161</v>
      </c>
      <c r="E13" s="264">
        <v>62633387.738168843</v>
      </c>
      <c r="F13" s="264">
        <v>11531133.494999999</v>
      </c>
      <c r="G13" s="264">
        <v>26708480.43695968</v>
      </c>
      <c r="H13" s="264">
        <v>18498262.961353183</v>
      </c>
      <c r="I13" s="264">
        <v>141861497.65733996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15.034299993673161</v>
      </c>
      <c r="N13" s="257">
        <f t="shared" si="0"/>
        <v>62.633387738168842</v>
      </c>
      <c r="O13" s="257">
        <f t="shared" si="0"/>
        <v>11.531133494999999</v>
      </c>
      <c r="P13" s="257">
        <f t="shared" si="0"/>
        <v>26.708480436959679</v>
      </c>
      <c r="Q13" s="257">
        <f t="shared" si="0"/>
        <v>18.498262961353184</v>
      </c>
      <c r="R13" s="257">
        <f t="shared" si="0"/>
        <v>141.86149765733995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370" t="s">
        <v>3</v>
      </c>
      <c r="D17" s="368" t="s">
        <v>232</v>
      </c>
      <c r="E17" s="369"/>
      <c r="F17" s="368" t="s">
        <v>239</v>
      </c>
      <c r="G17" s="369"/>
      <c r="H17" s="368" t="s">
        <v>240</v>
      </c>
      <c r="I17" s="369"/>
      <c r="L17" s="370" t="s">
        <v>3</v>
      </c>
      <c r="M17" s="368" t="s">
        <v>232</v>
      </c>
      <c r="N17" s="369"/>
      <c r="O17" s="368" t="s">
        <v>239</v>
      </c>
      <c r="P17" s="369"/>
      <c r="Q17" s="368" t="s">
        <v>240</v>
      </c>
      <c r="R17" s="369"/>
    </row>
    <row r="18" spans="2:19" ht="25.5" x14ac:dyDescent="0.25">
      <c r="C18" s="371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371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v>3081000</v>
      </c>
      <c r="E19" s="245">
        <v>15505097.624899359</v>
      </c>
      <c r="F19" s="244">
        <v>1976029.1300433497</v>
      </c>
      <c r="G19" s="245">
        <v>7097337.0795079041</v>
      </c>
      <c r="H19" s="244">
        <v>3081000</v>
      </c>
      <c r="I19" s="245">
        <v>21707136.674859103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3.081</v>
      </c>
      <c r="N19" s="248">
        <f t="shared" ref="N19:R27" si="2">E19/1000000</f>
        <v>15.50509762489936</v>
      </c>
      <c r="O19" s="247">
        <f t="shared" si="2"/>
        <v>1.9760291300433497</v>
      </c>
      <c r="P19" s="248">
        <f t="shared" si="2"/>
        <v>7.0973370795079038</v>
      </c>
      <c r="Q19" s="247">
        <f t="shared" si="2"/>
        <v>3.081</v>
      </c>
      <c r="R19" s="248">
        <f t="shared" si="2"/>
        <v>21.707136674859104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v>7913749.9886468202</v>
      </c>
      <c r="E20" s="251">
        <v>57060597.324814886</v>
      </c>
      <c r="F20" s="250">
        <v>7913749.9886468202</v>
      </c>
      <c r="G20" s="251">
        <v>34236358.39488893</v>
      </c>
      <c r="H20" s="250">
        <v>7913749.9886468202</v>
      </c>
      <c r="I20" s="251">
        <v>79884836.254740834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7.9137499886468206</v>
      </c>
      <c r="N20" s="253">
        <f t="shared" si="2"/>
        <v>57.060597324814886</v>
      </c>
      <c r="O20" s="252">
        <f t="shared" si="2"/>
        <v>7.9137499886468206</v>
      </c>
      <c r="P20" s="253">
        <f t="shared" si="2"/>
        <v>34.236358394888931</v>
      </c>
      <c r="Q20" s="252">
        <f t="shared" si="2"/>
        <v>7.9137499886468206</v>
      </c>
      <c r="R20" s="253">
        <f t="shared" si="2"/>
        <v>79.884836254740833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v>2938000</v>
      </c>
      <c r="E21" s="251">
        <v>12484947.958885178</v>
      </c>
      <c r="F21" s="250">
        <v>1582000</v>
      </c>
      <c r="G21" s="251">
        <v>5166908.8410618175</v>
      </c>
      <c r="H21" s="250">
        <v>2938000</v>
      </c>
      <c r="I21" s="251">
        <v>17478927.142439246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2.9380000000000002</v>
      </c>
      <c r="N21" s="253">
        <f t="shared" si="2"/>
        <v>12.484947958885177</v>
      </c>
      <c r="O21" s="252">
        <f t="shared" si="2"/>
        <v>1.5820000000000001</v>
      </c>
      <c r="P21" s="253">
        <f t="shared" si="2"/>
        <v>5.1669088410618178</v>
      </c>
      <c r="Q21" s="252">
        <f t="shared" si="2"/>
        <v>2.9380000000000002</v>
      </c>
      <c r="R21" s="253">
        <f t="shared" si="2"/>
        <v>17.478927142439247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v>693000</v>
      </c>
      <c r="E22" s="251">
        <v>1393371.6974633737</v>
      </c>
      <c r="F22" s="250">
        <v>693000</v>
      </c>
      <c r="G22" s="251">
        <v>836023.01847802405</v>
      </c>
      <c r="H22" s="250">
        <v>1287000</v>
      </c>
      <c r="I22" s="251">
        <v>3550453.1735454584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0.69299999999999995</v>
      </c>
      <c r="N22" s="253">
        <f t="shared" si="2"/>
        <v>1.3933716974633736</v>
      </c>
      <c r="O22" s="252">
        <f t="shared" si="2"/>
        <v>0.69299999999999995</v>
      </c>
      <c r="P22" s="253">
        <f t="shared" si="2"/>
        <v>0.83602301847802407</v>
      </c>
      <c r="Q22" s="252">
        <f t="shared" si="2"/>
        <v>1.2869999999999999</v>
      </c>
      <c r="R22" s="253">
        <f t="shared" si="2"/>
        <v>3.5504531735454585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v>3941643.9999999995</v>
      </c>
      <c r="E23" s="251">
        <v>16046723.043048661</v>
      </c>
      <c r="F23" s="250">
        <v>3941643.9999999995</v>
      </c>
      <c r="G23" s="251">
        <v>9628033.8258291967</v>
      </c>
      <c r="H23" s="250">
        <v>7133528.9098028336</v>
      </c>
      <c r="I23" s="251">
        <v>32069383.393545374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3.9416439999999997</v>
      </c>
      <c r="N23" s="253">
        <f t="shared" si="2"/>
        <v>16.046723043048662</v>
      </c>
      <c r="O23" s="252">
        <f t="shared" si="2"/>
        <v>3.9416439999999997</v>
      </c>
      <c r="P23" s="253">
        <f t="shared" si="2"/>
        <v>9.6280338258291973</v>
      </c>
      <c r="Q23" s="252">
        <f t="shared" si="2"/>
        <v>7.1335289098028332</v>
      </c>
      <c r="R23" s="253">
        <f t="shared" si="2"/>
        <v>32.069383393545372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v>1921400</v>
      </c>
      <c r="E24" s="251">
        <v>18796150.349974733</v>
      </c>
      <c r="F24" s="250">
        <v>1921400</v>
      </c>
      <c r="G24" s="251">
        <v>11277690.209984839</v>
      </c>
      <c r="H24" s="250">
        <v>1921400</v>
      </c>
      <c r="I24" s="251">
        <v>26314610.489964623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1.9214</v>
      </c>
      <c r="N24" s="253">
        <f t="shared" si="2"/>
        <v>18.796150349974734</v>
      </c>
      <c r="O24" s="252">
        <f t="shared" si="2"/>
        <v>1.9214</v>
      </c>
      <c r="P24" s="253">
        <f t="shared" si="2"/>
        <v>11.277690209984838</v>
      </c>
      <c r="Q24" s="252">
        <f t="shared" si="2"/>
        <v>1.9214</v>
      </c>
      <c r="R24" s="253">
        <f t="shared" si="2"/>
        <v>26.314610489964622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v>1232000</v>
      </c>
      <c r="E25" s="251">
        <v>1724376.7699591145</v>
      </c>
      <c r="F25" s="250">
        <v>1232000</v>
      </c>
      <c r="G25" s="251">
        <v>1034626.0619754686</v>
      </c>
      <c r="H25" s="250">
        <v>1232000</v>
      </c>
      <c r="I25" s="251">
        <v>2414127.4779427601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1.232</v>
      </c>
      <c r="N25" s="253">
        <f t="shared" si="2"/>
        <v>1.7243767699591146</v>
      </c>
      <c r="O25" s="252">
        <f t="shared" si="2"/>
        <v>1.232</v>
      </c>
      <c r="P25" s="253">
        <f t="shared" si="2"/>
        <v>1.0346260619754686</v>
      </c>
      <c r="Q25" s="252">
        <f t="shared" si="2"/>
        <v>1.232</v>
      </c>
      <c r="R25" s="253">
        <f t="shared" si="2"/>
        <v>2.4141274779427602</v>
      </c>
    </row>
    <row r="26" spans="2:19" x14ac:dyDescent="0.25">
      <c r="B26" s="54" t="s">
        <v>154</v>
      </c>
      <c r="C26" s="249" t="str">
        <f>VAC_Optim_Scenario!B24</f>
        <v>HCC Radio</v>
      </c>
      <c r="D26" s="250">
        <v>1599670.7428443772</v>
      </c>
      <c r="E26" s="251">
        <v>9996421.676090166</v>
      </c>
      <c r="F26" s="250">
        <v>913707.89999999991</v>
      </c>
      <c r="G26" s="251">
        <v>4794093.8228947408</v>
      </c>
      <c r="H26" s="250">
        <v>1696886.1</v>
      </c>
      <c r="I26" s="251">
        <v>14329183.336944181</v>
      </c>
      <c r="J26" s="254"/>
      <c r="K26" s="54" t="s">
        <v>154</v>
      </c>
      <c r="L26" s="249" t="str">
        <f>VAC_Optim_Scenario!B24</f>
        <v>HCC Radio</v>
      </c>
      <c r="M26" s="252">
        <f t="shared" si="3"/>
        <v>1.5996707428443773</v>
      </c>
      <c r="N26" s="253">
        <f t="shared" si="2"/>
        <v>9.9964216760901667</v>
      </c>
      <c r="O26" s="252">
        <f t="shared" si="2"/>
        <v>0.91370789999999991</v>
      </c>
      <c r="P26" s="253">
        <f t="shared" si="2"/>
        <v>4.794093822894741</v>
      </c>
      <c r="Q26" s="252">
        <f t="shared" si="2"/>
        <v>1.6968861000000002</v>
      </c>
      <c r="R26" s="253">
        <f t="shared" si="2"/>
        <v>14.329183336944181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v>15034300.118508808</v>
      </c>
      <c r="E27" s="264">
        <v>62633388.050210491</v>
      </c>
      <c r="F27" s="264">
        <v>11531133.494999999</v>
      </c>
      <c r="G27" s="264">
        <v>32050176.524351615</v>
      </c>
      <c r="H27" s="264">
        <v>17521435.993065551</v>
      </c>
      <c r="I27" s="264">
        <v>96122670.742821991</v>
      </c>
      <c r="J27" s="254"/>
      <c r="K27" s="263" t="s">
        <v>154</v>
      </c>
      <c r="L27" s="236" t="str">
        <f>VAC_Optim_Scenario!B25</f>
        <v>HCC TV</v>
      </c>
      <c r="M27" s="257">
        <f t="shared" si="3"/>
        <v>15.034300118508808</v>
      </c>
      <c r="N27" s="257">
        <f t="shared" si="2"/>
        <v>62.633388050210492</v>
      </c>
      <c r="O27" s="257">
        <f t="shared" si="2"/>
        <v>11.531133494999999</v>
      </c>
      <c r="P27" s="257">
        <f t="shared" si="2"/>
        <v>32.050176524351613</v>
      </c>
      <c r="Q27" s="257">
        <f t="shared" si="2"/>
        <v>17.521435993065552</v>
      </c>
      <c r="R27" s="257">
        <f t="shared" si="2"/>
        <v>96.122670742821995</v>
      </c>
    </row>
    <row r="30" spans="2:19" ht="34.35" customHeight="1" x14ac:dyDescent="0.25">
      <c r="C30" s="332" t="s">
        <v>3</v>
      </c>
      <c r="D30" s="333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334">
        <f>M19</f>
        <v>3.081</v>
      </c>
      <c r="E31" s="334">
        <f>O5</f>
        <v>1.659</v>
      </c>
      <c r="F31" s="334">
        <f>Q5</f>
        <v>3.081</v>
      </c>
      <c r="G31" s="334">
        <f>O19</f>
        <v>1.9760291300433497</v>
      </c>
      <c r="H31" s="334">
        <f>Q19</f>
        <v>3.081</v>
      </c>
      <c r="J31" s="256">
        <v>-0.5</v>
      </c>
      <c r="K31" s="257">
        <f>E$31</f>
        <v>1.659</v>
      </c>
      <c r="L31" s="257">
        <f>E$32</f>
        <v>7.9137499886468206</v>
      </c>
      <c r="M31" s="257">
        <f>E$33</f>
        <v>1.5820000000000001</v>
      </c>
      <c r="N31" s="257">
        <f>E$34</f>
        <v>0.69299999999999995</v>
      </c>
      <c r="O31" s="257">
        <f>E$35</f>
        <v>3.9416439999999997</v>
      </c>
      <c r="P31" s="257">
        <f>E$36</f>
        <v>1.9214</v>
      </c>
      <c r="Q31" s="257">
        <f>E$37</f>
        <v>1.232</v>
      </c>
      <c r="R31" s="257">
        <f>E$38</f>
        <v>0.91370790000000002</v>
      </c>
      <c r="S31" s="257">
        <f>E$39</f>
        <v>11.531133494999999</v>
      </c>
    </row>
    <row r="32" spans="2:19" x14ac:dyDescent="0.25">
      <c r="B32" s="54" t="s">
        <v>154</v>
      </c>
      <c r="C32" s="307" t="str">
        <f>VAC_Optim_Scenario!B18</f>
        <v>HCP MCM</v>
      </c>
      <c r="D32" s="335">
        <f t="shared" ref="D32:D39" si="4">M20</f>
        <v>7.9137499886468206</v>
      </c>
      <c r="E32" s="335">
        <f t="shared" ref="E32:E39" si="5">O6</f>
        <v>7.9137499886468206</v>
      </c>
      <c r="F32" s="335">
        <f t="shared" ref="F32:F39" si="6">Q6</f>
        <v>7.9137499886468206</v>
      </c>
      <c r="G32" s="335">
        <f t="shared" ref="G32:G39" si="7">O20</f>
        <v>7.9137499886468206</v>
      </c>
      <c r="H32" s="335">
        <f t="shared" ref="H32:H39" si="8">Q20</f>
        <v>7.9137499886468206</v>
      </c>
      <c r="J32" s="256">
        <v>-0.4</v>
      </c>
      <c r="K32" s="257">
        <f>G$31</f>
        <v>1.9760291300433497</v>
      </c>
      <c r="L32" s="257">
        <f>G$32</f>
        <v>7.9137499886468206</v>
      </c>
      <c r="M32" s="257">
        <f>G$33</f>
        <v>1.5820000000000001</v>
      </c>
      <c r="N32" s="257">
        <f>G$34</f>
        <v>0.69299999999999995</v>
      </c>
      <c r="O32" s="257">
        <f>G$35</f>
        <v>3.9416439999999997</v>
      </c>
      <c r="P32" s="257">
        <f>G$36</f>
        <v>1.9214</v>
      </c>
      <c r="Q32" s="257">
        <f>G$37</f>
        <v>1.232</v>
      </c>
      <c r="R32" s="257">
        <f>G$38</f>
        <v>0.91370789999999991</v>
      </c>
      <c r="S32" s="257">
        <f>G$39</f>
        <v>11.531133494999999</v>
      </c>
    </row>
    <row r="33" spans="2:22" x14ac:dyDescent="0.25">
      <c r="B33" s="54" t="s">
        <v>154</v>
      </c>
      <c r="C33" s="307" t="str">
        <f>VAC_Optim_Scenario!B19</f>
        <v>HCC Social</v>
      </c>
      <c r="D33" s="335">
        <f t="shared" si="4"/>
        <v>2.9380000000000002</v>
      </c>
      <c r="E33" s="335">
        <f t="shared" si="5"/>
        <v>1.5820000000000001</v>
      </c>
      <c r="F33" s="335">
        <f t="shared" si="6"/>
        <v>2.9380000000000002</v>
      </c>
      <c r="G33" s="335">
        <f t="shared" si="7"/>
        <v>1.5820000000000001</v>
      </c>
      <c r="H33" s="335">
        <f t="shared" si="8"/>
        <v>2.9380000000000002</v>
      </c>
      <c r="J33" s="256" t="s">
        <v>241</v>
      </c>
      <c r="K33" s="257">
        <f>D$31</f>
        <v>3.081</v>
      </c>
      <c r="L33" s="257">
        <f>D$32</f>
        <v>7.9137499886468206</v>
      </c>
      <c r="M33" s="257">
        <f>D$33</f>
        <v>2.9380000000000002</v>
      </c>
      <c r="N33" s="257">
        <f>D$34</f>
        <v>0.69299999999999995</v>
      </c>
      <c r="O33" s="257">
        <f>D$35</f>
        <v>3.9416439999999997</v>
      </c>
      <c r="P33" s="257">
        <f>D$36</f>
        <v>1.9214</v>
      </c>
      <c r="Q33" s="257">
        <f>D$37</f>
        <v>1.232</v>
      </c>
      <c r="R33" s="257">
        <f>D$38</f>
        <v>1.5996707428443773</v>
      </c>
      <c r="S33" s="257">
        <f>D$39</f>
        <v>15.034300118508808</v>
      </c>
    </row>
    <row r="34" spans="2:22" x14ac:dyDescent="0.25">
      <c r="B34" s="54" t="s">
        <v>154</v>
      </c>
      <c r="C34" s="307" t="str">
        <f>VAC_Optim_Scenario!B20</f>
        <v>HCC Online Video</v>
      </c>
      <c r="D34" s="335">
        <f t="shared" si="4"/>
        <v>0.69299999999999995</v>
      </c>
      <c r="E34" s="335">
        <f t="shared" si="5"/>
        <v>0.69299999999999995</v>
      </c>
      <c r="F34" s="335">
        <f t="shared" si="6"/>
        <v>1.2869999999999999</v>
      </c>
      <c r="G34" s="335">
        <f t="shared" si="7"/>
        <v>0.69299999999999995</v>
      </c>
      <c r="H34" s="335">
        <f t="shared" si="8"/>
        <v>1.2869999999999999</v>
      </c>
      <c r="J34" s="256">
        <v>0.4</v>
      </c>
      <c r="K34" s="257">
        <f>H$31</f>
        <v>3.081</v>
      </c>
      <c r="L34" s="257">
        <f>H$32</f>
        <v>7.9137499886468206</v>
      </c>
      <c r="M34" s="257">
        <f>H$33</f>
        <v>2.9380000000000002</v>
      </c>
      <c r="N34" s="257">
        <f>H$34</f>
        <v>1.2869999999999999</v>
      </c>
      <c r="O34" s="257">
        <f>H$35</f>
        <v>7.1335289098028332</v>
      </c>
      <c r="P34" s="257">
        <f>H$36</f>
        <v>1.9214</v>
      </c>
      <c r="Q34" s="257">
        <f>H$37</f>
        <v>1.232</v>
      </c>
      <c r="R34" s="257">
        <f>H$38</f>
        <v>1.6968861000000002</v>
      </c>
      <c r="S34" s="257">
        <f>H$39</f>
        <v>17.521435993065552</v>
      </c>
    </row>
    <row r="35" spans="2:22" x14ac:dyDescent="0.25">
      <c r="B35" s="54" t="s">
        <v>154</v>
      </c>
      <c r="C35" s="307" t="str">
        <f>VAC_Optim_Scenario!B21</f>
        <v>HCC Streaming Video</v>
      </c>
      <c r="D35" s="335">
        <f t="shared" si="4"/>
        <v>3.9416439999999997</v>
      </c>
      <c r="E35" s="335">
        <f t="shared" si="5"/>
        <v>3.9416439999999997</v>
      </c>
      <c r="F35" s="335">
        <f t="shared" si="6"/>
        <v>7.3201960000000001</v>
      </c>
      <c r="G35" s="335">
        <f t="shared" si="7"/>
        <v>3.9416439999999997</v>
      </c>
      <c r="H35" s="335">
        <f t="shared" si="8"/>
        <v>7.1335289098028332</v>
      </c>
      <c r="J35" s="255">
        <v>2</v>
      </c>
      <c r="K35" s="257">
        <f>F$31</f>
        <v>3.081</v>
      </c>
      <c r="L35" s="257">
        <f>F$32</f>
        <v>7.9137499886468206</v>
      </c>
      <c r="M35" s="257">
        <f>F$33</f>
        <v>2.9380000000000002</v>
      </c>
      <c r="N35" s="257">
        <f>F$34</f>
        <v>1.2869999999999999</v>
      </c>
      <c r="O35" s="257">
        <f>F$35</f>
        <v>7.3201960000000001</v>
      </c>
      <c r="P35" s="257">
        <f>F$36</f>
        <v>1.9214</v>
      </c>
      <c r="Q35" s="257">
        <f>F$37</f>
        <v>1.232</v>
      </c>
      <c r="R35" s="257">
        <f>F$38</f>
        <v>1.6968861000000002</v>
      </c>
      <c r="S35" s="257">
        <f>F$39</f>
        <v>18.498262961353184</v>
      </c>
    </row>
    <row r="36" spans="2:22" x14ac:dyDescent="0.25">
      <c r="B36" s="54" t="s">
        <v>154</v>
      </c>
      <c r="C36" s="307" t="str">
        <f>VAC_Optim_Scenario!B22</f>
        <v>HCC Display</v>
      </c>
      <c r="D36" s="335">
        <f t="shared" si="4"/>
        <v>1.9214</v>
      </c>
      <c r="E36" s="335">
        <f t="shared" si="5"/>
        <v>1.9214</v>
      </c>
      <c r="F36" s="335">
        <f t="shared" si="6"/>
        <v>1.9214</v>
      </c>
      <c r="G36" s="335">
        <f t="shared" si="7"/>
        <v>1.9214</v>
      </c>
      <c r="H36" s="335">
        <f t="shared" si="8"/>
        <v>1.9214</v>
      </c>
    </row>
    <row r="37" spans="2:22" x14ac:dyDescent="0.25">
      <c r="B37" s="54" t="s">
        <v>154</v>
      </c>
      <c r="C37" s="307" t="str">
        <f>VAC_Optim_Scenario!B23</f>
        <v>HCC Paid Search</v>
      </c>
      <c r="D37" s="335">
        <f t="shared" si="4"/>
        <v>1.232</v>
      </c>
      <c r="E37" s="335">
        <f t="shared" si="5"/>
        <v>1.232</v>
      </c>
      <c r="F37" s="335">
        <f t="shared" si="6"/>
        <v>1.232</v>
      </c>
      <c r="G37" s="335">
        <f t="shared" si="7"/>
        <v>1.232</v>
      </c>
      <c r="H37" s="335">
        <f t="shared" si="8"/>
        <v>1.232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Radio</v>
      </c>
      <c r="D38" s="335">
        <f t="shared" si="4"/>
        <v>1.5996707428443773</v>
      </c>
      <c r="E38" s="335">
        <f t="shared" si="5"/>
        <v>0.91370790000000002</v>
      </c>
      <c r="F38" s="335">
        <f t="shared" si="6"/>
        <v>1.6968861000000002</v>
      </c>
      <c r="G38" s="335">
        <f t="shared" si="7"/>
        <v>0.91370789999999991</v>
      </c>
      <c r="H38" s="335">
        <f t="shared" si="8"/>
        <v>1.6968861000000002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335">
        <f t="shared" si="4"/>
        <v>15.034300118508808</v>
      </c>
      <c r="E39" s="335">
        <f t="shared" si="5"/>
        <v>11.531133494999999</v>
      </c>
      <c r="F39" s="335">
        <f t="shared" si="6"/>
        <v>18.498262961353184</v>
      </c>
      <c r="G39" s="335">
        <f t="shared" si="7"/>
        <v>11.531133494999999</v>
      </c>
      <c r="H39" s="335">
        <f t="shared" si="8"/>
        <v>17.521435993065552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372" t="s">
        <v>2</v>
      </c>
      <c r="C3" s="370" t="s">
        <v>3</v>
      </c>
      <c r="D3" s="368" t="s">
        <v>232</v>
      </c>
      <c r="E3" s="369"/>
      <c r="F3" s="368" t="s">
        <v>233</v>
      </c>
      <c r="G3" s="369"/>
      <c r="H3" s="368" t="s">
        <v>234</v>
      </c>
      <c r="I3" s="369"/>
      <c r="K3" s="372" t="s">
        <v>2</v>
      </c>
      <c r="L3" s="370" t="s">
        <v>3</v>
      </c>
      <c r="M3" s="368" t="s">
        <v>232</v>
      </c>
      <c r="N3" s="369"/>
      <c r="O3" s="368" t="s">
        <v>233</v>
      </c>
      <c r="P3" s="369"/>
      <c r="Q3" s="368" t="s">
        <v>234</v>
      </c>
      <c r="R3" s="369"/>
    </row>
    <row r="4" spans="2:20" ht="25.5" x14ac:dyDescent="0.25">
      <c r="B4" s="371"/>
      <c r="C4" s="371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371"/>
      <c r="L4" s="371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f>VAC_Optim_Scenario!$H35</f>
        <v>1346172.4927629044</v>
      </c>
      <c r="E5" s="245">
        <f>VAC_Optim_Scenario!$J35</f>
        <v>6361120.4206124544</v>
      </c>
      <c r="F5" s="244">
        <f>VAC_Optim_Scenario!$H35</f>
        <v>1346172.4927629044</v>
      </c>
      <c r="G5" s="245">
        <f>VAC_Optim_Scenario!$J35</f>
        <v>6361120.4206124544</v>
      </c>
      <c r="H5" s="244">
        <f>VAC_Optim_Scenario!$H35</f>
        <v>1346172.4927629044</v>
      </c>
      <c r="I5" s="245">
        <f>VAC_Optim_Scenario!$J35</f>
        <v>6361120.4206124544</v>
      </c>
      <c r="J5" s="246"/>
      <c r="K5" s="53" t="s">
        <v>154</v>
      </c>
      <c r="L5" s="53" t="str">
        <f>VAC_Optim_Scenario!B17</f>
        <v>HCC In Office</v>
      </c>
      <c r="M5" s="247">
        <f>D5/1000000</f>
        <v>1.3461724927629044</v>
      </c>
      <c r="N5" s="248">
        <f t="shared" ref="N5:R13" si="0">E5/1000000</f>
        <v>6.3611204206124548</v>
      </c>
      <c r="O5" s="247">
        <f t="shared" si="0"/>
        <v>1.3461724927629044</v>
      </c>
      <c r="P5" s="248">
        <f t="shared" si="0"/>
        <v>6.3611204206124548</v>
      </c>
      <c r="Q5" s="247">
        <f t="shared" si="0"/>
        <v>1.3461724927629044</v>
      </c>
      <c r="R5" s="248">
        <f t="shared" si="0"/>
        <v>6.3611204206124548</v>
      </c>
    </row>
    <row r="6" spans="2:20" x14ac:dyDescent="0.25">
      <c r="B6" s="54" t="s">
        <v>154</v>
      </c>
      <c r="C6" s="249" t="str">
        <f>VAC_Optim_Scenario!B18</f>
        <v>HCP MCM</v>
      </c>
      <c r="D6" s="250">
        <f>VAC_Optim_Scenario!$H36</f>
        <v>6974984.7570000011</v>
      </c>
      <c r="E6" s="251">
        <f>VAC_Optim_Scenario!$J36</f>
        <v>75572474.639871225</v>
      </c>
      <c r="F6" s="250">
        <f>VAC_Optim_Scenario!$H36</f>
        <v>6974984.7570000011</v>
      </c>
      <c r="G6" s="251">
        <f>VAC_Optim_Scenario!$J36</f>
        <v>75572474.639871225</v>
      </c>
      <c r="H6" s="250">
        <f>VAC_Optim_Scenario!$H36</f>
        <v>6974984.7570000011</v>
      </c>
      <c r="I6" s="251">
        <f>VAC_Optim_Scenario!$J36</f>
        <v>75572474.639871225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6.9749847570000014</v>
      </c>
      <c r="N6" s="253">
        <f t="shared" si="0"/>
        <v>75.572474639871231</v>
      </c>
      <c r="O6" s="252">
        <f t="shared" si="0"/>
        <v>6.9749847570000014</v>
      </c>
      <c r="P6" s="253">
        <f t="shared" si="0"/>
        <v>75.572474639871231</v>
      </c>
      <c r="Q6" s="252">
        <f t="shared" si="0"/>
        <v>6.9749847570000014</v>
      </c>
      <c r="R6" s="253">
        <f t="shared" si="0"/>
        <v>75.572474639871231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f>VAC_Optim_Scenario!$H37</f>
        <v>2434900</v>
      </c>
      <c r="E7" s="251">
        <f>VAC_Optim_Scenario!$J37</f>
        <v>18840932.631302718</v>
      </c>
      <c r="F7" s="250">
        <f>VAC_Optim_Scenario!$H37</f>
        <v>2434900</v>
      </c>
      <c r="G7" s="251">
        <f>VAC_Optim_Scenario!$J37</f>
        <v>18840932.631302718</v>
      </c>
      <c r="H7" s="250">
        <f>VAC_Optim_Scenario!$H37</f>
        <v>2434900</v>
      </c>
      <c r="I7" s="251">
        <f>VAC_Optim_Scenario!$J37</f>
        <v>18840932.631302718</v>
      </c>
      <c r="J7" s="254"/>
      <c r="K7" s="54" t="s">
        <v>154</v>
      </c>
      <c r="L7" s="54" t="str">
        <f>VAC_Optim_Scenario!B19</f>
        <v>HCC Social</v>
      </c>
      <c r="M7" s="252">
        <f t="shared" si="1"/>
        <v>2.4348999999999998</v>
      </c>
      <c r="N7" s="253">
        <f t="shared" si="0"/>
        <v>18.840932631302717</v>
      </c>
      <c r="O7" s="252">
        <f t="shared" si="0"/>
        <v>2.4348999999999998</v>
      </c>
      <c r="P7" s="253">
        <f t="shared" si="0"/>
        <v>18.840932631302717</v>
      </c>
      <c r="Q7" s="252">
        <f t="shared" si="0"/>
        <v>2.4348999999999998</v>
      </c>
      <c r="R7" s="253">
        <f t="shared" si="0"/>
        <v>18.840932631302717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f>VAC_Optim_Scenario!$H38</f>
        <v>225000.022</v>
      </c>
      <c r="E8" s="251">
        <f>VAC_Optim_Scenario!$J38</f>
        <v>2031161.5894317664</v>
      </c>
      <c r="F8" s="250">
        <f>VAC_Optim_Scenario!$H38</f>
        <v>225000.022</v>
      </c>
      <c r="G8" s="251">
        <f>VAC_Optim_Scenario!$J38</f>
        <v>2031161.5894317664</v>
      </c>
      <c r="H8" s="250">
        <f>VAC_Optim_Scenario!$H38</f>
        <v>225000.022</v>
      </c>
      <c r="I8" s="251">
        <f>VAC_Optim_Scenario!$J38</f>
        <v>2031161.5894317664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0.22500002199999999</v>
      </c>
      <c r="N8" s="253">
        <f t="shared" si="0"/>
        <v>2.0311615894317665</v>
      </c>
      <c r="O8" s="252">
        <f t="shared" si="0"/>
        <v>0.22500002199999999</v>
      </c>
      <c r="P8" s="253">
        <f t="shared" si="0"/>
        <v>2.0311615894317665</v>
      </c>
      <c r="Q8" s="252">
        <f t="shared" si="0"/>
        <v>0.22500002199999999</v>
      </c>
      <c r="R8" s="253">
        <f t="shared" si="0"/>
        <v>2.0311615894317665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f>VAC_Optim_Scenario!$H39</f>
        <v>7092172.847014742</v>
      </c>
      <c r="E9" s="251">
        <f>VAC_Optim_Scenario!$J39</f>
        <v>35989900.262106076</v>
      </c>
      <c r="F9" s="250">
        <f>VAC_Optim_Scenario!$H39</f>
        <v>7092172.847014742</v>
      </c>
      <c r="G9" s="251">
        <f>VAC_Optim_Scenario!$J39</f>
        <v>35989900.262106076</v>
      </c>
      <c r="H9" s="250">
        <f>VAC_Optim_Scenario!$H39</f>
        <v>7092172.847014742</v>
      </c>
      <c r="I9" s="251">
        <f>VAC_Optim_Scenario!$J39</f>
        <v>35989900.262106076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7.0921728470147416</v>
      </c>
      <c r="N9" s="253">
        <f t="shared" si="0"/>
        <v>35.989900262106076</v>
      </c>
      <c r="O9" s="252">
        <f t="shared" si="0"/>
        <v>7.0921728470147416</v>
      </c>
      <c r="P9" s="253">
        <f t="shared" si="0"/>
        <v>35.989900262106076</v>
      </c>
      <c r="Q9" s="252">
        <f t="shared" si="0"/>
        <v>7.0921728470147416</v>
      </c>
      <c r="R9" s="253">
        <f t="shared" si="0"/>
        <v>35.989900262106076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f>VAC_Optim_Scenario!$H40</f>
        <v>2142864.5810000002</v>
      </c>
      <c r="E10" s="251">
        <f>VAC_Optim_Scenario!$J40</f>
        <v>28569508.760968704</v>
      </c>
      <c r="F10" s="250">
        <f>VAC_Optim_Scenario!$H40</f>
        <v>2142864.5810000002</v>
      </c>
      <c r="G10" s="251">
        <f>VAC_Optim_Scenario!$J40</f>
        <v>28569508.760968704</v>
      </c>
      <c r="H10" s="250">
        <f>VAC_Optim_Scenario!$H40</f>
        <v>2142864.5810000002</v>
      </c>
      <c r="I10" s="251">
        <f>VAC_Optim_Scenario!$J40</f>
        <v>28569508.760968704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2.1428645810000004</v>
      </c>
      <c r="N10" s="253">
        <f t="shared" si="0"/>
        <v>28.569508760968702</v>
      </c>
      <c r="O10" s="252">
        <f t="shared" si="0"/>
        <v>2.1428645810000004</v>
      </c>
      <c r="P10" s="253">
        <f t="shared" si="0"/>
        <v>28.569508760968702</v>
      </c>
      <c r="Q10" s="252">
        <f t="shared" si="0"/>
        <v>2.1428645810000004</v>
      </c>
      <c r="R10" s="253">
        <f t="shared" si="0"/>
        <v>28.569508760968702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f>VAC_Optim_Scenario!$H41</f>
        <v>448119.10000000003</v>
      </c>
      <c r="E11" s="251">
        <f>VAC_Optim_Scenario!$J41</f>
        <v>35482108.0336392</v>
      </c>
      <c r="F11" s="250">
        <f>VAC_Optim_Scenario!$H41</f>
        <v>448119.10000000003</v>
      </c>
      <c r="G11" s="251">
        <f>VAC_Optim_Scenario!$J41</f>
        <v>35482108.0336392</v>
      </c>
      <c r="H11" s="250">
        <f>VAC_Optim_Scenario!$H41</f>
        <v>448119.10000000003</v>
      </c>
      <c r="I11" s="251">
        <f>VAC_Optim_Scenario!$J41</f>
        <v>35482108.0336392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0.44811910000000005</v>
      </c>
      <c r="N11" s="253">
        <f t="shared" si="0"/>
        <v>35.4821080336392</v>
      </c>
      <c r="O11" s="252">
        <f t="shared" si="0"/>
        <v>0.44811910000000005</v>
      </c>
      <c r="P11" s="253">
        <f t="shared" si="0"/>
        <v>35.4821080336392</v>
      </c>
      <c r="Q11" s="252">
        <f t="shared" si="0"/>
        <v>0.44811910000000005</v>
      </c>
      <c r="R11" s="253">
        <f t="shared" si="0"/>
        <v>35.4821080336392</v>
      </c>
    </row>
    <row r="12" spans="2:20" x14ac:dyDescent="0.25">
      <c r="B12" s="54" t="s">
        <v>154</v>
      </c>
      <c r="C12" s="249" t="str">
        <f>VAC_Optim_Scenario!B24</f>
        <v>HCC Radio</v>
      </c>
      <c r="D12" s="250">
        <f>VAC_Optim_Scenario!$H42</f>
        <v>1868162.933</v>
      </c>
      <c r="E12" s="251">
        <f>VAC_Optim_Scenario!$J42</f>
        <v>18662665.324166391</v>
      </c>
      <c r="F12" s="250">
        <f>VAC_Optim_Scenario!$H42</f>
        <v>1868162.933</v>
      </c>
      <c r="G12" s="251">
        <f>VAC_Optim_Scenario!$J42</f>
        <v>18662665.324166391</v>
      </c>
      <c r="H12" s="250">
        <f>VAC_Optim_Scenario!$H42</f>
        <v>1868162.933</v>
      </c>
      <c r="I12" s="251">
        <f>VAC_Optim_Scenario!$J42</f>
        <v>18662665.324166391</v>
      </c>
      <c r="J12" s="246"/>
      <c r="K12" s="54" t="s">
        <v>154</v>
      </c>
      <c r="L12" s="54" t="str">
        <f>VAC_Optim_Scenario!B24</f>
        <v>HCC Radio</v>
      </c>
      <c r="M12" s="252">
        <f t="shared" si="1"/>
        <v>1.868162933</v>
      </c>
      <c r="N12" s="253">
        <f t="shared" si="0"/>
        <v>18.66266532416639</v>
      </c>
      <c r="O12" s="252">
        <f t="shared" si="0"/>
        <v>1.868162933</v>
      </c>
      <c r="P12" s="253">
        <f t="shared" si="0"/>
        <v>18.66266532416639</v>
      </c>
      <c r="Q12" s="252">
        <f t="shared" si="0"/>
        <v>1.868162933</v>
      </c>
      <c r="R12" s="253">
        <f t="shared" si="0"/>
        <v>18.66266532416639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f>VAC_Optim_Scenario!$H43</f>
        <v>13503524.99</v>
      </c>
      <c r="E13" s="264">
        <f>VAC_Optim_Scenario!$J43</f>
        <v>57317880.122995496</v>
      </c>
      <c r="F13" s="264">
        <f>VAC_Optim_Scenario!$H43</f>
        <v>13503524.99</v>
      </c>
      <c r="G13" s="264">
        <f>VAC_Optim_Scenario!$J43</f>
        <v>57317880.122995496</v>
      </c>
      <c r="H13" s="264">
        <f>VAC_Optim_Scenario!$H43</f>
        <v>13503524.99</v>
      </c>
      <c r="I13" s="264">
        <f>VAC_Optim_Scenario!$J43</f>
        <v>57317880.122995496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13.503524990000001</v>
      </c>
      <c r="N13" s="257">
        <f t="shared" si="0"/>
        <v>57.317880122995497</v>
      </c>
      <c r="O13" s="257">
        <f t="shared" si="0"/>
        <v>13.503524990000001</v>
      </c>
      <c r="P13" s="257">
        <f t="shared" si="0"/>
        <v>57.317880122995497</v>
      </c>
      <c r="Q13" s="257">
        <f t="shared" si="0"/>
        <v>13.503524990000001</v>
      </c>
      <c r="R13" s="257">
        <f t="shared" si="0"/>
        <v>57.317880122995497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370" t="s">
        <v>3</v>
      </c>
      <c r="D17" s="368" t="s">
        <v>232</v>
      </c>
      <c r="E17" s="369"/>
      <c r="F17" s="368" t="s">
        <v>239</v>
      </c>
      <c r="G17" s="369"/>
      <c r="H17" s="368" t="s">
        <v>240</v>
      </c>
      <c r="I17" s="369"/>
      <c r="L17" s="370" t="s">
        <v>3</v>
      </c>
      <c r="M17" s="368" t="s">
        <v>232</v>
      </c>
      <c r="N17" s="369"/>
      <c r="O17" s="368" t="s">
        <v>239</v>
      </c>
      <c r="P17" s="369"/>
      <c r="Q17" s="368" t="s">
        <v>240</v>
      </c>
      <c r="R17" s="369"/>
    </row>
    <row r="18" spans="2:19" ht="25.5" x14ac:dyDescent="0.25">
      <c r="C18" s="371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371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f>VAC_Optim_Scenario!$H35</f>
        <v>1346172.4927629044</v>
      </c>
      <c r="E19" s="245">
        <f>VAC_Optim_Scenario!$J35</f>
        <v>6361120.4206124544</v>
      </c>
      <c r="F19" s="244">
        <f>VAC_Optim_Scenario!$H35</f>
        <v>1346172.4927629044</v>
      </c>
      <c r="G19" s="245">
        <f>VAC_Optim_Scenario!$J35</f>
        <v>6361120.4206124544</v>
      </c>
      <c r="H19" s="244">
        <f>VAC_Optim_Scenario!$H35</f>
        <v>1346172.4927629044</v>
      </c>
      <c r="I19" s="245">
        <f>VAC_Optim_Scenario!$J35</f>
        <v>6361120.4206124544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1.3461724927629044</v>
      </c>
      <c r="N19" s="248">
        <f t="shared" ref="N19:R27" si="2">E19/1000000</f>
        <v>6.3611204206124548</v>
      </c>
      <c r="O19" s="247">
        <f t="shared" si="2"/>
        <v>1.3461724927629044</v>
      </c>
      <c r="P19" s="248">
        <f t="shared" si="2"/>
        <v>6.3611204206124548</v>
      </c>
      <c r="Q19" s="247">
        <f t="shared" si="2"/>
        <v>1.3461724927629044</v>
      </c>
      <c r="R19" s="248">
        <f t="shared" si="2"/>
        <v>6.3611204206124548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f>VAC_Optim_Scenario!$H36</f>
        <v>6974984.7570000011</v>
      </c>
      <c r="E20" s="251">
        <f>VAC_Optim_Scenario!$J36</f>
        <v>75572474.639871225</v>
      </c>
      <c r="F20" s="250">
        <f>VAC_Optim_Scenario!$H36</f>
        <v>6974984.7570000011</v>
      </c>
      <c r="G20" s="251">
        <f>VAC_Optim_Scenario!$J36</f>
        <v>75572474.639871225</v>
      </c>
      <c r="H20" s="250">
        <f>VAC_Optim_Scenario!$H36</f>
        <v>6974984.7570000011</v>
      </c>
      <c r="I20" s="251">
        <f>VAC_Optim_Scenario!$J36</f>
        <v>75572474.639871225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6.9749847570000014</v>
      </c>
      <c r="N20" s="253">
        <f t="shared" si="2"/>
        <v>75.572474639871231</v>
      </c>
      <c r="O20" s="252">
        <f t="shared" si="2"/>
        <v>6.9749847570000014</v>
      </c>
      <c r="P20" s="253">
        <f t="shared" si="2"/>
        <v>75.572474639871231</v>
      </c>
      <c r="Q20" s="252">
        <f t="shared" si="2"/>
        <v>6.9749847570000014</v>
      </c>
      <c r="R20" s="253">
        <f t="shared" si="2"/>
        <v>75.572474639871231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f>VAC_Optim_Scenario!$H37</f>
        <v>2434900</v>
      </c>
      <c r="E21" s="251">
        <f>VAC_Optim_Scenario!$J37</f>
        <v>18840932.631302718</v>
      </c>
      <c r="F21" s="250">
        <f>VAC_Optim_Scenario!$H37</f>
        <v>2434900</v>
      </c>
      <c r="G21" s="251">
        <f>VAC_Optim_Scenario!$J37</f>
        <v>18840932.631302718</v>
      </c>
      <c r="H21" s="250">
        <f>VAC_Optim_Scenario!$H37</f>
        <v>2434900</v>
      </c>
      <c r="I21" s="251">
        <f>VAC_Optim_Scenario!$J37</f>
        <v>18840932.631302718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2.4348999999999998</v>
      </c>
      <c r="N21" s="253">
        <f t="shared" si="2"/>
        <v>18.840932631302717</v>
      </c>
      <c r="O21" s="252">
        <f t="shared" si="2"/>
        <v>2.4348999999999998</v>
      </c>
      <c r="P21" s="253">
        <f t="shared" si="2"/>
        <v>18.840932631302717</v>
      </c>
      <c r="Q21" s="252">
        <f t="shared" si="2"/>
        <v>2.4348999999999998</v>
      </c>
      <c r="R21" s="253">
        <f t="shared" si="2"/>
        <v>18.840932631302717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f>VAC_Optim_Scenario!$H38</f>
        <v>225000.022</v>
      </c>
      <c r="E22" s="251">
        <f>VAC_Optim_Scenario!$J38</f>
        <v>2031161.5894317664</v>
      </c>
      <c r="F22" s="250">
        <f>VAC_Optim_Scenario!$H38</f>
        <v>225000.022</v>
      </c>
      <c r="G22" s="251">
        <f>VAC_Optim_Scenario!$J38</f>
        <v>2031161.5894317664</v>
      </c>
      <c r="H22" s="250">
        <f>VAC_Optim_Scenario!$H38</f>
        <v>225000.022</v>
      </c>
      <c r="I22" s="251">
        <f>VAC_Optim_Scenario!$J38</f>
        <v>2031161.5894317664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0.22500002199999999</v>
      </c>
      <c r="N22" s="253">
        <f t="shared" si="2"/>
        <v>2.0311615894317665</v>
      </c>
      <c r="O22" s="252">
        <f t="shared" si="2"/>
        <v>0.22500002199999999</v>
      </c>
      <c r="P22" s="253">
        <f t="shared" si="2"/>
        <v>2.0311615894317665</v>
      </c>
      <c r="Q22" s="252">
        <f t="shared" si="2"/>
        <v>0.22500002199999999</v>
      </c>
      <c r="R22" s="253">
        <f t="shared" si="2"/>
        <v>2.0311615894317665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f>VAC_Optim_Scenario!$H39</f>
        <v>7092172.847014742</v>
      </c>
      <c r="E23" s="251">
        <f>VAC_Optim_Scenario!$J39</f>
        <v>35989900.262106076</v>
      </c>
      <c r="F23" s="250">
        <f>VAC_Optim_Scenario!$H39</f>
        <v>7092172.847014742</v>
      </c>
      <c r="G23" s="251">
        <f>VAC_Optim_Scenario!$J39</f>
        <v>35989900.262106076</v>
      </c>
      <c r="H23" s="250">
        <f>VAC_Optim_Scenario!$H39</f>
        <v>7092172.847014742</v>
      </c>
      <c r="I23" s="251">
        <f>VAC_Optim_Scenario!$J39</f>
        <v>35989900.262106076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7.0921728470147416</v>
      </c>
      <c r="N23" s="253">
        <f t="shared" si="2"/>
        <v>35.989900262106076</v>
      </c>
      <c r="O23" s="252">
        <f t="shared" si="2"/>
        <v>7.0921728470147416</v>
      </c>
      <c r="P23" s="253">
        <f t="shared" si="2"/>
        <v>35.989900262106076</v>
      </c>
      <c r="Q23" s="252">
        <f t="shared" si="2"/>
        <v>7.0921728470147416</v>
      </c>
      <c r="R23" s="253">
        <f t="shared" si="2"/>
        <v>35.989900262106076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f>VAC_Optim_Scenario!$H40</f>
        <v>2142864.5810000002</v>
      </c>
      <c r="E24" s="251">
        <f>VAC_Optim_Scenario!$J40</f>
        <v>28569508.760968704</v>
      </c>
      <c r="F24" s="250">
        <f>VAC_Optim_Scenario!$H40</f>
        <v>2142864.5810000002</v>
      </c>
      <c r="G24" s="251">
        <f>VAC_Optim_Scenario!$J40</f>
        <v>28569508.760968704</v>
      </c>
      <c r="H24" s="250">
        <f>VAC_Optim_Scenario!$H40</f>
        <v>2142864.5810000002</v>
      </c>
      <c r="I24" s="251">
        <f>VAC_Optim_Scenario!$J40</f>
        <v>28569508.760968704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2.1428645810000004</v>
      </c>
      <c r="N24" s="253">
        <f t="shared" si="2"/>
        <v>28.569508760968702</v>
      </c>
      <c r="O24" s="252">
        <f t="shared" si="2"/>
        <v>2.1428645810000004</v>
      </c>
      <c r="P24" s="253">
        <f t="shared" si="2"/>
        <v>28.569508760968702</v>
      </c>
      <c r="Q24" s="252">
        <f t="shared" si="2"/>
        <v>2.1428645810000004</v>
      </c>
      <c r="R24" s="253">
        <f t="shared" si="2"/>
        <v>28.569508760968702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f>VAC_Optim_Scenario!$H41</f>
        <v>448119.10000000003</v>
      </c>
      <c r="E25" s="251">
        <f>VAC_Optim_Scenario!$J41</f>
        <v>35482108.0336392</v>
      </c>
      <c r="F25" s="250">
        <f>VAC_Optim_Scenario!$H41</f>
        <v>448119.10000000003</v>
      </c>
      <c r="G25" s="251">
        <f>VAC_Optim_Scenario!$J41</f>
        <v>35482108.0336392</v>
      </c>
      <c r="H25" s="250">
        <f>VAC_Optim_Scenario!$H41</f>
        <v>448119.10000000003</v>
      </c>
      <c r="I25" s="251">
        <f>VAC_Optim_Scenario!$J41</f>
        <v>35482108.0336392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0.44811910000000005</v>
      </c>
      <c r="N25" s="253">
        <f t="shared" si="2"/>
        <v>35.4821080336392</v>
      </c>
      <c r="O25" s="252">
        <f t="shared" si="2"/>
        <v>0.44811910000000005</v>
      </c>
      <c r="P25" s="253">
        <f t="shared" si="2"/>
        <v>35.4821080336392</v>
      </c>
      <c r="Q25" s="252">
        <f t="shared" si="2"/>
        <v>0.44811910000000005</v>
      </c>
      <c r="R25" s="253">
        <f t="shared" si="2"/>
        <v>35.4821080336392</v>
      </c>
    </row>
    <row r="26" spans="2:19" x14ac:dyDescent="0.25">
      <c r="B26" s="54" t="s">
        <v>154</v>
      </c>
      <c r="C26" s="249" t="str">
        <f>VAC_Optim_Scenario!B24</f>
        <v>HCC Radio</v>
      </c>
      <c r="D26" s="250">
        <f>VAC_Optim_Scenario!$H42</f>
        <v>1868162.933</v>
      </c>
      <c r="E26" s="251">
        <f>VAC_Optim_Scenario!$J42</f>
        <v>18662665.324166391</v>
      </c>
      <c r="F26" s="250">
        <f>VAC_Optim_Scenario!$H42</f>
        <v>1868162.933</v>
      </c>
      <c r="G26" s="251">
        <f>VAC_Optim_Scenario!$J42</f>
        <v>18662665.324166391</v>
      </c>
      <c r="H26" s="250">
        <f>VAC_Optim_Scenario!$H42</f>
        <v>1868162.933</v>
      </c>
      <c r="I26" s="251">
        <f>VAC_Optim_Scenario!$J42</f>
        <v>18662665.324166391</v>
      </c>
      <c r="J26" s="254"/>
      <c r="K26" s="54" t="s">
        <v>154</v>
      </c>
      <c r="L26" s="249" t="str">
        <f>VAC_Optim_Scenario!B24</f>
        <v>HCC Radio</v>
      </c>
      <c r="M26" s="252">
        <f t="shared" si="3"/>
        <v>1.868162933</v>
      </c>
      <c r="N26" s="253">
        <f t="shared" si="2"/>
        <v>18.66266532416639</v>
      </c>
      <c r="O26" s="252">
        <f t="shared" si="2"/>
        <v>1.868162933</v>
      </c>
      <c r="P26" s="253">
        <f t="shared" si="2"/>
        <v>18.66266532416639</v>
      </c>
      <c r="Q26" s="252">
        <f t="shared" si="2"/>
        <v>1.868162933</v>
      </c>
      <c r="R26" s="253">
        <f t="shared" si="2"/>
        <v>18.66266532416639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f>VAC_Optim_Scenario!$H43</f>
        <v>13503524.99</v>
      </c>
      <c r="E27" s="264">
        <f>VAC_Optim_Scenario!$J43</f>
        <v>57317880.122995496</v>
      </c>
      <c r="F27" s="264">
        <f>VAC_Optim_Scenario!$H43</f>
        <v>13503524.99</v>
      </c>
      <c r="G27" s="264">
        <f>VAC_Optim_Scenario!$J43</f>
        <v>57317880.122995496</v>
      </c>
      <c r="H27" s="264">
        <f>VAC_Optim_Scenario!$H43</f>
        <v>13503524.99</v>
      </c>
      <c r="I27" s="264">
        <f>VAC_Optim_Scenario!$J43</f>
        <v>57317880.122995496</v>
      </c>
      <c r="J27" s="254"/>
      <c r="K27" s="263" t="s">
        <v>154</v>
      </c>
      <c r="L27" s="236" t="str">
        <f>VAC_Optim_Scenario!B25</f>
        <v>HCC TV</v>
      </c>
      <c r="M27" s="257">
        <f t="shared" si="3"/>
        <v>13.503524990000001</v>
      </c>
      <c r="N27" s="257">
        <f t="shared" si="2"/>
        <v>57.317880122995497</v>
      </c>
      <c r="O27" s="257">
        <f t="shared" si="2"/>
        <v>13.503524990000001</v>
      </c>
      <c r="P27" s="257">
        <f t="shared" si="2"/>
        <v>57.317880122995497</v>
      </c>
      <c r="Q27" s="257">
        <f t="shared" si="2"/>
        <v>13.503524990000001</v>
      </c>
      <c r="R27" s="257">
        <f t="shared" si="2"/>
        <v>57.317880122995497</v>
      </c>
    </row>
    <row r="30" spans="2:19" ht="34.35" customHeight="1" x14ac:dyDescent="0.25">
      <c r="C30" s="289" t="s">
        <v>3</v>
      </c>
      <c r="D30" s="290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247">
        <f>M19</f>
        <v>1.3461724927629044</v>
      </c>
      <c r="E31" s="247">
        <f>O5</f>
        <v>1.3461724927629044</v>
      </c>
      <c r="F31" s="247">
        <f>Q5</f>
        <v>1.3461724927629044</v>
      </c>
      <c r="G31" s="247">
        <f>O19</f>
        <v>1.3461724927629044</v>
      </c>
      <c r="H31" s="247">
        <f>Q19</f>
        <v>1.3461724927629044</v>
      </c>
      <c r="J31" s="256">
        <v>-0.5</v>
      </c>
      <c r="K31" s="257">
        <f>E$31</f>
        <v>1.3461724927629044</v>
      </c>
      <c r="L31" s="257">
        <f>E$32</f>
        <v>6.9749847570000014</v>
      </c>
      <c r="M31" s="257">
        <f>E$33</f>
        <v>2.4348999999999998</v>
      </c>
      <c r="N31" s="257">
        <f>E$34</f>
        <v>0.22500002199999999</v>
      </c>
      <c r="O31" s="257">
        <f>E$35</f>
        <v>7.0921728470147416</v>
      </c>
      <c r="P31" s="257">
        <f>E$36</f>
        <v>2.1428645810000004</v>
      </c>
      <c r="Q31" s="257">
        <f>E$37</f>
        <v>0.44811910000000005</v>
      </c>
      <c r="R31" s="257">
        <f>E$38</f>
        <v>1.868162933</v>
      </c>
      <c r="S31" s="257">
        <f>E$39</f>
        <v>13.503524990000001</v>
      </c>
    </row>
    <row r="32" spans="2:19" x14ac:dyDescent="0.25">
      <c r="B32" s="54" t="s">
        <v>154</v>
      </c>
      <c r="C32" s="307" t="str">
        <f>VAC_Optim_Scenario!B18</f>
        <v>HCP MCM</v>
      </c>
      <c r="D32" s="252">
        <f t="shared" ref="D32:D39" si="4">M20</f>
        <v>6.9749847570000014</v>
      </c>
      <c r="E32" s="252">
        <f t="shared" ref="E32:E39" si="5">O6</f>
        <v>6.9749847570000014</v>
      </c>
      <c r="F32" s="252">
        <f t="shared" ref="F32:F39" si="6">Q6</f>
        <v>6.9749847570000014</v>
      </c>
      <c r="G32" s="252">
        <f t="shared" ref="G32:G39" si="7">O20</f>
        <v>6.9749847570000014</v>
      </c>
      <c r="H32" s="252">
        <f t="shared" ref="H32:H39" si="8">Q20</f>
        <v>6.9749847570000014</v>
      </c>
      <c r="J32" s="256">
        <v>-0.4</v>
      </c>
      <c r="K32" s="257">
        <f>G$31</f>
        <v>1.3461724927629044</v>
      </c>
      <c r="L32" s="257">
        <f>G$32</f>
        <v>6.9749847570000014</v>
      </c>
      <c r="M32" s="257">
        <f>G$33</f>
        <v>2.4348999999999998</v>
      </c>
      <c r="N32" s="257">
        <f>G$34</f>
        <v>0.22500002199999999</v>
      </c>
      <c r="O32" s="257">
        <f>G$35</f>
        <v>7.0921728470147416</v>
      </c>
      <c r="P32" s="257">
        <f>G$36</f>
        <v>2.1428645810000004</v>
      </c>
      <c r="Q32" s="257">
        <f>G$37</f>
        <v>0.44811910000000005</v>
      </c>
      <c r="R32" s="257">
        <f>G$38</f>
        <v>1.868162933</v>
      </c>
      <c r="S32" s="257">
        <f>G$39</f>
        <v>13.503524990000001</v>
      </c>
    </row>
    <row r="33" spans="2:22" x14ac:dyDescent="0.25">
      <c r="B33" s="54" t="s">
        <v>154</v>
      </c>
      <c r="C33" s="307" t="str">
        <f>VAC_Optim_Scenario!B19</f>
        <v>HCC Social</v>
      </c>
      <c r="D33" s="252">
        <f t="shared" si="4"/>
        <v>2.4348999999999998</v>
      </c>
      <c r="E33" s="252">
        <f t="shared" si="5"/>
        <v>2.4348999999999998</v>
      </c>
      <c r="F33" s="252">
        <f t="shared" si="6"/>
        <v>2.4348999999999998</v>
      </c>
      <c r="G33" s="252">
        <f t="shared" si="7"/>
        <v>2.4348999999999998</v>
      </c>
      <c r="H33" s="252">
        <f t="shared" si="8"/>
        <v>2.4348999999999998</v>
      </c>
      <c r="J33" s="256" t="s">
        <v>241</v>
      </c>
      <c r="K33" s="257">
        <f>D$31</f>
        <v>1.3461724927629044</v>
      </c>
      <c r="L33" s="257">
        <f>D$32</f>
        <v>6.9749847570000014</v>
      </c>
      <c r="M33" s="257">
        <f>D$33</f>
        <v>2.4348999999999998</v>
      </c>
      <c r="N33" s="257">
        <f>D$34</f>
        <v>0.22500002199999999</v>
      </c>
      <c r="O33" s="257">
        <f>D$35</f>
        <v>7.0921728470147416</v>
      </c>
      <c r="P33" s="257">
        <f>D$36</f>
        <v>2.1428645810000004</v>
      </c>
      <c r="Q33" s="257">
        <f>D$37</f>
        <v>0.44811910000000005</v>
      </c>
      <c r="R33" s="257">
        <f>D$38</f>
        <v>1.868162933</v>
      </c>
      <c r="S33" s="257">
        <f>D$39</f>
        <v>13.503524990000001</v>
      </c>
    </row>
    <row r="34" spans="2:22" x14ac:dyDescent="0.25">
      <c r="B34" s="54" t="s">
        <v>154</v>
      </c>
      <c r="C34" s="307" t="str">
        <f>VAC_Optim_Scenario!B20</f>
        <v>HCC Online Video</v>
      </c>
      <c r="D34" s="252">
        <f t="shared" si="4"/>
        <v>0.22500002199999999</v>
      </c>
      <c r="E34" s="252">
        <f t="shared" si="5"/>
        <v>0.22500002199999999</v>
      </c>
      <c r="F34" s="252">
        <f t="shared" si="6"/>
        <v>0.22500002199999999</v>
      </c>
      <c r="G34" s="252">
        <f t="shared" si="7"/>
        <v>0.22500002199999999</v>
      </c>
      <c r="H34" s="252">
        <f t="shared" si="8"/>
        <v>0.22500002199999999</v>
      </c>
      <c r="J34" s="256">
        <v>0.4</v>
      </c>
      <c r="K34" s="257">
        <f>H$31</f>
        <v>1.3461724927629044</v>
      </c>
      <c r="L34" s="257">
        <f>H$32</f>
        <v>6.9749847570000014</v>
      </c>
      <c r="M34" s="257">
        <f>H$33</f>
        <v>2.4348999999999998</v>
      </c>
      <c r="N34" s="257">
        <f>H$34</f>
        <v>0.22500002199999999</v>
      </c>
      <c r="O34" s="257">
        <f>H$35</f>
        <v>7.0921728470147416</v>
      </c>
      <c r="P34" s="257">
        <f>H$36</f>
        <v>2.1428645810000004</v>
      </c>
      <c r="Q34" s="257">
        <f>H$37</f>
        <v>0.44811910000000005</v>
      </c>
      <c r="R34" s="257">
        <f>H$38</f>
        <v>1.868162933</v>
      </c>
      <c r="S34" s="257">
        <f>H$39</f>
        <v>13.503524990000001</v>
      </c>
    </row>
    <row r="35" spans="2:22" x14ac:dyDescent="0.25">
      <c r="B35" s="54" t="s">
        <v>154</v>
      </c>
      <c r="C35" s="307" t="str">
        <f>VAC_Optim_Scenario!B21</f>
        <v>HCC Streaming Video</v>
      </c>
      <c r="D35" s="252">
        <f t="shared" si="4"/>
        <v>7.0921728470147416</v>
      </c>
      <c r="E35" s="252">
        <f t="shared" si="5"/>
        <v>7.0921728470147416</v>
      </c>
      <c r="F35" s="252">
        <f t="shared" si="6"/>
        <v>7.0921728470147416</v>
      </c>
      <c r="G35" s="252">
        <f t="shared" si="7"/>
        <v>7.0921728470147416</v>
      </c>
      <c r="H35" s="252">
        <f t="shared" si="8"/>
        <v>7.0921728470147416</v>
      </c>
      <c r="J35" s="255">
        <v>2</v>
      </c>
      <c r="K35" s="257">
        <f>F$31</f>
        <v>1.3461724927629044</v>
      </c>
      <c r="L35" s="257">
        <f>F$32</f>
        <v>6.9749847570000014</v>
      </c>
      <c r="M35" s="257">
        <f>F$33</f>
        <v>2.4348999999999998</v>
      </c>
      <c r="N35" s="257">
        <f>F$34</f>
        <v>0.22500002199999999</v>
      </c>
      <c r="O35" s="257">
        <f>F$35</f>
        <v>7.0921728470147416</v>
      </c>
      <c r="P35" s="257">
        <f>F$36</f>
        <v>2.1428645810000004</v>
      </c>
      <c r="Q35" s="257">
        <f>F$37</f>
        <v>0.44811910000000005</v>
      </c>
      <c r="R35" s="257">
        <f>F$38</f>
        <v>1.868162933</v>
      </c>
      <c r="S35" s="257">
        <f>F$39</f>
        <v>13.503524990000001</v>
      </c>
    </row>
    <row r="36" spans="2:22" x14ac:dyDescent="0.25">
      <c r="B36" s="54" t="s">
        <v>154</v>
      </c>
      <c r="C36" s="307" t="str">
        <f>VAC_Optim_Scenario!B22</f>
        <v>HCC Display</v>
      </c>
      <c r="D36" s="252">
        <f t="shared" si="4"/>
        <v>2.1428645810000004</v>
      </c>
      <c r="E36" s="252">
        <f t="shared" si="5"/>
        <v>2.1428645810000004</v>
      </c>
      <c r="F36" s="252">
        <f t="shared" si="6"/>
        <v>2.1428645810000004</v>
      </c>
      <c r="G36" s="252">
        <f t="shared" si="7"/>
        <v>2.1428645810000004</v>
      </c>
      <c r="H36" s="252">
        <f t="shared" si="8"/>
        <v>2.1428645810000004</v>
      </c>
    </row>
    <row r="37" spans="2:22" x14ac:dyDescent="0.25">
      <c r="B37" s="54" t="s">
        <v>154</v>
      </c>
      <c r="C37" s="307" t="str">
        <f>VAC_Optim_Scenario!B23</f>
        <v>HCC Paid Search</v>
      </c>
      <c r="D37" s="252">
        <f t="shared" si="4"/>
        <v>0.44811910000000005</v>
      </c>
      <c r="E37" s="252">
        <f t="shared" si="5"/>
        <v>0.44811910000000005</v>
      </c>
      <c r="F37" s="252">
        <f t="shared" si="6"/>
        <v>0.44811910000000005</v>
      </c>
      <c r="G37" s="252">
        <f t="shared" si="7"/>
        <v>0.44811910000000005</v>
      </c>
      <c r="H37" s="252">
        <f t="shared" si="8"/>
        <v>0.44811910000000005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Radio</v>
      </c>
      <c r="D38" s="252">
        <f t="shared" si="4"/>
        <v>1.868162933</v>
      </c>
      <c r="E38" s="252">
        <f t="shared" si="5"/>
        <v>1.868162933</v>
      </c>
      <c r="F38" s="252">
        <f t="shared" si="6"/>
        <v>1.868162933</v>
      </c>
      <c r="G38" s="252">
        <f t="shared" si="7"/>
        <v>1.868162933</v>
      </c>
      <c r="H38" s="252">
        <f t="shared" si="8"/>
        <v>1.868162933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252">
        <f t="shared" si="4"/>
        <v>13.503524990000001</v>
      </c>
      <c r="E39" s="252">
        <f t="shared" si="5"/>
        <v>13.503524990000001</v>
      </c>
      <c r="F39" s="252">
        <f t="shared" si="6"/>
        <v>13.503524990000001</v>
      </c>
      <c r="G39" s="252">
        <f t="shared" si="7"/>
        <v>13.503524990000001</v>
      </c>
      <c r="H39" s="252">
        <f t="shared" si="8"/>
        <v>13.503524990000001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5"/>
  <sheetViews>
    <sheetView showGridLines="0" zoomScaleNormal="100" workbookViewId="0">
      <selection activeCell="B3" sqref="B3:J13"/>
    </sheetView>
  </sheetViews>
  <sheetFormatPr defaultColWidth="8.7109375" defaultRowHeight="15" x14ac:dyDescent="0.25"/>
  <cols>
    <col min="1" max="1" width="8.7109375" style="97"/>
    <col min="2" max="2" width="23.140625" style="97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13.28515625" style="97" customWidth="1"/>
    <col min="8" max="8" width="14.85546875" style="97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1:18" x14ac:dyDescent="0.25">
      <c r="D2" s="373">
        <v>2023</v>
      </c>
      <c r="E2" s="373"/>
      <c r="F2" s="373"/>
      <c r="G2" s="373"/>
      <c r="H2" s="373"/>
      <c r="I2" s="373"/>
      <c r="L2" s="97" t="s">
        <v>271</v>
      </c>
    </row>
    <row r="3" spans="1:18" ht="63" x14ac:dyDescent="0.25">
      <c r="B3" s="444" t="s">
        <v>2</v>
      </c>
      <c r="C3" s="445" t="s">
        <v>3</v>
      </c>
      <c r="D3" s="445" t="s">
        <v>299</v>
      </c>
      <c r="E3" s="445" t="s">
        <v>298</v>
      </c>
      <c r="F3" s="445" t="s">
        <v>295</v>
      </c>
      <c r="G3" s="445" t="s">
        <v>269</v>
      </c>
      <c r="H3" s="445" t="s">
        <v>222</v>
      </c>
      <c r="I3" s="445" t="s">
        <v>223</v>
      </c>
      <c r="J3" s="446" t="s">
        <v>207</v>
      </c>
      <c r="K3"/>
      <c r="L3" s="348">
        <v>8649234</v>
      </c>
      <c r="M3" s="234" t="s">
        <v>251</v>
      </c>
    </row>
    <row r="4" spans="1:18" x14ac:dyDescent="0.25">
      <c r="A4" s="97" t="s">
        <v>275</v>
      </c>
      <c r="B4" s="489" t="s">
        <v>297</v>
      </c>
      <c r="C4" s="490" t="str">
        <f>VAC_Optim_Scenario!B17</f>
        <v>HCC In Office</v>
      </c>
      <c r="D4" s="448">
        <f>VAC_Optim_Scenario!E17</f>
        <v>1755293</v>
      </c>
      <c r="E4" s="491">
        <f>VAC_Optim_Scenario!F17</f>
        <v>34079.723304951563</v>
      </c>
      <c r="F4" s="448">
        <f>VAC_Optim_Scenario!G35</f>
        <v>7699972.6835207557</v>
      </c>
      <c r="G4" s="492">
        <f>F4/D4</f>
        <v>4.3867164533332925</v>
      </c>
      <c r="H4" s="493">
        <f>E4/$L$3</f>
        <v>3.9402013293838006E-3</v>
      </c>
      <c r="I4" s="494">
        <f>(D4)/E4</f>
        <v>51.50549446347668</v>
      </c>
      <c r="J4" s="449">
        <f ca="1">(VLOOKUP($Q4,INDIRECT("'"&amp;A4&amp;"'!"&amp;"A20:E42"),5,0)-VLOOKUP($R4,INDIRECT("'"&amp;A4&amp;"'!"&amp;"A20:E42"),5,0))/(Q4-R4)</f>
        <v>3.0770541370015128</v>
      </c>
      <c r="K4"/>
      <c r="Q4" s="441" cm="1">
        <f t="array" aca="1" ref="Q4" ca="1">MAX(_xlfn._xlws.FILTER(INDIRECT("'"&amp;A4&amp;"'!"&amp;"A20:A42"),INDIRECT("'"&amp;A4&amp;"'!"&amp;"A20:A42")&lt;$D4))</f>
        <v>1600000</v>
      </c>
      <c r="R4" s="441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276</v>
      </c>
      <c r="B5" s="495" t="s">
        <v>297</v>
      </c>
      <c r="C5" s="496" t="str">
        <f>VAC_Optim_Scenario!B18</f>
        <v>HCP MCM</v>
      </c>
      <c r="D5" s="447">
        <f>VAC_Optim_Scenario!E18</f>
        <v>5365372.8900000006</v>
      </c>
      <c r="E5" s="497">
        <f>VAC_Optim_Scenario!F18</f>
        <v>282596.87941192184</v>
      </c>
      <c r="F5" s="447">
        <f>VAC_Optim_Scenario!G36</f>
        <v>63849938.934329621</v>
      </c>
      <c r="G5" s="498">
        <f>F5/D5</f>
        <v>11.900373048317544</v>
      </c>
      <c r="H5" s="499">
        <f t="shared" ref="H5:H12" si="0">E5/$L$3</f>
        <v>3.2673052828946683E-2</v>
      </c>
      <c r="I5" s="500">
        <f t="shared" ref="I5:I12" si="1">(D5)/E5</f>
        <v>18.98595943863651</v>
      </c>
      <c r="J5" s="443">
        <f t="shared" ref="J5:J12" ca="1" si="2">(VLOOKUP($Q5,INDIRECT("'"&amp;A5&amp;"'!"&amp;"A20:E42"),5,0)-VLOOKUP($R5,INDIRECT("'"&amp;A5&amp;"'!"&amp;"A20:E42"),5,0))/(Q5-R5)</f>
        <v>12.915528834131619</v>
      </c>
      <c r="K5"/>
      <c r="Q5" s="441" cm="1">
        <f t="array" aca="1" ref="Q5" ca="1">MAX(_xlfn._xlws.FILTER(INDIRECT("'"&amp;A5&amp;"'!"&amp;"A20:A42"),INDIRECT("'"&amp;A5&amp;"'!"&amp;"A20:A42")&lt;$D5))</f>
        <v>4000000</v>
      </c>
      <c r="R5" s="441" cm="1">
        <f t="array" aca="1" ref="R5" ca="1">MIN(_xlfn._xlws.FILTER(INDIRECT("'"&amp;A5&amp;"'!"&amp;"A20:A42"),INDIRECT("'"&amp;A5&amp;"'!"&amp;"A20:A42")&gt;=$D5))</f>
        <v>0</v>
      </c>
    </row>
    <row r="6" spans="1:18" x14ac:dyDescent="0.25">
      <c r="A6" s="97" t="s">
        <v>279</v>
      </c>
      <c r="B6" s="495" t="s">
        <v>297</v>
      </c>
      <c r="C6" s="496" t="str">
        <f>VAC_Optim_Scenario!B19</f>
        <v>HCC Social</v>
      </c>
      <c r="D6" s="447">
        <f>VAC_Optim_Scenario!E19</f>
        <v>1873000</v>
      </c>
      <c r="E6" s="497">
        <f>VAC_Optim_Scenario!F19</f>
        <v>71243.17418511775</v>
      </c>
      <c r="F6" s="447">
        <f>VAC_Optim_Scenario!G37</f>
        <v>16096682.775385505</v>
      </c>
      <c r="G6" s="498">
        <f t="shared" ref="G6:G12" si="3">F6/D6</f>
        <v>8.5940644823200767</v>
      </c>
      <c r="H6" s="499">
        <f t="shared" si="0"/>
        <v>8.2369345291291411E-3</v>
      </c>
      <c r="I6" s="500">
        <f t="shared" si="1"/>
        <v>26.290237926979646</v>
      </c>
      <c r="J6" s="443">
        <f ca="1">(VLOOKUP($Q6,INDIRECT("'"&amp;A6&amp;"'!"&amp;"A20:E42"),3,0)-VLOOKUP($R6,INDIRECT("'"&amp;A6&amp;"'!"&amp;"A20:E42"),3,0))/(Q6-R6)</f>
        <v>5.1283295373719184</v>
      </c>
      <c r="K6"/>
      <c r="Q6" s="441" cm="1">
        <f t="array" aca="1" ref="Q6" ca="1">MAX(_xlfn._xlws.FILTER(INDIRECT("'"&amp;A6&amp;"'!"&amp;"A20:A42"),INDIRECT("'"&amp;A6&amp;"'!"&amp;"A20:A42")&lt;$D6))</f>
        <v>1800000</v>
      </c>
      <c r="R6" s="441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277</v>
      </c>
      <c r="B7" s="495" t="s">
        <v>297</v>
      </c>
      <c r="C7" s="496" t="str">
        <f>VAC_Optim_Scenario!B20</f>
        <v>HCC Online Video</v>
      </c>
      <c r="D7" s="447">
        <f>VAC_Optim_Scenario!E20</f>
        <v>173076.94</v>
      </c>
      <c r="E7" s="497">
        <f>VAC_Optim_Scenario!F20</f>
        <v>7568.2941111773252</v>
      </c>
      <c r="F7" s="447">
        <f>VAC_Optim_Scenario!G38</f>
        <v>1709980.3714794049</v>
      </c>
      <c r="G7" s="498">
        <f t="shared" si="3"/>
        <v>9.8798856247366338</v>
      </c>
      <c r="H7" s="499">
        <f t="shared" si="0"/>
        <v>8.7502478383372738E-4</v>
      </c>
      <c r="I7" s="500">
        <f t="shared" si="1"/>
        <v>22.868685790684225</v>
      </c>
      <c r="J7" s="443">
        <f t="shared" ca="1" si="2"/>
        <v>9.424174402298112</v>
      </c>
      <c r="K7"/>
      <c r="Q7" s="441" cm="1">
        <f t="array" aca="1" ref="Q7" ca="1">MAX(_xlfn._xlws.FILTER(INDIRECT("'"&amp;A7&amp;"'!"&amp;"A20:A42"),INDIRECT("'"&amp;A7&amp;"'!"&amp;"A20:A42")&lt;$D7))</f>
        <v>0</v>
      </c>
      <c r="R7" s="441" cm="1">
        <f t="array" aca="1" ref="R7" ca="1">MIN(_xlfn._xlws.FILTER(INDIRECT("'"&amp;A7&amp;"'!"&amp;"A20:A42"),INDIRECT("'"&amp;A7&amp;"'!"&amp;"A20:A42")&gt;=$D7))</f>
        <v>200000</v>
      </c>
    </row>
    <row r="8" spans="1:18" x14ac:dyDescent="0.25">
      <c r="A8" s="97" t="s">
        <v>294</v>
      </c>
      <c r="B8" s="495" t="s">
        <v>297</v>
      </c>
      <c r="C8" s="496" t="str">
        <f>VAC_Optim_Scenario!B21</f>
        <v>HCC Streaming Video</v>
      </c>
      <c r="D8" s="447">
        <f>VAC_Optim_Scenario!E21</f>
        <v>6180125</v>
      </c>
      <c r="E8" s="497">
        <f>VAC_Optim_Scenario!F21</f>
        <v>144657.20917756393</v>
      </c>
      <c r="F8" s="447">
        <f>VAC_Optim_Scenario!G39</f>
        <v>32683849.841578793</v>
      </c>
      <c r="G8" s="498">
        <f t="shared" si="3"/>
        <v>5.2885418727904039</v>
      </c>
      <c r="H8" s="499">
        <f t="shared" si="0"/>
        <v>1.6724857851870341E-2</v>
      </c>
      <c r="I8" s="500">
        <f t="shared" si="1"/>
        <v>42.722551023461378</v>
      </c>
      <c r="J8" s="443">
        <f ca="1">(VLOOKUP($Q8,INDIRECT("'"&amp;A8&amp;"'!"&amp;"A20:E42"),3,0)-VLOOKUP($R8,INDIRECT("'"&amp;A8&amp;"'!"&amp;"A20:E42"),3,0))/(Q8-R8)</f>
        <v>5.9382754397660804</v>
      </c>
      <c r="K8"/>
      <c r="Q8" s="441" cm="1">
        <f t="array" aca="1" ref="Q8" ca="1">MAX(_xlfn._xlws.FILTER(INDIRECT("'"&amp;A8&amp;"'!"&amp;"A20:A42"),INDIRECT("'"&amp;A8&amp;"'!"&amp;"A20:A42")&lt;$D8))</f>
        <v>4200000</v>
      </c>
      <c r="R8" s="441" cm="1">
        <f t="array" aca="1" ref="R8" ca="1">MIN(_xlfn._xlws.FILTER(INDIRECT("'"&amp;A8&amp;"'!"&amp;"A20:A42"),INDIRECT("'"&amp;A8&amp;"'!"&amp;"A20:A42")&gt;=$D8))</f>
        <v>0</v>
      </c>
    </row>
    <row r="9" spans="1:18" x14ac:dyDescent="0.25">
      <c r="A9" s="97" t="s">
        <v>278</v>
      </c>
      <c r="B9" s="495" t="s">
        <v>297</v>
      </c>
      <c r="C9" s="496" t="str">
        <f>VAC_Optim_Scenario!B22</f>
        <v>HCC Display</v>
      </c>
      <c r="D9" s="447">
        <f>VAC_Optim_Scenario!E22</f>
        <v>1648357.37</v>
      </c>
      <c r="E9" s="497">
        <f>VAC_Optim_Scenario!F22</f>
        <v>104116.36986385845</v>
      </c>
      <c r="F9" s="447">
        <f>VAC_Optim_Scenario!G40</f>
        <v>23524052.607040178</v>
      </c>
      <c r="G9" s="498">
        <f t="shared" si="3"/>
        <v>14.271209044334952</v>
      </c>
      <c r="H9" s="499">
        <f t="shared" si="0"/>
        <v>1.2037640542949635E-2</v>
      </c>
      <c r="I9" s="500">
        <f t="shared" si="1"/>
        <v>15.831875161949808</v>
      </c>
      <c r="J9" s="443">
        <f t="shared" ca="1" si="2"/>
        <v>10.825038062094338</v>
      </c>
      <c r="K9"/>
      <c r="Q9" s="441" cm="1">
        <f t="array" aca="1" ref="Q9" ca="1">MAX(_xlfn._xlws.FILTER(INDIRECT("'"&amp;A9&amp;"'!"&amp;"A20:A42"),INDIRECT("'"&amp;A9&amp;"'!"&amp;"A20:A42")&lt;$D9))</f>
        <v>1600000</v>
      </c>
      <c r="R9" s="441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280</v>
      </c>
      <c r="B10" s="495" t="s">
        <v>297</v>
      </c>
      <c r="C10" s="496" t="str">
        <f>VAC_Optim_Scenario!B23</f>
        <v>HCC Paid Search</v>
      </c>
      <c r="D10" s="447">
        <f>VAC_Optim_Scenario!E23</f>
        <v>344707</v>
      </c>
      <c r="E10" s="497">
        <f>VAC_Optim_Scenario!F23</f>
        <v>130694.08808973072</v>
      </c>
      <c r="F10" s="447">
        <f>VAC_Optim_Scenario!G41</f>
        <v>29529022.26299376</v>
      </c>
      <c r="G10" s="498">
        <f t="shared" si="3"/>
        <v>85.664121305902583</v>
      </c>
      <c r="H10" s="499">
        <f t="shared" si="0"/>
        <v>1.5110481239116749E-2</v>
      </c>
      <c r="I10" s="500">
        <f t="shared" si="1"/>
        <v>2.6375102733287696</v>
      </c>
      <c r="J10" s="443">
        <f ca="1">(VLOOKUP($Q10,INDIRECT("'"&amp;A10&amp;"'!"&amp;"A20:E42"),3,0)-VLOOKUP($R10,INDIRECT("'"&amp;A10&amp;"'!"&amp;"A20:E42"),3,0))/(Q10-R10)</f>
        <v>62.988428361640295</v>
      </c>
      <c r="K10"/>
      <c r="Q10" s="441" cm="1">
        <f t="array" aca="1" ref="Q10" ca="1">MAX(_xlfn._xlws.FILTER(INDIRECT("'"&amp;A10&amp;"'!"&amp;"A20:A42"),INDIRECT("'"&amp;A10&amp;"'!"&amp;"A20:A42")&lt;$D10))</f>
        <v>200000</v>
      </c>
      <c r="R10" s="441" cm="1">
        <f t="array" aca="1" ref="R10" ca="1">MIN(_xlfn._xlws.FILTER(INDIRECT("'"&amp;A10&amp;"'!"&amp;"A20:A42"),INDIRECT("'"&amp;A10&amp;"'!"&amp;"A20:A42")&gt;=$D10))</f>
        <v>400000</v>
      </c>
    </row>
    <row r="11" spans="1:18" x14ac:dyDescent="0.25">
      <c r="A11" s="97" t="s">
        <v>281</v>
      </c>
      <c r="B11" s="495" t="s">
        <v>297</v>
      </c>
      <c r="C11" s="496" t="str">
        <f>VAC_Optim_Scenario!B24</f>
        <v>HCC Radio</v>
      </c>
      <c r="D11" s="447">
        <f>VAC_Optim_Scenario!E24</f>
        <v>1437048.41</v>
      </c>
      <c r="E11" s="497">
        <f>VAC_Optim_Scenario!F24</f>
        <v>70569.092436493243</v>
      </c>
      <c r="F11" s="447">
        <f>VAC_Optim_Scenario!G42</f>
        <v>15944380.745101282</v>
      </c>
      <c r="G11" s="498">
        <f t="shared" si="3"/>
        <v>11.095228688295395</v>
      </c>
      <c r="H11" s="499">
        <f t="shared" si="0"/>
        <v>8.1589991017115785E-3</v>
      </c>
      <c r="I11" s="500">
        <f t="shared" si="1"/>
        <v>20.363708252210174</v>
      </c>
      <c r="J11" s="443">
        <f ca="1">(VLOOKUP($Q11,INDIRECT("'"&amp;A11&amp;"'!"&amp;"A20:E42"),3,0)-VLOOKUP($R11,INDIRECT("'"&amp;A11&amp;"'!"&amp;"A20:E42"),3,0))/(Q11-R11)</f>
        <v>6.5466633097348268</v>
      </c>
      <c r="K11"/>
      <c r="Q11" s="441" cm="1">
        <f t="array" aca="1" ref="Q11" ca="1">MAX(_xlfn._xlws.FILTER(INDIRECT("'"&amp;A11&amp;"'!"&amp;"A20:A42"),INDIRECT("'"&amp;A11&amp;"'!"&amp;"A20:A42")&lt;$D11))</f>
        <v>1400000</v>
      </c>
      <c r="R11" s="441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282</v>
      </c>
      <c r="B12" s="495" t="s">
        <v>297</v>
      </c>
      <c r="C12" s="496" t="str">
        <f>VAC_Optim_Scenario!B25</f>
        <v>HCC TV</v>
      </c>
      <c r="D12" s="447">
        <f>VAC_Optim_Scenario!E25</f>
        <v>13503524.99</v>
      </c>
      <c r="E12" s="497">
        <f>VAC_Optim_Scenario!F25</f>
        <v>253686.28893952153</v>
      </c>
      <c r="F12" s="447">
        <f>VAC_Optim_Scenario!G43</f>
        <v>57317880.122995496</v>
      </c>
      <c r="G12" s="498">
        <f t="shared" si="3"/>
        <v>4.2446605731053264</v>
      </c>
      <c r="H12" s="499">
        <f t="shared" si="0"/>
        <v>2.9330492034268182E-2</v>
      </c>
      <c r="I12" s="500">
        <f t="shared" si="1"/>
        <v>53.229226721114685</v>
      </c>
      <c r="J12" s="443">
        <f ca="1">(VLOOKUP($Q12,INDIRECT("'"&amp;A12&amp;"'!"&amp;"A20:E42"),3,0)-VLOOKUP($R12,INDIRECT("'"&amp;A12&amp;"'!"&amp;"A20:E42"),3,0))/(Q12-R12)</f>
        <v>6.0256281323686398</v>
      </c>
      <c r="K12"/>
      <c r="Q12" s="441" cm="1">
        <f t="array" aca="1" ref="Q12" ca="1">MAX(_xlfn._xlws.FILTER(INDIRECT("'"&amp;A12&amp;"'!"&amp;"A20:A42"),INDIRECT("'"&amp;A12&amp;"'!"&amp;"A20:A42")&lt;$D12))</f>
        <v>4200000</v>
      </c>
      <c r="R12" s="441" cm="1">
        <f t="array" aca="1" ref="R12" ca="1">MIN(_xlfn._xlws.FILTER(INDIRECT("'"&amp;A12&amp;"'!"&amp;"A20:A42"),INDIRECT("'"&amp;A12&amp;"'!"&amp;"A20:A42")&gt;=$D12))</f>
        <v>0</v>
      </c>
    </row>
    <row r="13" spans="1:18" ht="15.75" x14ac:dyDescent="0.25">
      <c r="B13" s="501" t="s">
        <v>154</v>
      </c>
      <c r="C13" s="502" t="s">
        <v>230</v>
      </c>
      <c r="D13" s="488">
        <f>SUM(D4:D12)</f>
        <v>32280505.600000001</v>
      </c>
      <c r="E13" s="503">
        <f>SUM(E4:E12)</f>
        <v>1099211.1195203364</v>
      </c>
      <c r="F13" s="488">
        <f>SUM(F4:F12)</f>
        <v>248355760.34442478</v>
      </c>
      <c r="G13" s="504">
        <f>F13/D13</f>
        <v>7.6936762831999994</v>
      </c>
      <c r="H13" s="505">
        <f>SUM(H4:H12)</f>
        <v>0.12708768424120984</v>
      </c>
      <c r="I13" s="506">
        <f>(D13)/E13</f>
        <v>29.366975121290867</v>
      </c>
      <c r="J13" s="507"/>
      <c r="Q13" s="441"/>
      <c r="R13" s="441"/>
    </row>
    <row r="14" spans="1:18" x14ac:dyDescent="0.25">
      <c r="D14" s="442"/>
      <c r="F14" s="442"/>
      <c r="G14" s="238"/>
      <c r="H14" s="239"/>
    </row>
    <row r="15" spans="1:18" x14ac:dyDescent="0.25">
      <c r="H15" s="97">
        <f>G10/5</f>
        <v>17.132824261180517</v>
      </c>
    </row>
    <row r="16" spans="1:18" ht="25.5" x14ac:dyDescent="0.25">
      <c r="E16" s="233" t="s">
        <v>3</v>
      </c>
      <c r="F16" s="234" t="s">
        <v>273</v>
      </c>
    </row>
    <row r="17" spans="5:6" x14ac:dyDescent="0.25">
      <c r="E17" s="235" t="s">
        <v>228</v>
      </c>
      <c r="F17" s="272">
        <f t="shared" ref="F17:F25" si="4">VLOOKUP(E17,$C$4:$I$12,7,0)</f>
        <v>2.6375102733287696</v>
      </c>
    </row>
    <row r="18" spans="5:6" x14ac:dyDescent="0.25">
      <c r="E18" s="236" t="s">
        <v>227</v>
      </c>
      <c r="F18" s="272">
        <f t="shared" si="4"/>
        <v>15.831875161949808</v>
      </c>
    </row>
    <row r="19" spans="5:6" x14ac:dyDescent="0.25">
      <c r="E19" s="236" t="s">
        <v>225</v>
      </c>
      <c r="F19" s="272">
        <f t="shared" si="4"/>
        <v>18.98595943863651</v>
      </c>
    </row>
    <row r="20" spans="5:6" x14ac:dyDescent="0.25">
      <c r="E20" s="236" t="s">
        <v>190</v>
      </c>
      <c r="F20" s="272">
        <f t="shared" si="4"/>
        <v>20.363708252210174</v>
      </c>
    </row>
    <row r="21" spans="5:6" x14ac:dyDescent="0.25">
      <c r="E21" s="236" t="s">
        <v>244</v>
      </c>
      <c r="F21" s="272">
        <f t="shared" si="4"/>
        <v>22.868685790684225</v>
      </c>
    </row>
    <row r="22" spans="5:6" x14ac:dyDescent="0.25">
      <c r="E22" s="236" t="s">
        <v>226</v>
      </c>
      <c r="F22" s="272">
        <f t="shared" si="4"/>
        <v>26.290237926979646</v>
      </c>
    </row>
    <row r="23" spans="5:6" x14ac:dyDescent="0.25">
      <c r="E23" s="236" t="s">
        <v>246</v>
      </c>
      <c r="F23" s="272">
        <f t="shared" si="4"/>
        <v>42.722551023461378</v>
      </c>
    </row>
    <row r="24" spans="5:6" x14ac:dyDescent="0.25">
      <c r="E24" s="236" t="s">
        <v>224</v>
      </c>
      <c r="F24" s="272">
        <f t="shared" si="4"/>
        <v>51.50549446347668</v>
      </c>
    </row>
    <row r="25" spans="5:6" x14ac:dyDescent="0.25">
      <c r="E25" s="237" t="s">
        <v>187</v>
      </c>
      <c r="F25" s="272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6:J7 J9 G13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0" zoomScale="90" zoomScaleNormal="90" workbookViewId="0">
      <selection activeCell="C22" sqref="C22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378" t="s">
        <v>272</v>
      </c>
      <c r="C4" s="379"/>
      <c r="D4" s="379"/>
      <c r="E4" s="379"/>
      <c r="F4" s="379"/>
      <c r="G4" s="379"/>
      <c r="H4" s="379"/>
      <c r="I4" s="379"/>
    </row>
    <row r="5" spans="1:14" x14ac:dyDescent="0.2">
      <c r="A5" s="48" t="s">
        <v>79</v>
      </c>
      <c r="B5" s="1" t="s">
        <v>127</v>
      </c>
      <c r="E5" s="380" t="s">
        <v>50</v>
      </c>
      <c r="F5" s="381"/>
      <c r="G5" s="381"/>
      <c r="H5" s="381"/>
      <c r="I5" s="382"/>
    </row>
    <row r="6" spans="1:14" x14ac:dyDescent="0.2">
      <c r="A6" s="48" t="s">
        <v>80</v>
      </c>
      <c r="B6" s="1" t="s">
        <v>193</v>
      </c>
      <c r="E6" s="383" t="s">
        <v>51</v>
      </c>
      <c r="F6" s="384"/>
      <c r="G6" s="384"/>
      <c r="H6" s="384"/>
      <c r="I6" s="385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278827751.78509402</v>
      </c>
    </row>
    <row r="10" spans="1:14" ht="13.5" thickBot="1" x14ac:dyDescent="0.25">
      <c r="A10" s="50"/>
      <c r="B10" s="1">
        <v>1.2</v>
      </c>
      <c r="E10" s="1" t="s">
        <v>94</v>
      </c>
    </row>
    <row r="11" spans="1:14" ht="26.25" thickBot="1" x14ac:dyDescent="0.25">
      <c r="A11" s="282" t="s">
        <v>82</v>
      </c>
      <c r="B11" s="279" t="s">
        <v>84</v>
      </c>
      <c r="C11" s="275" t="s">
        <v>97</v>
      </c>
      <c r="D11" s="156" t="s">
        <v>98</v>
      </c>
      <c r="E11" s="275" t="s">
        <v>159</v>
      </c>
      <c r="F11" s="156" t="s">
        <v>160</v>
      </c>
    </row>
    <row r="12" spans="1:14" s="263" customFormat="1" ht="13.5" thickBot="1" x14ac:dyDescent="0.25">
      <c r="A12" s="157" t="s">
        <v>158</v>
      </c>
      <c r="B12" s="158">
        <f>E27*B10</f>
        <v>22532376.731999997</v>
      </c>
      <c r="C12" s="159">
        <f>B12*E12</f>
        <v>0</v>
      </c>
      <c r="D12" s="159">
        <f>B12*F12</f>
        <v>22532376.731999997</v>
      </c>
      <c r="E12" s="160">
        <v>0</v>
      </c>
      <c r="F12" s="161">
        <v>1</v>
      </c>
      <c r="I12" s="280"/>
      <c r="K12" s="281"/>
      <c r="L12" s="281"/>
    </row>
    <row r="13" spans="1:14" ht="13.5" thickBot="1" x14ac:dyDescent="0.25">
      <c r="L13" s="149">
        <f>G44</f>
        <v>248355760.34442478</v>
      </c>
      <c r="M13" s="113">
        <f>J44</f>
        <v>278827751.78509402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1">
        <v>0.7</v>
      </c>
      <c r="H14" s="291">
        <v>1.3</v>
      </c>
      <c r="I14" s="56" t="s">
        <v>95</v>
      </c>
      <c r="J14" s="56" t="s">
        <v>96</v>
      </c>
    </row>
    <row r="15" spans="1:14" ht="27.75" customHeight="1" x14ac:dyDescent="0.2">
      <c r="A15" s="372" t="s">
        <v>2</v>
      </c>
      <c r="B15" s="370" t="s">
        <v>3</v>
      </c>
      <c r="C15" s="370" t="s">
        <v>38</v>
      </c>
      <c r="D15" s="370" t="s">
        <v>128</v>
      </c>
      <c r="E15" s="386" t="s">
        <v>86</v>
      </c>
      <c r="F15" s="388"/>
      <c r="G15" s="368" t="s">
        <v>131</v>
      </c>
      <c r="H15" s="369"/>
      <c r="I15" s="368" t="s">
        <v>89</v>
      </c>
      <c r="J15" s="369"/>
      <c r="K15" s="386" t="s">
        <v>90</v>
      </c>
      <c r="L15" s="387"/>
      <c r="M15" s="387"/>
      <c r="N15" s="388"/>
    </row>
    <row r="16" spans="1:14" ht="25.5" x14ac:dyDescent="0.2">
      <c r="A16" s="371"/>
      <c r="B16" s="371"/>
      <c r="C16" s="371"/>
      <c r="D16" s="371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4" t="s">
        <v>173</v>
      </c>
      <c r="B17" s="302" t="s">
        <v>224</v>
      </c>
      <c r="C17" s="54" t="s">
        <v>129</v>
      </c>
      <c r="D17" s="310">
        <v>1</v>
      </c>
      <c r="E17" s="321">
        <v>1755293</v>
      </c>
      <c r="F17" s="311">
        <f>GINOFF!I9</f>
        <v>34079.723304951563</v>
      </c>
      <c r="G17" s="324">
        <f>E17*$G$14</f>
        <v>1228705.0999999999</v>
      </c>
      <c r="H17" s="324">
        <f>E17*$H$14</f>
        <v>2281880.9</v>
      </c>
      <c r="I17" s="325">
        <v>1346172.4927629044</v>
      </c>
      <c r="J17" s="312">
        <f>GINOFF!F9</f>
        <v>28154.025053609163</v>
      </c>
      <c r="K17" s="313">
        <f>I17-E17</f>
        <v>-409120.50723709562</v>
      </c>
      <c r="L17" s="313">
        <f>J17-F17</f>
        <v>-5925.6982513424009</v>
      </c>
      <c r="M17" s="314">
        <f>K17/E17</f>
        <v>-0.23307818537252506</v>
      </c>
      <c r="N17" s="314">
        <f>L17/F17</f>
        <v>-0.1738775341078381</v>
      </c>
      <c r="O17" s="347">
        <f>E17/F17</f>
        <v>51.50549446347668</v>
      </c>
      <c r="P17" s="304">
        <f>G17/1000000</f>
        <v>1.2287050999999998</v>
      </c>
      <c r="Q17" s="304">
        <f>H17/1000000</f>
        <v>2.2818809</v>
      </c>
    </row>
    <row r="18" spans="1:17" x14ac:dyDescent="0.2">
      <c r="A18" s="285" t="s">
        <v>173</v>
      </c>
      <c r="B18" s="303" t="s">
        <v>225</v>
      </c>
      <c r="C18" s="54" t="s">
        <v>129</v>
      </c>
      <c r="D18" s="315">
        <v>1</v>
      </c>
      <c r="E18" s="322">
        <v>5365372.8900000006</v>
      </c>
      <c r="F18" s="316">
        <f>GMCM!I9</f>
        <v>282596.87941192184</v>
      </c>
      <c r="G18" s="326">
        <f>E18*$G$14</f>
        <v>3755761.023</v>
      </c>
      <c r="H18" s="326">
        <f>E18*$H$14</f>
        <v>6974984.7570000011</v>
      </c>
      <c r="I18" s="327">
        <v>6974984.7570000011</v>
      </c>
      <c r="J18" s="317">
        <f>GMCM!F9</f>
        <v>334480.28078193869</v>
      </c>
      <c r="K18" s="318">
        <f>I18-E18</f>
        <v>1609611.8670000006</v>
      </c>
      <c r="L18" s="318">
        <f t="shared" ref="L18" si="0">J18-F18</f>
        <v>51883.401370016858</v>
      </c>
      <c r="M18" s="319">
        <f>K18/E18</f>
        <v>0.30000000000000004</v>
      </c>
      <c r="N18" s="319">
        <f t="shared" ref="N18:N24" si="1">L18/F18</f>
        <v>0.18359509658417009</v>
      </c>
      <c r="O18" s="347">
        <f t="shared" ref="O18:O25" si="2">E18/F18</f>
        <v>18.98595943863651</v>
      </c>
      <c r="P18" s="304">
        <f t="shared" ref="P18:Q25" si="3">G18/1000000</f>
        <v>3.7557610230000003</v>
      </c>
      <c r="Q18" s="304">
        <f t="shared" si="3"/>
        <v>6.9749847570000014</v>
      </c>
    </row>
    <row r="19" spans="1:17" s="98" customFormat="1" x14ac:dyDescent="0.2">
      <c r="A19" s="285" t="s">
        <v>173</v>
      </c>
      <c r="B19" s="303" t="s">
        <v>226</v>
      </c>
      <c r="C19" s="54" t="s">
        <v>167</v>
      </c>
      <c r="D19" s="315">
        <v>1</v>
      </c>
      <c r="E19" s="322">
        <v>1873000</v>
      </c>
      <c r="F19" s="316">
        <f>GSOC!I9</f>
        <v>71243.17418511775</v>
      </c>
      <c r="G19" s="326">
        <f t="shared" ref="G19:G24" si="4">E19*$G$14</f>
        <v>1311100</v>
      </c>
      <c r="H19" s="326">
        <f t="shared" ref="H19:H24" si="5">E19*$H$14</f>
        <v>2434900</v>
      </c>
      <c r="I19" s="327">
        <v>2434900</v>
      </c>
      <c r="J19" s="317">
        <f>GSOC!F9</f>
        <v>83389.097243970609</v>
      </c>
      <c r="K19" s="318">
        <f t="shared" ref="K19:K25" si="6">I19-E19</f>
        <v>561900</v>
      </c>
      <c r="L19" s="318">
        <f t="shared" ref="L19:L25" si="7">J19-F19</f>
        <v>12145.923058852859</v>
      </c>
      <c r="M19" s="319">
        <f t="shared" ref="M19:M25" si="8">K19/E19</f>
        <v>0.3</v>
      </c>
      <c r="N19" s="319">
        <f t="shared" si="1"/>
        <v>0.17048542822211965</v>
      </c>
      <c r="O19" s="347">
        <f t="shared" si="2"/>
        <v>26.290237926979646</v>
      </c>
      <c r="P19" s="304">
        <f t="shared" si="3"/>
        <v>1.3110999999999999</v>
      </c>
      <c r="Q19" s="304">
        <f t="shared" si="3"/>
        <v>2.4348999999999998</v>
      </c>
    </row>
    <row r="20" spans="1:17" s="98" customFormat="1" x14ac:dyDescent="0.2">
      <c r="A20" s="285" t="s">
        <v>173</v>
      </c>
      <c r="B20" s="303" t="s">
        <v>244</v>
      </c>
      <c r="C20" s="54" t="s">
        <v>129</v>
      </c>
      <c r="D20" s="315">
        <v>1</v>
      </c>
      <c r="E20" s="322">
        <v>173076.94</v>
      </c>
      <c r="F20" s="316">
        <f>GOLV!I9</f>
        <v>7568.2941111773252</v>
      </c>
      <c r="G20" s="326">
        <f t="shared" si="4"/>
        <v>121153.85799999999</v>
      </c>
      <c r="H20" s="326">
        <f t="shared" si="5"/>
        <v>225000.022</v>
      </c>
      <c r="I20" s="327">
        <v>225000.022</v>
      </c>
      <c r="J20" s="317">
        <f>GOLV!F9</f>
        <v>8989.8273410275578</v>
      </c>
      <c r="K20" s="318">
        <f t="shared" si="6"/>
        <v>51923.081999999995</v>
      </c>
      <c r="L20" s="318">
        <f t="shared" si="7"/>
        <v>1421.5332298502326</v>
      </c>
      <c r="M20" s="319">
        <f t="shared" si="8"/>
        <v>0.3</v>
      </c>
      <c r="N20" s="319">
        <f t="shared" si="1"/>
        <v>0.18782742966487315</v>
      </c>
      <c r="O20" s="347">
        <f t="shared" si="2"/>
        <v>22.868685790684225</v>
      </c>
      <c r="P20" s="304">
        <f t="shared" si="3"/>
        <v>0.12115385799999999</v>
      </c>
      <c r="Q20" s="304">
        <f t="shared" si="3"/>
        <v>0.22500002199999999</v>
      </c>
    </row>
    <row r="21" spans="1:17" s="98" customFormat="1" x14ac:dyDescent="0.2">
      <c r="A21" s="285" t="s">
        <v>173</v>
      </c>
      <c r="B21" s="303" t="s">
        <v>246</v>
      </c>
      <c r="C21" s="54" t="s">
        <v>167</v>
      </c>
      <c r="D21" s="315">
        <v>1</v>
      </c>
      <c r="E21" s="322">
        <v>6180125</v>
      </c>
      <c r="F21" s="316">
        <f>GSTRV!H9</f>
        <v>144657.20917756393</v>
      </c>
      <c r="G21" s="326">
        <f t="shared" si="4"/>
        <v>4326087.5</v>
      </c>
      <c r="H21" s="326">
        <f t="shared" si="5"/>
        <v>8034162.5</v>
      </c>
      <c r="I21" s="327">
        <v>7092172.847014742</v>
      </c>
      <c r="J21" s="317">
        <f>GSTRV!F9</f>
        <v>159289.63557628606</v>
      </c>
      <c r="K21" s="318">
        <f t="shared" si="6"/>
        <v>912047.84701474197</v>
      </c>
      <c r="L21" s="318">
        <f t="shared" si="7"/>
        <v>14632.426398722135</v>
      </c>
      <c r="M21" s="319">
        <f t="shared" si="8"/>
        <v>0.14757757278610739</v>
      </c>
      <c r="N21" s="319">
        <f t="shared" si="1"/>
        <v>0.10115241737286051</v>
      </c>
      <c r="O21" s="347">
        <f t="shared" si="2"/>
        <v>42.722551023461378</v>
      </c>
      <c r="P21" s="304">
        <f t="shared" si="3"/>
        <v>4.3260874999999999</v>
      </c>
      <c r="Q21" s="304">
        <f t="shared" si="3"/>
        <v>8.0341625000000008</v>
      </c>
    </row>
    <row r="22" spans="1:17" s="98" customFormat="1" x14ac:dyDescent="0.2">
      <c r="A22" s="285" t="s">
        <v>173</v>
      </c>
      <c r="B22" s="303" t="s">
        <v>227</v>
      </c>
      <c r="C22" s="54" t="s">
        <v>129</v>
      </c>
      <c r="D22" s="315">
        <v>1</v>
      </c>
      <c r="E22" s="322">
        <v>1648357.37</v>
      </c>
      <c r="F22" s="316">
        <f>GDISP!I9</f>
        <v>104116.36986385845</v>
      </c>
      <c r="G22" s="326">
        <f t="shared" si="4"/>
        <v>1153850.159</v>
      </c>
      <c r="H22" s="326">
        <f t="shared" si="5"/>
        <v>2142864.5810000002</v>
      </c>
      <c r="I22" s="327">
        <v>2142864.5810000002</v>
      </c>
      <c r="J22" s="317">
        <f>GDISP!F9</f>
        <v>126447.32566596754</v>
      </c>
      <c r="K22" s="318">
        <f t="shared" si="6"/>
        <v>494507.21100000013</v>
      </c>
      <c r="L22" s="318">
        <f t="shared" si="7"/>
        <v>22330.955802109092</v>
      </c>
      <c r="M22" s="319">
        <f t="shared" si="8"/>
        <v>0.30000000000000004</v>
      </c>
      <c r="N22" s="319">
        <f t="shared" si="1"/>
        <v>0.21448073757574176</v>
      </c>
      <c r="O22" s="347">
        <f t="shared" si="2"/>
        <v>15.831875161949808</v>
      </c>
      <c r="P22" s="304">
        <f t="shared" si="3"/>
        <v>1.1538501589999999</v>
      </c>
      <c r="Q22" s="304">
        <f t="shared" si="3"/>
        <v>2.1428645810000004</v>
      </c>
    </row>
    <row r="23" spans="1:17" s="98" customFormat="1" x14ac:dyDescent="0.2">
      <c r="A23" s="285" t="s">
        <v>173</v>
      </c>
      <c r="B23" s="303" t="s">
        <v>228</v>
      </c>
      <c r="C23" s="54" t="s">
        <v>167</v>
      </c>
      <c r="D23" s="315">
        <v>1</v>
      </c>
      <c r="E23" s="322">
        <v>344707</v>
      </c>
      <c r="F23" s="316">
        <f>GSEARCH!I9</f>
        <v>130694.08808973072</v>
      </c>
      <c r="G23" s="326">
        <f t="shared" si="4"/>
        <v>241294.9</v>
      </c>
      <c r="H23" s="326">
        <f t="shared" si="5"/>
        <v>448119.10000000003</v>
      </c>
      <c r="I23" s="327">
        <v>448119.10000000003</v>
      </c>
      <c r="J23" s="317">
        <f>GSEARCH!F9</f>
        <v>157042.17063662564</v>
      </c>
      <c r="K23" s="318">
        <f t="shared" si="6"/>
        <v>103412.10000000003</v>
      </c>
      <c r="L23" s="318">
        <f t="shared" si="7"/>
        <v>26348.082546894919</v>
      </c>
      <c r="M23" s="319">
        <f t="shared" si="8"/>
        <v>0.3000000000000001</v>
      </c>
      <c r="N23" s="319">
        <f t="shared" si="1"/>
        <v>0.2016011812929526</v>
      </c>
      <c r="O23" s="347">
        <f t="shared" si="2"/>
        <v>2.6375102733287696</v>
      </c>
      <c r="P23" s="304">
        <f t="shared" si="3"/>
        <v>0.24129490000000001</v>
      </c>
      <c r="Q23" s="304">
        <f t="shared" si="3"/>
        <v>0.44811910000000005</v>
      </c>
    </row>
    <row r="24" spans="1:17" x14ac:dyDescent="0.2">
      <c r="A24" s="285" t="s">
        <v>173</v>
      </c>
      <c r="B24" s="303" t="s">
        <v>190</v>
      </c>
      <c r="C24" s="54" t="s">
        <v>167</v>
      </c>
      <c r="D24" s="315">
        <v>1</v>
      </c>
      <c r="E24" s="322">
        <v>1437048.41</v>
      </c>
      <c r="F24" s="316">
        <f>GRADIO!I9</f>
        <v>70569.092436493243</v>
      </c>
      <c r="G24" s="326">
        <f t="shared" si="4"/>
        <v>1005933.8869999999</v>
      </c>
      <c r="H24" s="326">
        <f t="shared" si="5"/>
        <v>1868162.933</v>
      </c>
      <c r="I24" s="327">
        <v>1868162.933</v>
      </c>
      <c r="J24" s="317">
        <f>GRADIO!F9</f>
        <v>82600.094379775124</v>
      </c>
      <c r="K24" s="318">
        <f t="shared" si="6"/>
        <v>431114.52300000004</v>
      </c>
      <c r="L24" s="318">
        <f t="shared" si="7"/>
        <v>12031.001943281881</v>
      </c>
      <c r="M24" s="319">
        <f t="shared" si="8"/>
        <v>0.30000000000000004</v>
      </c>
      <c r="N24" s="319">
        <f t="shared" si="1"/>
        <v>0.17048542822211943</v>
      </c>
      <c r="O24" s="347">
        <f t="shared" si="2"/>
        <v>20.363708252210174</v>
      </c>
      <c r="P24" s="304">
        <f t="shared" si="3"/>
        <v>1.0059338869999999</v>
      </c>
      <c r="Q24" s="304">
        <f t="shared" si="3"/>
        <v>1.868162933</v>
      </c>
    </row>
    <row r="25" spans="1:17" s="98" customFormat="1" x14ac:dyDescent="0.2">
      <c r="A25" s="285" t="s">
        <v>173</v>
      </c>
      <c r="B25" s="303" t="s">
        <v>187</v>
      </c>
      <c r="C25" s="54" t="s">
        <v>167</v>
      </c>
      <c r="D25" s="315">
        <v>1</v>
      </c>
      <c r="E25" s="322">
        <v>13503524.99</v>
      </c>
      <c r="F25" s="316">
        <f>GTV!I9</f>
        <v>253686.28893952153</v>
      </c>
      <c r="G25" s="326">
        <f>E25</f>
        <v>13503524.99</v>
      </c>
      <c r="H25" s="326">
        <f>E25</f>
        <v>13503524.99</v>
      </c>
      <c r="I25" s="327">
        <v>13503524.99</v>
      </c>
      <c r="J25" s="317">
        <f>GTV!F9</f>
        <v>253686.28893952153</v>
      </c>
      <c r="K25" s="318">
        <f t="shared" si="6"/>
        <v>0</v>
      </c>
      <c r="L25" s="318">
        <f t="shared" si="7"/>
        <v>0</v>
      </c>
      <c r="M25" s="319">
        <f t="shared" si="8"/>
        <v>0</v>
      </c>
      <c r="N25" s="319">
        <f t="shared" ref="N25" si="9">L25/F25</f>
        <v>0</v>
      </c>
      <c r="O25" s="347">
        <f t="shared" si="2"/>
        <v>53.229226721114685</v>
      </c>
      <c r="P25" s="304">
        <f t="shared" si="3"/>
        <v>13.503524990000001</v>
      </c>
      <c r="Q25" s="304">
        <f t="shared" si="3"/>
        <v>13.503524990000001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0"/>
      <c r="E26" s="323">
        <f>SUM(E17:E25)</f>
        <v>32280505.600000001</v>
      </c>
      <c r="F26" s="329">
        <f t="shared" ref="F26:L26" si="10">SUM(F17:F25)</f>
        <v>1099211.1195203364</v>
      </c>
      <c r="G26" s="328">
        <f t="shared" si="10"/>
        <v>26647411.416999999</v>
      </c>
      <c r="H26" s="328">
        <f t="shared" si="10"/>
        <v>37913599.783</v>
      </c>
      <c r="I26" s="328">
        <f t="shared" si="10"/>
        <v>36035901.72277765</v>
      </c>
      <c r="J26" s="329">
        <f t="shared" si="10"/>
        <v>1234078.7456187219</v>
      </c>
      <c r="K26" s="328">
        <f t="shared" si="10"/>
        <v>3755396.1227776469</v>
      </c>
      <c r="L26" s="165">
        <f t="shared" si="10"/>
        <v>134867.62609838558</v>
      </c>
      <c r="M26" s="166">
        <f>K26/E26</f>
        <v>0.11633634768030544</v>
      </c>
      <c r="N26" s="166">
        <f>L26/F26</f>
        <v>0.12269492520894246</v>
      </c>
    </row>
    <row r="27" spans="1:17" x14ac:dyDescent="0.2">
      <c r="A27" s="127" t="s">
        <v>154</v>
      </c>
      <c r="B27" s="127" t="s">
        <v>283</v>
      </c>
      <c r="C27" s="127"/>
      <c r="D27" s="320"/>
      <c r="E27" s="323">
        <f>SUM(E17:E24)</f>
        <v>18776980.609999999</v>
      </c>
      <c r="F27" s="329">
        <f t="shared" ref="F27:L27" si="11">SUM(F17:F24)</f>
        <v>845524.83058081486</v>
      </c>
      <c r="G27" s="328">
        <f t="shared" si="11"/>
        <v>13143886.426999999</v>
      </c>
      <c r="H27" s="328">
        <f t="shared" si="11"/>
        <v>24410074.793000001</v>
      </c>
      <c r="I27" s="328">
        <f t="shared" si="11"/>
        <v>22532376.732777648</v>
      </c>
      <c r="J27" s="329">
        <f t="shared" si="11"/>
        <v>980392.45667920029</v>
      </c>
      <c r="K27" s="328">
        <f t="shared" si="11"/>
        <v>3755396.1227776469</v>
      </c>
      <c r="L27" s="165">
        <f t="shared" si="11"/>
        <v>134867.62609838558</v>
      </c>
      <c r="M27" s="166">
        <f>K27/E27</f>
        <v>0.20000000004141491</v>
      </c>
      <c r="N27" s="166">
        <f>L27/F27</f>
        <v>0.15950758773783283</v>
      </c>
    </row>
    <row r="29" spans="1:17" x14ac:dyDescent="0.2">
      <c r="J29" s="337"/>
      <c r="K29" s="87"/>
    </row>
    <row r="30" spans="1:17" s="98" customFormat="1" x14ac:dyDescent="0.2">
      <c r="D30" s="393" t="s">
        <v>154</v>
      </c>
      <c r="E30" s="393"/>
      <c r="F30" s="393"/>
      <c r="G30" s="393"/>
      <c r="H30" s="393"/>
      <c r="I30" s="393"/>
      <c r="J30" s="392"/>
      <c r="K30" s="392"/>
      <c r="L30" s="392"/>
      <c r="M30" s="392"/>
      <c r="N30" s="392"/>
      <c r="O30" s="392"/>
      <c r="P30" s="134"/>
    </row>
    <row r="31" spans="1:17" ht="51" x14ac:dyDescent="0.2">
      <c r="A31" s="375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375"/>
      <c r="D32" s="168">
        <v>1</v>
      </c>
      <c r="E32" s="126">
        <v>225.94</v>
      </c>
      <c r="F32" s="309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374" t="s">
        <v>2</v>
      </c>
      <c r="B33" s="370" t="s">
        <v>3</v>
      </c>
      <c r="C33" s="370" t="str">
        <f t="shared" ref="C33:C43" si="12">D15</f>
        <v>Response Scaling Factor for Sensitivity Analysis</v>
      </c>
      <c r="D33" s="389" t="s">
        <v>86</v>
      </c>
      <c r="E33" s="390"/>
      <c r="F33" s="390"/>
      <c r="G33" s="391"/>
      <c r="H33" s="376" t="s">
        <v>89</v>
      </c>
      <c r="I33" s="377"/>
      <c r="J33" s="377"/>
      <c r="K33" s="389" t="s">
        <v>136</v>
      </c>
      <c r="L33" s="390"/>
      <c r="M33" s="390"/>
      <c r="N33" s="391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371"/>
      <c r="B34" s="371"/>
      <c r="C34" s="371">
        <f t="shared" si="12"/>
        <v>0</v>
      </c>
      <c r="D34" s="93" t="s">
        <v>267</v>
      </c>
      <c r="E34" s="93" t="s">
        <v>133</v>
      </c>
      <c r="F34" s="93" t="s">
        <v>134</v>
      </c>
      <c r="G34" s="93" t="s">
        <v>146</v>
      </c>
      <c r="H34" s="55" t="s">
        <v>268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3" t="str">
        <f t="shared" ref="A35:B38" si="13">A17</f>
        <v>Gardasil Adolescents</v>
      </c>
      <c r="B35" s="243" t="str">
        <f t="shared" si="13"/>
        <v>HCC In Office</v>
      </c>
      <c r="C35" s="310">
        <f t="shared" si="12"/>
        <v>1</v>
      </c>
      <c r="D35" s="99">
        <f t="shared" ref="D35:D43" si="14">E17</f>
        <v>1755293</v>
      </c>
      <c r="E35" s="265" t="s">
        <v>166</v>
      </c>
      <c r="F35" s="101">
        <f t="shared" ref="F35:F43" si="15">F17/$D$32</f>
        <v>34079.723304951563</v>
      </c>
      <c r="G35" s="103">
        <f>F35*$F$32</f>
        <v>7699972.6835207557</v>
      </c>
      <c r="H35" s="105">
        <f t="shared" ref="H35:H43" si="16">I17</f>
        <v>1346172.4927629044</v>
      </c>
      <c r="I35" s="101">
        <f>J17/$D$32</f>
        <v>28154.025053609163</v>
      </c>
      <c r="J35" s="107">
        <f>I35*$F$32</f>
        <v>6361120.4206124544</v>
      </c>
      <c r="K35" s="99">
        <f>H35-D35</f>
        <v>-409120.50723709562</v>
      </c>
      <c r="L35" s="99">
        <f>J35-G35</f>
        <v>-1338852.2629083013</v>
      </c>
      <c r="M35" s="109">
        <f>K35/D35</f>
        <v>-0.23307818537252506</v>
      </c>
      <c r="N35" s="110">
        <f>L35/G35</f>
        <v>-0.17387753410783802</v>
      </c>
      <c r="O35" s="148"/>
      <c r="P35" s="331">
        <f>(J35-G35)/1000000</f>
        <v>-1.3388522629083013</v>
      </c>
    </row>
    <row r="36" spans="1:22" x14ac:dyDescent="0.2">
      <c r="A36" s="249" t="str">
        <f t="shared" si="13"/>
        <v>Gardasil Adolescents</v>
      </c>
      <c r="B36" s="249" t="str">
        <f t="shared" si="13"/>
        <v>HCP MCM</v>
      </c>
      <c r="C36" s="315">
        <f t="shared" si="12"/>
        <v>1</v>
      </c>
      <c r="D36" s="100">
        <f>E18</f>
        <v>5365372.8900000006</v>
      </c>
      <c r="E36" s="266" t="s">
        <v>166</v>
      </c>
      <c r="F36" s="102">
        <f t="shared" si="15"/>
        <v>282596.87941192184</v>
      </c>
      <c r="G36" s="104">
        <f t="shared" ref="G36:G43" si="17">F36*$F$32</f>
        <v>63849938.934329621</v>
      </c>
      <c r="H36" s="106">
        <f t="shared" si="16"/>
        <v>6974984.7570000011</v>
      </c>
      <c r="I36" s="102">
        <f t="shared" ref="I36:I43" si="18">J18/$D$32</f>
        <v>334480.28078193869</v>
      </c>
      <c r="J36" s="108">
        <f t="shared" ref="J36" si="19">I36*$F$32</f>
        <v>75572474.639871225</v>
      </c>
      <c r="K36" s="100">
        <f t="shared" ref="K36" si="20">H36-D36</f>
        <v>1609611.8670000006</v>
      </c>
      <c r="L36" s="100">
        <f t="shared" ref="L36" si="21">J36-G36</f>
        <v>11722535.705541603</v>
      </c>
      <c r="M36" s="111">
        <f t="shared" ref="M36" si="22">K36/D36</f>
        <v>0.30000000000000004</v>
      </c>
      <c r="N36" s="112">
        <f t="shared" ref="N36" si="23">L36/G36</f>
        <v>0.18359509658417</v>
      </c>
      <c r="O36" s="148"/>
      <c r="P36" s="331">
        <f t="shared" ref="P36:P43" si="24">(J36-G36)/1000000</f>
        <v>11.722535705541603</v>
      </c>
    </row>
    <row r="37" spans="1:22" s="98" customFormat="1" x14ac:dyDescent="0.2">
      <c r="A37" s="249" t="str">
        <f t="shared" si="13"/>
        <v>Gardasil Adolescents</v>
      </c>
      <c r="B37" s="249" t="str">
        <f t="shared" si="13"/>
        <v>HCC Social</v>
      </c>
      <c r="C37" s="315">
        <f t="shared" si="12"/>
        <v>1</v>
      </c>
      <c r="D37" s="100">
        <f t="shared" si="14"/>
        <v>1873000</v>
      </c>
      <c r="E37" s="266" t="s">
        <v>166</v>
      </c>
      <c r="F37" s="102">
        <f t="shared" si="15"/>
        <v>71243.17418511775</v>
      </c>
      <c r="G37" s="104">
        <f t="shared" si="17"/>
        <v>16096682.775385505</v>
      </c>
      <c r="H37" s="106">
        <f t="shared" si="16"/>
        <v>2434900</v>
      </c>
      <c r="I37" s="102">
        <f t="shared" si="18"/>
        <v>83389.097243970609</v>
      </c>
      <c r="J37" s="108">
        <f t="shared" ref="J37:J43" si="25">I37*$F$32</f>
        <v>18840932.631302718</v>
      </c>
      <c r="K37" s="100">
        <f t="shared" ref="K37:K43" si="26">H37-D37</f>
        <v>561900</v>
      </c>
      <c r="L37" s="100">
        <f t="shared" ref="L37:L43" si="27">J37-G37</f>
        <v>2744249.8559172135</v>
      </c>
      <c r="M37" s="111">
        <f t="shared" ref="M37:M43" si="28">K37/D37</f>
        <v>0.3</v>
      </c>
      <c r="N37" s="112">
        <f t="shared" ref="N37:N43" si="29">L37/G37</f>
        <v>0.17048542822211954</v>
      </c>
      <c r="O37" s="148"/>
      <c r="P37" s="331">
        <f t="shared" si="24"/>
        <v>2.7442498559172135</v>
      </c>
    </row>
    <row r="38" spans="1:22" s="98" customFormat="1" x14ac:dyDescent="0.2">
      <c r="A38" s="249" t="str">
        <f t="shared" si="13"/>
        <v>Gardasil Adolescents</v>
      </c>
      <c r="B38" s="249" t="str">
        <f t="shared" si="13"/>
        <v>HCC Online Video</v>
      </c>
      <c r="C38" s="315">
        <f t="shared" si="12"/>
        <v>1</v>
      </c>
      <c r="D38" s="100">
        <f t="shared" si="14"/>
        <v>173076.94</v>
      </c>
      <c r="E38" s="266" t="s">
        <v>166</v>
      </c>
      <c r="F38" s="102">
        <f t="shared" si="15"/>
        <v>7568.2941111773252</v>
      </c>
      <c r="G38" s="104">
        <f t="shared" si="17"/>
        <v>1709980.3714794049</v>
      </c>
      <c r="H38" s="106">
        <f t="shared" si="16"/>
        <v>225000.022</v>
      </c>
      <c r="I38" s="102">
        <f t="shared" si="18"/>
        <v>8989.8273410275578</v>
      </c>
      <c r="J38" s="108">
        <f t="shared" si="25"/>
        <v>2031161.5894317664</v>
      </c>
      <c r="K38" s="100">
        <f t="shared" si="26"/>
        <v>51923.081999999995</v>
      </c>
      <c r="L38" s="100">
        <f t="shared" si="27"/>
        <v>321181.21795236156</v>
      </c>
      <c r="M38" s="111">
        <f t="shared" si="28"/>
        <v>0.3</v>
      </c>
      <c r="N38" s="112">
        <f t="shared" si="29"/>
        <v>0.18782742966487315</v>
      </c>
      <c r="O38" s="148"/>
      <c r="P38" s="331">
        <f t="shared" si="24"/>
        <v>0.32118121795236154</v>
      </c>
    </row>
    <row r="39" spans="1:22" s="98" customFormat="1" x14ac:dyDescent="0.2">
      <c r="A39" s="285" t="s">
        <v>173</v>
      </c>
      <c r="B39" s="249" t="str">
        <f>B21</f>
        <v>HCC Streaming Video</v>
      </c>
      <c r="C39" s="315">
        <f t="shared" si="12"/>
        <v>1</v>
      </c>
      <c r="D39" s="100">
        <f t="shared" si="14"/>
        <v>6180125</v>
      </c>
      <c r="E39" s="266" t="s">
        <v>166</v>
      </c>
      <c r="F39" s="102">
        <f t="shared" si="15"/>
        <v>144657.20917756393</v>
      </c>
      <c r="G39" s="104">
        <f t="shared" si="17"/>
        <v>32683849.841578793</v>
      </c>
      <c r="H39" s="106">
        <f t="shared" si="16"/>
        <v>7092172.847014742</v>
      </c>
      <c r="I39" s="102">
        <f t="shared" si="18"/>
        <v>159289.63557628606</v>
      </c>
      <c r="J39" s="108">
        <f t="shared" si="25"/>
        <v>35989900.262106076</v>
      </c>
      <c r="K39" s="100">
        <f t="shared" si="26"/>
        <v>912047.84701474197</v>
      </c>
      <c r="L39" s="100">
        <f t="shared" si="27"/>
        <v>3306050.4205272831</v>
      </c>
      <c r="M39" s="111">
        <f t="shared" si="28"/>
        <v>0.14757757278610739</v>
      </c>
      <c r="N39" s="112">
        <f t="shared" si="29"/>
        <v>0.10115241737286064</v>
      </c>
      <c r="O39" s="148"/>
      <c r="P39" s="331">
        <f t="shared" si="24"/>
        <v>3.3060504205272832</v>
      </c>
    </row>
    <row r="40" spans="1:22" s="98" customFormat="1" x14ac:dyDescent="0.2">
      <c r="A40" s="249" t="str">
        <f>A22</f>
        <v>Gardasil Adolescents</v>
      </c>
      <c r="B40" s="249" t="str">
        <f>B22</f>
        <v>HCC Display</v>
      </c>
      <c r="C40" s="315">
        <f t="shared" si="12"/>
        <v>1</v>
      </c>
      <c r="D40" s="100">
        <f t="shared" si="14"/>
        <v>1648357.37</v>
      </c>
      <c r="E40" s="266" t="s">
        <v>166</v>
      </c>
      <c r="F40" s="102">
        <f t="shared" si="15"/>
        <v>104116.36986385845</v>
      </c>
      <c r="G40" s="104">
        <f t="shared" si="17"/>
        <v>23524052.607040178</v>
      </c>
      <c r="H40" s="106">
        <f t="shared" si="16"/>
        <v>2142864.5810000002</v>
      </c>
      <c r="I40" s="102">
        <f t="shared" si="18"/>
        <v>126447.32566596754</v>
      </c>
      <c r="J40" s="108">
        <f t="shared" si="25"/>
        <v>28569508.760968704</v>
      </c>
      <c r="K40" s="100">
        <f t="shared" si="26"/>
        <v>494507.21100000013</v>
      </c>
      <c r="L40" s="100">
        <f t="shared" si="27"/>
        <v>5045456.1539285257</v>
      </c>
      <c r="M40" s="111">
        <f t="shared" si="28"/>
        <v>0.30000000000000004</v>
      </c>
      <c r="N40" s="112">
        <f t="shared" si="29"/>
        <v>0.21448073757574165</v>
      </c>
      <c r="O40" s="148"/>
      <c r="P40" s="331">
        <f t="shared" si="24"/>
        <v>5.0454561539285256</v>
      </c>
    </row>
    <row r="41" spans="1:22" x14ac:dyDescent="0.2">
      <c r="A41" s="249" t="str">
        <f>A23</f>
        <v>Gardasil Adolescents</v>
      </c>
      <c r="B41" s="249" t="str">
        <f>B23</f>
        <v>HCC Paid Search</v>
      </c>
      <c r="C41" s="315">
        <f t="shared" si="12"/>
        <v>1</v>
      </c>
      <c r="D41" s="100">
        <f t="shared" si="14"/>
        <v>344707</v>
      </c>
      <c r="E41" s="266" t="s">
        <v>166</v>
      </c>
      <c r="F41" s="102">
        <f t="shared" si="15"/>
        <v>130694.08808973072</v>
      </c>
      <c r="G41" s="104">
        <f t="shared" si="17"/>
        <v>29529022.26299376</v>
      </c>
      <c r="H41" s="106">
        <f t="shared" si="16"/>
        <v>448119.10000000003</v>
      </c>
      <c r="I41" s="102">
        <f t="shared" si="18"/>
        <v>157042.17063662564</v>
      </c>
      <c r="J41" s="108">
        <f t="shared" si="25"/>
        <v>35482108.0336392</v>
      </c>
      <c r="K41" s="100">
        <f t="shared" si="26"/>
        <v>103412.10000000003</v>
      </c>
      <c r="L41" s="100">
        <f t="shared" si="27"/>
        <v>5953085.7706454396</v>
      </c>
      <c r="M41" s="111">
        <f t="shared" si="28"/>
        <v>0.3000000000000001</v>
      </c>
      <c r="N41" s="112">
        <f t="shared" si="29"/>
        <v>0.20160118129295262</v>
      </c>
      <c r="O41" s="148"/>
      <c r="P41" s="331">
        <f t="shared" si="24"/>
        <v>5.9530857706454396</v>
      </c>
    </row>
    <row r="42" spans="1:22" s="98" customFormat="1" x14ac:dyDescent="0.2">
      <c r="A42" s="249" t="str">
        <f>A24</f>
        <v>Gardasil Adolescents</v>
      </c>
      <c r="B42" s="249" t="str">
        <f>B24</f>
        <v>HCC Radio</v>
      </c>
      <c r="C42" s="315">
        <f t="shared" si="12"/>
        <v>1</v>
      </c>
      <c r="D42" s="100">
        <f t="shared" si="14"/>
        <v>1437048.41</v>
      </c>
      <c r="E42" s="266" t="s">
        <v>166</v>
      </c>
      <c r="F42" s="102">
        <f t="shared" si="15"/>
        <v>70569.092436493243</v>
      </c>
      <c r="G42" s="104">
        <f t="shared" si="17"/>
        <v>15944380.745101282</v>
      </c>
      <c r="H42" s="106">
        <f t="shared" si="16"/>
        <v>1868162.933</v>
      </c>
      <c r="I42" s="102">
        <f t="shared" si="18"/>
        <v>82600.094379775124</v>
      </c>
      <c r="J42" s="108">
        <f t="shared" si="25"/>
        <v>18662665.324166391</v>
      </c>
      <c r="K42" s="100">
        <f t="shared" si="26"/>
        <v>431114.52300000004</v>
      </c>
      <c r="L42" s="100">
        <f t="shared" si="27"/>
        <v>2718284.5790651087</v>
      </c>
      <c r="M42" s="111">
        <f t="shared" si="28"/>
        <v>0.30000000000000004</v>
      </c>
      <c r="N42" s="112">
        <f t="shared" si="29"/>
        <v>0.17048542822211948</v>
      </c>
      <c r="O42" s="148"/>
      <c r="P42" s="331">
        <f t="shared" si="24"/>
        <v>2.7182845790651085</v>
      </c>
    </row>
    <row r="43" spans="1:22" s="98" customFormat="1" x14ac:dyDescent="0.2">
      <c r="A43" s="249" t="str">
        <f>A25</f>
        <v>Gardasil Adolescents</v>
      </c>
      <c r="B43" s="249" t="str">
        <f>B25</f>
        <v>HCC TV</v>
      </c>
      <c r="C43" s="315">
        <f t="shared" si="12"/>
        <v>1</v>
      </c>
      <c r="D43" s="100">
        <f t="shared" si="14"/>
        <v>13503524.99</v>
      </c>
      <c r="E43" s="266" t="s">
        <v>166</v>
      </c>
      <c r="F43" s="102">
        <f t="shared" si="15"/>
        <v>253686.28893952153</v>
      </c>
      <c r="G43" s="104">
        <f t="shared" si="17"/>
        <v>57317880.122995496</v>
      </c>
      <c r="H43" s="106">
        <f t="shared" si="16"/>
        <v>13503524.99</v>
      </c>
      <c r="I43" s="102">
        <f t="shared" si="18"/>
        <v>253686.28893952153</v>
      </c>
      <c r="J43" s="108">
        <f t="shared" si="25"/>
        <v>57317880.122995496</v>
      </c>
      <c r="K43" s="100">
        <f t="shared" si="26"/>
        <v>0</v>
      </c>
      <c r="L43" s="100">
        <f t="shared" si="27"/>
        <v>0</v>
      </c>
      <c r="M43" s="111">
        <f t="shared" si="28"/>
        <v>0</v>
      </c>
      <c r="N43" s="112">
        <f t="shared" si="29"/>
        <v>0</v>
      </c>
      <c r="O43" s="148"/>
      <c r="P43" s="331">
        <f t="shared" si="24"/>
        <v>0</v>
      </c>
    </row>
    <row r="44" spans="1:22" s="98" customFormat="1" x14ac:dyDescent="0.2">
      <c r="A44" s="128" t="s">
        <v>154</v>
      </c>
      <c r="B44" s="128" t="s">
        <v>99</v>
      </c>
      <c r="C44" s="330"/>
      <c r="D44" s="131">
        <f>SUM(D35:D43)</f>
        <v>32280505.600000001</v>
      </c>
      <c r="E44" s="267"/>
      <c r="F44" s="130">
        <f>SUM(F35:F43)</f>
        <v>1099211.1195203364</v>
      </c>
      <c r="G44" s="131">
        <f>SUM(G35:G43)</f>
        <v>248355760.34442478</v>
      </c>
      <c r="H44" s="131">
        <f>SUM(H35:H43)</f>
        <v>36035901.72277765</v>
      </c>
      <c r="I44" s="130">
        <f>SUM(I35:I43)</f>
        <v>1234078.7456187219</v>
      </c>
      <c r="J44" s="131">
        <f>SUM(J35:J43)</f>
        <v>278827751.78509402</v>
      </c>
      <c r="K44" s="131">
        <f t="shared" ref="K44" si="30">H44-D44</f>
        <v>3755396.1227776483</v>
      </c>
      <c r="L44" s="131">
        <f t="shared" ref="L44" si="31">J44-G44</f>
        <v>30471991.440669239</v>
      </c>
      <c r="M44" s="129">
        <f t="shared" ref="M44" si="32">K44/D44</f>
        <v>0.11633634768030549</v>
      </c>
      <c r="N44" s="132">
        <f t="shared" ref="N44" si="33">L44/G44</f>
        <v>0.12269492520894247</v>
      </c>
    </row>
    <row r="45" spans="1:22" x14ac:dyDescent="0.2">
      <c r="D45" s="162"/>
      <c r="E45" s="268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8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8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69"/>
      <c r="F48" s="349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69"/>
      <c r="F49" s="349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69"/>
      <c r="F50" s="349"/>
    </row>
    <row r="51" spans="4:14" x14ac:dyDescent="0.2">
      <c r="E51" s="270"/>
      <c r="F51" s="349"/>
    </row>
    <row r="52" spans="4:14" x14ac:dyDescent="0.2">
      <c r="E52" s="270"/>
      <c r="F52" s="349"/>
    </row>
    <row r="53" spans="4:14" x14ac:dyDescent="0.2">
      <c r="E53" s="270"/>
      <c r="F53" s="349"/>
    </row>
    <row r="54" spans="4:14" x14ac:dyDescent="0.2">
      <c r="E54" s="270"/>
      <c r="F54" s="349"/>
    </row>
    <row r="55" spans="4:14" x14ac:dyDescent="0.2">
      <c r="E55" s="270"/>
      <c r="F55" s="349"/>
    </row>
    <row r="56" spans="4:14" x14ac:dyDescent="0.2">
      <c r="F56" s="349"/>
    </row>
    <row r="57" spans="4:14" x14ac:dyDescent="0.2">
      <c r="F57" s="349"/>
    </row>
    <row r="58" spans="4:14" x14ac:dyDescent="0.2">
      <c r="F58" s="349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E27 I27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21" workbookViewId="0">
      <selection activeCell="E22" activeCellId="1" sqref="C22:C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04" t="s">
        <v>106</v>
      </c>
      <c r="C4" s="404"/>
      <c r="D4" s="404"/>
      <c r="E4" s="404"/>
      <c r="F4" s="405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02" t="s">
        <v>8</v>
      </c>
      <c r="B7" s="407" t="s">
        <v>9</v>
      </c>
      <c r="C7" s="408"/>
      <c r="D7" s="409" t="s">
        <v>12</v>
      </c>
      <c r="E7" s="410"/>
      <c r="F7" s="411"/>
      <c r="G7" s="407" t="s">
        <v>124</v>
      </c>
      <c r="H7" s="407"/>
      <c r="I7" s="412"/>
      <c r="J7" s="98" t="s">
        <v>125</v>
      </c>
    </row>
    <row r="8" spans="1:18" ht="28.15" customHeight="1" x14ac:dyDescent="0.2">
      <c r="A8" s="40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03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1346172.4927629044</v>
      </c>
      <c r="E9" s="84">
        <f>((($R$12/(1+EXP($P$12+$Q$12*D9)))-1) - ($F$12-$C$12))*$I$12</f>
        <v>28154.025053609163</v>
      </c>
      <c r="F9" s="89">
        <f>E9*$G$12</f>
        <v>28154.025053609163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0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39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03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395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396" t="s">
        <v>180</v>
      </c>
      <c r="B13" s="397"/>
      <c r="C13" s="397"/>
      <c r="D13" s="397"/>
      <c r="E13" s="397"/>
      <c r="F13" s="398"/>
      <c r="G13" s="119" t="s">
        <v>150</v>
      </c>
      <c r="H13" s="119" t="s">
        <v>151</v>
      </c>
      <c r="K13" s="396" t="s">
        <v>115</v>
      </c>
      <c r="L13" s="397"/>
      <c r="M13" s="397"/>
      <c r="N13" s="397"/>
      <c r="O13" s="397"/>
      <c r="P13" s="397"/>
      <c r="Q13" s="397"/>
      <c r="R13" s="398"/>
    </row>
    <row r="14" spans="1:18" ht="33.6" customHeight="1" thickBot="1" x14ac:dyDescent="0.25">
      <c r="A14" s="399"/>
      <c r="B14" s="400"/>
      <c r="C14" s="400"/>
      <c r="D14" s="400"/>
      <c r="E14" s="400"/>
      <c r="F14" s="401"/>
      <c r="G14" s="95">
        <f>VAC_Optim_Scenario!$I$32</f>
        <v>225.94</v>
      </c>
      <c r="H14" s="95">
        <f>VAC_Optim_Scenario!$F$32</f>
        <v>225.94</v>
      </c>
      <c r="K14" s="399"/>
      <c r="L14" s="400"/>
      <c r="M14" s="400"/>
      <c r="N14" s="400"/>
      <c r="O14" s="400"/>
      <c r="P14" s="400"/>
      <c r="Q14" s="400"/>
      <c r="R14" s="401"/>
    </row>
    <row r="16" spans="1:18" ht="13.5" thickBot="1" x14ac:dyDescent="0.25"/>
    <row r="17" spans="1:8" ht="42.6" customHeight="1" x14ac:dyDescent="0.2">
      <c r="A17" s="39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395"/>
      <c r="B18" s="75">
        <v>0</v>
      </c>
      <c r="C18" s="76">
        <v>4000000</v>
      </c>
      <c r="D18" s="26">
        <v>20</v>
      </c>
    </row>
    <row r="20" spans="1:8" x14ac:dyDescent="0.2">
      <c r="A20" s="375" t="s">
        <v>37</v>
      </c>
      <c r="B20" s="375"/>
      <c r="C20" s="375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60"/>
  <sheetViews>
    <sheetView topLeftCell="A38" workbookViewId="0">
      <selection activeCell="E22" activeCellId="1" sqref="C22:C60 E22:E60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04" t="s">
        <v>106</v>
      </c>
      <c r="C4" s="404"/>
      <c r="D4" s="404"/>
      <c r="E4" s="404"/>
      <c r="F4" s="405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02" t="s">
        <v>8</v>
      </c>
      <c r="B7" s="407" t="s">
        <v>9</v>
      </c>
      <c r="C7" s="408"/>
      <c r="D7" s="409" t="s">
        <v>12</v>
      </c>
      <c r="E7" s="410"/>
      <c r="F7" s="411"/>
      <c r="G7" s="407" t="s">
        <v>124</v>
      </c>
      <c r="H7" s="407"/>
      <c r="I7" s="412"/>
      <c r="J7" s="98" t="s">
        <v>125</v>
      </c>
    </row>
    <row r="8" spans="1:18" ht="28.15" customHeight="1" x14ac:dyDescent="0.2">
      <c r="A8" s="40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03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6974984.7570000011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0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39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03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395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396" t="s">
        <v>185</v>
      </c>
      <c r="B13" s="397"/>
      <c r="C13" s="397"/>
      <c r="D13" s="397"/>
      <c r="E13" s="397"/>
      <c r="F13" s="398"/>
      <c r="G13" s="119" t="s">
        <v>150</v>
      </c>
      <c r="H13" s="119" t="s">
        <v>151</v>
      </c>
      <c r="K13" s="396" t="s">
        <v>115</v>
      </c>
      <c r="L13" s="397"/>
      <c r="M13" s="397"/>
      <c r="N13" s="397"/>
      <c r="O13" s="397"/>
      <c r="P13" s="397"/>
      <c r="Q13" s="397"/>
      <c r="R13" s="398"/>
    </row>
    <row r="14" spans="1:18" ht="33.6" customHeight="1" thickBot="1" x14ac:dyDescent="0.25">
      <c r="A14" s="399"/>
      <c r="B14" s="400"/>
      <c r="C14" s="400"/>
      <c r="D14" s="400"/>
      <c r="E14" s="400"/>
      <c r="F14" s="401"/>
      <c r="G14" s="95">
        <f>VAC_Optim_Scenario!$I$32</f>
        <v>225.94</v>
      </c>
      <c r="H14" s="95">
        <f>VAC_Optim_Scenario!$F$32</f>
        <v>225.94</v>
      </c>
      <c r="K14" s="399"/>
      <c r="L14" s="400"/>
      <c r="M14" s="400"/>
      <c r="N14" s="400"/>
      <c r="O14" s="400"/>
      <c r="P14" s="400"/>
      <c r="Q14" s="400"/>
      <c r="R14" s="401"/>
    </row>
    <row r="16" spans="1:18" ht="13.5" thickBot="1" x14ac:dyDescent="0.25"/>
    <row r="17" spans="1:8" ht="42.6" customHeight="1" x14ac:dyDescent="0.2">
      <c r="A17" s="39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395"/>
      <c r="B18" s="75">
        <v>0</v>
      </c>
      <c r="C18" s="76">
        <v>9000000</v>
      </c>
      <c r="D18" s="26">
        <v>45</v>
      </c>
    </row>
    <row r="20" spans="1:8" x14ac:dyDescent="0.2">
      <c r="A20" s="375" t="s">
        <v>37</v>
      </c>
      <c r="B20" s="375"/>
      <c r="C20" s="375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200000</v>
      </c>
      <c r="B23" s="79">
        <f t="shared" si="0"/>
        <v>14491.829565511085</v>
      </c>
      <c r="C23" s="79">
        <f t="shared" ref="C23:C42" si="1">B23*$G$12</f>
        <v>14491.829565511085</v>
      </c>
      <c r="D23" s="98">
        <f>(B23-B22)/A23</f>
        <v>7.2459147827550766E-2</v>
      </c>
      <c r="E23" s="116">
        <f t="shared" ref="E23:E42" si="2">B23*$H$14</f>
        <v>3274283.9720315747</v>
      </c>
    </row>
    <row r="24" spans="1:8" x14ac:dyDescent="0.2">
      <c r="A24" s="86">
        <f t="shared" ref="A24:A60" si="3">A23+(($C$18-$B$18)/$D$18)</f>
        <v>400000</v>
      </c>
      <c r="B24" s="79">
        <f t="shared" si="0"/>
        <v>28616.288684363477</v>
      </c>
      <c r="C24" s="79">
        <f t="shared" si="1"/>
        <v>28616.288684363477</v>
      </c>
      <c r="D24" s="98">
        <f t="shared" ref="D24:D42" si="4">(B24-B23)/A24</f>
        <v>3.531114779713098E-2</v>
      </c>
      <c r="E24" s="116">
        <f t="shared" si="2"/>
        <v>6465564.2653450835</v>
      </c>
    </row>
    <row r="25" spans="1:8" x14ac:dyDescent="0.2">
      <c r="A25" s="86">
        <f t="shared" si="3"/>
        <v>600000</v>
      </c>
      <c r="B25" s="79">
        <f t="shared" si="0"/>
        <v>42381.419556918554</v>
      </c>
      <c r="C25" s="79">
        <f t="shared" si="1"/>
        <v>42381.419556918554</v>
      </c>
      <c r="D25" s="98">
        <f t="shared" si="4"/>
        <v>2.2941884787591797E-2</v>
      </c>
      <c r="E25" s="116">
        <f t="shared" si="2"/>
        <v>9575657.9346901774</v>
      </c>
    </row>
    <row r="26" spans="1:8" x14ac:dyDescent="0.2">
      <c r="A26" s="86">
        <f t="shared" si="3"/>
        <v>800000</v>
      </c>
      <c r="B26" s="79">
        <f t="shared" si="0"/>
        <v>55795.156779288314</v>
      </c>
      <c r="C26" s="79">
        <f t="shared" si="1"/>
        <v>55795.156779288314</v>
      </c>
      <c r="D26" s="98">
        <f t="shared" si="4"/>
        <v>1.6767171527962199E-2</v>
      </c>
      <c r="E26" s="116">
        <f t="shared" si="2"/>
        <v>12606357.722712401</v>
      </c>
    </row>
    <row r="27" spans="1:8" x14ac:dyDescent="0.2">
      <c r="A27" s="86">
        <f t="shared" si="3"/>
        <v>1000000</v>
      </c>
      <c r="B27" s="79">
        <f t="shared" si="0"/>
        <v>68865.324822614901</v>
      </c>
      <c r="C27" s="79">
        <f t="shared" si="1"/>
        <v>68865.324822614901</v>
      </c>
      <c r="D27" s="98">
        <f t="shared" si="4"/>
        <v>1.3070168043326587E-2</v>
      </c>
      <c r="E27" s="116">
        <f t="shared" si="2"/>
        <v>15559431.49042161</v>
      </c>
    </row>
    <row r="28" spans="1:8" x14ac:dyDescent="0.2">
      <c r="A28" s="86">
        <f t="shared" si="3"/>
        <v>1200000</v>
      </c>
      <c r="B28" s="79">
        <f t="shared" si="0"/>
        <v>81599.635803586803</v>
      </c>
      <c r="C28" s="79">
        <f t="shared" si="1"/>
        <v>81599.635803586803</v>
      </c>
      <c r="D28" s="98">
        <f t="shared" si="4"/>
        <v>1.0611925817476586E-2</v>
      </c>
      <c r="E28" s="116">
        <f t="shared" si="2"/>
        <v>18436621.713462401</v>
      </c>
    </row>
    <row r="29" spans="1:8" x14ac:dyDescent="0.2">
      <c r="A29" s="86">
        <f t="shared" si="3"/>
        <v>1400000</v>
      </c>
      <c r="B29" s="79">
        <f t="shared" si="0"/>
        <v>94005.687532191165</v>
      </c>
      <c r="C29" s="79">
        <f t="shared" si="1"/>
        <v>94005.687532191165</v>
      </c>
      <c r="D29" s="98">
        <f t="shared" si="4"/>
        <v>8.8614655204316863E-3</v>
      </c>
      <c r="E29" s="116">
        <f t="shared" si="2"/>
        <v>21239645.041023273</v>
      </c>
    </row>
    <row r="30" spans="1:8" x14ac:dyDescent="0.2">
      <c r="A30" s="86">
        <f t="shared" si="3"/>
        <v>1600000</v>
      </c>
      <c r="B30" s="79">
        <f t="shared" si="0"/>
        <v>106090.96182303969</v>
      </c>
      <c r="C30" s="79">
        <f t="shared" si="1"/>
        <v>106090.96182303969</v>
      </c>
      <c r="D30" s="98">
        <f t="shared" si="4"/>
        <v>7.5532964317803269E-3</v>
      </c>
      <c r="E30" s="116">
        <f t="shared" si="2"/>
        <v>23970191.914297588</v>
      </c>
    </row>
    <row r="31" spans="1:8" x14ac:dyDescent="0.2">
      <c r="A31" s="86">
        <f t="shared" si="3"/>
        <v>1800000</v>
      </c>
      <c r="B31" s="79">
        <f t="shared" si="0"/>
        <v>117862.82305689622</v>
      </c>
      <c r="C31" s="79">
        <f t="shared" si="1"/>
        <v>117862.82305689622</v>
      </c>
      <c r="D31" s="98">
        <f t="shared" si="4"/>
        <v>6.5399229076980713E-3</v>
      </c>
      <c r="E31" s="116">
        <f t="shared" si="2"/>
        <v>26629926.241475131</v>
      </c>
    </row>
    <row r="32" spans="1:8" x14ac:dyDescent="0.2">
      <c r="A32" s="86">
        <f t="shared" si="3"/>
        <v>2000000</v>
      </c>
      <c r="B32" s="79">
        <f t="shared" si="0"/>
        <v>129328.51697935257</v>
      </c>
      <c r="C32" s="79">
        <f t="shared" si="1"/>
        <v>129328.51697935257</v>
      </c>
      <c r="D32" s="98">
        <f t="shared" si="4"/>
        <v>5.7328469612281767E-3</v>
      </c>
      <c r="E32" s="116">
        <f t="shared" si="2"/>
        <v>29220485.126314919</v>
      </c>
    </row>
    <row r="33" spans="1:5" x14ac:dyDescent="0.2">
      <c r="A33" s="86">
        <f t="shared" si="3"/>
        <v>2200000</v>
      </c>
      <c r="B33" s="79">
        <f t="shared" si="0"/>
        <v>140495.16972395312</v>
      </c>
      <c r="C33" s="79">
        <f t="shared" si="1"/>
        <v>140495.16972395312</v>
      </c>
      <c r="D33" s="98">
        <f t="shared" si="4"/>
        <v>5.0757512475457043E-3</v>
      </c>
      <c r="E33" s="116">
        <f t="shared" si="2"/>
        <v>31743478.647429969</v>
      </c>
    </row>
    <row r="34" spans="1:5" x14ac:dyDescent="0.2">
      <c r="A34" s="86">
        <f>A33+(($C$18-$B$18)/$D$18)</f>
        <v>2400000</v>
      </c>
      <c r="B34" s="79">
        <f t="shared" si="0"/>
        <v>151369.78704747837</v>
      </c>
      <c r="C34" s="79">
        <f t="shared" si="1"/>
        <v>151369.78704747837</v>
      </c>
      <c r="D34" s="98">
        <f t="shared" si="4"/>
        <v>4.5310905514688539E-3</v>
      </c>
      <c r="E34" s="116">
        <f t="shared" si="2"/>
        <v>34200489.68550726</v>
      </c>
    </row>
    <row r="35" spans="1:5" x14ac:dyDescent="0.2">
      <c r="A35" s="86">
        <f t="shared" si="3"/>
        <v>2600000</v>
      </c>
      <c r="B35" s="79">
        <f t="shared" si="0"/>
        <v>161959.25376532879</v>
      </c>
      <c r="C35" s="79">
        <f t="shared" si="1"/>
        <v>161959.25376532879</v>
      </c>
      <c r="D35" s="98">
        <f t="shared" si="4"/>
        <v>4.0728718145578531E-3</v>
      </c>
      <c r="E35" s="116">
        <f t="shared" si="2"/>
        <v>36593073.795738384</v>
      </c>
    </row>
    <row r="36" spans="1:5" x14ac:dyDescent="0.2">
      <c r="A36" s="86">
        <f t="shared" si="3"/>
        <v>2800000</v>
      </c>
      <c r="B36" s="79">
        <f t="shared" si="0"/>
        <v>172270.33337551448</v>
      </c>
      <c r="C36" s="79">
        <f t="shared" si="1"/>
        <v>172270.33337551448</v>
      </c>
      <c r="D36" s="98">
        <f t="shared" si="4"/>
        <v>3.6825284322091778E-3</v>
      </c>
      <c r="E36" s="116">
        <f t="shared" si="2"/>
        <v>38922759.12286374</v>
      </c>
    </row>
    <row r="37" spans="1:5" x14ac:dyDescent="0.2">
      <c r="A37" s="86">
        <f t="shared" si="3"/>
        <v>3000000</v>
      </c>
      <c r="B37" s="79">
        <f t="shared" si="0"/>
        <v>182309.66785994079</v>
      </c>
      <c r="C37" s="79">
        <f t="shared" si="1"/>
        <v>182309.66785994079</v>
      </c>
      <c r="D37" s="98">
        <f t="shared" si="4"/>
        <v>3.3464448281421014E-3</v>
      </c>
      <c r="E37" s="116">
        <f t="shared" si="2"/>
        <v>41191046.356275022</v>
      </c>
    </row>
    <row r="38" spans="1:5" x14ac:dyDescent="0.2">
      <c r="A38" s="86">
        <f t="shared" si="3"/>
        <v>3200000</v>
      </c>
      <c r="B38" s="79">
        <f t="shared" si="0"/>
        <v>192083.77765223477</v>
      </c>
      <c r="C38" s="79">
        <f t="shared" si="1"/>
        <v>192083.77765223477</v>
      </c>
      <c r="D38" s="98">
        <f t="shared" si="4"/>
        <v>3.054409310091869E-3</v>
      </c>
      <c r="E38" s="116">
        <f t="shared" si="2"/>
        <v>43399408.722745925</v>
      </c>
    </row>
    <row r="39" spans="1:5" x14ac:dyDescent="0.2">
      <c r="A39" s="86">
        <f t="shared" si="3"/>
        <v>3400000</v>
      </c>
      <c r="B39" s="79">
        <f t="shared" si="0"/>
        <v>201599.06176160742</v>
      </c>
      <c r="C39" s="79">
        <f t="shared" si="1"/>
        <v>201599.06176160742</v>
      </c>
      <c r="D39" s="98">
        <f t="shared" si="4"/>
        <v>2.7986129733448958E-3</v>
      </c>
      <c r="E39" s="116">
        <f t="shared" si="2"/>
        <v>45549292.014417581</v>
      </c>
    </row>
    <row r="40" spans="1:5" x14ac:dyDescent="0.2">
      <c r="A40" s="86">
        <f t="shared" si="3"/>
        <v>3600000</v>
      </c>
      <c r="B40" s="79">
        <f t="shared" si="0"/>
        <v>210861.79804271925</v>
      </c>
      <c r="C40" s="79">
        <f t="shared" si="1"/>
        <v>210861.79804271925</v>
      </c>
      <c r="D40" s="98">
        <f t="shared" si="4"/>
        <v>2.5729823003088435E-3</v>
      </c>
      <c r="E40" s="116">
        <f t="shared" si="2"/>
        <v>47642114.649771988</v>
      </c>
    </row>
    <row r="41" spans="1:5" x14ac:dyDescent="0.2">
      <c r="A41" s="86">
        <f>A40+(($C$18-$B$18)/$D$18)</f>
        <v>3800000</v>
      </c>
      <c r="B41" s="79">
        <f t="shared" si="0"/>
        <v>219878.14360188972</v>
      </c>
      <c r="C41" s="79">
        <f t="shared" si="1"/>
        <v>219878.14360188972</v>
      </c>
      <c r="D41" s="98">
        <f t="shared" si="4"/>
        <v>2.3727225155711763E-3</v>
      </c>
      <c r="E41" s="116">
        <f t="shared" si="2"/>
        <v>49679267.76541096</v>
      </c>
    </row>
    <row r="42" spans="1:5" x14ac:dyDescent="0.2">
      <c r="A42" s="86">
        <f t="shared" si="3"/>
        <v>4000000</v>
      </c>
      <c r="B42" s="79">
        <f t="shared" si="0"/>
        <v>228654.13533029426</v>
      </c>
      <c r="C42" s="79">
        <f t="shared" si="1"/>
        <v>228654.13533029426</v>
      </c>
      <c r="D42" s="98">
        <f t="shared" si="4"/>
        <v>2.1939979321011342E-3</v>
      </c>
      <c r="E42" s="116">
        <f t="shared" si="2"/>
        <v>51662115.336526684</v>
      </c>
    </row>
    <row r="43" spans="1:5" x14ac:dyDescent="0.2">
      <c r="A43" s="86">
        <f t="shared" si="3"/>
        <v>4200000</v>
      </c>
      <c r="B43" s="79">
        <f t="shared" ref="B43:B50" si="5">((($R$12/(1+EXP($P$12+$Q$12*A43)))-1) - ($F$12-$C$12))*$I$12</f>
        <v>237195.69055531267</v>
      </c>
      <c r="C43" s="79">
        <f t="shared" ref="C43:C50" si="6">B43*$G$12</f>
        <v>237195.69055531267</v>
      </c>
      <c r="D43" s="98">
        <f t="shared" ref="D43:D50" si="7">(B43-B42)/A43</f>
        <v>2.0337036250043837E-3</v>
      </c>
      <c r="E43" s="116">
        <f t="shared" ref="E43:E50" si="8">B43*$H$14</f>
        <v>53591994.324067347</v>
      </c>
    </row>
    <row r="44" spans="1:5" x14ac:dyDescent="0.2">
      <c r="A44" s="86">
        <f t="shared" si="3"/>
        <v>4400000</v>
      </c>
      <c r="B44" s="79">
        <f t="shared" si="5"/>
        <v>245508.60780140664</v>
      </c>
      <c r="C44" s="79">
        <f t="shared" si="6"/>
        <v>245508.60780140664</v>
      </c>
      <c r="D44" s="98">
        <f t="shared" si="7"/>
        <v>1.8892993741122667E-3</v>
      </c>
      <c r="E44" s="116">
        <f t="shared" si="8"/>
        <v>55470214.846649818</v>
      </c>
    </row>
    <row r="45" spans="1:5" x14ac:dyDescent="0.2">
      <c r="A45" s="86">
        <f t="shared" si="3"/>
        <v>4600000</v>
      </c>
      <c r="B45" s="79">
        <f t="shared" si="5"/>
        <v>253598.56765242014</v>
      </c>
      <c r="C45" s="79">
        <f t="shared" si="6"/>
        <v>253598.56765242014</v>
      </c>
      <c r="D45" s="98">
        <f t="shared" si="7"/>
        <v>1.7586869241333688E-3</v>
      </c>
      <c r="E45" s="116">
        <f t="shared" si="8"/>
        <v>57298060.375387803</v>
      </c>
    </row>
    <row r="46" spans="1:5" x14ac:dyDescent="0.2">
      <c r="A46" s="86">
        <f t="shared" si="3"/>
        <v>4800000</v>
      </c>
      <c r="B46" s="79">
        <f t="shared" si="5"/>
        <v>261471.13370743673</v>
      </c>
      <c r="C46" s="79">
        <f t="shared" si="6"/>
        <v>261471.13370743673</v>
      </c>
      <c r="D46" s="98">
        <f t="shared" si="7"/>
        <v>1.6401179281284566E-3</v>
      </c>
      <c r="E46" s="116">
        <f t="shared" si="8"/>
        <v>59076787.949858256</v>
      </c>
    </row>
    <row r="47" spans="1:5" x14ac:dyDescent="0.2">
      <c r="A47" s="86">
        <f t="shared" si="3"/>
        <v>5000000</v>
      </c>
      <c r="B47" s="79">
        <f t="shared" si="5"/>
        <v>269131.75362276379</v>
      </c>
      <c r="C47" s="79">
        <f t="shared" si="6"/>
        <v>269131.75362276379</v>
      </c>
      <c r="D47" s="98">
        <f t="shared" si="7"/>
        <v>1.5321239830654114E-3</v>
      </c>
      <c r="E47" s="116">
        <f t="shared" si="8"/>
        <v>60807628.41352725</v>
      </c>
    </row>
    <row r="48" spans="1:5" x14ac:dyDescent="0.2">
      <c r="A48" s="86">
        <f t="shared" si="3"/>
        <v>5200000</v>
      </c>
      <c r="B48" s="79">
        <f t="shared" si="5"/>
        <v>276585.76023291331</v>
      </c>
      <c r="C48" s="79">
        <f t="shared" si="6"/>
        <v>276585.76023291331</v>
      </c>
      <c r="D48" s="98">
        <f t="shared" si="7"/>
        <v>1.4334628096441379E-3</v>
      </c>
      <c r="E48" s="116">
        <f t="shared" si="8"/>
        <v>62491786.667024434</v>
      </c>
    </row>
    <row r="49" spans="1:5" x14ac:dyDescent="0.2">
      <c r="A49" s="86">
        <f t="shared" si="3"/>
        <v>5400000</v>
      </c>
      <c r="B49" s="79">
        <f t="shared" si="5"/>
        <v>283838.37274381984</v>
      </c>
      <c r="C49" s="79">
        <f t="shared" si="6"/>
        <v>283838.37274381984</v>
      </c>
      <c r="D49" s="98">
        <f t="shared" si="7"/>
        <v>1.343076390908617E-3</v>
      </c>
      <c r="E49" s="116">
        <f t="shared" si="8"/>
        <v>64130441.937738657</v>
      </c>
    </row>
    <row r="50" spans="1:5" x14ac:dyDescent="0.2">
      <c r="A50" s="86">
        <f t="shared" si="3"/>
        <v>5600000</v>
      </c>
      <c r="B50" s="79">
        <f t="shared" si="5"/>
        <v>290894.69799184147</v>
      </c>
      <c r="C50" s="79">
        <f t="shared" si="6"/>
        <v>290894.69799184147</v>
      </c>
      <c r="D50" s="98">
        <f t="shared" si="7"/>
        <v>1.260058080003863E-3</v>
      </c>
      <c r="E50" s="116">
        <f t="shared" si="8"/>
        <v>65724748.064276658</v>
      </c>
    </row>
    <row r="51" spans="1:5" x14ac:dyDescent="0.2">
      <c r="A51" s="86">
        <f t="shared" si="3"/>
        <v>5800000</v>
      </c>
      <c r="B51" s="79">
        <f t="shared" ref="B51:B60" si="9">((($R$12/(1+EXP($P$12+$Q$12*A51)))-1) - ($F$12-$C$12))*$I$12</f>
        <v>297759.73176242318</v>
      </c>
      <c r="C51" s="79">
        <f t="shared" ref="C51:C60" si="10">B51*$G$12</f>
        <v>297759.73176242318</v>
      </c>
      <c r="D51" s="98">
        <f t="shared" ref="D51:D60" si="11">(B51-B50)/A51</f>
        <v>1.1836265121692598E-3</v>
      </c>
      <c r="E51" s="116">
        <f t="shared" ref="E51:E60" si="12">B51*$H$14</f>
        <v>67275833.794401899</v>
      </c>
    </row>
    <row r="52" spans="1:5" x14ac:dyDescent="0.2">
      <c r="A52" s="86">
        <f t="shared" si="3"/>
        <v>6000000</v>
      </c>
      <c r="B52" s="79">
        <f t="shared" si="9"/>
        <v>304438.36016260181</v>
      </c>
      <c r="C52" s="79">
        <f t="shared" si="10"/>
        <v>304438.36016260181</v>
      </c>
      <c r="D52" s="98">
        <f t="shared" si="11"/>
        <v>1.1131047333631044E-3</v>
      </c>
      <c r="E52" s="116">
        <f t="shared" si="12"/>
        <v>68784803.095138252</v>
      </c>
    </row>
    <row r="53" spans="1:5" x14ac:dyDescent="0.2">
      <c r="A53" s="86">
        <f t="shared" si="3"/>
        <v>6200000</v>
      </c>
      <c r="B53" s="79">
        <f t="shared" si="9"/>
        <v>310935.361041856</v>
      </c>
      <c r="C53" s="79">
        <f t="shared" si="10"/>
        <v>310935.361041856</v>
      </c>
      <c r="D53" s="98">
        <f t="shared" si="11"/>
        <v>1.0479033676216438E-3</v>
      </c>
      <c r="E53" s="116">
        <f t="shared" si="12"/>
        <v>70252735.473796949</v>
      </c>
    </row>
    <row r="54" spans="1:5" x14ac:dyDescent="0.2">
      <c r="A54" s="86">
        <f t="shared" si="3"/>
        <v>6400000</v>
      </c>
      <c r="B54" s="79">
        <f t="shared" si="9"/>
        <v>317255.40545607265</v>
      </c>
      <c r="C54" s="79">
        <f t="shared" si="10"/>
        <v>317255.40545607265</v>
      </c>
      <c r="D54" s="98">
        <f t="shared" si="11"/>
        <v>9.8750693972135192E-4</v>
      </c>
      <c r="E54" s="116">
        <f t="shared" si="12"/>
        <v>71680686.308745056</v>
      </c>
    </row>
    <row r="55" spans="1:5" x14ac:dyDescent="0.2">
      <c r="A55" s="86">
        <f t="shared" si="3"/>
        <v>6600000</v>
      </c>
      <c r="B55" s="79">
        <f t="shared" si="9"/>
        <v>323403.05916970689</v>
      </c>
      <c r="C55" s="79">
        <f t="shared" si="10"/>
        <v>323403.05916970689</v>
      </c>
      <c r="D55" s="98">
        <f t="shared" si="11"/>
        <v>9.3146268388397536E-4</v>
      </c>
      <c r="E55" s="116">
        <f t="shared" si="12"/>
        <v>73069687.188803568</v>
      </c>
    </row>
    <row r="56" spans="1:5" x14ac:dyDescent="0.2">
      <c r="A56" s="86">
        <f t="shared" si="3"/>
        <v>6800000</v>
      </c>
      <c r="B56" s="79">
        <f t="shared" si="9"/>
        <v>329382.78419146221</v>
      </c>
      <c r="C56" s="79">
        <f t="shared" si="10"/>
        <v>329382.78419146221</v>
      </c>
      <c r="D56" s="98">
        <f t="shared" si="11"/>
        <v>8.7937132672872393E-4</v>
      </c>
      <c r="E56" s="116">
        <f t="shared" si="12"/>
        <v>74420746.260218978</v>
      </c>
    </row>
    <row r="57" spans="1:5" x14ac:dyDescent="0.2">
      <c r="A57" s="86">
        <f t="shared" si="3"/>
        <v>7000000</v>
      </c>
      <c r="B57" s="79">
        <f t="shared" si="9"/>
        <v>335198.9403390931</v>
      </c>
      <c r="C57" s="79">
        <f t="shared" si="10"/>
        <v>335198.9403390931</v>
      </c>
      <c r="D57" s="98">
        <f t="shared" si="11"/>
        <v>8.3087944966155503E-4</v>
      </c>
      <c r="E57" s="116">
        <f t="shared" si="12"/>
        <v>75734848.580214694</v>
      </c>
    </row>
    <row r="58" spans="1:5" x14ac:dyDescent="0.2">
      <c r="A58" s="86">
        <f t="shared" si="3"/>
        <v>7200000</v>
      </c>
      <c r="B58" s="79">
        <f t="shared" si="9"/>
        <v>340855.78682918753</v>
      </c>
      <c r="C58" s="79">
        <f t="shared" si="10"/>
        <v>340855.78682918753</v>
      </c>
      <c r="D58" s="98">
        <f t="shared" si="11"/>
        <v>7.8567312362422758E-4</v>
      </c>
      <c r="E58" s="116">
        <f t="shared" si="12"/>
        <v>77012956.476186633</v>
      </c>
    </row>
    <row r="59" spans="1:5" x14ac:dyDescent="0.2">
      <c r="A59" s="86">
        <f t="shared" si="3"/>
        <v>7400000</v>
      </c>
      <c r="B59" s="79">
        <f t="shared" si="9"/>
        <v>346357.48388804775</v>
      </c>
      <c r="C59" s="79">
        <f t="shared" si="10"/>
        <v>346357.48388804775</v>
      </c>
      <c r="D59" s="98">
        <f t="shared" si="11"/>
        <v>7.4347257552165032E-4</v>
      </c>
      <c r="E59" s="116">
        <f t="shared" si="12"/>
        <v>78256009.90966551</v>
      </c>
    </row>
    <row r="60" spans="1:5" x14ac:dyDescent="0.2">
      <c r="A60" s="86">
        <f t="shared" si="3"/>
        <v>7600000</v>
      </c>
      <c r="B60" s="79">
        <f t="shared" si="9"/>
        <v>351708.09437996056</v>
      </c>
      <c r="C60" s="79">
        <f t="shared" si="10"/>
        <v>351708.09437996056</v>
      </c>
      <c r="D60" s="98">
        <f t="shared" si="11"/>
        <v>7.0402769630431735E-4</v>
      </c>
      <c r="E60" s="116">
        <f t="shared" si="12"/>
        <v>79464926.844208285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3" workbookViewId="0">
      <selection activeCell="B21" sqref="B21:C4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13"/>
      <c r="C4" s="414"/>
      <c r="D4" s="414"/>
      <c r="E4" s="414"/>
      <c r="F4" s="41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02" t="s">
        <v>8</v>
      </c>
      <c r="B7" s="407" t="s">
        <v>9</v>
      </c>
      <c r="C7" s="407"/>
      <c r="D7" s="407" t="s">
        <v>12</v>
      </c>
      <c r="E7" s="407"/>
      <c r="F7" s="407"/>
      <c r="G7" s="407" t="s">
        <v>124</v>
      </c>
      <c r="H7" s="407"/>
      <c r="I7" s="412"/>
    </row>
    <row r="8" spans="1:9" x14ac:dyDescent="0.25">
      <c r="A8" s="406"/>
      <c r="B8" s="276" t="s">
        <v>10</v>
      </c>
      <c r="C8" s="276" t="s">
        <v>11</v>
      </c>
      <c r="D8" s="276" t="s">
        <v>20</v>
      </c>
      <c r="E8" s="276" t="s">
        <v>21</v>
      </c>
      <c r="F8" s="276" t="s">
        <v>117</v>
      </c>
      <c r="G8" s="276" t="s">
        <v>22</v>
      </c>
      <c r="H8" s="276" t="s">
        <v>23</v>
      </c>
      <c r="I8" s="4" t="s">
        <v>123</v>
      </c>
    </row>
    <row r="9" spans="1:9" ht="15.75" thickBot="1" x14ac:dyDescent="0.3">
      <c r="A9" s="403"/>
      <c r="B9" s="171">
        <f>VAC_Optim_Scenario!G$19</f>
        <v>1311100</v>
      </c>
      <c r="C9" s="171">
        <f>VAC_Optim_Scenario!H$19</f>
        <v>2434900</v>
      </c>
      <c r="D9" s="172">
        <f>VAC_Optim_Scenario!I$19</f>
        <v>2434900</v>
      </c>
      <c r="E9" s="84">
        <f>((GSOC!D9/$B$12)^$D$12)*$C$12*$F$12</f>
        <v>83389.097243970609</v>
      </c>
      <c r="F9" s="84">
        <f>E9*F11</f>
        <v>83389.097243970609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375" t="s">
        <v>15</v>
      </c>
      <c r="B11" s="277" t="s">
        <v>16</v>
      </c>
      <c r="C11" s="277" t="s">
        <v>17</v>
      </c>
      <c r="D11" s="277" t="s">
        <v>168</v>
      </c>
      <c r="E11" s="276" t="s">
        <v>126</v>
      </c>
      <c r="F11" s="175">
        <v>1</v>
      </c>
    </row>
    <row r="12" spans="1:9" ht="40.5" customHeight="1" thickBot="1" x14ac:dyDescent="0.3">
      <c r="A12" s="375"/>
      <c r="B12" s="176">
        <f>'[3]HCC Social - Power'!$B$12</f>
        <v>1873000</v>
      </c>
      <c r="C12" s="176">
        <f>'[3]HCC Social - Power'!$C$12</f>
        <v>71243.17418511775</v>
      </c>
      <c r="D12" s="336">
        <f>'[3]HCC Social - Power'!$D$12</f>
        <v>0.6</v>
      </c>
      <c r="E12" s="276" t="s">
        <v>122</v>
      </c>
      <c r="F12" s="177">
        <f>VAC_Optim_Scenario!D19</f>
        <v>1</v>
      </c>
      <c r="G12" s="283">
        <f>B12*2</f>
        <v>3746000</v>
      </c>
    </row>
    <row r="13" spans="1:9" ht="18.75" customHeight="1" x14ac:dyDescent="0.25">
      <c r="A13" s="396" t="s">
        <v>169</v>
      </c>
      <c r="B13" s="397"/>
      <c r="C13" s="397"/>
      <c r="D13" s="397"/>
      <c r="E13" s="276" t="s">
        <v>170</v>
      </c>
      <c r="F13" s="276" t="s">
        <v>171</v>
      </c>
    </row>
    <row r="14" spans="1:9" ht="15.75" thickBot="1" x14ac:dyDescent="0.3">
      <c r="A14" s="399"/>
      <c r="B14" s="400"/>
      <c r="C14" s="400"/>
      <c r="D14" s="40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394" t="s">
        <v>34</v>
      </c>
      <c r="B16" s="277" t="s">
        <v>32</v>
      </c>
      <c r="C16" s="277" t="s">
        <v>31</v>
      </c>
      <c r="D16" s="278" t="s">
        <v>33</v>
      </c>
    </row>
    <row r="17" spans="1:4" ht="15.75" thickBot="1" x14ac:dyDescent="0.3">
      <c r="A17" s="395"/>
      <c r="B17" s="76">
        <v>0</v>
      </c>
      <c r="C17" s="76">
        <v>5000000</v>
      </c>
      <c r="D17" s="26">
        <v>25</v>
      </c>
    </row>
    <row r="18" spans="1:4" x14ac:dyDescent="0.25">
      <c r="A18" s="98"/>
      <c r="B18" s="98"/>
      <c r="C18" s="98"/>
      <c r="D18" s="98"/>
    </row>
    <row r="19" spans="1:4" x14ac:dyDescent="0.25">
      <c r="A19" s="375" t="s">
        <v>37</v>
      </c>
      <c r="B19" s="375"/>
      <c r="C19" s="375"/>
      <c r="D19" s="98"/>
    </row>
    <row r="20" spans="1:4" ht="25.5" x14ac:dyDescent="0.25">
      <c r="A20" s="276" t="s">
        <v>35</v>
      </c>
      <c r="B20" s="276" t="s">
        <v>175</v>
      </c>
      <c r="C20" s="276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((GSOC!A22/$B$12)^$D$12)*$C$12*$F$12</f>
        <v>18613.952094099255</v>
      </c>
      <c r="C22" s="179">
        <f t="shared" ref="C22:C41" si="0">B22*$F$14</f>
        <v>4205636.3361407854</v>
      </c>
    </row>
    <row r="23" spans="1:4" x14ac:dyDescent="0.25">
      <c r="A23" s="178">
        <f t="shared" ref="A23:A41" si="1">A22+(($C$17-$B$17)/$D$17)</f>
        <v>400000</v>
      </c>
      <c r="B23" s="173">
        <f>((GSOC!A23/$B$12)^$D$12)*$C$12*$F$12</f>
        <v>28213.475557257159</v>
      </c>
      <c r="C23" s="179">
        <f t="shared" si="0"/>
        <v>6374552.6674066829</v>
      </c>
    </row>
    <row r="24" spans="1:4" x14ac:dyDescent="0.25">
      <c r="A24" s="178">
        <f t="shared" si="1"/>
        <v>600000</v>
      </c>
      <c r="B24" s="173">
        <f>((GSOC!A24/$B$12)^$D$12)*$C$12*$F$12</f>
        <v>35984.157973532667</v>
      </c>
      <c r="C24" s="179">
        <f t="shared" si="0"/>
        <v>8130260.6525399704</v>
      </c>
    </row>
    <row r="25" spans="1:4" x14ac:dyDescent="0.25">
      <c r="A25" s="178">
        <f t="shared" si="1"/>
        <v>800000</v>
      </c>
      <c r="B25" s="173">
        <f>((GSOC!A25/$B$12)^$D$12)*$C$12*$F$12</f>
        <v>42763.632300970858</v>
      </c>
      <c r="C25" s="179">
        <f t="shared" si="0"/>
        <v>9662015.0820813552</v>
      </c>
    </row>
    <row r="26" spans="1:4" x14ac:dyDescent="0.25">
      <c r="A26" s="178">
        <f t="shared" si="1"/>
        <v>1000000</v>
      </c>
      <c r="B26" s="173">
        <f>((GSOC!A26/$B$12)^$D$12)*$C$12*$F$12</f>
        <v>48890.062724991418</v>
      </c>
      <c r="C26" s="179">
        <f t="shared" si="0"/>
        <v>11046220.77208456</v>
      </c>
    </row>
    <row r="27" spans="1:4" x14ac:dyDescent="0.25">
      <c r="A27" s="178">
        <f t="shared" si="1"/>
        <v>1200000</v>
      </c>
      <c r="B27" s="173">
        <f>((GSOC!A27/$B$12)^$D$12)*$C$12*$F$12</f>
        <v>54541.784372410693</v>
      </c>
      <c r="C27" s="179">
        <f t="shared" si="0"/>
        <v>12323170.761102472</v>
      </c>
    </row>
    <row r="28" spans="1:4" x14ac:dyDescent="0.25">
      <c r="A28" s="178">
        <f t="shared" si="1"/>
        <v>1400000</v>
      </c>
      <c r="B28" s="173">
        <f>((GSOC!A28/$B$12)^$D$12)*$C$12*$F$12</f>
        <v>59827.026172457583</v>
      </c>
      <c r="C28" s="179">
        <f t="shared" si="0"/>
        <v>13517318.293405065</v>
      </c>
    </row>
    <row r="29" spans="1:4" x14ac:dyDescent="0.25">
      <c r="A29" s="178">
        <f t="shared" si="1"/>
        <v>1600000</v>
      </c>
      <c r="B29" s="173">
        <f>((GSOC!A29/$B$12)^$D$12)*$C$12*$F$12</f>
        <v>64817.545922740705</v>
      </c>
      <c r="C29" s="179">
        <f t="shared" si="0"/>
        <v>14644876.325784035</v>
      </c>
    </row>
    <row r="30" spans="1:4" x14ac:dyDescent="0.25">
      <c r="A30" s="178">
        <f t="shared" si="1"/>
        <v>1800000</v>
      </c>
      <c r="B30" s="173">
        <f>((GSOC!A30/$B$12)^$D$12)*$C$12*$F$12</f>
        <v>69563.92809642147</v>
      </c>
      <c r="C30" s="179">
        <f t="shared" si="0"/>
        <v>15717273.914105467</v>
      </c>
    </row>
    <row r="31" spans="1:4" x14ac:dyDescent="0.25">
      <c r="A31" s="178">
        <f t="shared" si="1"/>
        <v>2000000</v>
      </c>
      <c r="B31" s="173">
        <f>((GSOC!A31/$B$12)^$D$12)*$C$12*$F$12</f>
        <v>74103.478010002</v>
      </c>
      <c r="C31" s="179">
        <f t="shared" si="0"/>
        <v>16742939.821579851</v>
      </c>
    </row>
    <row r="32" spans="1:4" x14ac:dyDescent="0.25">
      <c r="A32" s="178">
        <f t="shared" si="1"/>
        <v>2200000</v>
      </c>
      <c r="B32" s="173">
        <f>((GSOC!A32/$B$12)^$D$12)*$C$12*$F$12</f>
        <v>78464.679102317328</v>
      </c>
      <c r="C32" s="179">
        <f t="shared" si="0"/>
        <v>17728309.596377578</v>
      </c>
    </row>
    <row r="33" spans="1:3" x14ac:dyDescent="0.25">
      <c r="A33" s="178">
        <f t="shared" si="1"/>
        <v>2400000</v>
      </c>
      <c r="B33" s="173">
        <f>((GSOC!A33/$B$12)^$D$12)*$C$12*$F$12</f>
        <v>82669.88614030082</v>
      </c>
      <c r="C33" s="179">
        <f t="shared" si="0"/>
        <v>18678434.074539568</v>
      </c>
    </row>
    <row r="34" spans="1:3" x14ac:dyDescent="0.25">
      <c r="A34" s="178">
        <f t="shared" si="1"/>
        <v>2600000</v>
      </c>
      <c r="B34" s="173">
        <f>((GSOC!A34/$B$12)^$D$12)*$C$12*$F$12</f>
        <v>86737.041191285593</v>
      </c>
      <c r="C34" s="179">
        <f t="shared" si="0"/>
        <v>19597367.086759068</v>
      </c>
    </row>
    <row r="35" spans="1:3" x14ac:dyDescent="0.25">
      <c r="A35" s="178">
        <f t="shared" si="1"/>
        <v>2800000</v>
      </c>
      <c r="B35" s="173">
        <f>((GSOC!A35/$B$12)^$D$12)*$C$12*$F$12</f>
        <v>90680.814694645131</v>
      </c>
      <c r="C35" s="179">
        <f t="shared" si="0"/>
        <v>20488423.272108119</v>
      </c>
    </row>
    <row r="36" spans="1:3" x14ac:dyDescent="0.25">
      <c r="A36" s="178">
        <f t="shared" si="1"/>
        <v>3000000</v>
      </c>
      <c r="B36" s="173">
        <f>((GSOC!A36/$B$12)^$D$12)*$C$12*$F$12</f>
        <v>94513.391435541067</v>
      </c>
      <c r="C36" s="179">
        <f t="shared" si="0"/>
        <v>21354355.660946149</v>
      </c>
    </row>
    <row r="37" spans="1:3" x14ac:dyDescent="0.25">
      <c r="A37" s="178">
        <f t="shared" si="1"/>
        <v>3200000</v>
      </c>
      <c r="B37" s="173">
        <f>((GSOC!A37/$B$12)^$D$12)*$C$12*$F$12</f>
        <v>98245.028155646592</v>
      </c>
      <c r="C37" s="179">
        <f t="shared" si="0"/>
        <v>22197481.66148679</v>
      </c>
    </row>
    <row r="38" spans="1:3" x14ac:dyDescent="0.25">
      <c r="A38" s="178">
        <f t="shared" si="1"/>
        <v>3400000</v>
      </c>
      <c r="B38" s="173">
        <f>((GSOC!A38/$B$12)^$D$12)*$C$12*$F$12</f>
        <v>101884.45922561883</v>
      </c>
      <c r="C38" s="179">
        <f t="shared" si="0"/>
        <v>23019774.717436317</v>
      </c>
    </row>
    <row r="39" spans="1:3" x14ac:dyDescent="0.25">
      <c r="A39" s="178">
        <f t="shared" si="1"/>
        <v>3600000</v>
      </c>
      <c r="B39" s="173">
        <f>((GSOC!A39/$B$12)^$D$12)*$C$12*$F$12</f>
        <v>105439.19824728416</v>
      </c>
      <c r="C39" s="179">
        <f t="shared" si="0"/>
        <v>23822932.451991383</v>
      </c>
    </row>
    <row r="40" spans="1:3" x14ac:dyDescent="0.25">
      <c r="A40" s="178">
        <f t="shared" si="1"/>
        <v>3800000</v>
      </c>
      <c r="B40" s="173">
        <f>((GSOC!A40/$B$12)^$D$12)*$C$12*$F$12</f>
        <v>108915.76655854023</v>
      </c>
      <c r="C40" s="179">
        <f t="shared" si="0"/>
        <v>24608428.296236578</v>
      </c>
    </row>
    <row r="41" spans="1:3" x14ac:dyDescent="0.25">
      <c r="A41" s="178">
        <f t="shared" si="1"/>
        <v>4000000</v>
      </c>
      <c r="B41" s="173">
        <f>((GSOC!A41/$B$12)^$D$12)*$C$12*$F$12</f>
        <v>112319.869255799</v>
      </c>
      <c r="C41" s="179">
        <f t="shared" si="0"/>
        <v>25377551.259655226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27" workbookViewId="0">
      <selection activeCell="E22" activeCellId="1" sqref="C22:C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04" t="s">
        <v>106</v>
      </c>
      <c r="C4" s="404"/>
      <c r="D4" s="404"/>
      <c r="E4" s="404"/>
      <c r="F4" s="40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02" t="s">
        <v>8</v>
      </c>
      <c r="B7" s="407" t="s">
        <v>9</v>
      </c>
      <c r="C7" s="408"/>
      <c r="D7" s="409" t="s">
        <v>12</v>
      </c>
      <c r="E7" s="410"/>
      <c r="F7" s="411"/>
      <c r="G7" s="407" t="s">
        <v>124</v>
      </c>
      <c r="H7" s="407"/>
      <c r="I7" s="412"/>
      <c r="J7" s="98" t="s">
        <v>125</v>
      </c>
    </row>
    <row r="8" spans="1:18" ht="28.15" customHeight="1" x14ac:dyDescent="0.2">
      <c r="A8" s="406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03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02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394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03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395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396" t="s">
        <v>114</v>
      </c>
      <c r="B13" s="397"/>
      <c r="C13" s="397"/>
      <c r="D13" s="397"/>
      <c r="E13" s="397"/>
      <c r="F13" s="398"/>
      <c r="G13" s="139" t="s">
        <v>150</v>
      </c>
      <c r="H13" s="139" t="s">
        <v>151</v>
      </c>
      <c r="K13" s="396" t="s">
        <v>115</v>
      </c>
      <c r="L13" s="397"/>
      <c r="M13" s="397"/>
      <c r="N13" s="397"/>
      <c r="O13" s="397"/>
      <c r="P13" s="397"/>
      <c r="Q13" s="397"/>
      <c r="R13" s="398"/>
    </row>
    <row r="14" spans="1:18" ht="33.6" customHeight="1" thickBot="1" x14ac:dyDescent="0.25">
      <c r="A14" s="399"/>
      <c r="B14" s="400"/>
      <c r="C14" s="400"/>
      <c r="D14" s="400"/>
      <c r="E14" s="400"/>
      <c r="F14" s="401"/>
      <c r="G14" s="95">
        <f>VAC_Optim_Scenario!$I$32</f>
        <v>225.94</v>
      </c>
      <c r="H14" s="95">
        <f>VAC_Optim_Scenario!$F$32</f>
        <v>225.94</v>
      </c>
      <c r="K14" s="399"/>
      <c r="L14" s="400"/>
      <c r="M14" s="400"/>
      <c r="N14" s="400"/>
      <c r="O14" s="400"/>
      <c r="P14" s="400"/>
      <c r="Q14" s="400"/>
      <c r="R14" s="401"/>
    </row>
    <row r="16" spans="1:18" ht="13.5" thickBot="1" x14ac:dyDescent="0.25"/>
    <row r="17" spans="1:8" ht="42.6" customHeight="1" x14ac:dyDescent="0.2">
      <c r="A17" s="394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395"/>
      <c r="B18" s="75">
        <v>0</v>
      </c>
      <c r="C18" s="76">
        <v>2000000</v>
      </c>
      <c r="D18" s="26">
        <v>10</v>
      </c>
    </row>
    <row r="20" spans="1:8" x14ac:dyDescent="0.2">
      <c r="A20" s="375" t="s">
        <v>37</v>
      </c>
      <c r="B20" s="375"/>
      <c r="C20" s="375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f>B18</f>
        <v>0</v>
      </c>
      <c r="B22" s="173"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ref="B23:B44" si="0">((($R$12/(1+EXP($P$12+$Q$12*A23)))-1) - ($F$12-$C$12))*$I$12</f>
        <v>8342.1920884288847</v>
      </c>
      <c r="C23" s="79">
        <f t="shared" ref="C23:C42" si="1">B23*$G$12</f>
        <v>8342.1920884288847</v>
      </c>
      <c r="D23" s="98">
        <f>(B23-B22)/A23</f>
        <v>4.1710960442144424E-2</v>
      </c>
      <c r="E23" s="116">
        <f t="shared" ref="E23:E42" si="2">B23*$H$14</f>
        <v>1884834.8804596222</v>
      </c>
    </row>
    <row r="24" spans="1:8" x14ac:dyDescent="0.2">
      <c r="A24" s="86">
        <f t="shared" ref="A24:A44" si="3">A23+(($C$18-$B$18)/$D$18)</f>
        <v>400000</v>
      </c>
      <c r="B24" s="79">
        <f t="shared" si="0"/>
        <v>12088.393296157941</v>
      </c>
      <c r="C24" s="79">
        <f t="shared" si="1"/>
        <v>12088.393296157941</v>
      </c>
      <c r="D24" s="98">
        <f t="shared" ref="D24:D42" si="4">(B24-B23)/A24</f>
        <v>9.3655030193226414E-3</v>
      </c>
      <c r="E24" s="116">
        <f t="shared" si="2"/>
        <v>2731251.581333925</v>
      </c>
    </row>
    <row r="25" spans="1:8" x14ac:dyDescent="0.2">
      <c r="A25" s="86">
        <f t="shared" si="3"/>
        <v>600000</v>
      </c>
      <c r="B25" s="79">
        <f t="shared" si="0"/>
        <v>13769.391793690622</v>
      </c>
      <c r="C25" s="79">
        <f t="shared" si="1"/>
        <v>13769.391793690622</v>
      </c>
      <c r="D25" s="98">
        <f t="shared" si="4"/>
        <v>2.8016641625544679E-3</v>
      </c>
      <c r="E25" s="116">
        <f t="shared" si="2"/>
        <v>3111056.3818664593</v>
      </c>
    </row>
    <row r="26" spans="1:8" x14ac:dyDescent="0.2">
      <c r="A26" s="86">
        <f t="shared" si="3"/>
        <v>800000</v>
      </c>
      <c r="B26" s="79">
        <f t="shared" si="0"/>
        <v>14523.429975576699</v>
      </c>
      <c r="C26" s="79">
        <f t="shared" si="1"/>
        <v>14523.429975576699</v>
      </c>
      <c r="D26" s="98">
        <f t="shared" si="4"/>
        <v>9.425477273575962E-4</v>
      </c>
      <c r="E26" s="116">
        <f t="shared" si="2"/>
        <v>3281423.7686817991</v>
      </c>
    </row>
    <row r="27" spans="1:8" x14ac:dyDescent="0.2">
      <c r="A27" s="86">
        <f t="shared" si="3"/>
        <v>1000000</v>
      </c>
      <c r="B27" s="79">
        <f t="shared" si="0"/>
        <v>14861.613123927265</v>
      </c>
      <c r="C27" s="79">
        <f t="shared" si="1"/>
        <v>14861.613123927265</v>
      </c>
      <c r="D27" s="98">
        <f t="shared" si="4"/>
        <v>3.3818314835056662E-4</v>
      </c>
      <c r="E27" s="116">
        <f t="shared" si="2"/>
        <v>3357832.8692201264</v>
      </c>
    </row>
    <row r="28" spans="1:8" x14ac:dyDescent="0.2">
      <c r="A28" s="86">
        <f t="shared" si="3"/>
        <v>1200000</v>
      </c>
      <c r="B28" s="79">
        <f t="shared" si="0"/>
        <v>15013.276375984773</v>
      </c>
      <c r="C28" s="79">
        <f t="shared" si="1"/>
        <v>15013.276375984773</v>
      </c>
      <c r="D28" s="98">
        <f t="shared" si="4"/>
        <v>1.2638604338125636E-4</v>
      </c>
      <c r="E28" s="116">
        <f t="shared" si="2"/>
        <v>3392099.6643899996</v>
      </c>
    </row>
    <row r="29" spans="1:8" x14ac:dyDescent="0.2">
      <c r="A29" s="86">
        <f t="shared" si="3"/>
        <v>1400000</v>
      </c>
      <c r="B29" s="79">
        <f t="shared" si="0"/>
        <v>15081.28988950327</v>
      </c>
      <c r="C29" s="79">
        <f t="shared" si="1"/>
        <v>15081.28988950327</v>
      </c>
      <c r="D29" s="98">
        <f t="shared" si="4"/>
        <v>4.8581081084640963E-5</v>
      </c>
      <c r="E29" s="116">
        <f t="shared" si="2"/>
        <v>3407466.6376343691</v>
      </c>
    </row>
    <row r="30" spans="1:8" x14ac:dyDescent="0.2">
      <c r="A30" s="86">
        <f t="shared" si="3"/>
        <v>1600000</v>
      </c>
      <c r="B30" s="79">
        <f t="shared" si="0"/>
        <v>15111.790180195123</v>
      </c>
      <c r="C30" s="79">
        <f t="shared" si="1"/>
        <v>15111.790180195123</v>
      </c>
      <c r="D30" s="98">
        <f t="shared" si="4"/>
        <v>1.9062681682407856E-5</v>
      </c>
      <c r="E30" s="116">
        <f t="shared" si="2"/>
        <v>3414357.8733132859</v>
      </c>
    </row>
    <row r="31" spans="1:8" x14ac:dyDescent="0.2">
      <c r="A31" s="86">
        <f t="shared" si="3"/>
        <v>1800000</v>
      </c>
      <c r="B31" s="79">
        <f t="shared" si="0"/>
        <v>15125.467784030363</v>
      </c>
      <c r="C31" s="79">
        <f t="shared" si="1"/>
        <v>15125.467784030363</v>
      </c>
      <c r="D31" s="98">
        <f t="shared" si="4"/>
        <v>7.598668797355559E-6</v>
      </c>
      <c r="E31" s="116">
        <f t="shared" si="2"/>
        <v>3417448.1911238204</v>
      </c>
    </row>
    <row r="32" spans="1:8" x14ac:dyDescent="0.2">
      <c r="A32" s="86">
        <f t="shared" si="3"/>
        <v>2000000</v>
      </c>
      <c r="B32" s="79">
        <f t="shared" si="0"/>
        <v>15131.601375410333</v>
      </c>
      <c r="C32" s="79">
        <f t="shared" si="1"/>
        <v>15131.601375410333</v>
      </c>
      <c r="D32" s="98">
        <f t="shared" si="4"/>
        <v>3.066795689985156E-6</v>
      </c>
      <c r="E32" s="116">
        <f t="shared" si="2"/>
        <v>3418834.0147602106</v>
      </c>
    </row>
    <row r="33" spans="1:5" x14ac:dyDescent="0.2">
      <c r="A33" s="86">
        <f t="shared" si="3"/>
        <v>2200000</v>
      </c>
      <c r="B33" s="79">
        <f t="shared" si="0"/>
        <v>15134.351922670379</v>
      </c>
      <c r="C33" s="79">
        <f t="shared" si="1"/>
        <v>15134.351922670379</v>
      </c>
      <c r="D33" s="98">
        <f t="shared" si="4"/>
        <v>1.250248754566366E-6</v>
      </c>
      <c r="E33" s="116">
        <f t="shared" si="2"/>
        <v>3419455.4734081454</v>
      </c>
    </row>
    <row r="34" spans="1:5" x14ac:dyDescent="0.2">
      <c r="A34" s="86">
        <f t="shared" si="3"/>
        <v>2400000</v>
      </c>
      <c r="B34" s="79">
        <f t="shared" si="0"/>
        <v>15135.585377179086</v>
      </c>
      <c r="C34" s="79">
        <f t="shared" si="1"/>
        <v>15135.585377179086</v>
      </c>
      <c r="D34" s="98">
        <f t="shared" si="4"/>
        <v>5.1393937862788634E-7</v>
      </c>
      <c r="E34" s="116">
        <f t="shared" si="2"/>
        <v>3419734.1601198427</v>
      </c>
    </row>
    <row r="35" spans="1:5" x14ac:dyDescent="0.2">
      <c r="A35" s="86">
        <f t="shared" si="3"/>
        <v>2600000</v>
      </c>
      <c r="B35" s="79">
        <f t="shared" si="0"/>
        <v>15136.138506973162</v>
      </c>
      <c r="C35" s="79">
        <f t="shared" si="1"/>
        <v>15136.138506973162</v>
      </c>
      <c r="D35" s="98">
        <f t="shared" si="4"/>
        <v>2.1274222849080196E-7</v>
      </c>
      <c r="E35" s="116">
        <f t="shared" si="2"/>
        <v>3419859.1342655164</v>
      </c>
    </row>
    <row r="36" spans="1:5" x14ac:dyDescent="0.2">
      <c r="A36" s="86">
        <f t="shared" si="3"/>
        <v>2800000</v>
      </c>
      <c r="B36" s="79">
        <f t="shared" si="0"/>
        <v>15136.386552223936</v>
      </c>
      <c r="C36" s="79">
        <f t="shared" si="1"/>
        <v>15136.386552223936</v>
      </c>
      <c r="D36" s="98">
        <f t="shared" si="4"/>
        <v>8.8587589561939237E-8</v>
      </c>
      <c r="E36" s="116">
        <f t="shared" si="2"/>
        <v>3419915.1776094758</v>
      </c>
    </row>
    <row r="37" spans="1:5" x14ac:dyDescent="0.2">
      <c r="A37" s="86">
        <f t="shared" si="3"/>
        <v>3000000</v>
      </c>
      <c r="B37" s="79">
        <f t="shared" si="0"/>
        <v>15136.49778550677</v>
      </c>
      <c r="C37" s="79">
        <f t="shared" si="1"/>
        <v>15136.49778550677</v>
      </c>
      <c r="D37" s="98">
        <f t="shared" si="4"/>
        <v>3.707776094476382E-8</v>
      </c>
      <c r="E37" s="116">
        <f t="shared" si="2"/>
        <v>3419940.3096573995</v>
      </c>
    </row>
    <row r="38" spans="1:5" x14ac:dyDescent="0.2">
      <c r="A38" s="86">
        <f t="shared" si="3"/>
        <v>3200000</v>
      </c>
      <c r="B38" s="79">
        <f t="shared" si="0"/>
        <v>15136.547666901723</v>
      </c>
      <c r="C38" s="79">
        <f t="shared" si="1"/>
        <v>15136.547666901723</v>
      </c>
      <c r="D38" s="98">
        <f t="shared" si="4"/>
        <v>1.5587935922667384E-8</v>
      </c>
      <c r="E38" s="116">
        <f t="shared" si="2"/>
        <v>3419951.579859775</v>
      </c>
    </row>
    <row r="39" spans="1:5" x14ac:dyDescent="0.2">
      <c r="A39" s="86">
        <f t="shared" si="3"/>
        <v>3400000</v>
      </c>
      <c r="B39" s="79">
        <f t="shared" si="0"/>
        <v>15136.570035688579</v>
      </c>
      <c r="C39" s="79">
        <f t="shared" si="1"/>
        <v>15136.570035688579</v>
      </c>
      <c r="D39" s="98">
        <f t="shared" si="4"/>
        <v>6.5790549578035581E-9</v>
      </c>
      <c r="E39" s="116">
        <f t="shared" si="2"/>
        <v>3419956.6338634775</v>
      </c>
    </row>
    <row r="40" spans="1:5" x14ac:dyDescent="0.2">
      <c r="A40" s="86">
        <f t="shared" si="3"/>
        <v>3600000</v>
      </c>
      <c r="B40" s="79">
        <f t="shared" si="0"/>
        <v>15136.580066736788</v>
      </c>
      <c r="C40" s="79">
        <f t="shared" si="1"/>
        <v>15136.580066736788</v>
      </c>
      <c r="D40" s="98">
        <f t="shared" si="4"/>
        <v>2.7864022801319759E-9</v>
      </c>
      <c r="E40" s="116">
        <f t="shared" si="2"/>
        <v>3419958.9002785096</v>
      </c>
    </row>
    <row r="41" spans="1:5" x14ac:dyDescent="0.2">
      <c r="A41" s="86">
        <f t="shared" si="3"/>
        <v>3800000</v>
      </c>
      <c r="B41" s="79">
        <f t="shared" si="0"/>
        <v>15136.584565052763</v>
      </c>
      <c r="C41" s="79">
        <f t="shared" si="1"/>
        <v>15136.584565052763</v>
      </c>
      <c r="D41" s="98">
        <f t="shared" si="4"/>
        <v>1.1837673618605262E-9</v>
      </c>
      <c r="E41" s="116">
        <f t="shared" si="2"/>
        <v>3419959.9166280213</v>
      </c>
    </row>
    <row r="42" spans="1:5" x14ac:dyDescent="0.2">
      <c r="A42" s="86">
        <f t="shared" si="3"/>
        <v>4000000</v>
      </c>
      <c r="B42" s="79">
        <f t="shared" si="0"/>
        <v>15136.58658227697</v>
      </c>
      <c r="C42" s="79">
        <f t="shared" si="1"/>
        <v>15136.58658227697</v>
      </c>
      <c r="D42" s="98">
        <f t="shared" si="4"/>
        <v>5.0430605188012122E-10</v>
      </c>
      <c r="E42" s="116">
        <f t="shared" si="2"/>
        <v>3419960.3723996584</v>
      </c>
    </row>
    <row r="43" spans="1:5" x14ac:dyDescent="0.2">
      <c r="A43" s="86">
        <f t="shared" si="3"/>
        <v>4200000</v>
      </c>
      <c r="B43" s="79">
        <f t="shared" si="0"/>
        <v>15136.587486878037</v>
      </c>
    </row>
    <row r="44" spans="1:5" x14ac:dyDescent="0.2">
      <c r="A44" s="86">
        <f t="shared" si="3"/>
        <v>4400000</v>
      </c>
      <c r="B44" s="79">
        <f t="shared" si="0"/>
        <v>15136.587892537937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56"/>
  <sheetViews>
    <sheetView topLeftCell="A38" workbookViewId="0">
      <selection activeCell="B21" sqref="B21:C56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13"/>
      <c r="C4" s="414"/>
      <c r="D4" s="414"/>
      <c r="E4" s="414"/>
      <c r="F4" s="41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02" t="s">
        <v>8</v>
      </c>
      <c r="B7" s="407" t="s">
        <v>9</v>
      </c>
      <c r="C7" s="407"/>
      <c r="D7" s="407" t="s">
        <v>12</v>
      </c>
      <c r="E7" s="407"/>
      <c r="F7" s="407"/>
      <c r="G7" s="407" t="s">
        <v>124</v>
      </c>
      <c r="H7" s="407"/>
      <c r="I7" s="412"/>
    </row>
    <row r="8" spans="1:9" x14ac:dyDescent="0.25">
      <c r="A8" s="406"/>
      <c r="B8" s="286" t="s">
        <v>10</v>
      </c>
      <c r="C8" s="286" t="s">
        <v>11</v>
      </c>
      <c r="D8" s="286" t="s">
        <v>20</v>
      </c>
      <c r="E8" s="286" t="s">
        <v>21</v>
      </c>
      <c r="F8" s="286" t="s">
        <v>117</v>
      </c>
      <c r="G8" s="286" t="s">
        <v>22</v>
      </c>
      <c r="H8" s="286" t="s">
        <v>23</v>
      </c>
      <c r="I8" s="4" t="s">
        <v>123</v>
      </c>
    </row>
    <row r="9" spans="1:9" ht="15.75" thickBot="1" x14ac:dyDescent="0.3">
      <c r="A9" s="403"/>
      <c r="B9" s="171">
        <f>VAC_Optim_Scenario!G21</f>
        <v>4326087.5</v>
      </c>
      <c r="C9" s="171">
        <f>VAC_Optim_Scenario!H21</f>
        <v>8034162.5</v>
      </c>
      <c r="D9" s="172">
        <f>VAC_Optim_Scenario!I21</f>
        <v>7092172.847014742</v>
      </c>
      <c r="E9" s="84">
        <f>((GSTRV!D9/$B$12)^$D$12)*$C$12*$F$12</f>
        <v>159289.63557628606</v>
      </c>
      <c r="F9" s="84">
        <f>E9*F11</f>
        <v>159289.63557628606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375" t="s">
        <v>15</v>
      </c>
      <c r="B11" s="287" t="s">
        <v>16</v>
      </c>
      <c r="C11" s="287" t="s">
        <v>17</v>
      </c>
      <c r="D11" s="287" t="s">
        <v>168</v>
      </c>
      <c r="E11" s="286" t="s">
        <v>126</v>
      </c>
      <c r="F11" s="175">
        <v>1</v>
      </c>
    </row>
    <row r="12" spans="1:9" ht="40.5" customHeight="1" thickBot="1" x14ac:dyDescent="0.3">
      <c r="A12" s="375"/>
      <c r="B12" s="176">
        <f>'[5]Streaming Video - Power'!$B$12</f>
        <v>5935125</v>
      </c>
      <c r="C12" s="176">
        <f>'[5]Streaming Video - Power'!$C$12</f>
        <v>140618.64530883348</v>
      </c>
      <c r="D12" s="336">
        <f>'[5]Streaming Video - Power'!$D$12</f>
        <v>0.7</v>
      </c>
      <c r="E12" s="286" t="s">
        <v>122</v>
      </c>
      <c r="F12" s="177">
        <f>VAC_Optim_Scenario!D21</f>
        <v>1</v>
      </c>
      <c r="H12" s="283"/>
    </row>
    <row r="13" spans="1:9" ht="18.75" customHeight="1" x14ac:dyDescent="0.25">
      <c r="A13" s="396" t="s">
        <v>169</v>
      </c>
      <c r="B13" s="397"/>
      <c r="C13" s="397"/>
      <c r="D13" s="397"/>
      <c r="E13" s="286" t="s">
        <v>170</v>
      </c>
      <c r="F13" s="286" t="s">
        <v>171</v>
      </c>
    </row>
    <row r="14" spans="1:9" ht="15.75" thickBot="1" x14ac:dyDescent="0.3">
      <c r="A14" s="399"/>
      <c r="B14" s="400"/>
      <c r="C14" s="400"/>
      <c r="D14" s="40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394" t="s">
        <v>34</v>
      </c>
      <c r="B16" s="287" t="s">
        <v>32</v>
      </c>
      <c r="C16" s="287" t="s">
        <v>31</v>
      </c>
      <c r="D16" s="288" t="s">
        <v>33</v>
      </c>
    </row>
    <row r="17" spans="1:4" ht="15.75" thickBot="1" x14ac:dyDescent="0.3">
      <c r="A17" s="395"/>
      <c r="B17" s="76">
        <v>0</v>
      </c>
      <c r="C17" s="76">
        <v>10000000</v>
      </c>
      <c r="D17" s="26">
        <v>50</v>
      </c>
    </row>
    <row r="18" spans="1:4" x14ac:dyDescent="0.25">
      <c r="A18" s="98"/>
      <c r="B18" s="98"/>
      <c r="C18" s="98"/>
      <c r="D18" s="98"/>
    </row>
    <row r="19" spans="1:4" x14ac:dyDescent="0.25">
      <c r="A19" s="375" t="s">
        <v>37</v>
      </c>
      <c r="B19" s="375"/>
      <c r="C19" s="375"/>
      <c r="D19" s="98"/>
    </row>
    <row r="20" spans="1:4" ht="25.5" x14ac:dyDescent="0.25">
      <c r="A20" s="286" t="s">
        <v>35</v>
      </c>
      <c r="B20" s="286" t="s">
        <v>175</v>
      </c>
      <c r="C20" s="286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((GSTRV!A22/$B$12)^$D$12)*$C$12*$F$12</f>
        <v>13102.766377672971</v>
      </c>
      <c r="C22" s="179">
        <f t="shared" ref="C22:C41" si="0">B22*$F$14</f>
        <v>2960439.0353714311</v>
      </c>
    </row>
    <row r="23" spans="1:4" x14ac:dyDescent="0.25">
      <c r="A23" s="178">
        <f t="shared" ref="A23:A56" si="1">A22+(($C$17-$B$17)/$D$17)</f>
        <v>400000</v>
      </c>
      <c r="B23" s="173">
        <f>((GSTRV!A23/$B$12)^$D$12)*$C$12*$F$12</f>
        <v>21285.506778321567</v>
      </c>
      <c r="C23" s="179">
        <f t="shared" si="0"/>
        <v>4809247.401493975</v>
      </c>
    </row>
    <row r="24" spans="1:4" x14ac:dyDescent="0.25">
      <c r="A24" s="178">
        <f t="shared" si="1"/>
        <v>600000</v>
      </c>
      <c r="B24" s="173">
        <f>((GSTRV!A24/$B$12)^$D$12)*$C$12*$F$12</f>
        <v>28271.436495788948</v>
      </c>
      <c r="C24" s="179">
        <f t="shared" si="0"/>
        <v>6387648.3618585551</v>
      </c>
    </row>
    <row r="25" spans="1:4" x14ac:dyDescent="0.25">
      <c r="A25" s="178">
        <f t="shared" si="1"/>
        <v>800000</v>
      </c>
      <c r="B25" s="173">
        <f>((GSTRV!A25/$B$12)^$D$12)*$C$12*$F$12</f>
        <v>34578.407776697168</v>
      </c>
      <c r="C25" s="179">
        <f t="shared" si="0"/>
        <v>7812645.4530669581</v>
      </c>
    </row>
    <row r="26" spans="1:4" x14ac:dyDescent="0.25">
      <c r="A26" s="178">
        <f t="shared" si="1"/>
        <v>1000000</v>
      </c>
      <c r="B26" s="173">
        <f>((GSTRV!A26/$B$12)^$D$12)*$C$12*$F$12</f>
        <v>40424.252751667111</v>
      </c>
      <c r="C26" s="179">
        <f t="shared" si="0"/>
        <v>9133455.6667116676</v>
      </c>
    </row>
    <row r="27" spans="1:4" x14ac:dyDescent="0.25">
      <c r="A27" s="178">
        <f t="shared" si="1"/>
        <v>1200000</v>
      </c>
      <c r="B27" s="173">
        <f>((GSTRV!A27/$B$12)^$D$12)*$C$12*$F$12</f>
        <v>45927.084084275411</v>
      </c>
      <c r="C27" s="179">
        <f t="shared" si="0"/>
        <v>10376765.378001187</v>
      </c>
    </row>
    <row r="28" spans="1:4" x14ac:dyDescent="0.25">
      <c r="A28" s="178">
        <f t="shared" si="1"/>
        <v>1400000</v>
      </c>
      <c r="B28" s="173">
        <f>((GSTRV!A28/$B$12)^$D$12)*$C$12*$F$12</f>
        <v>51160.128381540155</v>
      </c>
      <c r="C28" s="179">
        <f t="shared" si="0"/>
        <v>11559119.406525182</v>
      </c>
    </row>
    <row r="29" spans="1:4" x14ac:dyDescent="0.25">
      <c r="A29" s="178">
        <f t="shared" si="1"/>
        <v>1600000</v>
      </c>
      <c r="B29" s="173">
        <f>((GSTRV!A29/$B$12)^$D$12)*$C$12*$F$12</f>
        <v>56172.789157610736</v>
      </c>
      <c r="C29" s="179">
        <f t="shared" si="0"/>
        <v>12691679.982270569</v>
      </c>
    </row>
    <row r="30" spans="1:4" x14ac:dyDescent="0.25">
      <c r="A30" s="178">
        <f t="shared" si="1"/>
        <v>1800000</v>
      </c>
      <c r="B30" s="173">
        <f>((GSTRV!A30/$B$12)^$D$12)*$C$12*$F$12</f>
        <v>61000.41002771636</v>
      </c>
      <c r="C30" s="179">
        <f t="shared" si="0"/>
        <v>13782432.641662234</v>
      </c>
    </row>
    <row r="31" spans="1:4" x14ac:dyDescent="0.25">
      <c r="A31" s="178">
        <f t="shared" si="1"/>
        <v>2000000</v>
      </c>
      <c r="B31" s="173">
        <f>((GSTRV!A31/$B$12)^$D$12)*$C$12*$F$12</f>
        <v>65669.392336903504</v>
      </c>
      <c r="C31" s="179">
        <f t="shared" si="0"/>
        <v>14837342.504599977</v>
      </c>
    </row>
    <row r="32" spans="1:4" x14ac:dyDescent="0.25">
      <c r="A32" s="178">
        <f t="shared" si="1"/>
        <v>2200000</v>
      </c>
      <c r="B32" s="173">
        <f>((GSTRV!A32/$B$12)^$D$12)*$C$12*$F$12</f>
        <v>70200.123672031797</v>
      </c>
      <c r="C32" s="179">
        <f t="shared" si="0"/>
        <v>15861015.942458864</v>
      </c>
    </row>
    <row r="33" spans="1:3" x14ac:dyDescent="0.25">
      <c r="A33" s="178">
        <f t="shared" si="1"/>
        <v>2400000</v>
      </c>
      <c r="B33" s="173">
        <f>((GSTRV!A33/$B$12)^$D$12)*$C$12*$F$12</f>
        <v>74608.768210214039</v>
      </c>
      <c r="C33" s="179">
        <f t="shared" si="0"/>
        <v>16857105.089415759</v>
      </c>
    </row>
    <row r="34" spans="1:3" x14ac:dyDescent="0.25">
      <c r="A34" s="178">
        <f t="shared" si="1"/>
        <v>2600000</v>
      </c>
      <c r="B34" s="173">
        <f>((GSTRV!A34/$B$12)^$D$12)*$C$12*$F$12</f>
        <v>78908.419406813613</v>
      </c>
      <c r="C34" s="179">
        <f t="shared" si="0"/>
        <v>17828568.280775469</v>
      </c>
    </row>
    <row r="35" spans="1:3" x14ac:dyDescent="0.25">
      <c r="A35" s="178">
        <f t="shared" si="1"/>
        <v>2800000</v>
      </c>
      <c r="B35" s="173">
        <f>((GSTRV!A35/$B$12)^$D$12)*$C$12*$F$12</f>
        <v>83109.873751597304</v>
      </c>
      <c r="C35" s="179">
        <f t="shared" si="0"/>
        <v>18777844.875435896</v>
      </c>
    </row>
    <row r="36" spans="1:3" x14ac:dyDescent="0.25">
      <c r="A36" s="178">
        <f t="shared" si="1"/>
        <v>3000000</v>
      </c>
      <c r="B36" s="173">
        <f>((GSTRV!A36/$B$12)^$D$12)*$C$12*$F$12</f>
        <v>87222.168328200525</v>
      </c>
      <c r="C36" s="179">
        <f t="shared" si="0"/>
        <v>19706976.712073628</v>
      </c>
    </row>
    <row r="37" spans="1:3" x14ac:dyDescent="0.25">
      <c r="A37" s="178">
        <f t="shared" si="1"/>
        <v>3200000</v>
      </c>
      <c r="B37" s="173">
        <f>((GSTRV!A37/$B$12)^$D$12)*$C$12*$F$12</f>
        <v>91252.965206565772</v>
      </c>
      <c r="C37" s="179">
        <f t="shared" si="0"/>
        <v>20617694.958771471</v>
      </c>
    </row>
    <row r="38" spans="1:3" x14ac:dyDescent="0.25">
      <c r="A38" s="178">
        <f t="shared" si="1"/>
        <v>3400000</v>
      </c>
      <c r="B38" s="173">
        <f>((GSTRV!A38/$B$12)^$D$12)*$C$12*$F$12</f>
        <v>95208.833144139324</v>
      </c>
      <c r="C38" s="179">
        <f t="shared" si="0"/>
        <v>21511483.760586839</v>
      </c>
    </row>
    <row r="39" spans="1:3" x14ac:dyDescent="0.25">
      <c r="A39" s="178">
        <f t="shared" si="1"/>
        <v>3600000</v>
      </c>
      <c r="B39" s="173">
        <f>((GSTRV!A39/$B$12)^$D$12)*$C$12*$F$12</f>
        <v>99095.458447451107</v>
      </c>
      <c r="C39" s="179">
        <f t="shared" si="0"/>
        <v>22389627.881617103</v>
      </c>
    </row>
    <row r="40" spans="1:3" x14ac:dyDescent="0.25">
      <c r="A40" s="178">
        <f t="shared" si="1"/>
        <v>3800000</v>
      </c>
      <c r="B40" s="173">
        <f>((GSTRV!A40/$B$12)^$D$12)*$C$12*$F$12</f>
        <v>102917.80574677821</v>
      </c>
      <c r="C40" s="179">
        <f t="shared" si="0"/>
        <v>23253249.030427068</v>
      </c>
    </row>
    <row r="41" spans="1:3" x14ac:dyDescent="0.25">
      <c r="A41" s="178">
        <f t="shared" si="1"/>
        <v>4000000</v>
      </c>
      <c r="B41" s="173">
        <f>((GSTRV!A41/$B$12)^$D$12)*$C$12*$F$12</f>
        <v>106680.24258581536</v>
      </c>
      <c r="C41" s="179">
        <f t="shared" si="0"/>
        <v>24103334.009839121</v>
      </c>
    </row>
    <row r="42" spans="1:3" x14ac:dyDescent="0.25">
      <c r="A42" s="178">
        <f t="shared" si="1"/>
        <v>4200000</v>
      </c>
      <c r="B42" s="173">
        <f>((GSTRV!A42/$B$12)^$D$12)*$C$12*$F$12</f>
        <v>110386.6373684055</v>
      </c>
      <c r="C42" s="179">
        <f t="shared" ref="C42:C50" si="2">B42*$F$14</f>
        <v>24940756.847017538</v>
      </c>
    </row>
    <row r="43" spans="1:3" x14ac:dyDescent="0.25">
      <c r="A43" s="178">
        <f t="shared" si="1"/>
        <v>4400000</v>
      </c>
      <c r="B43" s="173">
        <f>((GSTRV!A43/$B$12)^$D$12)*$C$12*$F$12</f>
        <v>114040.43735422383</v>
      </c>
      <c r="C43" s="179">
        <f t="shared" si="2"/>
        <v>25766296.415813331</v>
      </c>
    </row>
    <row r="44" spans="1:3" x14ac:dyDescent="0.25">
      <c r="A44" s="178">
        <f t="shared" si="1"/>
        <v>4600000</v>
      </c>
      <c r="B44" s="173">
        <f>((GSTRV!A44/$B$12)^$D$12)*$C$12*$F$12</f>
        <v>117644.73148722596</v>
      </c>
      <c r="C44" s="179">
        <f t="shared" si="2"/>
        <v>26580650.632223833</v>
      </c>
    </row>
    <row r="45" spans="1:3" x14ac:dyDescent="0.25">
      <c r="A45" s="178">
        <f t="shared" si="1"/>
        <v>4800000</v>
      </c>
      <c r="B45" s="173">
        <f>((GSTRV!A45/$B$12)^$D$12)*$C$12*$F$12</f>
        <v>121202.30153586657</v>
      </c>
      <c r="C45" s="179">
        <f t="shared" si="2"/>
        <v>27384448.009013694</v>
      </c>
    </row>
    <row r="46" spans="1:3" x14ac:dyDescent="0.25">
      <c r="A46" s="178">
        <f t="shared" si="1"/>
        <v>5000000</v>
      </c>
      <c r="B46" s="173">
        <f>((GSTRV!A46/$B$12)^$D$12)*$C$12*$F$12</f>
        <v>124715.66411465566</v>
      </c>
      <c r="C46" s="179">
        <f t="shared" si="2"/>
        <v>28178257.150065299</v>
      </c>
    </row>
    <row r="47" spans="1:3" x14ac:dyDescent="0.25">
      <c r="A47" s="178">
        <f t="shared" si="1"/>
        <v>5200000</v>
      </c>
      <c r="B47" s="173">
        <f>((GSTRV!A47/$B$12)^$D$12)*$C$12*$F$12</f>
        <v>128187.10551173448</v>
      </c>
      <c r="C47" s="179">
        <f t="shared" si="2"/>
        <v>28962594.619321287</v>
      </c>
    </row>
    <row r="48" spans="1:3" x14ac:dyDescent="0.25">
      <c r="A48" s="178">
        <f t="shared" si="1"/>
        <v>5400000</v>
      </c>
      <c r="B48" s="173">
        <f>((GSTRV!A48/$B$12)^$D$12)*$C$12*$F$12</f>
        <v>131618.71078265773</v>
      </c>
      <c r="C48" s="179">
        <f t="shared" si="2"/>
        <v>29737931.514233686</v>
      </c>
    </row>
    <row r="49" spans="1:3" x14ac:dyDescent="0.25">
      <c r="A49" s="178">
        <f t="shared" si="1"/>
        <v>5600000</v>
      </c>
      <c r="B49" s="173">
        <f>((GSTRV!A49/$B$12)^$D$12)*$C$12*$F$12</f>
        <v>135012.38823119822</v>
      </c>
      <c r="C49" s="179">
        <f t="shared" si="2"/>
        <v>30504698.996956926</v>
      </c>
    </row>
    <row r="50" spans="1:3" x14ac:dyDescent="0.25">
      <c r="A50" s="178">
        <f t="shared" si="1"/>
        <v>5800000</v>
      </c>
      <c r="B50" s="173">
        <f>((GSTRV!A50/$B$12)^$D$12)*$C$12*$F$12</f>
        <v>138369.89014677884</v>
      </c>
      <c r="C50" s="179">
        <f t="shared" si="2"/>
        <v>31263292.97976321</v>
      </c>
    </row>
    <row r="51" spans="1:3" x14ac:dyDescent="0.25">
      <c r="A51" s="178">
        <f t="shared" si="1"/>
        <v>6000000</v>
      </c>
      <c r="B51" s="173">
        <f>((GSTRV!A51/$B$12)^$D$12)*$C$12*$F$12</f>
        <v>141692.83047993566</v>
      </c>
      <c r="C51" s="179">
        <f t="shared" ref="C51:C56" si="3">B51*$F$14</f>
        <v>32014078.11863666</v>
      </c>
    </row>
    <row r="52" spans="1:3" x14ac:dyDescent="0.25">
      <c r="A52" s="178">
        <f t="shared" si="1"/>
        <v>6200000</v>
      </c>
      <c r="B52" s="173">
        <f>((GSTRV!A52/$B$12)^$D$12)*$C$12*$F$12</f>
        <v>144982.69999465151</v>
      </c>
      <c r="C52" s="179">
        <f t="shared" si="3"/>
        <v>32757391.236791562</v>
      </c>
    </row>
    <row r="53" spans="1:3" x14ac:dyDescent="0.25">
      <c r="A53" s="178">
        <f t="shared" si="1"/>
        <v>6400000</v>
      </c>
      <c r="B53" s="173">
        <f>((GSTRV!A53/$B$12)^$D$12)*$C$12*$F$12</f>
        <v>148240.87932729043</v>
      </c>
      <c r="C53" s="179">
        <f t="shared" si="3"/>
        <v>33493544.275208</v>
      </c>
    </row>
    <row r="54" spans="1:3" x14ac:dyDescent="0.25">
      <c r="A54" s="178">
        <f t="shared" si="1"/>
        <v>6600000</v>
      </c>
      <c r="B54" s="173">
        <f>((GSTRV!A54/$B$12)^$D$12)*$C$12*$F$12</f>
        <v>151468.65029756021</v>
      </c>
      <c r="C54" s="179">
        <f t="shared" si="3"/>
        <v>34222826.848230749</v>
      </c>
    </row>
    <row r="55" spans="1:3" x14ac:dyDescent="0.25">
      <c r="A55" s="178">
        <f t="shared" si="1"/>
        <v>6800000</v>
      </c>
      <c r="B55" s="173">
        <f>((GSTRV!A55/$B$12)^$D$12)*$C$12*$F$12</f>
        <v>154667.2057512163</v>
      </c>
      <c r="C55" s="179">
        <f t="shared" si="3"/>
        <v>34945508.467429809</v>
      </c>
    </row>
    <row r="56" spans="1:3" x14ac:dyDescent="0.25">
      <c r="A56" s="178">
        <f t="shared" si="1"/>
        <v>7000000</v>
      </c>
      <c r="B56" s="173">
        <f>((GSTRV!A56/$B$12)^$D$12)*$C$12*$F$12</f>
        <v>157837.6581625666</v>
      </c>
      <c r="C56" s="179">
        <f t="shared" si="3"/>
        <v>35661840.485250294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7" workbookViewId="0">
      <selection activeCell="E22" activeCellId="1" sqref="B22:B42 E22:E4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38" t="s">
        <v>102</v>
      </c>
      <c r="I2" s="339"/>
      <c r="J2" s="339"/>
      <c r="K2" s="339"/>
      <c r="L2" s="340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04" t="s">
        <v>106</v>
      </c>
      <c r="C4" s="404"/>
      <c r="D4" s="404"/>
      <c r="E4" s="404"/>
      <c r="F4" s="40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31"/>
    </row>
    <row r="7" spans="1:18" ht="27.75" customHeight="1" x14ac:dyDescent="0.2">
      <c r="A7" s="402" t="s">
        <v>8</v>
      </c>
      <c r="B7" s="407" t="s">
        <v>9</v>
      </c>
      <c r="C7" s="408"/>
      <c r="D7" s="409" t="s">
        <v>12</v>
      </c>
      <c r="E7" s="410"/>
      <c r="F7" s="411"/>
      <c r="G7" s="407" t="s">
        <v>124</v>
      </c>
      <c r="H7" s="407"/>
      <c r="I7" s="412"/>
      <c r="J7" s="98" t="s">
        <v>125</v>
      </c>
    </row>
    <row r="8" spans="1:18" ht="28.15" customHeight="1" x14ac:dyDescent="0.2">
      <c r="A8" s="406"/>
      <c r="B8" s="342" t="s">
        <v>10</v>
      </c>
      <c r="C8" s="17" t="s">
        <v>11</v>
      </c>
      <c r="D8" s="19" t="s">
        <v>20</v>
      </c>
      <c r="E8" s="342" t="s">
        <v>21</v>
      </c>
      <c r="F8" s="81" t="s">
        <v>117</v>
      </c>
      <c r="G8" s="341" t="s">
        <v>22</v>
      </c>
      <c r="H8" s="342" t="s">
        <v>23</v>
      </c>
      <c r="I8" s="88" t="s">
        <v>123</v>
      </c>
    </row>
    <row r="9" spans="1:18" ht="14.65" customHeight="1" thickBot="1" x14ac:dyDescent="0.25">
      <c r="A9" s="403"/>
      <c r="B9" s="95">
        <f>VAC_Optim_Scenario!G22</f>
        <v>1153850.159</v>
      </c>
      <c r="C9" s="95">
        <f>VAC_Optim_Scenario!H22</f>
        <v>2142864.5810000002</v>
      </c>
      <c r="D9" s="68">
        <f>VAC_Optim_Scenario!I22</f>
        <v>2142864.5810000002</v>
      </c>
      <c r="E9" s="84">
        <f>((($R$12/(1+EXP($P$12+$Q$12*D9)))-1) - ($F$12-$C$12))*$I$12</f>
        <v>126447.32566596754</v>
      </c>
      <c r="F9" s="89">
        <f>E9*$G$12</f>
        <v>126447.32566596754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02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118</v>
      </c>
      <c r="H11" s="344" t="s">
        <v>119</v>
      </c>
      <c r="I11" s="92" t="s">
        <v>122</v>
      </c>
      <c r="K11" s="394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403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395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396" t="s">
        <v>114</v>
      </c>
      <c r="B13" s="397"/>
      <c r="C13" s="397"/>
      <c r="D13" s="397"/>
      <c r="E13" s="397"/>
      <c r="F13" s="398"/>
      <c r="G13" s="342" t="s">
        <v>150</v>
      </c>
      <c r="H13" s="342" t="s">
        <v>151</v>
      </c>
      <c r="K13" s="396" t="s">
        <v>115</v>
      </c>
      <c r="L13" s="397"/>
      <c r="M13" s="397"/>
      <c r="N13" s="397"/>
      <c r="O13" s="397"/>
      <c r="P13" s="397"/>
      <c r="Q13" s="397"/>
      <c r="R13" s="398"/>
    </row>
    <row r="14" spans="1:18" ht="33.6" customHeight="1" thickBot="1" x14ac:dyDescent="0.25">
      <c r="A14" s="399"/>
      <c r="B14" s="400"/>
      <c r="C14" s="400"/>
      <c r="D14" s="400"/>
      <c r="E14" s="400"/>
      <c r="F14" s="401"/>
      <c r="G14" s="95">
        <f>VAC_Optim_Scenario!$I$32</f>
        <v>225.94</v>
      </c>
      <c r="H14" s="95">
        <f>VAC_Optim_Scenario!$F$32</f>
        <v>225.94</v>
      </c>
      <c r="K14" s="399"/>
      <c r="L14" s="400"/>
      <c r="M14" s="400"/>
      <c r="N14" s="400"/>
      <c r="O14" s="400"/>
      <c r="P14" s="400"/>
      <c r="Q14" s="400"/>
      <c r="R14" s="401"/>
    </row>
    <row r="16" spans="1:18" ht="13.5" thickBot="1" x14ac:dyDescent="0.25"/>
    <row r="17" spans="1:8" ht="42.6" customHeight="1" x14ac:dyDescent="0.2">
      <c r="A17" s="394" t="s">
        <v>34</v>
      </c>
      <c r="B17" s="344" t="s">
        <v>32</v>
      </c>
      <c r="C17" s="344" t="s">
        <v>31</v>
      </c>
      <c r="D17" s="345" t="s">
        <v>33</v>
      </c>
      <c r="F17" s="82"/>
      <c r="G17" s="82"/>
      <c r="H17" s="83"/>
    </row>
    <row r="18" spans="1:8" ht="23.65" customHeight="1" thickBot="1" x14ac:dyDescent="0.25">
      <c r="A18" s="395"/>
      <c r="B18" s="75">
        <v>0</v>
      </c>
      <c r="C18" s="76">
        <v>2000000</v>
      </c>
      <c r="D18" s="26">
        <v>10</v>
      </c>
    </row>
    <row r="20" spans="1:8" x14ac:dyDescent="0.2">
      <c r="A20" s="375" t="s">
        <v>37</v>
      </c>
      <c r="B20" s="375"/>
      <c r="C20" s="375"/>
    </row>
    <row r="21" spans="1:8" ht="25.5" x14ac:dyDescent="0.2">
      <c r="A21" s="342" t="s">
        <v>35</v>
      </c>
      <c r="B21" s="342" t="s">
        <v>120</v>
      </c>
      <c r="C21" s="342" t="s">
        <v>197</v>
      </c>
      <c r="D21" s="98" t="s">
        <v>121</v>
      </c>
      <c r="E21" s="342" t="s">
        <v>152</v>
      </c>
    </row>
    <row r="22" spans="1:8" x14ac:dyDescent="0.2">
      <c r="A22" s="86">
        <f>B18</f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ht="15" x14ac:dyDescent="0.25">
      <c r="A43"/>
      <c r="B43"/>
    </row>
    <row r="44" spans="1:5" ht="15" x14ac:dyDescent="0.25">
      <c r="A44"/>
      <c r="B44"/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3" workbookViewId="0">
      <selection activeCell="B21" sqref="B21:C4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13"/>
      <c r="C4" s="414"/>
      <c r="D4" s="414"/>
      <c r="E4" s="414"/>
      <c r="F4" s="41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02" t="s">
        <v>8</v>
      </c>
      <c r="B7" s="407" t="s">
        <v>9</v>
      </c>
      <c r="C7" s="407"/>
      <c r="D7" s="407" t="s">
        <v>12</v>
      </c>
      <c r="E7" s="407"/>
      <c r="F7" s="407"/>
      <c r="G7" s="407" t="s">
        <v>124</v>
      </c>
      <c r="H7" s="407"/>
      <c r="I7" s="412"/>
    </row>
    <row r="8" spans="1:9" x14ac:dyDescent="0.25">
      <c r="A8" s="406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03"/>
      <c r="B9" s="171">
        <f>VAC_Optim_Scenario!G23</f>
        <v>241294.9</v>
      </c>
      <c r="C9" s="171">
        <f>VAC_Optim_Scenario!H23</f>
        <v>448119.10000000003</v>
      </c>
      <c r="D9" s="172">
        <f>VAC_Optim_Scenario!I23</f>
        <v>448119.10000000003</v>
      </c>
      <c r="E9" s="84">
        <f>((GSEARCH!D9/$B$12)^$D$12)*$C$12*$F$12</f>
        <v>157042.17063662564</v>
      </c>
      <c r="F9" s="84">
        <f>E9*F11</f>
        <v>157042.17063662564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375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375"/>
      <c r="B12" s="176">
        <f>'[7]HCC Paid Search - Power'!$B$12</f>
        <v>344707</v>
      </c>
      <c r="C12" s="176">
        <f>'[7]HCC Paid Search - Power'!$C$12</f>
        <v>130694.08808973072</v>
      </c>
      <c r="D12" s="336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396" t="s">
        <v>169</v>
      </c>
      <c r="B13" s="397"/>
      <c r="C13" s="397"/>
      <c r="D13" s="397"/>
      <c r="E13" s="153" t="s">
        <v>170</v>
      </c>
      <c r="F13" s="153" t="s">
        <v>171</v>
      </c>
    </row>
    <row r="14" spans="1:9" ht="15.75" thickBot="1" x14ac:dyDescent="0.3">
      <c r="A14" s="399"/>
      <c r="B14" s="400"/>
      <c r="C14" s="400"/>
      <c r="D14" s="40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394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395"/>
      <c r="B17" s="76">
        <v>0</v>
      </c>
      <c r="C17" s="76">
        <v>3000000</v>
      </c>
      <c r="D17" s="26">
        <v>15</v>
      </c>
    </row>
    <row r="18" spans="1:4" x14ac:dyDescent="0.25">
      <c r="A18" s="98"/>
      <c r="B18" s="98"/>
      <c r="C18" s="98"/>
      <c r="D18" s="98"/>
    </row>
    <row r="19" spans="1:4" x14ac:dyDescent="0.25">
      <c r="A19" s="375" t="s">
        <v>37</v>
      </c>
      <c r="B19" s="375"/>
      <c r="C19" s="375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((GSEARCH!A22/$B$12)^$D$12)*$C$12*$F$12</f>
        <v>89281.580118580925</v>
      </c>
      <c r="C22" s="179">
        <f t="shared" ref="C22:C41" si="0">B22*$F$14</f>
        <v>20172280.211992174</v>
      </c>
    </row>
    <row r="23" spans="1:4" x14ac:dyDescent="0.25">
      <c r="A23" s="178">
        <f t="shared" ref="A23:A41" si="1">A22+(($C$17-$B$17)/$D$17)</f>
        <v>400000</v>
      </c>
      <c r="B23" s="173">
        <f>((GSEARCH!A23/$B$12)^$D$12)*$C$12*$F$12</f>
        <v>145038.35480357721</v>
      </c>
      <c r="C23" s="179">
        <f t="shared" si="0"/>
        <v>32769965.884320233</v>
      </c>
    </row>
    <row r="24" spans="1:4" x14ac:dyDescent="0.25">
      <c r="A24" s="178">
        <f t="shared" si="1"/>
        <v>600000</v>
      </c>
      <c r="B24" s="173">
        <f>((GSEARCH!A24/$B$12)^$D$12)*$C$12*$F$12</f>
        <v>192640.12268945246</v>
      </c>
      <c r="C24" s="179">
        <f t="shared" si="0"/>
        <v>43525109.320454888</v>
      </c>
    </row>
    <row r="25" spans="1:4" x14ac:dyDescent="0.25">
      <c r="A25" s="178">
        <f t="shared" si="1"/>
        <v>800000</v>
      </c>
      <c r="B25" s="173">
        <f>((GSEARCH!A25/$B$12)^$D$12)*$C$12*$F$12</f>
        <v>235615.50250554297</v>
      </c>
      <c r="C25" s="179">
        <f t="shared" si="0"/>
        <v>53234966.636102378</v>
      </c>
    </row>
    <row r="26" spans="1:4" x14ac:dyDescent="0.25">
      <c r="A26" s="178">
        <f t="shared" si="1"/>
        <v>1000000</v>
      </c>
      <c r="B26" s="173">
        <f>((GSEARCH!A26/$B$12)^$D$12)*$C$12*$F$12</f>
        <v>275448.79125156999</v>
      </c>
      <c r="C26" s="179">
        <f t="shared" si="0"/>
        <v>62234899.895379722</v>
      </c>
    </row>
    <row r="27" spans="1:4" x14ac:dyDescent="0.25">
      <c r="A27" s="178">
        <f t="shared" si="1"/>
        <v>1200000</v>
      </c>
      <c r="B27" s="173">
        <f>((GSEARCH!A27/$B$12)^$D$12)*$C$12*$F$12</f>
        <v>312944.80257773394</v>
      </c>
      <c r="C27" s="179">
        <f t="shared" si="0"/>
        <v>70706748.6944132</v>
      </c>
    </row>
    <row r="28" spans="1:4" x14ac:dyDescent="0.25">
      <c r="A28" s="178">
        <f t="shared" si="1"/>
        <v>1400000</v>
      </c>
      <c r="B28" s="173">
        <f>((GSEARCH!A28/$B$12)^$D$12)*$C$12*$F$12</f>
        <v>348602.49883998709</v>
      </c>
      <c r="C28" s="179">
        <f t="shared" si="0"/>
        <v>78763248.587906688</v>
      </c>
    </row>
    <row r="29" spans="1:4" x14ac:dyDescent="0.25">
      <c r="A29" s="178">
        <f t="shared" si="1"/>
        <v>1600000</v>
      </c>
      <c r="B29" s="173">
        <f>((GSEARCH!A29/$B$12)^$D$12)*$C$12*$F$12</f>
        <v>382758.51305761177</v>
      </c>
      <c r="C29" s="179">
        <f t="shared" si="0"/>
        <v>86480458.440236807</v>
      </c>
    </row>
    <row r="30" spans="1:4" x14ac:dyDescent="0.25">
      <c r="A30" s="178">
        <f t="shared" si="1"/>
        <v>1800000</v>
      </c>
      <c r="B30" s="173">
        <f>((GSEARCH!A30/$B$12)^$D$12)*$C$12*$F$12</f>
        <v>415653.6748175681</v>
      </c>
      <c r="C30" s="179">
        <f t="shared" si="0"/>
        <v>93912791.288281336</v>
      </c>
    </row>
    <row r="31" spans="1:4" x14ac:dyDescent="0.25">
      <c r="A31" s="178">
        <f t="shared" si="1"/>
        <v>2000000</v>
      </c>
      <c r="B31" s="173">
        <f>((GSEARCH!A31/$B$12)^$D$12)*$C$12*$F$12</f>
        <v>447467.88153503247</v>
      </c>
      <c r="C31" s="179">
        <f t="shared" si="0"/>
        <v>101100893.15402524</v>
      </c>
    </row>
    <row r="32" spans="1:4" x14ac:dyDescent="0.25">
      <c r="A32" s="178">
        <f t="shared" si="1"/>
        <v>2200000</v>
      </c>
      <c r="B32" s="173">
        <f>((GSEARCH!A32/$B$12)^$D$12)*$C$12*$F$12</f>
        <v>478340.05318439531</v>
      </c>
      <c r="C32" s="179">
        <f t="shared" si="0"/>
        <v>108076151.61648227</v>
      </c>
    </row>
    <row r="33" spans="1:3" x14ac:dyDescent="0.25">
      <c r="A33" s="178">
        <f t="shared" si="1"/>
        <v>2400000</v>
      </c>
      <c r="B33" s="173">
        <f>((GSEARCH!A33/$B$12)^$D$12)*$C$12*$F$12</f>
        <v>508380.33164198685</v>
      </c>
      <c r="C33" s="179">
        <f t="shared" si="0"/>
        <v>114863452.13119051</v>
      </c>
    </row>
    <row r="34" spans="1:3" x14ac:dyDescent="0.25">
      <c r="A34" s="178">
        <f t="shared" si="1"/>
        <v>2600000</v>
      </c>
      <c r="B34" s="173">
        <f>((GSEARCH!A34/$B$12)^$D$12)*$C$12*$F$12</f>
        <v>537677.93504314986</v>
      </c>
      <c r="C34" s="179">
        <f t="shared" si="0"/>
        <v>121482952.64364928</v>
      </c>
    </row>
    <row r="35" spans="1:3" x14ac:dyDescent="0.25">
      <c r="A35" s="178">
        <f t="shared" si="1"/>
        <v>2800000</v>
      </c>
      <c r="B35" s="173">
        <f>((GSEARCH!A35/$B$12)^$D$12)*$C$12*$F$12</f>
        <v>566306.43011710269</v>
      </c>
      <c r="C35" s="179">
        <f t="shared" si="0"/>
        <v>127951274.82065818</v>
      </c>
    </row>
    <row r="36" spans="1:3" x14ac:dyDescent="0.25">
      <c r="A36" s="178">
        <f t="shared" si="1"/>
        <v>3000000</v>
      </c>
      <c r="B36" s="173">
        <f>((GSEARCH!A36/$B$12)^$D$12)*$C$12*$F$12</f>
        <v>594327.39508964703</v>
      </c>
      <c r="C36" s="179">
        <f t="shared" si="0"/>
        <v>134282331.64655486</v>
      </c>
    </row>
    <row r="37" spans="1:3" x14ac:dyDescent="0.25">
      <c r="A37" s="178">
        <f t="shared" si="1"/>
        <v>3200000</v>
      </c>
      <c r="B37" s="173">
        <f>((GSEARCH!A37/$B$12)^$D$12)*$C$12*$F$12</f>
        <v>621793.0389135892</v>
      </c>
      <c r="C37" s="179">
        <f t="shared" si="0"/>
        <v>140487919.21213636</v>
      </c>
    </row>
    <row r="38" spans="1:3" x14ac:dyDescent="0.25">
      <c r="A38" s="178">
        <f t="shared" si="1"/>
        <v>3400000</v>
      </c>
      <c r="B38" s="173">
        <f>((GSEARCH!A38/$B$12)^$D$12)*$C$12*$F$12</f>
        <v>648748.12076629081</v>
      </c>
      <c r="C38" s="179">
        <f t="shared" si="0"/>
        <v>146578150.40593573</v>
      </c>
    </row>
    <row r="39" spans="1:3" x14ac:dyDescent="0.25">
      <c r="A39" s="178">
        <f t="shared" si="1"/>
        <v>3600000</v>
      </c>
      <c r="B39" s="173">
        <f>((GSEARCH!A39/$B$12)^$D$12)*$C$12*$F$12</f>
        <v>675231.38684969023</v>
      </c>
      <c r="C39" s="179">
        <f t="shared" si="0"/>
        <v>152561779.544819</v>
      </c>
    </row>
    <row r="40" spans="1:3" x14ac:dyDescent="0.25">
      <c r="A40" s="178">
        <f t="shared" si="1"/>
        <v>3800000</v>
      </c>
      <c r="B40" s="173">
        <f>((GSEARCH!A40/$B$12)^$D$12)*$C$12*$F$12</f>
        <v>701276.66590064147</v>
      </c>
      <c r="C40" s="179">
        <f t="shared" si="0"/>
        <v>158446449.89359093</v>
      </c>
    </row>
    <row r="41" spans="1:3" x14ac:dyDescent="0.25">
      <c r="A41" s="178">
        <f t="shared" si="1"/>
        <v>4000000</v>
      </c>
      <c r="B41" s="173">
        <f>((GSEARCH!A41/$B$12)^$D$12)*$C$12*$F$12</f>
        <v>726913.71813855623</v>
      </c>
      <c r="C41" s="179">
        <f t="shared" si="0"/>
        <v>164238885.47622541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23" workbookViewId="0">
      <selection activeCell="B21" sqref="B21:C4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13"/>
      <c r="C4" s="414"/>
      <c r="D4" s="414"/>
      <c r="E4" s="414"/>
      <c r="F4" s="41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02" t="s">
        <v>8</v>
      </c>
      <c r="B7" s="407" t="s">
        <v>9</v>
      </c>
      <c r="C7" s="407"/>
      <c r="D7" s="407" t="s">
        <v>12</v>
      </c>
      <c r="E7" s="407"/>
      <c r="F7" s="407"/>
      <c r="G7" s="407" t="s">
        <v>124</v>
      </c>
      <c r="H7" s="407"/>
      <c r="I7" s="412"/>
    </row>
    <row r="8" spans="1:9" x14ac:dyDescent="0.25">
      <c r="A8" s="40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03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37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375"/>
      <c r="B12" s="176">
        <f>'[8]Radio - Power'!$B$12</f>
        <v>1437048.41</v>
      </c>
      <c r="C12" s="176">
        <f>'[8]Radio - Power'!$C$12</f>
        <v>70569.092436493243</v>
      </c>
      <c r="D12" s="336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396" t="s">
        <v>169</v>
      </c>
      <c r="B13" s="397"/>
      <c r="C13" s="397"/>
      <c r="D13" s="397"/>
      <c r="E13" s="150" t="s">
        <v>170</v>
      </c>
      <c r="F13" s="150" t="s">
        <v>171</v>
      </c>
    </row>
    <row r="14" spans="1:9" ht="15.75" thickBot="1" x14ac:dyDescent="0.3">
      <c r="A14" s="399"/>
      <c r="B14" s="400"/>
      <c r="C14" s="400"/>
      <c r="D14" s="40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39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395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75" t="s">
        <v>37</v>
      </c>
      <c r="B19" s="375"/>
      <c r="C19" s="37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109"/>
  <sheetViews>
    <sheetView topLeftCell="A73" workbookViewId="0">
      <selection activeCell="B21" sqref="B21:C9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13"/>
      <c r="C4" s="414"/>
      <c r="D4" s="414"/>
      <c r="E4" s="414"/>
      <c r="F4" s="41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02" t="s">
        <v>8</v>
      </c>
      <c r="B7" s="407" t="s">
        <v>9</v>
      </c>
      <c r="C7" s="407"/>
      <c r="D7" s="407" t="s">
        <v>12</v>
      </c>
      <c r="E7" s="407"/>
      <c r="F7" s="407"/>
      <c r="G7" s="407" t="s">
        <v>124</v>
      </c>
      <c r="H7" s="407"/>
      <c r="I7" s="412"/>
    </row>
    <row r="8" spans="1:9" x14ac:dyDescent="0.25">
      <c r="A8" s="406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03"/>
      <c r="B9" s="171">
        <f>VAC_Optim_Scenario!G25</f>
        <v>13503524.99</v>
      </c>
      <c r="C9" s="171">
        <f>VAC_Optim_Scenario!H25</f>
        <v>13503524.99</v>
      </c>
      <c r="D9" s="172">
        <f>VAC_Optim_Scenario!I25</f>
        <v>13503524.99</v>
      </c>
      <c r="E9" s="84">
        <f>((GTV!D9/$B$12)^$D$12)*$C$12*$F$12</f>
        <v>253686.28893952153</v>
      </c>
      <c r="F9" s="84">
        <f>E9*F11</f>
        <v>253686.28893952153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37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375"/>
      <c r="B12" s="176">
        <f>'[9]TV - Power'!$B$12</f>
        <v>13503524.99</v>
      </c>
      <c r="C12" s="176">
        <f>'[9]TV - Power'!$C$12</f>
        <v>253686.28893952153</v>
      </c>
      <c r="D12" s="336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396" t="s">
        <v>169</v>
      </c>
      <c r="B13" s="397"/>
      <c r="C13" s="397"/>
      <c r="D13" s="397"/>
      <c r="E13" s="150" t="s">
        <v>170</v>
      </c>
      <c r="F13" s="150" t="s">
        <v>171</v>
      </c>
    </row>
    <row r="14" spans="1:9" ht="15.75" thickBot="1" x14ac:dyDescent="0.3">
      <c r="A14" s="399"/>
      <c r="B14" s="400"/>
      <c r="C14" s="400"/>
      <c r="D14" s="400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394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395"/>
      <c r="B17" s="76">
        <v>0</v>
      </c>
      <c r="C17" s="76">
        <v>25000000</v>
      </c>
      <c r="D17" s="26">
        <v>125</v>
      </c>
    </row>
    <row r="18" spans="1:4" x14ac:dyDescent="0.25">
      <c r="A18" s="98"/>
      <c r="B18" s="98"/>
      <c r="C18" s="98"/>
      <c r="D18" s="98"/>
    </row>
    <row r="19" spans="1:4" x14ac:dyDescent="0.25">
      <c r="A19" s="375" t="s">
        <v>37</v>
      </c>
      <c r="B19" s="375"/>
      <c r="C19" s="37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((GTV!A22/$B$12)^$D$12)*$C$12*$F$12</f>
        <v>13295.509529323937</v>
      </c>
      <c r="C22" s="179">
        <f t="shared" ref="C22:C41" si="0">B22*$F$14</f>
        <v>3003987.4230554504</v>
      </c>
    </row>
    <row r="23" spans="1:4" x14ac:dyDescent="0.25">
      <c r="A23" s="178">
        <f t="shared" ref="A23:A86" si="1">A22+(($C$17-$B$17)/$D$17)</f>
        <v>400000</v>
      </c>
      <c r="B23" s="173">
        <f>((GTV!A23/$B$12)^$D$12)*$C$12*$F$12</f>
        <v>21598.618951941058</v>
      </c>
      <c r="C23" s="179">
        <f t="shared" si="0"/>
        <v>4879991.9660015628</v>
      </c>
    </row>
    <row r="24" spans="1:4" x14ac:dyDescent="0.25">
      <c r="A24" s="178">
        <f t="shared" si="1"/>
        <v>600000</v>
      </c>
      <c r="B24" s="173">
        <f>((GTV!A24/$B$12)^$D$12)*$C$12*$F$12</f>
        <v>28687.312473031718</v>
      </c>
      <c r="C24" s="179">
        <f t="shared" si="0"/>
        <v>6481611.3801567862</v>
      </c>
    </row>
    <row r="25" spans="1:4" x14ac:dyDescent="0.25">
      <c r="A25" s="178">
        <f t="shared" si="1"/>
        <v>800000</v>
      </c>
      <c r="B25" s="173">
        <f>((GTV!A25/$B$12)^$D$12)*$C$12*$F$12</f>
        <v>35087.060003398656</v>
      </c>
      <c r="C25" s="179">
        <f t="shared" si="0"/>
        <v>7927570.3371678926</v>
      </c>
    </row>
    <row r="26" spans="1:4" x14ac:dyDescent="0.25">
      <c r="A26" s="178">
        <f t="shared" si="1"/>
        <v>1000000</v>
      </c>
      <c r="B26" s="173">
        <f>((GTV!A26/$B$12)^$D$12)*$C$12*$F$12</f>
        <v>41018.898008547214</v>
      </c>
      <c r="C26" s="179">
        <f t="shared" si="0"/>
        <v>9267809.8160511572</v>
      </c>
    </row>
    <row r="27" spans="1:4" x14ac:dyDescent="0.25">
      <c r="A27" s="178">
        <f t="shared" si="1"/>
        <v>1200000</v>
      </c>
      <c r="B27" s="173">
        <f>((GTV!A27/$B$12)^$D$12)*$C$12*$F$12</f>
        <v>46602.676602480256</v>
      </c>
      <c r="C27" s="179">
        <f t="shared" si="0"/>
        <v>10529408.751564389</v>
      </c>
    </row>
    <row r="28" spans="1:4" x14ac:dyDescent="0.25">
      <c r="A28" s="178">
        <f t="shared" si="1"/>
        <v>1400000</v>
      </c>
      <c r="B28" s="173">
        <f>((GTV!A28/$B$12)^$D$12)*$C$12*$F$12</f>
        <v>51912.699563754672</v>
      </c>
      <c r="C28" s="179">
        <f t="shared" si="0"/>
        <v>11729155.33943473</v>
      </c>
    </row>
    <row r="29" spans="1:4" x14ac:dyDescent="0.25">
      <c r="A29" s="178">
        <f t="shared" si="1"/>
        <v>1600000</v>
      </c>
      <c r="B29" s="173">
        <f>((GTV!A29/$B$12)^$D$12)*$C$12*$F$12</f>
        <v>56999.097137711164</v>
      </c>
      <c r="C29" s="179">
        <f t="shared" si="0"/>
        <v>12878376.007294459</v>
      </c>
    </row>
    <row r="30" spans="1:4" x14ac:dyDescent="0.25">
      <c r="A30" s="178">
        <f t="shared" si="1"/>
        <v>1800000</v>
      </c>
      <c r="B30" s="173">
        <f>((GTV!A30/$B$12)^$D$12)*$C$12*$F$12</f>
        <v>61897.732848092484</v>
      </c>
      <c r="C30" s="179">
        <f t="shared" si="0"/>
        <v>13985173.759698017</v>
      </c>
    </row>
    <row r="31" spans="1:4" x14ac:dyDescent="0.25">
      <c r="A31" s="178">
        <f t="shared" si="1"/>
        <v>2000000</v>
      </c>
      <c r="B31" s="173">
        <f>((GTV!A31/$B$12)^$D$12)*$C$12*$F$12</f>
        <v>66635.396406668966</v>
      </c>
      <c r="C31" s="179">
        <f t="shared" si="0"/>
        <v>15055601.464122785</v>
      </c>
    </row>
    <row r="32" spans="1:4" x14ac:dyDescent="0.25">
      <c r="A32" s="178">
        <f t="shared" si="1"/>
        <v>2200000</v>
      </c>
      <c r="B32" s="173">
        <f>((GTV!A32/$B$12)^$D$12)*$C$12*$F$12</f>
        <v>71232.775303971939</v>
      </c>
      <c r="C32" s="179">
        <f t="shared" si="0"/>
        <v>16094333.25217942</v>
      </c>
    </row>
    <row r="33" spans="1:3" x14ac:dyDescent="0.25">
      <c r="A33" s="178">
        <f t="shared" si="1"/>
        <v>2400000</v>
      </c>
      <c r="B33" s="173">
        <f>((GTV!A33/$B$12)^$D$12)*$C$12*$F$12</f>
        <v>75706.271493958528</v>
      </c>
      <c r="C33" s="179">
        <f t="shared" si="0"/>
        <v>17105074.98134499</v>
      </c>
    </row>
    <row r="34" spans="1:3" x14ac:dyDescent="0.25">
      <c r="A34" s="178">
        <f t="shared" si="1"/>
        <v>2600000</v>
      </c>
      <c r="B34" s="173">
        <f>((GTV!A34/$B$12)^$D$12)*$C$12*$F$12</f>
        <v>80069.171038177607</v>
      </c>
      <c r="C34" s="179">
        <f t="shared" si="0"/>
        <v>18090828.504365847</v>
      </c>
    </row>
    <row r="35" spans="1:3" x14ac:dyDescent="0.25">
      <c r="A35" s="178">
        <f t="shared" si="1"/>
        <v>2800000</v>
      </c>
      <c r="B35" s="173">
        <f>((GTV!A35/$B$12)^$D$12)*$C$12*$F$12</f>
        <v>84332.429243962077</v>
      </c>
      <c r="C35" s="179">
        <f t="shared" si="0"/>
        <v>19054069.063380793</v>
      </c>
    </row>
    <row r="36" spans="1:3" x14ac:dyDescent="0.25">
      <c r="A36" s="178">
        <f t="shared" si="1"/>
        <v>3000000</v>
      </c>
      <c r="B36" s="173">
        <f>((GTV!A36/$B$12)^$D$12)*$C$12*$F$12</f>
        <v>88505.216131453315</v>
      </c>
      <c r="C36" s="179">
        <f t="shared" si="0"/>
        <v>19996868.532740563</v>
      </c>
    </row>
    <row r="37" spans="1:3" x14ac:dyDescent="0.25">
      <c r="A37" s="178">
        <f t="shared" si="1"/>
        <v>3200000</v>
      </c>
      <c r="B37" s="173">
        <f>((GTV!A37/$B$12)^$D$12)*$C$12*$F$12</f>
        <v>92595.306480495492</v>
      </c>
      <c r="C37" s="179">
        <f t="shared" si="0"/>
        <v>20920983.546203151</v>
      </c>
    </row>
    <row r="38" spans="1:3" x14ac:dyDescent="0.25">
      <c r="A38" s="178">
        <f t="shared" si="1"/>
        <v>3400000</v>
      </c>
      <c r="B38" s="173">
        <f>((GTV!A38/$B$12)^$D$12)*$C$12*$F$12</f>
        <v>96609.365675687935</v>
      </c>
      <c r="C38" s="179">
        <f t="shared" si="0"/>
        <v>21827920.080764931</v>
      </c>
    </row>
    <row r="39" spans="1:3" x14ac:dyDescent="0.25">
      <c r="A39" s="178">
        <f t="shared" si="1"/>
        <v>3600000</v>
      </c>
      <c r="B39" s="173">
        <f>((GTV!A39/$B$12)^$D$12)*$C$12*$F$12</f>
        <v>100553.16366976241</v>
      </c>
      <c r="C39" s="179">
        <f t="shared" si="0"/>
        <v>22718981.799546119</v>
      </c>
    </row>
    <row r="40" spans="1:3" x14ac:dyDescent="0.25">
      <c r="A40" s="178">
        <f t="shared" si="1"/>
        <v>3800000</v>
      </c>
      <c r="B40" s="173">
        <f>((GTV!A40/$B$12)^$D$12)*$C$12*$F$12</f>
        <v>104431.73812325994</v>
      </c>
      <c r="C40" s="179">
        <f t="shared" si="0"/>
        <v>23595306.911569353</v>
      </c>
    </row>
    <row r="41" spans="1:3" x14ac:dyDescent="0.25">
      <c r="A41" s="178">
        <f t="shared" si="1"/>
        <v>4000000</v>
      </c>
      <c r="B41" s="173">
        <f>((GTV!A41/$B$12)^$D$12)*$C$12*$F$12</f>
        <v>108249.52082692913</v>
      </c>
      <c r="C41" s="179">
        <f t="shared" si="0"/>
        <v>24457896.735636368</v>
      </c>
    </row>
    <row r="42" spans="1:3" x14ac:dyDescent="0.25">
      <c r="A42" s="178">
        <f t="shared" si="1"/>
        <v>4200000</v>
      </c>
      <c r="B42" s="173">
        <f>((GTV!A42/$B$12)^$D$12)*$C$12*$F$12</f>
        <v>112010.43708926391</v>
      </c>
      <c r="C42" s="179">
        <f t="shared" ref="C42:C105" si="2">B42*$F$14</f>
        <v>25307638.155948289</v>
      </c>
    </row>
    <row r="43" spans="1:3" x14ac:dyDescent="0.25">
      <c r="A43" s="178">
        <f t="shared" si="1"/>
        <v>4400000</v>
      </c>
      <c r="B43" s="173">
        <f>((GTV!A43/$B$12)^$D$12)*$C$12*$F$12</f>
        <v>115717.98487951298</v>
      </c>
      <c r="C43" s="179">
        <f t="shared" si="2"/>
        <v>26145321.503677163</v>
      </c>
    </row>
    <row r="44" spans="1:3" x14ac:dyDescent="0.25">
      <c r="A44" s="178">
        <f t="shared" si="1"/>
        <v>4600000</v>
      </c>
      <c r="B44" s="173">
        <f>((GTV!A44/$B$12)^$D$12)*$C$12*$F$12</f>
        <v>119375.29858034132</v>
      </c>
      <c r="C44" s="179">
        <f t="shared" si="2"/>
        <v>26971654.961242318</v>
      </c>
    </row>
    <row r="45" spans="1:3" x14ac:dyDescent="0.25">
      <c r="A45" s="178">
        <f t="shared" si="1"/>
        <v>4800000</v>
      </c>
      <c r="B45" s="173">
        <f>((GTV!A45/$B$12)^$D$12)*$C$12*$F$12</f>
        <v>122985.20088032713</v>
      </c>
      <c r="C45" s="179">
        <f t="shared" si="2"/>
        <v>27787276.286901113</v>
      </c>
    </row>
    <row r="46" spans="1:3" x14ac:dyDescent="0.25">
      <c r="A46" s="178">
        <f t="shared" si="1"/>
        <v>5000000</v>
      </c>
      <c r="B46" s="173">
        <f>((GTV!A46/$B$12)^$D$12)*$C$12*$F$12</f>
        <v>126550.24541365997</v>
      </c>
      <c r="C46" s="179">
        <f t="shared" si="2"/>
        <v>28592762.448762335</v>
      </c>
    </row>
    <row r="47" spans="1:3" x14ac:dyDescent="0.25">
      <c r="A47" s="178">
        <f t="shared" si="1"/>
        <v>5200000</v>
      </c>
      <c r="B47" s="173">
        <f>((GTV!A47/$B$12)^$D$12)*$C$12*$F$12</f>
        <v>130072.75210003412</v>
      </c>
      <c r="C47" s="179">
        <f t="shared" si="2"/>
        <v>29388637.609481711</v>
      </c>
    </row>
    <row r="48" spans="1:3" x14ac:dyDescent="0.25">
      <c r="A48" s="178">
        <f t="shared" si="1"/>
        <v>5400000</v>
      </c>
      <c r="B48" s="173">
        <f>((GTV!A48/$B$12)^$D$12)*$C$12*$F$12</f>
        <v>133554.83666640345</v>
      </c>
      <c r="C48" s="179">
        <f t="shared" si="2"/>
        <v>30175379.796407197</v>
      </c>
    </row>
    <row r="49" spans="1:3" x14ac:dyDescent="0.25">
      <c r="A49" s="178">
        <f t="shared" si="1"/>
        <v>5600000</v>
      </c>
      <c r="B49" s="173">
        <f>((GTV!A49/$B$12)^$D$12)*$C$12*$F$12</f>
        <v>136998.4354879017</v>
      </c>
      <c r="C49" s="179">
        <f t="shared" si="2"/>
        <v>30953426.514136512</v>
      </c>
    </row>
    <row r="50" spans="1:3" x14ac:dyDescent="0.25">
      <c r="A50" s="178">
        <f t="shared" si="1"/>
        <v>5800000</v>
      </c>
      <c r="B50" s="173">
        <f>((GTV!A50/$B$12)^$D$12)*$C$12*$F$12</f>
        <v>140405.32663032421</v>
      </c>
      <c r="C50" s="179">
        <f t="shared" si="2"/>
        <v>31723179.498855453</v>
      </c>
    </row>
    <row r="51" spans="1:3" x14ac:dyDescent="0.25">
      <c r="A51" s="178">
        <f t="shared" si="1"/>
        <v>6000000</v>
      </c>
      <c r="B51" s="173">
        <f>((GTV!A51/$B$12)^$D$12)*$C$12*$F$12</f>
        <v>143777.14778559905</v>
      </c>
      <c r="C51" s="179">
        <f t="shared" si="2"/>
        <v>32485008.770678248</v>
      </c>
    </row>
    <row r="52" spans="1:3" x14ac:dyDescent="0.25">
      <c r="A52" s="178">
        <f t="shared" si="1"/>
        <v>6200000</v>
      </c>
      <c r="B52" s="173">
        <f>((GTV!A52/$B$12)^$D$12)*$C$12*$F$12</f>
        <v>147115.41164701313</v>
      </c>
      <c r="C52" s="179">
        <f t="shared" si="2"/>
        <v>33239256.107526146</v>
      </c>
    </row>
    <row r="53" spans="1:3" x14ac:dyDescent="0.25">
      <c r="A53" s="178">
        <f t="shared" si="1"/>
        <v>6400000</v>
      </c>
      <c r="B53" s="173">
        <f>((GTV!A53/$B$12)^$D$12)*$C$12*$F$12</f>
        <v>150421.51916024502</v>
      </c>
      <c r="C53" s="179">
        <f t="shared" si="2"/>
        <v>33986238.039065763</v>
      </c>
    </row>
    <row r="54" spans="1:3" x14ac:dyDescent="0.25">
      <c r="A54" s="178">
        <f t="shared" si="1"/>
        <v>6600000</v>
      </c>
      <c r="B54" s="173">
        <f>((GTV!A54/$B$12)^$D$12)*$C$12*$F$12</f>
        <v>153696.77100071314</v>
      </c>
      <c r="C54" s="179">
        <f t="shared" si="2"/>
        <v>34726248.439901128</v>
      </c>
    </row>
    <row r="55" spans="1:3" x14ac:dyDescent="0.25">
      <c r="A55" s="178">
        <f t="shared" si="1"/>
        <v>6800000</v>
      </c>
      <c r="B55" s="173">
        <f>((GTV!A55/$B$12)^$D$12)*$C$12*$F$12</f>
        <v>156942.37756106671</v>
      </c>
      <c r="C55" s="179">
        <f t="shared" si="2"/>
        <v>35459560.786147408</v>
      </c>
    </row>
    <row r="56" spans="1:3" x14ac:dyDescent="0.25">
      <c r="A56" s="178">
        <f t="shared" si="1"/>
        <v>7000000</v>
      </c>
      <c r="B56" s="173">
        <f>((GTV!A56/$B$12)^$D$12)*$C$12*$F$12</f>
        <v>160159.46768023449</v>
      </c>
      <c r="C56" s="179">
        <f t="shared" si="2"/>
        <v>36186430.127672181</v>
      </c>
    </row>
    <row r="57" spans="1:3" x14ac:dyDescent="0.25">
      <c r="A57" s="178">
        <f t="shared" si="1"/>
        <v>7200000</v>
      </c>
      <c r="B57" s="173">
        <f>((GTV!A57/$B$12)^$D$12)*$C$12*$F$12</f>
        <v>163349.09630393054</v>
      </c>
      <c r="C57" s="179">
        <f t="shared" si="2"/>
        <v>36907094.818910062</v>
      </c>
    </row>
    <row r="58" spans="1:3" x14ac:dyDescent="0.25">
      <c r="A58" s="178">
        <f t="shared" si="1"/>
        <v>7400000</v>
      </c>
      <c r="B58" s="173">
        <f>((GTV!A58/$B$12)^$D$12)*$C$12*$F$12</f>
        <v>166512.25123339379</v>
      </c>
      <c r="C58" s="179">
        <f t="shared" si="2"/>
        <v>37621778.043672994</v>
      </c>
    </row>
    <row r="59" spans="1:3" x14ac:dyDescent="0.25">
      <c r="A59" s="178">
        <f t="shared" si="1"/>
        <v>7600000</v>
      </c>
      <c r="B59" s="173">
        <f>((GTV!A59/$B$12)^$D$12)*$C$12*$F$12</f>
        <v>169649.85909252943</v>
      </c>
      <c r="C59" s="179">
        <f t="shared" si="2"/>
        <v>38330689.163366102</v>
      </c>
    </row>
    <row r="60" spans="1:3" x14ac:dyDescent="0.25">
      <c r="A60" s="178">
        <f t="shared" si="1"/>
        <v>7800000</v>
      </c>
      <c r="B60" s="173">
        <f>((GTV!A60/$B$12)^$D$12)*$C$12*$F$12</f>
        <v>172762.79062210722</v>
      </c>
      <c r="C60" s="179">
        <f t="shared" si="2"/>
        <v>39034024.913158901</v>
      </c>
    </row>
    <row r="61" spans="1:3" x14ac:dyDescent="0.25">
      <c r="A61" s="178">
        <f t="shared" si="1"/>
        <v>8000000</v>
      </c>
      <c r="B61" s="173">
        <f>((GTV!A61/$B$12)^$D$12)*$C$12*$F$12</f>
        <v>175851.8653921748</v>
      </c>
      <c r="C61" s="179">
        <f t="shared" si="2"/>
        <v>39731970.466707975</v>
      </c>
    </row>
    <row r="62" spans="1:3" x14ac:dyDescent="0.25">
      <c r="A62" s="178">
        <f t="shared" si="1"/>
        <v>8200000</v>
      </c>
      <c r="B62" s="173">
        <f>((GTV!A62/$B$12)^$D$12)*$C$12*$F$12</f>
        <v>178917.85600953078</v>
      </c>
      <c r="C62" s="179">
        <f t="shared" si="2"/>
        <v>40424700.386793382</v>
      </c>
    </row>
    <row r="63" spans="1:3" x14ac:dyDescent="0.25">
      <c r="A63" s="178">
        <f t="shared" si="1"/>
        <v>8400000</v>
      </c>
      <c r="B63" s="173">
        <f>((GTV!A63/$B$12)^$D$12)*$C$12*$F$12</f>
        <v>181961.49188532791</v>
      </c>
      <c r="C63" s="179">
        <f t="shared" si="2"/>
        <v>41112379.476570986</v>
      </c>
    </row>
    <row r="64" spans="1:3" x14ac:dyDescent="0.25">
      <c r="A64" s="178">
        <f t="shared" si="1"/>
        <v>8600000</v>
      </c>
      <c r="B64" s="173">
        <f>((GTV!A64/$B$12)^$D$12)*$C$12*$F$12</f>
        <v>184983.46261814746</v>
      </c>
      <c r="C64" s="179">
        <f t="shared" si="2"/>
        <v>41795163.54394424</v>
      </c>
    </row>
    <row r="65" spans="1:3" x14ac:dyDescent="0.25">
      <c r="A65" s="178">
        <f t="shared" si="1"/>
        <v>8800000</v>
      </c>
      <c r="B65" s="173">
        <f>((GTV!A65/$B$12)^$D$12)*$C$12*$F$12</f>
        <v>187984.42103979809</v>
      </c>
      <c r="C65" s="179">
        <f t="shared" si="2"/>
        <v>42473200.089731984</v>
      </c>
    </row>
    <row r="66" spans="1:3" x14ac:dyDescent="0.25">
      <c r="A66" s="178">
        <f t="shared" si="1"/>
        <v>9000000</v>
      </c>
      <c r="B66" s="173">
        <f>((GTV!A66/$B$12)^$D$12)*$C$12*$F$12</f>
        <v>190964.98596434863</v>
      </c>
      <c r="C66" s="179">
        <f t="shared" si="2"/>
        <v>43146628.928784929</v>
      </c>
    </row>
    <row r="67" spans="1:3" x14ac:dyDescent="0.25">
      <c r="A67" s="178">
        <f t="shared" si="1"/>
        <v>9200000</v>
      </c>
      <c r="B67" s="173">
        <f>((GTV!A67/$B$12)^$D$12)*$C$12*$F$12</f>
        <v>193925.74467524668</v>
      </c>
      <c r="C67" s="179">
        <f t="shared" si="2"/>
        <v>43815582.751925237</v>
      </c>
    </row>
    <row r="68" spans="1:3" x14ac:dyDescent="0.25">
      <c r="A68" s="178">
        <f t="shared" si="1"/>
        <v>9400000</v>
      </c>
      <c r="B68" s="173">
        <f>((GTV!A68/$B$12)^$D$12)*$C$12*$F$12</f>
        <v>196867.25518061523</v>
      </c>
      <c r="C68" s="179">
        <f t="shared" si="2"/>
        <v>44480187.635508202</v>
      </c>
    </row>
    <row r="69" spans="1:3" x14ac:dyDescent="0.25">
      <c r="A69" s="178">
        <f t="shared" si="1"/>
        <v>9600000</v>
      </c>
      <c r="B69" s="173">
        <f>((GTV!A69/$B$12)^$D$12)*$C$12*$F$12</f>
        <v>199790.04826279741</v>
      </c>
      <c r="C69" s="179">
        <f t="shared" si="2"/>
        <v>45140563.504496448</v>
      </c>
    </row>
    <row r="70" spans="1:3" x14ac:dyDescent="0.25">
      <c r="A70" s="178">
        <f t="shared" si="1"/>
        <v>9800000</v>
      </c>
      <c r="B70" s="173">
        <f>((GTV!A70/$B$12)^$D$12)*$C$12*$F$12</f>
        <v>202694.62934480628</v>
      </c>
      <c r="C70" s="179">
        <f t="shared" si="2"/>
        <v>45796824.554165527</v>
      </c>
    </row>
    <row r="71" spans="1:3" x14ac:dyDescent="0.25">
      <c r="A71" s="178">
        <f t="shared" si="1"/>
        <v>10000000</v>
      </c>
      <c r="B71" s="173">
        <f>((GTV!A71/$B$12)^$D$12)*$C$12*$F$12</f>
        <v>205581.48019343003</v>
      </c>
      <c r="C71" s="179">
        <f t="shared" si="2"/>
        <v>46449079.63490358</v>
      </c>
    </row>
    <row r="72" spans="1:3" x14ac:dyDescent="0.25">
      <c r="A72" s="178">
        <f t="shared" si="1"/>
        <v>10200000</v>
      </c>
      <c r="B72" s="173">
        <f>((GTV!A72/$B$12)^$D$12)*$C$12*$F$12</f>
        <v>208451.06047626369</v>
      </c>
      <c r="C72" s="179">
        <f t="shared" si="2"/>
        <v>47097432.604007021</v>
      </c>
    </row>
    <row r="73" spans="1:3" x14ac:dyDescent="0.25">
      <c r="A73" s="178">
        <f t="shared" si="1"/>
        <v>10400000</v>
      </c>
      <c r="B73" s="173">
        <f>((GTV!A73/$B$12)^$D$12)*$C$12*$F$12</f>
        <v>211303.80918780653</v>
      </c>
      <c r="C73" s="179">
        <f t="shared" si="2"/>
        <v>47741982.647893004</v>
      </c>
    </row>
    <row r="74" spans="1:3" x14ac:dyDescent="0.25">
      <c r="A74" s="178">
        <f t="shared" si="1"/>
        <v>10600000</v>
      </c>
      <c r="B74" s="173">
        <f>((GTV!A74/$B$12)^$D$12)*$C$12*$F$12</f>
        <v>214140.14595793781</v>
      </c>
      <c r="C74" s="179">
        <f t="shared" si="2"/>
        <v>48382824.577736467</v>
      </c>
    </row>
    <row r="75" spans="1:3" x14ac:dyDescent="0.25">
      <c r="A75" s="178">
        <f t="shared" si="1"/>
        <v>10800000</v>
      </c>
      <c r="B75" s="173">
        <f>((GTV!A75/$B$12)^$D$12)*$C$12*$F$12</f>
        <v>216960.47225450363</v>
      </c>
      <c r="C75" s="179">
        <f t="shared" si="2"/>
        <v>49020049.10118255</v>
      </c>
    </row>
    <row r="76" spans="1:3" x14ac:dyDescent="0.25">
      <c r="A76" s="178">
        <f t="shared" si="1"/>
        <v>11000000</v>
      </c>
      <c r="B76" s="173">
        <f>((GTV!A76/$B$12)^$D$12)*$C$12*$F$12</f>
        <v>219765.17249038158</v>
      </c>
      <c r="C76" s="179">
        <f t="shared" si="2"/>
        <v>49653743.072476812</v>
      </c>
    </row>
    <row r="77" spans="1:3" x14ac:dyDescent="0.25">
      <c r="A77" s="178">
        <f t="shared" si="1"/>
        <v>11200000</v>
      </c>
      <c r="B77" s="173">
        <f>((GTV!A77/$B$12)^$D$12)*$C$12*$F$12</f>
        <v>222554.61504420661</v>
      </c>
      <c r="C77" s="179">
        <f t="shared" si="2"/>
        <v>50283989.723088041</v>
      </c>
    </row>
    <row r="78" spans="1:3" x14ac:dyDescent="0.25">
      <c r="A78" s="178">
        <f t="shared" si="1"/>
        <v>11400000</v>
      </c>
      <c r="B78" s="173">
        <f>((GTV!A78/$B$12)^$D$12)*$C$12*$F$12</f>
        <v>225329.15320290957</v>
      </c>
      <c r="C78" s="179">
        <f t="shared" si="2"/>
        <v>50910868.874665387</v>
      </c>
    </row>
    <row r="79" spans="1:3" x14ac:dyDescent="0.25">
      <c r="A79" s="178">
        <f t="shared" si="1"/>
        <v>11600000</v>
      </c>
      <c r="B79" s="173">
        <f>((GTV!A79/$B$12)^$D$12)*$C$12*$F$12</f>
        <v>228089.12603332163</v>
      </c>
      <c r="C79" s="179">
        <f t="shared" si="2"/>
        <v>51534457.135968693</v>
      </c>
    </row>
    <row r="80" spans="1:3" x14ac:dyDescent="0.25">
      <c r="A80" s="178">
        <f t="shared" si="1"/>
        <v>11800000</v>
      </c>
      <c r="B80" s="173">
        <f>((GTV!A80/$B$12)^$D$12)*$C$12*$F$12</f>
        <v>230834.85918931183</v>
      </c>
      <c r="C80" s="179">
        <f t="shared" si="2"/>
        <v>52154828.085233115</v>
      </c>
    </row>
    <row r="81" spans="1:3" x14ac:dyDescent="0.25">
      <c r="A81" s="178">
        <f t="shared" si="1"/>
        <v>12000000</v>
      </c>
      <c r="B81" s="173">
        <f>((GTV!A81/$B$12)^$D$12)*$C$12*$F$12</f>
        <v>233566.66566023487</v>
      </c>
      <c r="C81" s="179">
        <f t="shared" si="2"/>
        <v>52772052.439273462</v>
      </c>
    </row>
    <row r="82" spans="1:3" x14ac:dyDescent="0.25">
      <c r="A82" s="178">
        <f t="shared" si="1"/>
        <v>12200000</v>
      </c>
      <c r="B82" s="173">
        <f>((GTV!A82/$B$12)^$D$12)*$C$12*$F$12</f>
        <v>236284.84646586311</v>
      </c>
      <c r="C82" s="179">
        <f t="shared" si="2"/>
        <v>53386198.210497111</v>
      </c>
    </row>
    <row r="83" spans="1:3" x14ac:dyDescent="0.25">
      <c r="A83" s="178">
        <f t="shared" si="1"/>
        <v>12400000</v>
      </c>
      <c r="B83" s="173">
        <f>((GTV!A83/$B$12)^$D$12)*$C$12*$F$12</f>
        <v>238989.69130244092</v>
      </c>
      <c r="C83" s="179">
        <f t="shared" si="2"/>
        <v>53997330.852873497</v>
      </c>
    </row>
    <row r="84" spans="1:3" x14ac:dyDescent="0.25">
      <c r="A84" s="178">
        <f t="shared" si="1"/>
        <v>12600000</v>
      </c>
      <c r="B84" s="173">
        <f>((GTV!A84/$B$12)^$D$12)*$C$12*$F$12</f>
        <v>241681.47914403147</v>
      </c>
      <c r="C84" s="179">
        <f t="shared" si="2"/>
        <v>54605513.397802472</v>
      </c>
    </row>
    <row r="85" spans="1:3" x14ac:dyDescent="0.25">
      <c r="A85" s="178">
        <f t="shared" si="1"/>
        <v>12800000</v>
      </c>
      <c r="B85" s="173">
        <f>((GTV!A85/$B$12)^$D$12)*$C$12*$F$12</f>
        <v>244360.47880290882</v>
      </c>
      <c r="C85" s="179">
        <f t="shared" si="2"/>
        <v>55210806.580729216</v>
      </c>
    </row>
    <row r="86" spans="1:3" x14ac:dyDescent="0.25">
      <c r="A86" s="178">
        <f t="shared" si="1"/>
        <v>13000000</v>
      </c>
      <c r="B86" s="173">
        <f>((GTV!A86/$B$12)^$D$12)*$C$12*$F$12</f>
        <v>247026.94945237925</v>
      </c>
      <c r="C86" s="179">
        <f t="shared" si="2"/>
        <v>55813268.959270567</v>
      </c>
    </row>
    <row r="87" spans="1:3" x14ac:dyDescent="0.25">
      <c r="A87" s="178">
        <f t="shared" ref="A87:A109" si="3">A86+(($C$17-$B$17)/$D$17)</f>
        <v>13200000</v>
      </c>
      <c r="B87" s="173">
        <f>((GTV!A87/$B$12)^$D$12)*$C$12*$F$12</f>
        <v>249681.14111508959</v>
      </c>
      <c r="C87" s="179">
        <f t="shared" si="2"/>
        <v>56412957.023543343</v>
      </c>
    </row>
    <row r="88" spans="1:3" x14ac:dyDescent="0.25">
      <c r="A88" s="178">
        <f t="shared" si="3"/>
        <v>13400000</v>
      </c>
      <c r="B88" s="173">
        <f>((GTV!A88/$B$12)^$D$12)*$C$12*$F$12</f>
        <v>252323.29511958794</v>
      </c>
      <c r="C88" s="179">
        <f t="shared" si="2"/>
        <v>57009925.299319699</v>
      </c>
    </row>
    <row r="89" spans="1:3" x14ac:dyDescent="0.25">
      <c r="A89" s="178">
        <f t="shared" si="3"/>
        <v>13600000</v>
      </c>
      <c r="B89" s="173">
        <f>((GTV!A89/$B$12)^$D$12)*$C$12*$F$12</f>
        <v>254953.64452764302</v>
      </c>
      <c r="C89" s="179">
        <f t="shared" si="2"/>
        <v>57604226.44457566</v>
      </c>
    </row>
    <row r="90" spans="1:3" x14ac:dyDescent="0.25">
      <c r="A90" s="178">
        <f t="shared" si="3"/>
        <v>13800000</v>
      </c>
      <c r="B90" s="173">
        <f>((GTV!A90/$B$12)^$D$12)*$C$12*$F$12</f>
        <v>257572.41453459708</v>
      </c>
      <c r="C90" s="179">
        <f t="shared" si="2"/>
        <v>58195911.339946866</v>
      </c>
    </row>
    <row r="91" spans="1:3" x14ac:dyDescent="0.25">
      <c r="A91" s="178">
        <f t="shared" si="3"/>
        <v>14000000</v>
      </c>
      <c r="B91" s="173">
        <f>((GTV!A91/$B$12)^$D$12)*$C$12*$F$12</f>
        <v>260179.82284481902</v>
      </c>
      <c r="C91" s="179">
        <f t="shared" si="2"/>
        <v>58785029.173558407</v>
      </c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04" t="s">
        <v>106</v>
      </c>
      <c r="C4" s="404"/>
      <c r="D4" s="404"/>
      <c r="E4" s="404"/>
      <c r="F4" s="40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02" t="s">
        <v>8</v>
      </c>
      <c r="B7" s="407" t="s">
        <v>9</v>
      </c>
      <c r="C7" s="408"/>
      <c r="D7" s="409" t="s">
        <v>12</v>
      </c>
      <c r="E7" s="410"/>
      <c r="F7" s="411"/>
      <c r="G7" s="407" t="s">
        <v>124</v>
      </c>
      <c r="H7" s="407"/>
      <c r="I7" s="412"/>
      <c r="J7" s="98" t="s">
        <v>125</v>
      </c>
    </row>
    <row r="8" spans="1:18" ht="28.15" customHeight="1" x14ac:dyDescent="0.2">
      <c r="A8" s="40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0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0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39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0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39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396" t="s">
        <v>114</v>
      </c>
      <c r="B13" s="397"/>
      <c r="C13" s="397"/>
      <c r="D13" s="397"/>
      <c r="E13" s="397"/>
      <c r="F13" s="398"/>
      <c r="G13" s="119" t="s">
        <v>150</v>
      </c>
      <c r="H13" s="119" t="s">
        <v>151</v>
      </c>
      <c r="K13" s="396" t="s">
        <v>115</v>
      </c>
      <c r="L13" s="397"/>
      <c r="M13" s="397"/>
      <c r="N13" s="397"/>
      <c r="O13" s="397"/>
      <c r="P13" s="397"/>
      <c r="Q13" s="397"/>
      <c r="R13" s="398"/>
    </row>
    <row r="14" spans="1:18" ht="33.6" customHeight="1" thickBot="1" x14ac:dyDescent="0.25">
      <c r="A14" s="399"/>
      <c r="B14" s="400"/>
      <c r="C14" s="400"/>
      <c r="D14" s="400"/>
      <c r="E14" s="400"/>
      <c r="F14" s="401"/>
      <c r="G14" s="95">
        <f>VAC_Optim_Scenario!I32</f>
        <v>225.94</v>
      </c>
      <c r="H14" s="95">
        <f>VAC_Optim_Scenario!G32</f>
        <v>225.94</v>
      </c>
      <c r="K14" s="399"/>
      <c r="L14" s="400"/>
      <c r="M14" s="400"/>
      <c r="N14" s="400"/>
      <c r="O14" s="400"/>
      <c r="P14" s="400"/>
      <c r="Q14" s="400"/>
      <c r="R14" s="401"/>
    </row>
    <row r="16" spans="1:18" ht="13.5" thickBot="1" x14ac:dyDescent="0.25"/>
    <row r="17" spans="1:8" ht="42.6" customHeight="1" x14ac:dyDescent="0.2">
      <c r="A17" s="39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395"/>
      <c r="B18" s="75">
        <v>0</v>
      </c>
      <c r="C18" s="76">
        <v>4000000</v>
      </c>
      <c r="D18" s="26">
        <v>20</v>
      </c>
    </row>
    <row r="20" spans="1:8" x14ac:dyDescent="0.2">
      <c r="A20" s="375" t="s">
        <v>37</v>
      </c>
      <c r="B20" s="375"/>
      <c r="C20" s="375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2" ht="13.5" thickBot="1" x14ac:dyDescent="0.25">
      <c r="A4" s="29" t="s">
        <v>38</v>
      </c>
      <c r="B4" s="416" t="s">
        <v>39</v>
      </c>
      <c r="C4" s="416"/>
      <c r="D4" s="417"/>
    </row>
    <row r="6" spans="1:12" ht="13.5" thickBot="1" x14ac:dyDescent="0.25"/>
    <row r="7" spans="1:12" ht="27.75" customHeight="1" x14ac:dyDescent="0.2">
      <c r="A7" s="402" t="s">
        <v>8</v>
      </c>
      <c r="B7" s="407" t="s">
        <v>9</v>
      </c>
      <c r="C7" s="408"/>
      <c r="D7" s="409" t="s">
        <v>12</v>
      </c>
      <c r="E7" s="411"/>
      <c r="F7" s="410" t="s">
        <v>24</v>
      </c>
      <c r="G7" s="424"/>
    </row>
    <row r="8" spans="1:12" ht="25.5" x14ac:dyDescent="0.2">
      <c r="A8" s="40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0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0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03"/>
      <c r="B12" s="12">
        <v>20</v>
      </c>
      <c r="C12" s="12">
        <v>30</v>
      </c>
      <c r="D12" s="12">
        <v>0</v>
      </c>
      <c r="E12" s="14">
        <v>70</v>
      </c>
      <c r="G12" s="40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396" t="s">
        <v>30</v>
      </c>
      <c r="B13" s="397"/>
      <c r="C13" s="397"/>
      <c r="D13" s="397"/>
      <c r="E13" s="398"/>
      <c r="G13" s="418" t="s">
        <v>29</v>
      </c>
      <c r="H13" s="419"/>
      <c r="I13" s="419"/>
      <c r="J13" s="420"/>
    </row>
    <row r="14" spans="1:12" ht="33.6" customHeight="1" x14ac:dyDescent="0.2">
      <c r="A14" s="399"/>
      <c r="B14" s="400"/>
      <c r="C14" s="400"/>
      <c r="D14" s="400"/>
      <c r="E14" s="401"/>
      <c r="G14" s="421"/>
      <c r="H14" s="422"/>
      <c r="I14" s="422"/>
      <c r="J14" s="423"/>
    </row>
    <row r="16" spans="1:12" ht="13.5" thickBot="1" x14ac:dyDescent="0.25"/>
    <row r="17" spans="1:4" ht="16.899999999999999" customHeight="1" x14ac:dyDescent="0.2">
      <c r="A17" s="394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395"/>
      <c r="B18" s="12">
        <v>0</v>
      </c>
      <c r="C18" s="12">
        <v>100</v>
      </c>
      <c r="D18" s="26">
        <v>20</v>
      </c>
    </row>
    <row r="20" spans="1:4" x14ac:dyDescent="0.2">
      <c r="A20" s="375" t="s">
        <v>37</v>
      </c>
      <c r="B20" s="37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2" ht="31.9" customHeight="1" thickBot="1" x14ac:dyDescent="0.25">
      <c r="A4" s="29" t="s">
        <v>38</v>
      </c>
      <c r="B4" s="425" t="s">
        <v>41</v>
      </c>
      <c r="C4" s="426"/>
      <c r="D4" s="427"/>
    </row>
    <row r="6" spans="1:12" ht="13.5" thickBot="1" x14ac:dyDescent="0.25"/>
    <row r="7" spans="1:12" ht="27.75" customHeight="1" x14ac:dyDescent="0.2">
      <c r="A7" s="402" t="s">
        <v>8</v>
      </c>
      <c r="B7" s="407" t="s">
        <v>9</v>
      </c>
      <c r="C7" s="408"/>
      <c r="D7" s="409" t="s">
        <v>12</v>
      </c>
      <c r="E7" s="411"/>
      <c r="F7" s="410" t="s">
        <v>24</v>
      </c>
      <c r="G7" s="424"/>
      <c r="H7" s="1" t="s">
        <v>54</v>
      </c>
    </row>
    <row r="8" spans="1:12" ht="25.5" x14ac:dyDescent="0.2">
      <c r="A8" s="40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02" t="s">
        <v>42</v>
      </c>
      <c r="B11" s="372" t="s">
        <v>47</v>
      </c>
      <c r="C11" s="429" t="s">
        <v>46</v>
      </c>
      <c r="D11" s="410"/>
      <c r="E11" s="410"/>
      <c r="F11" s="3" t="s">
        <v>48</v>
      </c>
      <c r="G11" s="33"/>
      <c r="H11" s="32"/>
      <c r="I11" s="32"/>
      <c r="J11" s="32"/>
    </row>
    <row r="12" spans="1:12" x14ac:dyDescent="0.2">
      <c r="A12" s="430"/>
      <c r="B12" s="371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3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28" t="s">
        <v>52</v>
      </c>
      <c r="B14" s="428"/>
      <c r="C14" s="428"/>
      <c r="D14" s="428"/>
      <c r="E14" s="428"/>
      <c r="F14" s="428"/>
      <c r="G14" s="38"/>
      <c r="H14" s="39"/>
      <c r="I14" s="39"/>
      <c r="J14" s="39"/>
    </row>
    <row r="15" spans="1:12" ht="30.6" customHeight="1" x14ac:dyDescent="0.2">
      <c r="A15" s="428"/>
      <c r="B15" s="428"/>
      <c r="C15" s="428"/>
      <c r="D15" s="428"/>
      <c r="E15" s="428"/>
      <c r="F15" s="428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394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395"/>
      <c r="B19" s="12">
        <v>0</v>
      </c>
      <c r="C19" s="12">
        <v>20000000</v>
      </c>
      <c r="D19" s="26">
        <v>20</v>
      </c>
    </row>
    <row r="21" spans="1:4" x14ac:dyDescent="0.2">
      <c r="A21" s="375" t="s">
        <v>37</v>
      </c>
      <c r="B21" s="37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32" t="s">
        <v>106</v>
      </c>
      <c r="C4" s="432"/>
      <c r="D4" s="432"/>
      <c r="E4" s="432"/>
      <c r="F4" s="433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02" t="s">
        <v>8</v>
      </c>
      <c r="B7" s="407" t="s">
        <v>9</v>
      </c>
      <c r="C7" s="408"/>
      <c r="D7" s="409" t="s">
        <v>12</v>
      </c>
      <c r="E7" s="411"/>
      <c r="F7" s="410" t="s">
        <v>24</v>
      </c>
      <c r="G7" s="424"/>
    </row>
    <row r="8" spans="1:15" ht="25.5" x14ac:dyDescent="0.2">
      <c r="A8" s="40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0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0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39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0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39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396" t="s">
        <v>114</v>
      </c>
      <c r="B13" s="397"/>
      <c r="C13" s="397"/>
      <c r="D13" s="397"/>
      <c r="E13" s="397"/>
      <c r="F13" s="398"/>
      <c r="H13" s="396" t="s">
        <v>115</v>
      </c>
      <c r="I13" s="397"/>
      <c r="J13" s="397"/>
      <c r="K13" s="397"/>
      <c r="L13" s="397"/>
      <c r="M13" s="397"/>
      <c r="N13" s="397"/>
      <c r="O13" s="398"/>
    </row>
    <row r="14" spans="1:15" ht="33.6" customHeight="1" x14ac:dyDescent="0.2">
      <c r="A14" s="399"/>
      <c r="B14" s="400"/>
      <c r="C14" s="400"/>
      <c r="D14" s="400"/>
      <c r="E14" s="400"/>
      <c r="F14" s="401"/>
      <c r="H14" s="399"/>
      <c r="I14" s="400"/>
      <c r="J14" s="400"/>
      <c r="K14" s="400"/>
      <c r="L14" s="400"/>
      <c r="M14" s="400"/>
      <c r="N14" s="400"/>
      <c r="O14" s="401"/>
    </row>
    <row r="16" spans="1:15" ht="13.5" thickBot="1" x14ac:dyDescent="0.25"/>
    <row r="17" spans="1:4" ht="16.899999999999999" customHeight="1" x14ac:dyDescent="0.2">
      <c r="A17" s="394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395"/>
      <c r="B18" s="75">
        <v>0</v>
      </c>
      <c r="C18" s="76">
        <v>200000000</v>
      </c>
      <c r="D18" s="26">
        <v>20</v>
      </c>
    </row>
    <row r="20" spans="1:4" x14ac:dyDescent="0.2">
      <c r="A20" s="375" t="s">
        <v>37</v>
      </c>
      <c r="B20" s="37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80" t="s">
        <v>100</v>
      </c>
      <c r="G2" s="381"/>
      <c r="H2" s="381"/>
      <c r="I2" s="381"/>
      <c r="J2" s="381"/>
      <c r="K2" s="381"/>
      <c r="L2" s="38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83" t="s">
        <v>72</v>
      </c>
      <c r="G3" s="384"/>
      <c r="H3" s="384"/>
      <c r="I3" s="384"/>
      <c r="J3" s="384"/>
      <c r="K3" s="384"/>
      <c r="L3" s="385"/>
    </row>
    <row r="4" spans="1:14" ht="13.5" thickBot="1" x14ac:dyDescent="0.25">
      <c r="A4" s="29" t="s">
        <v>38</v>
      </c>
      <c r="B4" s="416" t="s">
        <v>57</v>
      </c>
      <c r="C4" s="416"/>
      <c r="D4" s="417"/>
    </row>
    <row r="6" spans="1:14" ht="13.5" thickBot="1" x14ac:dyDescent="0.25"/>
    <row r="7" spans="1:14" ht="27.75" customHeight="1" x14ac:dyDescent="0.2">
      <c r="A7" s="402" t="s">
        <v>8</v>
      </c>
      <c r="B7" s="407" t="s">
        <v>9</v>
      </c>
      <c r="C7" s="408"/>
      <c r="D7" s="409" t="s">
        <v>12</v>
      </c>
      <c r="E7" s="411"/>
      <c r="F7" s="410" t="s">
        <v>24</v>
      </c>
      <c r="G7" s="424"/>
      <c r="I7" s="436" t="s">
        <v>73</v>
      </c>
      <c r="J7" s="436"/>
      <c r="K7" s="436"/>
      <c r="L7" s="436"/>
      <c r="N7" s="47" t="s">
        <v>58</v>
      </c>
    </row>
    <row r="8" spans="1:14" ht="25.5" x14ac:dyDescent="0.2">
      <c r="A8" s="40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36"/>
      <c r="J8" s="436"/>
      <c r="K8" s="436"/>
      <c r="L8" s="436"/>
      <c r="N8" s="47" t="s">
        <v>59</v>
      </c>
    </row>
    <row r="9" spans="1:14" ht="13.5" thickBot="1" x14ac:dyDescent="0.25">
      <c r="A9" s="40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375" t="s">
        <v>60</v>
      </c>
      <c r="B11" s="3" t="s">
        <v>61</v>
      </c>
      <c r="C11" s="3" t="s">
        <v>62</v>
      </c>
      <c r="D11" s="32"/>
      <c r="E11" s="43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375"/>
      <c r="B12" s="41">
        <v>0</v>
      </c>
      <c r="C12" s="41">
        <v>0</v>
      </c>
      <c r="D12" s="32"/>
      <c r="E12" s="43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375"/>
      <c r="B13" s="41">
        <v>1</v>
      </c>
      <c r="C13" s="41">
        <v>0.75</v>
      </c>
      <c r="D13" s="32"/>
      <c r="E13" s="43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375"/>
      <c r="B14" s="41">
        <v>2</v>
      </c>
      <c r="C14" s="41">
        <v>0</v>
      </c>
      <c r="D14" s="32"/>
      <c r="E14" s="43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375"/>
      <c r="B15" s="41">
        <v>3</v>
      </c>
      <c r="C15" s="41">
        <v>-1</v>
      </c>
      <c r="D15" s="32"/>
      <c r="E15" s="43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375"/>
      <c r="B16" s="41">
        <v>4</v>
      </c>
      <c r="C16" s="41">
        <v>3</v>
      </c>
      <c r="D16" s="32"/>
      <c r="E16" s="43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75"/>
      <c r="B17" s="42">
        <v>5</v>
      </c>
      <c r="C17" s="42">
        <v>3</v>
      </c>
      <c r="D17" s="40"/>
      <c r="E17" s="43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37" t="s">
        <v>74</v>
      </c>
      <c r="B18" s="438"/>
      <c r="C18" s="439"/>
      <c r="D18" s="33"/>
      <c r="E18" s="428" t="s">
        <v>75</v>
      </c>
      <c r="F18" s="428"/>
      <c r="G18" s="428"/>
      <c r="H18" s="428"/>
      <c r="I18" s="428"/>
      <c r="J18" s="428"/>
      <c r="K18" s="428"/>
      <c r="L18" s="428"/>
      <c r="M18" s="428"/>
    </row>
    <row r="19" spans="1:13" ht="35.65" customHeight="1" x14ac:dyDescent="0.2">
      <c r="A19" s="399"/>
      <c r="B19" s="400"/>
      <c r="C19" s="401"/>
      <c r="D19" s="33"/>
      <c r="E19" s="428"/>
      <c r="F19" s="428"/>
      <c r="G19" s="428"/>
      <c r="H19" s="428"/>
      <c r="I19" s="428"/>
      <c r="J19" s="428"/>
      <c r="K19" s="428"/>
      <c r="L19" s="428"/>
      <c r="M19" s="428"/>
    </row>
    <row r="21" spans="1:13" ht="13.5" thickBot="1" x14ac:dyDescent="0.25"/>
    <row r="22" spans="1:13" ht="16.899999999999999" customHeight="1" x14ac:dyDescent="0.2">
      <c r="A22" s="394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395"/>
      <c r="B23" s="12">
        <v>0</v>
      </c>
      <c r="C23" s="12">
        <v>5</v>
      </c>
      <c r="D23" s="26">
        <v>20</v>
      </c>
    </row>
    <row r="25" spans="1:13" x14ac:dyDescent="0.2">
      <c r="A25" s="375" t="s">
        <v>37</v>
      </c>
      <c r="B25" s="37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Sheet1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2023-07-27T16:38:50Z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