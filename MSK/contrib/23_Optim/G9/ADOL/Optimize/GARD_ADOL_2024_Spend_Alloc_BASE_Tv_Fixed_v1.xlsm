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Optimize\"/>
    </mc:Choice>
  </mc:AlternateContent>
  <xr:revisionPtr revIDLastSave="0" documentId="13_ncr:1_{B21E432B-2B1F-4730-BEB5-089C75570EFE}" xr6:coauthVersionLast="47" xr6:coauthVersionMax="47" xr10:uidLastSave="{00000000-0000-0000-0000-000000000000}"/>
  <bookViews>
    <workbookView xWindow="-120" yWindow="-120" windowWidth="20730" windowHeight="11160" tabRatio="709" firstSheet="2" activeTab="9" xr2:uid="{00000000-000D-0000-FFFF-FFFF00000000}"/>
  </bookViews>
  <sheets>
    <sheet name="YOY Curve comparison" sheetId="85" state="hidden" r:id="rId1"/>
    <sheet name="Scenario summary" sheetId="78" r:id="rId2"/>
    <sheet name="Chart - Combined" sheetId="36" r:id="rId3"/>
    <sheet name="Sheet1" sheetId="90" r:id="rId4"/>
    <sheet name="Scenario deep dive" sheetId="79" r:id="rId5"/>
    <sheet name="Scenario deep dive_2023" sheetId="89" state="hidden" r:id="rId6"/>
    <sheet name="Senstivity" sheetId="87" state="hidden" r:id="rId7"/>
    <sheet name="Sensitivity - Template" sheetId="86" state="hidden" r:id="rId8"/>
    <sheet name="Contribution, promo eff, ROI" sheetId="80" r:id="rId9"/>
    <sheet name="VAC_Optim_Scenario" sheetId="23" r:id="rId10"/>
    <sheet name="GINOFF" sheetId="51" r:id="rId11"/>
    <sheet name="GMCM" sheetId="50" r:id="rId12"/>
    <sheet name="GSOC" sheetId="82" r:id="rId13"/>
    <sheet name="GOLV" sheetId="59" r:id="rId14"/>
    <sheet name="GSTRV" sheetId="84" r:id="rId15"/>
    <sheet name="GDISP" sheetId="88" r:id="rId16"/>
    <sheet name="GSEARCH" sheetId="77" r:id="rId17"/>
    <sheet name="GRADIO" sheetId="75" r:id="rId18"/>
    <sheet name="GTV" sheetId="74" r:id="rId19"/>
    <sheet name="GPRNT" sheetId="48" state="hidden" r:id="rId20"/>
    <sheet name="Fn.Templates ==&gt;" sheetId="3" r:id="rId21"/>
    <sheet name="FT_SCurveEst" sheetId="2" r:id="rId22"/>
    <sheet name="FT_Equation" sheetId="4" r:id="rId23"/>
    <sheet name="FT_SCurve3Est" sheetId="13" r:id="rId24"/>
    <sheet name="FT_Interpolate" sheetId="5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8" hidden="1">'Contribution, promo eff, ROI'!$E$16:$F$24</definedName>
    <definedName name="solver_adj" localSheetId="9" hidden="1">VAC_Optim_Scenario!$I$17:$I$25</definedName>
    <definedName name="solver_cvg" localSheetId="7" hidden="1">0.0001</definedName>
    <definedName name="solver_cvg" localSheetId="6" hidden="1">0.0001</definedName>
    <definedName name="solver_cvg" localSheetId="9" hidden="1">0.0001</definedName>
    <definedName name="solver_drv" localSheetId="7" hidden="1">1</definedName>
    <definedName name="solver_drv" localSheetId="6" hidden="1">1</definedName>
    <definedName name="solver_drv" localSheetId="9" hidden="1">1</definedName>
    <definedName name="solver_eng" localSheetId="7" hidden="1">1</definedName>
    <definedName name="solver_eng" localSheetId="6" hidden="1">1</definedName>
    <definedName name="solver_eng" localSheetId="9" hidden="1">1</definedName>
    <definedName name="solver_est" localSheetId="7" hidden="1">1</definedName>
    <definedName name="solver_est" localSheetId="6" hidden="1">1</definedName>
    <definedName name="solver_est" localSheetId="9" hidden="1">1</definedName>
    <definedName name="solver_itr" localSheetId="7" hidden="1">2147483647</definedName>
    <definedName name="solver_itr" localSheetId="6" hidden="1">2147483647</definedName>
    <definedName name="solver_itr" localSheetId="9" hidden="1">2147483647</definedName>
    <definedName name="solver_lhs0" localSheetId="9" hidden="1">VAC_Optim_Scenario!$I$26</definedName>
    <definedName name="solver_lhs1" localSheetId="9" hidden="1">VAC_Optim_Scenario!$B$12</definedName>
    <definedName name="solver_lhs2" localSheetId="9" hidden="1">VAC_Optim_Scenario!$I$17:$I$25</definedName>
    <definedName name="solver_lhs3" localSheetId="9" hidden="1">VAC_Optim_Scenario!$I$17:$I$25</definedName>
    <definedName name="solver_lhs4" localSheetId="9" hidden="1">VAC_Optim_Scenario!$I$26</definedName>
    <definedName name="solver_lhs5" localSheetId="9" hidden="1">VAC_Optim_Scenario!#REF!</definedName>
    <definedName name="solver_mip" localSheetId="7" hidden="1">2147483647</definedName>
    <definedName name="solver_mip" localSheetId="6" hidden="1">2147483647</definedName>
    <definedName name="solver_mip" localSheetId="9" hidden="1">2147483647</definedName>
    <definedName name="solver_mni" localSheetId="7" hidden="1">30</definedName>
    <definedName name="solver_mni" localSheetId="6" hidden="1">30</definedName>
    <definedName name="solver_mni" localSheetId="9" hidden="1">30</definedName>
    <definedName name="solver_mrt" localSheetId="7" hidden="1">0.075</definedName>
    <definedName name="solver_mrt" localSheetId="6" hidden="1">0.075</definedName>
    <definedName name="solver_mrt" localSheetId="9" hidden="1">0.075</definedName>
    <definedName name="solver_msl" localSheetId="7" hidden="1">2</definedName>
    <definedName name="solver_msl" localSheetId="6" hidden="1">2</definedName>
    <definedName name="solver_msl" localSheetId="9" hidden="1">2</definedName>
    <definedName name="solver_neg" localSheetId="7" hidden="1">1</definedName>
    <definedName name="solver_neg" localSheetId="6" hidden="1">1</definedName>
    <definedName name="solver_neg" localSheetId="9" hidden="1">1</definedName>
    <definedName name="solver_nod" localSheetId="7" hidden="1">2147483647</definedName>
    <definedName name="solver_nod" localSheetId="6" hidden="1">2147483647</definedName>
    <definedName name="solver_nod" localSheetId="9" hidden="1">2147483647</definedName>
    <definedName name="solver_num" localSheetId="7" hidden="1">0</definedName>
    <definedName name="solver_num" localSheetId="6" hidden="1">0</definedName>
    <definedName name="solver_num" localSheetId="9" hidden="1">3</definedName>
    <definedName name="solver_nwt" localSheetId="7" hidden="1">1</definedName>
    <definedName name="solver_nwt" localSheetId="6" hidden="1">1</definedName>
    <definedName name="solver_nwt" localSheetId="9" hidden="1">1</definedName>
    <definedName name="solver_opt" localSheetId="7" hidden="1">'Sensitivity - Template'!$F$6</definedName>
    <definedName name="solver_opt" localSheetId="6" hidden="1">Senstivity!$F$6</definedName>
    <definedName name="solver_opt" localSheetId="9" hidden="1">VAC_Optim_Scenario!$B$9</definedName>
    <definedName name="solver_pre" localSheetId="7" hidden="1">0.000001</definedName>
    <definedName name="solver_pre" localSheetId="6" hidden="1">0.000001</definedName>
    <definedName name="solver_pre" localSheetId="9" hidden="1">0.00000001</definedName>
    <definedName name="solver_rbv" localSheetId="7" hidden="1">1</definedName>
    <definedName name="solver_rbv" localSheetId="6" hidden="1">1</definedName>
    <definedName name="solver_rbv" localSheetId="9" hidden="1">1</definedName>
    <definedName name="solver_rel0" localSheetId="9" hidden="1">3</definedName>
    <definedName name="solver_rel1" localSheetId="9" hidden="1">2</definedName>
    <definedName name="solver_rel2" localSheetId="9" hidden="1">1</definedName>
    <definedName name="solver_rel3" localSheetId="9" hidden="1">3</definedName>
    <definedName name="solver_rel4" localSheetId="9" hidden="1">3</definedName>
    <definedName name="solver_rel5" localSheetId="9" hidden="1">2</definedName>
    <definedName name="solver_rhs0" localSheetId="9" hidden="1">VAC_Optim_Scenario!$C$12</definedName>
    <definedName name="solver_rhs1" localSheetId="9" hidden="1">VAC_Optim_Scenario!$I$27</definedName>
    <definedName name="solver_rhs2" localSheetId="9" hidden="1">VAC_Optim_Scenario!$H$17:$H$25</definedName>
    <definedName name="solver_rhs3" localSheetId="9" hidden="1">VAC_Optim_Scenario!$G$17:$G$25</definedName>
    <definedName name="solver_rhs4" localSheetId="9" hidden="1">VAC_Optim_Scenario!$C$12</definedName>
    <definedName name="solver_rhs5" localSheetId="9" hidden="1">VAC_Optim_Scenario!#REF!</definedName>
    <definedName name="solver_rlx" localSheetId="7" hidden="1">2</definedName>
    <definedName name="solver_rlx" localSheetId="6" hidden="1">2</definedName>
    <definedName name="solver_rlx" localSheetId="9" hidden="1">2</definedName>
    <definedName name="solver_rsd" localSheetId="7" hidden="1">0</definedName>
    <definedName name="solver_rsd" localSheetId="6" hidden="1">0</definedName>
    <definedName name="solver_rsd" localSheetId="9" hidden="1">0</definedName>
    <definedName name="solver_scl" localSheetId="7" hidden="1">1</definedName>
    <definedName name="solver_scl" localSheetId="6" hidden="1">1</definedName>
    <definedName name="solver_scl" localSheetId="9" hidden="1">1</definedName>
    <definedName name="solver_sho" localSheetId="7" hidden="1">2</definedName>
    <definedName name="solver_sho" localSheetId="6" hidden="1">2</definedName>
    <definedName name="solver_sho" localSheetId="9" hidden="1">2</definedName>
    <definedName name="solver_ssz" localSheetId="7" hidden="1">100</definedName>
    <definedName name="solver_ssz" localSheetId="6" hidden="1">100</definedName>
    <definedName name="solver_ssz" localSheetId="9" hidden="1">100</definedName>
    <definedName name="solver_tim" localSheetId="7" hidden="1">2147483647</definedName>
    <definedName name="solver_tim" localSheetId="6" hidden="1">2147483647</definedName>
    <definedName name="solver_tim" localSheetId="9" hidden="1">2147483647</definedName>
    <definedName name="solver_tol" localSheetId="7" hidden="1">0.01</definedName>
    <definedName name="solver_tol" localSheetId="6" hidden="1">0.01</definedName>
    <definedName name="solver_tol" localSheetId="9" hidden="1">0.01</definedName>
    <definedName name="solver_typ" localSheetId="7" hidden="1">1</definedName>
    <definedName name="solver_typ" localSheetId="6" hidden="1">1</definedName>
    <definedName name="solver_typ" localSheetId="9" hidden="1">1</definedName>
    <definedName name="solver_val" localSheetId="7" hidden="1">0</definedName>
    <definedName name="solver_val" localSheetId="6" hidden="1">0</definedName>
    <definedName name="solver_val" localSheetId="9" hidden="1">0</definedName>
    <definedName name="solver_ver" localSheetId="7" hidden="1">3</definedName>
    <definedName name="solver_ver" localSheetId="6" hidden="1">3</definedName>
    <definedName name="solver_ver" localSheetId="9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0" i="80" l="1"/>
  <c r="C6" i="78"/>
  <c r="C7" i="78"/>
  <c r="C10" i="78"/>
  <c r="C9" i="78"/>
  <c r="F13" i="90"/>
  <c r="E13" i="90"/>
  <c r="D13" i="90"/>
  <c r="E5" i="90"/>
  <c r="F5" i="90"/>
  <c r="E6" i="90"/>
  <c r="F6" i="90"/>
  <c r="E7" i="90"/>
  <c r="F7" i="90"/>
  <c r="E8" i="90"/>
  <c r="F8" i="90"/>
  <c r="E9" i="90"/>
  <c r="F9" i="90"/>
  <c r="E10" i="90"/>
  <c r="F10" i="90"/>
  <c r="E11" i="90"/>
  <c r="F11" i="90"/>
  <c r="E12" i="90"/>
  <c r="F12" i="90"/>
  <c r="F4" i="90"/>
  <c r="E4" i="90"/>
  <c r="I11" i="90"/>
  <c r="I9" i="90"/>
  <c r="I7" i="90"/>
  <c r="I5" i="90"/>
  <c r="H13" i="90"/>
  <c r="I13" i="90" l="1"/>
  <c r="I8" i="90"/>
  <c r="I10" i="90"/>
  <c r="I12" i="90"/>
  <c r="I6" i="90"/>
  <c r="I4" i="90"/>
  <c r="D5" i="80"/>
  <c r="D6" i="80"/>
  <c r="D7" i="80"/>
  <c r="D8" i="80"/>
  <c r="D9" i="80"/>
  <c r="D10" i="80"/>
  <c r="D11" i="80"/>
  <c r="D12" i="80"/>
  <c r="D4" i="80"/>
  <c r="R12" i="80" a="1"/>
  <c r="Q9" i="80" a="1"/>
  <c r="Q5" i="80" a="1"/>
  <c r="Q4" i="80" a="1"/>
  <c r="R11" i="80" a="1"/>
  <c r="Q6" i="80" a="1"/>
  <c r="Q7" i="80" a="1"/>
  <c r="R4" i="80" a="1"/>
  <c r="Q12" i="80" a="1"/>
  <c r="R9" i="80" a="1"/>
  <c r="R7" i="80" a="1"/>
  <c r="R6" i="80" a="1"/>
  <c r="Q8" i="80" a="1"/>
  <c r="Q10" i="80" a="1"/>
  <c r="R8" i="80" a="1"/>
  <c r="R5" i="80" a="1"/>
  <c r="R10" i="80" a="1"/>
  <c r="Q11" i="80" a="1"/>
  <c r="Q11" i="80" l="1"/>
  <c r="R10" i="80"/>
  <c r="R12" i="80"/>
  <c r="R11" i="80"/>
  <c r="Q12" i="80"/>
  <c r="Q10" i="80"/>
  <c r="Q9" i="80"/>
  <c r="R8" i="80"/>
  <c r="R9" i="80"/>
  <c r="Q8" i="80"/>
  <c r="R5" i="80"/>
  <c r="R7" i="80"/>
  <c r="R6" i="80"/>
  <c r="Q7" i="80"/>
  <c r="Q6" i="80"/>
  <c r="Q5" i="80"/>
  <c r="Q4" i="80"/>
  <c r="R4" i="80"/>
  <c r="C8" i="78" l="1"/>
  <c r="B12" i="23" l="1"/>
  <c r="G27" i="23"/>
  <c r="H27" i="23"/>
  <c r="I27" i="23"/>
  <c r="E27" i="23"/>
  <c r="H25" i="23"/>
  <c r="G25" i="23"/>
  <c r="X16" i="79"/>
  <c r="W16" i="79"/>
  <c r="V16" i="79"/>
  <c r="T16" i="79"/>
  <c r="R16" i="79"/>
  <c r="S16" i="79" s="1"/>
  <c r="P16" i="79"/>
  <c r="N16" i="79"/>
  <c r="O16" i="79" s="1"/>
  <c r="L16" i="79"/>
  <c r="J16" i="79"/>
  <c r="K16" i="79" s="1"/>
  <c r="H16" i="79"/>
  <c r="F16" i="79"/>
  <c r="G16" i="79" s="1"/>
  <c r="F12" i="50" l="1"/>
  <c r="E12" i="50"/>
  <c r="D12" i="50"/>
  <c r="C12" i="50"/>
  <c r="B12" i="50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1" l="1"/>
  <c r="E12" i="51"/>
  <c r="D12" i="51"/>
  <c r="C12" i="51"/>
  <c r="B12" i="51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A22" i="89" s="1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6" i="89" l="1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18" i="23"/>
  <c r="G19" i="23"/>
  <c r="G20" i="23"/>
  <c r="G21" i="23"/>
  <c r="G22" i="23"/>
  <c r="B9" i="88" s="1"/>
  <c r="G23" i="23"/>
  <c r="G24" i="23"/>
  <c r="E9" i="88" l="1"/>
  <c r="F9" i="88" s="1"/>
  <c r="J22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2" i="23"/>
  <c r="O22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43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E26" i="23" l="1"/>
  <c r="G15" i="78" l="1"/>
  <c r="I32" i="23" l="1"/>
  <c r="G14" i="88" s="1"/>
  <c r="F32" i="23" l="1"/>
  <c r="H14" i="88" s="1"/>
  <c r="G32" i="23"/>
  <c r="E26" i="88" l="1"/>
  <c r="E33" i="88"/>
  <c r="E40" i="88"/>
  <c r="E30" i="88"/>
  <c r="E28" i="88"/>
  <c r="E36" i="88"/>
  <c r="E31" i="88"/>
  <c r="E24" i="88"/>
  <c r="E39" i="88"/>
  <c r="E34" i="88"/>
  <c r="E27" i="88"/>
  <c r="E22" i="88"/>
  <c r="E35" i="88"/>
  <c r="E41" i="88"/>
  <c r="E32" i="88"/>
  <c r="E29" i="88"/>
  <c r="E38" i="88"/>
  <c r="E42" i="88"/>
  <c r="E25" i="88"/>
  <c r="E23" i="88"/>
  <c r="E37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2" i="80"/>
  <c r="C11" i="80"/>
  <c r="C10" i="80"/>
  <c r="C9" i="80"/>
  <c r="C8" i="80"/>
  <c r="C7" i="80"/>
  <c r="C6" i="80"/>
  <c r="C5" i="80"/>
  <c r="C4" i="80"/>
  <c r="J9" i="80"/>
  <c r="I12" i="59" l="1"/>
  <c r="G9" i="59"/>
  <c r="D9" i="59"/>
  <c r="F12" i="82"/>
  <c r="V20" i="79"/>
  <c r="R20" i="79"/>
  <c r="B8" i="79"/>
  <c r="B9" i="79"/>
  <c r="B24" i="79" s="1"/>
  <c r="B10" i="79"/>
  <c r="B11" i="79"/>
  <c r="B12" i="79"/>
  <c r="B27" i="79" s="1"/>
  <c r="B13" i="79"/>
  <c r="B14" i="79"/>
  <c r="B29" i="79" s="1"/>
  <c r="B15" i="79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3" i="79"/>
  <c r="B25" i="79"/>
  <c r="B26" i="79"/>
  <c r="B28" i="79"/>
  <c r="B30" i="79"/>
  <c r="H19" i="23"/>
  <c r="Q19" i="23" s="1"/>
  <c r="F12" i="84" l="1"/>
  <c r="D9" i="84"/>
  <c r="G9" i="84"/>
  <c r="K21" i="23"/>
  <c r="M21" i="23" s="1"/>
  <c r="I26" i="23"/>
  <c r="H21" i="23" l="1"/>
  <c r="B9" i="84" l="1"/>
  <c r="P21" i="23"/>
  <c r="C9" i="84"/>
  <c r="Q21" i="23"/>
  <c r="A22" i="84"/>
  <c r="A23" i="84" s="1"/>
  <c r="A21" i="84"/>
  <c r="F14" i="84"/>
  <c r="E14" i="84"/>
  <c r="H9" i="84"/>
  <c r="I9" i="84" l="1"/>
  <c r="F21" i="23"/>
  <c r="B21" i="84"/>
  <c r="C21" i="84" s="1"/>
  <c r="E9" i="84"/>
  <c r="F9" i="84" s="1"/>
  <c r="J21" i="23" s="1"/>
  <c r="B23" i="84"/>
  <c r="C23" i="84" s="1"/>
  <c r="A24" i="84"/>
  <c r="B22" i="84"/>
  <c r="C22" i="84" s="1"/>
  <c r="E8" i="80" l="1"/>
  <c r="I8" i="80" s="1"/>
  <c r="O21" i="23"/>
  <c r="L21" i="23"/>
  <c r="N21" i="23" s="1"/>
  <c r="B24" i="84"/>
  <c r="C24" i="84" s="1"/>
  <c r="A25" i="84"/>
  <c r="I39" i="23"/>
  <c r="J39" i="23" s="1"/>
  <c r="AB11" i="89" s="1"/>
  <c r="H39" i="23"/>
  <c r="Z11" i="89" s="1"/>
  <c r="AA11" i="89" s="1"/>
  <c r="F39" i="23"/>
  <c r="G39" i="23" s="1"/>
  <c r="F8" i="80" s="1"/>
  <c r="D39" i="23"/>
  <c r="C39" i="23"/>
  <c r="B39" i="23"/>
  <c r="B40" i="23"/>
  <c r="B41" i="23"/>
  <c r="B42" i="23"/>
  <c r="B43" i="23"/>
  <c r="H8" i="80" l="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39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39" i="23"/>
  <c r="M39" i="23" s="1"/>
  <c r="L39" i="23"/>
  <c r="N39" i="23" s="1"/>
  <c r="W26" i="79" l="1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19" i="23" s="1"/>
  <c r="O19" i="23" s="1"/>
  <c r="E9" i="82"/>
  <c r="F9" i="82" s="1"/>
  <c r="J19" i="23" s="1"/>
  <c r="G12" i="82"/>
  <c r="B21" i="82"/>
  <c r="C21" i="82" s="1"/>
  <c r="A24" i="82"/>
  <c r="B23" i="82"/>
  <c r="C23" i="82" s="1"/>
  <c r="B22" i="82"/>
  <c r="C22" i="82" s="1"/>
  <c r="F37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31" i="79"/>
  <c r="G50" i="79"/>
  <c r="G64" i="79" s="1"/>
  <c r="D13" i="80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E9" i="78"/>
  <c r="C17" i="78"/>
  <c r="E7" i="78"/>
  <c r="E6" i="78"/>
  <c r="E8" i="78"/>
  <c r="L8" i="78"/>
  <c r="C18" i="78" l="1"/>
  <c r="E17" i="78" s="1"/>
  <c r="L9" i="78"/>
  <c r="C15" i="78"/>
  <c r="L6" i="78"/>
  <c r="L7" i="78"/>
  <c r="C16" i="78"/>
  <c r="E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3" i="23" s="1"/>
  <c r="B21" i="77"/>
  <c r="C21" i="77" s="1"/>
  <c r="E9" i="77"/>
  <c r="F9" i="77" s="1"/>
  <c r="J23" i="23" s="1"/>
  <c r="B23" i="77"/>
  <c r="C23" i="77" s="1"/>
  <c r="A24" i="77"/>
  <c r="B22" i="77"/>
  <c r="C22" i="77" s="1"/>
  <c r="E10" i="80" l="1"/>
  <c r="O23" i="23"/>
  <c r="I18" i="78"/>
  <c r="I15" i="78"/>
  <c r="B24" i="77"/>
  <c r="C24" i="77" s="1"/>
  <c r="A25" i="77"/>
  <c r="J10" i="80"/>
  <c r="H10" i="80" l="1"/>
  <c r="I10" i="80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5" i="23" s="1"/>
  <c r="A21" i="75"/>
  <c r="B21" i="75" s="1"/>
  <c r="C21" i="75" s="1"/>
  <c r="H9" i="75"/>
  <c r="I9" i="75" s="1"/>
  <c r="F24" i="23" s="1"/>
  <c r="E9" i="75"/>
  <c r="F9" i="75" s="1"/>
  <c r="J24" i="23" s="1"/>
  <c r="A21" i="74"/>
  <c r="A22" i="74" s="1"/>
  <c r="B22" i="74" s="1"/>
  <c r="C22" i="74" s="1"/>
  <c r="E9" i="74"/>
  <c r="F9" i="74" s="1"/>
  <c r="J25" i="23" s="1"/>
  <c r="E11" i="80" l="1"/>
  <c r="I11" i="80" s="1"/>
  <c r="O24" i="23"/>
  <c r="E12" i="80"/>
  <c r="I12" i="80" s="1"/>
  <c r="O25" i="23"/>
  <c r="H11" i="80"/>
  <c r="A22" i="75"/>
  <c r="A23" i="75" s="1"/>
  <c r="A24" i="75" s="1"/>
  <c r="A23" i="74"/>
  <c r="B21" i="74"/>
  <c r="C21" i="74" s="1"/>
  <c r="H12" i="80" l="1"/>
  <c r="B23" i="75"/>
  <c r="C23" i="75" s="1"/>
  <c r="B22" i="75"/>
  <c r="C22" i="75" s="1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J11" i="80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2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H18" i="23" l="1"/>
  <c r="Q18" i="23" s="1"/>
  <c r="H23" i="23" l="1"/>
  <c r="C9" i="77" l="1"/>
  <c r="Q23" i="23"/>
  <c r="C6" i="48"/>
  <c r="B6" i="48"/>
  <c r="C6" i="59"/>
  <c r="B6" i="59"/>
  <c r="C6" i="50"/>
  <c r="B6" i="50"/>
  <c r="C6" i="51"/>
  <c r="B6" i="51"/>
  <c r="D43" i="23" l="1"/>
  <c r="H43" i="23"/>
  <c r="Z15" i="89" s="1"/>
  <c r="AA15" i="89" s="1"/>
  <c r="C37" i="23"/>
  <c r="D37" i="23"/>
  <c r="H37" i="23"/>
  <c r="Z9" i="89" s="1"/>
  <c r="AA9" i="89" s="1"/>
  <c r="C38" i="23"/>
  <c r="D38" i="23"/>
  <c r="H38" i="23"/>
  <c r="Z10" i="89" s="1"/>
  <c r="AA10" i="89" s="1"/>
  <c r="C40" i="23"/>
  <c r="D40" i="23"/>
  <c r="H40" i="23"/>
  <c r="Z12" i="89" s="1"/>
  <c r="AA12" i="89" s="1"/>
  <c r="C41" i="23"/>
  <c r="D41" i="23"/>
  <c r="H41" i="23"/>
  <c r="Z13" i="89" s="1"/>
  <c r="AA13" i="89" s="1"/>
  <c r="C42" i="23"/>
  <c r="D42" i="23"/>
  <c r="H42" i="23"/>
  <c r="Z14" i="89" s="1"/>
  <c r="AA14" i="89" s="1"/>
  <c r="Q21" i="87" l="1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H20" i="23"/>
  <c r="H22" i="23"/>
  <c r="C9" i="88" s="1"/>
  <c r="H24" i="23"/>
  <c r="P25" i="23"/>
  <c r="Q25" i="23"/>
  <c r="P18" i="23"/>
  <c r="H17" i="23"/>
  <c r="Q17" i="23" s="1"/>
  <c r="G17" i="23"/>
  <c r="P17" i="23" s="1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M25" i="23"/>
  <c r="L12" i="59"/>
  <c r="M12" i="59" s="1"/>
  <c r="O12" i="59"/>
  <c r="R12" i="59" l="1"/>
  <c r="P12" i="59"/>
  <c r="Q12" i="59" s="1"/>
  <c r="I42" i="23"/>
  <c r="I41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40" i="23" l="1"/>
  <c r="J20" i="23"/>
  <c r="I38" i="23" s="1"/>
  <c r="J38" i="23" s="1"/>
  <c r="AB10" i="89" s="1"/>
  <c r="J9" i="59"/>
  <c r="F20" i="23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E7" i="80" l="1"/>
  <c r="O20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H7" i="80" l="1"/>
  <c r="I7" i="80"/>
  <c r="F21" i="80"/>
  <c r="F23" i="80"/>
  <c r="H36" i="23"/>
  <c r="Z8" i="89" s="1"/>
  <c r="AA8" i="89" s="1"/>
  <c r="H35" i="23"/>
  <c r="Z7" i="89" s="1"/>
  <c r="C36" i="23"/>
  <c r="D36" i="23"/>
  <c r="B36" i="23"/>
  <c r="B35" i="23"/>
  <c r="A36" i="23"/>
  <c r="A35" i="23"/>
  <c r="Z16" i="89" l="1"/>
  <c r="AA16" i="89" s="1"/>
  <c r="AA7" i="89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36" i="23"/>
  <c r="M36" i="23" s="1"/>
  <c r="N23" i="79" l="1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O23" i="79"/>
  <c r="K22" i="79"/>
  <c r="G22" i="79"/>
  <c r="F22" i="79"/>
  <c r="J41" i="23"/>
  <c r="AB13" i="89" s="1"/>
  <c r="J42" i="23"/>
  <c r="AB14" i="89" s="1"/>
  <c r="J40" i="23"/>
  <c r="AB12" i="89" s="1"/>
  <c r="G40" i="23"/>
  <c r="G41" i="23"/>
  <c r="F10" i="80" s="1"/>
  <c r="G38" i="23"/>
  <c r="G42" i="23"/>
  <c r="F11" i="80" s="1"/>
  <c r="H14" i="59"/>
  <c r="P38" i="23" l="1"/>
  <c r="F7" i="80"/>
  <c r="F9" i="80"/>
  <c r="G9" i="80" s="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40" i="23"/>
  <c r="P42" i="23"/>
  <c r="P41" i="23"/>
  <c r="L28" i="79"/>
  <c r="H28" i="79"/>
  <c r="L27" i="79"/>
  <c r="X27" i="79"/>
  <c r="T27" i="79"/>
  <c r="V31" i="79"/>
  <c r="W31" i="79"/>
  <c r="R31" i="79"/>
  <c r="S31" i="79"/>
  <c r="G11" i="80"/>
  <c r="D14" i="79"/>
  <c r="D29" i="79" s="1"/>
  <c r="A29" i="79" s="1"/>
  <c r="G10" i="80"/>
  <c r="H15" i="80" s="1"/>
  <c r="D13" i="79"/>
  <c r="D28" i="79" s="1"/>
  <c r="A28" i="79" s="1"/>
  <c r="D10" i="79"/>
  <c r="D25" i="79" s="1"/>
  <c r="A25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31" i="79"/>
  <c r="N31" i="79"/>
  <c r="O31" i="79"/>
  <c r="J31" i="79"/>
  <c r="K31" i="79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AB15" i="89" s="1"/>
  <c r="F43" i="23"/>
  <c r="G43" i="23" s="1"/>
  <c r="F12" i="80" s="1"/>
  <c r="J7" i="80"/>
  <c r="P13" i="87" l="1"/>
  <c r="R27" i="87"/>
  <c r="R13" i="87"/>
  <c r="P27" i="87"/>
  <c r="N13" i="87"/>
  <c r="N27" i="87"/>
  <c r="P43" i="23"/>
  <c r="X30" i="79"/>
  <c r="H30" i="79"/>
  <c r="T30" i="79"/>
  <c r="P30" i="79"/>
  <c r="L30" i="79"/>
  <c r="G12" i="80"/>
  <c r="D15" i="79"/>
  <c r="D30" i="79" s="1"/>
  <c r="A30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L43" i="23"/>
  <c r="N43" i="23" s="1"/>
  <c r="L25" i="23"/>
  <c r="N25" i="23" s="1"/>
  <c r="C12" i="23" l="1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I35" i="23" l="1"/>
  <c r="F18" i="80"/>
  <c r="G37" i="23"/>
  <c r="J9" i="48"/>
  <c r="J9" i="51"/>
  <c r="F17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F6" i="80" l="1"/>
  <c r="G6" i="80" s="1"/>
  <c r="E4" i="80"/>
  <c r="O17" i="23"/>
  <c r="D9" i="79"/>
  <c r="L19" i="23"/>
  <c r="N19" i="23" s="1"/>
  <c r="I37" i="23"/>
  <c r="J37" i="23" s="1"/>
  <c r="AB9" i="89" s="1"/>
  <c r="F35" i="23"/>
  <c r="G35" i="23" s="1"/>
  <c r="J35" i="23"/>
  <c r="AB7" i="89" s="1"/>
  <c r="H4" i="80" l="1"/>
  <c r="I4" i="80"/>
  <c r="F4" i="80"/>
  <c r="G4" i="80" s="1"/>
  <c r="F24" i="80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D7" i="79"/>
  <c r="D22" i="79" s="1"/>
  <c r="A22" i="79" s="1"/>
  <c r="F17" i="80"/>
  <c r="F22" i="80"/>
  <c r="D24" i="79"/>
  <c r="A24" i="79" s="1"/>
  <c r="C3" i="79"/>
  <c r="L37" i="23"/>
  <c r="N37" i="23" s="1"/>
  <c r="X22" i="79" l="1"/>
  <c r="H22" i="79"/>
  <c r="C9" i="51"/>
  <c r="B9" i="51"/>
  <c r="B9" i="50" l="1"/>
  <c r="B9" i="48"/>
  <c r="C9" i="50"/>
  <c r="C9" i="48"/>
  <c r="G14" i="51" l="1"/>
  <c r="D35" i="23"/>
  <c r="C33" i="23"/>
  <c r="C34" i="23"/>
  <c r="C35" i="23"/>
  <c r="D44" i="23" l="1"/>
  <c r="H44" i="23"/>
  <c r="G14" i="50"/>
  <c r="K35" i="23"/>
  <c r="M35" i="23" s="1"/>
  <c r="K44" i="23" l="1"/>
  <c r="M44" i="23" s="1"/>
  <c r="K18" i="23" l="1"/>
  <c r="K17" i="23"/>
  <c r="K27" i="23" l="1"/>
  <c r="M27" i="23" s="1"/>
  <c r="K26" i="23"/>
  <c r="M26" i="23" s="1"/>
  <c r="M18" i="23"/>
  <c r="M17" i="23"/>
  <c r="L35" i="23" l="1"/>
  <c r="N35" i="23" s="1"/>
  <c r="A22" i="13" l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L17" i="23" l="1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36" i="5"/>
  <c r="B42" i="5"/>
  <c r="B34" i="5"/>
  <c r="E9" i="5"/>
  <c r="B37" i="5"/>
  <c r="B31" i="5"/>
  <c r="B44" i="5"/>
  <c r="B29" i="5"/>
  <c r="B28" i="5"/>
  <c r="B32" i="5"/>
  <c r="B46" i="5"/>
  <c r="B40" i="5"/>
  <c r="B45" i="5"/>
  <c r="B27" i="5"/>
  <c r="B35" i="5"/>
  <c r="B30" i="5"/>
  <c r="B41" i="5"/>
  <c r="B43" i="5"/>
  <c r="B33" i="5"/>
  <c r="B38" i="5"/>
  <c r="B39" i="5"/>
  <c r="B47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J27" i="23" s="1"/>
  <c r="B39" i="50"/>
  <c r="B23" i="50"/>
  <c r="B30" i="50"/>
  <c r="B29" i="50"/>
  <c r="B32" i="50"/>
  <c r="B38" i="50"/>
  <c r="B35" i="50"/>
  <c r="B22" i="50"/>
  <c r="E42" i="50" l="1"/>
  <c r="D42" i="50"/>
  <c r="C42" i="50"/>
  <c r="E22" i="50"/>
  <c r="C22" i="50"/>
  <c r="D29" i="50"/>
  <c r="E29" i="50"/>
  <c r="C29" i="50"/>
  <c r="I36" i="23"/>
  <c r="J26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18" i="23"/>
  <c r="J9" i="50"/>
  <c r="J5" i="80"/>
  <c r="O18" i="23" l="1"/>
  <c r="F27" i="23"/>
  <c r="L18" i="23"/>
  <c r="E5" i="80"/>
  <c r="I5" i="80" s="1"/>
  <c r="F36" i="23"/>
  <c r="F26" i="23"/>
  <c r="J36" i="23"/>
  <c r="AB8" i="89" s="1"/>
  <c r="AB16" i="89" s="1"/>
  <c r="I44" i="23"/>
  <c r="N18" i="23" l="1"/>
  <c r="L27" i="23"/>
  <c r="N27" i="23" s="1"/>
  <c r="R6" i="87"/>
  <c r="P6" i="87"/>
  <c r="N6" i="87"/>
  <c r="R20" i="87"/>
  <c r="P20" i="87"/>
  <c r="N20" i="87"/>
  <c r="L23" i="79"/>
  <c r="H23" i="79"/>
  <c r="T23" i="79"/>
  <c r="P23" i="79"/>
  <c r="L26" i="23"/>
  <c r="N26" i="23" s="1"/>
  <c r="H5" i="80"/>
  <c r="H13" i="80" s="1"/>
  <c r="F19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J44" i="23"/>
  <c r="M13" i="23" s="1"/>
  <c r="G36" i="23"/>
  <c r="F44" i="23"/>
  <c r="B9" i="23"/>
  <c r="E13" i="80"/>
  <c r="I13" i="80" s="1"/>
  <c r="F25" i="80"/>
  <c r="F5" i="80" l="1"/>
  <c r="G5" i="80" s="1"/>
  <c r="P36" i="23"/>
  <c r="X23" i="79"/>
  <c r="L36" i="23"/>
  <c r="N36" i="23" s="1"/>
  <c r="D8" i="79"/>
  <c r="G44" i="23"/>
  <c r="D23" i="79" l="1"/>
  <c r="A23" i="79" s="1"/>
  <c r="D16" i="79"/>
  <c r="L44" i="23"/>
  <c r="N44" i="23" s="1"/>
  <c r="L13" i="23"/>
  <c r="L31" i="79"/>
  <c r="L35" i="79" s="1"/>
  <c r="G9" i="78"/>
  <c r="K9" i="78" s="1"/>
  <c r="T31" i="79"/>
  <c r="T35" i="79" s="1"/>
  <c r="G7" i="78"/>
  <c r="G6" i="78"/>
  <c r="X31" i="79"/>
  <c r="X35" i="79" s="1"/>
  <c r="P31" i="79"/>
  <c r="P35" i="79" s="1"/>
  <c r="G10" i="78"/>
  <c r="H31" i="79"/>
  <c r="H35" i="79" s="1"/>
  <c r="G8" i="78"/>
  <c r="F13" i="80"/>
  <c r="F16" i="78" l="1"/>
  <c r="H16" i="78" s="1"/>
  <c r="F17" i="78"/>
  <c r="H17" i="78" s="1"/>
  <c r="G13" i="80"/>
  <c r="F8" i="78"/>
  <c r="I10" i="78" s="1"/>
  <c r="D17" i="79"/>
  <c r="D31" i="79"/>
  <c r="D33" i="79" s="1"/>
  <c r="F18" i="78"/>
  <c r="H18" i="78" s="1"/>
  <c r="K6" i="78"/>
  <c r="K8" i="78"/>
  <c r="K10" i="78"/>
  <c r="K7" i="78"/>
  <c r="F15" i="78"/>
  <c r="H15" i="78" s="1"/>
  <c r="T33" i="79" l="1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<sst xmlns="http://schemas.openxmlformats.org/spreadsheetml/2006/main" count="1338" uniqueCount="304">
  <si>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</si>
  <si>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</si>
  <si>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</si>
  <si>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</si>
  <si>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</si>
  <si>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</si>
  <si>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</si>
  <si>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</si>
  <si>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</si>
  <si>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</si>
  <si>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</si>
  <si>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</si>
  <si>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</si>
  <si>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</si>
  <si>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</si>
  <si>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</si>
  <si>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</si>
  <si>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</si>
  <si>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</si>
  <si>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</si>
  <si>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</si>
  <si>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</si>
  <si>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</si>
  <si>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</si>
  <si>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</si>
  <si>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</si>
  <si>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</si>
  <si>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</si>
  <si>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</si>
  <si>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</si>
  <si>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</si>
  <si>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</si>
  <si>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</si>
  <si>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</si>
  <si>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</si>
  <si>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</si>
  <si>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</si>
  <si>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</si>
  <si>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</si>
  <si>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</si>
  <si>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</si>
  <si>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</si>
  <si>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</si>
  <si>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</si>
  <si>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</si>
  <si>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</si>
  <si>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</si>
  <si>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</si>
  <si>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</si>
  <si>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</si>
  <si>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</si>
  <si>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</si>
  <si>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</si>
  <si>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</si>
  <si>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</si>
  <si>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</si>
  <si>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</si>
  <si>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</si>
  <si>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</si>
  <si>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</si>
  <si>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</si>
  <si>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</si>
  <si>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</si>
  <si>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</si>
  <si>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</si>
  <si>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</si>
  <si>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</si>
  <si>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</si>
  <si>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</si>
  <si>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</si>
  <si>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</si>
  <si>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</si>
  <si>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</si>
  <si>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</si>
  <si>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</si>
  <si>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</si>
  <si>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</si>
  <si>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</si>
  <si>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</si>
  <si>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</si>
  <si>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</si>
  <si>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</si>
  <si>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</si>
  <si>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</si>
  <si>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</si>
  <si>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</si>
  <si>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</si>
  <si>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</si>
  <si>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</si>
  <si>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</si>
  <si>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</si>
  <si>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</si>
  <si>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</si>
  <si>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</si>
  <si>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</si>
  <si>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</si>
  <si>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</si>
  <si>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</si>
  <si>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</si>
  <si>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</si>
  <si>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</si>
  <si>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</si>
  <si>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</si>
  <si>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</si>
  <si>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</si>
  <si>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</si>
  <si>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</si>
  <si>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</si>
  <si>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</si>
  <si>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</si>
  <si>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</si>
  <si>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</si>
  <si>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</si>
  <si>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</si>
  <si>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</si>
  <si>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</si>
  <si>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</si>
  <si>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</si>
  <si>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</si>
  <si>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</si>
  <si>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</si>
  <si>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</si>
  <si>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</si>
  <si>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</si>
  <si>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</si>
  <si>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</si>
  <si>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</si>
  <si>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</si>
  <si>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</si>
  <si>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</si>
  <si>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</si>
  <si>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</si>
  <si>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</si>
  <si>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</si>
  <si>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</si>
  <si>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</si>
  <si>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</si>
  <si>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</si>
  <si>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</si>
  <si>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</si>
  <si>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</si>
  <si>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</si>
  <si>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</si>
  <si>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</si>
  <si>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</si>
  <si>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</si>
  <si>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</si>
  <si>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</si>
  <si>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</si>
  <si>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</si>
  <si>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</si>
  <si>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</si>
  <si>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</si>
  <si>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</si>
  <si>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</si>
  <si>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</si>
  <si>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</si>
  <si>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</si>
  <si>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</si>
  <si>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</si>
  <si>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</si>
  <si>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</si>
  <si>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</si>
  <si>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</si>
  <si>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</si>
  <si>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</si>
  <si>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</si>
  <si>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</si>
  <si>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</si>
  <si>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</si>
  <si>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</si>
  <si>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</si>
  <si>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</si>
  <si>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</si>
  <si>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</si>
  <si>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</si>
  <si>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</si>
  <si>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</si>
  <si>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</si>
  <si>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</si>
  <si>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</si>
  <si>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</si>
  <si>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</si>
  <si>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</si>
  <si>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</si>
  <si>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</si>
  <si>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</si>
  <si>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</si>
  <si>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</si>
  <si>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</si>
  <si>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</si>
  <si>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</si>
  <si>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</si>
  <si>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</si>
  <si>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</si>
  <si>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</si>
  <si>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</si>
  <si>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</si>
  <si>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</si>
  <si>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</si>
  <si>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</si>
  <si>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</si>
  <si>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</si>
  <si>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</si>
  <si>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</si>
  <si>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</si>
  <si>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</si>
  <si>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</si>
  <si>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</si>
  <si>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</si>
  <si>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</si>
  <si>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</si>
  <si>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</si>
  <si>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</si>
  <si>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</si>
  <si>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</si>
  <si>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</si>
  <si>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</si>
  <si>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</si>
  <si>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</si>
  <si>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</si>
  <si>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</si>
  <si>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</si>
  <si>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</si>
  <si>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</si>
  <si>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</si>
  <si>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</si>
  <si>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</si>
  <si>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</si>
  <si>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</si>
  <si>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</si>
  <si>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</si>
  <si>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</si>
  <si>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</si>
  <si>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</si>
  <si>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</si>
  <si>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</si>
  <si>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</si>
  <si>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</si>
  <si>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</si>
  <si>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</si>
  <si>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</si>
  <si>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</si>
  <si>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</si>
  <si>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</si>
  <si>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</si>
  <si>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</si>
  <si>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</si>
  <si>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</si>
  <si>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</si>
  <si>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Optimal Channel Spend  allowed to vary between  of the 2021 spend</t>
  </si>
  <si>
    <t>2022 pro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</si>
  <si>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</si>
  <si>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</si>
  <si>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</si>
  <si>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Current Optimal ($32MM)</t>
  </si>
  <si>
    <t>+$7(4%)</t>
  </si>
  <si>
    <t>-$3(1.5%)</t>
  </si>
  <si>
    <t>-$18(-9%)</t>
  </si>
  <si>
    <t>+$16(8%)</t>
  </si>
  <si>
    <t>+$24(12%)</t>
  </si>
  <si>
    <t>10% reduction optimal ($29M)</t>
  </si>
  <si>
    <t>20% reduction optimal ($26M)</t>
  </si>
  <si>
    <t>10% increase optimal ($35M)</t>
  </si>
  <si>
    <t>20% increase optimal ($38M)</t>
  </si>
  <si>
    <t>Δ Pre-tax Revenue w.r.t 2022 Current baseline</t>
  </si>
  <si>
    <t>2022 Current Baseline ($MM)</t>
  </si>
  <si>
    <t>2023 Planned Spend ($)</t>
  </si>
  <si>
    <t>2023 Optimal Spend ($)</t>
  </si>
  <si>
    <t>2023 Estimated Pre-tax ROI</t>
  </si>
  <si>
    <t>2023 Current Baseline ($MM)</t>
  </si>
  <si>
    <t>2023 proj</t>
  </si>
  <si>
    <t>BASE Case: Vary promotion type spend by + or - 30%. Keep global spend constant.</t>
  </si>
  <si>
    <t>2023 Projected Promotion Efficiency</t>
  </si>
  <si>
    <t>Current 2023 Baseline</t>
  </si>
  <si>
    <t>GINOFF</t>
  </si>
  <si>
    <t>GMCM</t>
  </si>
  <si>
    <t>GOLV</t>
  </si>
  <si>
    <t>GDISP</t>
  </si>
  <si>
    <t>GSOC</t>
  </si>
  <si>
    <t>GSEARCH</t>
  </si>
  <si>
    <t>GRADIO</t>
  </si>
  <si>
    <t>GTV</t>
  </si>
  <si>
    <t>TOTAL WITHOUT TV</t>
  </si>
  <si>
    <t>10% reduction optimal ($30M)</t>
  </si>
  <si>
    <t>20% reduction optimal ($29M)</t>
  </si>
  <si>
    <t>10% increase optimal ($34M)</t>
  </si>
  <si>
    <t>20% increase optimal ($36M)</t>
  </si>
  <si>
    <t>Optimal channel spend allowed to vary between +/- 30% of the 2023 channel spend  except Linear TV</t>
  </si>
  <si>
    <t>+$15(6.1%)</t>
  </si>
  <si>
    <t>+$3(1.1%)</t>
  </si>
  <si>
    <t>-$13(-5.1%)</t>
  </si>
  <si>
    <t>+$24(9.5%)</t>
  </si>
  <si>
    <t>+$30(12.3%)</t>
  </si>
  <si>
    <t>GSTRV</t>
  </si>
  <si>
    <t>2023 Estimated Pre-Tax NPV ($MM)</t>
  </si>
  <si>
    <t>Δ Pre-tax Revenue w.r.t 2023 Current baseline</t>
  </si>
  <si>
    <t>Gardasil Adolescent</t>
  </si>
  <si>
    <t xml:space="preserve">2023 Estimated pre-tax Incr. Doses </t>
  </si>
  <si>
    <t>2023 pre-tax Spend ($MM)</t>
  </si>
  <si>
    <t>Minimum spend</t>
  </si>
  <si>
    <t>Maximum Spend</t>
  </si>
  <si>
    <t>Current optimal ($32MM)</t>
  </si>
  <si>
    <t>HCC Audio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</si>
</sst>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  <numFmt numFmtId="174" formatCode="&quot;$&quot;0.0,,\ "/>
  </numFmts>
  <fonts count="5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9.5"/>
      <color theme="1"/>
      <name val="Arial"/>
      <family val="2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24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3" fontId="0" fillId="43" borderId="0" xfId="0" applyNumberFormat="1" applyFill="1"/>
    <xf numFmtId="2" fontId="1" fillId="0" borderId="0" xfId="0" applyNumberFormat="1" applyFont="1" applyFill="1" applyAlignment="1">
      <alignment horizontal="center"/>
    </xf>
    <xf numFmtId="170" fontId="0" fillId="0" borderId="100" xfId="4" applyNumberFormat="1" applyFont="1" applyFill="1" applyBorder="1" applyAlignment="1">
      <alignment horizontal="center" vertical="center"/>
    </xf>
    <xf numFmtId="0" fontId="41" fillId="0" borderId="0" xfId="0" applyFont="1"/>
    <xf numFmtId="173" fontId="43" fillId="0" borderId="42" xfId="0" applyNumberFormat="1" applyFont="1" applyBorder="1" applyAlignment="1">
      <alignment horizontal="center" vertical="center"/>
    </xf>
    <xf numFmtId="2" fontId="42" fillId="0" borderId="101" xfId="3" applyNumberFormat="1" applyFont="1" applyBorder="1" applyAlignment="1">
      <alignment horizontal="center" vertical="center"/>
    </xf>
    <xf numFmtId="0" fontId="44" fillId="47" borderId="47" xfId="0" applyFont="1" applyFill="1" applyBorder="1" applyAlignment="1">
      <alignment horizontal="center" vertical="center" wrapText="1"/>
    </xf>
    <xf numFmtId="0" fontId="44" fillId="47" borderId="48" xfId="0" applyFont="1" applyFill="1" applyBorder="1" applyAlignment="1">
      <alignment horizontal="center" vertical="center" wrapText="1"/>
    </xf>
    <xf numFmtId="0" fontId="44" fillId="47" borderId="49" xfId="0" applyFont="1" applyFill="1" applyBorder="1" applyAlignment="1">
      <alignment horizontal="center" vertical="center" wrapText="1"/>
    </xf>
    <xf numFmtId="174" fontId="42" fillId="0" borderId="0" xfId="0" applyNumberFormat="1" applyFont="1" applyBorder="1" applyAlignment="1">
      <alignment horizontal="center" vertical="center"/>
    </xf>
    <xf numFmtId="174" fontId="42" fillId="0" borderId="48" xfId="0" applyNumberFormat="1" applyFont="1" applyBorder="1" applyAlignment="1">
      <alignment horizontal="center" vertical="center"/>
    </xf>
    <xf numFmtId="2" fontId="42" fillId="0" borderId="49" xfId="3" applyNumberFormat="1" applyFont="1" applyBorder="1" applyAlignment="1">
      <alignment horizontal="center" vertical="center"/>
    </xf>
    <xf numFmtId="0" fontId="47" fillId="0" borderId="0" xfId="0" applyFont="1"/>
    <xf numFmtId="0" fontId="48" fillId="0" borderId="0" xfId="0" applyFont="1" applyFill="1" applyAlignment="1">
      <alignment horizontal="center"/>
    </xf>
    <xf numFmtId="0" fontId="47" fillId="0" borderId="70" xfId="0" applyFont="1" applyBorder="1" applyAlignment="1">
      <alignment horizontal="left" vertical="center" wrapText="1" indent="1"/>
    </xf>
    <xf numFmtId="0" fontId="47" fillId="0" borderId="70" xfId="0" applyFont="1" applyBorder="1" applyAlignment="1">
      <alignment horizontal="center" vertical="center"/>
    </xf>
    <xf numFmtId="0" fontId="47" fillId="0" borderId="70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78" xfId="0" applyFont="1" applyBorder="1" applyAlignment="1">
      <alignment horizontal="center" vertical="center" wrapText="1"/>
    </xf>
    <xf numFmtId="0" fontId="47" fillId="0" borderId="79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49" fillId="0" borderId="71" xfId="0" applyFont="1" applyBorder="1" applyAlignment="1">
      <alignment horizontal="left" vertical="center" indent="1"/>
    </xf>
    <xf numFmtId="170" fontId="49" fillId="0" borderId="80" xfId="4" applyNumberFormat="1" applyFont="1" applyBorder="1" applyAlignment="1">
      <alignment horizontal="center" vertical="center"/>
    </xf>
    <xf numFmtId="166" fontId="49" fillId="0" borderId="0" xfId="4" applyNumberFormat="1" applyFont="1" applyAlignment="1">
      <alignment horizontal="center" vertical="center"/>
    </xf>
    <xf numFmtId="170" fontId="49" fillId="0" borderId="82" xfId="4" applyNumberFormat="1" applyFont="1" applyBorder="1" applyAlignment="1">
      <alignment horizontal="center" vertical="center"/>
    </xf>
    <xf numFmtId="9" fontId="49" fillId="0" borderId="80" xfId="3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0" borderId="0" xfId="0" applyFont="1"/>
    <xf numFmtId="170" fontId="49" fillId="0" borderId="83" xfId="4" applyNumberFormat="1" applyFont="1" applyBorder="1" applyAlignment="1">
      <alignment horizontal="center" vertical="center"/>
    </xf>
    <xf numFmtId="170" fontId="49" fillId="0" borderId="84" xfId="4" applyNumberFormat="1" applyFont="1" applyBorder="1" applyAlignment="1">
      <alignment horizontal="center" vertical="center"/>
    </xf>
    <xf numFmtId="170" fontId="49" fillId="0" borderId="86" xfId="4" applyNumberFormat="1" applyFont="1" applyBorder="1" applyAlignment="1">
      <alignment horizontal="center" vertical="center"/>
    </xf>
    <xf numFmtId="9" fontId="49" fillId="0" borderId="84" xfId="3" applyFont="1" applyBorder="1" applyAlignment="1">
      <alignment horizontal="center" vertical="center"/>
    </xf>
    <xf numFmtId="170" fontId="49" fillId="0" borderId="87" xfId="4" applyNumberFormat="1" applyFont="1" applyBorder="1" applyAlignment="1">
      <alignment horizontal="center" vertical="center"/>
    </xf>
    <xf numFmtId="170" fontId="47" fillId="48" borderId="89" xfId="0" applyNumberFormat="1" applyFont="1" applyFill="1" applyBorder="1" applyAlignment="1">
      <alignment horizontal="center" vertical="center"/>
    </xf>
    <xf numFmtId="170" fontId="47" fillId="48" borderId="91" xfId="4" applyNumberFormat="1" applyFont="1" applyFill="1" applyBorder="1" applyAlignment="1">
      <alignment horizontal="center" vertical="center" wrapText="1"/>
    </xf>
    <xf numFmtId="9" fontId="47" fillId="48" borderId="92" xfId="3" applyFont="1" applyFill="1" applyBorder="1" applyAlignment="1">
      <alignment horizontal="center" vertical="center"/>
    </xf>
    <xf numFmtId="170" fontId="47" fillId="48" borderId="93" xfId="4" applyNumberFormat="1" applyFont="1" applyFill="1" applyBorder="1" applyAlignment="1">
      <alignment horizontal="center" vertical="center" wrapText="1"/>
    </xf>
    <xf numFmtId="0" fontId="50" fillId="0" borderId="0" xfId="0" applyFont="1"/>
    <xf numFmtId="170" fontId="47" fillId="48" borderId="90" xfId="0" applyNumberFormat="1" applyFont="1" applyFill="1" applyBorder="1" applyAlignment="1">
      <alignment horizontal="center" vertical="center"/>
    </xf>
    <xf numFmtId="166" fontId="51" fillId="48" borderId="93" xfId="4" quotePrefix="1" applyNumberFormat="1" applyFont="1" applyFill="1" applyBorder="1" applyAlignment="1">
      <alignment horizontal="center" vertical="center" wrapText="1"/>
    </xf>
    <xf numFmtId="166" fontId="51" fillId="48" borderId="93" xfId="4" quotePrefix="1" applyNumberFormat="1" applyFont="1" applyFill="1" applyBorder="1" applyAlignment="1">
      <alignment horizontal="center" vertical="center"/>
    </xf>
    <xf numFmtId="166" fontId="52" fillId="48" borderId="93" xfId="4" quotePrefix="1" applyNumberFormat="1" applyFont="1" applyFill="1" applyBorder="1" applyAlignment="1">
      <alignment horizontal="center" vertical="center"/>
    </xf>
    <xf numFmtId="170" fontId="49" fillId="0" borderId="81" xfId="4" applyNumberFormat="1" applyFont="1" applyBorder="1" applyAlignment="1">
      <alignment horizontal="center" vertical="center"/>
    </xf>
    <xf numFmtId="170" fontId="49" fillId="0" borderId="85" xfId="4" applyNumberFormat="1" applyFont="1" applyBorder="1" applyAlignment="1">
      <alignment horizontal="center" vertical="center"/>
    </xf>
    <xf numFmtId="0" fontId="47" fillId="48" borderId="88" xfId="0" applyFont="1" applyFill="1" applyBorder="1" applyAlignment="1">
      <alignment horizontal="left" vertical="center" wrapText="1" indent="1"/>
    </xf>
    <xf numFmtId="174" fontId="45" fillId="0" borderId="42" xfId="0" applyNumberFormat="1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3" fontId="42" fillId="0" borderId="48" xfId="0" applyNumberFormat="1" applyFont="1" applyBorder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Border="1" applyAlignment="1">
      <alignment horizontal="left" vertical="center"/>
    </xf>
    <xf numFmtId="3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0" xfId="0" applyNumberFormat="1" applyFont="1" applyBorder="1" applyAlignment="1">
      <alignment horizontal="center" vertical="center"/>
    </xf>
    <xf numFmtId="0" fontId="46" fillId="0" borderId="41" xfId="0" applyFont="1" applyBorder="1" applyAlignment="1">
      <alignment horizontal="left" vertical="center"/>
    </xf>
    <xf numFmtId="0" fontId="46" fillId="0" borderId="42" xfId="0" applyFont="1" applyFill="1" applyBorder="1" applyAlignment="1">
      <alignment horizontal="left" vertical="center"/>
    </xf>
    <xf numFmtId="3" fontId="46" fillId="0" borderId="42" xfId="0" applyNumberFormat="1" applyFont="1" applyBorder="1" applyAlignment="1">
      <alignment horizontal="center" vertical="center"/>
    </xf>
    <xf numFmtId="169" fontId="46" fillId="0" borderId="42" xfId="0" applyNumberFormat="1" applyFont="1" applyBorder="1" applyAlignment="1">
      <alignment horizontal="center" vertical="center"/>
    </xf>
    <xf numFmtId="171" fontId="46" fillId="0" borderId="42" xfId="0" applyNumberFormat="1" applyFont="1" applyBorder="1" applyAlignment="1">
      <alignment horizontal="center" vertical="center"/>
    </xf>
    <xf numFmtId="166" fontId="46" fillId="0" borderId="42" xfId="4" applyNumberFormat="1" applyFont="1" applyBorder="1" applyAlignment="1">
      <alignment horizontal="center" vertical="center"/>
    </xf>
    <xf numFmtId="172" fontId="46" fillId="0" borderId="13" xfId="0" applyNumberFormat="1" applyFont="1" applyBorder="1" applyAlignment="1">
      <alignment horizontal="center" vertical="center"/>
    </xf>
    <xf numFmtId="0" fontId="50" fillId="0" borderId="70" xfId="0" applyFont="1" applyBorder="1" applyAlignment="1">
      <alignment horizontal="center" vertical="center"/>
    </xf>
    <xf numFmtId="0" fontId="50" fillId="0" borderId="70" xfId="0" applyFont="1" applyBorder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50" fillId="0" borderId="78" xfId="0" applyFont="1" applyBorder="1" applyAlignment="1">
      <alignment horizontal="center" vertical="center" wrapText="1"/>
    </xf>
    <xf numFmtId="0" fontId="50" fillId="0" borderId="70" xfId="0" applyFont="1" applyBorder="1" applyAlignment="1">
      <alignment horizontal="left" vertical="center" wrapText="1" indent="1"/>
    </xf>
    <xf numFmtId="170" fontId="50" fillId="0" borderId="70" xfId="0" applyNumberFormat="1" applyFont="1" applyBorder="1" applyAlignment="1">
      <alignment horizontal="center" vertical="center"/>
    </xf>
    <xf numFmtId="170" fontId="50" fillId="0" borderId="103" xfId="0" applyNumberFormat="1" applyFont="1" applyBorder="1" applyAlignment="1">
      <alignment horizontal="center" vertical="center"/>
    </xf>
    <xf numFmtId="170" fontId="50" fillId="0" borderId="82" xfId="4" applyNumberFormat="1" applyFont="1" applyBorder="1" applyAlignment="1">
      <alignment horizontal="center" vertical="center"/>
    </xf>
    <xf numFmtId="9" fontId="50" fillId="0" borderId="80" xfId="3" applyFont="1" applyBorder="1" applyAlignment="1">
      <alignment horizontal="center" vertical="center"/>
    </xf>
    <xf numFmtId="0" fontId="50" fillId="0" borderId="71" xfId="0" applyFont="1" applyBorder="1" applyAlignment="1">
      <alignment horizontal="left" vertical="center" indent="1"/>
    </xf>
    <xf numFmtId="170" fontId="50" fillId="0" borderId="0" xfId="0" applyNumberFormat="1" applyFont="1" applyAlignment="1">
      <alignment horizontal="center" vertical="center"/>
    </xf>
    <xf numFmtId="166" fontId="47" fillId="48" borderId="89" xfId="0" applyNumberFormat="1" applyFont="1" applyFill="1" applyBorder="1" applyAlignment="1">
      <alignment horizontal="center" vertical="center"/>
    </xf>
    <xf numFmtId="166" fontId="47" fillId="48" borderId="91" xfId="4" applyNumberFormat="1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0" fillId="0" borderId="73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0" fontId="50" fillId="0" borderId="74" xfId="0" applyFont="1" applyBorder="1" applyAlignment="1">
      <alignment horizontal="center" vertical="center"/>
    </xf>
    <xf numFmtId="0" fontId="48" fillId="47" borderId="67" xfId="0" applyFont="1" applyFill="1" applyBorder="1" applyAlignment="1">
      <alignment horizontal="center" vertical="center"/>
    </xf>
    <xf numFmtId="0" fontId="48" fillId="47" borderId="68" xfId="0" applyFont="1" applyFill="1" applyBorder="1" applyAlignment="1">
      <alignment horizontal="center" vertic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48" fillId="47" borderId="69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47" fillId="0" borderId="73" xfId="0" applyFont="1" applyBorder="1" applyAlignment="1">
      <alignment horizontal="center" vertical="center" wrapText="1"/>
    </xf>
    <xf numFmtId="0" fontId="47" fillId="0" borderId="74" xfId="0" applyFont="1" applyBorder="1" applyAlignment="1">
      <alignment horizontal="center" vertical="center" wrapText="1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3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36035901.72277765</c:v>
                </c:pt>
                <c:pt idx="1">
                  <c:v>34158203.662110411</c:v>
                </c:pt>
                <c:pt idx="2">
                  <c:v>32280505.600000001</c:v>
                </c:pt>
                <c:pt idx="3">
                  <c:v>30402807.536549389</c:v>
                </c:pt>
                <c:pt idx="4">
                  <c:v>28525109.469671801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278827751.78509402</c:v>
                </c:pt>
                <c:pt idx="1">
                  <c:v>271885539.47725081</c:v>
                </c:pt>
                <c:pt idx="2">
                  <c:v>263473120.22208402</c:v>
                </c:pt>
                <c:pt idx="3">
                  <c:v>251089732.37749994</c:v>
                </c:pt>
                <c:pt idx="4">
                  <c:v>235766394.6766302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36035901.72277765</c:v>
                </c:pt>
                <c:pt idx="1">
                  <c:v>34158203.662110411</c:v>
                </c:pt>
                <c:pt idx="2">
                  <c:v>32280505.600000001</c:v>
                </c:pt>
                <c:pt idx="3">
                  <c:v>30402807.536549389</c:v>
                </c:pt>
                <c:pt idx="4">
                  <c:v>28525109.469671801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32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:$31.8M, Optimal channel spend is allowed to vary within +/-30% of 2023 channel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3811844101457"/>
          <c:y val="0.12529936200020808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450000</c:v>
                </c:pt>
                <c:pt idx="2">
                  <c:v>900000</c:v>
                </c:pt>
                <c:pt idx="3">
                  <c:v>1350000</c:v>
                </c:pt>
                <c:pt idx="4">
                  <c:v>1800000</c:v>
                </c:pt>
                <c:pt idx="5">
                  <c:v>2250000</c:v>
                </c:pt>
                <c:pt idx="6">
                  <c:v>2700000</c:v>
                </c:pt>
                <c:pt idx="7">
                  <c:v>3150000</c:v>
                </c:pt>
                <c:pt idx="8">
                  <c:v>3600000</c:v>
                </c:pt>
                <c:pt idx="9">
                  <c:v>4050000</c:v>
                </c:pt>
                <c:pt idx="10">
                  <c:v>4500000</c:v>
                </c:pt>
                <c:pt idx="11">
                  <c:v>4950000</c:v>
                </c:pt>
                <c:pt idx="12">
                  <c:v>5400000</c:v>
                </c:pt>
                <c:pt idx="13">
                  <c:v>5850000</c:v>
                </c:pt>
                <c:pt idx="14">
                  <c:v>6300000</c:v>
                </c:pt>
                <c:pt idx="15">
                  <c:v>6750000</c:v>
                </c:pt>
                <c:pt idx="16">
                  <c:v>7200000</c:v>
                </c:pt>
                <c:pt idx="17">
                  <c:v>7650000</c:v>
                </c:pt>
                <c:pt idx="18">
                  <c:v>8100000</c:v>
                </c:pt>
                <c:pt idx="19">
                  <c:v>8550000</c:v>
                </c:pt>
                <c:pt idx="20">
                  <c:v>9000000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32090.946621055715</c:v>
                </c:pt>
                <c:pt idx="2">
                  <c:v>62372.702283534221</c:v>
                </c:pt>
                <c:pt idx="3">
                  <c:v>90934.537746489979</c:v>
                </c:pt>
                <c:pt idx="4">
                  <c:v>117862.82305689622</c:v>
                </c:pt>
                <c:pt idx="5">
                  <c:v>143240.93136705179</c:v>
                </c:pt>
                <c:pt idx="6">
                  <c:v>167149.17398581188</c:v>
                </c:pt>
                <c:pt idx="7">
                  <c:v>189664.76300015021</c:v>
                </c:pt>
                <c:pt idx="8">
                  <c:v>210861.79804271925</c:v>
                </c:pt>
                <c:pt idx="9">
                  <c:v>230811.27402984444</c:v>
                </c:pt>
                <c:pt idx="10">
                  <c:v>249581.10694633145</c:v>
                </c:pt>
                <c:pt idx="11">
                  <c:v>267236.17500382755</c:v>
                </c:pt>
                <c:pt idx="12">
                  <c:v>283838.37274381984</c:v>
                </c:pt>
                <c:pt idx="13">
                  <c:v>299446.6758922087</c:v>
                </c:pt>
                <c:pt idx="14">
                  <c:v>314117.21499689016</c:v>
                </c:pt>
                <c:pt idx="15">
                  <c:v>327903.35609178897</c:v>
                </c:pt>
                <c:pt idx="16">
                  <c:v>340855.78682918753</c:v>
                </c:pt>
                <c:pt idx="17">
                  <c:v>353022.60670624953</c:v>
                </c:pt>
                <c:pt idx="18">
                  <c:v>364449.42018150073</c:v>
                </c:pt>
                <c:pt idx="19">
                  <c:v>375179.43163259048</c:v>
                </c:pt>
                <c:pt idx="20">
                  <c:v>385253.54124828521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Audio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0426951839353447E-2"/>
                  <c:y val="-5.20786004690591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7055420155813852E-3"/>
                  <c:y val="-1.032444473852541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  <c:pt idx="20">
                  <c:v>2180878.598769146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8194.431742310524</c:v>
                </c:pt>
                <c:pt idx="1">
                  <c:v>16138.258794490248</c:v>
                </c:pt>
                <c:pt idx="2">
                  <c:v>23838.687388489023</c:v>
                </c:pt>
                <c:pt idx="3">
                  <c:v>31302.745052527636</c:v>
                </c:pt>
                <c:pt idx="4">
                  <c:v>38537.283223880455</c:v>
                </c:pt>
                <c:pt idx="5">
                  <c:v>45548.979951588437</c:v>
                </c:pt>
                <c:pt idx="6">
                  <c:v>52344.342677412555</c:v>
                </c:pt>
                <c:pt idx="7">
                  <c:v>58929.711084183306</c:v>
                </c:pt>
                <c:pt idx="8">
                  <c:v>65311.260001372546</c:v>
                </c:pt>
                <c:pt idx="9">
                  <c:v>71495.002358317375</c:v>
                </c:pt>
                <c:pt idx="10">
                  <c:v>77486.79217626527</c:v>
                </c:pt>
                <c:pt idx="11">
                  <c:v>83292.327590946108</c:v>
                </c:pt>
                <c:pt idx="12">
                  <c:v>88917.153897989541</c:v>
                </c:pt>
                <c:pt idx="13">
                  <c:v>94366.666614044458</c:v>
                </c:pt>
                <c:pt idx="14">
                  <c:v>99646.114547008649</c:v>
                </c:pt>
                <c:pt idx="15">
                  <c:v>104760.60286923684</c:v>
                </c:pt>
                <c:pt idx="16">
                  <c:v>109715.09618811496</c:v>
                </c:pt>
                <c:pt idx="17">
                  <c:v>114514.42160880566</c:v>
                </c:pt>
                <c:pt idx="18">
                  <c:v>119163.27178439125</c:v>
                </c:pt>
                <c:pt idx="19">
                  <c:v>123666.20794909261</c:v>
                </c:pt>
                <c:pt idx="20">
                  <c:v>128027.66293053329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1346172.4927629044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28154.025053609163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6974984.7570000011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334480.28078193869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448119.10000000003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157042.17063662564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1868162.933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82600.094379775124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225000.022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8989.8273410275578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1648357.37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104116.36986385845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2142864.5810000002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126447.32566596754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1873000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71243.17418511775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2434900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83389.097243970609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7092172.847014742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159289.63557628606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38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1.3461724927629044</c:v>
                </c:pt>
                <c:pt idx="1">
                  <c:v>1.3461724927629044</c:v>
                </c:pt>
                <c:pt idx="2">
                  <c:v>1.3461724927629044</c:v>
                </c:pt>
                <c:pt idx="3">
                  <c:v>1.3461724927629044</c:v>
                </c:pt>
                <c:pt idx="4">
                  <c:v>1.3461724927629044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6.9749847570000014</c:v>
                </c:pt>
                <c:pt idx="1">
                  <c:v>6.9749847570000014</c:v>
                </c:pt>
                <c:pt idx="2">
                  <c:v>6.9749847570000014</c:v>
                </c:pt>
                <c:pt idx="3">
                  <c:v>6.9749847570000014</c:v>
                </c:pt>
                <c:pt idx="4">
                  <c:v>6.9749847570000014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2.4348999999999998</c:v>
                </c:pt>
                <c:pt idx="1">
                  <c:v>2.4348999999999998</c:v>
                </c:pt>
                <c:pt idx="2">
                  <c:v>2.4348999999999998</c:v>
                </c:pt>
                <c:pt idx="3">
                  <c:v>2.4348999999999998</c:v>
                </c:pt>
                <c:pt idx="4">
                  <c:v>2.4348999999999998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0.22500002199999999</c:v>
                </c:pt>
                <c:pt idx="1">
                  <c:v>0.22500002199999999</c:v>
                </c:pt>
                <c:pt idx="2">
                  <c:v>0.22500002199999999</c:v>
                </c:pt>
                <c:pt idx="3">
                  <c:v>0.22500002199999999</c:v>
                </c:pt>
                <c:pt idx="4">
                  <c:v>0.22500002199999999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7.0921728470147416</c:v>
                </c:pt>
                <c:pt idx="1">
                  <c:v>7.0921728470147416</c:v>
                </c:pt>
                <c:pt idx="2">
                  <c:v>7.0921728470147416</c:v>
                </c:pt>
                <c:pt idx="3">
                  <c:v>7.0921728470147416</c:v>
                </c:pt>
                <c:pt idx="4">
                  <c:v>7.0921728470147416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2.1428645810000004</c:v>
                </c:pt>
                <c:pt idx="1">
                  <c:v>2.1428645810000004</c:v>
                </c:pt>
                <c:pt idx="2">
                  <c:v>2.1428645810000004</c:v>
                </c:pt>
                <c:pt idx="3">
                  <c:v>2.1428645810000004</c:v>
                </c:pt>
                <c:pt idx="4">
                  <c:v>2.1428645810000004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0.44811910000000005</c:v>
                </c:pt>
                <c:pt idx="1">
                  <c:v>0.44811910000000005</c:v>
                </c:pt>
                <c:pt idx="2">
                  <c:v>0.44811910000000005</c:v>
                </c:pt>
                <c:pt idx="3">
                  <c:v>0.44811910000000005</c:v>
                </c:pt>
                <c:pt idx="4">
                  <c:v>0.44811910000000005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1.868162933</c:v>
                </c:pt>
                <c:pt idx="1">
                  <c:v>1.868162933</c:v>
                </c:pt>
                <c:pt idx="2">
                  <c:v>1.868162933</c:v>
                </c:pt>
                <c:pt idx="3">
                  <c:v>1.868162933</c:v>
                </c:pt>
                <c:pt idx="4">
                  <c:v>1.868162933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Audio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In Office</c:v>
                </c:pt>
                <c:pt idx="8">
                  <c:v>HCC TV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2.6375102733287696</c:v>
                </c:pt>
                <c:pt idx="1">
                  <c:v>15.831875161949808</c:v>
                </c:pt>
                <c:pt idx="2">
                  <c:v>18.98595943863651</c:v>
                </c:pt>
                <c:pt idx="3">
                  <c:v>20.363708252210174</c:v>
                </c:pt>
                <c:pt idx="4">
                  <c:v>22.868685790684225</c:v>
                </c:pt>
                <c:pt idx="5">
                  <c:v>26.290237926979646</c:v>
                </c:pt>
                <c:pt idx="6">
                  <c:v>42.722551023461378</c:v>
                </c:pt>
                <c:pt idx="7">
                  <c:v>51.50549446347668</c:v>
                </c:pt>
                <c:pt idx="8">
                  <c:v>53.229226721114685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30479</xdr:colOff>
      <xdr:row>5</xdr:row>
      <xdr:rowOff>104775</xdr:rowOff>
    </xdr:from>
    <xdr:to>
      <xdr:col>18</xdr:col>
      <xdr:colOff>485775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244475</xdr:colOff>
      <xdr:row>11</xdr:row>
      <xdr:rowOff>50800</xdr:rowOff>
    </xdr:from>
    <xdr:to>
      <xdr:col>11</xdr:col>
      <xdr:colOff>406400</xdr:colOff>
      <xdr:row>12</xdr:row>
      <xdr:rowOff>98425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6340475" y="21463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0.18411</cdr:x>
      <cdr:y>0.16168</cdr:y>
    </cdr:from>
    <cdr:to>
      <cdr:x>0.30055</cdr:x>
      <cdr:y>0.2011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8B8F535-BD3B-471B-940A-B029C0DB92B2}"/>
            </a:ext>
          </a:extLst>
        </cdr:cNvPr>
        <cdr:cNvSpPr txBox="1"/>
      </cdr:nvSpPr>
      <cdr:spPr>
        <a:xfrm xmlns:a="http://schemas.openxmlformats.org/drawingml/2006/main">
          <a:off x="1879600" y="1028700"/>
          <a:ext cx="1188721" cy="25082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paid Search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14</xdr:row>
      <xdr:rowOff>2116</xdr:rowOff>
    </xdr:from>
    <xdr:to>
      <xdr:col>20</xdr:col>
      <xdr:colOff>87983</xdr:colOff>
      <xdr:row>29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3"/>
  <sheetViews>
    <sheetView zoomScale="75" zoomScaleNormal="75" workbookViewId="0">
      <selection activeCell="I7" sqref="I7:K7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3.85546875" style="97" bestFit="1" customWidth="1"/>
    <col min="4" max="4" width="9.5703125" style="97" bestFit="1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4.425781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426" t="s">
        <v>200</v>
      </c>
      <c r="H4" s="426"/>
      <c r="I4" s="427" t="s">
        <v>201</v>
      </c>
      <c r="J4" s="427"/>
      <c r="K4" s="428" t="s">
        <v>202</v>
      </c>
      <c r="L4" s="428"/>
    </row>
    <row r="5" spans="2:13" ht="38.65" customHeight="1" x14ac:dyDescent="0.25">
      <c r="B5" s="197"/>
      <c r="C5" s="271" t="s">
        <v>203</v>
      </c>
      <c r="D5" s="271" t="s">
        <v>204</v>
      </c>
      <c r="E5" s="181" t="s">
        <v>205</v>
      </c>
      <c r="F5" s="271" t="s">
        <v>274</v>
      </c>
      <c r="G5" s="292" t="s">
        <v>247</v>
      </c>
      <c r="H5" s="292"/>
      <c r="I5" s="292" t="s">
        <v>247</v>
      </c>
      <c r="J5" s="292"/>
      <c r="K5" s="292" t="s">
        <v>247</v>
      </c>
      <c r="L5" s="292"/>
      <c r="M5" s="293"/>
    </row>
    <row r="6" spans="2:13" x14ac:dyDescent="0.25">
      <c r="C6" s="183">
        <f>'Scenario deep dive'!V16</f>
        <v>36035901.72277765</v>
      </c>
      <c r="D6" s="184">
        <v>0.2</v>
      </c>
      <c r="E6" s="185">
        <f>D6*$C$8</f>
        <v>6456101.120000001</v>
      </c>
      <c r="F6" s="183"/>
      <c r="G6" s="183">
        <f>'Scenario deep dive'!X16</f>
        <v>278827751.78509402</v>
      </c>
      <c r="H6" s="183"/>
      <c r="I6" s="183">
        <f t="shared" ref="I6:J10" si="0">G6-$F$8</f>
        <v>30471991.440669239</v>
      </c>
      <c r="J6" s="183">
        <f t="shared" si="0"/>
        <v>-248355760.34442478</v>
      </c>
      <c r="K6" s="186">
        <f t="shared" ref="K6:L10" si="1">G6/$C6</f>
        <v>7.7374989511876704</v>
      </c>
      <c r="L6" s="186">
        <f t="shared" si="1"/>
        <v>0</v>
      </c>
    </row>
    <row r="7" spans="2:13" x14ac:dyDescent="0.25">
      <c r="C7" s="183">
        <f>'Scenario deep dive'!R16</f>
        <v>34158203.662110411</v>
      </c>
      <c r="D7" s="184">
        <v>0.1</v>
      </c>
      <c r="E7" s="185">
        <f>D7*$C$8</f>
        <v>3228050.5600000005</v>
      </c>
      <c r="F7" s="183"/>
      <c r="G7" s="183">
        <f>'Scenario deep dive'!T16</f>
        <v>271885539.47725081</v>
      </c>
      <c r="H7" s="187"/>
      <c r="I7" s="183">
        <f t="shared" si="0"/>
        <v>23529779.13282603</v>
      </c>
      <c r="J7" s="183">
        <f t="shared" si="0"/>
        <v>-248355760.34442478</v>
      </c>
      <c r="K7" s="186">
        <f t="shared" si="1"/>
        <v>7.9595971195299322</v>
      </c>
      <c r="L7" s="186">
        <f t="shared" si="1"/>
        <v>0</v>
      </c>
    </row>
    <row r="8" spans="2:13" x14ac:dyDescent="0.25">
      <c r="B8" s="188">
        <f>F8/C8</f>
        <v>7.6936762831999994</v>
      </c>
      <c r="C8" s="183">
        <f>'Scenario deep dive'!C16</f>
        <v>32280505.600000001</v>
      </c>
      <c r="D8" s="184">
        <v>0</v>
      </c>
      <c r="E8" s="185">
        <f>D8*$C$8</f>
        <v>0</v>
      </c>
      <c r="F8" s="183">
        <f>'Scenario deep dive'!D16</f>
        <v>248355760.34442478</v>
      </c>
      <c r="G8" s="183">
        <f>'Scenario deep dive'!H16</f>
        <v>263473120.22208402</v>
      </c>
      <c r="H8" s="183"/>
      <c r="I8" s="183">
        <f t="shared" si="0"/>
        <v>15117359.877659231</v>
      </c>
      <c r="J8" s="183">
        <f t="shared" si="0"/>
        <v>-248355760.34442478</v>
      </c>
      <c r="K8" s="186">
        <f t="shared" si="1"/>
        <v>8.1619886468594842</v>
      </c>
      <c r="L8" s="186">
        <f t="shared" si="1"/>
        <v>0</v>
      </c>
    </row>
    <row r="9" spans="2:13" x14ac:dyDescent="0.25">
      <c r="C9" s="183">
        <f>'Scenario deep dive'!J16</f>
        <v>30402807.536549389</v>
      </c>
      <c r="D9" s="184">
        <v>-0.1</v>
      </c>
      <c r="E9" s="185">
        <f>D9*$C$8</f>
        <v>-3228050.5600000005</v>
      </c>
      <c r="F9" s="183"/>
      <c r="G9" s="183">
        <f>'Scenario deep dive'!L16</f>
        <v>251089732.37749994</v>
      </c>
      <c r="H9" s="183"/>
      <c r="I9" s="183">
        <f t="shared" si="0"/>
        <v>2733972.0330751538</v>
      </c>
      <c r="J9" s="183">
        <f t="shared" si="0"/>
        <v>-248355760.34442478</v>
      </c>
      <c r="K9" s="186">
        <f t="shared" si="1"/>
        <v>8.2587679468630331</v>
      </c>
      <c r="L9" s="186">
        <f t="shared" si="1"/>
        <v>0</v>
      </c>
    </row>
    <row r="10" spans="2:13" x14ac:dyDescent="0.25">
      <c r="C10" s="183">
        <f>'Scenario deep dive'!N16</f>
        <v>28525109.469671801</v>
      </c>
      <c r="D10" s="184">
        <v>-0.2</v>
      </c>
      <c r="E10" s="185">
        <f>D10*$C$8</f>
        <v>-6456101.120000001</v>
      </c>
      <c r="F10" s="183"/>
      <c r="G10" s="183">
        <f>'Scenario deep dive'!P16</f>
        <v>235766394.6766302</v>
      </c>
      <c r="H10" s="183"/>
      <c r="I10" s="183">
        <f t="shared" si="0"/>
        <v>-12589365.667794585</v>
      </c>
      <c r="J10" s="183">
        <f t="shared" si="0"/>
        <v>-248355760.34442478</v>
      </c>
      <c r="K10" s="186">
        <f t="shared" si="1"/>
        <v>8.2652231335798909</v>
      </c>
      <c r="L10" s="186">
        <f t="shared" si="1"/>
        <v>0</v>
      </c>
    </row>
    <row r="11" spans="2:13" x14ac:dyDescent="0.25">
      <c r="D11" s="189"/>
      <c r="E11" s="189"/>
      <c r="F11" s="183"/>
    </row>
    <row r="12" spans="2:13" x14ac:dyDescent="0.25">
      <c r="D12" s="189"/>
      <c r="E12" s="189"/>
    </row>
    <row r="13" spans="2:13" x14ac:dyDescent="0.25">
      <c r="F13" s="429" t="s">
        <v>206</v>
      </c>
      <c r="G13" s="429"/>
      <c r="H13" s="429" t="s">
        <v>207</v>
      </c>
      <c r="I13" s="429"/>
    </row>
    <row r="14" spans="2:13" x14ac:dyDescent="0.25">
      <c r="C14" s="180" t="s">
        <v>203</v>
      </c>
      <c r="D14" s="180" t="s">
        <v>204</v>
      </c>
      <c r="E14" s="97" t="s">
        <v>208</v>
      </c>
      <c r="F14" s="292" t="s">
        <v>247</v>
      </c>
      <c r="G14" s="182"/>
      <c r="H14" s="292" t="s">
        <v>247</v>
      </c>
      <c r="I14" s="182"/>
    </row>
    <row r="15" spans="2:13" x14ac:dyDescent="0.25">
      <c r="C15" s="190">
        <f t="shared" ref="C15:D19" si="2">C6</f>
        <v>36035901.72277765</v>
      </c>
      <c r="D15" s="191">
        <f t="shared" si="2"/>
        <v>0.2</v>
      </c>
      <c r="E15" s="190">
        <f>C15-C16</f>
        <v>1877698.0606672391</v>
      </c>
      <c r="F15" s="192">
        <f t="shared" ref="F15:G18" si="3">G6-G7</f>
        <v>6942212.3078432083</v>
      </c>
      <c r="G15" s="192">
        <f>H6-H7</f>
        <v>0</v>
      </c>
      <c r="H15" s="186">
        <f t="shared" ref="H15:I18" si="4">F15/$E15</f>
        <v>3.697193096837037</v>
      </c>
      <c r="I15" s="186">
        <f t="shared" si="4"/>
        <v>0</v>
      </c>
    </row>
    <row r="16" spans="2:13" x14ac:dyDescent="0.25">
      <c r="C16" s="190">
        <f t="shared" si="2"/>
        <v>34158203.662110411</v>
      </c>
      <c r="D16" s="191">
        <f t="shared" si="2"/>
        <v>0.1</v>
      </c>
      <c r="E16" s="190">
        <f>C16-C17</f>
        <v>1877698.0621104091</v>
      </c>
      <c r="F16" s="192">
        <f>G7-G8</f>
        <v>8412419.2551667988</v>
      </c>
      <c r="G16" s="192">
        <f t="shared" si="3"/>
        <v>0</v>
      </c>
      <c r="H16" s="186">
        <f>F16/$E16</f>
        <v>4.4801767786412867</v>
      </c>
      <c r="I16" s="186">
        <f t="shared" si="4"/>
        <v>0</v>
      </c>
    </row>
    <row r="17" spans="3:9" x14ac:dyDescent="0.25">
      <c r="C17" s="190">
        <f t="shared" si="2"/>
        <v>32280505.600000001</v>
      </c>
      <c r="D17" s="191">
        <f t="shared" si="2"/>
        <v>0</v>
      </c>
      <c r="E17" s="190">
        <f>C17-C18</f>
        <v>1877698.0634506121</v>
      </c>
      <c r="F17" s="192">
        <f>G8-G9</f>
        <v>12383387.844584078</v>
      </c>
      <c r="G17" s="192">
        <f t="shared" si="3"/>
        <v>0</v>
      </c>
      <c r="H17" s="186">
        <f>F17/$E17</f>
        <v>6.5949835522689666</v>
      </c>
      <c r="I17" s="186">
        <f t="shared" si="4"/>
        <v>0</v>
      </c>
    </row>
    <row r="18" spans="3:9" x14ac:dyDescent="0.25">
      <c r="C18" s="190">
        <f t="shared" si="2"/>
        <v>30402807.536549389</v>
      </c>
      <c r="D18" s="191">
        <f t="shared" si="2"/>
        <v>-0.1</v>
      </c>
      <c r="E18" s="190">
        <f>C18-C19</f>
        <v>1877698.0668775886</v>
      </c>
      <c r="F18" s="192">
        <f t="shared" si="3"/>
        <v>15323337.700869739</v>
      </c>
      <c r="G18" s="192">
        <f t="shared" si="3"/>
        <v>0</v>
      </c>
      <c r="H18" s="186">
        <f t="shared" si="4"/>
        <v>8.1607037740369055</v>
      </c>
      <c r="I18" s="186">
        <f t="shared" si="4"/>
        <v>0</v>
      </c>
    </row>
    <row r="19" spans="3:9" x14ac:dyDescent="0.25">
      <c r="C19" s="190">
        <f t="shared" si="2"/>
        <v>28525109.469671801</v>
      </c>
      <c r="D19" s="191">
        <f t="shared" si="2"/>
        <v>-0.2</v>
      </c>
      <c r="E19" s="190"/>
      <c r="F19" s="192"/>
      <c r="G19" s="192"/>
      <c r="H19" s="186"/>
    </row>
    <row r="20" spans="3:9" x14ac:dyDescent="0.25">
      <c r="H20" s="186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  <row r="60" spans="21:22" x14ac:dyDescent="0.25">
      <c r="U60" s="193"/>
      <c r="V60" s="193"/>
    </row>
    <row r="61" spans="21:22" x14ac:dyDescent="0.25">
      <c r="U61" s="193"/>
      <c r="V61" s="193"/>
    </row>
    <row r="62" spans="21:22" x14ac:dyDescent="0.25">
      <c r="U62" s="193"/>
      <c r="V62" s="193"/>
    </row>
    <row r="63" spans="21:22" x14ac:dyDescent="0.25">
      <c r="U63" s="193"/>
      <c r="V63" s="193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10" zoomScale="75" zoomScaleNormal="75" workbookViewId="0">
      <selection activeCell="T15" sqref="T15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7359-CAD4-43FF-B805-E3FA1795751D}">
  <dimension ref="C2:I13"/>
  <sheetViews>
    <sheetView showGridLines="0" workbookViewId="0">
      <selection activeCell="C12" sqref="C12"/>
    </sheetView>
  </sheetViews>
  <sheetFormatPr defaultRowHeight="15" x14ac:dyDescent="0.25"/>
  <cols>
    <col min="1" max="2" width="9.140625" style="97"/>
    <col min="3" max="3" width="21" style="97" customWidth="1"/>
    <col min="4" max="4" width="11.7109375" style="97" bestFit="1" customWidth="1"/>
    <col min="5" max="5" width="9.7109375" style="97" customWidth="1"/>
    <col min="6" max="6" width="10.85546875" style="97" customWidth="1"/>
    <col min="7" max="7" width="0.7109375" style="97" customWidth="1"/>
    <col min="8" max="8" width="12" style="97" customWidth="1"/>
    <col min="9" max="9" width="12.5703125" style="97" customWidth="1"/>
    <col min="10" max="16384" width="9.140625" style="97"/>
  </cols>
  <sheetData>
    <row r="2" spans="3:9" ht="15" customHeight="1" x14ac:dyDescent="0.25">
      <c r="C2" s="385"/>
      <c r="D2" s="430" t="s">
        <v>270</v>
      </c>
      <c r="E2" s="431"/>
      <c r="F2" s="432"/>
      <c r="G2" s="360"/>
      <c r="H2" s="433" t="s">
        <v>302</v>
      </c>
      <c r="I2" s="434"/>
    </row>
    <row r="3" spans="3:9" ht="25.5" x14ac:dyDescent="0.25">
      <c r="C3" s="413" t="s">
        <v>211</v>
      </c>
      <c r="D3" s="413" t="s">
        <v>218</v>
      </c>
      <c r="E3" s="414" t="s">
        <v>300</v>
      </c>
      <c r="F3" s="415" t="s">
        <v>301</v>
      </c>
      <c r="G3" s="415"/>
      <c r="H3" s="416" t="s">
        <v>221</v>
      </c>
      <c r="I3" s="414" t="s">
        <v>214</v>
      </c>
    </row>
    <row r="4" spans="3:9" x14ac:dyDescent="0.25">
      <c r="C4" s="417" t="s">
        <v>224</v>
      </c>
      <c r="D4" s="418">
        <v>1.755293</v>
      </c>
      <c r="E4" s="418">
        <f>VAC_Optim_Scenario!G17/1000000</f>
        <v>1.2287050999999998</v>
      </c>
      <c r="F4" s="418">
        <f>VAC_Optim_Scenario!H17/1000000</f>
        <v>2.2818809</v>
      </c>
      <c r="G4" s="419"/>
      <c r="H4" s="420">
        <v>1.2287050999999998</v>
      </c>
      <c r="I4" s="421">
        <f>(H4-D4)/D4</f>
        <v>-0.3000000000000001</v>
      </c>
    </row>
    <row r="5" spans="3:9" x14ac:dyDescent="0.25">
      <c r="C5" s="422" t="s">
        <v>225</v>
      </c>
      <c r="D5" s="418">
        <v>5.3653728900000006</v>
      </c>
      <c r="E5" s="418">
        <f>VAC_Optim_Scenario!G18/1000000</f>
        <v>3.7557610230000003</v>
      </c>
      <c r="F5" s="418">
        <f>VAC_Optim_Scenario!H18/1000000</f>
        <v>6.9749847570000014</v>
      </c>
      <c r="G5" s="423"/>
      <c r="H5" s="420">
        <v>6.9749847570000023</v>
      </c>
      <c r="I5" s="421">
        <f t="shared" ref="I5:I12" si="0">(H5-D5)/D5</f>
        <v>0.30000000000000027</v>
      </c>
    </row>
    <row r="6" spans="3:9" x14ac:dyDescent="0.25">
      <c r="C6" s="422" t="s">
        <v>226</v>
      </c>
      <c r="D6" s="418">
        <v>1.873</v>
      </c>
      <c r="E6" s="418">
        <f>VAC_Optim_Scenario!G19/1000000</f>
        <v>1.3110999999999999</v>
      </c>
      <c r="F6" s="418">
        <f>VAC_Optim_Scenario!H19/1000000</f>
        <v>2.4348999999999998</v>
      </c>
      <c r="G6" s="423"/>
      <c r="H6" s="420">
        <v>1.5630566187892538</v>
      </c>
      <c r="I6" s="421">
        <f t="shared" si="0"/>
        <v>-0.1654796482705532</v>
      </c>
    </row>
    <row r="7" spans="3:9" x14ac:dyDescent="0.25">
      <c r="C7" s="422" t="s">
        <v>244</v>
      </c>
      <c r="D7" s="418">
        <v>0.17307694000000001</v>
      </c>
      <c r="E7" s="418">
        <f>VAC_Optim_Scenario!G20/1000000</f>
        <v>0.12115385799999999</v>
      </c>
      <c r="F7" s="418">
        <f>VAC_Optim_Scenario!H20/1000000</f>
        <v>0.22500002199999999</v>
      </c>
      <c r="G7" s="423"/>
      <c r="H7" s="420">
        <v>0.22500002199999999</v>
      </c>
      <c r="I7" s="421">
        <f t="shared" si="0"/>
        <v>0.29999999999999988</v>
      </c>
    </row>
    <row r="8" spans="3:9" x14ac:dyDescent="0.25">
      <c r="C8" s="422" t="s">
        <v>246</v>
      </c>
      <c r="D8" s="418">
        <v>6.1801250000000003</v>
      </c>
      <c r="E8" s="418">
        <f>VAC_Optim_Scenario!G21/1000000</f>
        <v>4.3260874999999999</v>
      </c>
      <c r="F8" s="418">
        <f>VAC_Optim_Scenario!H21/1000000</f>
        <v>8.0341625000000008</v>
      </c>
      <c r="G8" s="423"/>
      <c r="H8" s="420">
        <v>4.3260874999999999</v>
      </c>
      <c r="I8" s="421">
        <f t="shared" si="0"/>
        <v>-0.30000000000000004</v>
      </c>
    </row>
    <row r="9" spans="3:9" x14ac:dyDescent="0.25">
      <c r="C9" s="422" t="s">
        <v>227</v>
      </c>
      <c r="D9" s="418">
        <v>1.64835737</v>
      </c>
      <c r="E9" s="418">
        <f>VAC_Optim_Scenario!G22/1000000</f>
        <v>1.1538501589999999</v>
      </c>
      <c r="F9" s="418">
        <f>VAC_Optim_Scenario!H22/1000000</f>
        <v>2.1428645810000004</v>
      </c>
      <c r="G9" s="423"/>
      <c r="H9" s="420">
        <v>2.1428645810000004</v>
      </c>
      <c r="I9" s="421">
        <f t="shared" si="0"/>
        <v>0.30000000000000021</v>
      </c>
    </row>
    <row r="10" spans="3:9" x14ac:dyDescent="0.25">
      <c r="C10" s="422" t="s">
        <v>228</v>
      </c>
      <c r="D10" s="418">
        <v>0.34470699999999999</v>
      </c>
      <c r="E10" s="418">
        <f>VAC_Optim_Scenario!G23/1000000</f>
        <v>0.24129490000000001</v>
      </c>
      <c r="F10" s="418">
        <f>VAC_Optim_Scenario!H23/1000000</f>
        <v>0.44811910000000005</v>
      </c>
      <c r="G10" s="423"/>
      <c r="H10" s="420">
        <v>0.44811910000000005</v>
      </c>
      <c r="I10" s="421">
        <f t="shared" si="0"/>
        <v>0.30000000000000021</v>
      </c>
    </row>
    <row r="11" spans="3:9" x14ac:dyDescent="0.25">
      <c r="C11" s="422" t="s">
        <v>303</v>
      </c>
      <c r="D11" s="418">
        <v>1.4370484099999998</v>
      </c>
      <c r="E11" s="418">
        <f>VAC_Optim_Scenario!G24/1000000</f>
        <v>1.0059338869999999</v>
      </c>
      <c r="F11" s="418">
        <f>VAC_Optim_Scenario!H24/1000000</f>
        <v>1.868162933</v>
      </c>
      <c r="G11" s="423"/>
      <c r="H11" s="420">
        <v>1.868162933</v>
      </c>
      <c r="I11" s="421">
        <f t="shared" si="0"/>
        <v>0.30000000000000016</v>
      </c>
    </row>
    <row r="12" spans="3:9" x14ac:dyDescent="0.25">
      <c r="C12" s="422" t="s">
        <v>187</v>
      </c>
      <c r="D12" s="418">
        <v>13.503524990000001</v>
      </c>
      <c r="E12" s="418">
        <f>VAC_Optim_Scenario!G25/1000000</f>
        <v>13.503524990000001</v>
      </c>
      <c r="F12" s="418">
        <f>VAC_Optim_Scenario!H25/1000000</f>
        <v>13.503524990000001</v>
      </c>
      <c r="G12" s="423"/>
      <c r="H12" s="420">
        <v>13.503524990000001</v>
      </c>
      <c r="I12" s="421">
        <f t="shared" si="0"/>
        <v>0</v>
      </c>
    </row>
    <row r="13" spans="3:9" ht="25.5" x14ac:dyDescent="0.25">
      <c r="C13" s="392" t="s">
        <v>217</v>
      </c>
      <c r="D13" s="424">
        <f>SUM(D4:D12)</f>
        <v>32.280505599999998</v>
      </c>
      <c r="E13" s="424">
        <f>SUM(E4:E12)</f>
        <v>26.647411417000001</v>
      </c>
      <c r="F13" s="424">
        <f>SUM(F4:F12)</f>
        <v>37.913599783000002</v>
      </c>
      <c r="G13" s="423"/>
      <c r="H13" s="425">
        <f>SUM(H4:H12)</f>
        <v>32.280505601789258</v>
      </c>
      <c r="I13" s="383">
        <f>(H13-D13)/D13</f>
        <v>5.5428509009525981E-11</v>
      </c>
    </row>
  </sheetData>
  <mergeCells count="2">
    <mergeCell ref="D2:F2"/>
    <mergeCell ref="H2:I2"/>
  </mergeCells>
  <conditionalFormatting sqref="I4:I12">
    <cfRule type="cellIs" dxfId="37" priority="1" operator="lessThan">
      <formula>0</formula>
    </cfRule>
    <cfRule type="cellIs" dxfId="3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AF67"/>
  <sheetViews>
    <sheetView showGridLines="0" topLeftCell="A52" zoomScale="80" zoomScaleNormal="80" workbookViewId="0">
      <selection activeCell="V31" sqref="V31"/>
    </sheetView>
  </sheetViews>
  <sheetFormatPr defaultColWidth="8.7109375" defaultRowHeight="15" x14ac:dyDescent="0.25"/>
  <cols>
    <col min="1" max="1" width="5.28515625" style="97" bestFit="1" customWidth="1"/>
    <col min="2" max="2" width="20.140625" style="97" customWidth="1"/>
    <col min="3" max="3" width="13.140625" style="97" bestFit="1" customWidth="1"/>
    <col min="4" max="4" width="10.5703125" style="97" customWidth="1"/>
    <col min="5" max="5" width="0.85546875" style="97" customWidth="1"/>
    <col min="6" max="6" width="12" style="97" bestFit="1" customWidth="1"/>
    <col min="7" max="8" width="10" style="97" customWidth="1"/>
    <col min="9" max="9" width="0.85546875" style="97" customWidth="1"/>
    <col min="10" max="10" width="12" style="97" bestFit="1" customWidth="1"/>
    <col min="11" max="12" width="10" style="97" customWidth="1"/>
    <col min="13" max="13" width="0.85546875" style="97" customWidth="1"/>
    <col min="14" max="16" width="10" style="97" customWidth="1"/>
    <col min="17" max="17" width="0.85546875" style="97" customWidth="1"/>
    <col min="18" max="20" width="10" style="97" customWidth="1"/>
    <col min="21" max="21" width="0.85546875" style="97" customWidth="1"/>
    <col min="22" max="23" width="10" style="97" customWidth="1"/>
    <col min="24" max="24" width="11.42578125" style="97" customWidth="1"/>
    <col min="25" max="25" width="8.7109375" style="97"/>
    <col min="26" max="26" width="17.85546875" style="97" bestFit="1" customWidth="1"/>
    <col min="27" max="27" width="12.5703125" style="97" bestFit="1" customWidth="1"/>
    <col min="28" max="28" width="13.85546875" style="97" bestFit="1" customWidth="1"/>
    <col min="29" max="29" width="8.7109375" style="97"/>
    <col min="30" max="30" width="11" style="97" bestFit="1" customWidth="1"/>
    <col min="31" max="31" width="8.7109375" style="97"/>
    <col min="32" max="32" width="12" style="97" bestFit="1" customWidth="1"/>
    <col min="33" max="16384" width="8.7109375" style="97"/>
  </cols>
  <sheetData>
    <row r="3" spans="1:32" x14ac:dyDescent="0.25">
      <c r="B3" s="194">
        <f>SUM(C9:C13)</f>
        <v>10219266.309999999</v>
      </c>
      <c r="C3" s="194">
        <f>SUM(D9:D13)</f>
        <v>103543587.85847765</v>
      </c>
    </row>
    <row r="4" spans="1:32" x14ac:dyDescent="0.25">
      <c r="F4" s="440" t="s">
        <v>288</v>
      </c>
      <c r="G4" s="440"/>
      <c r="H4" s="440"/>
      <c r="I4" s="440"/>
      <c r="J4" s="440"/>
      <c r="K4" s="440"/>
      <c r="L4" s="440"/>
      <c r="M4" s="440"/>
      <c r="N4" s="440"/>
      <c r="O4" s="440"/>
      <c r="P4" s="440"/>
    </row>
    <row r="5" spans="1:32" x14ac:dyDescent="0.25">
      <c r="F5" s="435" t="s">
        <v>255</v>
      </c>
      <c r="G5" s="436"/>
      <c r="H5" s="437"/>
      <c r="I5" s="195"/>
      <c r="J5" s="435" t="s">
        <v>284</v>
      </c>
      <c r="K5" s="436"/>
      <c r="L5" s="437"/>
      <c r="M5" s="195"/>
      <c r="N5" s="435" t="s">
        <v>285</v>
      </c>
      <c r="O5" s="436"/>
      <c r="P5" s="437"/>
      <c r="R5" s="435" t="s">
        <v>286</v>
      </c>
      <c r="S5" s="436"/>
      <c r="T5" s="437"/>
      <c r="V5" s="435" t="s">
        <v>287</v>
      </c>
      <c r="W5" s="436"/>
      <c r="X5" s="437"/>
      <c r="Z5" s="97" t="s">
        <v>248</v>
      </c>
    </row>
    <row r="6" spans="1:32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32" x14ac:dyDescent="0.25">
      <c r="A7" s="194"/>
      <c r="B7" s="198" t="str">
        <f>VAC_Optim_Scenario!B17</f>
        <v>HCC In Office</v>
      </c>
      <c r="C7" s="199">
        <f>VAC_Optim_Scenario!E17</f>
        <v>1755293</v>
      </c>
      <c r="D7" s="199">
        <f>VAC_Optim_Scenario!G35</f>
        <v>7699972.6835207557</v>
      </c>
      <c r="E7" s="199"/>
      <c r="F7" s="199">
        <v>1228705.0999999999</v>
      </c>
      <c r="G7" s="191">
        <v>-0.3000000000000001</v>
      </c>
      <c r="H7" s="199">
        <v>5933732.8283146154</v>
      </c>
      <c r="I7" s="199"/>
      <c r="J7" s="199">
        <v>1228705.0999999999</v>
      </c>
      <c r="K7" s="191">
        <v>-0.3000000000000001</v>
      </c>
      <c r="L7" s="199">
        <v>5933732.8283146154</v>
      </c>
      <c r="N7" s="199">
        <v>1228705.0999999999</v>
      </c>
      <c r="O7" s="191">
        <v>-0.3000000000000001</v>
      </c>
      <c r="P7" s="199">
        <v>5933732.8283146154</v>
      </c>
      <c r="R7" s="199">
        <v>1228705.0999999999</v>
      </c>
      <c r="S7" s="191">
        <v>-0.3000000000000001</v>
      </c>
      <c r="T7" s="199">
        <v>5933732.8283146154</v>
      </c>
      <c r="V7" s="199">
        <v>1346172.4927629044</v>
      </c>
      <c r="W7" s="191">
        <v>-0.23307818537252506</v>
      </c>
      <c r="X7" s="199">
        <v>6361120.4206124544</v>
      </c>
      <c r="Z7" s="199">
        <f>VAC_Optim_Scenario!$H35</f>
        <v>1346172.4927629044</v>
      </c>
      <c r="AA7" s="191">
        <f>(Z7-$C7)/$C7</f>
        <v>-0.23307818537252506</v>
      </c>
      <c r="AB7" s="199">
        <f>VAC_Optim_Scenario!$J35</f>
        <v>6361120.4206124544</v>
      </c>
      <c r="AD7" s="199"/>
      <c r="AE7" s="191"/>
      <c r="AF7" s="199"/>
    </row>
    <row r="8" spans="1:32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199">
        <f>VAC_Optim_Scenario!G36</f>
        <v>63849938.934329621</v>
      </c>
      <c r="E8" s="199"/>
      <c r="F8" s="199">
        <v>6974984.7570000021</v>
      </c>
      <c r="G8" s="191">
        <v>0.30000000000000027</v>
      </c>
      <c r="H8" s="199">
        <v>75572474.639871225</v>
      </c>
      <c r="I8" s="199"/>
      <c r="J8" s="199">
        <v>6142471.5812666574</v>
      </c>
      <c r="K8" s="191">
        <v>0.14483591489326231</v>
      </c>
      <c r="L8" s="199">
        <v>69834638.480821177</v>
      </c>
      <c r="N8" s="199">
        <v>4437620.453671799</v>
      </c>
      <c r="O8" s="191">
        <v>-0.17291481046123552</v>
      </c>
      <c r="P8" s="199">
        <v>55817844.991430849</v>
      </c>
      <c r="R8" s="199">
        <v>6974984.7570000011</v>
      </c>
      <c r="S8" s="191">
        <v>0.30000000000000004</v>
      </c>
      <c r="T8" s="199">
        <v>75572474.639871225</v>
      </c>
      <c r="V8" s="199">
        <v>6974984.7570000011</v>
      </c>
      <c r="W8" s="191">
        <v>0.30000000000000004</v>
      </c>
      <c r="X8" s="199">
        <v>75572474.639871225</v>
      </c>
      <c r="Z8" s="199">
        <f>VAC_Optim_Scenario!$H36</f>
        <v>6974984.7570000011</v>
      </c>
      <c r="AA8" s="191">
        <f t="shared" ref="AA8:AA15" si="0">(Z8-$C8)/$C8</f>
        <v>0.30000000000000004</v>
      </c>
      <c r="AB8" s="199">
        <f>VAC_Optim_Scenario!$J36</f>
        <v>75572474.639871225</v>
      </c>
      <c r="AD8" s="199"/>
      <c r="AE8" s="191"/>
      <c r="AF8" s="199"/>
    </row>
    <row r="9" spans="1:32" x14ac:dyDescent="0.25">
      <c r="A9" s="194"/>
      <c r="B9" s="198" t="str">
        <f>VAC_Optim_Scenario!B19</f>
        <v>HCC Social</v>
      </c>
      <c r="C9" s="199">
        <f>VAC_Optim_Scenario!E19</f>
        <v>1873000</v>
      </c>
      <c r="D9" s="199">
        <f>VAC_Optim_Scenario!G37</f>
        <v>16096682.775385505</v>
      </c>
      <c r="E9" s="199"/>
      <c r="F9" s="199">
        <v>1563056.6187892538</v>
      </c>
      <c r="G9" s="191">
        <v>-0.16547964827055325</v>
      </c>
      <c r="H9" s="199">
        <v>14441042.454781551</v>
      </c>
      <c r="I9" s="199"/>
      <c r="J9" s="199">
        <v>1311100</v>
      </c>
      <c r="K9" s="191">
        <v>-0.3</v>
      </c>
      <c r="L9" s="199">
        <v>12995566.302066877</v>
      </c>
      <c r="N9" s="199">
        <v>1311100</v>
      </c>
      <c r="O9" s="191">
        <v>-0.3</v>
      </c>
      <c r="P9" s="199">
        <v>12995566.302066877</v>
      </c>
      <c r="R9" s="199">
        <v>2434900</v>
      </c>
      <c r="S9" s="191">
        <v>0.3</v>
      </c>
      <c r="T9" s="199">
        <v>18840932.631302718</v>
      </c>
      <c r="V9" s="199">
        <v>2434900</v>
      </c>
      <c r="W9" s="191">
        <v>0.3</v>
      </c>
      <c r="X9" s="199">
        <v>18840932.631302718</v>
      </c>
      <c r="Z9" s="199">
        <f>VAC_Optim_Scenario!$H37</f>
        <v>2434900</v>
      </c>
      <c r="AA9" s="191">
        <f t="shared" si="0"/>
        <v>0.3</v>
      </c>
      <c r="AB9" s="199">
        <f>VAC_Optim_Scenario!$J37</f>
        <v>18840932.631302718</v>
      </c>
      <c r="AD9" s="199"/>
      <c r="AE9" s="191"/>
      <c r="AF9" s="199"/>
    </row>
    <row r="10" spans="1:32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199">
        <f>VAC_Optim_Scenario!G38</f>
        <v>1709980.3714794049</v>
      </c>
      <c r="E10" s="199"/>
      <c r="F10" s="199">
        <v>225000.022</v>
      </c>
      <c r="G10" s="191">
        <v>0.3</v>
      </c>
      <c r="H10" s="199">
        <v>2031161.5894317664</v>
      </c>
      <c r="I10" s="199"/>
      <c r="J10" s="199">
        <v>157330.70412100258</v>
      </c>
      <c r="K10" s="191">
        <v>-9.0978242849668031E-2</v>
      </c>
      <c r="L10" s="199">
        <v>1598632.8120784354</v>
      </c>
      <c r="N10" s="199">
        <v>121153.85800000001</v>
      </c>
      <c r="O10" s="191">
        <v>-0.3</v>
      </c>
      <c r="P10" s="199">
        <v>1314601.0547516858</v>
      </c>
      <c r="R10" s="199">
        <v>225000.022</v>
      </c>
      <c r="S10" s="191">
        <v>0.3</v>
      </c>
      <c r="T10" s="199">
        <v>2031161.5894317664</v>
      </c>
      <c r="V10" s="199">
        <v>225000.022</v>
      </c>
      <c r="W10" s="191">
        <v>0.3</v>
      </c>
      <c r="X10" s="199">
        <v>2031161.5894317664</v>
      </c>
      <c r="Z10" s="199">
        <f>VAC_Optim_Scenario!$H38</f>
        <v>225000.022</v>
      </c>
      <c r="AA10" s="191">
        <f t="shared" si="0"/>
        <v>0.3</v>
      </c>
      <c r="AB10" s="199">
        <f>VAC_Optim_Scenario!$J38</f>
        <v>2031161.5894317664</v>
      </c>
      <c r="AD10" s="199"/>
      <c r="AE10" s="191"/>
      <c r="AF10" s="199"/>
    </row>
    <row r="11" spans="1:32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199">
        <f>VAC_Optim_Scenario!G39</f>
        <v>32683849.841578793</v>
      </c>
      <c r="E11" s="199"/>
      <c r="F11" s="199">
        <v>4326087.5</v>
      </c>
      <c r="G11" s="191">
        <v>-0.3</v>
      </c>
      <c r="H11" s="199">
        <v>25462546.467915077</v>
      </c>
      <c r="I11" s="199"/>
      <c r="J11" s="199">
        <v>4326087.5</v>
      </c>
      <c r="K11" s="191">
        <v>-0.3</v>
      </c>
      <c r="L11" s="199">
        <v>25462546.467915077</v>
      </c>
      <c r="N11" s="199">
        <v>4326087.5</v>
      </c>
      <c r="O11" s="191">
        <v>-0.3</v>
      </c>
      <c r="P11" s="199">
        <v>25462546.467915077</v>
      </c>
      <c r="R11" s="199">
        <v>5331942.1791104125</v>
      </c>
      <c r="S11" s="191">
        <v>-0.13724363518368762</v>
      </c>
      <c r="T11" s="199">
        <v>29475075.546560727</v>
      </c>
      <c r="V11" s="199">
        <v>7092172.847014742</v>
      </c>
      <c r="W11" s="191">
        <v>0.14757757278610739</v>
      </c>
      <c r="X11" s="199">
        <v>35989900.262106076</v>
      </c>
      <c r="Z11" s="199">
        <f>VAC_Optim_Scenario!$H39</f>
        <v>7092172.847014742</v>
      </c>
      <c r="AA11" s="191">
        <f t="shared" si="0"/>
        <v>0.14757757278610739</v>
      </c>
      <c r="AB11" s="199">
        <f>VAC_Optim_Scenario!$J39</f>
        <v>35989900.262106076</v>
      </c>
      <c r="AD11" s="199"/>
      <c r="AE11" s="191"/>
      <c r="AF11" s="199"/>
    </row>
    <row r="12" spans="1:32" x14ac:dyDescent="0.25">
      <c r="A12" s="194"/>
      <c r="B12" s="198" t="str">
        <f>VAC_Optim_Scenario!B22</f>
        <v>HCC Display</v>
      </c>
      <c r="C12" s="199">
        <f>VAC_Optim_Scenario!E22</f>
        <v>1648357.37</v>
      </c>
      <c r="D12" s="199">
        <f>VAC_Optim_Scenario!G40</f>
        <v>23524052.607040178</v>
      </c>
      <c r="E12" s="199"/>
      <c r="F12" s="199">
        <v>2142864.5810000002</v>
      </c>
      <c r="G12" s="191">
        <v>0.30000000000000004</v>
      </c>
      <c r="H12" s="199">
        <v>28569508.760968704</v>
      </c>
      <c r="I12" s="199"/>
      <c r="J12" s="199">
        <v>2142864.5810000002</v>
      </c>
      <c r="K12" s="191">
        <v>0.30000000000000004</v>
      </c>
      <c r="L12" s="199">
        <v>28569508.760968704</v>
      </c>
      <c r="N12" s="199">
        <v>2142864.5810000002</v>
      </c>
      <c r="O12" s="191">
        <v>0.30000000000000004</v>
      </c>
      <c r="P12" s="199">
        <v>28569508.760968704</v>
      </c>
      <c r="R12" s="199">
        <v>2142864.5810000002</v>
      </c>
      <c r="S12" s="191">
        <v>0.30000000000000004</v>
      </c>
      <c r="T12" s="199">
        <v>28569508.760968704</v>
      </c>
      <c r="V12" s="199">
        <v>2142864.5810000002</v>
      </c>
      <c r="W12" s="191">
        <v>0.30000000000000004</v>
      </c>
      <c r="X12" s="199">
        <v>28569508.760968704</v>
      </c>
      <c r="Z12" s="199">
        <f>VAC_Optim_Scenario!$H40</f>
        <v>2142864.5810000002</v>
      </c>
      <c r="AA12" s="191">
        <f t="shared" si="0"/>
        <v>0.30000000000000004</v>
      </c>
      <c r="AB12" s="199">
        <f>VAC_Optim_Scenario!$J40</f>
        <v>28569508.760968704</v>
      </c>
      <c r="AD12" s="199"/>
      <c r="AE12" s="191"/>
      <c r="AF12" s="199"/>
    </row>
    <row r="13" spans="1:32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199">
        <f>VAC_Optim_Scenario!G41</f>
        <v>29529022.26299376</v>
      </c>
      <c r="E13" s="199"/>
      <c r="F13" s="199">
        <v>448119.10000000003</v>
      </c>
      <c r="G13" s="191">
        <v>0.3000000000000001</v>
      </c>
      <c r="H13" s="199">
        <v>35482108.0336392</v>
      </c>
      <c r="I13" s="199"/>
      <c r="J13" s="199">
        <v>448119.10000000003</v>
      </c>
      <c r="K13" s="191">
        <v>0.3000000000000001</v>
      </c>
      <c r="L13" s="199">
        <v>35482108.0336392</v>
      </c>
      <c r="N13" s="199">
        <v>448119.10000000003</v>
      </c>
      <c r="O13" s="191">
        <v>0.3000000000000001</v>
      </c>
      <c r="P13" s="199">
        <v>35482108.0336392</v>
      </c>
      <c r="R13" s="199">
        <v>448119.10000000003</v>
      </c>
      <c r="S13" s="191">
        <v>0.3000000000000001</v>
      </c>
      <c r="T13" s="199">
        <v>35482108.0336392</v>
      </c>
      <c r="V13" s="199">
        <v>448119.10000000003</v>
      </c>
      <c r="W13" s="191">
        <v>0.3000000000000001</v>
      </c>
      <c r="X13" s="199">
        <v>35482108.0336392</v>
      </c>
      <c r="Z13" s="199">
        <f>VAC_Optim_Scenario!$H41</f>
        <v>448119.10000000003</v>
      </c>
      <c r="AA13" s="191">
        <f t="shared" si="0"/>
        <v>0.3000000000000001</v>
      </c>
      <c r="AB13" s="199">
        <f>VAC_Optim_Scenario!$J41</f>
        <v>35482108.0336392</v>
      </c>
      <c r="AD13" s="199"/>
      <c r="AE13" s="191"/>
      <c r="AF13" s="199"/>
    </row>
    <row r="14" spans="1:32" x14ac:dyDescent="0.25">
      <c r="A14" s="194"/>
      <c r="B14" s="198" t="str">
        <f>VAC_Optim_Scenario!B24</f>
        <v>HCC Audio</v>
      </c>
      <c r="C14" s="199">
        <f>VAC_Optim_Scenario!E24</f>
        <v>1437048.41</v>
      </c>
      <c r="D14" s="199">
        <f>VAC_Optim_Scenario!G42</f>
        <v>15944380.745101282</v>
      </c>
      <c r="E14" s="199"/>
      <c r="F14" s="199">
        <v>1868162.933</v>
      </c>
      <c r="G14" s="191">
        <v>0.30000000000000004</v>
      </c>
      <c r="H14" s="199">
        <v>18662665.324166391</v>
      </c>
      <c r="I14" s="199"/>
      <c r="J14" s="199">
        <v>1142603.9801617302</v>
      </c>
      <c r="K14" s="191">
        <v>-0.20489527547528461</v>
      </c>
      <c r="L14" s="199">
        <v>13895118.568700375</v>
      </c>
      <c r="N14" s="199">
        <v>1005933.8869999999</v>
      </c>
      <c r="O14" s="191">
        <v>-0.30000000000000004</v>
      </c>
      <c r="P14" s="199">
        <v>12872606.114547707</v>
      </c>
      <c r="R14" s="199">
        <v>1868162.933</v>
      </c>
      <c r="S14" s="191">
        <v>0.30000000000000004</v>
      </c>
      <c r="T14" s="199">
        <v>18662665.324166391</v>
      </c>
      <c r="V14" s="199">
        <v>1868162.933</v>
      </c>
      <c r="W14" s="191">
        <v>0.30000000000000004</v>
      </c>
      <c r="X14" s="199">
        <v>18662665.324166391</v>
      </c>
      <c r="Z14" s="199">
        <f>VAC_Optim_Scenario!$H42</f>
        <v>1868162.933</v>
      </c>
      <c r="AA14" s="191">
        <f t="shared" si="0"/>
        <v>0.30000000000000004</v>
      </c>
      <c r="AB14" s="199">
        <f>VAC_Optim_Scenario!$J42</f>
        <v>18662665.324166391</v>
      </c>
      <c r="AD14" s="199"/>
      <c r="AE14" s="191"/>
      <c r="AF14" s="199"/>
    </row>
    <row r="15" spans="1:32" x14ac:dyDescent="0.25">
      <c r="A15" s="194"/>
      <c r="B15" s="198" t="str">
        <f>VAC_Optim_Scenario!B25</f>
        <v>HCC TV</v>
      </c>
      <c r="C15" s="199">
        <f>VAC_Optim_Scenario!E25</f>
        <v>13503524.99</v>
      </c>
      <c r="D15" s="199">
        <f>VAC_Optim_Scenario!G43</f>
        <v>57317880.122995496</v>
      </c>
      <c r="E15" s="199"/>
      <c r="F15" s="199">
        <v>13503524.99</v>
      </c>
      <c r="G15" s="191">
        <v>0</v>
      </c>
      <c r="H15" s="199">
        <v>57317880.122995496</v>
      </c>
      <c r="I15" s="199"/>
      <c r="J15" s="199">
        <v>13503524.99</v>
      </c>
      <c r="K15" s="191">
        <v>0</v>
      </c>
      <c r="L15" s="199">
        <v>57317880.122995496</v>
      </c>
      <c r="N15" s="199">
        <v>13503524.99</v>
      </c>
      <c r="O15" s="191">
        <v>0</v>
      </c>
      <c r="P15" s="199">
        <v>57317880.122995496</v>
      </c>
      <c r="R15" s="199">
        <v>13503524.99</v>
      </c>
      <c r="S15" s="191">
        <v>0</v>
      </c>
      <c r="T15" s="199">
        <v>57317880.122995496</v>
      </c>
      <c r="V15" s="199">
        <v>13503524.99</v>
      </c>
      <c r="W15" s="191">
        <v>0</v>
      </c>
      <c r="X15" s="199">
        <v>57317880.122995496</v>
      </c>
      <c r="Z15" s="199">
        <f>VAC_Optim_Scenario!$H43</f>
        <v>13503524.99</v>
      </c>
      <c r="AA15" s="191">
        <f t="shared" si="0"/>
        <v>0</v>
      </c>
      <c r="AB15" s="199">
        <f>VAC_Optim_Scenario!$J43</f>
        <v>57317880.122995496</v>
      </c>
      <c r="AD15" s="199"/>
      <c r="AE15" s="191"/>
      <c r="AF15" s="199"/>
    </row>
    <row r="16" spans="1:32" ht="34.35" customHeight="1" x14ac:dyDescent="0.25">
      <c r="B16" s="201" t="s">
        <v>217</v>
      </c>
      <c r="C16" s="202">
        <f>SUM(C7:C15)</f>
        <v>32280505.600000001</v>
      </c>
      <c r="D16" s="202">
        <f>SUM(D7:D15)</f>
        <v>248355760.34442478</v>
      </c>
      <c r="E16" s="193"/>
      <c r="F16" s="202">
        <f>SUM(F7:F15)</f>
        <v>32280505.601789258</v>
      </c>
      <c r="G16" s="203">
        <f>(F16-$C$16)/$C$16</f>
        <v>5.5428404763005238E-11</v>
      </c>
      <c r="H16" s="202">
        <f>SUM(H7:H15)</f>
        <v>263473120.22208402</v>
      </c>
      <c r="I16" s="193"/>
      <c r="J16" s="202">
        <f>SUM(J7:J15)</f>
        <v>30402807.536549389</v>
      </c>
      <c r="K16" s="203">
        <f>(J16-$C$16)/$C$16</f>
        <v>-5.8168173904023734E-2</v>
      </c>
      <c r="L16" s="202">
        <f>SUM(L7:L15)</f>
        <v>251089732.37749994</v>
      </c>
      <c r="M16" s="193"/>
      <c r="N16" s="202">
        <f>SUM(N7:N15)</f>
        <v>28525109.469671801</v>
      </c>
      <c r="O16" s="203">
        <f>(N16-$C$16)/$C$16</f>
        <v>-0.11633634791420988</v>
      </c>
      <c r="P16" s="202">
        <f>SUM(P7:P15)</f>
        <v>235766394.6766302</v>
      </c>
      <c r="Q16" s="193"/>
      <c r="R16" s="202">
        <f>SUM(R7:R15)</f>
        <v>34158203.662110411</v>
      </c>
      <c r="S16" s="203">
        <f>(R16-$C$16)/$C$16</f>
        <v>5.8168173862506327E-2</v>
      </c>
      <c r="T16" s="202">
        <f>SUM(T7:T15)</f>
        <v>271885539.47725081</v>
      </c>
      <c r="V16" s="202">
        <f>SUM(V7:V15)</f>
        <v>36035901.72277765</v>
      </c>
      <c r="W16" s="203">
        <f>(V16-$C$16)/$C$16</f>
        <v>0.11633634768030549</v>
      </c>
      <c r="X16" s="202">
        <f>SUM(X7:X15)</f>
        <v>278827751.78509402</v>
      </c>
      <c r="Z16" s="202">
        <f>SUM(Z7:Z15)</f>
        <v>36035901.72277765</v>
      </c>
      <c r="AA16" s="203">
        <f>(Z16-$C$16)/$C$16</f>
        <v>0.11633634768030549</v>
      </c>
      <c r="AB16" s="202">
        <f>SUM(AB7:AB15)</f>
        <v>278827751.78509402</v>
      </c>
    </row>
    <row r="17" spans="1:24" x14ac:dyDescent="0.25">
      <c r="D17" s="97">
        <f>D16/C16</f>
        <v>7.6936762831999994</v>
      </c>
    </row>
    <row r="19" spans="1:24" ht="26.85" customHeight="1" x14ac:dyDescent="0.25">
      <c r="F19" s="440" t="str">
        <f>F4</f>
        <v>Optimal channel spend allowed to vary between +/- 30% of the 2023 channel spend  except Linear TV</v>
      </c>
      <c r="G19" s="440"/>
      <c r="H19" s="440"/>
      <c r="I19" s="440"/>
      <c r="J19" s="440"/>
      <c r="K19" s="440"/>
      <c r="L19" s="440"/>
      <c r="M19" s="440"/>
      <c r="N19" s="440"/>
      <c r="O19" s="440"/>
      <c r="P19" s="440"/>
    </row>
    <row r="20" spans="1:24" ht="30.4" customHeight="1" x14ac:dyDescent="0.25">
      <c r="B20" s="360"/>
      <c r="C20" s="445" t="s">
        <v>270</v>
      </c>
      <c r="D20" s="446"/>
      <c r="E20" s="360"/>
      <c r="F20" s="433" t="str">
        <f>F5</f>
        <v>Current Optimal ($32MM)</v>
      </c>
      <c r="G20" s="434"/>
      <c r="H20" s="438"/>
      <c r="I20" s="361"/>
      <c r="J20" s="433" t="str">
        <f>J5</f>
        <v>10% reduction optimal ($30M)</v>
      </c>
      <c r="K20" s="434"/>
      <c r="L20" s="438"/>
      <c r="M20" s="361"/>
      <c r="N20" s="433" t="str">
        <f>N5</f>
        <v>20% reduction optimal ($29M)</v>
      </c>
      <c r="O20" s="434"/>
      <c r="P20" s="438"/>
      <c r="Q20" s="360"/>
      <c r="R20" s="433" t="str">
        <f>R5</f>
        <v>10% increase optimal ($34M)</v>
      </c>
      <c r="S20" s="434"/>
      <c r="T20" s="438"/>
      <c r="U20" s="360"/>
      <c r="V20" s="433" t="str">
        <f>V5</f>
        <v>20% increase optimal ($36M)</v>
      </c>
      <c r="W20" s="434"/>
      <c r="X20" s="438"/>
    </row>
    <row r="21" spans="1:24" ht="45.75" customHeight="1" x14ac:dyDescent="0.25">
      <c r="B21" s="362" t="s">
        <v>211</v>
      </c>
      <c r="C21" s="363" t="s">
        <v>218</v>
      </c>
      <c r="D21" s="364" t="s">
        <v>219</v>
      </c>
      <c r="E21" s="365"/>
      <c r="F21" s="366" t="s">
        <v>221</v>
      </c>
      <c r="G21" s="364" t="s">
        <v>204</v>
      </c>
      <c r="H21" s="367" t="s">
        <v>215</v>
      </c>
      <c r="I21" s="365"/>
      <c r="J21" s="366" t="s">
        <v>221</v>
      </c>
      <c r="K21" s="364" t="s">
        <v>204</v>
      </c>
      <c r="L21" s="367" t="s">
        <v>215</v>
      </c>
      <c r="M21" s="368"/>
      <c r="N21" s="366" t="s">
        <v>221</v>
      </c>
      <c r="O21" s="364" t="s">
        <v>204</v>
      </c>
      <c r="P21" s="367" t="s">
        <v>215</v>
      </c>
      <c r="Q21" s="360"/>
      <c r="R21" s="366" t="s">
        <v>221</v>
      </c>
      <c r="S21" s="364" t="s">
        <v>204</v>
      </c>
      <c r="T21" s="367" t="s">
        <v>215</v>
      </c>
      <c r="U21" s="360"/>
      <c r="V21" s="366" t="s">
        <v>221</v>
      </c>
      <c r="W21" s="364" t="s">
        <v>204</v>
      </c>
      <c r="X21" s="367" t="s">
        <v>215</v>
      </c>
    </row>
    <row r="22" spans="1:24" x14ac:dyDescent="0.25">
      <c r="A22" s="186">
        <f>D22/C22</f>
        <v>4.3867164533332925</v>
      </c>
      <c r="B22" s="369" t="str">
        <f>B7</f>
        <v>HCC In Office</v>
      </c>
      <c r="C22" s="370">
        <f>C7/1000000</f>
        <v>1.755293</v>
      </c>
      <c r="D22" s="390">
        <f>D7/1000000</f>
        <v>7.6999726835207554</v>
      </c>
      <c r="E22" s="371"/>
      <c r="F22" s="372">
        <f>F7/1000000</f>
        <v>1.2287050999999998</v>
      </c>
      <c r="G22" s="373">
        <f>G7</f>
        <v>-0.3000000000000001</v>
      </c>
      <c r="H22" s="376">
        <f>H7/1000000</f>
        <v>5.9337328283146151</v>
      </c>
      <c r="I22" s="371"/>
      <c r="J22" s="372">
        <f>J7/1000000</f>
        <v>1.2287050999999998</v>
      </c>
      <c r="K22" s="373">
        <f>K7</f>
        <v>-0.3000000000000001</v>
      </c>
      <c r="L22" s="376">
        <f>L7/1000000</f>
        <v>5.9337328283146151</v>
      </c>
      <c r="M22" s="374"/>
      <c r="N22" s="372">
        <f>N7/1000000</f>
        <v>1.2287050999999998</v>
      </c>
      <c r="O22" s="373">
        <f>O7</f>
        <v>-0.3000000000000001</v>
      </c>
      <c r="P22" s="376">
        <f>P7/1000000</f>
        <v>5.9337328283146151</v>
      </c>
      <c r="Q22" s="374"/>
      <c r="R22" s="372">
        <f>R7/1000000</f>
        <v>1.2287050999999998</v>
      </c>
      <c r="S22" s="373">
        <f>S7</f>
        <v>-0.3000000000000001</v>
      </c>
      <c r="T22" s="376">
        <f>T7/1000000</f>
        <v>5.9337328283146151</v>
      </c>
      <c r="U22" s="375"/>
      <c r="V22" s="372">
        <f>V7/1000000</f>
        <v>1.3461724927629044</v>
      </c>
      <c r="W22" s="373">
        <f>W7</f>
        <v>-0.23307818537252506</v>
      </c>
      <c r="X22" s="376">
        <f>X7/1000000</f>
        <v>6.3611204206124548</v>
      </c>
    </row>
    <row r="23" spans="1:24" x14ac:dyDescent="0.25">
      <c r="A23" s="186">
        <f t="shared" ref="A23:A30" si="1">D23/C23</f>
        <v>11.900373048317544</v>
      </c>
      <c r="B23" s="369" t="str">
        <f t="shared" ref="B23:B30" si="2">B8</f>
        <v>HCP MCM</v>
      </c>
      <c r="C23" s="377">
        <f t="shared" ref="C23:D23" si="3">C8/1000000</f>
        <v>5.3653728900000006</v>
      </c>
      <c r="D23" s="391">
        <f t="shared" si="3"/>
        <v>63.849938934329622</v>
      </c>
      <c r="E23" s="371"/>
      <c r="F23" s="378">
        <f t="shared" ref="F23:F30" si="4">F8/1000000</f>
        <v>6.9749847570000023</v>
      </c>
      <c r="G23" s="379">
        <f t="shared" ref="G23:G30" si="5">G8</f>
        <v>0.30000000000000027</v>
      </c>
      <c r="H23" s="380">
        <f t="shared" ref="H23:H30" si="6">H8/1000000</f>
        <v>75.572474639871231</v>
      </c>
      <c r="I23" s="371"/>
      <c r="J23" s="378">
        <f t="shared" ref="J23:J30" si="7">J8/1000000</f>
        <v>6.1424715812666575</v>
      </c>
      <c r="K23" s="379">
        <f t="shared" ref="K23:K30" si="8">K8</f>
        <v>0.14483591489326231</v>
      </c>
      <c r="L23" s="380">
        <f t="shared" ref="L23:L30" si="9">L8/1000000</f>
        <v>69.834638480821184</v>
      </c>
      <c r="M23" s="374"/>
      <c r="N23" s="378">
        <f t="shared" ref="N23:N30" si="10">N8/1000000</f>
        <v>4.4376204536717987</v>
      </c>
      <c r="O23" s="379">
        <f t="shared" ref="O23:O30" si="11">O8</f>
        <v>-0.17291481046123552</v>
      </c>
      <c r="P23" s="380">
        <f t="shared" ref="P23:P30" si="12">P8/1000000</f>
        <v>55.817844991430846</v>
      </c>
      <c r="Q23" s="374"/>
      <c r="R23" s="378">
        <f t="shared" ref="R23:R30" si="13">R8/1000000</f>
        <v>6.9749847570000014</v>
      </c>
      <c r="S23" s="373">
        <f t="shared" ref="S23:S30" si="14">S8</f>
        <v>0.30000000000000004</v>
      </c>
      <c r="T23" s="380">
        <f t="shared" ref="T23:T30" si="15">T8/1000000</f>
        <v>75.572474639871231</v>
      </c>
      <c r="U23" s="375"/>
      <c r="V23" s="378">
        <f t="shared" ref="V23:V30" si="16">V8/1000000</f>
        <v>6.9749847570000014</v>
      </c>
      <c r="W23" s="373">
        <f t="shared" ref="W23:W30" si="17">W8</f>
        <v>0.30000000000000004</v>
      </c>
      <c r="X23" s="380">
        <f t="shared" ref="X23:X30" si="18">X8/1000000</f>
        <v>75.572474639871231</v>
      </c>
    </row>
    <row r="24" spans="1:24" x14ac:dyDescent="0.25">
      <c r="A24" s="186">
        <f t="shared" si="1"/>
        <v>8.5940644823200767</v>
      </c>
      <c r="B24" s="369" t="str">
        <f t="shared" si="2"/>
        <v>HCC Social</v>
      </c>
      <c r="C24" s="377">
        <f t="shared" ref="C24:D24" si="19">C9/1000000</f>
        <v>1.873</v>
      </c>
      <c r="D24" s="391">
        <f t="shared" si="19"/>
        <v>16.096682775385503</v>
      </c>
      <c r="E24" s="371"/>
      <c r="F24" s="378">
        <f t="shared" si="4"/>
        <v>1.5630566187892538</v>
      </c>
      <c r="G24" s="379">
        <f t="shared" si="5"/>
        <v>-0.16547964827055325</v>
      </c>
      <c r="H24" s="380">
        <f t="shared" si="6"/>
        <v>14.441042454781551</v>
      </c>
      <c r="I24" s="371"/>
      <c r="J24" s="378">
        <f t="shared" si="7"/>
        <v>1.3110999999999999</v>
      </c>
      <c r="K24" s="379">
        <f t="shared" si="8"/>
        <v>-0.3</v>
      </c>
      <c r="L24" s="380">
        <f t="shared" si="9"/>
        <v>12.995566302066878</v>
      </c>
      <c r="M24" s="374"/>
      <c r="N24" s="378">
        <f t="shared" si="10"/>
        <v>1.3110999999999999</v>
      </c>
      <c r="O24" s="379">
        <f t="shared" si="11"/>
        <v>-0.3</v>
      </c>
      <c r="P24" s="380">
        <f t="shared" si="12"/>
        <v>12.995566302066878</v>
      </c>
      <c r="Q24" s="374"/>
      <c r="R24" s="378">
        <f t="shared" si="13"/>
        <v>2.4348999999999998</v>
      </c>
      <c r="S24" s="373">
        <f t="shared" si="14"/>
        <v>0.3</v>
      </c>
      <c r="T24" s="380">
        <f t="shared" si="15"/>
        <v>18.840932631302717</v>
      </c>
      <c r="U24" s="375"/>
      <c r="V24" s="378">
        <f t="shared" si="16"/>
        <v>2.4348999999999998</v>
      </c>
      <c r="W24" s="373">
        <f t="shared" si="17"/>
        <v>0.3</v>
      </c>
      <c r="X24" s="380">
        <f t="shared" si="18"/>
        <v>18.840932631302717</v>
      </c>
    </row>
    <row r="25" spans="1:24" x14ac:dyDescent="0.25">
      <c r="A25" s="186">
        <f t="shared" si="1"/>
        <v>9.879885624736632</v>
      </c>
      <c r="B25" s="369" t="str">
        <f t="shared" si="2"/>
        <v>HCC Online Video</v>
      </c>
      <c r="C25" s="377">
        <f t="shared" ref="C25:D25" si="20">C10/1000000</f>
        <v>0.17307694000000001</v>
      </c>
      <c r="D25" s="391">
        <f t="shared" si="20"/>
        <v>1.7099803714794048</v>
      </c>
      <c r="E25" s="371"/>
      <c r="F25" s="378">
        <f t="shared" si="4"/>
        <v>0.22500002199999999</v>
      </c>
      <c r="G25" s="379">
        <f t="shared" si="5"/>
        <v>0.3</v>
      </c>
      <c r="H25" s="380">
        <f t="shared" si="6"/>
        <v>2.0311615894317665</v>
      </c>
      <c r="I25" s="371"/>
      <c r="J25" s="378">
        <f t="shared" si="7"/>
        <v>0.15733070412100258</v>
      </c>
      <c r="K25" s="379">
        <f t="shared" si="8"/>
        <v>-9.0978242849668031E-2</v>
      </c>
      <c r="L25" s="380">
        <f t="shared" si="9"/>
        <v>1.5986328120784354</v>
      </c>
      <c r="M25" s="374"/>
      <c r="N25" s="378">
        <f t="shared" si="10"/>
        <v>0.121153858</v>
      </c>
      <c r="O25" s="379">
        <f t="shared" si="11"/>
        <v>-0.3</v>
      </c>
      <c r="P25" s="380">
        <f t="shared" si="12"/>
        <v>1.3146010547516858</v>
      </c>
      <c r="Q25" s="374"/>
      <c r="R25" s="378">
        <f t="shared" si="13"/>
        <v>0.22500002199999999</v>
      </c>
      <c r="S25" s="373">
        <f t="shared" si="14"/>
        <v>0.3</v>
      </c>
      <c r="T25" s="380">
        <f t="shared" si="15"/>
        <v>2.0311615894317665</v>
      </c>
      <c r="U25" s="375"/>
      <c r="V25" s="378">
        <f t="shared" si="16"/>
        <v>0.22500002199999999</v>
      </c>
      <c r="W25" s="373">
        <f t="shared" si="17"/>
        <v>0.3</v>
      </c>
      <c r="X25" s="380">
        <f t="shared" si="18"/>
        <v>2.0311615894317665</v>
      </c>
    </row>
    <row r="26" spans="1:24" x14ac:dyDescent="0.25">
      <c r="A26" s="186">
        <f t="shared" si="1"/>
        <v>5.288541872790403</v>
      </c>
      <c r="B26" s="369" t="str">
        <f t="shared" si="2"/>
        <v>HCC Streaming Video</v>
      </c>
      <c r="C26" s="377">
        <f t="shared" ref="C26:D26" si="21">C11/1000000</f>
        <v>6.1801250000000003</v>
      </c>
      <c r="D26" s="391">
        <f t="shared" si="21"/>
        <v>32.683849841578791</v>
      </c>
      <c r="E26" s="371"/>
      <c r="F26" s="378">
        <f t="shared" si="4"/>
        <v>4.3260874999999999</v>
      </c>
      <c r="G26" s="379">
        <f t="shared" si="5"/>
        <v>-0.3</v>
      </c>
      <c r="H26" s="380">
        <f t="shared" si="6"/>
        <v>25.462546467915075</v>
      </c>
      <c r="I26" s="371"/>
      <c r="J26" s="378">
        <f t="shared" si="7"/>
        <v>4.3260874999999999</v>
      </c>
      <c r="K26" s="379">
        <f t="shared" si="8"/>
        <v>-0.3</v>
      </c>
      <c r="L26" s="380">
        <f t="shared" si="9"/>
        <v>25.462546467915075</v>
      </c>
      <c r="M26" s="374"/>
      <c r="N26" s="378">
        <f t="shared" si="10"/>
        <v>4.3260874999999999</v>
      </c>
      <c r="O26" s="379">
        <f t="shared" si="11"/>
        <v>-0.3</v>
      </c>
      <c r="P26" s="380">
        <f t="shared" si="12"/>
        <v>25.462546467915075</v>
      </c>
      <c r="Q26" s="374"/>
      <c r="R26" s="378">
        <f t="shared" si="13"/>
        <v>5.3319421791104125</v>
      </c>
      <c r="S26" s="373">
        <f t="shared" si="14"/>
        <v>-0.13724363518368762</v>
      </c>
      <c r="T26" s="380">
        <f t="shared" si="15"/>
        <v>29.475075546560728</v>
      </c>
      <c r="U26" s="375"/>
      <c r="V26" s="378">
        <f t="shared" si="16"/>
        <v>7.0921728470147416</v>
      </c>
      <c r="W26" s="373">
        <f t="shared" si="17"/>
        <v>0.14757757278610739</v>
      </c>
      <c r="X26" s="380">
        <f t="shared" si="18"/>
        <v>35.989900262106076</v>
      </c>
    </row>
    <row r="27" spans="1:24" x14ac:dyDescent="0.25">
      <c r="A27" s="186">
        <f t="shared" si="1"/>
        <v>14.271209044334954</v>
      </c>
      <c r="B27" s="369" t="str">
        <f t="shared" si="2"/>
        <v>HCC Display</v>
      </c>
      <c r="C27" s="377">
        <f t="shared" ref="C27:D27" si="22">C12/1000000</f>
        <v>1.64835737</v>
      </c>
      <c r="D27" s="391">
        <f t="shared" si="22"/>
        <v>23.524052607040179</v>
      </c>
      <c r="E27" s="371"/>
      <c r="F27" s="378">
        <f t="shared" si="4"/>
        <v>2.1428645810000004</v>
      </c>
      <c r="G27" s="379">
        <f t="shared" si="5"/>
        <v>0.30000000000000004</v>
      </c>
      <c r="H27" s="380">
        <f t="shared" si="6"/>
        <v>28.569508760968702</v>
      </c>
      <c r="I27" s="371"/>
      <c r="J27" s="378">
        <f t="shared" si="7"/>
        <v>2.1428645810000004</v>
      </c>
      <c r="K27" s="379">
        <f t="shared" si="8"/>
        <v>0.30000000000000004</v>
      </c>
      <c r="L27" s="380">
        <f t="shared" si="9"/>
        <v>28.569508760968702</v>
      </c>
      <c r="M27" s="374"/>
      <c r="N27" s="378">
        <f t="shared" si="10"/>
        <v>2.1428645810000004</v>
      </c>
      <c r="O27" s="379">
        <f t="shared" si="11"/>
        <v>0.30000000000000004</v>
      </c>
      <c r="P27" s="380">
        <f t="shared" si="12"/>
        <v>28.569508760968702</v>
      </c>
      <c r="Q27" s="374"/>
      <c r="R27" s="378">
        <f t="shared" si="13"/>
        <v>2.1428645810000004</v>
      </c>
      <c r="S27" s="373">
        <f t="shared" si="14"/>
        <v>0.30000000000000004</v>
      </c>
      <c r="T27" s="380">
        <f t="shared" si="15"/>
        <v>28.569508760968702</v>
      </c>
      <c r="U27" s="375"/>
      <c r="V27" s="378">
        <f t="shared" si="16"/>
        <v>2.1428645810000004</v>
      </c>
      <c r="W27" s="373">
        <f t="shared" si="17"/>
        <v>0.30000000000000004</v>
      </c>
      <c r="X27" s="380">
        <f t="shared" si="18"/>
        <v>28.569508760968702</v>
      </c>
    </row>
    <row r="28" spans="1:24" x14ac:dyDescent="0.25">
      <c r="A28" s="186">
        <f t="shared" si="1"/>
        <v>85.664121305902583</v>
      </c>
      <c r="B28" s="369" t="str">
        <f t="shared" si="2"/>
        <v>HCC Paid Search</v>
      </c>
      <c r="C28" s="377">
        <f t="shared" ref="C28:D28" si="23">C13/1000000</f>
        <v>0.34470699999999999</v>
      </c>
      <c r="D28" s="391">
        <f t="shared" si="23"/>
        <v>29.52902226299376</v>
      </c>
      <c r="E28" s="371"/>
      <c r="F28" s="378">
        <f t="shared" si="4"/>
        <v>0.44811910000000005</v>
      </c>
      <c r="G28" s="379">
        <f t="shared" si="5"/>
        <v>0.3000000000000001</v>
      </c>
      <c r="H28" s="380">
        <f t="shared" si="6"/>
        <v>35.4821080336392</v>
      </c>
      <c r="I28" s="371"/>
      <c r="J28" s="378">
        <f t="shared" si="7"/>
        <v>0.44811910000000005</v>
      </c>
      <c r="K28" s="379">
        <f t="shared" si="8"/>
        <v>0.3000000000000001</v>
      </c>
      <c r="L28" s="380">
        <f t="shared" si="9"/>
        <v>35.4821080336392</v>
      </c>
      <c r="M28" s="374"/>
      <c r="N28" s="378">
        <f t="shared" si="10"/>
        <v>0.44811910000000005</v>
      </c>
      <c r="O28" s="379">
        <f t="shared" si="11"/>
        <v>0.3000000000000001</v>
      </c>
      <c r="P28" s="380">
        <f t="shared" si="12"/>
        <v>35.4821080336392</v>
      </c>
      <c r="Q28" s="374"/>
      <c r="R28" s="378">
        <f t="shared" si="13"/>
        <v>0.44811910000000005</v>
      </c>
      <c r="S28" s="373">
        <f t="shared" si="14"/>
        <v>0.3000000000000001</v>
      </c>
      <c r="T28" s="380">
        <f t="shared" si="15"/>
        <v>35.4821080336392</v>
      </c>
      <c r="U28" s="375"/>
      <c r="V28" s="378">
        <f t="shared" si="16"/>
        <v>0.44811910000000005</v>
      </c>
      <c r="W28" s="373">
        <f t="shared" si="17"/>
        <v>0.3000000000000001</v>
      </c>
      <c r="X28" s="380">
        <f t="shared" si="18"/>
        <v>35.4821080336392</v>
      </c>
    </row>
    <row r="29" spans="1:24" x14ac:dyDescent="0.25">
      <c r="A29" s="186">
        <f t="shared" si="1"/>
        <v>11.095228688295396</v>
      </c>
      <c r="B29" s="369" t="str">
        <f t="shared" si="2"/>
        <v>HCC Audio</v>
      </c>
      <c r="C29" s="377">
        <f t="shared" ref="C29:D29" si="24">C14/1000000</f>
        <v>1.4370484099999998</v>
      </c>
      <c r="D29" s="391">
        <f t="shared" si="24"/>
        <v>15.944380745101283</v>
      </c>
      <c r="E29" s="371"/>
      <c r="F29" s="378">
        <f t="shared" si="4"/>
        <v>1.868162933</v>
      </c>
      <c r="G29" s="379">
        <f t="shared" si="5"/>
        <v>0.30000000000000004</v>
      </c>
      <c r="H29" s="380">
        <f t="shared" si="6"/>
        <v>18.66266532416639</v>
      </c>
      <c r="I29" s="371"/>
      <c r="J29" s="378">
        <f t="shared" si="7"/>
        <v>1.1426039801617303</v>
      </c>
      <c r="K29" s="379">
        <f t="shared" si="8"/>
        <v>-0.20489527547528461</v>
      </c>
      <c r="L29" s="380">
        <f t="shared" si="9"/>
        <v>13.895118568700376</v>
      </c>
      <c r="M29" s="374"/>
      <c r="N29" s="378">
        <f t="shared" si="10"/>
        <v>1.0059338869999999</v>
      </c>
      <c r="O29" s="379">
        <f t="shared" si="11"/>
        <v>-0.30000000000000004</v>
      </c>
      <c r="P29" s="380">
        <f t="shared" si="12"/>
        <v>12.872606114547708</v>
      </c>
      <c r="Q29" s="374"/>
      <c r="R29" s="378">
        <f t="shared" si="13"/>
        <v>1.868162933</v>
      </c>
      <c r="S29" s="373">
        <f t="shared" si="14"/>
        <v>0.30000000000000004</v>
      </c>
      <c r="T29" s="380">
        <f t="shared" si="15"/>
        <v>18.66266532416639</v>
      </c>
      <c r="U29" s="375"/>
      <c r="V29" s="378">
        <f t="shared" si="16"/>
        <v>1.868162933</v>
      </c>
      <c r="W29" s="373">
        <f t="shared" si="17"/>
        <v>0.30000000000000004</v>
      </c>
      <c r="X29" s="380">
        <f t="shared" si="18"/>
        <v>18.66266532416639</v>
      </c>
    </row>
    <row r="30" spans="1:24" x14ac:dyDescent="0.25">
      <c r="A30" s="186">
        <f t="shared" si="1"/>
        <v>4.2446605731053264</v>
      </c>
      <c r="B30" s="369" t="str">
        <f t="shared" si="2"/>
        <v>HCC TV</v>
      </c>
      <c r="C30" s="377">
        <f t="shared" ref="C30:D30" si="25">C15/1000000</f>
        <v>13.503524990000001</v>
      </c>
      <c r="D30" s="391">
        <f t="shared" si="25"/>
        <v>57.317880122995497</v>
      </c>
      <c r="E30" s="371"/>
      <c r="F30" s="378">
        <f t="shared" si="4"/>
        <v>13.503524990000001</v>
      </c>
      <c r="G30" s="379">
        <f t="shared" si="5"/>
        <v>0</v>
      </c>
      <c r="H30" s="380">
        <f t="shared" si="6"/>
        <v>57.317880122995497</v>
      </c>
      <c r="I30" s="371"/>
      <c r="J30" s="378">
        <f t="shared" si="7"/>
        <v>13.503524990000001</v>
      </c>
      <c r="K30" s="379">
        <f t="shared" si="8"/>
        <v>0</v>
      </c>
      <c r="L30" s="380">
        <f t="shared" si="9"/>
        <v>57.317880122995497</v>
      </c>
      <c r="M30" s="374"/>
      <c r="N30" s="378">
        <f t="shared" si="10"/>
        <v>13.503524990000001</v>
      </c>
      <c r="O30" s="379">
        <f t="shared" si="11"/>
        <v>0</v>
      </c>
      <c r="P30" s="380">
        <f t="shared" si="12"/>
        <v>57.317880122995497</v>
      </c>
      <c r="Q30" s="374"/>
      <c r="R30" s="378">
        <f t="shared" si="13"/>
        <v>13.503524990000001</v>
      </c>
      <c r="S30" s="373">
        <f t="shared" si="14"/>
        <v>0</v>
      </c>
      <c r="T30" s="380">
        <f t="shared" si="15"/>
        <v>57.317880122995497</v>
      </c>
      <c r="U30" s="375"/>
      <c r="V30" s="378">
        <f t="shared" si="16"/>
        <v>13.503524990000001</v>
      </c>
      <c r="W30" s="373">
        <f t="shared" si="17"/>
        <v>0</v>
      </c>
      <c r="X30" s="380">
        <f t="shared" si="18"/>
        <v>57.317880122995497</v>
      </c>
    </row>
    <row r="31" spans="1:24" ht="29.65" customHeight="1" x14ac:dyDescent="0.25">
      <c r="B31" s="392" t="s">
        <v>217</v>
      </c>
      <c r="C31" s="381">
        <f>C16/1000000</f>
        <v>32.280505600000005</v>
      </c>
      <c r="D31" s="386">
        <f>D16/1000000</f>
        <v>248.35576034442479</v>
      </c>
      <c r="E31" s="368"/>
      <c r="F31" s="382">
        <f>F16/1000000</f>
        <v>32.280505601789258</v>
      </c>
      <c r="G31" s="383">
        <f>G16</f>
        <v>5.5428404763005238E-11</v>
      </c>
      <c r="H31" s="384">
        <f>H16/1000000</f>
        <v>263.47312022208399</v>
      </c>
      <c r="I31" s="368"/>
      <c r="J31" s="382">
        <f>J16/1000000</f>
        <v>30.402807536549389</v>
      </c>
      <c r="K31" s="383">
        <f>K16</f>
        <v>-5.8168173904023734E-2</v>
      </c>
      <c r="L31" s="384">
        <f>L16/1000000</f>
        <v>251.08973237749993</v>
      </c>
      <c r="M31" s="368"/>
      <c r="N31" s="382">
        <f>N16/1000000</f>
        <v>28.525109469671801</v>
      </c>
      <c r="O31" s="383">
        <f>O16</f>
        <v>-0.11633634791420988</v>
      </c>
      <c r="P31" s="384">
        <f>P16/1000000</f>
        <v>235.7663946766302</v>
      </c>
      <c r="Q31" s="385"/>
      <c r="R31" s="382">
        <f>R16/1000000</f>
        <v>34.158203662110409</v>
      </c>
      <c r="S31" s="383">
        <f>S16</f>
        <v>5.8168173862506327E-2</v>
      </c>
      <c r="T31" s="384">
        <f>T16/1000000</f>
        <v>271.8855394772508</v>
      </c>
      <c r="U31" s="385"/>
      <c r="V31" s="382">
        <f>V16/1000000</f>
        <v>36.035901722777652</v>
      </c>
      <c r="W31" s="383">
        <f>W16</f>
        <v>0.11633634768030549</v>
      </c>
      <c r="X31" s="384">
        <f>X16/1000000</f>
        <v>278.82775178509399</v>
      </c>
    </row>
    <row r="32" spans="1:24" ht="38.25" x14ac:dyDescent="0.25">
      <c r="B32" s="392" t="s">
        <v>296</v>
      </c>
      <c r="C32" s="381"/>
      <c r="D32" s="386"/>
      <c r="E32" s="368"/>
      <c r="F32" s="382"/>
      <c r="G32" s="383"/>
      <c r="H32" s="388" t="s">
        <v>289</v>
      </c>
      <c r="I32" s="368"/>
      <c r="J32" s="382"/>
      <c r="K32" s="383"/>
      <c r="L32" s="387" t="s">
        <v>290</v>
      </c>
      <c r="M32" s="368"/>
      <c r="N32" s="382"/>
      <c r="O32" s="383"/>
      <c r="P32" s="389" t="s">
        <v>291</v>
      </c>
      <c r="Q32" s="385"/>
      <c r="R32" s="382"/>
      <c r="S32" s="383"/>
      <c r="T32" s="388" t="s">
        <v>292</v>
      </c>
      <c r="U32" s="385"/>
      <c r="V32" s="382"/>
      <c r="W32" s="383"/>
      <c r="X32" s="388" t="s">
        <v>293</v>
      </c>
    </row>
    <row r="33" spans="2:24" x14ac:dyDescent="0.25">
      <c r="D33" s="350">
        <f>D31/C31</f>
        <v>7.6936762831999994</v>
      </c>
      <c r="G33" s="194"/>
      <c r="H33" s="230">
        <f>(H31-$D$31)</f>
        <v>15.117359877659197</v>
      </c>
      <c r="L33" s="230">
        <f>(L31-$D$31)</f>
        <v>2.7339720330751334</v>
      </c>
      <c r="P33" s="230">
        <f>(P31-$D$31)</f>
        <v>-12.589365667794596</v>
      </c>
      <c r="T33" s="230">
        <f>(T31-$D$31)</f>
        <v>23.529779132826008</v>
      </c>
      <c r="X33" s="230">
        <f>(X31-$D$31)</f>
        <v>30.4719914406692</v>
      </c>
    </row>
    <row r="34" spans="2:24" x14ac:dyDescent="0.25">
      <c r="H34" s="297">
        <f>H33/$D$31</f>
        <v>6.0869777518726111E-2</v>
      </c>
      <c r="L34" s="297">
        <f>L33/$D$31</f>
        <v>1.10082891948373E-2</v>
      </c>
      <c r="P34" s="297">
        <f>P33/$D$31</f>
        <v>-5.0690854322587117E-2</v>
      </c>
      <c r="T34" s="297">
        <f>T33/$D$31</f>
        <v>9.4742232272746293E-2</v>
      </c>
      <c r="X34" s="297">
        <f>X33/$D$31</f>
        <v>0.1226949252089423</v>
      </c>
    </row>
    <row r="35" spans="2:24" x14ac:dyDescent="0.25">
      <c r="H35" s="186">
        <f>H31/F31</f>
        <v>8.1619886464070781</v>
      </c>
      <c r="L35" s="186">
        <f>L31/J31</f>
        <v>8.2587679468630331</v>
      </c>
      <c r="P35" s="186">
        <f>P31/N31</f>
        <v>8.2652231335798909</v>
      </c>
      <c r="T35" s="186">
        <f>T31/R31</f>
        <v>7.9595971195299322</v>
      </c>
      <c r="X35" s="186">
        <f>X31/V31</f>
        <v>7.7374989511876686</v>
      </c>
    </row>
    <row r="36" spans="2:24" x14ac:dyDescent="0.25">
      <c r="B36" s="441" t="s">
        <v>250</v>
      </c>
      <c r="C36" s="441"/>
      <c r="D36" s="441"/>
      <c r="E36" s="441"/>
      <c r="F36" s="441"/>
      <c r="G36" s="441"/>
      <c r="H36" s="441"/>
      <c r="I36" s="441"/>
      <c r="J36" s="441"/>
      <c r="K36" s="441"/>
      <c r="L36" s="441"/>
      <c r="M36" s="441"/>
      <c r="N36" s="441"/>
      <c r="O36" s="441"/>
      <c r="P36" s="441"/>
      <c r="Q36" s="441"/>
      <c r="R36" s="441"/>
      <c r="S36" s="441"/>
      <c r="T36" s="441"/>
    </row>
    <row r="37" spans="2:24" x14ac:dyDescent="0.25">
      <c r="B37" s="441"/>
      <c r="C37" s="441"/>
      <c r="D37" s="441"/>
      <c r="E37" s="441"/>
      <c r="F37" s="441"/>
      <c r="G37" s="441"/>
      <c r="H37" s="441"/>
      <c r="I37" s="441"/>
      <c r="J37" s="441"/>
      <c r="K37" s="441"/>
      <c r="L37" s="441"/>
      <c r="M37" s="441"/>
      <c r="N37" s="441"/>
      <c r="O37" s="441"/>
      <c r="P37" s="441"/>
      <c r="Q37" s="441"/>
      <c r="R37" s="441"/>
      <c r="S37" s="441"/>
      <c r="T37" s="441"/>
    </row>
    <row r="39" spans="2:24" x14ac:dyDescent="0.25">
      <c r="F39" s="435" t="s">
        <v>242</v>
      </c>
      <c r="G39" s="436"/>
      <c r="H39" s="437"/>
      <c r="I39" s="195"/>
      <c r="J39" s="435" t="s">
        <v>209</v>
      </c>
      <c r="K39" s="436"/>
      <c r="L39" s="437"/>
      <c r="M39" s="195"/>
      <c r="N39" s="435" t="s">
        <v>210</v>
      </c>
      <c r="O39" s="436"/>
      <c r="P39" s="437"/>
      <c r="R39" s="442"/>
      <c r="S39" s="443"/>
      <c r="T39" s="444"/>
    </row>
    <row r="40" spans="2:24" ht="60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39" t="str">
        <f>B36</f>
        <v>Optimal Channel Spend  allowed to vary between  of the 2021 spend</v>
      </c>
      <c r="G53" s="439"/>
      <c r="H53" s="439"/>
      <c r="I53" s="439"/>
      <c r="J53" s="439"/>
      <c r="K53" s="439"/>
      <c r="L53" s="439"/>
      <c r="M53" s="439"/>
      <c r="N53" s="439"/>
      <c r="O53" s="439"/>
      <c r="P53" s="439"/>
    </row>
    <row r="54" spans="2:20" x14ac:dyDescent="0.25">
      <c r="C54" s="447" t="s">
        <v>243</v>
      </c>
      <c r="D54" s="448"/>
      <c r="E54" s="204"/>
      <c r="F54" s="435" t="str">
        <f>F39</f>
        <v>Current Optimal ($MM)</v>
      </c>
      <c r="G54" s="436"/>
      <c r="H54" s="437"/>
      <c r="I54" s="205"/>
      <c r="J54" s="435" t="str">
        <f>J39</f>
        <v>10% reduction optimal ($)</v>
      </c>
      <c r="K54" s="436"/>
      <c r="L54" s="437"/>
      <c r="M54" s="205"/>
      <c r="N54" s="435" t="str">
        <f>N39</f>
        <v>20% reduction optimal ()</v>
      </c>
      <c r="O54" s="436"/>
      <c r="P54" s="437"/>
      <c r="R54" s="449"/>
      <c r="S54" s="450"/>
      <c r="T54" s="451"/>
    </row>
    <row r="55" spans="2:20" ht="60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25">
      <c r="B56" s="198" t="s">
        <v>155</v>
      </c>
      <c r="C56" s="210">
        <f t="shared" ref="C56:D62" si="26">C41/1000000</f>
        <v>0</v>
      </c>
      <c r="D56" s="211">
        <f t="shared" si="26"/>
        <v>0</v>
      </c>
      <c r="E56" s="212"/>
      <c r="F56" s="213">
        <f t="shared" ref="F56:F62" si="27">F41/1000000</f>
        <v>0</v>
      </c>
      <c r="G56" s="214">
        <f t="shared" ref="G56:G62" si="28">G41</f>
        <v>0</v>
      </c>
      <c r="H56" s="215">
        <f t="shared" ref="H56:H62" si="29">H41/1000000</f>
        <v>0</v>
      </c>
      <c r="I56" s="212"/>
      <c r="J56" s="213">
        <f t="shared" ref="J56:J62" si="30">J41/1000000</f>
        <v>0</v>
      </c>
      <c r="K56" s="214">
        <f t="shared" ref="K56:K62" si="31">K41</f>
        <v>0</v>
      </c>
      <c r="L56" s="215">
        <f t="shared" ref="L56:L62" si="32">L41/1000000</f>
        <v>0</v>
      </c>
      <c r="M56" s="193"/>
      <c r="N56" s="213">
        <f t="shared" ref="N56:N62" si="33">N41/1000000</f>
        <v>0</v>
      </c>
      <c r="O56" s="214">
        <f t="shared" ref="O56:O62" si="34">O41</f>
        <v>0</v>
      </c>
      <c r="P56" s="215">
        <f t="shared" ref="P56:P62" si="35">P41/1000000</f>
        <v>0</v>
      </c>
      <c r="Q56" s="193"/>
      <c r="R56" s="213">
        <f t="shared" ref="R56:R62" si="36">R41/1000000</f>
        <v>0</v>
      </c>
      <c r="S56" s="214">
        <f t="shared" ref="S56:S62" si="37">S41</f>
        <v>0</v>
      </c>
      <c r="T56" s="215">
        <f t="shared" ref="T56:T62" si="38">T41/1000000</f>
        <v>0</v>
      </c>
    </row>
    <row r="57" spans="2:20" x14ac:dyDescent="0.25">
      <c r="B57" s="200" t="s">
        <v>93</v>
      </c>
      <c r="C57" s="216">
        <f t="shared" si="26"/>
        <v>0</v>
      </c>
      <c r="D57" s="217">
        <f t="shared" si="26"/>
        <v>0</v>
      </c>
      <c r="E57" s="212"/>
      <c r="F57" s="218">
        <f t="shared" si="27"/>
        <v>0</v>
      </c>
      <c r="G57" s="219">
        <f t="shared" si="28"/>
        <v>0</v>
      </c>
      <c r="H57" s="220">
        <f t="shared" si="29"/>
        <v>0</v>
      </c>
      <c r="I57" s="212"/>
      <c r="J57" s="218">
        <f t="shared" si="30"/>
        <v>0</v>
      </c>
      <c r="K57" s="219">
        <f t="shared" si="31"/>
        <v>0</v>
      </c>
      <c r="L57" s="220">
        <f t="shared" si="32"/>
        <v>0</v>
      </c>
      <c r="M57" s="193"/>
      <c r="N57" s="218">
        <f t="shared" si="33"/>
        <v>0</v>
      </c>
      <c r="O57" s="219">
        <f t="shared" si="34"/>
        <v>0</v>
      </c>
      <c r="P57" s="220">
        <f t="shared" si="35"/>
        <v>0</v>
      </c>
      <c r="Q57" s="193"/>
      <c r="R57" s="218">
        <f t="shared" si="36"/>
        <v>0</v>
      </c>
      <c r="S57" s="214">
        <f t="shared" si="37"/>
        <v>0</v>
      </c>
      <c r="T57" s="220">
        <f t="shared" si="38"/>
        <v>0</v>
      </c>
    </row>
    <row r="58" spans="2:20" x14ac:dyDescent="0.25">
      <c r="B58" s="200" t="s">
        <v>162</v>
      </c>
      <c r="C58" s="216">
        <f t="shared" si="26"/>
        <v>0</v>
      </c>
      <c r="D58" s="217">
        <f t="shared" si="26"/>
        <v>0</v>
      </c>
      <c r="E58" s="212"/>
      <c r="F58" s="218">
        <f t="shared" si="27"/>
        <v>0</v>
      </c>
      <c r="G58" s="219">
        <f t="shared" si="28"/>
        <v>0</v>
      </c>
      <c r="H58" s="220">
        <f t="shared" si="29"/>
        <v>0</v>
      </c>
      <c r="I58" s="212"/>
      <c r="J58" s="218">
        <f t="shared" si="30"/>
        <v>0</v>
      </c>
      <c r="K58" s="219">
        <f t="shared" si="31"/>
        <v>0</v>
      </c>
      <c r="L58" s="220">
        <f t="shared" si="32"/>
        <v>0</v>
      </c>
      <c r="M58" s="193"/>
      <c r="N58" s="218">
        <f t="shared" si="33"/>
        <v>0</v>
      </c>
      <c r="O58" s="219">
        <f t="shared" si="34"/>
        <v>0</v>
      </c>
      <c r="P58" s="220">
        <f t="shared" si="35"/>
        <v>0</v>
      </c>
      <c r="Q58" s="193"/>
      <c r="R58" s="218">
        <f t="shared" si="36"/>
        <v>0</v>
      </c>
      <c r="S58" s="214">
        <f t="shared" si="37"/>
        <v>0</v>
      </c>
      <c r="T58" s="220">
        <f t="shared" si="38"/>
        <v>0</v>
      </c>
    </row>
    <row r="59" spans="2:20" x14ac:dyDescent="0.25">
      <c r="B59" s="200" t="s">
        <v>163</v>
      </c>
      <c r="C59" s="216">
        <f t="shared" si="26"/>
        <v>0</v>
      </c>
      <c r="D59" s="217">
        <f t="shared" si="26"/>
        <v>0</v>
      </c>
      <c r="E59" s="212"/>
      <c r="F59" s="218">
        <f t="shared" si="27"/>
        <v>0</v>
      </c>
      <c r="G59" s="219">
        <f t="shared" si="28"/>
        <v>0</v>
      </c>
      <c r="H59" s="220">
        <f t="shared" si="29"/>
        <v>0</v>
      </c>
      <c r="I59" s="212"/>
      <c r="J59" s="218">
        <f t="shared" si="30"/>
        <v>0</v>
      </c>
      <c r="K59" s="219">
        <f t="shared" si="31"/>
        <v>0</v>
      </c>
      <c r="L59" s="220">
        <f t="shared" si="32"/>
        <v>0</v>
      </c>
      <c r="M59" s="193"/>
      <c r="N59" s="218">
        <f t="shared" si="33"/>
        <v>0</v>
      </c>
      <c r="O59" s="219">
        <f t="shared" si="34"/>
        <v>0</v>
      </c>
      <c r="P59" s="220">
        <f t="shared" si="35"/>
        <v>0</v>
      </c>
      <c r="Q59" s="193"/>
      <c r="R59" s="218">
        <f t="shared" si="36"/>
        <v>0</v>
      </c>
      <c r="S59" s="214">
        <f t="shared" si="37"/>
        <v>0</v>
      </c>
      <c r="T59" s="220">
        <f t="shared" si="38"/>
        <v>0</v>
      </c>
    </row>
    <row r="60" spans="2:20" x14ac:dyDescent="0.25">
      <c r="B60" s="200" t="s">
        <v>165</v>
      </c>
      <c r="C60" s="216">
        <f t="shared" si="26"/>
        <v>0</v>
      </c>
      <c r="D60" s="217">
        <f t="shared" si="26"/>
        <v>0</v>
      </c>
      <c r="E60" s="212"/>
      <c r="F60" s="218">
        <f t="shared" si="27"/>
        <v>0</v>
      </c>
      <c r="G60" s="219">
        <f t="shared" si="28"/>
        <v>0</v>
      </c>
      <c r="H60" s="220">
        <f t="shared" si="29"/>
        <v>0</v>
      </c>
      <c r="I60" s="212"/>
      <c r="J60" s="218">
        <f t="shared" si="30"/>
        <v>0</v>
      </c>
      <c r="K60" s="219">
        <f t="shared" si="31"/>
        <v>0</v>
      </c>
      <c r="L60" s="220">
        <f t="shared" si="32"/>
        <v>0</v>
      </c>
      <c r="M60" s="193"/>
      <c r="N60" s="218">
        <f t="shared" si="33"/>
        <v>0</v>
      </c>
      <c r="O60" s="219">
        <f t="shared" si="34"/>
        <v>0</v>
      </c>
      <c r="P60" s="220">
        <f t="shared" si="35"/>
        <v>0</v>
      </c>
      <c r="Q60" s="193"/>
      <c r="R60" s="218">
        <f t="shared" si="36"/>
        <v>0</v>
      </c>
      <c r="S60" s="214">
        <f t="shared" si="37"/>
        <v>0</v>
      </c>
      <c r="T60" s="220">
        <f t="shared" si="38"/>
        <v>0</v>
      </c>
    </row>
    <row r="61" spans="2:20" x14ac:dyDescent="0.25">
      <c r="B61" s="200" t="s">
        <v>164</v>
      </c>
      <c r="C61" s="216">
        <f t="shared" si="26"/>
        <v>0</v>
      </c>
      <c r="D61" s="217">
        <f t="shared" si="26"/>
        <v>0</v>
      </c>
      <c r="E61" s="212"/>
      <c r="F61" s="218">
        <f t="shared" si="27"/>
        <v>0</v>
      </c>
      <c r="G61" s="219">
        <f t="shared" si="28"/>
        <v>0</v>
      </c>
      <c r="H61" s="220">
        <f t="shared" si="29"/>
        <v>0</v>
      </c>
      <c r="I61" s="212"/>
      <c r="J61" s="218">
        <f t="shared" si="30"/>
        <v>0</v>
      </c>
      <c r="K61" s="219">
        <f t="shared" si="31"/>
        <v>0</v>
      </c>
      <c r="L61" s="220">
        <f t="shared" si="32"/>
        <v>0</v>
      </c>
      <c r="M61" s="193"/>
      <c r="N61" s="218">
        <f t="shared" si="33"/>
        <v>0</v>
      </c>
      <c r="O61" s="219">
        <f t="shared" si="34"/>
        <v>0</v>
      </c>
      <c r="P61" s="220">
        <f t="shared" si="35"/>
        <v>0</v>
      </c>
      <c r="Q61" s="193"/>
      <c r="R61" s="218">
        <f t="shared" si="36"/>
        <v>0</v>
      </c>
      <c r="S61" s="214">
        <f t="shared" si="37"/>
        <v>0</v>
      </c>
      <c r="T61" s="220">
        <f t="shared" si="38"/>
        <v>0</v>
      </c>
    </row>
    <row r="62" spans="2:20" x14ac:dyDescent="0.25">
      <c r="B62" s="200" t="s">
        <v>161</v>
      </c>
      <c r="C62" s="216">
        <f t="shared" si="26"/>
        <v>0</v>
      </c>
      <c r="D62" s="217">
        <f t="shared" si="26"/>
        <v>0</v>
      </c>
      <c r="E62" s="212"/>
      <c r="F62" s="218">
        <f t="shared" si="27"/>
        <v>0</v>
      </c>
      <c r="G62" s="219">
        <f t="shared" si="28"/>
        <v>0</v>
      </c>
      <c r="H62" s="220">
        <f t="shared" si="29"/>
        <v>0</v>
      </c>
      <c r="I62" s="212"/>
      <c r="J62" s="218">
        <f t="shared" si="30"/>
        <v>0</v>
      </c>
      <c r="K62" s="219">
        <f t="shared" si="31"/>
        <v>0</v>
      </c>
      <c r="L62" s="220">
        <f t="shared" si="32"/>
        <v>0</v>
      </c>
      <c r="M62" s="193"/>
      <c r="N62" s="218">
        <f t="shared" si="33"/>
        <v>0</v>
      </c>
      <c r="O62" s="219">
        <f t="shared" si="34"/>
        <v>0</v>
      </c>
      <c r="P62" s="220">
        <f t="shared" si="35"/>
        <v>0</v>
      </c>
      <c r="Q62" s="193"/>
      <c r="R62" s="218">
        <f t="shared" si="36"/>
        <v>0</v>
      </c>
      <c r="S62" s="214">
        <f t="shared" si="37"/>
        <v>0</v>
      </c>
      <c r="T62" s="220">
        <f t="shared" si="38"/>
        <v>0</v>
      </c>
    </row>
    <row r="63" spans="2:20" x14ac:dyDescent="0.25">
      <c r="B63" s="200" t="s">
        <v>216</v>
      </c>
      <c r="C63" s="216">
        <f t="shared" ref="C63:D64" si="39">C49/1000000</f>
        <v>0</v>
      </c>
      <c r="D63" s="217">
        <f t="shared" si="39"/>
        <v>0</v>
      </c>
      <c r="E63" s="212"/>
      <c r="F63" s="218">
        <f t="shared" ref="F63:F64" si="40">F49/1000000</f>
        <v>0</v>
      </c>
      <c r="G63" s="219">
        <f t="shared" ref="G63" si="41">G49</f>
        <v>0</v>
      </c>
      <c r="H63" s="220">
        <f t="shared" ref="H63:H64" si="42">H49/1000000</f>
        <v>0</v>
      </c>
      <c r="I63" s="212"/>
      <c r="J63" s="218">
        <f t="shared" ref="J63:J64" si="43">J49/1000000</f>
        <v>0</v>
      </c>
      <c r="K63" s="219">
        <f t="shared" ref="K63" si="44">K49</f>
        <v>0</v>
      </c>
      <c r="L63" s="220">
        <f t="shared" ref="L63:L64" si="45">L49/1000000</f>
        <v>0</v>
      </c>
      <c r="M63" s="193"/>
      <c r="N63" s="218">
        <f t="shared" ref="N63:N64" si="46">N49/1000000</f>
        <v>0</v>
      </c>
      <c r="O63" s="219">
        <f t="shared" ref="O63" si="47">O49</f>
        <v>0</v>
      </c>
      <c r="P63" s="220">
        <f t="shared" ref="P63:P64" si="48">P49/1000000</f>
        <v>0</v>
      </c>
      <c r="Q63" s="193"/>
      <c r="R63" s="218">
        <f t="shared" ref="R63:R64" si="49">R49/1000000</f>
        <v>0</v>
      </c>
      <c r="S63" s="214">
        <f t="shared" ref="S63" si="50">S49</f>
        <v>0</v>
      </c>
      <c r="T63" s="220">
        <f t="shared" ref="T63:T64" si="51">T49/1000000</f>
        <v>0</v>
      </c>
    </row>
    <row r="64" spans="2:20" ht="30" x14ac:dyDescent="0.25">
      <c r="B64" s="221" t="s">
        <v>217</v>
      </c>
      <c r="C64" s="222">
        <f t="shared" si="39"/>
        <v>0</v>
      </c>
      <c r="D64" s="223">
        <f t="shared" si="39"/>
        <v>0</v>
      </c>
      <c r="E64" s="224"/>
      <c r="F64" s="225">
        <f t="shared" si="40"/>
        <v>0</v>
      </c>
      <c r="G64" s="226">
        <f>G50</f>
        <v>-1</v>
      </c>
      <c r="H64" s="227">
        <f t="shared" si="42"/>
        <v>0</v>
      </c>
      <c r="I64" s="224"/>
      <c r="J64" s="225">
        <f t="shared" si="43"/>
        <v>0</v>
      </c>
      <c r="K64" s="226">
        <f>K50</f>
        <v>-1</v>
      </c>
      <c r="L64" s="227">
        <f t="shared" si="45"/>
        <v>0</v>
      </c>
      <c r="M64" s="224"/>
      <c r="N64" s="225">
        <f t="shared" si="46"/>
        <v>0</v>
      </c>
      <c r="O64" s="226">
        <f>O50</f>
        <v>-1</v>
      </c>
      <c r="P64" s="227">
        <f t="shared" si="48"/>
        <v>0</v>
      </c>
      <c r="R64" s="225">
        <f t="shared" si="49"/>
        <v>0</v>
      </c>
      <c r="S64" s="226" t="e">
        <v>#REF!</v>
      </c>
      <c r="T64" s="227">
        <f t="shared" si="51"/>
        <v>0</v>
      </c>
    </row>
    <row r="65" spans="2:20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189"/>
      <c r="J67" s="189"/>
      <c r="K67" s="189"/>
      <c r="L67" s="191" t="e">
        <f>L66/$D$64</f>
        <v>#DIV/0!</v>
      </c>
      <c r="M67" s="189"/>
      <c r="N67" s="189"/>
      <c r="O67" s="189"/>
      <c r="P67" s="191" t="e">
        <f>P66/$D$64</f>
        <v>#DIV/0!</v>
      </c>
      <c r="Q67" s="189"/>
      <c r="R67" s="189"/>
      <c r="S67" s="189"/>
    </row>
  </sheetData>
  <mergeCells count="24">
    <mergeCell ref="C54:D54"/>
    <mergeCell ref="F54:H54"/>
    <mergeCell ref="J54:L54"/>
    <mergeCell ref="N54:P54"/>
    <mergeCell ref="R54:T54"/>
    <mergeCell ref="F4:P4"/>
    <mergeCell ref="B36:T37"/>
    <mergeCell ref="F39:H39"/>
    <mergeCell ref="J39:L39"/>
    <mergeCell ref="N39:P39"/>
    <mergeCell ref="R39:T39"/>
    <mergeCell ref="C20:D20"/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</mergeCells>
  <conditionalFormatting sqref="G22:G30">
    <cfRule type="cellIs" dxfId="35" priority="17" operator="lessThan">
      <formula>0</formula>
    </cfRule>
    <cfRule type="cellIs" dxfId="34" priority="18" operator="greaterThan">
      <formula>0</formula>
    </cfRule>
  </conditionalFormatting>
  <conditionalFormatting sqref="K22:K30">
    <cfRule type="cellIs" dxfId="33" priority="15" operator="lessThan">
      <formula>0</formula>
    </cfRule>
    <cfRule type="cellIs" dxfId="32" priority="16" operator="greaterThan">
      <formula>0</formula>
    </cfRule>
  </conditionalFormatting>
  <conditionalFormatting sqref="O22:O30">
    <cfRule type="cellIs" dxfId="31" priority="13" operator="lessThan">
      <formula>0</formula>
    </cfRule>
    <cfRule type="cellIs" dxfId="30" priority="14" operator="greaterThan">
      <formula>0</formula>
    </cfRule>
  </conditionalFormatting>
  <conditionalFormatting sqref="S22:S30">
    <cfRule type="cellIs" dxfId="29" priority="11" operator="lessThan">
      <formula>0</formula>
    </cfRule>
    <cfRule type="cellIs" dxfId="28" priority="12" operator="greaterThan">
      <formula>0</formula>
    </cfRule>
  </conditionalFormatting>
  <conditionalFormatting sqref="G56:G63">
    <cfRule type="cellIs" dxfId="27" priority="9" operator="lessThan">
      <formula>0</formula>
    </cfRule>
    <cfRule type="cellIs" dxfId="26" priority="10" operator="greaterThan">
      <formula>0</formula>
    </cfRule>
  </conditionalFormatting>
  <conditionalFormatting sqref="K56:K63">
    <cfRule type="cellIs" dxfId="25" priority="7" operator="lessThan">
      <formula>0</formula>
    </cfRule>
    <cfRule type="cellIs" dxfId="24" priority="8" operator="greaterThan">
      <formula>0</formula>
    </cfRule>
  </conditionalFormatting>
  <conditionalFormatting sqref="O56:O63">
    <cfRule type="cellIs" dxfId="23" priority="5" operator="lessThan">
      <formula>0</formula>
    </cfRule>
    <cfRule type="cellIs" dxfId="22" priority="6" operator="greaterThan">
      <formula>0</formula>
    </cfRule>
  </conditionalFormatting>
  <conditionalFormatting sqref="S56:S63">
    <cfRule type="cellIs" dxfId="21" priority="3" operator="lessThan">
      <formula>0</formula>
    </cfRule>
    <cfRule type="cellIs" dxfId="20" priority="4" operator="greaterThan">
      <formula>0</formula>
    </cfRule>
  </conditionalFormatting>
  <conditionalFormatting sqref="W22:W30">
    <cfRule type="cellIs" dxfId="19" priority="1" operator="lessThan">
      <formula>0</formula>
    </cfRule>
    <cfRule type="cellIs" dxfId="1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F4" sqref="F4:P4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9501350.1099999994</v>
      </c>
      <c r="C3" s="194">
        <f>SUM(D9:D13)</f>
        <v>46835192.019607514</v>
      </c>
    </row>
    <row r="4" spans="1:28" x14ac:dyDescent="0.25">
      <c r="F4" s="440" t="s">
        <v>249</v>
      </c>
      <c r="G4" s="440"/>
      <c r="H4" s="440"/>
      <c r="I4" s="440"/>
      <c r="J4" s="440"/>
      <c r="K4" s="440"/>
      <c r="L4" s="440"/>
      <c r="M4" s="440"/>
      <c r="N4" s="440"/>
      <c r="O4" s="440"/>
      <c r="P4" s="440"/>
    </row>
    <row r="5" spans="1:28" x14ac:dyDescent="0.25">
      <c r="F5" s="435" t="s">
        <v>255</v>
      </c>
      <c r="G5" s="436"/>
      <c r="H5" s="437"/>
      <c r="I5" s="195"/>
      <c r="J5" s="435" t="s">
        <v>261</v>
      </c>
      <c r="K5" s="436"/>
      <c r="L5" s="437"/>
      <c r="M5" s="195"/>
      <c r="N5" s="435" t="s">
        <v>262</v>
      </c>
      <c r="O5" s="436"/>
      <c r="P5" s="437"/>
      <c r="R5" s="435" t="s">
        <v>263</v>
      </c>
      <c r="S5" s="436"/>
      <c r="T5" s="437"/>
      <c r="V5" s="435" t="s">
        <v>264</v>
      </c>
      <c r="W5" s="436"/>
      <c r="X5" s="437"/>
      <c r="Z5" s="97" t="s">
        <v>248</v>
      </c>
    </row>
    <row r="6" spans="1:28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28" x14ac:dyDescent="0.25">
      <c r="A7" s="194"/>
      <c r="B7" s="198" t="str">
        <f>VAC_Optim_Scenario!B17</f>
        <v>HCC In Office</v>
      </c>
      <c r="C7" s="199">
        <v>1700000</v>
      </c>
      <c r="D7" s="199">
        <v>11948893.6893612</v>
      </c>
      <c r="E7" s="199"/>
      <c r="F7" s="199">
        <v>2039999.99999996</v>
      </c>
      <c r="G7" s="191">
        <v>0.199999999999979</v>
      </c>
      <c r="H7" s="199">
        <v>13610005.5720021</v>
      </c>
      <c r="I7" s="199"/>
      <c r="J7" s="199">
        <v>2040000</v>
      </c>
      <c r="K7" s="191">
        <v>0.2</v>
      </c>
      <c r="L7" s="199">
        <v>13610005.5720021</v>
      </c>
      <c r="N7" s="199">
        <v>1428116.0275939901</v>
      </c>
      <c r="O7" s="191">
        <v>-0.159931748474121</v>
      </c>
      <c r="P7" s="199">
        <v>10473229.381448099</v>
      </c>
      <c r="R7" s="199">
        <v>2040000</v>
      </c>
      <c r="S7" s="191">
        <v>0.2</v>
      </c>
      <c r="T7" s="199">
        <v>13610005.5720021</v>
      </c>
      <c r="V7" s="199">
        <v>2040000</v>
      </c>
      <c r="W7" s="191">
        <v>0.2</v>
      </c>
      <c r="X7" s="199">
        <v>13610005.5720021</v>
      </c>
      <c r="Z7" s="199">
        <f>VAC_Optim_Scenario!$H35</f>
        <v>1346172.4927629044</v>
      </c>
      <c r="AA7" s="191">
        <f>(Z7-$C7)/$C7</f>
        <v>-0.20813382778652684</v>
      </c>
      <c r="AB7" s="199">
        <f>VAC_Optim_Scenario!$J35</f>
        <v>6361120.4206124544</v>
      </c>
    </row>
    <row r="8" spans="1:28" x14ac:dyDescent="0.25">
      <c r="A8" s="194"/>
      <c r="B8" s="198" t="str">
        <f>VAC_Optim_Scenario!B18</f>
        <v>HCP MCM</v>
      </c>
      <c r="C8" s="199">
        <v>5743880</v>
      </c>
      <c r="D8" s="199">
        <v>64646074.664150096</v>
      </c>
      <c r="E8" s="199"/>
      <c r="F8" s="199">
        <v>6892656</v>
      </c>
      <c r="G8" s="191">
        <v>0.19999999999999901</v>
      </c>
      <c r="H8" s="199">
        <v>70796306.9854009</v>
      </c>
      <c r="I8" s="199"/>
      <c r="J8" s="199">
        <v>6892656</v>
      </c>
      <c r="K8" s="191">
        <v>0.2</v>
      </c>
      <c r="L8" s="199">
        <v>70796306.9854009</v>
      </c>
      <c r="N8" s="199">
        <v>6013466.9357618196</v>
      </c>
      <c r="O8" s="191">
        <v>4.6934639261582201E-2</v>
      </c>
      <c r="P8" s="199">
        <v>66221747.108469099</v>
      </c>
      <c r="R8" s="199">
        <v>6892656</v>
      </c>
      <c r="S8" s="191">
        <v>0.2</v>
      </c>
      <c r="T8" s="199">
        <v>70796306.9854009</v>
      </c>
      <c r="V8" s="199">
        <v>6892656</v>
      </c>
      <c r="W8" s="191">
        <v>0.2</v>
      </c>
      <c r="X8" s="199">
        <v>70796306.9854009</v>
      </c>
      <c r="Z8" s="199">
        <f>VAC_Optim_Scenario!$H36</f>
        <v>6974984.7570000011</v>
      </c>
      <c r="AA8" s="191">
        <f t="shared" ref="AA8:AA15" si="0">(Z8-$C8)/$C8</f>
        <v>0.21433330031268083</v>
      </c>
      <c r="AB8" s="199">
        <f>VAC_Optim_Scenario!$J36</f>
        <v>75572474.639871225</v>
      </c>
    </row>
    <row r="9" spans="1:28" x14ac:dyDescent="0.25">
      <c r="A9" s="194"/>
      <c r="B9" s="198" t="str">
        <f>VAC_Optim_Scenario!B19</f>
        <v>HCC Social</v>
      </c>
      <c r="C9" s="199">
        <v>1945273.96</v>
      </c>
      <c r="D9" s="199">
        <v>14141969.939380299</v>
      </c>
      <c r="E9" s="199"/>
      <c r="F9" s="199">
        <v>2334328.7519999901</v>
      </c>
      <c r="G9" s="191">
        <v>0.19999999999999599</v>
      </c>
      <c r="H9" s="199">
        <v>15776790.456857201</v>
      </c>
      <c r="I9" s="199"/>
      <c r="J9" s="199">
        <v>2334328.7519999999</v>
      </c>
      <c r="K9" s="191">
        <v>0.2</v>
      </c>
      <c r="L9" s="199">
        <v>15776790.456857201</v>
      </c>
      <c r="N9" s="199">
        <v>1361691.7720000001</v>
      </c>
      <c r="O9" s="191">
        <v>-0.3</v>
      </c>
      <c r="P9" s="199">
        <v>11417439.8883035</v>
      </c>
      <c r="R9" s="199">
        <v>2334328.7519999999</v>
      </c>
      <c r="S9" s="191">
        <v>0.2</v>
      </c>
      <c r="T9" s="199">
        <v>15776790.456857201</v>
      </c>
      <c r="V9" s="199">
        <v>2334328.7519999999</v>
      </c>
      <c r="W9" s="191">
        <v>0.2</v>
      </c>
      <c r="X9" s="199">
        <v>15776790.456857201</v>
      </c>
      <c r="Z9" s="199">
        <f>VAC_Optim_Scenario!$H37</f>
        <v>2434900</v>
      </c>
      <c r="AA9" s="191">
        <f t="shared" si="0"/>
        <v>0.25170030035255292</v>
      </c>
      <c r="AB9" s="199">
        <f>VAC_Optim_Scenario!$J37</f>
        <v>18840932.631302718</v>
      </c>
    </row>
    <row r="10" spans="1:28" x14ac:dyDescent="0.25">
      <c r="A10" s="194"/>
      <c r="B10" s="198" t="str">
        <f>VAC_Optim_Scenario!B20</f>
        <v>HCC Online Video</v>
      </c>
      <c r="C10" s="199">
        <v>515939.92</v>
      </c>
      <c r="D10" s="199">
        <v>4274836.4457163401</v>
      </c>
      <c r="E10" s="199"/>
      <c r="F10" s="199">
        <v>619127.90399998694</v>
      </c>
      <c r="G10" s="191">
        <v>0.199999999999975</v>
      </c>
      <c r="H10" s="199">
        <v>5041782.5524056796</v>
      </c>
      <c r="I10" s="199"/>
      <c r="J10" s="199">
        <v>619127.90399998496</v>
      </c>
      <c r="K10" s="191">
        <v>0.19999999999997201</v>
      </c>
      <c r="L10" s="199">
        <v>5041782.5524056796</v>
      </c>
      <c r="N10" s="199">
        <v>619127.90399999998</v>
      </c>
      <c r="O10" s="191">
        <v>0.2</v>
      </c>
      <c r="P10" s="199">
        <v>5041782.5524056796</v>
      </c>
      <c r="R10" s="199">
        <v>619127.90399999998</v>
      </c>
      <c r="S10" s="191">
        <v>0.2</v>
      </c>
      <c r="T10" s="199">
        <v>5041782.5524056796</v>
      </c>
      <c r="V10" s="199">
        <v>619127.90399999998</v>
      </c>
      <c r="W10" s="191">
        <v>0.2</v>
      </c>
      <c r="X10" s="199">
        <v>5041782.5524056796</v>
      </c>
      <c r="Z10" s="199">
        <f>VAC_Optim_Scenario!$H38</f>
        <v>225000.022</v>
      </c>
      <c r="AA10" s="191">
        <f t="shared" si="0"/>
        <v>-0.56390266913248344</v>
      </c>
      <c r="AB10" s="199">
        <f>VAC_Optim_Scenario!$J38</f>
        <v>2031161.5894317664</v>
      </c>
    </row>
    <row r="11" spans="1:28" x14ac:dyDescent="0.25">
      <c r="A11" s="194"/>
      <c r="B11" s="198" t="str">
        <f>VAC_Optim_Scenario!B21</f>
        <v>HCC Streaming Video</v>
      </c>
      <c r="C11" s="199">
        <v>5247330.5</v>
      </c>
      <c r="D11" s="199">
        <v>18246592.677460998</v>
      </c>
      <c r="E11" s="199"/>
      <c r="F11" s="199">
        <v>3673131.35</v>
      </c>
      <c r="G11" s="191">
        <v>-0.3</v>
      </c>
      <c r="H11" s="199">
        <v>14215115.9114653</v>
      </c>
      <c r="I11" s="199"/>
      <c r="J11" s="199">
        <v>3673131.35</v>
      </c>
      <c r="K11" s="191">
        <v>-0.3</v>
      </c>
      <c r="L11" s="199">
        <v>14215115.9114653</v>
      </c>
      <c r="N11" s="199">
        <v>3673131.35</v>
      </c>
      <c r="O11" s="191">
        <v>-0.3</v>
      </c>
      <c r="P11" s="199">
        <v>14215115.9114653</v>
      </c>
      <c r="R11" s="199">
        <v>3673131.35</v>
      </c>
      <c r="S11" s="191">
        <v>-0.3</v>
      </c>
      <c r="T11" s="199">
        <v>14215115.9114653</v>
      </c>
      <c r="V11" s="199">
        <v>6296796.5999999996</v>
      </c>
      <c r="W11" s="191">
        <v>0.2</v>
      </c>
      <c r="X11" s="199">
        <v>20730446.182823099</v>
      </c>
      <c r="Z11" s="199">
        <f>VAC_Optim_Scenario!$H39</f>
        <v>7092172.847014742</v>
      </c>
      <c r="AA11" s="191">
        <f t="shared" si="0"/>
        <v>0.3515773109802674</v>
      </c>
      <c r="AB11" s="199">
        <f>VAC_Optim_Scenario!$J39</f>
        <v>35989900.262106076</v>
      </c>
    </row>
    <row r="12" spans="1:28" x14ac:dyDescent="0.25">
      <c r="A12" s="194"/>
      <c r="B12" s="198" t="str">
        <f>VAC_Optim_Scenario!B22</f>
        <v>HCC Display</v>
      </c>
      <c r="C12" s="199">
        <v>992805.72</v>
      </c>
      <c r="D12" s="199">
        <v>9523263.8608965594</v>
      </c>
      <c r="E12" s="199"/>
      <c r="F12" s="199">
        <v>1191366.8640000001</v>
      </c>
      <c r="G12" s="191">
        <v>0.19999999999999901</v>
      </c>
      <c r="H12" s="199">
        <v>11171509.838129999</v>
      </c>
      <c r="I12" s="199"/>
      <c r="J12" s="199">
        <v>1191366.8640000001</v>
      </c>
      <c r="K12" s="191">
        <v>0.2</v>
      </c>
      <c r="L12" s="199">
        <v>11171509.838129999</v>
      </c>
      <c r="N12" s="199">
        <v>1191366.8640000001</v>
      </c>
      <c r="O12" s="191">
        <v>0.2</v>
      </c>
      <c r="P12" s="199">
        <v>11171509.838129999</v>
      </c>
      <c r="R12" s="199">
        <v>1191366.8640000001</v>
      </c>
      <c r="S12" s="191">
        <v>0.2</v>
      </c>
      <c r="T12" s="199">
        <v>11171509.838129999</v>
      </c>
      <c r="V12" s="199">
        <v>1191366.8640000001</v>
      </c>
      <c r="W12" s="191">
        <v>0.2</v>
      </c>
      <c r="X12" s="199">
        <v>11171509.838129999</v>
      </c>
      <c r="Z12" s="199">
        <f>VAC_Optim_Scenario!$H40</f>
        <v>2142864.5810000002</v>
      </c>
      <c r="AA12" s="191">
        <f t="shared" si="0"/>
        <v>1.1583926621615357</v>
      </c>
      <c r="AB12" s="199">
        <f>VAC_Optim_Scenario!$J40</f>
        <v>28569508.760968704</v>
      </c>
    </row>
    <row r="13" spans="1:28" x14ac:dyDescent="0.25">
      <c r="A13" s="194"/>
      <c r="B13" s="198" t="str">
        <f>VAC_Optim_Scenario!B23</f>
        <v>HCC Paid Search</v>
      </c>
      <c r="C13" s="199">
        <v>800000.01</v>
      </c>
      <c r="D13" s="199">
        <v>648529.096153319</v>
      </c>
      <c r="E13" s="199"/>
      <c r="F13" s="199">
        <v>560000.00699999998</v>
      </c>
      <c r="G13" s="191">
        <v>-0.3</v>
      </c>
      <c r="H13" s="199">
        <v>505240.42689706601</v>
      </c>
      <c r="I13" s="199"/>
      <c r="J13" s="199">
        <v>560000.00699999998</v>
      </c>
      <c r="K13" s="191">
        <v>-0.3</v>
      </c>
      <c r="L13" s="199">
        <v>505240.42689706601</v>
      </c>
      <c r="N13" s="199">
        <v>560000.00699999998</v>
      </c>
      <c r="O13" s="191">
        <v>-0.3</v>
      </c>
      <c r="P13" s="199">
        <v>505240.42689706601</v>
      </c>
      <c r="R13" s="199">
        <v>560000.00700000999</v>
      </c>
      <c r="S13" s="191">
        <v>-0.299999999999988</v>
      </c>
      <c r="T13" s="199">
        <v>505240.426897072</v>
      </c>
      <c r="V13" s="199">
        <v>960000.01199999999</v>
      </c>
      <c r="W13" s="191">
        <v>0.2</v>
      </c>
      <c r="X13" s="199">
        <v>736811.40163819795</v>
      </c>
      <c r="Z13" s="199">
        <f>VAC_Optim_Scenario!$H41</f>
        <v>448119.10000000003</v>
      </c>
      <c r="AA13" s="191">
        <f t="shared" si="0"/>
        <v>-0.43985113200186082</v>
      </c>
      <c r="AB13" s="199">
        <f>VAC_Optim_Scenario!$J41</f>
        <v>35482108.0336392</v>
      </c>
    </row>
    <row r="14" spans="1:28" x14ac:dyDescent="0.25">
      <c r="A14" s="194"/>
      <c r="B14" s="198" t="str">
        <f>VAC_Optim_Scenario!B24</f>
        <v>HCC Audio</v>
      </c>
      <c r="C14" s="199">
        <v>1304830.43</v>
      </c>
      <c r="D14" s="199">
        <v>16894554.0299467</v>
      </c>
      <c r="E14" s="199"/>
      <c r="F14" s="199">
        <v>1565796.5160000001</v>
      </c>
      <c r="G14" s="191">
        <v>0.2</v>
      </c>
      <c r="H14" s="199">
        <v>18172690.5140124</v>
      </c>
      <c r="I14" s="199"/>
      <c r="J14" s="199">
        <v>1565796.5160000001</v>
      </c>
      <c r="K14" s="191">
        <v>0.2</v>
      </c>
      <c r="L14" s="199">
        <v>18172690.5140124</v>
      </c>
      <c r="N14" s="199">
        <v>1116974.5436441901</v>
      </c>
      <c r="O14" s="191">
        <v>-0.143969577990152</v>
      </c>
      <c r="P14" s="199">
        <v>15876048.3080511</v>
      </c>
      <c r="R14" s="199">
        <v>1565796.5160000001</v>
      </c>
      <c r="S14" s="191">
        <v>0.2</v>
      </c>
      <c r="T14" s="199">
        <v>18172690.5140124</v>
      </c>
      <c r="V14" s="199">
        <v>1565796.5160000001</v>
      </c>
      <c r="W14" s="191">
        <v>0.2</v>
      </c>
      <c r="X14" s="199">
        <v>18172690.5140124</v>
      </c>
      <c r="Z14" s="199">
        <f>VAC_Optim_Scenario!$H42</f>
        <v>1868162.933</v>
      </c>
      <c r="AA14" s="191">
        <f t="shared" si="0"/>
        <v>0.43172851433270149</v>
      </c>
      <c r="AB14" s="199">
        <f>VAC_Optim_Scenario!$J42</f>
        <v>18662665.324166391</v>
      </c>
    </row>
    <row r="15" spans="1:28" x14ac:dyDescent="0.25">
      <c r="A15" s="194"/>
      <c r="B15" s="198" t="str">
        <f>VAC_Optim_Scenario!B25</f>
        <v>HCC TV</v>
      </c>
      <c r="C15" s="199">
        <v>13638268.279999999</v>
      </c>
      <c r="D15" s="199">
        <v>58085866.4188556</v>
      </c>
      <c r="E15" s="199"/>
      <c r="F15" s="199">
        <v>13011921.607000099</v>
      </c>
      <c r="G15" s="191">
        <v>-4.5925674736759202E-2</v>
      </c>
      <c r="H15" s="199">
        <v>56205396.769074596</v>
      </c>
      <c r="I15" s="199"/>
      <c r="J15" s="199">
        <v>9823088.7070000209</v>
      </c>
      <c r="K15" s="191">
        <v>-0.27974076287931698</v>
      </c>
      <c r="L15" s="199">
        <v>46164980.604818799</v>
      </c>
      <c r="N15" s="199">
        <v>9546787.7960000001</v>
      </c>
      <c r="O15" s="191">
        <v>-0.3</v>
      </c>
      <c r="P15" s="199">
        <v>45252137.676195301</v>
      </c>
      <c r="R15" s="199">
        <v>16200754.506999999</v>
      </c>
      <c r="S15" s="191">
        <v>0.18788941340578999</v>
      </c>
      <c r="T15" s="199">
        <v>65526003.406084798</v>
      </c>
      <c r="V15" s="199">
        <v>16365921.939999999</v>
      </c>
      <c r="W15" s="191">
        <v>0.20000000029329201</v>
      </c>
      <c r="X15" s="199">
        <v>65992919.843723401</v>
      </c>
      <c r="Z15" s="199">
        <f>VAC_Optim_Scenario!$H43</f>
        <v>13503524.99</v>
      </c>
      <c r="AA15" s="191">
        <f t="shared" si="0"/>
        <v>-9.8797946508791742E-3</v>
      </c>
      <c r="AB15" s="199">
        <f>VAC_Optim_Scenario!$J43</f>
        <v>57317880.122995496</v>
      </c>
    </row>
    <row r="16" spans="1:28" ht="34.35" customHeight="1" x14ac:dyDescent="0.25">
      <c r="B16" s="201" t="s">
        <v>217</v>
      </c>
      <c r="C16" s="202">
        <f>SUM(C7:C15)</f>
        <v>31888328.82</v>
      </c>
      <c r="D16" s="202">
        <f>SUM(D7:D15)</f>
        <v>198410580.82192111</v>
      </c>
      <c r="E16" s="193"/>
      <c r="F16" s="202">
        <f>SUM(F7:F15)</f>
        <v>31888329.00000003</v>
      </c>
      <c r="G16" s="203">
        <f>(F16-$C$16)/$C$16</f>
        <v>5.6446993669798453E-9</v>
      </c>
      <c r="H16" s="202">
        <f>SUM(H7:H15)</f>
        <v>205494839.02624524</v>
      </c>
      <c r="I16" s="193"/>
      <c r="J16" s="202">
        <f>SUM(J7:J15)</f>
        <v>28699496.100000005</v>
      </c>
      <c r="K16" s="203">
        <f>(J16-$C$16)/$C$16</f>
        <v>-9.9999994919771254E-2</v>
      </c>
      <c r="L16" s="202">
        <f>SUM(L7:L15)</f>
        <v>195454422.86198944</v>
      </c>
      <c r="M16" s="193"/>
      <c r="N16" s="202">
        <f>SUM(N7:N15)</f>
        <v>25510663.199999996</v>
      </c>
      <c r="O16" s="203">
        <f>(N16-$C$16)/$C$16</f>
        <v>-0.19999999548424138</v>
      </c>
      <c r="P16" s="202">
        <f>SUM(P7:P15)</f>
        <v>180174251.09136516</v>
      </c>
      <c r="Q16" s="193"/>
      <c r="R16" s="202">
        <f>SUM(R7:R15)</f>
        <v>35077161.900000006</v>
      </c>
      <c r="S16" s="203">
        <f>(R16-$C$16)/$C$16</f>
        <v>0.10000000620916846</v>
      </c>
      <c r="T16" s="202">
        <f>SUM(T7:T15)</f>
        <v>214815445.66325548</v>
      </c>
      <c r="V16" s="202">
        <f>SUM(V7:V15)</f>
        <v>38265994.587999992</v>
      </c>
      <c r="W16" s="203">
        <f>(V16-$C$16)/$C$16</f>
        <v>0.20000000012543748</v>
      </c>
      <c r="X16" s="202">
        <f>SUM(X7:X15)</f>
        <v>222029263.34699297</v>
      </c>
      <c r="Z16" s="202">
        <f>SUM(Z7:Z15)</f>
        <v>36035901.72277765</v>
      </c>
      <c r="AA16" s="203">
        <f>(Z16-$C$16)/$C$16</f>
        <v>0.13006554611843874</v>
      </c>
      <c r="AB16" s="202">
        <f>SUM(AB7:AB15)</f>
        <v>278827751.78509402</v>
      </c>
    </row>
    <row r="17" spans="1:24" x14ac:dyDescent="0.25">
      <c r="D17" s="97">
        <f>D16/C16</f>
        <v>6.2220438688364323</v>
      </c>
    </row>
    <row r="19" spans="1:24" ht="26.85" customHeight="1" x14ac:dyDescent="0.25">
      <c r="F19" s="440" t="str">
        <f>F4</f>
        <v>Optimal channel spend allowed to vary between +/- 30% of the 2021 channel spend</v>
      </c>
      <c r="G19" s="440"/>
      <c r="H19" s="440"/>
      <c r="I19" s="440"/>
      <c r="J19" s="440"/>
      <c r="K19" s="440"/>
      <c r="L19" s="440"/>
      <c r="M19" s="440"/>
      <c r="N19" s="440"/>
      <c r="O19" s="440"/>
      <c r="P19" s="440"/>
    </row>
    <row r="20" spans="1:24" ht="30.4" customHeight="1" x14ac:dyDescent="0.25">
      <c r="C20" s="447" t="s">
        <v>266</v>
      </c>
      <c r="D20" s="448"/>
      <c r="E20" s="204"/>
      <c r="F20" s="435" t="str">
        <f>F5</f>
        <v>Current Optimal ($32MM)</v>
      </c>
      <c r="G20" s="436"/>
      <c r="H20" s="437"/>
      <c r="I20" s="205"/>
      <c r="J20" s="435" t="str">
        <f>J5</f>
        <v>10% reduction optimal ($29M)</v>
      </c>
      <c r="K20" s="436"/>
      <c r="L20" s="437"/>
      <c r="M20" s="205"/>
      <c r="N20" s="435" t="str">
        <f>N5</f>
        <v>20% reduction optimal ($26M)</v>
      </c>
      <c r="O20" s="436"/>
      <c r="P20" s="437"/>
      <c r="R20" s="435" t="str">
        <f>R5</f>
        <v>10% increase optimal ($35M)</v>
      </c>
      <c r="S20" s="436"/>
      <c r="T20" s="437"/>
      <c r="V20" s="435" t="str">
        <f>V5</f>
        <v>20% increase optimal ($38M)</v>
      </c>
      <c r="W20" s="436"/>
      <c r="X20" s="437"/>
    </row>
    <row r="21" spans="1:24" ht="45" x14ac:dyDescent="0.25">
      <c r="B21" s="196" t="s">
        <v>211</v>
      </c>
      <c r="C21" s="206" t="s">
        <v>218</v>
      </c>
      <c r="D21" s="207" t="s">
        <v>219</v>
      </c>
      <c r="E21" s="208"/>
      <c r="F21" s="231" t="s">
        <v>221</v>
      </c>
      <c r="G21" s="207" t="s">
        <v>214</v>
      </c>
      <c r="H21" s="209" t="s">
        <v>215</v>
      </c>
      <c r="I21" s="208"/>
      <c r="J21" s="231" t="s">
        <v>221</v>
      </c>
      <c r="K21" s="207" t="s">
        <v>214</v>
      </c>
      <c r="L21" s="209" t="s">
        <v>215</v>
      </c>
      <c r="M21" s="193"/>
      <c r="N21" s="231" t="s">
        <v>221</v>
      </c>
      <c r="O21" s="207" t="s">
        <v>214</v>
      </c>
      <c r="P21" s="209" t="s">
        <v>215</v>
      </c>
      <c r="R21" s="231" t="s">
        <v>221</v>
      </c>
      <c r="S21" s="207" t="s">
        <v>214</v>
      </c>
      <c r="T21" s="209" t="s">
        <v>215</v>
      </c>
      <c r="V21" s="231" t="s">
        <v>221</v>
      </c>
      <c r="W21" s="207" t="s">
        <v>214</v>
      </c>
      <c r="X21" s="209" t="s">
        <v>215</v>
      </c>
    </row>
    <row r="22" spans="1:24" x14ac:dyDescent="0.25">
      <c r="A22" s="186">
        <f>D22/C22</f>
        <v>7.0287609937418818</v>
      </c>
      <c r="B22" s="198" t="str">
        <f>B7</f>
        <v>HCC In Office</v>
      </c>
      <c r="C22" s="210">
        <f>C7/1000000</f>
        <v>1.7</v>
      </c>
      <c r="D22" s="299">
        <f>D7/1000000</f>
        <v>11.948893689361199</v>
      </c>
      <c r="E22" s="212"/>
      <c r="F22" s="213">
        <f>F7/1000000</f>
        <v>2.0399999999999601</v>
      </c>
      <c r="G22" s="214">
        <f>G7</f>
        <v>0.199999999999979</v>
      </c>
      <c r="H22" s="294">
        <f>H7/1000000</f>
        <v>13.6100055720021</v>
      </c>
      <c r="I22" s="212"/>
      <c r="J22" s="213">
        <f>J7/1000000</f>
        <v>2.04</v>
      </c>
      <c r="K22" s="214">
        <f>K7</f>
        <v>0.2</v>
      </c>
      <c r="L22" s="294">
        <f>L7/1000000</f>
        <v>13.6100055720021</v>
      </c>
      <c r="M22" s="193"/>
      <c r="N22" s="213">
        <f>N7/1000000</f>
        <v>1.4281160275939901</v>
      </c>
      <c r="O22" s="214">
        <f>O7</f>
        <v>-0.159931748474121</v>
      </c>
      <c r="P22" s="294">
        <f>P7/1000000</f>
        <v>10.4732293814481</v>
      </c>
      <c r="Q22" s="193"/>
      <c r="R22" s="213">
        <f>R7/1000000</f>
        <v>2.04</v>
      </c>
      <c r="S22" s="214">
        <f>S7</f>
        <v>0.2</v>
      </c>
      <c r="T22" s="294">
        <f>T7/1000000</f>
        <v>13.6100055720021</v>
      </c>
      <c r="V22" s="213">
        <f>V7/1000000</f>
        <v>2.04</v>
      </c>
      <c r="W22" s="214">
        <f>W7</f>
        <v>0.2</v>
      </c>
      <c r="X22" s="215">
        <f>X7/1000000</f>
        <v>13.6100055720021</v>
      </c>
    </row>
    <row r="23" spans="1:24" x14ac:dyDescent="0.25">
      <c r="A23" s="186">
        <f t="shared" ref="A23:A30" si="1">D23/C23</f>
        <v>11.254774588631742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00">
        <f t="shared" si="3"/>
        <v>64.646074664150092</v>
      </c>
      <c r="E23" s="212"/>
      <c r="F23" s="218">
        <f t="shared" ref="F23:F30" si="4">F8/1000000</f>
        <v>6.8926559999999997</v>
      </c>
      <c r="G23" s="219">
        <f t="shared" ref="G23:G30" si="5">G8</f>
        <v>0.19999999999999901</v>
      </c>
      <c r="H23" s="295">
        <f t="shared" ref="H23:H30" si="6">H8/1000000</f>
        <v>70.796306985400903</v>
      </c>
      <c r="I23" s="212"/>
      <c r="J23" s="218">
        <f t="shared" ref="J23:J30" si="7">J8/1000000</f>
        <v>6.8926559999999997</v>
      </c>
      <c r="K23" s="219">
        <f t="shared" ref="K23:K30" si="8">K8</f>
        <v>0.2</v>
      </c>
      <c r="L23" s="295">
        <f t="shared" ref="L23:L30" si="9">L8/1000000</f>
        <v>70.796306985400903</v>
      </c>
      <c r="M23" s="193"/>
      <c r="N23" s="218">
        <f t="shared" ref="N23:N30" si="10">N8/1000000</f>
        <v>6.0134669357618193</v>
      </c>
      <c r="O23" s="219">
        <f t="shared" ref="O23:O30" si="11">O8</f>
        <v>4.6934639261582201E-2</v>
      </c>
      <c r="P23" s="295">
        <f t="shared" ref="P23:P30" si="12">P8/1000000</f>
        <v>66.221747108469103</v>
      </c>
      <c r="Q23" s="193"/>
      <c r="R23" s="218">
        <f t="shared" ref="R23:R30" si="13">R8/1000000</f>
        <v>6.8926559999999997</v>
      </c>
      <c r="S23" s="214">
        <f t="shared" ref="S23:S30" si="14">S8</f>
        <v>0.2</v>
      </c>
      <c r="T23" s="295">
        <f t="shared" ref="T23:T30" si="15">T8/1000000</f>
        <v>70.796306985400903</v>
      </c>
      <c r="V23" s="218">
        <f t="shared" ref="V23:V30" si="16">V8/1000000</f>
        <v>6.8926559999999997</v>
      </c>
      <c r="W23" s="214">
        <f t="shared" ref="W23:W30" si="17">W8</f>
        <v>0.2</v>
      </c>
      <c r="X23" s="220">
        <f t="shared" ref="X23:X30" si="18">X8/1000000</f>
        <v>70.796306985400903</v>
      </c>
    </row>
    <row r="24" spans="1:24" x14ac:dyDescent="0.25">
      <c r="A24" s="186">
        <f t="shared" si="1"/>
        <v>7.2699117091868644</v>
      </c>
      <c r="B24" s="198" t="str">
        <f t="shared" si="2"/>
        <v>HCC Social</v>
      </c>
      <c r="C24" s="216">
        <f t="shared" si="3"/>
        <v>1.94527396</v>
      </c>
      <c r="D24" s="300">
        <f t="shared" si="3"/>
        <v>14.141969939380299</v>
      </c>
      <c r="E24" s="212"/>
      <c r="F24" s="218">
        <f t="shared" si="4"/>
        <v>2.33432875199999</v>
      </c>
      <c r="G24" s="219">
        <f t="shared" si="5"/>
        <v>0.19999999999999599</v>
      </c>
      <c r="H24" s="295">
        <f t="shared" si="6"/>
        <v>15.776790456857201</v>
      </c>
      <c r="I24" s="212"/>
      <c r="J24" s="218">
        <f t="shared" si="7"/>
        <v>2.3343287519999998</v>
      </c>
      <c r="K24" s="219">
        <f t="shared" si="8"/>
        <v>0.2</v>
      </c>
      <c r="L24" s="295">
        <f t="shared" si="9"/>
        <v>15.776790456857201</v>
      </c>
      <c r="M24" s="193"/>
      <c r="N24" s="218">
        <f t="shared" si="10"/>
        <v>1.3616917720000001</v>
      </c>
      <c r="O24" s="219">
        <f t="shared" si="11"/>
        <v>-0.3</v>
      </c>
      <c r="P24" s="295">
        <f t="shared" si="12"/>
        <v>11.4174398883035</v>
      </c>
      <c r="Q24" s="193"/>
      <c r="R24" s="218">
        <f t="shared" si="13"/>
        <v>2.3343287519999998</v>
      </c>
      <c r="S24" s="214">
        <f t="shared" si="14"/>
        <v>0.2</v>
      </c>
      <c r="T24" s="295">
        <f t="shared" si="15"/>
        <v>15.776790456857201</v>
      </c>
      <c r="V24" s="218">
        <f t="shared" si="16"/>
        <v>2.3343287519999998</v>
      </c>
      <c r="W24" s="214">
        <f t="shared" si="17"/>
        <v>0.2</v>
      </c>
      <c r="X24" s="220">
        <f t="shared" si="18"/>
        <v>15.776790456857201</v>
      </c>
    </row>
    <row r="25" spans="1:24" x14ac:dyDescent="0.25">
      <c r="A25" s="186">
        <f t="shared" si="1"/>
        <v>8.285531473735043</v>
      </c>
      <c r="B25" s="198" t="str">
        <f t="shared" si="2"/>
        <v>HCC Online Video</v>
      </c>
      <c r="C25" s="216">
        <f t="shared" si="3"/>
        <v>0.51593992</v>
      </c>
      <c r="D25" s="300">
        <f t="shared" si="3"/>
        <v>4.2748364457163399</v>
      </c>
      <c r="E25" s="212"/>
      <c r="F25" s="218">
        <f t="shared" si="4"/>
        <v>0.61912790399998696</v>
      </c>
      <c r="G25" s="219">
        <f t="shared" si="5"/>
        <v>0.199999999999975</v>
      </c>
      <c r="H25" s="295">
        <f t="shared" si="6"/>
        <v>5.0417825524056799</v>
      </c>
      <c r="I25" s="212"/>
      <c r="J25" s="218">
        <f t="shared" si="7"/>
        <v>0.61912790399998496</v>
      </c>
      <c r="K25" s="219">
        <f t="shared" si="8"/>
        <v>0.19999999999997201</v>
      </c>
      <c r="L25" s="295">
        <f t="shared" si="9"/>
        <v>5.0417825524056799</v>
      </c>
      <c r="M25" s="193"/>
      <c r="N25" s="218">
        <f t="shared" si="10"/>
        <v>0.61912790399999995</v>
      </c>
      <c r="O25" s="219">
        <f t="shared" si="11"/>
        <v>0.2</v>
      </c>
      <c r="P25" s="295">
        <f t="shared" si="12"/>
        <v>5.0417825524056799</v>
      </c>
      <c r="Q25" s="193"/>
      <c r="R25" s="218">
        <f t="shared" si="13"/>
        <v>0.61912790399999995</v>
      </c>
      <c r="S25" s="214">
        <f t="shared" si="14"/>
        <v>0.2</v>
      </c>
      <c r="T25" s="295">
        <f t="shared" si="15"/>
        <v>5.0417825524056799</v>
      </c>
      <c r="V25" s="218">
        <f t="shared" si="16"/>
        <v>0.61912790399999995</v>
      </c>
      <c r="W25" s="214">
        <f t="shared" si="17"/>
        <v>0.2</v>
      </c>
      <c r="X25" s="220">
        <f t="shared" si="18"/>
        <v>5.0417825524056799</v>
      </c>
    </row>
    <row r="26" spans="1:24" x14ac:dyDescent="0.25">
      <c r="A26" s="186">
        <f t="shared" si="1"/>
        <v>3.4773095915077197</v>
      </c>
      <c r="B26" s="198" t="str">
        <f t="shared" si="2"/>
        <v>HCC Streaming Video</v>
      </c>
      <c r="C26" s="216">
        <f t="shared" si="3"/>
        <v>5.2473305000000003</v>
      </c>
      <c r="D26" s="300">
        <f t="shared" si="3"/>
        <v>18.246592677460999</v>
      </c>
      <c r="E26" s="212"/>
      <c r="F26" s="218">
        <f t="shared" si="4"/>
        <v>3.6731313500000002</v>
      </c>
      <c r="G26" s="219">
        <f t="shared" si="5"/>
        <v>-0.3</v>
      </c>
      <c r="H26" s="295">
        <f t="shared" si="6"/>
        <v>14.215115911465301</v>
      </c>
      <c r="I26" s="212"/>
      <c r="J26" s="218">
        <f t="shared" si="7"/>
        <v>3.6731313500000002</v>
      </c>
      <c r="K26" s="219">
        <f t="shared" si="8"/>
        <v>-0.3</v>
      </c>
      <c r="L26" s="295">
        <f t="shared" si="9"/>
        <v>14.215115911465301</v>
      </c>
      <c r="M26" s="193"/>
      <c r="N26" s="218">
        <f t="shared" si="10"/>
        <v>3.6731313500000002</v>
      </c>
      <c r="O26" s="219">
        <f t="shared" si="11"/>
        <v>-0.3</v>
      </c>
      <c r="P26" s="295">
        <f t="shared" si="12"/>
        <v>14.215115911465301</v>
      </c>
      <c r="Q26" s="193"/>
      <c r="R26" s="218">
        <f t="shared" si="13"/>
        <v>3.6731313500000002</v>
      </c>
      <c r="S26" s="214">
        <f t="shared" si="14"/>
        <v>-0.3</v>
      </c>
      <c r="T26" s="295">
        <f t="shared" si="15"/>
        <v>14.215115911465301</v>
      </c>
      <c r="V26" s="218">
        <f t="shared" si="16"/>
        <v>6.2967965999999995</v>
      </c>
      <c r="W26" s="214">
        <f t="shared" si="17"/>
        <v>0.2</v>
      </c>
      <c r="X26" s="220">
        <f t="shared" si="18"/>
        <v>20.730446182823098</v>
      </c>
    </row>
    <row r="27" spans="1:24" x14ac:dyDescent="0.25">
      <c r="A27" s="186">
        <f t="shared" si="1"/>
        <v>9.5922733612942519</v>
      </c>
      <c r="B27" s="198" t="str">
        <f t="shared" si="2"/>
        <v>HCC Display</v>
      </c>
      <c r="C27" s="216">
        <f t="shared" si="3"/>
        <v>0.99280572</v>
      </c>
      <c r="D27" s="300">
        <f t="shared" si="3"/>
        <v>9.5232638608965594</v>
      </c>
      <c r="E27" s="212"/>
      <c r="F27" s="218">
        <f t="shared" si="4"/>
        <v>1.1913668640000001</v>
      </c>
      <c r="G27" s="219">
        <f t="shared" si="5"/>
        <v>0.19999999999999901</v>
      </c>
      <c r="H27" s="295">
        <f t="shared" si="6"/>
        <v>11.17150983813</v>
      </c>
      <c r="I27" s="212"/>
      <c r="J27" s="218">
        <f t="shared" si="7"/>
        <v>1.1913668640000001</v>
      </c>
      <c r="K27" s="219">
        <f t="shared" si="8"/>
        <v>0.2</v>
      </c>
      <c r="L27" s="295">
        <f t="shared" si="9"/>
        <v>11.17150983813</v>
      </c>
      <c r="M27" s="193"/>
      <c r="N27" s="218">
        <f t="shared" si="10"/>
        <v>1.1913668640000001</v>
      </c>
      <c r="O27" s="219">
        <f t="shared" si="11"/>
        <v>0.2</v>
      </c>
      <c r="P27" s="295">
        <f t="shared" si="12"/>
        <v>11.17150983813</v>
      </c>
      <c r="Q27" s="193"/>
      <c r="R27" s="218">
        <f t="shared" si="13"/>
        <v>1.1913668640000001</v>
      </c>
      <c r="S27" s="214">
        <f t="shared" si="14"/>
        <v>0.2</v>
      </c>
      <c r="T27" s="295">
        <f t="shared" si="15"/>
        <v>11.17150983813</v>
      </c>
      <c r="V27" s="218">
        <f t="shared" si="16"/>
        <v>1.1913668640000001</v>
      </c>
      <c r="W27" s="214">
        <f t="shared" si="17"/>
        <v>0.2</v>
      </c>
      <c r="X27" s="220">
        <f t="shared" si="18"/>
        <v>11.17150983813</v>
      </c>
    </row>
    <row r="28" spans="1:24" x14ac:dyDescent="0.25">
      <c r="A28" s="186">
        <f t="shared" si="1"/>
        <v>0.81066136005838174</v>
      </c>
      <c r="B28" s="198" t="str">
        <f t="shared" si="2"/>
        <v>HCC Paid Search</v>
      </c>
      <c r="C28" s="216">
        <f t="shared" si="3"/>
        <v>0.80000000999999998</v>
      </c>
      <c r="D28" s="300">
        <f t="shared" si="3"/>
        <v>0.648529096153319</v>
      </c>
      <c r="E28" s="212"/>
      <c r="F28" s="218">
        <f t="shared" si="4"/>
        <v>0.56000000699999997</v>
      </c>
      <c r="G28" s="219">
        <f t="shared" si="5"/>
        <v>-0.3</v>
      </c>
      <c r="H28" s="295">
        <f t="shared" si="6"/>
        <v>0.50524042689706605</v>
      </c>
      <c r="I28" s="212"/>
      <c r="J28" s="218">
        <f t="shared" si="7"/>
        <v>0.56000000699999997</v>
      </c>
      <c r="K28" s="219">
        <f t="shared" si="8"/>
        <v>-0.3</v>
      </c>
      <c r="L28" s="295">
        <f t="shared" si="9"/>
        <v>0.50524042689706605</v>
      </c>
      <c r="M28" s="193"/>
      <c r="N28" s="218">
        <f t="shared" si="10"/>
        <v>0.56000000699999997</v>
      </c>
      <c r="O28" s="219">
        <f t="shared" si="11"/>
        <v>-0.3</v>
      </c>
      <c r="P28" s="295">
        <f t="shared" si="12"/>
        <v>0.50524042689706605</v>
      </c>
      <c r="Q28" s="193"/>
      <c r="R28" s="218">
        <f t="shared" si="13"/>
        <v>0.56000000700000996</v>
      </c>
      <c r="S28" s="214">
        <f t="shared" si="14"/>
        <v>-0.299999999999988</v>
      </c>
      <c r="T28" s="295">
        <f t="shared" si="15"/>
        <v>0.50524042689707205</v>
      </c>
      <c r="V28" s="218">
        <f t="shared" si="16"/>
        <v>0.96000001199999996</v>
      </c>
      <c r="W28" s="214">
        <f t="shared" si="17"/>
        <v>0.2</v>
      </c>
      <c r="X28" s="220">
        <f t="shared" si="18"/>
        <v>0.73681140163819792</v>
      </c>
    </row>
    <row r="29" spans="1:24" x14ac:dyDescent="0.25">
      <c r="A29" s="186">
        <f t="shared" si="1"/>
        <v>12.947700821130223</v>
      </c>
      <c r="B29" s="198" t="str">
        <f t="shared" si="2"/>
        <v>HCC Audio</v>
      </c>
      <c r="C29" s="216">
        <f t="shared" si="3"/>
        <v>1.30483043</v>
      </c>
      <c r="D29" s="300">
        <f t="shared" si="3"/>
        <v>16.894554029946701</v>
      </c>
      <c r="E29" s="212"/>
      <c r="F29" s="218">
        <f t="shared" si="4"/>
        <v>1.565796516</v>
      </c>
      <c r="G29" s="219">
        <f t="shared" si="5"/>
        <v>0.2</v>
      </c>
      <c r="H29" s="295">
        <f t="shared" si="6"/>
        <v>18.172690514012402</v>
      </c>
      <c r="I29" s="212"/>
      <c r="J29" s="218">
        <f t="shared" si="7"/>
        <v>1.565796516</v>
      </c>
      <c r="K29" s="219">
        <f t="shared" si="8"/>
        <v>0.2</v>
      </c>
      <c r="L29" s="295">
        <f t="shared" si="9"/>
        <v>18.172690514012402</v>
      </c>
      <c r="M29" s="193"/>
      <c r="N29" s="218">
        <f t="shared" si="10"/>
        <v>1.11697454364419</v>
      </c>
      <c r="O29" s="219">
        <f t="shared" si="11"/>
        <v>-0.143969577990152</v>
      </c>
      <c r="P29" s="295">
        <f t="shared" si="12"/>
        <v>15.8760483080511</v>
      </c>
      <c r="Q29" s="193"/>
      <c r="R29" s="218">
        <f t="shared" si="13"/>
        <v>1.565796516</v>
      </c>
      <c r="S29" s="214">
        <f t="shared" si="14"/>
        <v>0.2</v>
      </c>
      <c r="T29" s="295">
        <f t="shared" si="15"/>
        <v>18.172690514012402</v>
      </c>
      <c r="V29" s="218">
        <f t="shared" si="16"/>
        <v>1.565796516</v>
      </c>
      <c r="W29" s="214">
        <f t="shared" si="17"/>
        <v>0.2</v>
      </c>
      <c r="X29" s="220">
        <f t="shared" si="18"/>
        <v>18.172690514012402</v>
      </c>
    </row>
    <row r="30" spans="1:24" x14ac:dyDescent="0.25">
      <c r="A30" s="186">
        <f t="shared" si="1"/>
        <v>4.2590353281168625</v>
      </c>
      <c r="B30" s="198" t="str">
        <f t="shared" si="2"/>
        <v>HCC TV</v>
      </c>
      <c r="C30" s="216">
        <f t="shared" si="3"/>
        <v>13.63826828</v>
      </c>
      <c r="D30" s="300">
        <f t="shared" si="3"/>
        <v>58.085866418855602</v>
      </c>
      <c r="E30" s="212"/>
      <c r="F30" s="218">
        <f t="shared" si="4"/>
        <v>13.011921607000099</v>
      </c>
      <c r="G30" s="219">
        <f t="shared" si="5"/>
        <v>-4.5925674736759202E-2</v>
      </c>
      <c r="H30" s="295">
        <f t="shared" si="6"/>
        <v>56.205396769074596</v>
      </c>
      <c r="I30" s="212"/>
      <c r="J30" s="218">
        <f t="shared" si="7"/>
        <v>9.8230887070000215</v>
      </c>
      <c r="K30" s="219">
        <f t="shared" si="8"/>
        <v>-0.27974076287931698</v>
      </c>
      <c r="L30" s="295">
        <f t="shared" si="9"/>
        <v>46.164980604818801</v>
      </c>
      <c r="M30" s="193"/>
      <c r="N30" s="218">
        <f t="shared" si="10"/>
        <v>9.5467877960000003</v>
      </c>
      <c r="O30" s="219">
        <f t="shared" si="11"/>
        <v>-0.3</v>
      </c>
      <c r="P30" s="295">
        <f t="shared" si="12"/>
        <v>45.252137676195304</v>
      </c>
      <c r="Q30" s="193"/>
      <c r="R30" s="218">
        <f t="shared" si="13"/>
        <v>16.200754506999999</v>
      </c>
      <c r="S30" s="214">
        <f t="shared" si="14"/>
        <v>0.18788941340578999</v>
      </c>
      <c r="T30" s="295">
        <f t="shared" si="15"/>
        <v>65.526003406084797</v>
      </c>
      <c r="V30" s="218">
        <f t="shared" si="16"/>
        <v>16.36592194</v>
      </c>
      <c r="W30" s="214">
        <f t="shared" si="17"/>
        <v>0.20000000029329201</v>
      </c>
      <c r="X30" s="220">
        <f t="shared" si="18"/>
        <v>65.992919843723399</v>
      </c>
    </row>
    <row r="31" spans="1:24" ht="29.65" customHeight="1" x14ac:dyDescent="0.25">
      <c r="B31" s="221" t="s">
        <v>217</v>
      </c>
      <c r="C31" s="222">
        <f>C16/1000000</f>
        <v>31.888328820000002</v>
      </c>
      <c r="D31" s="301">
        <f>D16/1000000</f>
        <v>198.41058082192112</v>
      </c>
      <c r="E31" s="224"/>
      <c r="F31" s="225">
        <f>F16/1000000</f>
        <v>31.888329000000031</v>
      </c>
      <c r="G31" s="226">
        <f>G16</f>
        <v>5.6446993669798453E-9</v>
      </c>
      <c r="H31" s="230">
        <f>H16/1000000</f>
        <v>205.49483902624524</v>
      </c>
      <c r="I31" s="224"/>
      <c r="J31" s="225">
        <f>J16/1000000</f>
        <v>28.699496100000005</v>
      </c>
      <c r="K31" s="226">
        <f>K16</f>
        <v>-9.9999994919771254E-2</v>
      </c>
      <c r="L31" s="230">
        <f>L16/1000000</f>
        <v>195.45442286198943</v>
      </c>
      <c r="M31" s="224"/>
      <c r="N31" s="225">
        <f>N16/1000000</f>
        <v>25.510663199999996</v>
      </c>
      <c r="O31" s="226">
        <f>O16</f>
        <v>-0.19999999548424138</v>
      </c>
      <c r="P31" s="230">
        <f>P16/1000000</f>
        <v>180.17425109136516</v>
      </c>
      <c r="R31" s="225">
        <f>R16/1000000</f>
        <v>35.077161900000007</v>
      </c>
      <c r="S31" s="226">
        <f>S16</f>
        <v>0.10000000620916846</v>
      </c>
      <c r="T31" s="230">
        <f>T16/1000000</f>
        <v>214.81544566325547</v>
      </c>
      <c r="V31" s="225">
        <f>V16/1000000</f>
        <v>38.265994587999991</v>
      </c>
      <c r="W31" s="226">
        <f>W16</f>
        <v>0.20000000012543748</v>
      </c>
      <c r="X31" s="227">
        <f>X16/1000000</f>
        <v>222.02926334699296</v>
      </c>
    </row>
    <row r="32" spans="1:24" ht="45" x14ac:dyDescent="0.25">
      <c r="B32" s="296" t="s">
        <v>265</v>
      </c>
      <c r="C32" s="222"/>
      <c r="D32" s="223"/>
      <c r="E32" s="224"/>
      <c r="F32" s="225"/>
      <c r="G32" s="226"/>
      <c r="H32" s="298" t="s">
        <v>256</v>
      </c>
      <c r="I32" s="224"/>
      <c r="J32" s="225"/>
      <c r="K32" s="226"/>
      <c r="L32" s="229" t="s">
        <v>257</v>
      </c>
      <c r="M32" s="224"/>
      <c r="N32" s="225"/>
      <c r="O32" s="226"/>
      <c r="P32" s="229" t="s">
        <v>258</v>
      </c>
      <c r="R32" s="225"/>
      <c r="S32" s="226"/>
      <c r="T32" s="298" t="s">
        <v>259</v>
      </c>
      <c r="V32" s="225"/>
      <c r="W32" s="226"/>
      <c r="X32" s="298" t="s">
        <v>260</v>
      </c>
    </row>
    <row r="33" spans="2:24" x14ac:dyDescent="0.25">
      <c r="H33" s="230">
        <f>(H31-$D$31)</f>
        <v>7.0842582043241293</v>
      </c>
      <c r="L33" s="230">
        <f>(L31-$D$31)</f>
        <v>-2.9561579599316872</v>
      </c>
      <c r="P33" s="230">
        <f>(P31-$D$31)</f>
        <v>-18.236329730555951</v>
      </c>
      <c r="T33" s="230">
        <f>(T31-$D$31)</f>
        <v>16.404864841334359</v>
      </c>
      <c r="X33" s="230">
        <f>(X31-$D$31)</f>
        <v>23.618682525071847</v>
      </c>
    </row>
    <row r="34" spans="2:24" x14ac:dyDescent="0.25">
      <c r="H34" s="297">
        <f>H33/$D$31</f>
        <v>3.5705042417482985E-2</v>
      </c>
      <c r="L34" s="297">
        <f>L33/$D$31</f>
        <v>-1.4899195132062636E-2</v>
      </c>
      <c r="P34" s="297">
        <f>P33/$D$31</f>
        <v>-9.1912082788183316E-2</v>
      </c>
      <c r="T34" s="297">
        <f>T33/$D$31</f>
        <v>8.2681401230603579E-2</v>
      </c>
      <c r="X34" s="297">
        <f>X33/$D$31</f>
        <v>0.11903943039343379</v>
      </c>
    </row>
    <row r="36" spans="2:24" x14ac:dyDescent="0.25">
      <c r="B36" s="441" t="s">
        <v>250</v>
      </c>
      <c r="C36" s="441"/>
      <c r="D36" s="441"/>
      <c r="E36" s="441"/>
      <c r="F36" s="441"/>
      <c r="G36" s="441"/>
      <c r="H36" s="441"/>
      <c r="I36" s="441"/>
      <c r="J36" s="441"/>
      <c r="K36" s="441"/>
      <c r="L36" s="441"/>
      <c r="M36" s="441"/>
      <c r="N36" s="441"/>
      <c r="O36" s="441"/>
      <c r="P36" s="441"/>
      <c r="Q36" s="441"/>
      <c r="R36" s="441"/>
      <c r="S36" s="441"/>
      <c r="T36" s="441"/>
    </row>
    <row r="37" spans="2:24" x14ac:dyDescent="0.25">
      <c r="B37" s="441"/>
      <c r="C37" s="441"/>
      <c r="D37" s="441"/>
      <c r="E37" s="441"/>
      <c r="F37" s="441"/>
      <c r="G37" s="441"/>
      <c r="H37" s="441"/>
      <c r="I37" s="441"/>
      <c r="J37" s="441"/>
      <c r="K37" s="441"/>
      <c r="L37" s="441"/>
      <c r="M37" s="441"/>
      <c r="N37" s="441"/>
      <c r="O37" s="441"/>
      <c r="P37" s="441"/>
      <c r="Q37" s="441"/>
      <c r="R37" s="441"/>
      <c r="S37" s="441"/>
      <c r="T37" s="441"/>
    </row>
    <row r="39" spans="2:24" x14ac:dyDescent="0.25">
      <c r="F39" s="435" t="s">
        <v>242</v>
      </c>
      <c r="G39" s="436"/>
      <c r="H39" s="437"/>
      <c r="I39" s="195"/>
      <c r="J39" s="435" t="s">
        <v>209</v>
      </c>
      <c r="K39" s="436"/>
      <c r="L39" s="437"/>
      <c r="M39" s="195"/>
      <c r="N39" s="435" t="s">
        <v>210</v>
      </c>
      <c r="O39" s="436"/>
      <c r="P39" s="437"/>
      <c r="R39" s="442"/>
      <c r="S39" s="443"/>
      <c r="T39" s="444"/>
    </row>
    <row r="40" spans="2:24" ht="45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39" t="str">
        <f>B36</f>
        <v>Optimal Channel Spend  allowed to vary between  of the 2021 spend</v>
      </c>
      <c r="G53" s="439"/>
      <c r="H53" s="439"/>
      <c r="I53" s="439"/>
      <c r="J53" s="439"/>
      <c r="K53" s="439"/>
      <c r="L53" s="439"/>
      <c r="M53" s="439"/>
      <c r="N53" s="439"/>
      <c r="O53" s="439"/>
      <c r="P53" s="439"/>
    </row>
    <row r="54" spans="2:20" x14ac:dyDescent="0.25">
      <c r="C54" s="447" t="s">
        <v>243</v>
      </c>
      <c r="D54" s="448"/>
      <c r="E54" s="204"/>
      <c r="F54" s="435" t="str">
        <f>F39</f>
        <v>Current Optimal ($MM)</v>
      </c>
      <c r="G54" s="436"/>
      <c r="H54" s="437"/>
      <c r="I54" s="205"/>
      <c r="J54" s="435" t="str">
        <f>J39</f>
        <v>10% reduction optimal ($)</v>
      </c>
      <c r="K54" s="436"/>
      <c r="L54" s="437"/>
      <c r="M54" s="205"/>
      <c r="N54" s="435" t="str">
        <f>N39</f>
        <v>20% reduction optimal ()</v>
      </c>
      <c r="O54" s="436"/>
      <c r="P54" s="437"/>
      <c r="R54" s="449"/>
      <c r="S54" s="450"/>
      <c r="T54" s="451"/>
    </row>
    <row r="55" spans="2:20" ht="45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2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2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2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2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2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2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2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25">
      <c r="B63" s="200" t="s">
        <v>216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25">
      <c r="B64" s="221" t="s">
        <v>217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346"/>
      <c r="J67" s="346"/>
      <c r="K67" s="346"/>
      <c r="L67" s="191" t="e">
        <f>L66/$D$64</f>
        <v>#DIV/0!</v>
      </c>
      <c r="M67" s="346"/>
      <c r="N67" s="346"/>
      <c r="O67" s="346"/>
      <c r="P67" s="191" t="e">
        <f>P66/$D$64</f>
        <v>#DIV/0!</v>
      </c>
      <c r="Q67" s="346"/>
      <c r="R67" s="346"/>
      <c r="S67" s="346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K22:K30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O22:O30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S22:S30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G56:G63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K56:K6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O56:O63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S56:S6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W22:W30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zoomScale="80" zoomScaleNormal="80" workbookViewId="0">
      <selection activeCell="D7" sqref="D7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3.28515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0" t="s">
        <v>231</v>
      </c>
    </row>
    <row r="2" spans="2:20" ht="15.75" thickBot="1" x14ac:dyDescent="0.3"/>
    <row r="3" spans="2:20" ht="30.2" customHeight="1" x14ac:dyDescent="0.25">
      <c r="B3" s="452" t="s">
        <v>2</v>
      </c>
      <c r="C3" s="454" t="s">
        <v>3</v>
      </c>
      <c r="D3" s="455" t="s">
        <v>232</v>
      </c>
      <c r="E3" s="456"/>
      <c r="F3" s="455" t="s">
        <v>233</v>
      </c>
      <c r="G3" s="456"/>
      <c r="H3" s="455" t="s">
        <v>234</v>
      </c>
      <c r="I3" s="456"/>
      <c r="K3" s="452" t="s">
        <v>2</v>
      </c>
      <c r="L3" s="454" t="s">
        <v>3</v>
      </c>
      <c r="M3" s="455" t="s">
        <v>232</v>
      </c>
      <c r="N3" s="456"/>
      <c r="O3" s="455" t="s">
        <v>233</v>
      </c>
      <c r="P3" s="456"/>
      <c r="Q3" s="455" t="s">
        <v>234</v>
      </c>
      <c r="R3" s="456"/>
    </row>
    <row r="4" spans="2:20" ht="25.5" x14ac:dyDescent="0.25">
      <c r="B4" s="453"/>
      <c r="C4" s="453"/>
      <c r="D4" s="241" t="s">
        <v>235</v>
      </c>
      <c r="E4" s="242" t="s">
        <v>236</v>
      </c>
      <c r="F4" s="241" t="s">
        <v>235</v>
      </c>
      <c r="G4" s="242" t="s">
        <v>236</v>
      </c>
      <c r="H4" s="241" t="s">
        <v>235</v>
      </c>
      <c r="I4" s="242" t="s">
        <v>236</v>
      </c>
      <c r="K4" s="453"/>
      <c r="L4" s="453"/>
      <c r="M4" s="241" t="s">
        <v>235</v>
      </c>
      <c r="N4" s="242" t="s">
        <v>236</v>
      </c>
      <c r="O4" s="241" t="s">
        <v>235</v>
      </c>
      <c r="P4" s="242" t="s">
        <v>236</v>
      </c>
      <c r="Q4" s="241" t="s">
        <v>235</v>
      </c>
      <c r="R4" s="242" t="s">
        <v>236</v>
      </c>
    </row>
    <row r="5" spans="2:20" x14ac:dyDescent="0.25">
      <c r="B5" s="53" t="s">
        <v>154</v>
      </c>
      <c r="C5" s="243" t="str">
        <f>VAC_Optim_Scenario!B17</f>
        <v>HCC In Office</v>
      </c>
      <c r="D5" s="244">
        <v>3081000</v>
      </c>
      <c r="E5" s="245">
        <v>15505097.624899359</v>
      </c>
      <c r="F5" s="244">
        <v>1659000</v>
      </c>
      <c r="G5" s="245">
        <v>5231470.2092302376</v>
      </c>
      <c r="H5" s="244">
        <v>3081000</v>
      </c>
      <c r="I5" s="245">
        <v>31010195.249798719</v>
      </c>
      <c r="J5" s="246"/>
      <c r="K5" s="53" t="s">
        <v>154</v>
      </c>
      <c r="L5" s="53" t="str">
        <f>VAC_Optim_Scenario!B17</f>
        <v>HCC In Office</v>
      </c>
      <c r="M5" s="247">
        <f>D5/1000000</f>
        <v>3.081</v>
      </c>
      <c r="N5" s="248">
        <f t="shared" ref="N5:R13" si="0">E5/1000000</f>
        <v>15.50509762489936</v>
      </c>
      <c r="O5" s="247">
        <f t="shared" si="0"/>
        <v>1.659</v>
      </c>
      <c r="P5" s="248">
        <f t="shared" si="0"/>
        <v>5.2314702092302374</v>
      </c>
      <c r="Q5" s="247">
        <f t="shared" si="0"/>
        <v>3.081</v>
      </c>
      <c r="R5" s="248">
        <f t="shared" si="0"/>
        <v>31.01019524979872</v>
      </c>
    </row>
    <row r="6" spans="2:20" x14ac:dyDescent="0.25">
      <c r="B6" s="54" t="s">
        <v>154</v>
      </c>
      <c r="C6" s="249" t="str">
        <f>VAC_Optim_Scenario!B18</f>
        <v>HCP MCM</v>
      </c>
      <c r="D6" s="250">
        <v>7913749.9886468202</v>
      </c>
      <c r="E6" s="251">
        <v>57060597.324814886</v>
      </c>
      <c r="F6" s="250">
        <v>7913749.9886468202</v>
      </c>
      <c r="G6" s="251">
        <v>28530298.662407443</v>
      </c>
      <c r="H6" s="250">
        <v>7913749.9886468202</v>
      </c>
      <c r="I6" s="251">
        <v>114121194.64962977</v>
      </c>
      <c r="J6" s="246"/>
      <c r="K6" s="54" t="s">
        <v>154</v>
      </c>
      <c r="L6" s="54" t="str">
        <f>VAC_Optim_Scenario!B18</f>
        <v>HCP MCM</v>
      </c>
      <c r="M6" s="252">
        <f t="shared" ref="M6:M13" si="1">D6/1000000</f>
        <v>7.9137499886468206</v>
      </c>
      <c r="N6" s="253">
        <f t="shared" si="0"/>
        <v>57.060597324814886</v>
      </c>
      <c r="O6" s="252">
        <f t="shared" si="0"/>
        <v>7.9137499886468206</v>
      </c>
      <c r="P6" s="253">
        <f t="shared" si="0"/>
        <v>28.530298662407443</v>
      </c>
      <c r="Q6" s="252">
        <f t="shared" si="0"/>
        <v>7.9137499886468206</v>
      </c>
      <c r="R6" s="253">
        <f t="shared" si="0"/>
        <v>114.12119464962977</v>
      </c>
    </row>
    <row r="7" spans="2:20" x14ac:dyDescent="0.25">
      <c r="B7" s="54" t="s">
        <v>154</v>
      </c>
      <c r="C7" s="249" t="str">
        <f>VAC_Optim_Scenario!B19</f>
        <v>HCC Social</v>
      </c>
      <c r="D7" s="250">
        <v>2938000</v>
      </c>
      <c r="E7" s="251">
        <v>12484947.958885178</v>
      </c>
      <c r="F7" s="250">
        <v>1582000</v>
      </c>
      <c r="G7" s="251">
        <v>4305757.3675515149</v>
      </c>
      <c r="H7" s="250">
        <v>2938000</v>
      </c>
      <c r="I7" s="251">
        <v>24969895.917770356</v>
      </c>
      <c r="J7" s="254"/>
      <c r="K7" s="54" t="s">
        <v>154</v>
      </c>
      <c r="L7" s="54" t="str">
        <f>VAC_Optim_Scenario!B19</f>
        <v>HCC Social</v>
      </c>
      <c r="M7" s="252">
        <f t="shared" si="1"/>
        <v>2.9380000000000002</v>
      </c>
      <c r="N7" s="253">
        <f t="shared" si="0"/>
        <v>12.484947958885177</v>
      </c>
      <c r="O7" s="252">
        <f t="shared" si="0"/>
        <v>1.5820000000000001</v>
      </c>
      <c r="P7" s="253">
        <f t="shared" si="0"/>
        <v>4.3057573675515153</v>
      </c>
      <c r="Q7" s="252">
        <f t="shared" si="0"/>
        <v>2.9380000000000002</v>
      </c>
      <c r="R7" s="253">
        <f t="shared" si="0"/>
        <v>24.969895917770355</v>
      </c>
    </row>
    <row r="8" spans="2:20" x14ac:dyDescent="0.25">
      <c r="B8" s="54" t="s">
        <v>154</v>
      </c>
      <c r="C8" s="249" t="str">
        <f>VAC_Optim_Scenario!B20</f>
        <v>HCC Online Video</v>
      </c>
      <c r="D8" s="250">
        <v>693000</v>
      </c>
      <c r="E8" s="251">
        <v>1393371.6974633737</v>
      </c>
      <c r="F8" s="250">
        <v>693000</v>
      </c>
      <c r="G8" s="251">
        <v>696685.84873168683</v>
      </c>
      <c r="H8" s="250">
        <v>1287000</v>
      </c>
      <c r="I8" s="251">
        <v>5072075.9622077979</v>
      </c>
      <c r="J8" s="246"/>
      <c r="K8" s="54" t="s">
        <v>154</v>
      </c>
      <c r="L8" s="54" t="str">
        <f>VAC_Optim_Scenario!B20</f>
        <v>HCC Online Video</v>
      </c>
      <c r="M8" s="252">
        <f t="shared" si="1"/>
        <v>0.69299999999999995</v>
      </c>
      <c r="N8" s="253">
        <f t="shared" si="0"/>
        <v>1.3933716974633736</v>
      </c>
      <c r="O8" s="252">
        <f t="shared" si="0"/>
        <v>0.69299999999999995</v>
      </c>
      <c r="P8" s="253">
        <f t="shared" si="0"/>
        <v>0.69668584873168682</v>
      </c>
      <c r="Q8" s="252">
        <f t="shared" si="0"/>
        <v>1.2869999999999999</v>
      </c>
      <c r="R8" s="253">
        <f t="shared" si="0"/>
        <v>5.0720759622077978</v>
      </c>
    </row>
    <row r="9" spans="2:20" x14ac:dyDescent="0.25">
      <c r="B9" s="54" t="s">
        <v>154</v>
      </c>
      <c r="C9" s="249" t="str">
        <f>VAC_Optim_Scenario!B21</f>
        <v>HCC Streaming Video</v>
      </c>
      <c r="D9" s="250">
        <v>3941643.9999999995</v>
      </c>
      <c r="E9" s="251">
        <v>16046723.043048661</v>
      </c>
      <c r="F9" s="250">
        <v>3941643.9999999995</v>
      </c>
      <c r="G9" s="251">
        <v>8023361.5215243306</v>
      </c>
      <c r="H9" s="250">
        <v>7320196</v>
      </c>
      <c r="I9" s="251">
        <v>46528980.850825705</v>
      </c>
      <c r="J9" s="254"/>
      <c r="K9" s="54" t="s">
        <v>154</v>
      </c>
      <c r="L9" s="54" t="str">
        <f>VAC_Optim_Scenario!B21</f>
        <v>HCC Streaming Video</v>
      </c>
      <c r="M9" s="252">
        <f t="shared" si="1"/>
        <v>3.9416439999999997</v>
      </c>
      <c r="N9" s="253">
        <f t="shared" si="0"/>
        <v>16.046723043048662</v>
      </c>
      <c r="O9" s="252">
        <f t="shared" si="0"/>
        <v>3.9416439999999997</v>
      </c>
      <c r="P9" s="253">
        <f t="shared" si="0"/>
        <v>8.0233615215243308</v>
      </c>
      <c r="Q9" s="252">
        <f t="shared" si="0"/>
        <v>7.3201960000000001</v>
      </c>
      <c r="R9" s="253">
        <f t="shared" si="0"/>
        <v>46.528980850825704</v>
      </c>
    </row>
    <row r="10" spans="2:20" x14ac:dyDescent="0.25">
      <c r="B10" s="54" t="s">
        <v>154</v>
      </c>
      <c r="C10" s="249" t="str">
        <f>VAC_Optim_Scenario!B22</f>
        <v>HCC Display</v>
      </c>
      <c r="D10" s="250">
        <v>1921400</v>
      </c>
      <c r="E10" s="251">
        <v>18796150.349974733</v>
      </c>
      <c r="F10" s="250">
        <v>1921400</v>
      </c>
      <c r="G10" s="251">
        <v>9398075.1749873664</v>
      </c>
      <c r="H10" s="250">
        <v>1921400</v>
      </c>
      <c r="I10" s="251">
        <v>37592300.699949466</v>
      </c>
      <c r="J10" s="254"/>
      <c r="K10" s="54" t="s">
        <v>154</v>
      </c>
      <c r="L10" s="54" t="str">
        <f>VAC_Optim_Scenario!B22</f>
        <v>HCC Display</v>
      </c>
      <c r="M10" s="252">
        <f t="shared" si="1"/>
        <v>1.9214</v>
      </c>
      <c r="N10" s="253">
        <f t="shared" si="0"/>
        <v>18.796150349974734</v>
      </c>
      <c r="O10" s="252">
        <f t="shared" si="0"/>
        <v>1.9214</v>
      </c>
      <c r="P10" s="253">
        <f t="shared" si="0"/>
        <v>9.3980751749873672</v>
      </c>
      <c r="Q10" s="252">
        <f t="shared" si="0"/>
        <v>1.9214</v>
      </c>
      <c r="R10" s="253">
        <f t="shared" si="0"/>
        <v>37.592300699949469</v>
      </c>
    </row>
    <row r="11" spans="2:20" x14ac:dyDescent="0.25">
      <c r="B11" s="54" t="s">
        <v>154</v>
      </c>
      <c r="C11" s="249" t="str">
        <f>VAC_Optim_Scenario!B23</f>
        <v>HCC Paid Search</v>
      </c>
      <c r="D11" s="250">
        <v>1232000</v>
      </c>
      <c r="E11" s="251">
        <v>1724376.7699591145</v>
      </c>
      <c r="F11" s="250">
        <v>1232000</v>
      </c>
      <c r="G11" s="251">
        <v>862188.38497955725</v>
      </c>
      <c r="H11" s="250">
        <v>1232000</v>
      </c>
      <c r="I11" s="251">
        <v>3448753.539918229</v>
      </c>
      <c r="J11" s="246"/>
      <c r="K11" s="54" t="s">
        <v>154</v>
      </c>
      <c r="L11" s="54" t="str">
        <f>VAC_Optim_Scenario!B23</f>
        <v>HCC Paid Search</v>
      </c>
      <c r="M11" s="252">
        <f t="shared" si="1"/>
        <v>1.232</v>
      </c>
      <c r="N11" s="253">
        <f t="shared" si="0"/>
        <v>1.7243767699591146</v>
      </c>
      <c r="O11" s="252">
        <f t="shared" si="0"/>
        <v>1.232</v>
      </c>
      <c r="P11" s="253">
        <f t="shared" si="0"/>
        <v>0.8621883849795573</v>
      </c>
      <c r="Q11" s="252">
        <f t="shared" si="0"/>
        <v>1.232</v>
      </c>
      <c r="R11" s="253">
        <f t="shared" si="0"/>
        <v>3.4487535399182292</v>
      </c>
    </row>
    <row r="12" spans="2:20" x14ac:dyDescent="0.25">
      <c r="B12" s="54" t="s">
        <v>154</v>
      </c>
      <c r="C12" s="249" t="str">
        <f>VAC_Optim_Scenario!B24</f>
        <v>HCC Audio</v>
      </c>
      <c r="D12" s="250">
        <v>1599670.8676800225</v>
      </c>
      <c r="E12" s="251">
        <v>9996421.98813181</v>
      </c>
      <c r="F12" s="250">
        <v>913707.9</v>
      </c>
      <c r="G12" s="251">
        <v>3995078.1857456174</v>
      </c>
      <c r="H12" s="250">
        <v>1696886.1</v>
      </c>
      <c r="I12" s="251">
        <v>20470261.90992026</v>
      </c>
      <c r="J12" s="246"/>
      <c r="K12" s="54" t="s">
        <v>154</v>
      </c>
      <c r="L12" s="54" t="str">
        <f>VAC_Optim_Scenario!B24</f>
        <v>HCC Audio</v>
      </c>
      <c r="M12" s="252">
        <f t="shared" si="1"/>
        <v>1.5996708676800224</v>
      </c>
      <c r="N12" s="253">
        <f t="shared" si="0"/>
        <v>9.9964219881318108</v>
      </c>
      <c r="O12" s="252">
        <f t="shared" si="0"/>
        <v>0.91370790000000002</v>
      </c>
      <c r="P12" s="253">
        <f t="shared" si="0"/>
        <v>3.9950781857456175</v>
      </c>
      <c r="Q12" s="252">
        <f t="shared" si="0"/>
        <v>1.6968861000000002</v>
      </c>
      <c r="R12" s="253">
        <f t="shared" si="0"/>
        <v>20.470261909920261</v>
      </c>
    </row>
    <row r="13" spans="2:20" x14ac:dyDescent="0.25">
      <c r="B13" s="263" t="s">
        <v>154</v>
      </c>
      <c r="C13" s="236" t="str">
        <f>VAC_Optim_Scenario!B25</f>
        <v>HCC TV</v>
      </c>
      <c r="D13" s="264">
        <v>15034299.993673161</v>
      </c>
      <c r="E13" s="264">
        <v>62633387.738168843</v>
      </c>
      <c r="F13" s="264">
        <v>11531133.494999999</v>
      </c>
      <c r="G13" s="264">
        <v>26708480.43695968</v>
      </c>
      <c r="H13" s="264">
        <v>18498262.961353183</v>
      </c>
      <c r="I13" s="264">
        <v>141861497.65733996</v>
      </c>
      <c r="J13" s="246"/>
      <c r="K13" s="263" t="s">
        <v>154</v>
      </c>
      <c r="L13" s="263" t="str">
        <f>VAC_Optim_Scenario!B25</f>
        <v>HCC TV</v>
      </c>
      <c r="M13" s="257">
        <f t="shared" si="1"/>
        <v>15.034299993673161</v>
      </c>
      <c r="N13" s="257">
        <f t="shared" si="0"/>
        <v>62.633387738168842</v>
      </c>
      <c r="O13" s="257">
        <f t="shared" si="0"/>
        <v>11.531133494999999</v>
      </c>
      <c r="P13" s="257">
        <f t="shared" si="0"/>
        <v>26.708480436959679</v>
      </c>
      <c r="Q13" s="257">
        <f t="shared" si="0"/>
        <v>18.498262961353184</v>
      </c>
      <c r="R13" s="257">
        <f t="shared" si="0"/>
        <v>141.86149765733995</v>
      </c>
    </row>
    <row r="14" spans="2:20" x14ac:dyDescent="0.25">
      <c r="T14" s="305"/>
    </row>
    <row r="15" spans="2:20" x14ac:dyDescent="0.25">
      <c r="C15" s="240" t="s">
        <v>238</v>
      </c>
    </row>
    <row r="17" spans="2:19" ht="37.9" customHeight="1" x14ac:dyDescent="0.25">
      <c r="C17" s="454" t="s">
        <v>3</v>
      </c>
      <c r="D17" s="455" t="s">
        <v>232</v>
      </c>
      <c r="E17" s="456"/>
      <c r="F17" s="455" t="s">
        <v>239</v>
      </c>
      <c r="G17" s="456"/>
      <c r="H17" s="455" t="s">
        <v>240</v>
      </c>
      <c r="I17" s="456"/>
      <c r="L17" s="454" t="s">
        <v>3</v>
      </c>
      <c r="M17" s="455" t="s">
        <v>232</v>
      </c>
      <c r="N17" s="456"/>
      <c r="O17" s="455" t="s">
        <v>239</v>
      </c>
      <c r="P17" s="456"/>
      <c r="Q17" s="455" t="s">
        <v>240</v>
      </c>
      <c r="R17" s="456"/>
    </row>
    <row r="18" spans="2:19" ht="25.5" x14ac:dyDescent="0.25">
      <c r="C18" s="453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453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43" t="str">
        <f>VAC_Optim_Scenario!B17</f>
        <v>HCC In Office</v>
      </c>
      <c r="D19" s="244">
        <v>3081000</v>
      </c>
      <c r="E19" s="245">
        <v>15505097.624899359</v>
      </c>
      <c r="F19" s="244">
        <v>1976029.1300433497</v>
      </c>
      <c r="G19" s="245">
        <v>7097337.0795079041</v>
      </c>
      <c r="H19" s="244">
        <v>3081000</v>
      </c>
      <c r="I19" s="245">
        <v>21707136.674859103</v>
      </c>
      <c r="J19" s="246"/>
      <c r="K19" s="53" t="s">
        <v>154</v>
      </c>
      <c r="L19" s="243" t="str">
        <f>VAC_Optim_Scenario!B17</f>
        <v>HCC In Office</v>
      </c>
      <c r="M19" s="247">
        <f>D19/1000000</f>
        <v>3.081</v>
      </c>
      <c r="N19" s="248">
        <f t="shared" ref="N19:R27" si="2">E19/1000000</f>
        <v>15.50509762489936</v>
      </c>
      <c r="O19" s="247">
        <f t="shared" si="2"/>
        <v>1.9760291300433497</v>
      </c>
      <c r="P19" s="248">
        <f t="shared" si="2"/>
        <v>7.0973370795079038</v>
      </c>
      <c r="Q19" s="247">
        <f t="shared" si="2"/>
        <v>3.081</v>
      </c>
      <c r="R19" s="248">
        <f t="shared" si="2"/>
        <v>21.707136674859104</v>
      </c>
    </row>
    <row r="20" spans="2:19" x14ac:dyDescent="0.25">
      <c r="B20" s="54" t="s">
        <v>154</v>
      </c>
      <c r="C20" s="249" t="str">
        <f>VAC_Optim_Scenario!B18</f>
        <v>HCP MCM</v>
      </c>
      <c r="D20" s="250">
        <v>7913749.9886468202</v>
      </c>
      <c r="E20" s="251">
        <v>57060597.324814886</v>
      </c>
      <c r="F20" s="250">
        <v>7913749.9886468202</v>
      </c>
      <c r="G20" s="251">
        <v>34236358.39488893</v>
      </c>
      <c r="H20" s="250">
        <v>7913749.9886468202</v>
      </c>
      <c r="I20" s="251">
        <v>79884836.254740834</v>
      </c>
      <c r="J20" s="246"/>
      <c r="K20" s="54" t="s">
        <v>154</v>
      </c>
      <c r="L20" s="249" t="str">
        <f>VAC_Optim_Scenario!B18</f>
        <v>HCP MCM</v>
      </c>
      <c r="M20" s="252">
        <f t="shared" ref="M20:M27" si="3">D20/1000000</f>
        <v>7.9137499886468206</v>
      </c>
      <c r="N20" s="253">
        <f t="shared" si="2"/>
        <v>57.060597324814886</v>
      </c>
      <c r="O20" s="252">
        <f t="shared" si="2"/>
        <v>7.9137499886468206</v>
      </c>
      <c r="P20" s="253">
        <f t="shared" si="2"/>
        <v>34.236358394888931</v>
      </c>
      <c r="Q20" s="252">
        <f t="shared" si="2"/>
        <v>7.9137499886468206</v>
      </c>
      <c r="R20" s="253">
        <f t="shared" si="2"/>
        <v>79.884836254740833</v>
      </c>
    </row>
    <row r="21" spans="2:19" x14ac:dyDescent="0.25">
      <c r="B21" s="54" t="s">
        <v>154</v>
      </c>
      <c r="C21" s="249" t="str">
        <f>VAC_Optim_Scenario!B19</f>
        <v>HCC Social</v>
      </c>
      <c r="D21" s="250">
        <v>2938000</v>
      </c>
      <c r="E21" s="251">
        <v>12484947.958885178</v>
      </c>
      <c r="F21" s="250">
        <v>1582000</v>
      </c>
      <c r="G21" s="251">
        <v>5166908.8410618175</v>
      </c>
      <c r="H21" s="250">
        <v>2938000</v>
      </c>
      <c r="I21" s="251">
        <v>17478927.142439246</v>
      </c>
      <c r="J21" s="254"/>
      <c r="K21" s="54" t="s">
        <v>154</v>
      </c>
      <c r="L21" s="249" t="str">
        <f>VAC_Optim_Scenario!B19</f>
        <v>HCC Social</v>
      </c>
      <c r="M21" s="252">
        <f t="shared" si="3"/>
        <v>2.9380000000000002</v>
      </c>
      <c r="N21" s="253">
        <f t="shared" si="2"/>
        <v>12.484947958885177</v>
      </c>
      <c r="O21" s="252">
        <f t="shared" si="2"/>
        <v>1.5820000000000001</v>
      </c>
      <c r="P21" s="253">
        <f t="shared" si="2"/>
        <v>5.1669088410618178</v>
      </c>
      <c r="Q21" s="252">
        <f t="shared" si="2"/>
        <v>2.9380000000000002</v>
      </c>
      <c r="R21" s="253">
        <f t="shared" si="2"/>
        <v>17.478927142439247</v>
      </c>
    </row>
    <row r="22" spans="2:19" x14ac:dyDescent="0.25">
      <c r="B22" s="54" t="s">
        <v>154</v>
      </c>
      <c r="C22" s="249" t="str">
        <f>VAC_Optim_Scenario!B20</f>
        <v>HCC Online Video</v>
      </c>
      <c r="D22" s="250">
        <v>693000</v>
      </c>
      <c r="E22" s="251">
        <v>1393371.6974633737</v>
      </c>
      <c r="F22" s="250">
        <v>693000</v>
      </c>
      <c r="G22" s="251">
        <v>836023.01847802405</v>
      </c>
      <c r="H22" s="250">
        <v>1287000</v>
      </c>
      <c r="I22" s="251">
        <v>3550453.1735454584</v>
      </c>
      <c r="J22" s="246"/>
      <c r="K22" s="54" t="s">
        <v>154</v>
      </c>
      <c r="L22" s="249" t="str">
        <f>VAC_Optim_Scenario!B20</f>
        <v>HCC Online Video</v>
      </c>
      <c r="M22" s="252">
        <f t="shared" si="3"/>
        <v>0.69299999999999995</v>
      </c>
      <c r="N22" s="253">
        <f t="shared" si="2"/>
        <v>1.3933716974633736</v>
      </c>
      <c r="O22" s="252">
        <f t="shared" si="2"/>
        <v>0.69299999999999995</v>
      </c>
      <c r="P22" s="253">
        <f t="shared" si="2"/>
        <v>0.83602301847802407</v>
      </c>
      <c r="Q22" s="252">
        <f t="shared" si="2"/>
        <v>1.2869999999999999</v>
      </c>
      <c r="R22" s="253">
        <f t="shared" si="2"/>
        <v>3.5504531735454585</v>
      </c>
    </row>
    <row r="23" spans="2:19" x14ac:dyDescent="0.25">
      <c r="B23" s="54" t="s">
        <v>154</v>
      </c>
      <c r="C23" s="249" t="str">
        <f>VAC_Optim_Scenario!B21</f>
        <v>HCC Streaming Video</v>
      </c>
      <c r="D23" s="250">
        <v>3941643.9999999995</v>
      </c>
      <c r="E23" s="251">
        <v>16046723.043048661</v>
      </c>
      <c r="F23" s="250">
        <v>3941643.9999999995</v>
      </c>
      <c r="G23" s="251">
        <v>9628033.8258291967</v>
      </c>
      <c r="H23" s="250">
        <v>7133528.9098028336</v>
      </c>
      <c r="I23" s="251">
        <v>32069383.393545374</v>
      </c>
      <c r="J23" s="254"/>
      <c r="K23" s="54" t="s">
        <v>154</v>
      </c>
      <c r="L23" s="249" t="str">
        <f>VAC_Optim_Scenario!B21</f>
        <v>HCC Streaming Video</v>
      </c>
      <c r="M23" s="252">
        <f t="shared" si="3"/>
        <v>3.9416439999999997</v>
      </c>
      <c r="N23" s="253">
        <f t="shared" si="2"/>
        <v>16.046723043048662</v>
      </c>
      <c r="O23" s="252">
        <f t="shared" si="2"/>
        <v>3.9416439999999997</v>
      </c>
      <c r="P23" s="253">
        <f t="shared" si="2"/>
        <v>9.6280338258291973</v>
      </c>
      <c r="Q23" s="252">
        <f t="shared" si="2"/>
        <v>7.1335289098028332</v>
      </c>
      <c r="R23" s="253">
        <f t="shared" si="2"/>
        <v>32.069383393545372</v>
      </c>
    </row>
    <row r="24" spans="2:19" x14ac:dyDescent="0.25">
      <c r="B24" s="54" t="s">
        <v>154</v>
      </c>
      <c r="C24" s="249" t="str">
        <f>VAC_Optim_Scenario!B22</f>
        <v>HCC Display</v>
      </c>
      <c r="D24" s="250">
        <v>1921400</v>
      </c>
      <c r="E24" s="251">
        <v>18796150.349974733</v>
      </c>
      <c r="F24" s="250">
        <v>1921400</v>
      </c>
      <c r="G24" s="251">
        <v>11277690.209984839</v>
      </c>
      <c r="H24" s="250">
        <v>1921400</v>
      </c>
      <c r="I24" s="251">
        <v>26314610.489964623</v>
      </c>
      <c r="J24" s="254"/>
      <c r="K24" s="54" t="s">
        <v>154</v>
      </c>
      <c r="L24" s="249" t="str">
        <f>VAC_Optim_Scenario!B22</f>
        <v>HCC Display</v>
      </c>
      <c r="M24" s="252">
        <f t="shared" si="3"/>
        <v>1.9214</v>
      </c>
      <c r="N24" s="253">
        <f t="shared" si="2"/>
        <v>18.796150349974734</v>
      </c>
      <c r="O24" s="252">
        <f t="shared" si="2"/>
        <v>1.9214</v>
      </c>
      <c r="P24" s="253">
        <f t="shared" si="2"/>
        <v>11.277690209984838</v>
      </c>
      <c r="Q24" s="252">
        <f t="shared" si="2"/>
        <v>1.9214</v>
      </c>
      <c r="R24" s="253">
        <f t="shared" si="2"/>
        <v>26.314610489964622</v>
      </c>
    </row>
    <row r="25" spans="2:19" x14ac:dyDescent="0.25">
      <c r="B25" s="54" t="s">
        <v>154</v>
      </c>
      <c r="C25" s="249" t="str">
        <f>VAC_Optim_Scenario!B23</f>
        <v>HCC Paid Search</v>
      </c>
      <c r="D25" s="250">
        <v>1232000</v>
      </c>
      <c r="E25" s="251">
        <v>1724376.7699591145</v>
      </c>
      <c r="F25" s="250">
        <v>1232000</v>
      </c>
      <c r="G25" s="251">
        <v>1034626.0619754686</v>
      </c>
      <c r="H25" s="250">
        <v>1232000</v>
      </c>
      <c r="I25" s="251">
        <v>2414127.4779427601</v>
      </c>
      <c r="J25" s="254"/>
      <c r="K25" s="54" t="s">
        <v>154</v>
      </c>
      <c r="L25" s="249" t="str">
        <f>VAC_Optim_Scenario!B23</f>
        <v>HCC Paid Search</v>
      </c>
      <c r="M25" s="252">
        <f t="shared" si="3"/>
        <v>1.232</v>
      </c>
      <c r="N25" s="253">
        <f t="shared" si="2"/>
        <v>1.7243767699591146</v>
      </c>
      <c r="O25" s="252">
        <f t="shared" si="2"/>
        <v>1.232</v>
      </c>
      <c r="P25" s="253">
        <f t="shared" si="2"/>
        <v>1.0346260619754686</v>
      </c>
      <c r="Q25" s="252">
        <f t="shared" si="2"/>
        <v>1.232</v>
      </c>
      <c r="R25" s="253">
        <f t="shared" si="2"/>
        <v>2.4141274779427602</v>
      </c>
    </row>
    <row r="26" spans="2:19" x14ac:dyDescent="0.25">
      <c r="B26" s="54" t="s">
        <v>154</v>
      </c>
      <c r="C26" s="249" t="str">
        <f>VAC_Optim_Scenario!B24</f>
        <v>HCC Audio</v>
      </c>
      <c r="D26" s="250">
        <v>1599670.7428443772</v>
      </c>
      <c r="E26" s="251">
        <v>9996421.676090166</v>
      </c>
      <c r="F26" s="250">
        <v>913707.89999999991</v>
      </c>
      <c r="G26" s="251">
        <v>4794093.8228947408</v>
      </c>
      <c r="H26" s="250">
        <v>1696886.1</v>
      </c>
      <c r="I26" s="251">
        <v>14329183.336944181</v>
      </c>
      <c r="J26" s="254"/>
      <c r="K26" s="54" t="s">
        <v>154</v>
      </c>
      <c r="L26" s="249" t="str">
        <f>VAC_Optim_Scenario!B24</f>
        <v>HCC Audio</v>
      </c>
      <c r="M26" s="252">
        <f t="shared" si="3"/>
        <v>1.5996707428443773</v>
      </c>
      <c r="N26" s="253">
        <f t="shared" si="2"/>
        <v>9.9964216760901667</v>
      </c>
      <c r="O26" s="252">
        <f t="shared" si="2"/>
        <v>0.91370789999999991</v>
      </c>
      <c r="P26" s="253">
        <f t="shared" si="2"/>
        <v>4.794093822894741</v>
      </c>
      <c r="Q26" s="252">
        <f t="shared" si="2"/>
        <v>1.6968861000000002</v>
      </c>
      <c r="R26" s="253">
        <f t="shared" si="2"/>
        <v>14.329183336944181</v>
      </c>
    </row>
    <row r="27" spans="2:19" x14ac:dyDescent="0.25">
      <c r="B27" s="263" t="s">
        <v>154</v>
      </c>
      <c r="C27" s="236" t="str">
        <f>VAC_Optim_Scenario!B25</f>
        <v>HCC TV</v>
      </c>
      <c r="D27" s="264">
        <v>15034300.118508808</v>
      </c>
      <c r="E27" s="264">
        <v>62633388.050210491</v>
      </c>
      <c r="F27" s="264">
        <v>11531133.494999999</v>
      </c>
      <c r="G27" s="264">
        <v>32050176.524351615</v>
      </c>
      <c r="H27" s="264">
        <v>17521435.993065551</v>
      </c>
      <c r="I27" s="264">
        <v>96122670.742821991</v>
      </c>
      <c r="J27" s="254"/>
      <c r="K27" s="263" t="s">
        <v>154</v>
      </c>
      <c r="L27" s="236" t="str">
        <f>VAC_Optim_Scenario!B25</f>
        <v>HCC TV</v>
      </c>
      <c r="M27" s="257">
        <f t="shared" si="3"/>
        <v>15.034300118508808</v>
      </c>
      <c r="N27" s="257">
        <f t="shared" si="2"/>
        <v>62.633388050210492</v>
      </c>
      <c r="O27" s="257">
        <f t="shared" si="2"/>
        <v>11.531133494999999</v>
      </c>
      <c r="P27" s="257">
        <f t="shared" si="2"/>
        <v>32.050176524351613</v>
      </c>
      <c r="Q27" s="257">
        <f t="shared" si="2"/>
        <v>17.521435993065552</v>
      </c>
      <c r="R27" s="257">
        <f t="shared" si="2"/>
        <v>96.122670742821995</v>
      </c>
    </row>
    <row r="30" spans="2:19" ht="34.35" customHeight="1" x14ac:dyDescent="0.25">
      <c r="C30" s="332" t="s">
        <v>3</v>
      </c>
      <c r="D30" s="333" t="s">
        <v>241</v>
      </c>
      <c r="E30" s="255">
        <v>-0.5</v>
      </c>
      <c r="F30" s="255">
        <v>2</v>
      </c>
      <c r="G30" s="255">
        <v>-0.4</v>
      </c>
      <c r="H30" s="255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06" t="str">
        <f>VAC_Optim_Scenario!B17</f>
        <v>HCC In Office</v>
      </c>
      <c r="D31" s="334">
        <f>M19</f>
        <v>3.081</v>
      </c>
      <c r="E31" s="334">
        <f>O5</f>
        <v>1.659</v>
      </c>
      <c r="F31" s="334">
        <f>Q5</f>
        <v>3.081</v>
      </c>
      <c r="G31" s="334">
        <f>O19</f>
        <v>1.9760291300433497</v>
      </c>
      <c r="H31" s="334">
        <f>Q19</f>
        <v>3.081</v>
      </c>
      <c r="J31" s="256">
        <v>-0.5</v>
      </c>
      <c r="K31" s="257">
        <f>E$31</f>
        <v>1.659</v>
      </c>
      <c r="L31" s="257">
        <f>E$32</f>
        <v>7.9137499886468206</v>
      </c>
      <c r="M31" s="257">
        <f>E$33</f>
        <v>1.5820000000000001</v>
      </c>
      <c r="N31" s="257">
        <f>E$34</f>
        <v>0.69299999999999995</v>
      </c>
      <c r="O31" s="257">
        <f>E$35</f>
        <v>3.9416439999999997</v>
      </c>
      <c r="P31" s="257">
        <f>E$36</f>
        <v>1.9214</v>
      </c>
      <c r="Q31" s="257">
        <f>E$37</f>
        <v>1.232</v>
      </c>
      <c r="R31" s="257">
        <f>E$38</f>
        <v>0.91370790000000002</v>
      </c>
      <c r="S31" s="257">
        <f>E$39</f>
        <v>11.531133494999999</v>
      </c>
    </row>
    <row r="32" spans="2:19" x14ac:dyDescent="0.25">
      <c r="B32" s="54" t="s">
        <v>154</v>
      </c>
      <c r="C32" s="307" t="str">
        <f>VAC_Optim_Scenario!B18</f>
        <v>HCP MCM</v>
      </c>
      <c r="D32" s="335">
        <f t="shared" ref="D32:D39" si="4">M20</f>
        <v>7.9137499886468206</v>
      </c>
      <c r="E32" s="335">
        <f t="shared" ref="E32:E39" si="5">O6</f>
        <v>7.9137499886468206</v>
      </c>
      <c r="F32" s="335">
        <f t="shared" ref="F32:F39" si="6">Q6</f>
        <v>7.9137499886468206</v>
      </c>
      <c r="G32" s="335">
        <f t="shared" ref="G32:G39" si="7">O20</f>
        <v>7.9137499886468206</v>
      </c>
      <c r="H32" s="335">
        <f t="shared" ref="H32:H39" si="8">Q20</f>
        <v>7.9137499886468206</v>
      </c>
      <c r="J32" s="256">
        <v>-0.4</v>
      </c>
      <c r="K32" s="257">
        <f>G$31</f>
        <v>1.9760291300433497</v>
      </c>
      <c r="L32" s="257">
        <f>G$32</f>
        <v>7.9137499886468206</v>
      </c>
      <c r="M32" s="257">
        <f>G$33</f>
        <v>1.5820000000000001</v>
      </c>
      <c r="N32" s="257">
        <f>G$34</f>
        <v>0.69299999999999995</v>
      </c>
      <c r="O32" s="257">
        <f>G$35</f>
        <v>3.9416439999999997</v>
      </c>
      <c r="P32" s="257">
        <f>G$36</f>
        <v>1.9214</v>
      </c>
      <c r="Q32" s="257">
        <f>G$37</f>
        <v>1.232</v>
      </c>
      <c r="R32" s="257">
        <f>G$38</f>
        <v>0.91370789999999991</v>
      </c>
      <c r="S32" s="257">
        <f>G$39</f>
        <v>11.531133494999999</v>
      </c>
    </row>
    <row r="33" spans="2:22" x14ac:dyDescent="0.25">
      <c r="B33" s="54" t="s">
        <v>154</v>
      </c>
      <c r="C33" s="307" t="str">
        <f>VAC_Optim_Scenario!B19</f>
        <v>HCC Social</v>
      </c>
      <c r="D33" s="335">
        <f t="shared" si="4"/>
        <v>2.9380000000000002</v>
      </c>
      <c r="E33" s="335">
        <f t="shared" si="5"/>
        <v>1.5820000000000001</v>
      </c>
      <c r="F33" s="335">
        <f t="shared" si="6"/>
        <v>2.9380000000000002</v>
      </c>
      <c r="G33" s="335">
        <f t="shared" si="7"/>
        <v>1.5820000000000001</v>
      </c>
      <c r="H33" s="335">
        <f t="shared" si="8"/>
        <v>2.9380000000000002</v>
      </c>
      <c r="J33" s="256" t="s">
        <v>241</v>
      </c>
      <c r="K33" s="257">
        <f>D$31</f>
        <v>3.081</v>
      </c>
      <c r="L33" s="257">
        <f>D$32</f>
        <v>7.9137499886468206</v>
      </c>
      <c r="M33" s="257">
        <f>D$33</f>
        <v>2.9380000000000002</v>
      </c>
      <c r="N33" s="257">
        <f>D$34</f>
        <v>0.69299999999999995</v>
      </c>
      <c r="O33" s="257">
        <f>D$35</f>
        <v>3.9416439999999997</v>
      </c>
      <c r="P33" s="257">
        <f>D$36</f>
        <v>1.9214</v>
      </c>
      <c r="Q33" s="257">
        <f>D$37</f>
        <v>1.232</v>
      </c>
      <c r="R33" s="257">
        <f>D$38</f>
        <v>1.5996707428443773</v>
      </c>
      <c r="S33" s="257">
        <f>D$39</f>
        <v>15.034300118508808</v>
      </c>
    </row>
    <row r="34" spans="2:22" x14ac:dyDescent="0.25">
      <c r="B34" s="54" t="s">
        <v>154</v>
      </c>
      <c r="C34" s="307" t="str">
        <f>VAC_Optim_Scenario!B20</f>
        <v>HCC Online Video</v>
      </c>
      <c r="D34" s="335">
        <f t="shared" si="4"/>
        <v>0.69299999999999995</v>
      </c>
      <c r="E34" s="335">
        <f t="shared" si="5"/>
        <v>0.69299999999999995</v>
      </c>
      <c r="F34" s="335">
        <f t="shared" si="6"/>
        <v>1.2869999999999999</v>
      </c>
      <c r="G34" s="335">
        <f t="shared" si="7"/>
        <v>0.69299999999999995</v>
      </c>
      <c r="H34" s="335">
        <f t="shared" si="8"/>
        <v>1.2869999999999999</v>
      </c>
      <c r="J34" s="256">
        <v>0.4</v>
      </c>
      <c r="K34" s="257">
        <f>H$31</f>
        <v>3.081</v>
      </c>
      <c r="L34" s="257">
        <f>H$32</f>
        <v>7.9137499886468206</v>
      </c>
      <c r="M34" s="257">
        <f>H$33</f>
        <v>2.9380000000000002</v>
      </c>
      <c r="N34" s="257">
        <f>H$34</f>
        <v>1.2869999999999999</v>
      </c>
      <c r="O34" s="257">
        <f>H$35</f>
        <v>7.1335289098028332</v>
      </c>
      <c r="P34" s="257">
        <f>H$36</f>
        <v>1.9214</v>
      </c>
      <c r="Q34" s="257">
        <f>H$37</f>
        <v>1.232</v>
      </c>
      <c r="R34" s="257">
        <f>H$38</f>
        <v>1.6968861000000002</v>
      </c>
      <c r="S34" s="257">
        <f>H$39</f>
        <v>17.521435993065552</v>
      </c>
    </row>
    <row r="35" spans="2:22" x14ac:dyDescent="0.25">
      <c r="B35" s="54" t="s">
        <v>154</v>
      </c>
      <c r="C35" s="307" t="str">
        <f>VAC_Optim_Scenario!B21</f>
        <v>HCC Streaming Video</v>
      </c>
      <c r="D35" s="335">
        <f t="shared" si="4"/>
        <v>3.9416439999999997</v>
      </c>
      <c r="E35" s="335">
        <f t="shared" si="5"/>
        <v>3.9416439999999997</v>
      </c>
      <c r="F35" s="335">
        <f t="shared" si="6"/>
        <v>7.3201960000000001</v>
      </c>
      <c r="G35" s="335">
        <f t="shared" si="7"/>
        <v>3.9416439999999997</v>
      </c>
      <c r="H35" s="335">
        <f t="shared" si="8"/>
        <v>7.1335289098028332</v>
      </c>
      <c r="J35" s="255">
        <v>2</v>
      </c>
      <c r="K35" s="257">
        <f>F$31</f>
        <v>3.081</v>
      </c>
      <c r="L35" s="257">
        <f>F$32</f>
        <v>7.9137499886468206</v>
      </c>
      <c r="M35" s="257">
        <f>F$33</f>
        <v>2.9380000000000002</v>
      </c>
      <c r="N35" s="257">
        <f>F$34</f>
        <v>1.2869999999999999</v>
      </c>
      <c r="O35" s="257">
        <f>F$35</f>
        <v>7.3201960000000001</v>
      </c>
      <c r="P35" s="257">
        <f>F$36</f>
        <v>1.9214</v>
      </c>
      <c r="Q35" s="257">
        <f>F$37</f>
        <v>1.232</v>
      </c>
      <c r="R35" s="257">
        <f>F$38</f>
        <v>1.6968861000000002</v>
      </c>
      <c r="S35" s="257">
        <f>F$39</f>
        <v>18.498262961353184</v>
      </c>
    </row>
    <row r="36" spans="2:22" x14ac:dyDescent="0.25">
      <c r="B36" s="54" t="s">
        <v>154</v>
      </c>
      <c r="C36" s="307" t="str">
        <f>VAC_Optim_Scenario!B22</f>
        <v>HCC Display</v>
      </c>
      <c r="D36" s="335">
        <f t="shared" si="4"/>
        <v>1.9214</v>
      </c>
      <c r="E36" s="335">
        <f t="shared" si="5"/>
        <v>1.9214</v>
      </c>
      <c r="F36" s="335">
        <f t="shared" si="6"/>
        <v>1.9214</v>
      </c>
      <c r="G36" s="335">
        <f t="shared" si="7"/>
        <v>1.9214</v>
      </c>
      <c r="H36" s="335">
        <f t="shared" si="8"/>
        <v>1.9214</v>
      </c>
    </row>
    <row r="37" spans="2:22" x14ac:dyDescent="0.25">
      <c r="B37" s="54" t="s">
        <v>154</v>
      </c>
      <c r="C37" s="307" t="str">
        <f>VAC_Optim_Scenario!B23</f>
        <v>HCC Paid Search</v>
      </c>
      <c r="D37" s="335">
        <f t="shared" si="4"/>
        <v>1.232</v>
      </c>
      <c r="E37" s="335">
        <f t="shared" si="5"/>
        <v>1.232</v>
      </c>
      <c r="F37" s="335">
        <f t="shared" si="6"/>
        <v>1.232</v>
      </c>
      <c r="G37" s="335">
        <f t="shared" si="7"/>
        <v>1.232</v>
      </c>
      <c r="H37" s="335">
        <f t="shared" si="8"/>
        <v>1.232</v>
      </c>
      <c r="J37" s="273"/>
      <c r="K37" s="258"/>
      <c r="L37" s="258"/>
      <c r="M37" s="258"/>
      <c r="N37" s="258"/>
      <c r="O37" s="258"/>
      <c r="P37" s="258"/>
      <c r="Q37" s="258"/>
      <c r="R37" s="258"/>
    </row>
    <row r="38" spans="2:22" x14ac:dyDescent="0.25">
      <c r="B38" s="54" t="s">
        <v>154</v>
      </c>
      <c r="C38" s="307" t="str">
        <f>VAC_Optim_Scenario!B24</f>
        <v>HCC Audio</v>
      </c>
      <c r="D38" s="335">
        <f t="shared" si="4"/>
        <v>1.5996707428443773</v>
      </c>
      <c r="E38" s="335">
        <f t="shared" si="5"/>
        <v>0.91370790000000002</v>
      </c>
      <c r="F38" s="335">
        <f t="shared" si="6"/>
        <v>1.6968861000000002</v>
      </c>
      <c r="G38" s="335">
        <f t="shared" si="7"/>
        <v>0.91370789999999991</v>
      </c>
      <c r="H38" s="335">
        <f t="shared" si="8"/>
        <v>1.6968861000000002</v>
      </c>
      <c r="J38" s="274"/>
      <c r="K38" s="259"/>
      <c r="L38" s="259"/>
      <c r="M38" s="259"/>
      <c r="N38" s="259"/>
      <c r="O38" s="259"/>
      <c r="P38" s="259"/>
      <c r="Q38" s="259"/>
      <c r="R38" s="259"/>
    </row>
    <row r="39" spans="2:22" x14ac:dyDescent="0.25">
      <c r="B39" s="97" t="s">
        <v>154</v>
      </c>
      <c r="C39" s="308" t="str">
        <f>VAC_Optim_Scenario!B25</f>
        <v>HCC TV</v>
      </c>
      <c r="D39" s="335">
        <f t="shared" si="4"/>
        <v>15.034300118508808</v>
      </c>
      <c r="E39" s="335">
        <f t="shared" si="5"/>
        <v>11.531133494999999</v>
      </c>
      <c r="F39" s="335">
        <f t="shared" si="6"/>
        <v>18.498262961353184</v>
      </c>
      <c r="G39" s="335">
        <f t="shared" si="7"/>
        <v>11.531133494999999</v>
      </c>
      <c r="H39" s="335">
        <f t="shared" si="8"/>
        <v>17.521435993065552</v>
      </c>
      <c r="J39" s="273"/>
      <c r="K39" s="258"/>
      <c r="L39" s="258"/>
      <c r="M39" s="258"/>
      <c r="N39" s="258"/>
      <c r="O39" s="258"/>
      <c r="P39" s="258"/>
      <c r="Q39" s="258"/>
      <c r="R39" s="258"/>
    </row>
    <row r="40" spans="2:22" x14ac:dyDescent="0.2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25">
      <c r="L41" s="257"/>
      <c r="M41" s="257"/>
      <c r="N41" s="257"/>
      <c r="O41" s="257"/>
      <c r="P41" s="257"/>
    </row>
    <row r="42" spans="2:22" x14ac:dyDescent="0.25">
      <c r="L42" s="257"/>
      <c r="M42" s="257"/>
      <c r="N42" s="257"/>
      <c r="O42" s="257"/>
      <c r="P42" s="257"/>
    </row>
    <row r="43" spans="2:22" x14ac:dyDescent="0.25">
      <c r="L43" s="257"/>
      <c r="M43" s="257"/>
      <c r="N43" s="257"/>
      <c r="O43" s="257"/>
      <c r="P43" s="257"/>
    </row>
    <row r="44" spans="2:22" x14ac:dyDescent="0.25">
      <c r="L44" s="257"/>
      <c r="M44" s="257"/>
      <c r="N44" s="257"/>
      <c r="O44" s="257"/>
      <c r="P44" s="257"/>
      <c r="S44" s="260"/>
      <c r="T44" s="260"/>
      <c r="V44" s="260"/>
    </row>
    <row r="45" spans="2:22" x14ac:dyDescent="0.25">
      <c r="L45" s="257"/>
      <c r="M45" s="257"/>
      <c r="N45" s="257"/>
      <c r="O45" s="257"/>
      <c r="P45" s="261"/>
      <c r="S45" s="262"/>
      <c r="T45" s="262"/>
      <c r="U45" s="262"/>
      <c r="V45" s="262"/>
    </row>
    <row r="46" spans="2:22" x14ac:dyDescent="0.25">
      <c r="L46" s="257"/>
      <c r="M46" s="257"/>
      <c r="N46" s="257"/>
      <c r="O46" s="257"/>
      <c r="P46" s="257"/>
      <c r="S46" s="262"/>
      <c r="T46" s="262"/>
      <c r="U46" s="262"/>
      <c r="V46" s="262"/>
    </row>
    <row r="47" spans="2:22" x14ac:dyDescent="0.25">
      <c r="L47" s="257"/>
      <c r="M47" s="257"/>
      <c r="N47" s="257"/>
      <c r="O47" s="257"/>
      <c r="P47" s="257"/>
    </row>
    <row r="48" spans="2:22" x14ac:dyDescent="0.25">
      <c r="L48" s="257"/>
      <c r="M48" s="257"/>
      <c r="N48" s="257"/>
      <c r="O48" s="257"/>
      <c r="P48" s="257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0" t="s">
        <v>231</v>
      </c>
    </row>
    <row r="2" spans="2:20" ht="15.75" thickBot="1" x14ac:dyDescent="0.3"/>
    <row r="3" spans="2:20" ht="30.2" customHeight="1" x14ac:dyDescent="0.25">
      <c r="B3" s="452" t="s">
        <v>2</v>
      </c>
      <c r="C3" s="454" t="s">
        <v>3</v>
      </c>
      <c r="D3" s="455" t="s">
        <v>232</v>
      </c>
      <c r="E3" s="456"/>
      <c r="F3" s="455" t="s">
        <v>233</v>
      </c>
      <c r="G3" s="456"/>
      <c r="H3" s="455" t="s">
        <v>234</v>
      </c>
      <c r="I3" s="456"/>
      <c r="K3" s="452" t="s">
        <v>2</v>
      </c>
      <c r="L3" s="454" t="s">
        <v>3</v>
      </c>
      <c r="M3" s="455" t="s">
        <v>232</v>
      </c>
      <c r="N3" s="456"/>
      <c r="O3" s="455" t="s">
        <v>233</v>
      </c>
      <c r="P3" s="456"/>
      <c r="Q3" s="455" t="s">
        <v>234</v>
      </c>
      <c r="R3" s="456"/>
    </row>
    <row r="4" spans="2:20" ht="25.5" x14ac:dyDescent="0.25">
      <c r="B4" s="453"/>
      <c r="C4" s="453"/>
      <c r="D4" s="241" t="s">
        <v>235</v>
      </c>
      <c r="E4" s="242" t="s">
        <v>236</v>
      </c>
      <c r="F4" s="241" t="s">
        <v>235</v>
      </c>
      <c r="G4" s="242" t="s">
        <v>236</v>
      </c>
      <c r="H4" s="241" t="s">
        <v>235</v>
      </c>
      <c r="I4" s="242" t="s">
        <v>236</v>
      </c>
      <c r="K4" s="453"/>
      <c r="L4" s="453"/>
      <c r="M4" s="241" t="s">
        <v>235</v>
      </c>
      <c r="N4" s="242" t="s">
        <v>236</v>
      </c>
      <c r="O4" s="241" t="s">
        <v>235</v>
      </c>
      <c r="P4" s="242" t="s">
        <v>236</v>
      </c>
      <c r="Q4" s="241" t="s">
        <v>235</v>
      </c>
      <c r="R4" s="242" t="s">
        <v>236</v>
      </c>
    </row>
    <row r="5" spans="2:20" x14ac:dyDescent="0.25">
      <c r="B5" s="53" t="s">
        <v>154</v>
      </c>
      <c r="C5" s="243" t="str">
        <f>VAC_Optim_Scenario!B17</f>
        <v>HCC In Office</v>
      </c>
      <c r="D5" s="244">
        <f>VAC_Optim_Scenario!$H35</f>
        <v>1346172.4927629044</v>
      </c>
      <c r="E5" s="245">
        <f>VAC_Optim_Scenario!$J35</f>
        <v>6361120.4206124544</v>
      </c>
      <c r="F5" s="244">
        <f>VAC_Optim_Scenario!$H35</f>
        <v>1346172.4927629044</v>
      </c>
      <c r="G5" s="245">
        <f>VAC_Optim_Scenario!$J35</f>
        <v>6361120.4206124544</v>
      </c>
      <c r="H5" s="244">
        <f>VAC_Optim_Scenario!$H35</f>
        <v>1346172.4927629044</v>
      </c>
      <c r="I5" s="245">
        <f>VAC_Optim_Scenario!$J35</f>
        <v>6361120.4206124544</v>
      </c>
      <c r="J5" s="246"/>
      <c r="K5" s="53" t="s">
        <v>154</v>
      </c>
      <c r="L5" s="53" t="str">
        <f>VAC_Optim_Scenario!B17</f>
        <v>HCC In Office</v>
      </c>
      <c r="M5" s="247">
        <f>D5/1000000</f>
        <v>1.3461724927629044</v>
      </c>
      <c r="N5" s="248">
        <f t="shared" ref="N5:R13" si="0">E5/1000000</f>
        <v>6.3611204206124548</v>
      </c>
      <c r="O5" s="247">
        <f t="shared" si="0"/>
        <v>1.3461724927629044</v>
      </c>
      <c r="P5" s="248">
        <f t="shared" si="0"/>
        <v>6.3611204206124548</v>
      </c>
      <c r="Q5" s="247">
        <f t="shared" si="0"/>
        <v>1.3461724927629044</v>
      </c>
      <c r="R5" s="248">
        <f t="shared" si="0"/>
        <v>6.3611204206124548</v>
      </c>
    </row>
    <row r="6" spans="2:20" x14ac:dyDescent="0.25">
      <c r="B6" s="54" t="s">
        <v>154</v>
      </c>
      <c r="C6" s="249" t="str">
        <f>VAC_Optim_Scenario!B18</f>
        <v>HCP MCM</v>
      </c>
      <c r="D6" s="250">
        <f>VAC_Optim_Scenario!$H36</f>
        <v>6974984.7570000011</v>
      </c>
      <c r="E6" s="251">
        <f>VAC_Optim_Scenario!$J36</f>
        <v>75572474.639871225</v>
      </c>
      <c r="F6" s="250">
        <f>VAC_Optim_Scenario!$H36</f>
        <v>6974984.7570000011</v>
      </c>
      <c r="G6" s="251">
        <f>VAC_Optim_Scenario!$J36</f>
        <v>75572474.639871225</v>
      </c>
      <c r="H6" s="250">
        <f>VAC_Optim_Scenario!$H36</f>
        <v>6974984.7570000011</v>
      </c>
      <c r="I6" s="251">
        <f>VAC_Optim_Scenario!$J36</f>
        <v>75572474.639871225</v>
      </c>
      <c r="J6" s="246"/>
      <c r="K6" s="54" t="s">
        <v>154</v>
      </c>
      <c r="L6" s="54" t="str">
        <f>VAC_Optim_Scenario!B18</f>
        <v>HCP MCM</v>
      </c>
      <c r="M6" s="252">
        <f t="shared" ref="M6:M13" si="1">D6/1000000</f>
        <v>6.9749847570000014</v>
      </c>
      <c r="N6" s="253">
        <f t="shared" si="0"/>
        <v>75.572474639871231</v>
      </c>
      <c r="O6" s="252">
        <f t="shared" si="0"/>
        <v>6.9749847570000014</v>
      </c>
      <c r="P6" s="253">
        <f t="shared" si="0"/>
        <v>75.572474639871231</v>
      </c>
      <c r="Q6" s="252">
        <f t="shared" si="0"/>
        <v>6.9749847570000014</v>
      </c>
      <c r="R6" s="253">
        <f t="shared" si="0"/>
        <v>75.572474639871231</v>
      </c>
    </row>
    <row r="7" spans="2:20" x14ac:dyDescent="0.25">
      <c r="B7" s="54" t="s">
        <v>154</v>
      </c>
      <c r="C7" s="249" t="str">
        <f>VAC_Optim_Scenario!B19</f>
        <v>HCC Social</v>
      </c>
      <c r="D7" s="250">
        <f>VAC_Optim_Scenario!$H37</f>
        <v>2434900</v>
      </c>
      <c r="E7" s="251">
        <f>VAC_Optim_Scenario!$J37</f>
        <v>18840932.631302718</v>
      </c>
      <c r="F7" s="250">
        <f>VAC_Optim_Scenario!$H37</f>
        <v>2434900</v>
      </c>
      <c r="G7" s="251">
        <f>VAC_Optim_Scenario!$J37</f>
        <v>18840932.631302718</v>
      </c>
      <c r="H7" s="250">
        <f>VAC_Optim_Scenario!$H37</f>
        <v>2434900</v>
      </c>
      <c r="I7" s="251">
        <f>VAC_Optim_Scenario!$J37</f>
        <v>18840932.631302718</v>
      </c>
      <c r="J7" s="254"/>
      <c r="K7" s="54" t="s">
        <v>154</v>
      </c>
      <c r="L7" s="54" t="str">
        <f>VAC_Optim_Scenario!B19</f>
        <v>HCC Social</v>
      </c>
      <c r="M7" s="252">
        <f t="shared" si="1"/>
        <v>2.4348999999999998</v>
      </c>
      <c r="N7" s="253">
        <f t="shared" si="0"/>
        <v>18.840932631302717</v>
      </c>
      <c r="O7" s="252">
        <f t="shared" si="0"/>
        <v>2.4348999999999998</v>
      </c>
      <c r="P7" s="253">
        <f t="shared" si="0"/>
        <v>18.840932631302717</v>
      </c>
      <c r="Q7" s="252">
        <f t="shared" si="0"/>
        <v>2.4348999999999998</v>
      </c>
      <c r="R7" s="253">
        <f t="shared" si="0"/>
        <v>18.840932631302717</v>
      </c>
    </row>
    <row r="8" spans="2:20" x14ac:dyDescent="0.25">
      <c r="B8" s="54" t="s">
        <v>154</v>
      </c>
      <c r="C8" s="249" t="str">
        <f>VAC_Optim_Scenario!B20</f>
        <v>HCC Online Video</v>
      </c>
      <c r="D8" s="250">
        <f>VAC_Optim_Scenario!$H38</f>
        <v>225000.022</v>
      </c>
      <c r="E8" s="251">
        <f>VAC_Optim_Scenario!$J38</f>
        <v>2031161.5894317664</v>
      </c>
      <c r="F8" s="250">
        <f>VAC_Optim_Scenario!$H38</f>
        <v>225000.022</v>
      </c>
      <c r="G8" s="251">
        <f>VAC_Optim_Scenario!$J38</f>
        <v>2031161.5894317664</v>
      </c>
      <c r="H8" s="250">
        <f>VAC_Optim_Scenario!$H38</f>
        <v>225000.022</v>
      </c>
      <c r="I8" s="251">
        <f>VAC_Optim_Scenario!$J38</f>
        <v>2031161.5894317664</v>
      </c>
      <c r="J8" s="246"/>
      <c r="K8" s="54" t="s">
        <v>154</v>
      </c>
      <c r="L8" s="54" t="str">
        <f>VAC_Optim_Scenario!B20</f>
        <v>HCC Online Video</v>
      </c>
      <c r="M8" s="252">
        <f t="shared" si="1"/>
        <v>0.22500002199999999</v>
      </c>
      <c r="N8" s="253">
        <f t="shared" si="0"/>
        <v>2.0311615894317665</v>
      </c>
      <c r="O8" s="252">
        <f t="shared" si="0"/>
        <v>0.22500002199999999</v>
      </c>
      <c r="P8" s="253">
        <f t="shared" si="0"/>
        <v>2.0311615894317665</v>
      </c>
      <c r="Q8" s="252">
        <f t="shared" si="0"/>
        <v>0.22500002199999999</v>
      </c>
      <c r="R8" s="253">
        <f t="shared" si="0"/>
        <v>2.0311615894317665</v>
      </c>
    </row>
    <row r="9" spans="2:20" x14ac:dyDescent="0.25">
      <c r="B9" s="54" t="s">
        <v>154</v>
      </c>
      <c r="C9" s="249" t="str">
        <f>VAC_Optim_Scenario!B21</f>
        <v>HCC Streaming Video</v>
      </c>
      <c r="D9" s="250">
        <f>VAC_Optim_Scenario!$H39</f>
        <v>7092172.847014742</v>
      </c>
      <c r="E9" s="251">
        <f>VAC_Optim_Scenario!$J39</f>
        <v>35989900.262106076</v>
      </c>
      <c r="F9" s="250">
        <f>VAC_Optim_Scenario!$H39</f>
        <v>7092172.847014742</v>
      </c>
      <c r="G9" s="251">
        <f>VAC_Optim_Scenario!$J39</f>
        <v>35989900.262106076</v>
      </c>
      <c r="H9" s="250">
        <f>VAC_Optim_Scenario!$H39</f>
        <v>7092172.847014742</v>
      </c>
      <c r="I9" s="251">
        <f>VAC_Optim_Scenario!$J39</f>
        <v>35989900.262106076</v>
      </c>
      <c r="J9" s="254"/>
      <c r="K9" s="54" t="s">
        <v>154</v>
      </c>
      <c r="L9" s="54" t="str">
        <f>VAC_Optim_Scenario!B21</f>
        <v>HCC Streaming Video</v>
      </c>
      <c r="M9" s="252">
        <f t="shared" si="1"/>
        <v>7.0921728470147416</v>
      </c>
      <c r="N9" s="253">
        <f t="shared" si="0"/>
        <v>35.989900262106076</v>
      </c>
      <c r="O9" s="252">
        <f t="shared" si="0"/>
        <v>7.0921728470147416</v>
      </c>
      <c r="P9" s="253">
        <f t="shared" si="0"/>
        <v>35.989900262106076</v>
      </c>
      <c r="Q9" s="252">
        <f t="shared" si="0"/>
        <v>7.0921728470147416</v>
      </c>
      <c r="R9" s="253">
        <f t="shared" si="0"/>
        <v>35.989900262106076</v>
      </c>
    </row>
    <row r="10" spans="2:20" x14ac:dyDescent="0.25">
      <c r="B10" s="54" t="s">
        <v>154</v>
      </c>
      <c r="C10" s="249" t="str">
        <f>VAC_Optim_Scenario!B22</f>
        <v>HCC Display</v>
      </c>
      <c r="D10" s="250">
        <f>VAC_Optim_Scenario!$H40</f>
        <v>2142864.5810000002</v>
      </c>
      <c r="E10" s="251">
        <f>VAC_Optim_Scenario!$J40</f>
        <v>28569508.760968704</v>
      </c>
      <c r="F10" s="250">
        <f>VAC_Optim_Scenario!$H40</f>
        <v>2142864.5810000002</v>
      </c>
      <c r="G10" s="251">
        <f>VAC_Optim_Scenario!$J40</f>
        <v>28569508.760968704</v>
      </c>
      <c r="H10" s="250">
        <f>VAC_Optim_Scenario!$H40</f>
        <v>2142864.5810000002</v>
      </c>
      <c r="I10" s="251">
        <f>VAC_Optim_Scenario!$J40</f>
        <v>28569508.760968704</v>
      </c>
      <c r="J10" s="254"/>
      <c r="K10" s="54" t="s">
        <v>154</v>
      </c>
      <c r="L10" s="54" t="str">
        <f>VAC_Optim_Scenario!B22</f>
        <v>HCC Display</v>
      </c>
      <c r="M10" s="252">
        <f t="shared" si="1"/>
        <v>2.1428645810000004</v>
      </c>
      <c r="N10" s="253">
        <f t="shared" si="0"/>
        <v>28.569508760968702</v>
      </c>
      <c r="O10" s="252">
        <f t="shared" si="0"/>
        <v>2.1428645810000004</v>
      </c>
      <c r="P10" s="253">
        <f t="shared" si="0"/>
        <v>28.569508760968702</v>
      </c>
      <c r="Q10" s="252">
        <f t="shared" si="0"/>
        <v>2.1428645810000004</v>
      </c>
      <c r="R10" s="253">
        <f t="shared" si="0"/>
        <v>28.569508760968702</v>
      </c>
    </row>
    <row r="11" spans="2:20" x14ac:dyDescent="0.25">
      <c r="B11" s="54" t="s">
        <v>154</v>
      </c>
      <c r="C11" s="249" t="str">
        <f>VAC_Optim_Scenario!B23</f>
        <v>HCC Paid Search</v>
      </c>
      <c r="D11" s="250">
        <f>VAC_Optim_Scenario!$H41</f>
        <v>448119.10000000003</v>
      </c>
      <c r="E11" s="251">
        <f>VAC_Optim_Scenario!$J41</f>
        <v>35482108.0336392</v>
      </c>
      <c r="F11" s="250">
        <f>VAC_Optim_Scenario!$H41</f>
        <v>448119.10000000003</v>
      </c>
      <c r="G11" s="251">
        <f>VAC_Optim_Scenario!$J41</f>
        <v>35482108.0336392</v>
      </c>
      <c r="H11" s="250">
        <f>VAC_Optim_Scenario!$H41</f>
        <v>448119.10000000003</v>
      </c>
      <c r="I11" s="251">
        <f>VAC_Optim_Scenario!$J41</f>
        <v>35482108.0336392</v>
      </c>
      <c r="J11" s="246"/>
      <c r="K11" s="54" t="s">
        <v>154</v>
      </c>
      <c r="L11" s="54" t="str">
        <f>VAC_Optim_Scenario!B23</f>
        <v>HCC Paid Search</v>
      </c>
      <c r="M11" s="252">
        <f t="shared" si="1"/>
        <v>0.44811910000000005</v>
      </c>
      <c r="N11" s="253">
        <f t="shared" si="0"/>
        <v>35.4821080336392</v>
      </c>
      <c r="O11" s="252">
        <f t="shared" si="0"/>
        <v>0.44811910000000005</v>
      </c>
      <c r="P11" s="253">
        <f t="shared" si="0"/>
        <v>35.4821080336392</v>
      </c>
      <c r="Q11" s="252">
        <f t="shared" si="0"/>
        <v>0.44811910000000005</v>
      </c>
      <c r="R11" s="253">
        <f t="shared" si="0"/>
        <v>35.4821080336392</v>
      </c>
    </row>
    <row r="12" spans="2:20" x14ac:dyDescent="0.25">
      <c r="B12" s="54" t="s">
        <v>154</v>
      </c>
      <c r="C12" s="249" t="str">
        <f>VAC_Optim_Scenario!B24</f>
        <v>HCC Audio</v>
      </c>
      <c r="D12" s="250">
        <f>VAC_Optim_Scenario!$H42</f>
        <v>1868162.933</v>
      </c>
      <c r="E12" s="251">
        <f>VAC_Optim_Scenario!$J42</f>
        <v>18662665.324166391</v>
      </c>
      <c r="F12" s="250">
        <f>VAC_Optim_Scenario!$H42</f>
        <v>1868162.933</v>
      </c>
      <c r="G12" s="251">
        <f>VAC_Optim_Scenario!$J42</f>
        <v>18662665.324166391</v>
      </c>
      <c r="H12" s="250">
        <f>VAC_Optim_Scenario!$H42</f>
        <v>1868162.933</v>
      </c>
      <c r="I12" s="251">
        <f>VAC_Optim_Scenario!$J42</f>
        <v>18662665.324166391</v>
      </c>
      <c r="J12" s="246"/>
      <c r="K12" s="54" t="s">
        <v>154</v>
      </c>
      <c r="L12" s="54" t="str">
        <f>VAC_Optim_Scenario!B24</f>
        <v>HCC Audio</v>
      </c>
      <c r="M12" s="252">
        <f t="shared" si="1"/>
        <v>1.868162933</v>
      </c>
      <c r="N12" s="253">
        <f t="shared" si="0"/>
        <v>18.66266532416639</v>
      </c>
      <c r="O12" s="252">
        <f t="shared" si="0"/>
        <v>1.868162933</v>
      </c>
      <c r="P12" s="253">
        <f t="shared" si="0"/>
        <v>18.66266532416639</v>
      </c>
      <c r="Q12" s="252">
        <f t="shared" si="0"/>
        <v>1.868162933</v>
      </c>
      <c r="R12" s="253">
        <f t="shared" si="0"/>
        <v>18.66266532416639</v>
      </c>
    </row>
    <row r="13" spans="2:20" x14ac:dyDescent="0.25">
      <c r="B13" s="263" t="s">
        <v>154</v>
      </c>
      <c r="C13" s="236" t="str">
        <f>VAC_Optim_Scenario!B25</f>
        <v>HCC TV</v>
      </c>
      <c r="D13" s="264">
        <f>VAC_Optim_Scenario!$H43</f>
        <v>13503524.99</v>
      </c>
      <c r="E13" s="264">
        <f>VAC_Optim_Scenario!$J43</f>
        <v>57317880.122995496</v>
      </c>
      <c r="F13" s="264">
        <f>VAC_Optim_Scenario!$H43</f>
        <v>13503524.99</v>
      </c>
      <c r="G13" s="264">
        <f>VAC_Optim_Scenario!$J43</f>
        <v>57317880.122995496</v>
      </c>
      <c r="H13" s="264">
        <f>VAC_Optim_Scenario!$H43</f>
        <v>13503524.99</v>
      </c>
      <c r="I13" s="264">
        <f>VAC_Optim_Scenario!$J43</f>
        <v>57317880.122995496</v>
      </c>
      <c r="J13" s="246"/>
      <c r="K13" s="263" t="s">
        <v>154</v>
      </c>
      <c r="L13" s="263" t="str">
        <f>VAC_Optim_Scenario!B25</f>
        <v>HCC TV</v>
      </c>
      <c r="M13" s="257">
        <f t="shared" si="1"/>
        <v>13.503524990000001</v>
      </c>
      <c r="N13" s="257">
        <f t="shared" si="0"/>
        <v>57.317880122995497</v>
      </c>
      <c r="O13" s="257">
        <f t="shared" si="0"/>
        <v>13.503524990000001</v>
      </c>
      <c r="P13" s="257">
        <f t="shared" si="0"/>
        <v>57.317880122995497</v>
      </c>
      <c r="Q13" s="257">
        <f t="shared" si="0"/>
        <v>13.503524990000001</v>
      </c>
      <c r="R13" s="257">
        <f t="shared" si="0"/>
        <v>57.317880122995497</v>
      </c>
    </row>
    <row r="14" spans="2:20" x14ac:dyDescent="0.25">
      <c r="T14" s="305"/>
    </row>
    <row r="15" spans="2:20" x14ac:dyDescent="0.25">
      <c r="C15" s="240" t="s">
        <v>238</v>
      </c>
    </row>
    <row r="17" spans="2:19" ht="37.9" customHeight="1" x14ac:dyDescent="0.25">
      <c r="C17" s="454" t="s">
        <v>3</v>
      </c>
      <c r="D17" s="455" t="s">
        <v>232</v>
      </c>
      <c r="E17" s="456"/>
      <c r="F17" s="455" t="s">
        <v>239</v>
      </c>
      <c r="G17" s="456"/>
      <c r="H17" s="455" t="s">
        <v>240</v>
      </c>
      <c r="I17" s="456"/>
      <c r="L17" s="454" t="s">
        <v>3</v>
      </c>
      <c r="M17" s="455" t="s">
        <v>232</v>
      </c>
      <c r="N17" s="456"/>
      <c r="O17" s="455" t="s">
        <v>239</v>
      </c>
      <c r="P17" s="456"/>
      <c r="Q17" s="455" t="s">
        <v>240</v>
      </c>
      <c r="R17" s="456"/>
    </row>
    <row r="18" spans="2:19" ht="25.5" x14ac:dyDescent="0.25">
      <c r="C18" s="453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453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43" t="str">
        <f>VAC_Optim_Scenario!B17</f>
        <v>HCC In Office</v>
      </c>
      <c r="D19" s="244">
        <f>VAC_Optim_Scenario!$H35</f>
        <v>1346172.4927629044</v>
      </c>
      <c r="E19" s="245">
        <f>VAC_Optim_Scenario!$J35</f>
        <v>6361120.4206124544</v>
      </c>
      <c r="F19" s="244">
        <f>VAC_Optim_Scenario!$H35</f>
        <v>1346172.4927629044</v>
      </c>
      <c r="G19" s="245">
        <f>VAC_Optim_Scenario!$J35</f>
        <v>6361120.4206124544</v>
      </c>
      <c r="H19" s="244">
        <f>VAC_Optim_Scenario!$H35</f>
        <v>1346172.4927629044</v>
      </c>
      <c r="I19" s="245">
        <f>VAC_Optim_Scenario!$J35</f>
        <v>6361120.4206124544</v>
      </c>
      <c r="J19" s="246"/>
      <c r="K19" s="53" t="s">
        <v>154</v>
      </c>
      <c r="L19" s="243" t="str">
        <f>VAC_Optim_Scenario!B17</f>
        <v>HCC In Office</v>
      </c>
      <c r="M19" s="247">
        <f>D19/1000000</f>
        <v>1.3461724927629044</v>
      </c>
      <c r="N19" s="248">
        <f t="shared" ref="N19:R27" si="2">E19/1000000</f>
        <v>6.3611204206124548</v>
      </c>
      <c r="O19" s="247">
        <f t="shared" si="2"/>
        <v>1.3461724927629044</v>
      </c>
      <c r="P19" s="248">
        <f t="shared" si="2"/>
        <v>6.3611204206124548</v>
      </c>
      <c r="Q19" s="247">
        <f t="shared" si="2"/>
        <v>1.3461724927629044</v>
      </c>
      <c r="R19" s="248">
        <f t="shared" si="2"/>
        <v>6.3611204206124548</v>
      </c>
    </row>
    <row r="20" spans="2:19" x14ac:dyDescent="0.25">
      <c r="B20" s="54" t="s">
        <v>154</v>
      </c>
      <c r="C20" s="249" t="str">
        <f>VAC_Optim_Scenario!B18</f>
        <v>HCP MCM</v>
      </c>
      <c r="D20" s="250">
        <f>VAC_Optim_Scenario!$H36</f>
        <v>6974984.7570000011</v>
      </c>
      <c r="E20" s="251">
        <f>VAC_Optim_Scenario!$J36</f>
        <v>75572474.639871225</v>
      </c>
      <c r="F20" s="250">
        <f>VAC_Optim_Scenario!$H36</f>
        <v>6974984.7570000011</v>
      </c>
      <c r="G20" s="251">
        <f>VAC_Optim_Scenario!$J36</f>
        <v>75572474.639871225</v>
      </c>
      <c r="H20" s="250">
        <f>VAC_Optim_Scenario!$H36</f>
        <v>6974984.7570000011</v>
      </c>
      <c r="I20" s="251">
        <f>VAC_Optim_Scenario!$J36</f>
        <v>75572474.639871225</v>
      </c>
      <c r="J20" s="246"/>
      <c r="K20" s="54" t="s">
        <v>154</v>
      </c>
      <c r="L20" s="249" t="str">
        <f>VAC_Optim_Scenario!B18</f>
        <v>HCP MCM</v>
      </c>
      <c r="M20" s="252">
        <f t="shared" ref="M20:M27" si="3">D20/1000000</f>
        <v>6.9749847570000014</v>
      </c>
      <c r="N20" s="253">
        <f t="shared" si="2"/>
        <v>75.572474639871231</v>
      </c>
      <c r="O20" s="252">
        <f t="shared" si="2"/>
        <v>6.9749847570000014</v>
      </c>
      <c r="P20" s="253">
        <f t="shared" si="2"/>
        <v>75.572474639871231</v>
      </c>
      <c r="Q20" s="252">
        <f t="shared" si="2"/>
        <v>6.9749847570000014</v>
      </c>
      <c r="R20" s="253">
        <f t="shared" si="2"/>
        <v>75.572474639871231</v>
      </c>
    </row>
    <row r="21" spans="2:19" x14ac:dyDescent="0.25">
      <c r="B21" s="54" t="s">
        <v>154</v>
      </c>
      <c r="C21" s="249" t="str">
        <f>VAC_Optim_Scenario!B19</f>
        <v>HCC Social</v>
      </c>
      <c r="D21" s="250">
        <f>VAC_Optim_Scenario!$H37</f>
        <v>2434900</v>
      </c>
      <c r="E21" s="251">
        <f>VAC_Optim_Scenario!$J37</f>
        <v>18840932.631302718</v>
      </c>
      <c r="F21" s="250">
        <f>VAC_Optim_Scenario!$H37</f>
        <v>2434900</v>
      </c>
      <c r="G21" s="251">
        <f>VAC_Optim_Scenario!$J37</f>
        <v>18840932.631302718</v>
      </c>
      <c r="H21" s="250">
        <f>VAC_Optim_Scenario!$H37</f>
        <v>2434900</v>
      </c>
      <c r="I21" s="251">
        <f>VAC_Optim_Scenario!$J37</f>
        <v>18840932.631302718</v>
      </c>
      <c r="J21" s="254"/>
      <c r="K21" s="54" t="s">
        <v>154</v>
      </c>
      <c r="L21" s="249" t="str">
        <f>VAC_Optim_Scenario!B19</f>
        <v>HCC Social</v>
      </c>
      <c r="M21" s="252">
        <f t="shared" si="3"/>
        <v>2.4348999999999998</v>
      </c>
      <c r="N21" s="253">
        <f t="shared" si="2"/>
        <v>18.840932631302717</v>
      </c>
      <c r="O21" s="252">
        <f t="shared" si="2"/>
        <v>2.4348999999999998</v>
      </c>
      <c r="P21" s="253">
        <f t="shared" si="2"/>
        <v>18.840932631302717</v>
      </c>
      <c r="Q21" s="252">
        <f t="shared" si="2"/>
        <v>2.4348999999999998</v>
      </c>
      <c r="R21" s="253">
        <f t="shared" si="2"/>
        <v>18.840932631302717</v>
      </c>
    </row>
    <row r="22" spans="2:19" x14ac:dyDescent="0.25">
      <c r="B22" s="54" t="s">
        <v>154</v>
      </c>
      <c r="C22" s="249" t="str">
        <f>VAC_Optim_Scenario!B20</f>
        <v>HCC Online Video</v>
      </c>
      <c r="D22" s="250">
        <f>VAC_Optim_Scenario!$H38</f>
        <v>225000.022</v>
      </c>
      <c r="E22" s="251">
        <f>VAC_Optim_Scenario!$J38</f>
        <v>2031161.5894317664</v>
      </c>
      <c r="F22" s="250">
        <f>VAC_Optim_Scenario!$H38</f>
        <v>225000.022</v>
      </c>
      <c r="G22" s="251">
        <f>VAC_Optim_Scenario!$J38</f>
        <v>2031161.5894317664</v>
      </c>
      <c r="H22" s="250">
        <f>VAC_Optim_Scenario!$H38</f>
        <v>225000.022</v>
      </c>
      <c r="I22" s="251">
        <f>VAC_Optim_Scenario!$J38</f>
        <v>2031161.5894317664</v>
      </c>
      <c r="J22" s="246"/>
      <c r="K22" s="54" t="s">
        <v>154</v>
      </c>
      <c r="L22" s="249" t="str">
        <f>VAC_Optim_Scenario!B20</f>
        <v>HCC Online Video</v>
      </c>
      <c r="M22" s="252">
        <f t="shared" si="3"/>
        <v>0.22500002199999999</v>
      </c>
      <c r="N22" s="253">
        <f t="shared" si="2"/>
        <v>2.0311615894317665</v>
      </c>
      <c r="O22" s="252">
        <f t="shared" si="2"/>
        <v>0.22500002199999999</v>
      </c>
      <c r="P22" s="253">
        <f t="shared" si="2"/>
        <v>2.0311615894317665</v>
      </c>
      <c r="Q22" s="252">
        <f t="shared" si="2"/>
        <v>0.22500002199999999</v>
      </c>
      <c r="R22" s="253">
        <f t="shared" si="2"/>
        <v>2.0311615894317665</v>
      </c>
    </row>
    <row r="23" spans="2:19" x14ac:dyDescent="0.25">
      <c r="B23" s="54" t="s">
        <v>154</v>
      </c>
      <c r="C23" s="249" t="str">
        <f>VAC_Optim_Scenario!B21</f>
        <v>HCC Streaming Video</v>
      </c>
      <c r="D23" s="250">
        <f>VAC_Optim_Scenario!$H39</f>
        <v>7092172.847014742</v>
      </c>
      <c r="E23" s="251">
        <f>VAC_Optim_Scenario!$J39</f>
        <v>35989900.262106076</v>
      </c>
      <c r="F23" s="250">
        <f>VAC_Optim_Scenario!$H39</f>
        <v>7092172.847014742</v>
      </c>
      <c r="G23" s="251">
        <f>VAC_Optim_Scenario!$J39</f>
        <v>35989900.262106076</v>
      </c>
      <c r="H23" s="250">
        <f>VAC_Optim_Scenario!$H39</f>
        <v>7092172.847014742</v>
      </c>
      <c r="I23" s="251">
        <f>VAC_Optim_Scenario!$J39</f>
        <v>35989900.262106076</v>
      </c>
      <c r="J23" s="254"/>
      <c r="K23" s="54" t="s">
        <v>154</v>
      </c>
      <c r="L23" s="249" t="str">
        <f>VAC_Optim_Scenario!B21</f>
        <v>HCC Streaming Video</v>
      </c>
      <c r="M23" s="252">
        <f t="shared" si="3"/>
        <v>7.0921728470147416</v>
      </c>
      <c r="N23" s="253">
        <f t="shared" si="2"/>
        <v>35.989900262106076</v>
      </c>
      <c r="O23" s="252">
        <f t="shared" si="2"/>
        <v>7.0921728470147416</v>
      </c>
      <c r="P23" s="253">
        <f t="shared" si="2"/>
        <v>35.989900262106076</v>
      </c>
      <c r="Q23" s="252">
        <f t="shared" si="2"/>
        <v>7.0921728470147416</v>
      </c>
      <c r="R23" s="253">
        <f t="shared" si="2"/>
        <v>35.989900262106076</v>
      </c>
    </row>
    <row r="24" spans="2:19" x14ac:dyDescent="0.25">
      <c r="B24" s="54" t="s">
        <v>154</v>
      </c>
      <c r="C24" s="249" t="str">
        <f>VAC_Optim_Scenario!B22</f>
        <v>HCC Display</v>
      </c>
      <c r="D24" s="250">
        <f>VAC_Optim_Scenario!$H40</f>
        <v>2142864.5810000002</v>
      </c>
      <c r="E24" s="251">
        <f>VAC_Optim_Scenario!$J40</f>
        <v>28569508.760968704</v>
      </c>
      <c r="F24" s="250">
        <f>VAC_Optim_Scenario!$H40</f>
        <v>2142864.5810000002</v>
      </c>
      <c r="G24" s="251">
        <f>VAC_Optim_Scenario!$J40</f>
        <v>28569508.760968704</v>
      </c>
      <c r="H24" s="250">
        <f>VAC_Optim_Scenario!$H40</f>
        <v>2142864.5810000002</v>
      </c>
      <c r="I24" s="251">
        <f>VAC_Optim_Scenario!$J40</f>
        <v>28569508.760968704</v>
      </c>
      <c r="J24" s="254"/>
      <c r="K24" s="54" t="s">
        <v>154</v>
      </c>
      <c r="L24" s="249" t="str">
        <f>VAC_Optim_Scenario!B22</f>
        <v>HCC Display</v>
      </c>
      <c r="M24" s="252">
        <f t="shared" si="3"/>
        <v>2.1428645810000004</v>
      </c>
      <c r="N24" s="253">
        <f t="shared" si="2"/>
        <v>28.569508760968702</v>
      </c>
      <c r="O24" s="252">
        <f t="shared" si="2"/>
        <v>2.1428645810000004</v>
      </c>
      <c r="P24" s="253">
        <f t="shared" si="2"/>
        <v>28.569508760968702</v>
      </c>
      <c r="Q24" s="252">
        <f t="shared" si="2"/>
        <v>2.1428645810000004</v>
      </c>
      <c r="R24" s="253">
        <f t="shared" si="2"/>
        <v>28.569508760968702</v>
      </c>
    </row>
    <row r="25" spans="2:19" x14ac:dyDescent="0.25">
      <c r="B25" s="54" t="s">
        <v>154</v>
      </c>
      <c r="C25" s="249" t="str">
        <f>VAC_Optim_Scenario!B23</f>
        <v>HCC Paid Search</v>
      </c>
      <c r="D25" s="250">
        <f>VAC_Optim_Scenario!$H41</f>
        <v>448119.10000000003</v>
      </c>
      <c r="E25" s="251">
        <f>VAC_Optim_Scenario!$J41</f>
        <v>35482108.0336392</v>
      </c>
      <c r="F25" s="250">
        <f>VAC_Optim_Scenario!$H41</f>
        <v>448119.10000000003</v>
      </c>
      <c r="G25" s="251">
        <f>VAC_Optim_Scenario!$J41</f>
        <v>35482108.0336392</v>
      </c>
      <c r="H25" s="250">
        <f>VAC_Optim_Scenario!$H41</f>
        <v>448119.10000000003</v>
      </c>
      <c r="I25" s="251">
        <f>VAC_Optim_Scenario!$J41</f>
        <v>35482108.0336392</v>
      </c>
      <c r="J25" s="254"/>
      <c r="K25" s="54" t="s">
        <v>154</v>
      </c>
      <c r="L25" s="249" t="str">
        <f>VAC_Optim_Scenario!B23</f>
        <v>HCC Paid Search</v>
      </c>
      <c r="M25" s="252">
        <f t="shared" si="3"/>
        <v>0.44811910000000005</v>
      </c>
      <c r="N25" s="253">
        <f t="shared" si="2"/>
        <v>35.4821080336392</v>
      </c>
      <c r="O25" s="252">
        <f t="shared" si="2"/>
        <v>0.44811910000000005</v>
      </c>
      <c r="P25" s="253">
        <f t="shared" si="2"/>
        <v>35.4821080336392</v>
      </c>
      <c r="Q25" s="252">
        <f t="shared" si="2"/>
        <v>0.44811910000000005</v>
      </c>
      <c r="R25" s="253">
        <f t="shared" si="2"/>
        <v>35.4821080336392</v>
      </c>
    </row>
    <row r="26" spans="2:19" x14ac:dyDescent="0.25">
      <c r="B26" s="54" t="s">
        <v>154</v>
      </c>
      <c r="C26" s="249" t="str">
        <f>VAC_Optim_Scenario!B24</f>
        <v>HCC Audio</v>
      </c>
      <c r="D26" s="250">
        <f>VAC_Optim_Scenario!$H42</f>
        <v>1868162.933</v>
      </c>
      <c r="E26" s="251">
        <f>VAC_Optim_Scenario!$J42</f>
        <v>18662665.324166391</v>
      </c>
      <c r="F26" s="250">
        <f>VAC_Optim_Scenario!$H42</f>
        <v>1868162.933</v>
      </c>
      <c r="G26" s="251">
        <f>VAC_Optim_Scenario!$J42</f>
        <v>18662665.324166391</v>
      </c>
      <c r="H26" s="250">
        <f>VAC_Optim_Scenario!$H42</f>
        <v>1868162.933</v>
      </c>
      <c r="I26" s="251">
        <f>VAC_Optim_Scenario!$J42</f>
        <v>18662665.324166391</v>
      </c>
      <c r="J26" s="254"/>
      <c r="K26" s="54" t="s">
        <v>154</v>
      </c>
      <c r="L26" s="249" t="str">
        <f>VAC_Optim_Scenario!B24</f>
        <v>HCC Audio</v>
      </c>
      <c r="M26" s="252">
        <f t="shared" si="3"/>
        <v>1.868162933</v>
      </c>
      <c r="N26" s="253">
        <f t="shared" si="2"/>
        <v>18.66266532416639</v>
      </c>
      <c r="O26" s="252">
        <f t="shared" si="2"/>
        <v>1.868162933</v>
      </c>
      <c r="P26" s="253">
        <f t="shared" si="2"/>
        <v>18.66266532416639</v>
      </c>
      <c r="Q26" s="252">
        <f t="shared" si="2"/>
        <v>1.868162933</v>
      </c>
      <c r="R26" s="253">
        <f t="shared" si="2"/>
        <v>18.66266532416639</v>
      </c>
    </row>
    <row r="27" spans="2:19" x14ac:dyDescent="0.25">
      <c r="B27" s="263" t="s">
        <v>154</v>
      </c>
      <c r="C27" s="236" t="str">
        <f>VAC_Optim_Scenario!B25</f>
        <v>HCC TV</v>
      </c>
      <c r="D27" s="264">
        <f>VAC_Optim_Scenario!$H43</f>
        <v>13503524.99</v>
      </c>
      <c r="E27" s="264">
        <f>VAC_Optim_Scenario!$J43</f>
        <v>57317880.122995496</v>
      </c>
      <c r="F27" s="264">
        <f>VAC_Optim_Scenario!$H43</f>
        <v>13503524.99</v>
      </c>
      <c r="G27" s="264">
        <f>VAC_Optim_Scenario!$J43</f>
        <v>57317880.122995496</v>
      </c>
      <c r="H27" s="264">
        <f>VAC_Optim_Scenario!$H43</f>
        <v>13503524.99</v>
      </c>
      <c r="I27" s="264">
        <f>VAC_Optim_Scenario!$J43</f>
        <v>57317880.122995496</v>
      </c>
      <c r="J27" s="254"/>
      <c r="K27" s="263" t="s">
        <v>154</v>
      </c>
      <c r="L27" s="236" t="str">
        <f>VAC_Optim_Scenario!B25</f>
        <v>HCC TV</v>
      </c>
      <c r="M27" s="257">
        <f t="shared" si="3"/>
        <v>13.503524990000001</v>
      </c>
      <c r="N27" s="257">
        <f t="shared" si="2"/>
        <v>57.317880122995497</v>
      </c>
      <c r="O27" s="257">
        <f t="shared" si="2"/>
        <v>13.503524990000001</v>
      </c>
      <c r="P27" s="257">
        <f t="shared" si="2"/>
        <v>57.317880122995497</v>
      </c>
      <c r="Q27" s="257">
        <f t="shared" si="2"/>
        <v>13.503524990000001</v>
      </c>
      <c r="R27" s="257">
        <f t="shared" si="2"/>
        <v>57.317880122995497</v>
      </c>
    </row>
    <row r="30" spans="2:19" ht="34.35" customHeight="1" x14ac:dyDescent="0.25">
      <c r="C30" s="289" t="s">
        <v>3</v>
      </c>
      <c r="D30" s="290" t="s">
        <v>241</v>
      </c>
      <c r="E30" s="255">
        <v>-0.5</v>
      </c>
      <c r="F30" s="255">
        <v>2</v>
      </c>
      <c r="G30" s="255">
        <v>-0.4</v>
      </c>
      <c r="H30" s="255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06" t="str">
        <f>VAC_Optim_Scenario!B17</f>
        <v>HCC In Office</v>
      </c>
      <c r="D31" s="247">
        <f>M19</f>
        <v>1.3461724927629044</v>
      </c>
      <c r="E31" s="247">
        <f>O5</f>
        <v>1.3461724927629044</v>
      </c>
      <c r="F31" s="247">
        <f>Q5</f>
        <v>1.3461724927629044</v>
      </c>
      <c r="G31" s="247">
        <f>O19</f>
        <v>1.3461724927629044</v>
      </c>
      <c r="H31" s="247">
        <f>Q19</f>
        <v>1.3461724927629044</v>
      </c>
      <c r="J31" s="256">
        <v>-0.5</v>
      </c>
      <c r="K31" s="257">
        <f>E$31</f>
        <v>1.3461724927629044</v>
      </c>
      <c r="L31" s="257">
        <f>E$32</f>
        <v>6.9749847570000014</v>
      </c>
      <c r="M31" s="257">
        <f>E$33</f>
        <v>2.4348999999999998</v>
      </c>
      <c r="N31" s="257">
        <f>E$34</f>
        <v>0.22500002199999999</v>
      </c>
      <c r="O31" s="257">
        <f>E$35</f>
        <v>7.0921728470147416</v>
      </c>
      <c r="P31" s="257">
        <f>E$36</f>
        <v>2.1428645810000004</v>
      </c>
      <c r="Q31" s="257">
        <f>E$37</f>
        <v>0.44811910000000005</v>
      </c>
      <c r="R31" s="257">
        <f>E$38</f>
        <v>1.868162933</v>
      </c>
      <c r="S31" s="257">
        <f>E$39</f>
        <v>13.503524990000001</v>
      </c>
    </row>
    <row r="32" spans="2:19" x14ac:dyDescent="0.25">
      <c r="B32" s="54" t="s">
        <v>154</v>
      </c>
      <c r="C32" s="307" t="str">
        <f>VAC_Optim_Scenario!B18</f>
        <v>HCP MCM</v>
      </c>
      <c r="D32" s="252">
        <f t="shared" ref="D32:D39" si="4">M20</f>
        <v>6.9749847570000014</v>
      </c>
      <c r="E32" s="252">
        <f t="shared" ref="E32:E39" si="5">O6</f>
        <v>6.9749847570000014</v>
      </c>
      <c r="F32" s="252">
        <f t="shared" ref="F32:F39" si="6">Q6</f>
        <v>6.9749847570000014</v>
      </c>
      <c r="G32" s="252">
        <f t="shared" ref="G32:G39" si="7">O20</f>
        <v>6.9749847570000014</v>
      </c>
      <c r="H32" s="252">
        <f t="shared" ref="H32:H39" si="8">Q20</f>
        <v>6.9749847570000014</v>
      </c>
      <c r="J32" s="256">
        <v>-0.4</v>
      </c>
      <c r="K32" s="257">
        <f>G$31</f>
        <v>1.3461724927629044</v>
      </c>
      <c r="L32" s="257">
        <f>G$32</f>
        <v>6.9749847570000014</v>
      </c>
      <c r="M32" s="257">
        <f>G$33</f>
        <v>2.4348999999999998</v>
      </c>
      <c r="N32" s="257">
        <f>G$34</f>
        <v>0.22500002199999999</v>
      </c>
      <c r="O32" s="257">
        <f>G$35</f>
        <v>7.0921728470147416</v>
      </c>
      <c r="P32" s="257">
        <f>G$36</f>
        <v>2.1428645810000004</v>
      </c>
      <c r="Q32" s="257">
        <f>G$37</f>
        <v>0.44811910000000005</v>
      </c>
      <c r="R32" s="257">
        <f>G$38</f>
        <v>1.868162933</v>
      </c>
      <c r="S32" s="257">
        <f>G$39</f>
        <v>13.503524990000001</v>
      </c>
    </row>
    <row r="33" spans="2:22" x14ac:dyDescent="0.25">
      <c r="B33" s="54" t="s">
        <v>154</v>
      </c>
      <c r="C33" s="307" t="str">
        <f>VAC_Optim_Scenario!B19</f>
        <v>HCC Social</v>
      </c>
      <c r="D33" s="252">
        <f t="shared" si="4"/>
        <v>2.4348999999999998</v>
      </c>
      <c r="E33" s="252">
        <f t="shared" si="5"/>
        <v>2.4348999999999998</v>
      </c>
      <c r="F33" s="252">
        <f t="shared" si="6"/>
        <v>2.4348999999999998</v>
      </c>
      <c r="G33" s="252">
        <f t="shared" si="7"/>
        <v>2.4348999999999998</v>
      </c>
      <c r="H33" s="252">
        <f t="shared" si="8"/>
        <v>2.4348999999999998</v>
      </c>
      <c r="J33" s="256" t="s">
        <v>241</v>
      </c>
      <c r="K33" s="257">
        <f>D$31</f>
        <v>1.3461724927629044</v>
      </c>
      <c r="L33" s="257">
        <f>D$32</f>
        <v>6.9749847570000014</v>
      </c>
      <c r="M33" s="257">
        <f>D$33</f>
        <v>2.4348999999999998</v>
      </c>
      <c r="N33" s="257">
        <f>D$34</f>
        <v>0.22500002199999999</v>
      </c>
      <c r="O33" s="257">
        <f>D$35</f>
        <v>7.0921728470147416</v>
      </c>
      <c r="P33" s="257">
        <f>D$36</f>
        <v>2.1428645810000004</v>
      </c>
      <c r="Q33" s="257">
        <f>D$37</f>
        <v>0.44811910000000005</v>
      </c>
      <c r="R33" s="257">
        <f>D$38</f>
        <v>1.868162933</v>
      </c>
      <c r="S33" s="257">
        <f>D$39</f>
        <v>13.503524990000001</v>
      </c>
    </row>
    <row r="34" spans="2:22" x14ac:dyDescent="0.25">
      <c r="B34" s="54" t="s">
        <v>154</v>
      </c>
      <c r="C34" s="307" t="str">
        <f>VAC_Optim_Scenario!B20</f>
        <v>HCC Online Video</v>
      </c>
      <c r="D34" s="252">
        <f t="shared" si="4"/>
        <v>0.22500002199999999</v>
      </c>
      <c r="E34" s="252">
        <f t="shared" si="5"/>
        <v>0.22500002199999999</v>
      </c>
      <c r="F34" s="252">
        <f t="shared" si="6"/>
        <v>0.22500002199999999</v>
      </c>
      <c r="G34" s="252">
        <f t="shared" si="7"/>
        <v>0.22500002199999999</v>
      </c>
      <c r="H34" s="252">
        <f t="shared" si="8"/>
        <v>0.22500002199999999</v>
      </c>
      <c r="J34" s="256">
        <v>0.4</v>
      </c>
      <c r="K34" s="257">
        <f>H$31</f>
        <v>1.3461724927629044</v>
      </c>
      <c r="L34" s="257">
        <f>H$32</f>
        <v>6.9749847570000014</v>
      </c>
      <c r="M34" s="257">
        <f>H$33</f>
        <v>2.4348999999999998</v>
      </c>
      <c r="N34" s="257">
        <f>H$34</f>
        <v>0.22500002199999999</v>
      </c>
      <c r="O34" s="257">
        <f>H$35</f>
        <v>7.0921728470147416</v>
      </c>
      <c r="P34" s="257">
        <f>H$36</f>
        <v>2.1428645810000004</v>
      </c>
      <c r="Q34" s="257">
        <f>H$37</f>
        <v>0.44811910000000005</v>
      </c>
      <c r="R34" s="257">
        <f>H$38</f>
        <v>1.868162933</v>
      </c>
      <c r="S34" s="257">
        <f>H$39</f>
        <v>13.503524990000001</v>
      </c>
    </row>
    <row r="35" spans="2:22" x14ac:dyDescent="0.25">
      <c r="B35" s="54" t="s">
        <v>154</v>
      </c>
      <c r="C35" s="307" t="str">
        <f>VAC_Optim_Scenario!B21</f>
        <v>HCC Streaming Video</v>
      </c>
      <c r="D35" s="252">
        <f t="shared" si="4"/>
        <v>7.0921728470147416</v>
      </c>
      <c r="E35" s="252">
        <f t="shared" si="5"/>
        <v>7.0921728470147416</v>
      </c>
      <c r="F35" s="252">
        <f t="shared" si="6"/>
        <v>7.0921728470147416</v>
      </c>
      <c r="G35" s="252">
        <f t="shared" si="7"/>
        <v>7.0921728470147416</v>
      </c>
      <c r="H35" s="252">
        <f t="shared" si="8"/>
        <v>7.0921728470147416</v>
      </c>
      <c r="J35" s="255">
        <v>2</v>
      </c>
      <c r="K35" s="257">
        <f>F$31</f>
        <v>1.3461724927629044</v>
      </c>
      <c r="L35" s="257">
        <f>F$32</f>
        <v>6.9749847570000014</v>
      </c>
      <c r="M35" s="257">
        <f>F$33</f>
        <v>2.4348999999999998</v>
      </c>
      <c r="N35" s="257">
        <f>F$34</f>
        <v>0.22500002199999999</v>
      </c>
      <c r="O35" s="257">
        <f>F$35</f>
        <v>7.0921728470147416</v>
      </c>
      <c r="P35" s="257">
        <f>F$36</f>
        <v>2.1428645810000004</v>
      </c>
      <c r="Q35" s="257">
        <f>F$37</f>
        <v>0.44811910000000005</v>
      </c>
      <c r="R35" s="257">
        <f>F$38</f>
        <v>1.868162933</v>
      </c>
      <c r="S35" s="257">
        <f>F$39</f>
        <v>13.503524990000001</v>
      </c>
    </row>
    <row r="36" spans="2:22" x14ac:dyDescent="0.25">
      <c r="B36" s="54" t="s">
        <v>154</v>
      </c>
      <c r="C36" s="307" t="str">
        <f>VAC_Optim_Scenario!B22</f>
        <v>HCC Display</v>
      </c>
      <c r="D36" s="252">
        <f t="shared" si="4"/>
        <v>2.1428645810000004</v>
      </c>
      <c r="E36" s="252">
        <f t="shared" si="5"/>
        <v>2.1428645810000004</v>
      </c>
      <c r="F36" s="252">
        <f t="shared" si="6"/>
        <v>2.1428645810000004</v>
      </c>
      <c r="G36" s="252">
        <f t="shared" si="7"/>
        <v>2.1428645810000004</v>
      </c>
      <c r="H36" s="252">
        <f t="shared" si="8"/>
        <v>2.1428645810000004</v>
      </c>
    </row>
    <row r="37" spans="2:22" x14ac:dyDescent="0.25">
      <c r="B37" s="54" t="s">
        <v>154</v>
      </c>
      <c r="C37" s="307" t="str">
        <f>VAC_Optim_Scenario!B23</f>
        <v>HCC Paid Search</v>
      </c>
      <c r="D37" s="252">
        <f t="shared" si="4"/>
        <v>0.44811910000000005</v>
      </c>
      <c r="E37" s="252">
        <f t="shared" si="5"/>
        <v>0.44811910000000005</v>
      </c>
      <c r="F37" s="252">
        <f t="shared" si="6"/>
        <v>0.44811910000000005</v>
      </c>
      <c r="G37" s="252">
        <f t="shared" si="7"/>
        <v>0.44811910000000005</v>
      </c>
      <c r="H37" s="252">
        <f t="shared" si="8"/>
        <v>0.44811910000000005</v>
      </c>
      <c r="J37" s="273"/>
      <c r="K37" s="258"/>
      <c r="L37" s="258"/>
      <c r="M37" s="258"/>
      <c r="N37" s="258"/>
      <c r="O37" s="258"/>
      <c r="P37" s="258"/>
      <c r="Q37" s="258"/>
      <c r="R37" s="258"/>
    </row>
    <row r="38" spans="2:22" x14ac:dyDescent="0.25">
      <c r="B38" s="54" t="s">
        <v>154</v>
      </c>
      <c r="C38" s="307" t="str">
        <f>VAC_Optim_Scenario!B24</f>
        <v>HCC Audio</v>
      </c>
      <c r="D38" s="252">
        <f t="shared" si="4"/>
        <v>1.868162933</v>
      </c>
      <c r="E38" s="252">
        <f t="shared" si="5"/>
        <v>1.868162933</v>
      </c>
      <c r="F38" s="252">
        <f t="shared" si="6"/>
        <v>1.868162933</v>
      </c>
      <c r="G38" s="252">
        <f t="shared" si="7"/>
        <v>1.868162933</v>
      </c>
      <c r="H38" s="252">
        <f t="shared" si="8"/>
        <v>1.868162933</v>
      </c>
      <c r="J38" s="274"/>
      <c r="K38" s="259"/>
      <c r="L38" s="259"/>
      <c r="M38" s="259"/>
      <c r="N38" s="259"/>
      <c r="O38" s="259"/>
      <c r="P38" s="259"/>
      <c r="Q38" s="259"/>
      <c r="R38" s="259"/>
    </row>
    <row r="39" spans="2:22" x14ac:dyDescent="0.25">
      <c r="B39" s="97" t="s">
        <v>154</v>
      </c>
      <c r="C39" s="308" t="str">
        <f>VAC_Optim_Scenario!B25</f>
        <v>HCC TV</v>
      </c>
      <c r="D39" s="252">
        <f t="shared" si="4"/>
        <v>13.503524990000001</v>
      </c>
      <c r="E39" s="252">
        <f t="shared" si="5"/>
        <v>13.503524990000001</v>
      </c>
      <c r="F39" s="252">
        <f t="shared" si="6"/>
        <v>13.503524990000001</v>
      </c>
      <c r="G39" s="252">
        <f t="shared" si="7"/>
        <v>13.503524990000001</v>
      </c>
      <c r="H39" s="252">
        <f t="shared" si="8"/>
        <v>13.503524990000001</v>
      </c>
      <c r="J39" s="273"/>
      <c r="K39" s="258"/>
      <c r="L39" s="258"/>
      <c r="M39" s="258"/>
      <c r="N39" s="258"/>
      <c r="O39" s="258"/>
      <c r="P39" s="258"/>
      <c r="Q39" s="258"/>
      <c r="R39" s="258"/>
    </row>
    <row r="40" spans="2:22" x14ac:dyDescent="0.25">
      <c r="L40" s="191"/>
      <c r="M40" s="191"/>
      <c r="O40" s="191"/>
      <c r="P40" s="191"/>
    </row>
    <row r="41" spans="2:22" x14ac:dyDescent="0.25">
      <c r="L41" s="257"/>
      <c r="M41" s="257"/>
      <c r="N41" s="257"/>
      <c r="O41" s="257"/>
      <c r="P41" s="257"/>
    </row>
    <row r="42" spans="2:22" x14ac:dyDescent="0.25">
      <c r="L42" s="257"/>
      <c r="M42" s="257"/>
      <c r="N42" s="257"/>
      <c r="O42" s="257"/>
      <c r="P42" s="257"/>
    </row>
    <row r="43" spans="2:22" x14ac:dyDescent="0.25">
      <c r="L43" s="257"/>
      <c r="M43" s="257"/>
      <c r="N43" s="257"/>
      <c r="O43" s="257"/>
      <c r="P43" s="257"/>
    </row>
    <row r="44" spans="2:22" x14ac:dyDescent="0.25">
      <c r="L44" s="257"/>
      <c r="M44" s="257"/>
      <c r="N44" s="257"/>
      <c r="O44" s="257"/>
      <c r="P44" s="257"/>
      <c r="S44" s="260"/>
      <c r="T44" s="260"/>
      <c r="V44" s="260"/>
    </row>
    <row r="45" spans="2:22" x14ac:dyDescent="0.25">
      <c r="L45" s="257"/>
      <c r="M45" s="257"/>
      <c r="N45" s="257"/>
      <c r="O45" s="257"/>
      <c r="P45" s="261"/>
      <c r="S45" s="262"/>
      <c r="T45" s="262"/>
      <c r="U45" s="262"/>
      <c r="V45" s="262"/>
    </row>
    <row r="46" spans="2:22" x14ac:dyDescent="0.25">
      <c r="L46" s="257"/>
      <c r="M46" s="257"/>
      <c r="N46" s="257"/>
      <c r="O46" s="257"/>
      <c r="P46" s="257"/>
      <c r="S46" s="262"/>
      <c r="T46" s="262"/>
      <c r="U46" s="262"/>
      <c r="V46" s="262"/>
    </row>
    <row r="47" spans="2:22" x14ac:dyDescent="0.25">
      <c r="L47" s="257"/>
      <c r="M47" s="257"/>
      <c r="N47" s="257"/>
      <c r="O47" s="257"/>
      <c r="P47" s="257"/>
    </row>
    <row r="48" spans="2:22" x14ac:dyDescent="0.25">
      <c r="L48" s="257"/>
      <c r="M48" s="257"/>
      <c r="N48" s="257"/>
      <c r="O48" s="257"/>
      <c r="P48" s="257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R25"/>
  <sheetViews>
    <sheetView showGridLines="0" topLeftCell="A13" zoomScale="80" zoomScaleNormal="80" workbookViewId="0">
      <selection activeCell="E21" sqref="E21"/>
    </sheetView>
  </sheetViews>
  <sheetFormatPr defaultColWidth="8.7109375" defaultRowHeight="15" x14ac:dyDescent="0.25"/>
  <cols>
    <col min="1" max="1" width="8.7109375" style="97"/>
    <col min="2" max="2" width="23.140625" style="97" customWidth="1"/>
    <col min="3" max="3" width="23.42578125" style="97" bestFit="1" customWidth="1"/>
    <col min="4" max="4" width="12.140625" style="97" bestFit="1" customWidth="1"/>
    <col min="5" max="5" width="22.28515625" style="97" bestFit="1" customWidth="1"/>
    <col min="6" max="6" width="18.42578125" style="97" bestFit="1" customWidth="1"/>
    <col min="7" max="7" width="13.28515625" style="97" customWidth="1"/>
    <col min="8" max="8" width="14.85546875" style="97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6384" width="8.7109375" style="97"/>
  </cols>
  <sheetData>
    <row r="2" spans="1:18" x14ac:dyDescent="0.25">
      <c r="D2" s="457">
        <v>2023</v>
      </c>
      <c r="E2" s="457"/>
      <c r="F2" s="457"/>
      <c r="G2" s="457"/>
      <c r="H2" s="457"/>
      <c r="I2" s="457"/>
      <c r="L2" s="97" t="s">
        <v>271</v>
      </c>
    </row>
    <row r="3" spans="1:18" ht="63" x14ac:dyDescent="0.25">
      <c r="B3" s="354" t="s">
        <v>2</v>
      </c>
      <c r="C3" s="355" t="s">
        <v>3</v>
      </c>
      <c r="D3" s="355" t="s">
        <v>299</v>
      </c>
      <c r="E3" s="355" t="s">
        <v>298</v>
      </c>
      <c r="F3" s="355" t="s">
        <v>295</v>
      </c>
      <c r="G3" s="355" t="s">
        <v>269</v>
      </c>
      <c r="H3" s="355" t="s">
        <v>222</v>
      </c>
      <c r="I3" s="355" t="s">
        <v>223</v>
      </c>
      <c r="J3" s="356" t="s">
        <v>207</v>
      </c>
      <c r="K3"/>
      <c r="L3" s="348">
        <v>8649234</v>
      </c>
      <c r="M3" s="234" t="s">
        <v>251</v>
      </c>
    </row>
    <row r="4" spans="1:18" x14ac:dyDescent="0.25">
      <c r="A4" s="97" t="s">
        <v>275</v>
      </c>
      <c r="B4" s="394" t="s">
        <v>297</v>
      </c>
      <c r="C4" s="395" t="str">
        <f>VAC_Optim_Scenario!B17</f>
        <v>HCC In Office</v>
      </c>
      <c r="D4" s="358">
        <f>VAC_Optim_Scenario!E17</f>
        <v>1755293</v>
      </c>
      <c r="E4" s="396">
        <f>VAC_Optim_Scenario!F17</f>
        <v>34079.723304951563</v>
      </c>
      <c r="F4" s="358">
        <f>VAC_Optim_Scenario!G35</f>
        <v>7699972.6835207557</v>
      </c>
      <c r="G4" s="397">
        <f>F4/D4</f>
        <v>4.3867164533332925</v>
      </c>
      <c r="H4" s="398">
        <f>E4/$L$3</f>
        <v>3.9402013293838006E-3</v>
      </c>
      <c r="I4" s="399">
        <f>(D4)/E4</f>
        <v>51.50549446347668</v>
      </c>
      <c r="J4" s="359">
        <f ca="1">(VLOOKUP($Q4,INDIRECT("'"&amp;A4&amp;"'!"&amp;"A20:E42"),5,0)-VLOOKUP($R4,INDIRECT("'"&amp;A4&amp;"'!"&amp;"A20:E42"),5,0))/(Q4-R4)</f>
        <v>3.0770541370015128</v>
      </c>
      <c r="K4"/>
      <c r="Q4" s="351" cm="1">
        <f t="array" aca="1" ref="Q4" ca="1">MAX(_xlfn._xlws.FILTER(INDIRECT("'"&amp;A4&amp;"'!"&amp;"A20:A42"),INDIRECT("'"&amp;A4&amp;"'!"&amp;"A20:A42")&lt;$D4))</f>
        <v>1600000</v>
      </c>
      <c r="R4" s="351" cm="1">
        <f t="array" aca="1" ref="R4" ca="1">MIN(_xlfn._xlws.FILTER(INDIRECT("'"&amp;A4&amp;"'!"&amp;"A20:A42"),INDIRECT("'"&amp;A4&amp;"'!"&amp;"A20:A42")&gt;=$D4))</f>
        <v>1800000</v>
      </c>
    </row>
    <row r="5" spans="1:18" x14ac:dyDescent="0.25">
      <c r="A5" s="97" t="s">
        <v>276</v>
      </c>
      <c r="B5" s="400" t="s">
        <v>297</v>
      </c>
      <c r="C5" s="401" t="str">
        <f>VAC_Optim_Scenario!B18</f>
        <v>HCP MCM</v>
      </c>
      <c r="D5" s="357">
        <f>VAC_Optim_Scenario!E18</f>
        <v>5365372.8900000006</v>
      </c>
      <c r="E5" s="402">
        <f>VAC_Optim_Scenario!F18</f>
        <v>282596.87941192184</v>
      </c>
      <c r="F5" s="357">
        <f>VAC_Optim_Scenario!G36</f>
        <v>63849938.934329621</v>
      </c>
      <c r="G5" s="403">
        <f>F5/D5</f>
        <v>11.900373048317544</v>
      </c>
      <c r="H5" s="404">
        <f t="shared" ref="H5:H12" si="0">E5/$L$3</f>
        <v>3.2673052828946683E-2</v>
      </c>
      <c r="I5" s="405">
        <f t="shared" ref="I5:I12" si="1">(D5)/E5</f>
        <v>18.98595943863651</v>
      </c>
      <c r="J5" s="353">
        <f t="shared" ref="J5:J9" ca="1" si="2">(VLOOKUP($Q5,INDIRECT("'"&amp;A5&amp;"'!"&amp;"A20:E42"),5,0)-VLOOKUP($R5,INDIRECT("'"&amp;A5&amp;"'!"&amp;"A20:E42"),5,0))/(Q5-R5)</f>
        <v>8.3357790163863541</v>
      </c>
      <c r="K5"/>
      <c r="Q5" s="351" cm="1">
        <f t="array" aca="1" ref="Q5" ca="1">MAX(_xlfn._xlws.FILTER(INDIRECT("'"&amp;A5&amp;"'!"&amp;"A20:A42"),INDIRECT("'"&amp;A5&amp;"'!"&amp;"A20:A42")&lt;$D5))</f>
        <v>4950000</v>
      </c>
      <c r="R5" s="351" cm="1">
        <f t="array" aca="1" ref="R5" ca="1">MIN(_xlfn._xlws.FILTER(INDIRECT("'"&amp;A5&amp;"'!"&amp;"A20:A42"),INDIRECT("'"&amp;A5&amp;"'!"&amp;"A20:A42")&gt;=$D5))</f>
        <v>5400000</v>
      </c>
    </row>
    <row r="6" spans="1:18" x14ac:dyDescent="0.25">
      <c r="A6" s="97" t="s">
        <v>279</v>
      </c>
      <c r="B6" s="400" t="s">
        <v>297</v>
      </c>
      <c r="C6" s="401" t="str">
        <f>VAC_Optim_Scenario!B19</f>
        <v>HCC Social</v>
      </c>
      <c r="D6" s="357">
        <f>VAC_Optim_Scenario!E19</f>
        <v>1873000</v>
      </c>
      <c r="E6" s="402">
        <f>VAC_Optim_Scenario!F19</f>
        <v>71243.17418511775</v>
      </c>
      <c r="F6" s="357">
        <f>VAC_Optim_Scenario!G37</f>
        <v>16096682.775385505</v>
      </c>
      <c r="G6" s="403">
        <f t="shared" ref="G6:G12" si="3">F6/D6</f>
        <v>8.5940644823200767</v>
      </c>
      <c r="H6" s="404">
        <f t="shared" si="0"/>
        <v>8.2369345291291411E-3</v>
      </c>
      <c r="I6" s="405">
        <f t="shared" si="1"/>
        <v>26.290237926979646</v>
      </c>
      <c r="J6" s="353">
        <f ca="1">(VLOOKUP($Q6,INDIRECT("'"&amp;A6&amp;"'!"&amp;"A20:E42"),3,0)-VLOOKUP($R6,INDIRECT("'"&amp;A6&amp;"'!"&amp;"A20:E42"),3,0))/(Q6-R6)</f>
        <v>5.1563798454813883</v>
      </c>
      <c r="K6"/>
      <c r="Q6" s="351" cm="1">
        <f t="array" aca="1" ref="Q6" ca="1">MAX(_xlfn._xlws.FILTER(INDIRECT("'"&amp;A6&amp;"'!"&amp;"A20:A42"),INDIRECT("'"&amp;A6&amp;"'!"&amp;"A20:A42")&lt;$D6))</f>
        <v>1750000</v>
      </c>
      <c r="R6" s="351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277</v>
      </c>
      <c r="B7" s="400" t="s">
        <v>297</v>
      </c>
      <c r="C7" s="401" t="str">
        <f>VAC_Optim_Scenario!B20</f>
        <v>HCC Online Video</v>
      </c>
      <c r="D7" s="357">
        <f>VAC_Optim_Scenario!E20</f>
        <v>173076.94</v>
      </c>
      <c r="E7" s="402">
        <f>VAC_Optim_Scenario!F20</f>
        <v>7568.2941111773252</v>
      </c>
      <c r="F7" s="357">
        <f>VAC_Optim_Scenario!G38</f>
        <v>1709980.3714794049</v>
      </c>
      <c r="G7" s="403">
        <f t="shared" si="3"/>
        <v>9.8798856247366338</v>
      </c>
      <c r="H7" s="404">
        <f t="shared" si="0"/>
        <v>8.7502478383372738E-4</v>
      </c>
      <c r="I7" s="405">
        <f t="shared" si="1"/>
        <v>22.868685790684225</v>
      </c>
      <c r="J7" s="353">
        <f t="shared" ca="1" si="2"/>
        <v>7.3949364813552894</v>
      </c>
      <c r="K7"/>
      <c r="Q7" s="351" cm="1">
        <f t="array" aca="1" ref="Q7" ca="1">MAX(_xlfn._xlws.FILTER(INDIRECT("'"&amp;A7&amp;"'!"&amp;"A20:A42"),INDIRECT("'"&amp;A7&amp;"'!"&amp;"A20:A42")&lt;$D7))</f>
        <v>103851.36184614981</v>
      </c>
      <c r="R7" s="351" cm="1">
        <f t="array" aca="1" ref="R7" ca="1">MIN(_xlfn._xlws.FILTER(INDIRECT("'"&amp;A7&amp;"'!"&amp;"A20:A42"),INDIRECT("'"&amp;A7&amp;"'!"&amp;"A20:A42")&gt;=$D7))</f>
        <v>207702.72369229962</v>
      </c>
    </row>
    <row r="8" spans="1:18" x14ac:dyDescent="0.25">
      <c r="A8" s="97" t="s">
        <v>294</v>
      </c>
      <c r="B8" s="400" t="s">
        <v>297</v>
      </c>
      <c r="C8" s="401" t="str">
        <f>VAC_Optim_Scenario!B21</f>
        <v>HCC Streaming Video</v>
      </c>
      <c r="D8" s="357">
        <f>VAC_Optim_Scenario!E21</f>
        <v>6180125</v>
      </c>
      <c r="E8" s="402">
        <f>VAC_Optim_Scenario!F21</f>
        <v>144657.20917756393</v>
      </c>
      <c r="F8" s="357">
        <f>VAC_Optim_Scenario!G39</f>
        <v>32683849.841578793</v>
      </c>
      <c r="G8" s="403">
        <f t="shared" si="3"/>
        <v>5.2885418727904039</v>
      </c>
      <c r="H8" s="404">
        <f t="shared" si="0"/>
        <v>1.6724857851870341E-2</v>
      </c>
      <c r="I8" s="405">
        <f t="shared" si="1"/>
        <v>42.722551023461378</v>
      </c>
      <c r="J8" s="353">
        <f ca="1">(VLOOKUP($Q8,INDIRECT("'"&amp;A8&amp;"'!"&amp;"A20:E42"),3,0)-VLOOKUP($R8,INDIRECT("'"&amp;A8&amp;"'!"&amp;"A20:E42"),3,0))/(Q8-R8)</f>
        <v>3.6898979193167833</v>
      </c>
      <c r="K8"/>
      <c r="Q8" s="351" cm="1">
        <f t="array" aca="1" ref="Q8" ca="1">MAX(_xlfn._xlws.FILTER(INDIRECT("'"&amp;A8&amp;"'!"&amp;"A20:A42"),INDIRECT("'"&amp;A8&amp;"'!"&amp;"A20:A42")&lt;$D8))</f>
        <v>6000000</v>
      </c>
      <c r="R8" s="351" cm="1">
        <f t="array" aca="1" ref="R8" ca="1">MIN(_xlfn._xlws.FILTER(INDIRECT("'"&amp;A8&amp;"'!"&amp;"A20:A42"),INDIRECT("'"&amp;A8&amp;"'!"&amp;"A20:A42")&gt;=$D8))</f>
        <v>6500000</v>
      </c>
    </row>
    <row r="9" spans="1:18" x14ac:dyDescent="0.25">
      <c r="A9" s="97" t="s">
        <v>278</v>
      </c>
      <c r="B9" s="400" t="s">
        <v>297</v>
      </c>
      <c r="C9" s="401" t="str">
        <f>VAC_Optim_Scenario!B22</f>
        <v>HCC Display</v>
      </c>
      <c r="D9" s="357">
        <f>VAC_Optim_Scenario!E22</f>
        <v>1648357.37</v>
      </c>
      <c r="E9" s="402">
        <f>VAC_Optim_Scenario!F22</f>
        <v>104116.36986385845</v>
      </c>
      <c r="F9" s="357">
        <f>VAC_Optim_Scenario!G40</f>
        <v>23524052.607040178</v>
      </c>
      <c r="G9" s="403">
        <f t="shared" si="3"/>
        <v>14.271209044334952</v>
      </c>
      <c r="H9" s="404">
        <f t="shared" si="0"/>
        <v>1.2037640542949635E-2</v>
      </c>
      <c r="I9" s="405">
        <f t="shared" si="1"/>
        <v>15.831875161949808</v>
      </c>
      <c r="J9" s="353">
        <f t="shared" ca="1" si="2"/>
        <v>11.127128917540322</v>
      </c>
      <c r="K9"/>
      <c r="Q9" s="351" cm="1">
        <f t="array" aca="1" ref="Q9" ca="1">MAX(_xlfn._xlws.FILTER(INDIRECT("'"&amp;A9&amp;"'!"&amp;"A20:A42"),INDIRECT("'"&amp;A9&amp;"'!"&amp;"A20:A42")&lt;$D9))</f>
        <v>1557770.4276922471</v>
      </c>
      <c r="R9" s="351" cm="1">
        <f t="array" aca="1" ref="R9" ca="1">MIN(_xlfn._xlws.FILTER(INDIRECT("'"&amp;A9&amp;"'!"&amp;"A20:A42"),INDIRECT("'"&amp;A9&amp;"'!"&amp;"A20:A42")&gt;=$D9))</f>
        <v>1661621.789538397</v>
      </c>
    </row>
    <row r="10" spans="1:18" x14ac:dyDescent="0.25">
      <c r="A10" s="97" t="s">
        <v>280</v>
      </c>
      <c r="B10" s="400" t="s">
        <v>297</v>
      </c>
      <c r="C10" s="401" t="str">
        <f>VAC_Optim_Scenario!B23</f>
        <v>HCC Paid Search</v>
      </c>
      <c r="D10" s="357">
        <f>VAC_Optim_Scenario!E23</f>
        <v>344707</v>
      </c>
      <c r="E10" s="402">
        <f>VAC_Optim_Scenario!F23</f>
        <v>130694.08808973072</v>
      </c>
      <c r="F10" s="357">
        <f>VAC_Optim_Scenario!G41</f>
        <v>29529022.26299376</v>
      </c>
      <c r="G10" s="403">
        <f t="shared" si="3"/>
        <v>85.664121305902583</v>
      </c>
      <c r="H10" s="404">
        <f t="shared" si="0"/>
        <v>1.5110481239116749E-2</v>
      </c>
      <c r="I10" s="405">
        <f t="shared" si="1"/>
        <v>2.6375102733287696</v>
      </c>
      <c r="J10" s="353">
        <f ca="1">(VLOOKUP($Q10,INDIRECT("'"&amp;A10&amp;"'!"&amp;"A20:E42"),3,0)-VLOOKUP($R10,INDIRECT("'"&amp;A10&amp;"'!"&amp;"A20:E42"),3,0))/(Q10-R10)</f>
        <v>58.622972004453118</v>
      </c>
      <c r="K10"/>
      <c r="Q10" s="351" cm="1">
        <f t="array" aca="1" ref="Q10" ca="1">MAX(_xlfn._xlws.FILTER(INDIRECT("'"&amp;A10&amp;"'!"&amp;"A20:A42"),INDIRECT("'"&amp;A10&amp;"'!"&amp;"A20:A42")&lt;$D10))</f>
        <v>300000</v>
      </c>
      <c r="R10" s="351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281</v>
      </c>
      <c r="B11" s="400" t="s">
        <v>297</v>
      </c>
      <c r="C11" s="401" t="str">
        <f>VAC_Optim_Scenario!B24</f>
        <v>HCC Audio</v>
      </c>
      <c r="D11" s="357">
        <f>VAC_Optim_Scenario!E24</f>
        <v>1437048.41</v>
      </c>
      <c r="E11" s="402">
        <f>VAC_Optim_Scenario!F24</f>
        <v>70569.092436493243</v>
      </c>
      <c r="F11" s="357">
        <f>VAC_Optim_Scenario!G42</f>
        <v>15944380.745101282</v>
      </c>
      <c r="G11" s="403">
        <f t="shared" si="3"/>
        <v>11.095228688295395</v>
      </c>
      <c r="H11" s="404">
        <f t="shared" si="0"/>
        <v>8.1589991017115785E-3</v>
      </c>
      <c r="I11" s="405">
        <f t="shared" si="1"/>
        <v>20.363708252210174</v>
      </c>
      <c r="J11" s="353">
        <f ca="1">(VLOOKUP($Q11,INDIRECT("'"&amp;A11&amp;"'!"&amp;"A20:E42"),3,0)-VLOOKUP($R11,INDIRECT("'"&amp;A11&amp;"'!"&amp;"A20:E42"),3,0))/(Q11-R11)</f>
        <v>6.5466633097348268</v>
      </c>
      <c r="K11"/>
      <c r="Q11" s="351" cm="1">
        <f t="array" aca="1" ref="Q11" ca="1">MAX(_xlfn._xlws.FILTER(INDIRECT("'"&amp;A11&amp;"'!"&amp;"A20:A42"),INDIRECT("'"&amp;A11&amp;"'!"&amp;"A20:A42")&lt;$D11))</f>
        <v>1400000</v>
      </c>
      <c r="R11" s="351" cm="1">
        <f t="array" aca="1" ref="R11" ca="1">MIN(_xlfn._xlws.FILTER(INDIRECT("'"&amp;A11&amp;"'!"&amp;"A20:A42"),INDIRECT("'"&amp;A11&amp;"'!"&amp;"A20:A42")&gt;=$D11))</f>
        <v>1600000</v>
      </c>
    </row>
    <row r="12" spans="1:18" x14ac:dyDescent="0.25">
      <c r="A12" s="97" t="s">
        <v>282</v>
      </c>
      <c r="B12" s="400" t="s">
        <v>297</v>
      </c>
      <c r="C12" s="401" t="str">
        <f>VAC_Optim_Scenario!B25</f>
        <v>HCC TV</v>
      </c>
      <c r="D12" s="357">
        <f>VAC_Optim_Scenario!E25</f>
        <v>13503524.99</v>
      </c>
      <c r="E12" s="402">
        <f>VAC_Optim_Scenario!F25</f>
        <v>253686.28893952153</v>
      </c>
      <c r="F12" s="357">
        <f>VAC_Optim_Scenario!G43</f>
        <v>57317880.122995496</v>
      </c>
      <c r="G12" s="403">
        <f t="shared" si="3"/>
        <v>4.2446605731053264</v>
      </c>
      <c r="H12" s="404">
        <f t="shared" si="0"/>
        <v>2.9330492034268182E-2</v>
      </c>
      <c r="I12" s="405">
        <f t="shared" si="1"/>
        <v>53.229226721114685</v>
      </c>
      <c r="J12" s="353">
        <f ca="1">(VLOOKUP($Q12,INDIRECT("'"&amp;A12&amp;"'!"&amp;"A20:E42"),3,0)-VLOOKUP($R12,INDIRECT("'"&amp;A12&amp;"'!"&amp;"A20:E42"),3,0))/(Q12-R12)</f>
        <v>2.9971565057842673</v>
      </c>
      <c r="K12"/>
      <c r="Q12" s="351" cm="1">
        <f t="array" aca="1" ref="Q12" ca="1">MAX(_xlfn._xlws.FILTER(INDIRECT("'"&amp;A12&amp;"'!"&amp;"A20:A42"),INDIRECT("'"&amp;A12&amp;"'!"&amp;"A20:A42")&lt;$D12))</f>
        <v>12500000</v>
      </c>
      <c r="R12" s="351" cm="1">
        <f t="array" aca="1" ref="R12" ca="1">MIN(_xlfn._xlws.FILTER(INDIRECT("'"&amp;A12&amp;"'!"&amp;"A20:A42"),INDIRECT("'"&amp;A12&amp;"'!"&amp;"A20:A42")&gt;=$D12))</f>
        <v>13750000</v>
      </c>
    </row>
    <row r="13" spans="1:18" ht="15.75" x14ac:dyDescent="0.25">
      <c r="B13" s="406" t="s">
        <v>154</v>
      </c>
      <c r="C13" s="407" t="s">
        <v>230</v>
      </c>
      <c r="D13" s="393">
        <f>SUM(D4:D12)</f>
        <v>32280505.600000001</v>
      </c>
      <c r="E13" s="408">
        <f>SUM(E4:E12)</f>
        <v>1099211.1195203364</v>
      </c>
      <c r="F13" s="393">
        <f>SUM(F4:F12)</f>
        <v>248355760.34442478</v>
      </c>
      <c r="G13" s="409">
        <f>F13/D13</f>
        <v>7.6936762831999994</v>
      </c>
      <c r="H13" s="410">
        <f>SUM(H4:H12)</f>
        <v>0.12708768424120984</v>
      </c>
      <c r="I13" s="411">
        <f>(D13)/E13</f>
        <v>29.366975121290867</v>
      </c>
      <c r="J13" s="412"/>
      <c r="Q13" s="351"/>
      <c r="R13" s="351"/>
    </row>
    <row r="14" spans="1:18" x14ac:dyDescent="0.25">
      <c r="D14" s="352"/>
      <c r="F14" s="352"/>
      <c r="G14" s="238"/>
      <c r="H14" s="239"/>
    </row>
    <row r="15" spans="1:18" x14ac:dyDescent="0.25">
      <c r="H15" s="97">
        <f>G10/5</f>
        <v>17.132824261180517</v>
      </c>
    </row>
    <row r="16" spans="1:18" ht="25.5" x14ac:dyDescent="0.25">
      <c r="E16" s="233" t="s">
        <v>3</v>
      </c>
      <c r="F16" s="234" t="s">
        <v>273</v>
      </c>
    </row>
    <row r="17" spans="5:6" x14ac:dyDescent="0.25">
      <c r="E17" s="235" t="s">
        <v>228</v>
      </c>
      <c r="F17" s="272">
        <f t="shared" ref="F17:F25" si="4">VLOOKUP(E17,$C$4:$I$12,7,0)</f>
        <v>2.6375102733287696</v>
      </c>
    </row>
    <row r="18" spans="5:6" x14ac:dyDescent="0.25">
      <c r="E18" s="236" t="s">
        <v>227</v>
      </c>
      <c r="F18" s="272">
        <f t="shared" si="4"/>
        <v>15.831875161949808</v>
      </c>
    </row>
    <row r="19" spans="5:6" x14ac:dyDescent="0.25">
      <c r="E19" s="236" t="s">
        <v>225</v>
      </c>
      <c r="F19" s="272">
        <f t="shared" si="4"/>
        <v>18.98595943863651</v>
      </c>
    </row>
    <row r="20" spans="5:6" x14ac:dyDescent="0.25">
      <c r="E20" s="236" t="s">
        <v>303</v>
      </c>
      <c r="F20" s="272">
        <f t="shared" si="4"/>
        <v>20.363708252210174</v>
      </c>
    </row>
    <row r="21" spans="5:6" x14ac:dyDescent="0.25">
      <c r="E21" s="236" t="s">
        <v>244</v>
      </c>
      <c r="F21" s="272">
        <f t="shared" si="4"/>
        <v>22.868685790684225</v>
      </c>
    </row>
    <row r="22" spans="5:6" x14ac:dyDescent="0.25">
      <c r="E22" s="236" t="s">
        <v>226</v>
      </c>
      <c r="F22" s="272">
        <f t="shared" si="4"/>
        <v>26.290237926979646</v>
      </c>
    </row>
    <row r="23" spans="5:6" x14ac:dyDescent="0.25">
      <c r="E23" s="236" t="s">
        <v>246</v>
      </c>
      <c r="F23" s="272">
        <f t="shared" si="4"/>
        <v>42.722551023461378</v>
      </c>
    </row>
    <row r="24" spans="5:6" x14ac:dyDescent="0.25">
      <c r="E24" s="236" t="s">
        <v>224</v>
      </c>
      <c r="F24" s="272">
        <f t="shared" si="4"/>
        <v>51.50549446347668</v>
      </c>
    </row>
    <row r="25" spans="5:6" x14ac:dyDescent="0.25">
      <c r="E25" s="237" t="s">
        <v>187</v>
      </c>
      <c r="F25" s="272">
        <f t="shared" si="4"/>
        <v>53.229226721114685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J6:J7 J9 G13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8"/>
  <sheetViews>
    <sheetView tabSelected="1" topLeftCell="A16" zoomScale="90" zoomScaleNormal="90" workbookViewId="0">
      <selection activeCell="F24" sqref="F24"/>
    </sheetView>
  </sheetViews>
  <sheetFormatPr defaultColWidth="8.85546875" defaultRowHeight="12.75" x14ac:dyDescent="0.2"/>
  <cols>
    <col min="1" max="1" width="21.28515625" style="1" bestFit="1" customWidth="1"/>
    <col min="2" max="2" width="21.140625" style="1" customWidth="1"/>
    <col min="3" max="3" width="15.2851562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192</v>
      </c>
    </row>
    <row r="2" spans="1:14" x14ac:dyDescent="0.2">
      <c r="A2" s="48" t="s">
        <v>76</v>
      </c>
      <c r="B2" s="1" t="s">
        <v>198</v>
      </c>
    </row>
    <row r="3" spans="1:14" x14ac:dyDescent="0.2">
      <c r="A3" s="48" t="s">
        <v>77</v>
      </c>
      <c r="B3" s="1" t="s">
        <v>199</v>
      </c>
    </row>
    <row r="4" spans="1:14" ht="28.9" customHeight="1" x14ac:dyDescent="0.2">
      <c r="A4" s="49" t="s">
        <v>78</v>
      </c>
      <c r="B4" s="460" t="s">
        <v>272</v>
      </c>
      <c r="C4" s="461"/>
      <c r="D4" s="461"/>
      <c r="E4" s="461"/>
      <c r="F4" s="461"/>
      <c r="G4" s="461"/>
      <c r="H4" s="461"/>
      <c r="I4" s="461"/>
    </row>
    <row r="5" spans="1:14" x14ac:dyDescent="0.2">
      <c r="A5" s="48" t="s">
        <v>79</v>
      </c>
      <c r="B5" s="1" t="s">
        <v>127</v>
      </c>
      <c r="E5" s="462" t="s">
        <v>50</v>
      </c>
      <c r="F5" s="463"/>
      <c r="G5" s="463"/>
      <c r="H5" s="463"/>
      <c r="I5" s="464"/>
    </row>
    <row r="6" spans="1:14" x14ac:dyDescent="0.2">
      <c r="A6" s="48" t="s">
        <v>80</v>
      </c>
      <c r="B6" s="1" t="s">
        <v>193</v>
      </c>
      <c r="E6" s="465" t="s">
        <v>51</v>
      </c>
      <c r="F6" s="466"/>
      <c r="G6" s="466"/>
      <c r="H6" s="466"/>
      <c r="I6" s="467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SUM(J35:J43)</f>
        <v>278827751.78509402</v>
      </c>
    </row>
    <row r="10" spans="1:14" ht="13.5" thickBot="1" x14ac:dyDescent="0.25">
      <c r="A10" s="50"/>
      <c r="B10" s="1">
        <v>1.2</v>
      </c>
      <c r="E10" s="1" t="s">
        <v>94</v>
      </c>
    </row>
    <row r="11" spans="1:14" ht="26.25" thickBot="1" x14ac:dyDescent="0.25">
      <c r="A11" s="282" t="s">
        <v>82</v>
      </c>
      <c r="B11" s="279" t="s">
        <v>84</v>
      </c>
      <c r="C11" s="275" t="s">
        <v>97</v>
      </c>
      <c r="D11" s="156" t="s">
        <v>98</v>
      </c>
      <c r="E11" s="275" t="s">
        <v>159</v>
      </c>
      <c r="F11" s="156" t="s">
        <v>160</v>
      </c>
    </row>
    <row r="12" spans="1:14" s="263" customFormat="1" ht="13.5" thickBot="1" x14ac:dyDescent="0.25">
      <c r="A12" s="157" t="s">
        <v>158</v>
      </c>
      <c r="B12" s="158">
        <f>E27*B10</f>
        <v>22532376.731999997</v>
      </c>
      <c r="C12" s="159">
        <f>B12*E12</f>
        <v>0</v>
      </c>
      <c r="D12" s="159">
        <f>B12*F12</f>
        <v>22532376.731999997</v>
      </c>
      <c r="E12" s="160">
        <v>0</v>
      </c>
      <c r="F12" s="161">
        <v>1</v>
      </c>
      <c r="I12" s="280"/>
      <c r="K12" s="281"/>
      <c r="L12" s="281"/>
    </row>
    <row r="13" spans="1:14" ht="13.5" thickBot="1" x14ac:dyDescent="0.25">
      <c r="L13" s="149">
        <f>G44</f>
        <v>248355760.34442478</v>
      </c>
      <c r="M13" s="113">
        <f>J44</f>
        <v>278827751.78509402</v>
      </c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91">
        <v>0.7</v>
      </c>
      <c r="H14" s="291">
        <v>1.3</v>
      </c>
      <c r="I14" s="56" t="s">
        <v>95</v>
      </c>
      <c r="J14" s="56" t="s">
        <v>96</v>
      </c>
    </row>
    <row r="15" spans="1:14" ht="27.75" customHeight="1" x14ac:dyDescent="0.2">
      <c r="A15" s="452" t="s">
        <v>2</v>
      </c>
      <c r="B15" s="454" t="s">
        <v>3</v>
      </c>
      <c r="C15" s="454" t="s">
        <v>38</v>
      </c>
      <c r="D15" s="454" t="s">
        <v>128</v>
      </c>
      <c r="E15" s="468" t="s">
        <v>86</v>
      </c>
      <c r="F15" s="470"/>
      <c r="G15" s="455" t="s">
        <v>131</v>
      </c>
      <c r="H15" s="456"/>
      <c r="I15" s="455" t="s">
        <v>89</v>
      </c>
      <c r="J15" s="456"/>
      <c r="K15" s="468" t="s">
        <v>90</v>
      </c>
      <c r="L15" s="469"/>
      <c r="M15" s="469"/>
      <c r="N15" s="470"/>
    </row>
    <row r="16" spans="1:14" ht="25.5" x14ac:dyDescent="0.2">
      <c r="A16" s="453"/>
      <c r="B16" s="453"/>
      <c r="C16" s="453"/>
      <c r="D16" s="453"/>
      <c r="E16" s="78" t="s">
        <v>149</v>
      </c>
      <c r="F16" s="78" t="s">
        <v>191</v>
      </c>
      <c r="G16" s="78" t="s">
        <v>87</v>
      </c>
      <c r="H16" s="78" t="s">
        <v>88</v>
      </c>
      <c r="I16" s="55" t="s">
        <v>148</v>
      </c>
      <c r="J16" s="55" t="s">
        <v>194</v>
      </c>
      <c r="K16" s="78" t="s">
        <v>130</v>
      </c>
      <c r="L16" s="78" t="s">
        <v>195</v>
      </c>
      <c r="M16" s="78" t="s">
        <v>91</v>
      </c>
      <c r="N16" s="78" t="s">
        <v>92</v>
      </c>
    </row>
    <row r="17" spans="1:17" x14ac:dyDescent="0.2">
      <c r="A17" s="284" t="s">
        <v>173</v>
      </c>
      <c r="B17" s="302" t="s">
        <v>224</v>
      </c>
      <c r="C17" s="54" t="s">
        <v>129</v>
      </c>
      <c r="D17" s="310">
        <v>1</v>
      </c>
      <c r="E17" s="321">
        <v>1755293</v>
      </c>
      <c r="F17" s="311">
        <f>GINOFF!I9</f>
        <v>34079.723304951563</v>
      </c>
      <c r="G17" s="324">
        <f>E17*$G$14</f>
        <v>1228705.0999999999</v>
      </c>
      <c r="H17" s="324">
        <f>E17*$H$14</f>
        <v>2281880.9</v>
      </c>
      <c r="I17" s="325">
        <v>1346172.4927629044</v>
      </c>
      <c r="J17" s="312">
        <f>GINOFF!F9</f>
        <v>28154.025053609163</v>
      </c>
      <c r="K17" s="313">
        <f>I17-E17</f>
        <v>-409120.50723709562</v>
      </c>
      <c r="L17" s="313">
        <f>J17-F17</f>
        <v>-5925.6982513424009</v>
      </c>
      <c r="M17" s="314">
        <f>K17/E17</f>
        <v>-0.23307818537252506</v>
      </c>
      <c r="N17" s="314">
        <f>L17/F17</f>
        <v>-0.1738775341078381</v>
      </c>
      <c r="O17" s="347">
        <f>E17/F17</f>
        <v>51.50549446347668</v>
      </c>
      <c r="P17" s="304">
        <f>G17/1000000</f>
        <v>1.2287050999999998</v>
      </c>
      <c r="Q17" s="304">
        <f>H17/1000000</f>
        <v>2.2818809</v>
      </c>
    </row>
    <row r="18" spans="1:17" x14ac:dyDescent="0.2">
      <c r="A18" s="285" t="s">
        <v>173</v>
      </c>
      <c r="B18" s="303" t="s">
        <v>225</v>
      </c>
      <c r="C18" s="54" t="s">
        <v>129</v>
      </c>
      <c r="D18" s="315">
        <v>1</v>
      </c>
      <c r="E18" s="322">
        <v>5365372.8900000006</v>
      </c>
      <c r="F18" s="316">
        <f>GMCM!I9</f>
        <v>282596.87941192184</v>
      </c>
      <c r="G18" s="326">
        <f>E18*$G$14</f>
        <v>3755761.023</v>
      </c>
      <c r="H18" s="326">
        <f>E18*$H$14</f>
        <v>6974984.7570000011</v>
      </c>
      <c r="I18" s="327">
        <v>6974984.7570000011</v>
      </c>
      <c r="J18" s="317">
        <f>GMCM!F9</f>
        <v>334480.28078193869</v>
      </c>
      <c r="K18" s="318">
        <f>I18-E18</f>
        <v>1609611.8670000006</v>
      </c>
      <c r="L18" s="318">
        <f t="shared" ref="L18" si="0">J18-F18</f>
        <v>51883.401370016858</v>
      </c>
      <c r="M18" s="319">
        <f>K18/E18</f>
        <v>0.30000000000000004</v>
      </c>
      <c r="N18" s="319">
        <f t="shared" ref="N18:N24" si="1">L18/F18</f>
        <v>0.18359509658417009</v>
      </c>
      <c r="O18" s="347">
        <f t="shared" ref="O18:O25" si="2">E18/F18</f>
        <v>18.98595943863651</v>
      </c>
      <c r="P18" s="304">
        <f t="shared" ref="P18:Q25" si="3">G18/1000000</f>
        <v>3.7557610230000003</v>
      </c>
      <c r="Q18" s="304">
        <f t="shared" si="3"/>
        <v>6.9749847570000014</v>
      </c>
    </row>
    <row r="19" spans="1:17" s="98" customFormat="1" x14ac:dyDescent="0.2">
      <c r="A19" s="285" t="s">
        <v>173</v>
      </c>
      <c r="B19" s="303" t="s">
        <v>226</v>
      </c>
      <c r="C19" s="54" t="s">
        <v>167</v>
      </c>
      <c r="D19" s="315">
        <v>1</v>
      </c>
      <c r="E19" s="322">
        <v>1873000</v>
      </c>
      <c r="F19" s="316">
        <f>GSOC!I9</f>
        <v>71243.17418511775</v>
      </c>
      <c r="G19" s="326">
        <f t="shared" ref="G19:G24" si="4">E19*$G$14</f>
        <v>1311100</v>
      </c>
      <c r="H19" s="326">
        <f t="shared" ref="H19:H24" si="5">E19*$H$14</f>
        <v>2434900</v>
      </c>
      <c r="I19" s="327">
        <v>2434900</v>
      </c>
      <c r="J19" s="317">
        <f>GSOC!F9</f>
        <v>83389.097243970609</v>
      </c>
      <c r="K19" s="318">
        <f t="shared" ref="K19:K25" si="6">I19-E19</f>
        <v>561900</v>
      </c>
      <c r="L19" s="318">
        <f t="shared" ref="L19:L25" si="7">J19-F19</f>
        <v>12145.923058852859</v>
      </c>
      <c r="M19" s="319">
        <f t="shared" ref="M19:M25" si="8">K19/E19</f>
        <v>0.3</v>
      </c>
      <c r="N19" s="319">
        <f t="shared" si="1"/>
        <v>0.17048542822211965</v>
      </c>
      <c r="O19" s="347">
        <f t="shared" si="2"/>
        <v>26.290237926979646</v>
      </c>
      <c r="P19" s="304">
        <f t="shared" si="3"/>
        <v>1.3110999999999999</v>
      </c>
      <c r="Q19" s="304">
        <f t="shared" si="3"/>
        <v>2.4348999999999998</v>
      </c>
    </row>
    <row r="20" spans="1:17" s="98" customFormat="1" x14ac:dyDescent="0.2">
      <c r="A20" s="285" t="s">
        <v>173</v>
      </c>
      <c r="B20" s="303" t="s">
        <v>244</v>
      </c>
      <c r="C20" s="54" t="s">
        <v>129</v>
      </c>
      <c r="D20" s="315">
        <v>1</v>
      </c>
      <c r="E20" s="322">
        <v>173076.94</v>
      </c>
      <c r="F20" s="316">
        <f>GOLV!I9</f>
        <v>7568.2941111773252</v>
      </c>
      <c r="G20" s="326">
        <f t="shared" si="4"/>
        <v>121153.85799999999</v>
      </c>
      <c r="H20" s="326">
        <f t="shared" si="5"/>
        <v>225000.022</v>
      </c>
      <c r="I20" s="327">
        <v>225000.022</v>
      </c>
      <c r="J20" s="317">
        <f>GOLV!F9</f>
        <v>8989.8273410275578</v>
      </c>
      <c r="K20" s="318">
        <f t="shared" si="6"/>
        <v>51923.081999999995</v>
      </c>
      <c r="L20" s="318">
        <f t="shared" si="7"/>
        <v>1421.5332298502326</v>
      </c>
      <c r="M20" s="319">
        <f t="shared" si="8"/>
        <v>0.3</v>
      </c>
      <c r="N20" s="319">
        <f t="shared" si="1"/>
        <v>0.18782742966487315</v>
      </c>
      <c r="O20" s="347">
        <f t="shared" si="2"/>
        <v>22.868685790684225</v>
      </c>
      <c r="P20" s="304">
        <f t="shared" si="3"/>
        <v>0.12115385799999999</v>
      </c>
      <c r="Q20" s="304">
        <f t="shared" si="3"/>
        <v>0.22500002199999999</v>
      </c>
    </row>
    <row r="21" spans="1:17" s="98" customFormat="1" x14ac:dyDescent="0.2">
      <c r="A21" s="285" t="s">
        <v>173</v>
      </c>
      <c r="B21" s="303" t="s">
        <v>246</v>
      </c>
      <c r="C21" s="54" t="s">
        <v>167</v>
      </c>
      <c r="D21" s="315">
        <v>1</v>
      </c>
      <c r="E21" s="322">
        <v>6180125</v>
      </c>
      <c r="F21" s="316">
        <f>GSTRV!H9</f>
        <v>144657.20917756393</v>
      </c>
      <c r="G21" s="326">
        <f t="shared" si="4"/>
        <v>4326087.5</v>
      </c>
      <c r="H21" s="326">
        <f t="shared" si="5"/>
        <v>8034162.5</v>
      </c>
      <c r="I21" s="327">
        <v>7092172.847014742</v>
      </c>
      <c r="J21" s="317">
        <f>GSTRV!F9</f>
        <v>159289.63557628606</v>
      </c>
      <c r="K21" s="318">
        <f t="shared" si="6"/>
        <v>912047.84701474197</v>
      </c>
      <c r="L21" s="318">
        <f t="shared" si="7"/>
        <v>14632.426398722135</v>
      </c>
      <c r="M21" s="319">
        <f t="shared" si="8"/>
        <v>0.14757757278610739</v>
      </c>
      <c r="N21" s="319">
        <f t="shared" si="1"/>
        <v>0.10115241737286051</v>
      </c>
      <c r="O21" s="347">
        <f t="shared" si="2"/>
        <v>42.722551023461378</v>
      </c>
      <c r="P21" s="304">
        <f t="shared" si="3"/>
        <v>4.3260874999999999</v>
      </c>
      <c r="Q21" s="304">
        <f t="shared" si="3"/>
        <v>8.0341625000000008</v>
      </c>
    </row>
    <row r="22" spans="1:17" s="98" customFormat="1" x14ac:dyDescent="0.2">
      <c r="A22" s="285" t="s">
        <v>173</v>
      </c>
      <c r="B22" s="303" t="s">
        <v>227</v>
      </c>
      <c r="C22" s="54" t="s">
        <v>129</v>
      </c>
      <c r="D22" s="315">
        <v>1</v>
      </c>
      <c r="E22" s="322">
        <v>1648357.37</v>
      </c>
      <c r="F22" s="316">
        <f>GDISP!I9</f>
        <v>104116.36986385845</v>
      </c>
      <c r="G22" s="326">
        <f t="shared" si="4"/>
        <v>1153850.159</v>
      </c>
      <c r="H22" s="326">
        <f t="shared" si="5"/>
        <v>2142864.5810000002</v>
      </c>
      <c r="I22" s="327">
        <v>2142864.5810000002</v>
      </c>
      <c r="J22" s="317">
        <f>GDISP!F9</f>
        <v>126447.32566596754</v>
      </c>
      <c r="K22" s="318">
        <f t="shared" si="6"/>
        <v>494507.21100000013</v>
      </c>
      <c r="L22" s="318">
        <f t="shared" si="7"/>
        <v>22330.955802109092</v>
      </c>
      <c r="M22" s="319">
        <f t="shared" si="8"/>
        <v>0.30000000000000004</v>
      </c>
      <c r="N22" s="319">
        <f t="shared" si="1"/>
        <v>0.21448073757574176</v>
      </c>
      <c r="O22" s="347">
        <f t="shared" si="2"/>
        <v>15.831875161949808</v>
      </c>
      <c r="P22" s="304">
        <f t="shared" si="3"/>
        <v>1.1538501589999999</v>
      </c>
      <c r="Q22" s="304">
        <f t="shared" si="3"/>
        <v>2.1428645810000004</v>
      </c>
    </row>
    <row r="23" spans="1:17" s="98" customFormat="1" x14ac:dyDescent="0.2">
      <c r="A23" s="285" t="s">
        <v>173</v>
      </c>
      <c r="B23" s="303" t="s">
        <v>228</v>
      </c>
      <c r="C23" s="54" t="s">
        <v>167</v>
      </c>
      <c r="D23" s="315">
        <v>1</v>
      </c>
      <c r="E23" s="322">
        <v>344707</v>
      </c>
      <c r="F23" s="316">
        <f>GSEARCH!I9</f>
        <v>130694.08808973072</v>
      </c>
      <c r="G23" s="326">
        <f t="shared" si="4"/>
        <v>241294.9</v>
      </c>
      <c r="H23" s="326">
        <f t="shared" si="5"/>
        <v>448119.10000000003</v>
      </c>
      <c r="I23" s="327">
        <v>448119.10000000003</v>
      </c>
      <c r="J23" s="317">
        <f>GSEARCH!F9</f>
        <v>157042.17063662564</v>
      </c>
      <c r="K23" s="318">
        <f t="shared" si="6"/>
        <v>103412.10000000003</v>
      </c>
      <c r="L23" s="318">
        <f t="shared" si="7"/>
        <v>26348.082546894919</v>
      </c>
      <c r="M23" s="319">
        <f t="shared" si="8"/>
        <v>0.3000000000000001</v>
      </c>
      <c r="N23" s="319">
        <f t="shared" si="1"/>
        <v>0.2016011812929526</v>
      </c>
      <c r="O23" s="347">
        <f t="shared" si="2"/>
        <v>2.6375102733287696</v>
      </c>
      <c r="P23" s="304">
        <f t="shared" si="3"/>
        <v>0.24129490000000001</v>
      </c>
      <c r="Q23" s="304">
        <f t="shared" si="3"/>
        <v>0.44811910000000005</v>
      </c>
    </row>
    <row r="24" spans="1:17" x14ac:dyDescent="0.2">
      <c r="A24" s="285" t="s">
        <v>173</v>
      </c>
      <c r="B24" s="303" t="s">
        <v>303</v>
      </c>
      <c r="C24" s="54" t="s">
        <v>167</v>
      </c>
      <c r="D24" s="315">
        <v>1</v>
      </c>
      <c r="E24" s="322">
        <v>1437048.41</v>
      </c>
      <c r="F24" s="316">
        <f>GRADIO!I9</f>
        <v>70569.092436493243</v>
      </c>
      <c r="G24" s="326">
        <f t="shared" si="4"/>
        <v>1005933.8869999999</v>
      </c>
      <c r="H24" s="326">
        <f t="shared" si="5"/>
        <v>1868162.933</v>
      </c>
      <c r="I24" s="327">
        <v>1868162.933</v>
      </c>
      <c r="J24" s="317">
        <f>GRADIO!F9</f>
        <v>82600.094379775124</v>
      </c>
      <c r="K24" s="318">
        <f t="shared" si="6"/>
        <v>431114.52300000004</v>
      </c>
      <c r="L24" s="318">
        <f t="shared" si="7"/>
        <v>12031.001943281881</v>
      </c>
      <c r="M24" s="319">
        <f t="shared" si="8"/>
        <v>0.30000000000000004</v>
      </c>
      <c r="N24" s="319">
        <f t="shared" si="1"/>
        <v>0.17048542822211943</v>
      </c>
      <c r="O24" s="347">
        <f t="shared" si="2"/>
        <v>20.363708252210174</v>
      </c>
      <c r="P24" s="304">
        <f t="shared" si="3"/>
        <v>1.0059338869999999</v>
      </c>
      <c r="Q24" s="304">
        <f t="shared" si="3"/>
        <v>1.868162933</v>
      </c>
    </row>
    <row r="25" spans="1:17" s="98" customFormat="1" x14ac:dyDescent="0.2">
      <c r="A25" s="285" t="s">
        <v>173</v>
      </c>
      <c r="B25" s="303" t="s">
        <v>187</v>
      </c>
      <c r="C25" s="54" t="s">
        <v>167</v>
      </c>
      <c r="D25" s="315">
        <v>1</v>
      </c>
      <c r="E25" s="322">
        <v>13503524.99</v>
      </c>
      <c r="F25" s="316">
        <f>GTV!I9</f>
        <v>253686.28893952153</v>
      </c>
      <c r="G25" s="326">
        <f>E25</f>
        <v>13503524.99</v>
      </c>
      <c r="H25" s="326">
        <f>E25</f>
        <v>13503524.99</v>
      </c>
      <c r="I25" s="327">
        <v>13503524.99</v>
      </c>
      <c r="J25" s="317">
        <f>GTV!F9</f>
        <v>253686.28893952153</v>
      </c>
      <c r="K25" s="318">
        <f t="shared" si="6"/>
        <v>0</v>
      </c>
      <c r="L25" s="318">
        <f t="shared" si="7"/>
        <v>0</v>
      </c>
      <c r="M25" s="319">
        <f t="shared" si="8"/>
        <v>0</v>
      </c>
      <c r="N25" s="319">
        <f t="shared" ref="N25" si="9">L25/F25</f>
        <v>0</v>
      </c>
      <c r="O25" s="347">
        <f t="shared" si="2"/>
        <v>53.229226721114685</v>
      </c>
      <c r="P25" s="304">
        <f t="shared" si="3"/>
        <v>13.503524990000001</v>
      </c>
      <c r="Q25" s="304">
        <f t="shared" si="3"/>
        <v>13.503524990000001</v>
      </c>
    </row>
    <row r="26" spans="1:17" s="98" customFormat="1" x14ac:dyDescent="0.2">
      <c r="A26" s="127" t="s">
        <v>154</v>
      </c>
      <c r="B26" s="127" t="s">
        <v>99</v>
      </c>
      <c r="C26" s="127"/>
      <c r="D26" s="320"/>
      <c r="E26" s="323">
        <f>SUM(E17:E25)</f>
        <v>32280505.600000001</v>
      </c>
      <c r="F26" s="329">
        <f t="shared" ref="F26:L26" si="10">SUM(F17:F25)</f>
        <v>1099211.1195203364</v>
      </c>
      <c r="G26" s="328">
        <f t="shared" si="10"/>
        <v>26647411.416999999</v>
      </c>
      <c r="H26" s="328">
        <f t="shared" si="10"/>
        <v>37913599.783</v>
      </c>
      <c r="I26" s="328">
        <f t="shared" si="10"/>
        <v>36035901.72277765</v>
      </c>
      <c r="J26" s="329">
        <f t="shared" si="10"/>
        <v>1234078.7456187219</v>
      </c>
      <c r="K26" s="328">
        <f t="shared" si="10"/>
        <v>3755396.1227776469</v>
      </c>
      <c r="L26" s="165">
        <f t="shared" si="10"/>
        <v>134867.62609838558</v>
      </c>
      <c r="M26" s="166">
        <f>K26/E26</f>
        <v>0.11633634768030544</v>
      </c>
      <c r="N26" s="166">
        <f>L26/F26</f>
        <v>0.12269492520894246</v>
      </c>
    </row>
    <row r="27" spans="1:17" x14ac:dyDescent="0.2">
      <c r="A27" s="127" t="s">
        <v>154</v>
      </c>
      <c r="B27" s="127" t="s">
        <v>283</v>
      </c>
      <c r="C27" s="127"/>
      <c r="D27" s="320"/>
      <c r="E27" s="323">
        <f>SUM(E17:E24)</f>
        <v>18776980.609999999</v>
      </c>
      <c r="F27" s="329">
        <f t="shared" ref="F27:L27" si="11">SUM(F17:F24)</f>
        <v>845524.83058081486</v>
      </c>
      <c r="G27" s="328">
        <f t="shared" si="11"/>
        <v>13143886.426999999</v>
      </c>
      <c r="H27" s="328">
        <f t="shared" si="11"/>
        <v>24410074.793000001</v>
      </c>
      <c r="I27" s="328">
        <f t="shared" si="11"/>
        <v>22532376.732777648</v>
      </c>
      <c r="J27" s="329">
        <f t="shared" si="11"/>
        <v>980392.45667920029</v>
      </c>
      <c r="K27" s="328">
        <f t="shared" si="11"/>
        <v>3755396.1227776469</v>
      </c>
      <c r="L27" s="165">
        <f t="shared" si="11"/>
        <v>134867.62609838558</v>
      </c>
      <c r="M27" s="166">
        <f>K27/E27</f>
        <v>0.20000000004141491</v>
      </c>
      <c r="N27" s="166">
        <f>L27/F27</f>
        <v>0.15950758773783283</v>
      </c>
    </row>
    <row r="29" spans="1:17" x14ac:dyDescent="0.2">
      <c r="J29" s="337"/>
      <c r="K29" s="87"/>
    </row>
    <row r="30" spans="1:17" s="98" customFormat="1" x14ac:dyDescent="0.2">
      <c r="D30" s="475" t="s">
        <v>154</v>
      </c>
      <c r="E30" s="475"/>
      <c r="F30" s="475"/>
      <c r="G30" s="475"/>
      <c r="H30" s="475"/>
      <c r="I30" s="475"/>
      <c r="J30" s="474"/>
      <c r="K30" s="474"/>
      <c r="L30" s="474"/>
      <c r="M30" s="474"/>
      <c r="N30" s="474"/>
      <c r="O30" s="474"/>
      <c r="P30" s="134"/>
    </row>
    <row r="31" spans="1:17" ht="51" x14ac:dyDescent="0.2">
      <c r="A31" s="477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2">
      <c r="A32" s="477"/>
      <c r="D32" s="168">
        <v>1</v>
      </c>
      <c r="E32" s="126">
        <v>225.94</v>
      </c>
      <c r="F32" s="309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2">
      <c r="A33" s="476" t="s">
        <v>2</v>
      </c>
      <c r="B33" s="454" t="s">
        <v>3</v>
      </c>
      <c r="C33" s="454" t="str">
        <f t="shared" ref="C33:C43" si="12">D15</f>
        <v>Response Scaling Factor for Sensitivity Analysis</v>
      </c>
      <c r="D33" s="471" t="s">
        <v>86</v>
      </c>
      <c r="E33" s="472"/>
      <c r="F33" s="472"/>
      <c r="G33" s="473"/>
      <c r="H33" s="458" t="s">
        <v>89</v>
      </c>
      <c r="I33" s="459"/>
      <c r="J33" s="459"/>
      <c r="K33" s="471" t="s">
        <v>136</v>
      </c>
      <c r="L33" s="472"/>
      <c r="M33" s="472"/>
      <c r="N33" s="473"/>
      <c r="P33" s="134"/>
      <c r="Q33" s="134"/>
      <c r="R33" s="134"/>
      <c r="S33" s="134"/>
      <c r="T33" s="134"/>
      <c r="U33" s="134"/>
      <c r="V33" s="134"/>
    </row>
    <row r="34" spans="1:22" ht="74.45" customHeight="1" x14ac:dyDescent="0.2">
      <c r="A34" s="453"/>
      <c r="B34" s="453"/>
      <c r="C34" s="453">
        <f t="shared" si="12"/>
        <v>0</v>
      </c>
      <c r="D34" s="93" t="s">
        <v>267</v>
      </c>
      <c r="E34" s="93" t="s">
        <v>133</v>
      </c>
      <c r="F34" s="93" t="s">
        <v>134</v>
      </c>
      <c r="G34" s="93" t="s">
        <v>146</v>
      </c>
      <c r="H34" s="55" t="s">
        <v>268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207</v>
      </c>
    </row>
    <row r="35" spans="1:22" x14ac:dyDescent="0.2">
      <c r="A35" s="243" t="str">
        <f t="shared" ref="A35:B38" si="13">A17</f>
        <v>Gardasil Adolescents</v>
      </c>
      <c r="B35" s="243" t="str">
        <f t="shared" si="13"/>
        <v>HCC In Office</v>
      </c>
      <c r="C35" s="310">
        <f t="shared" si="12"/>
        <v>1</v>
      </c>
      <c r="D35" s="99">
        <f t="shared" ref="D35:D43" si="14">E17</f>
        <v>1755293</v>
      </c>
      <c r="E35" s="265" t="s">
        <v>166</v>
      </c>
      <c r="F35" s="101">
        <f t="shared" ref="F35:F43" si="15">F17/$D$32</f>
        <v>34079.723304951563</v>
      </c>
      <c r="G35" s="103">
        <f>F35*$F$32</f>
        <v>7699972.6835207557</v>
      </c>
      <c r="H35" s="105">
        <f t="shared" ref="H35:H43" si="16">I17</f>
        <v>1346172.4927629044</v>
      </c>
      <c r="I35" s="101">
        <f>J17/$D$32</f>
        <v>28154.025053609163</v>
      </c>
      <c r="J35" s="107">
        <f>I35*$F$32</f>
        <v>6361120.4206124544</v>
      </c>
      <c r="K35" s="99">
        <f>H35-D35</f>
        <v>-409120.50723709562</v>
      </c>
      <c r="L35" s="99">
        <f>J35-G35</f>
        <v>-1338852.2629083013</v>
      </c>
      <c r="M35" s="109">
        <f>K35/D35</f>
        <v>-0.23307818537252506</v>
      </c>
      <c r="N35" s="110">
        <f>L35/G35</f>
        <v>-0.17387753410783802</v>
      </c>
      <c r="O35" s="148"/>
      <c r="P35" s="331">
        <f>(J35-G35)/1000000</f>
        <v>-1.3388522629083013</v>
      </c>
    </row>
    <row r="36" spans="1:22" x14ac:dyDescent="0.2">
      <c r="A36" s="249" t="str">
        <f t="shared" si="13"/>
        <v>Gardasil Adolescents</v>
      </c>
      <c r="B36" s="249" t="str">
        <f t="shared" si="13"/>
        <v>HCP MCM</v>
      </c>
      <c r="C36" s="315">
        <f t="shared" si="12"/>
        <v>1</v>
      </c>
      <c r="D36" s="100">
        <f>E18</f>
        <v>5365372.8900000006</v>
      </c>
      <c r="E36" s="266" t="s">
        <v>166</v>
      </c>
      <c r="F36" s="102">
        <f t="shared" si="15"/>
        <v>282596.87941192184</v>
      </c>
      <c r="G36" s="104">
        <f t="shared" ref="G36:G43" si="17">F36*$F$32</f>
        <v>63849938.934329621</v>
      </c>
      <c r="H36" s="106">
        <f t="shared" si="16"/>
        <v>6974984.7570000011</v>
      </c>
      <c r="I36" s="102">
        <f t="shared" ref="I36:I43" si="18">J18/$D$32</f>
        <v>334480.28078193869</v>
      </c>
      <c r="J36" s="108">
        <f t="shared" ref="J36" si="19">I36*$F$32</f>
        <v>75572474.639871225</v>
      </c>
      <c r="K36" s="100">
        <f t="shared" ref="K36" si="20">H36-D36</f>
        <v>1609611.8670000006</v>
      </c>
      <c r="L36" s="100">
        <f t="shared" ref="L36" si="21">J36-G36</f>
        <v>11722535.705541603</v>
      </c>
      <c r="M36" s="111">
        <f t="shared" ref="M36" si="22">K36/D36</f>
        <v>0.30000000000000004</v>
      </c>
      <c r="N36" s="112">
        <f t="shared" ref="N36" si="23">L36/G36</f>
        <v>0.18359509658417</v>
      </c>
      <c r="O36" s="148"/>
      <c r="P36" s="331">
        <f t="shared" ref="P36:P43" si="24">(J36-G36)/1000000</f>
        <v>11.722535705541603</v>
      </c>
    </row>
    <row r="37" spans="1:22" s="98" customFormat="1" x14ac:dyDescent="0.2">
      <c r="A37" s="249" t="str">
        <f t="shared" si="13"/>
        <v>Gardasil Adolescents</v>
      </c>
      <c r="B37" s="249" t="str">
        <f t="shared" si="13"/>
        <v>HCC Social</v>
      </c>
      <c r="C37" s="315">
        <f t="shared" si="12"/>
        <v>1</v>
      </c>
      <c r="D37" s="100">
        <f t="shared" si="14"/>
        <v>1873000</v>
      </c>
      <c r="E37" s="266" t="s">
        <v>166</v>
      </c>
      <c r="F37" s="102">
        <f t="shared" si="15"/>
        <v>71243.17418511775</v>
      </c>
      <c r="G37" s="104">
        <f t="shared" si="17"/>
        <v>16096682.775385505</v>
      </c>
      <c r="H37" s="106">
        <f t="shared" si="16"/>
        <v>2434900</v>
      </c>
      <c r="I37" s="102">
        <f t="shared" si="18"/>
        <v>83389.097243970609</v>
      </c>
      <c r="J37" s="108">
        <f t="shared" ref="J37:J43" si="25">I37*$F$32</f>
        <v>18840932.631302718</v>
      </c>
      <c r="K37" s="100">
        <f t="shared" ref="K37:K43" si="26">H37-D37</f>
        <v>561900</v>
      </c>
      <c r="L37" s="100">
        <f t="shared" ref="L37:L43" si="27">J37-G37</f>
        <v>2744249.8559172135</v>
      </c>
      <c r="M37" s="111">
        <f t="shared" ref="M37:M43" si="28">K37/D37</f>
        <v>0.3</v>
      </c>
      <c r="N37" s="112">
        <f t="shared" ref="N37:N43" si="29">L37/G37</f>
        <v>0.17048542822211954</v>
      </c>
      <c r="O37" s="148"/>
      <c r="P37" s="331">
        <f t="shared" si="24"/>
        <v>2.7442498559172135</v>
      </c>
    </row>
    <row r="38" spans="1:22" s="98" customFormat="1" x14ac:dyDescent="0.2">
      <c r="A38" s="249" t="str">
        <f t="shared" si="13"/>
        <v>Gardasil Adolescents</v>
      </c>
      <c r="B38" s="249" t="str">
        <f t="shared" si="13"/>
        <v>HCC Online Video</v>
      </c>
      <c r="C38" s="315">
        <f t="shared" si="12"/>
        <v>1</v>
      </c>
      <c r="D38" s="100">
        <f t="shared" si="14"/>
        <v>173076.94</v>
      </c>
      <c r="E38" s="266" t="s">
        <v>166</v>
      </c>
      <c r="F38" s="102">
        <f t="shared" si="15"/>
        <v>7568.2941111773252</v>
      </c>
      <c r="G38" s="104">
        <f t="shared" si="17"/>
        <v>1709980.3714794049</v>
      </c>
      <c r="H38" s="106">
        <f t="shared" si="16"/>
        <v>225000.022</v>
      </c>
      <c r="I38" s="102">
        <f t="shared" si="18"/>
        <v>8989.8273410275578</v>
      </c>
      <c r="J38" s="108">
        <f t="shared" si="25"/>
        <v>2031161.5894317664</v>
      </c>
      <c r="K38" s="100">
        <f t="shared" si="26"/>
        <v>51923.081999999995</v>
      </c>
      <c r="L38" s="100">
        <f t="shared" si="27"/>
        <v>321181.21795236156</v>
      </c>
      <c r="M38" s="111">
        <f t="shared" si="28"/>
        <v>0.3</v>
      </c>
      <c r="N38" s="112">
        <f t="shared" si="29"/>
        <v>0.18782742966487315</v>
      </c>
      <c r="O38" s="148"/>
      <c r="P38" s="331">
        <f t="shared" si="24"/>
        <v>0.32118121795236154</v>
      </c>
    </row>
    <row r="39" spans="1:22" s="98" customFormat="1" x14ac:dyDescent="0.2">
      <c r="A39" s="285" t="s">
        <v>173</v>
      </c>
      <c r="B39" s="249" t="str">
        <f>B21</f>
        <v>HCC Streaming Video</v>
      </c>
      <c r="C39" s="315">
        <f t="shared" si="12"/>
        <v>1</v>
      </c>
      <c r="D39" s="100">
        <f t="shared" si="14"/>
        <v>6180125</v>
      </c>
      <c r="E39" s="266" t="s">
        <v>166</v>
      </c>
      <c r="F39" s="102">
        <f t="shared" si="15"/>
        <v>144657.20917756393</v>
      </c>
      <c r="G39" s="104">
        <f t="shared" si="17"/>
        <v>32683849.841578793</v>
      </c>
      <c r="H39" s="106">
        <f t="shared" si="16"/>
        <v>7092172.847014742</v>
      </c>
      <c r="I39" s="102">
        <f t="shared" si="18"/>
        <v>159289.63557628606</v>
      </c>
      <c r="J39" s="108">
        <f t="shared" si="25"/>
        <v>35989900.262106076</v>
      </c>
      <c r="K39" s="100">
        <f t="shared" si="26"/>
        <v>912047.84701474197</v>
      </c>
      <c r="L39" s="100">
        <f t="shared" si="27"/>
        <v>3306050.4205272831</v>
      </c>
      <c r="M39" s="111">
        <f t="shared" si="28"/>
        <v>0.14757757278610739</v>
      </c>
      <c r="N39" s="112">
        <f t="shared" si="29"/>
        <v>0.10115241737286064</v>
      </c>
      <c r="O39" s="148"/>
      <c r="P39" s="331">
        <f t="shared" si="24"/>
        <v>3.3060504205272832</v>
      </c>
    </row>
    <row r="40" spans="1:22" s="98" customFormat="1" x14ac:dyDescent="0.2">
      <c r="A40" s="249" t="str">
        <f>A22</f>
        <v>Gardasil Adolescents</v>
      </c>
      <c r="B40" s="249" t="str">
        <f>B22</f>
        <v>HCC Display</v>
      </c>
      <c r="C40" s="315">
        <f t="shared" si="12"/>
        <v>1</v>
      </c>
      <c r="D40" s="100">
        <f t="shared" si="14"/>
        <v>1648357.37</v>
      </c>
      <c r="E40" s="266" t="s">
        <v>166</v>
      </c>
      <c r="F40" s="102">
        <f t="shared" si="15"/>
        <v>104116.36986385845</v>
      </c>
      <c r="G40" s="104">
        <f t="shared" si="17"/>
        <v>23524052.607040178</v>
      </c>
      <c r="H40" s="106">
        <f t="shared" si="16"/>
        <v>2142864.5810000002</v>
      </c>
      <c r="I40" s="102">
        <f t="shared" si="18"/>
        <v>126447.32566596754</v>
      </c>
      <c r="J40" s="108">
        <f t="shared" si="25"/>
        <v>28569508.760968704</v>
      </c>
      <c r="K40" s="100">
        <f t="shared" si="26"/>
        <v>494507.21100000013</v>
      </c>
      <c r="L40" s="100">
        <f t="shared" si="27"/>
        <v>5045456.1539285257</v>
      </c>
      <c r="M40" s="111">
        <f t="shared" si="28"/>
        <v>0.30000000000000004</v>
      </c>
      <c r="N40" s="112">
        <f t="shared" si="29"/>
        <v>0.21448073757574165</v>
      </c>
      <c r="O40" s="148"/>
      <c r="P40" s="331">
        <f t="shared" si="24"/>
        <v>5.0454561539285256</v>
      </c>
    </row>
    <row r="41" spans="1:22" x14ac:dyDescent="0.2">
      <c r="A41" s="249" t="str">
        <f>A23</f>
        <v>Gardasil Adolescents</v>
      </c>
      <c r="B41" s="249" t="str">
        <f>B23</f>
        <v>HCC Paid Search</v>
      </c>
      <c r="C41" s="315">
        <f t="shared" si="12"/>
        <v>1</v>
      </c>
      <c r="D41" s="100">
        <f t="shared" si="14"/>
        <v>344707</v>
      </c>
      <c r="E41" s="266" t="s">
        <v>166</v>
      </c>
      <c r="F41" s="102">
        <f t="shared" si="15"/>
        <v>130694.08808973072</v>
      </c>
      <c r="G41" s="104">
        <f t="shared" si="17"/>
        <v>29529022.26299376</v>
      </c>
      <c r="H41" s="106">
        <f t="shared" si="16"/>
        <v>448119.10000000003</v>
      </c>
      <c r="I41" s="102">
        <f t="shared" si="18"/>
        <v>157042.17063662564</v>
      </c>
      <c r="J41" s="108">
        <f t="shared" si="25"/>
        <v>35482108.0336392</v>
      </c>
      <c r="K41" s="100">
        <f t="shared" si="26"/>
        <v>103412.10000000003</v>
      </c>
      <c r="L41" s="100">
        <f t="shared" si="27"/>
        <v>5953085.7706454396</v>
      </c>
      <c r="M41" s="111">
        <f t="shared" si="28"/>
        <v>0.3000000000000001</v>
      </c>
      <c r="N41" s="112">
        <f t="shared" si="29"/>
        <v>0.20160118129295262</v>
      </c>
      <c r="O41" s="148"/>
      <c r="P41" s="331">
        <f t="shared" si="24"/>
        <v>5.9530857706454396</v>
      </c>
    </row>
    <row r="42" spans="1:22" s="98" customFormat="1" x14ac:dyDescent="0.2">
      <c r="A42" s="249" t="str">
        <f>A24</f>
        <v>Gardasil Adolescents</v>
      </c>
      <c r="B42" s="249" t="str">
        <f>B24</f>
        <v>HCC Audio</v>
      </c>
      <c r="C42" s="315">
        <f t="shared" si="12"/>
        <v>1</v>
      </c>
      <c r="D42" s="100">
        <f t="shared" si="14"/>
        <v>1437048.41</v>
      </c>
      <c r="E42" s="266" t="s">
        <v>166</v>
      </c>
      <c r="F42" s="102">
        <f t="shared" si="15"/>
        <v>70569.092436493243</v>
      </c>
      <c r="G42" s="104">
        <f t="shared" si="17"/>
        <v>15944380.745101282</v>
      </c>
      <c r="H42" s="106">
        <f t="shared" si="16"/>
        <v>1868162.933</v>
      </c>
      <c r="I42" s="102">
        <f t="shared" si="18"/>
        <v>82600.094379775124</v>
      </c>
      <c r="J42" s="108">
        <f t="shared" si="25"/>
        <v>18662665.324166391</v>
      </c>
      <c r="K42" s="100">
        <f t="shared" si="26"/>
        <v>431114.52300000004</v>
      </c>
      <c r="L42" s="100">
        <f t="shared" si="27"/>
        <v>2718284.5790651087</v>
      </c>
      <c r="M42" s="111">
        <f t="shared" si="28"/>
        <v>0.30000000000000004</v>
      </c>
      <c r="N42" s="112">
        <f t="shared" si="29"/>
        <v>0.17048542822211948</v>
      </c>
      <c r="O42" s="148"/>
      <c r="P42" s="331">
        <f t="shared" si="24"/>
        <v>2.7182845790651085</v>
      </c>
    </row>
    <row r="43" spans="1:22" s="98" customFormat="1" x14ac:dyDescent="0.2">
      <c r="A43" s="249" t="str">
        <f>A25</f>
        <v>Gardasil Adolescents</v>
      </c>
      <c r="B43" s="249" t="str">
        <f>B25</f>
        <v>HCC TV</v>
      </c>
      <c r="C43" s="315">
        <f t="shared" si="12"/>
        <v>1</v>
      </c>
      <c r="D43" s="100">
        <f t="shared" si="14"/>
        <v>13503524.99</v>
      </c>
      <c r="E43" s="266" t="s">
        <v>166</v>
      </c>
      <c r="F43" s="102">
        <f t="shared" si="15"/>
        <v>253686.28893952153</v>
      </c>
      <c r="G43" s="104">
        <f t="shared" si="17"/>
        <v>57317880.122995496</v>
      </c>
      <c r="H43" s="106">
        <f t="shared" si="16"/>
        <v>13503524.99</v>
      </c>
      <c r="I43" s="102">
        <f t="shared" si="18"/>
        <v>253686.28893952153</v>
      </c>
      <c r="J43" s="108">
        <f t="shared" si="25"/>
        <v>57317880.122995496</v>
      </c>
      <c r="K43" s="100">
        <f t="shared" si="26"/>
        <v>0</v>
      </c>
      <c r="L43" s="100">
        <f t="shared" si="27"/>
        <v>0</v>
      </c>
      <c r="M43" s="111">
        <f t="shared" si="28"/>
        <v>0</v>
      </c>
      <c r="N43" s="112">
        <f t="shared" si="29"/>
        <v>0</v>
      </c>
      <c r="O43" s="148"/>
      <c r="P43" s="331">
        <f t="shared" si="24"/>
        <v>0</v>
      </c>
    </row>
    <row r="44" spans="1:22" s="98" customFormat="1" x14ac:dyDescent="0.2">
      <c r="A44" s="128" t="s">
        <v>154</v>
      </c>
      <c r="B44" s="128" t="s">
        <v>99</v>
      </c>
      <c r="C44" s="330"/>
      <c r="D44" s="131">
        <f>SUM(D35:D43)</f>
        <v>32280505.600000001</v>
      </c>
      <c r="E44" s="267"/>
      <c r="F44" s="130">
        <f>SUM(F35:F43)</f>
        <v>1099211.1195203364</v>
      </c>
      <c r="G44" s="131">
        <f>SUM(G35:G43)</f>
        <v>248355760.34442478</v>
      </c>
      <c r="H44" s="131">
        <f>SUM(H35:H43)</f>
        <v>36035901.72277765</v>
      </c>
      <c r="I44" s="130">
        <f>SUM(I35:I43)</f>
        <v>1234078.7456187219</v>
      </c>
      <c r="J44" s="131">
        <f>SUM(J35:J43)</f>
        <v>278827751.78509402</v>
      </c>
      <c r="K44" s="131">
        <f t="shared" ref="K44" si="30">H44-D44</f>
        <v>3755396.1227776483</v>
      </c>
      <c r="L44" s="131">
        <f t="shared" ref="L44" si="31">J44-G44</f>
        <v>30471991.440669239</v>
      </c>
      <c r="M44" s="129">
        <f t="shared" ref="M44" si="32">K44/D44</f>
        <v>0.11633634768030549</v>
      </c>
      <c r="N44" s="132">
        <f t="shared" ref="N44" si="33">L44/G44</f>
        <v>0.12269492520894247</v>
      </c>
    </row>
    <row r="45" spans="1:22" x14ac:dyDescent="0.2">
      <c r="D45" s="162"/>
      <c r="E45" s="268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2">
      <c r="D46" s="162"/>
      <c r="E46" s="268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2">
      <c r="D47" s="162"/>
      <c r="E47" s="268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34"/>
      <c r="E48" s="269"/>
      <c r="F48" s="349"/>
      <c r="G48" s="98"/>
      <c r="H48" s="98"/>
      <c r="I48" s="98"/>
      <c r="J48" s="98"/>
      <c r="K48" s="98"/>
      <c r="L48" s="98"/>
      <c r="M48" s="98"/>
      <c r="N48" s="98"/>
    </row>
    <row r="49" spans="4:14" x14ac:dyDescent="0.2">
      <c r="D49" s="164"/>
      <c r="E49" s="269"/>
      <c r="F49" s="349"/>
      <c r="G49" s="98"/>
      <c r="H49" s="98"/>
      <c r="I49" s="98"/>
      <c r="J49" s="98"/>
      <c r="K49" s="98"/>
      <c r="L49" s="98"/>
      <c r="M49" s="98"/>
      <c r="N49" s="98"/>
    </row>
    <row r="50" spans="4:14" x14ac:dyDescent="0.2">
      <c r="D50" s="134"/>
      <c r="E50" s="269"/>
      <c r="F50" s="349"/>
    </row>
    <row r="51" spans="4:14" x14ac:dyDescent="0.2">
      <c r="E51" s="270"/>
      <c r="F51" s="349"/>
    </row>
    <row r="52" spans="4:14" x14ac:dyDescent="0.2">
      <c r="E52" s="270"/>
      <c r="F52" s="349"/>
    </row>
    <row r="53" spans="4:14" x14ac:dyDescent="0.2">
      <c r="E53" s="270"/>
      <c r="F53" s="349"/>
    </row>
    <row r="54" spans="4:14" x14ac:dyDescent="0.2">
      <c r="E54" s="270"/>
      <c r="F54" s="349"/>
    </row>
    <row r="55" spans="4:14" x14ac:dyDescent="0.2">
      <c r="E55" s="270"/>
      <c r="F55" s="349"/>
    </row>
    <row r="56" spans="4:14" x14ac:dyDescent="0.2">
      <c r="F56" s="349"/>
    </row>
    <row r="57" spans="4:14" x14ac:dyDescent="0.2">
      <c r="F57" s="349"/>
    </row>
    <row r="58" spans="4:14" x14ac:dyDescent="0.2">
      <c r="F58" s="349"/>
    </row>
  </sheetData>
  <mergeCells count="20">
    <mergeCell ref="A33:A34"/>
    <mergeCell ref="B33:B34"/>
    <mergeCell ref="A31:A32"/>
    <mergeCell ref="A15:A16"/>
    <mergeCell ref="B15:B16"/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E27 I27" formulaRang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19" workbookViewId="0">
      <selection activeCell="G9" sqref="G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78" t="s">
        <v>106</v>
      </c>
      <c r="C4" s="478"/>
      <c r="D4" s="478"/>
      <c r="E4" s="478"/>
      <c r="F4" s="479"/>
      <c r="H4" s="98" t="s">
        <v>107</v>
      </c>
    </row>
    <row r="5" spans="1:18" x14ac:dyDescent="0.2">
      <c r="H5" s="98" t="s">
        <v>177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80" t="s">
        <v>8</v>
      </c>
      <c r="B7" s="483" t="s">
        <v>9</v>
      </c>
      <c r="C7" s="484"/>
      <c r="D7" s="485" t="s">
        <v>12</v>
      </c>
      <c r="E7" s="486"/>
      <c r="F7" s="487"/>
      <c r="G7" s="483" t="s">
        <v>124</v>
      </c>
      <c r="H7" s="483"/>
      <c r="I7" s="488"/>
      <c r="J7" s="98" t="s">
        <v>125</v>
      </c>
    </row>
    <row r="8" spans="1:18" ht="28.15" customHeight="1" x14ac:dyDescent="0.2">
      <c r="A8" s="48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82"/>
      <c r="B9" s="95">
        <f>VAC_Optim_Scenario!G17</f>
        <v>1228705.0999999999</v>
      </c>
      <c r="C9" s="95">
        <f>VAC_Optim_Scenario!H17</f>
        <v>2281880.9</v>
      </c>
      <c r="D9" s="68">
        <f>VAC_Optim_Scenario!I17</f>
        <v>1346172.4927629044</v>
      </c>
      <c r="E9" s="84">
        <f>((($R$12/(1+EXP($P$12+$Q$12*D9)))-1) - ($F$12-$C$12))*$I$12</f>
        <v>28154.025053609163</v>
      </c>
      <c r="F9" s="89">
        <f>E9*$G$12</f>
        <v>28154.025053609163</v>
      </c>
      <c r="G9" s="95">
        <f>VAC_Optim_Scenario!E17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178</v>
      </c>
    </row>
    <row r="10" spans="1:18" ht="13.5" thickBot="1" x14ac:dyDescent="0.25"/>
    <row r="11" spans="1:18" ht="51.6" customHeight="1" x14ac:dyDescent="0.2">
      <c r="A11" s="480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8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82"/>
      <c r="B12" s="95">
        <f>'[1]HCC Inoffice Curve'!$B$12</f>
        <v>1700000</v>
      </c>
      <c r="C12" s="167">
        <f>'[1]HCC Inoffice Curve'!$C$12</f>
        <v>33335.304822477454</v>
      </c>
      <c r="D12" s="167">
        <f>'[1]HCC Inoffice Curve'!$D$12</f>
        <v>0</v>
      </c>
      <c r="E12" s="167">
        <f>'[1]HCC Inoffice Curve'!$E$12</f>
        <v>66670.609644954908</v>
      </c>
      <c r="F12" s="167">
        <f>'[1]HCC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490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491" t="s">
        <v>180</v>
      </c>
      <c r="B13" s="492"/>
      <c r="C13" s="492"/>
      <c r="D13" s="492"/>
      <c r="E13" s="492"/>
      <c r="F13" s="493"/>
      <c r="G13" s="119" t="s">
        <v>150</v>
      </c>
      <c r="H13" s="119" t="s">
        <v>151</v>
      </c>
      <c r="K13" s="491" t="s">
        <v>115</v>
      </c>
      <c r="L13" s="492"/>
      <c r="M13" s="492"/>
      <c r="N13" s="492"/>
      <c r="O13" s="492"/>
      <c r="P13" s="492"/>
      <c r="Q13" s="492"/>
      <c r="R13" s="493"/>
    </row>
    <row r="14" spans="1:18" ht="33.6" customHeight="1" thickBot="1" x14ac:dyDescent="0.25">
      <c r="A14" s="494"/>
      <c r="B14" s="495"/>
      <c r="C14" s="495"/>
      <c r="D14" s="495"/>
      <c r="E14" s="495"/>
      <c r="F14" s="496"/>
      <c r="G14" s="95">
        <f>VAC_Optim_Scenario!$I$32</f>
        <v>225.94</v>
      </c>
      <c r="H14" s="95">
        <f>VAC_Optim_Scenario!$F$32</f>
        <v>225.94</v>
      </c>
      <c r="K14" s="494"/>
      <c r="L14" s="495"/>
      <c r="M14" s="495"/>
      <c r="N14" s="495"/>
      <c r="O14" s="495"/>
      <c r="P14" s="495"/>
      <c r="Q14" s="495"/>
      <c r="R14" s="496"/>
    </row>
    <row r="16" spans="1:18" ht="13.5" thickBot="1" x14ac:dyDescent="0.25"/>
    <row r="17" spans="1:8" ht="42.6" customHeight="1" x14ac:dyDescent="0.2">
      <c r="A17" s="48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90"/>
      <c r="B18" s="75">
        <v>0</v>
      </c>
      <c r="C18" s="76">
        <v>4000000</v>
      </c>
      <c r="D18" s="26">
        <v>20</v>
      </c>
    </row>
    <row r="20" spans="1:8" x14ac:dyDescent="0.2">
      <c r="A20" s="477" t="s">
        <v>37</v>
      </c>
      <c r="B20" s="477"/>
      <c r="C20" s="477"/>
    </row>
    <row r="21" spans="1:8" ht="25.5" x14ac:dyDescent="0.2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25"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78" t="s">
        <v>106</v>
      </c>
      <c r="C4" s="478"/>
      <c r="D4" s="478"/>
      <c r="E4" s="478"/>
      <c r="F4" s="479"/>
      <c r="H4" s="98" t="s">
        <v>107</v>
      </c>
    </row>
    <row r="5" spans="1:18" x14ac:dyDescent="0.2">
      <c r="H5" s="98" t="s">
        <v>184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80" t="s">
        <v>8</v>
      </c>
      <c r="B7" s="483" t="s">
        <v>9</v>
      </c>
      <c r="C7" s="484"/>
      <c r="D7" s="485" t="s">
        <v>12</v>
      </c>
      <c r="E7" s="486"/>
      <c r="F7" s="487"/>
      <c r="G7" s="483" t="s">
        <v>124</v>
      </c>
      <c r="H7" s="483"/>
      <c r="I7" s="488"/>
      <c r="J7" s="98" t="s">
        <v>125</v>
      </c>
    </row>
    <row r="8" spans="1:18" ht="28.15" customHeight="1" x14ac:dyDescent="0.2">
      <c r="A8" s="48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82"/>
      <c r="B9" s="95">
        <f>VAC_Optim_Scenario!G18</f>
        <v>3755761.023</v>
      </c>
      <c r="C9" s="95">
        <f>VAC_Optim_Scenario!H18</f>
        <v>6974984.7570000011</v>
      </c>
      <c r="D9" s="68">
        <f>VAC_Optim_Scenario!I18</f>
        <v>6974984.7570000011</v>
      </c>
      <c r="E9" s="84">
        <f>((($R$12/(1+EXP($P$12+$Q$12*D9)))-1) - ($F$12-$C$12))*$I$12</f>
        <v>334480.28078193869</v>
      </c>
      <c r="F9" s="89">
        <f>E9*$G$12</f>
        <v>334480.28078193869</v>
      </c>
      <c r="G9" s="95">
        <f>VAC_Optim_Scenario!E18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178</v>
      </c>
    </row>
    <row r="10" spans="1:18" ht="13.5" thickBot="1" x14ac:dyDescent="0.25"/>
    <row r="11" spans="1:18" ht="51.6" customHeight="1" x14ac:dyDescent="0.2">
      <c r="A11" s="480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8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82"/>
      <c r="B12" s="95">
        <f>'[2]HCP MCM SCurve'!$B$12</f>
        <v>5365372.8900000006</v>
      </c>
      <c r="C12" s="95">
        <f>'[2]HCP MCM SCurve'!$C$12</f>
        <v>282596.87941192201</v>
      </c>
      <c r="D12" s="95">
        <f>'[2]HCP MCM SCurve'!$D$12</f>
        <v>0</v>
      </c>
      <c r="E12" s="95">
        <f>'[2]HCP MCM SCurve'!$E$12</f>
        <v>536934.07088265184</v>
      </c>
      <c r="F12" s="95">
        <f>'[2]HCP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490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491" t="s">
        <v>185</v>
      </c>
      <c r="B13" s="492"/>
      <c r="C13" s="492"/>
      <c r="D13" s="492"/>
      <c r="E13" s="492"/>
      <c r="F13" s="493"/>
      <c r="G13" s="119" t="s">
        <v>150</v>
      </c>
      <c r="H13" s="119" t="s">
        <v>151</v>
      </c>
      <c r="K13" s="491" t="s">
        <v>115</v>
      </c>
      <c r="L13" s="492"/>
      <c r="M13" s="492"/>
      <c r="N13" s="492"/>
      <c r="O13" s="492"/>
      <c r="P13" s="492"/>
      <c r="Q13" s="492"/>
      <c r="R13" s="493"/>
    </row>
    <row r="14" spans="1:18" ht="33.6" customHeight="1" thickBot="1" x14ac:dyDescent="0.25">
      <c r="A14" s="494"/>
      <c r="B14" s="495"/>
      <c r="C14" s="495"/>
      <c r="D14" s="495"/>
      <c r="E14" s="495"/>
      <c r="F14" s="496"/>
      <c r="G14" s="95">
        <f>VAC_Optim_Scenario!$I$32</f>
        <v>225.94</v>
      </c>
      <c r="H14" s="95">
        <f>VAC_Optim_Scenario!$F$32</f>
        <v>225.94</v>
      </c>
      <c r="K14" s="494"/>
      <c r="L14" s="495"/>
      <c r="M14" s="495"/>
      <c r="N14" s="495"/>
      <c r="O14" s="495"/>
      <c r="P14" s="495"/>
      <c r="Q14" s="495"/>
      <c r="R14" s="496"/>
    </row>
    <row r="16" spans="1:18" ht="13.5" thickBot="1" x14ac:dyDescent="0.25"/>
    <row r="17" spans="1:8" ht="42.6" customHeight="1" x14ac:dyDescent="0.2">
      <c r="A17" s="48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90"/>
      <c r="B18" s="75">
        <v>0</v>
      </c>
      <c r="C18" s="76">
        <v>9000000</v>
      </c>
      <c r="D18" s="26">
        <v>20</v>
      </c>
    </row>
    <row r="20" spans="1:8" x14ac:dyDescent="0.2">
      <c r="A20" s="477" t="s">
        <v>37</v>
      </c>
      <c r="B20" s="477"/>
      <c r="C20" s="477"/>
    </row>
    <row r="21" spans="1:8" ht="25.5" x14ac:dyDescent="0.2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450000</v>
      </c>
      <c r="B23" s="79">
        <f t="shared" si="0"/>
        <v>32090.946621055715</v>
      </c>
      <c r="C23" s="79">
        <f t="shared" ref="C23:C42" si="1">B23*$G$12</f>
        <v>32090.946621055715</v>
      </c>
      <c r="D23" s="98">
        <f>(B23-B22)/A23</f>
        <v>7.1313214713455073E-2</v>
      </c>
      <c r="E23" s="116">
        <f t="shared" ref="E23:E42" si="2">B23*$H$14</f>
        <v>7250628.479561328</v>
      </c>
    </row>
    <row r="24" spans="1:8" x14ac:dyDescent="0.2">
      <c r="A24" s="86">
        <f t="shared" ref="A24:A42" si="3">A23+(($C$18-$B$18)/$D$18)</f>
        <v>900000</v>
      </c>
      <c r="B24" s="79">
        <f t="shared" si="0"/>
        <v>62372.702283534221</v>
      </c>
      <c r="C24" s="79">
        <f t="shared" si="1"/>
        <v>62372.702283534221</v>
      </c>
      <c r="D24" s="98">
        <f t="shared" ref="D24:D42" si="4">(B24-B23)/A24</f>
        <v>3.3646395180531675E-2</v>
      </c>
      <c r="E24" s="116">
        <f t="shared" si="2"/>
        <v>14092488.353941722</v>
      </c>
    </row>
    <row r="25" spans="1:8" x14ac:dyDescent="0.2">
      <c r="A25" s="86">
        <f t="shared" si="3"/>
        <v>1350000</v>
      </c>
      <c r="B25" s="79">
        <f t="shared" si="0"/>
        <v>90934.537746489979</v>
      </c>
      <c r="C25" s="79">
        <f t="shared" si="1"/>
        <v>90934.537746489979</v>
      </c>
      <c r="D25" s="98">
        <f t="shared" si="4"/>
        <v>2.1156915157745006E-2</v>
      </c>
      <c r="E25" s="116">
        <f t="shared" si="2"/>
        <v>20545749.458441947</v>
      </c>
    </row>
    <row r="26" spans="1:8" x14ac:dyDescent="0.2">
      <c r="A26" s="86">
        <f t="shared" si="3"/>
        <v>1800000</v>
      </c>
      <c r="B26" s="79">
        <f t="shared" si="0"/>
        <v>117862.82305689622</v>
      </c>
      <c r="C26" s="79">
        <f t="shared" si="1"/>
        <v>117862.82305689622</v>
      </c>
      <c r="D26" s="98">
        <f t="shared" si="4"/>
        <v>1.4960158505781243E-2</v>
      </c>
      <c r="E26" s="116">
        <f t="shared" si="2"/>
        <v>26629926.241475131</v>
      </c>
    </row>
    <row r="27" spans="1:8" x14ac:dyDescent="0.2">
      <c r="A27" s="86">
        <f t="shared" si="3"/>
        <v>2250000</v>
      </c>
      <c r="B27" s="79">
        <f t="shared" si="0"/>
        <v>143240.93136705179</v>
      </c>
      <c r="C27" s="79">
        <f t="shared" si="1"/>
        <v>143240.93136705179</v>
      </c>
      <c r="D27" s="98">
        <f t="shared" si="4"/>
        <v>1.1279159248958032E-2</v>
      </c>
      <c r="E27" s="116">
        <f t="shared" si="2"/>
        <v>32363856.033071682</v>
      </c>
    </row>
    <row r="28" spans="1:8" x14ac:dyDescent="0.2">
      <c r="A28" s="86">
        <f t="shared" si="3"/>
        <v>2700000</v>
      </c>
      <c r="B28" s="79">
        <f t="shared" si="0"/>
        <v>167149.17398581188</v>
      </c>
      <c r="C28" s="79">
        <f t="shared" si="1"/>
        <v>167149.17398581188</v>
      </c>
      <c r="D28" s="98">
        <f t="shared" si="4"/>
        <v>8.8549046736148499E-3</v>
      </c>
      <c r="E28" s="116">
        <f t="shared" si="2"/>
        <v>37765684.370354339</v>
      </c>
    </row>
    <row r="29" spans="1:8" x14ac:dyDescent="0.2">
      <c r="A29" s="86">
        <f t="shared" si="3"/>
        <v>3150000</v>
      </c>
      <c r="B29" s="79">
        <f t="shared" si="0"/>
        <v>189664.76300015021</v>
      </c>
      <c r="C29" s="79">
        <f t="shared" si="1"/>
        <v>189664.76300015021</v>
      </c>
      <c r="D29" s="98">
        <f t="shared" si="4"/>
        <v>7.1478060362978827E-3</v>
      </c>
      <c r="E29" s="116">
        <f t="shared" si="2"/>
        <v>42852856.552253939</v>
      </c>
    </row>
    <row r="30" spans="1:8" x14ac:dyDescent="0.2">
      <c r="A30" s="86">
        <f t="shared" si="3"/>
        <v>3600000</v>
      </c>
      <c r="B30" s="79">
        <f t="shared" si="0"/>
        <v>210861.79804271925</v>
      </c>
      <c r="C30" s="79">
        <f t="shared" si="1"/>
        <v>210861.79804271925</v>
      </c>
      <c r="D30" s="98">
        <f t="shared" si="4"/>
        <v>5.8880652896025117E-3</v>
      </c>
      <c r="E30" s="116">
        <f t="shared" si="2"/>
        <v>47642114.649771988</v>
      </c>
    </row>
    <row r="31" spans="1:8" x14ac:dyDescent="0.2">
      <c r="A31" s="86">
        <f t="shared" si="3"/>
        <v>4050000</v>
      </c>
      <c r="B31" s="79">
        <f t="shared" si="0"/>
        <v>230811.27402984444</v>
      </c>
      <c r="C31" s="79">
        <f t="shared" si="1"/>
        <v>230811.27402984444</v>
      </c>
      <c r="D31" s="98">
        <f t="shared" si="4"/>
        <v>4.9257965400309103E-3</v>
      </c>
      <c r="E31" s="116">
        <f t="shared" si="2"/>
        <v>52149499.254303053</v>
      </c>
    </row>
    <row r="32" spans="1:8" x14ac:dyDescent="0.2">
      <c r="A32" s="86">
        <f t="shared" si="3"/>
        <v>4500000</v>
      </c>
      <c r="B32" s="79">
        <f t="shared" si="0"/>
        <v>249581.10694633145</v>
      </c>
      <c r="C32" s="79">
        <f t="shared" si="1"/>
        <v>249581.10694633145</v>
      </c>
      <c r="D32" s="98">
        <f t="shared" si="4"/>
        <v>4.1710739814415573E-3</v>
      </c>
      <c r="E32" s="116">
        <f t="shared" si="2"/>
        <v>56390355.303454123</v>
      </c>
    </row>
    <row r="33" spans="1:5" x14ac:dyDescent="0.2">
      <c r="A33" s="86">
        <f t="shared" si="3"/>
        <v>4950000</v>
      </c>
      <c r="B33" s="79">
        <f t="shared" si="0"/>
        <v>267236.17500382755</v>
      </c>
      <c r="C33" s="79">
        <f t="shared" si="1"/>
        <v>267236.17500382755</v>
      </c>
      <c r="D33" s="98">
        <f t="shared" si="4"/>
        <v>3.566680415655778E-3</v>
      </c>
      <c r="E33" s="116">
        <f t="shared" si="2"/>
        <v>60379341.380364798</v>
      </c>
    </row>
    <row r="34" spans="1:5" x14ac:dyDescent="0.2">
      <c r="A34" s="86">
        <f>A33+(($C$18-$B$18)/$D$18)</f>
        <v>5400000</v>
      </c>
      <c r="B34" s="79">
        <f t="shared" si="0"/>
        <v>283838.37274381984</v>
      </c>
      <c r="C34" s="79">
        <f t="shared" si="1"/>
        <v>283838.37274381984</v>
      </c>
      <c r="D34" s="98">
        <f t="shared" si="4"/>
        <v>3.0744810629615353E-3</v>
      </c>
      <c r="E34" s="116">
        <f t="shared" si="2"/>
        <v>64130441.937738657</v>
      </c>
    </row>
    <row r="35" spans="1:5" x14ac:dyDescent="0.2">
      <c r="A35" s="86">
        <f t="shared" si="3"/>
        <v>5850000</v>
      </c>
      <c r="B35" s="79">
        <f t="shared" si="0"/>
        <v>299446.6758922087</v>
      </c>
      <c r="C35" s="79">
        <f t="shared" si="1"/>
        <v>299446.6758922087</v>
      </c>
      <c r="D35" s="98">
        <f t="shared" si="4"/>
        <v>2.6680860082716005E-3</v>
      </c>
      <c r="E35" s="116">
        <f t="shared" si="2"/>
        <v>67656981.951085627</v>
      </c>
    </row>
    <row r="36" spans="1:5" x14ac:dyDescent="0.2">
      <c r="A36" s="86">
        <f t="shared" si="3"/>
        <v>6300000</v>
      </c>
      <c r="B36" s="79">
        <f t="shared" si="0"/>
        <v>314117.21499689016</v>
      </c>
      <c r="C36" s="79">
        <f t="shared" si="1"/>
        <v>314117.21499689016</v>
      </c>
      <c r="D36" s="98">
        <f t="shared" si="4"/>
        <v>2.3286570007430892E-3</v>
      </c>
      <c r="E36" s="116">
        <f t="shared" si="2"/>
        <v>70971643.556397364</v>
      </c>
    </row>
    <row r="37" spans="1:5" x14ac:dyDescent="0.2">
      <c r="A37" s="86">
        <f t="shared" si="3"/>
        <v>6750000</v>
      </c>
      <c r="B37" s="79">
        <f t="shared" si="0"/>
        <v>327903.35609178897</v>
      </c>
      <c r="C37" s="79">
        <f t="shared" si="1"/>
        <v>327903.35609178897</v>
      </c>
      <c r="D37" s="98">
        <f t="shared" si="4"/>
        <v>2.0423912733183417E-3</v>
      </c>
      <c r="E37" s="116">
        <f t="shared" si="2"/>
        <v>74086484.275378793</v>
      </c>
    </row>
    <row r="38" spans="1:5" x14ac:dyDescent="0.2">
      <c r="A38" s="86">
        <f t="shared" si="3"/>
        <v>7200000</v>
      </c>
      <c r="B38" s="79">
        <f t="shared" si="0"/>
        <v>340855.78682918753</v>
      </c>
      <c r="C38" s="79">
        <f t="shared" si="1"/>
        <v>340855.78682918753</v>
      </c>
      <c r="D38" s="98">
        <f t="shared" si="4"/>
        <v>1.7989487135275785E-3</v>
      </c>
      <c r="E38" s="116">
        <f t="shared" si="2"/>
        <v>77012956.476186633</v>
      </c>
    </row>
    <row r="39" spans="1:5" x14ac:dyDescent="0.2">
      <c r="A39" s="86">
        <f t="shared" si="3"/>
        <v>7650000</v>
      </c>
      <c r="B39" s="79">
        <f t="shared" si="0"/>
        <v>353022.60670624953</v>
      </c>
      <c r="C39" s="79">
        <f t="shared" si="1"/>
        <v>353022.60670624953</v>
      </c>
      <c r="D39" s="98">
        <f t="shared" si="4"/>
        <v>1.5904339708577768E-3</v>
      </c>
      <c r="E39" s="116">
        <f t="shared" si="2"/>
        <v>79761927.75921002</v>
      </c>
    </row>
    <row r="40" spans="1:5" x14ac:dyDescent="0.2">
      <c r="A40" s="86">
        <f t="shared" si="3"/>
        <v>8100000</v>
      </c>
      <c r="B40" s="79">
        <f t="shared" si="0"/>
        <v>364449.42018150073</v>
      </c>
      <c r="C40" s="79">
        <f t="shared" si="1"/>
        <v>364449.42018150073</v>
      </c>
      <c r="D40" s="98">
        <f t="shared" si="4"/>
        <v>1.410717712993975E-3</v>
      </c>
      <c r="E40" s="116">
        <f t="shared" si="2"/>
        <v>82343701.995808274</v>
      </c>
    </row>
    <row r="41" spans="1:5" x14ac:dyDescent="0.2">
      <c r="A41" s="86">
        <f>A40+(($C$18-$B$18)/$D$18)</f>
        <v>8550000</v>
      </c>
      <c r="B41" s="79">
        <f t="shared" si="0"/>
        <v>375179.43163259048</v>
      </c>
      <c r="C41" s="79">
        <f t="shared" si="1"/>
        <v>375179.43163259048</v>
      </c>
      <c r="D41" s="98">
        <f t="shared" si="4"/>
        <v>1.2549720995426615E-3</v>
      </c>
      <c r="E41" s="116">
        <f t="shared" si="2"/>
        <v>84768040.783067495</v>
      </c>
    </row>
    <row r="42" spans="1:5" x14ac:dyDescent="0.2">
      <c r="A42" s="86">
        <f t="shared" si="3"/>
        <v>9000000</v>
      </c>
      <c r="B42" s="79">
        <f t="shared" si="0"/>
        <v>385253.54124828521</v>
      </c>
      <c r="C42" s="79">
        <f t="shared" si="1"/>
        <v>385253.54124828521</v>
      </c>
      <c r="D42" s="98">
        <f t="shared" si="4"/>
        <v>1.1193455128549702E-3</v>
      </c>
      <c r="E42" s="116">
        <f t="shared" si="2"/>
        <v>87044185.109637558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topLeftCell="A25" workbookViewId="0">
      <selection activeCell="B28" sqref="B28:B2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97"/>
      <c r="C4" s="498"/>
      <c r="D4" s="498"/>
      <c r="E4" s="498"/>
      <c r="F4" s="49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480" t="s">
        <v>8</v>
      </c>
      <c r="B7" s="483" t="s">
        <v>9</v>
      </c>
      <c r="C7" s="483"/>
      <c r="D7" s="483" t="s">
        <v>12</v>
      </c>
      <c r="E7" s="483"/>
      <c r="F7" s="483"/>
      <c r="G7" s="483" t="s">
        <v>124</v>
      </c>
      <c r="H7" s="483"/>
      <c r="I7" s="488"/>
    </row>
    <row r="8" spans="1:9" x14ac:dyDescent="0.25">
      <c r="A8" s="481"/>
      <c r="B8" s="276" t="s">
        <v>10</v>
      </c>
      <c r="C8" s="276" t="s">
        <v>11</v>
      </c>
      <c r="D8" s="276" t="s">
        <v>20</v>
      </c>
      <c r="E8" s="276" t="s">
        <v>21</v>
      </c>
      <c r="F8" s="276" t="s">
        <v>117</v>
      </c>
      <c r="G8" s="276" t="s">
        <v>22</v>
      </c>
      <c r="H8" s="276" t="s">
        <v>23</v>
      </c>
      <c r="I8" s="4" t="s">
        <v>123</v>
      </c>
    </row>
    <row r="9" spans="1:9" ht="15.75" thickBot="1" x14ac:dyDescent="0.3">
      <c r="A9" s="482"/>
      <c r="B9" s="171">
        <f>VAC_Optim_Scenario!G$19</f>
        <v>1311100</v>
      </c>
      <c r="C9" s="171">
        <f>VAC_Optim_Scenario!H$19</f>
        <v>2434900</v>
      </c>
      <c r="D9" s="172">
        <f>VAC_Optim_Scenario!I$19</f>
        <v>2434900</v>
      </c>
      <c r="E9" s="84">
        <f>((GSOC!D9/$B$12)^$D$12)*$C$12*$F$12</f>
        <v>83389.097243970609</v>
      </c>
      <c r="F9" s="84">
        <f>E9*F11</f>
        <v>83389.097243970609</v>
      </c>
      <c r="G9" s="76">
        <f>VAC_Optim_Scenario!E19</f>
        <v>1873000</v>
      </c>
      <c r="H9" s="173">
        <f>((GSOC!G9/$B$12)^$D$12)*$C$12*$F$12</f>
        <v>71243.17418511775</v>
      </c>
      <c r="I9" s="174">
        <f>H9*F11</f>
        <v>71243.17418511775</v>
      </c>
    </row>
    <row r="10" spans="1:9" ht="15.75" thickBot="1" x14ac:dyDescent="0.3"/>
    <row r="11" spans="1:9" ht="48.95" customHeight="1" x14ac:dyDescent="0.25">
      <c r="A11" s="477" t="s">
        <v>15</v>
      </c>
      <c r="B11" s="277" t="s">
        <v>16</v>
      </c>
      <c r="C11" s="277" t="s">
        <v>17</v>
      </c>
      <c r="D11" s="277" t="s">
        <v>168</v>
      </c>
      <c r="E11" s="276" t="s">
        <v>126</v>
      </c>
      <c r="F11" s="175">
        <v>1</v>
      </c>
    </row>
    <row r="12" spans="1:9" ht="40.5" customHeight="1" thickBot="1" x14ac:dyDescent="0.3">
      <c r="A12" s="477"/>
      <c r="B12" s="176">
        <f>'[3]HCC Social - Power'!$B$12</f>
        <v>1873000</v>
      </c>
      <c r="C12" s="176">
        <f>'[3]HCC Social - Power'!$C$12</f>
        <v>71243.17418511775</v>
      </c>
      <c r="D12" s="336">
        <f>'[3]HCC Social - Power'!$D$12</f>
        <v>0.6</v>
      </c>
      <c r="E12" s="276" t="s">
        <v>122</v>
      </c>
      <c r="F12" s="177">
        <f>VAC_Optim_Scenario!D19</f>
        <v>1</v>
      </c>
      <c r="G12" s="283">
        <f>B12*2</f>
        <v>3746000</v>
      </c>
    </row>
    <row r="13" spans="1:9" ht="18.75" customHeight="1" x14ac:dyDescent="0.25">
      <c r="A13" s="491" t="s">
        <v>169</v>
      </c>
      <c r="B13" s="492"/>
      <c r="C13" s="492"/>
      <c r="D13" s="492"/>
      <c r="E13" s="276" t="s">
        <v>170</v>
      </c>
      <c r="F13" s="276" t="s">
        <v>171</v>
      </c>
    </row>
    <row r="14" spans="1:9" ht="15.75" thickBot="1" x14ac:dyDescent="0.3">
      <c r="A14" s="494"/>
      <c r="B14" s="495"/>
      <c r="C14" s="495"/>
      <c r="D14" s="495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89" t="s">
        <v>34</v>
      </c>
      <c r="B16" s="277" t="s">
        <v>32</v>
      </c>
      <c r="C16" s="277" t="s">
        <v>31</v>
      </c>
      <c r="D16" s="278" t="s">
        <v>33</v>
      </c>
    </row>
    <row r="17" spans="1:4" ht="15.75" thickBot="1" x14ac:dyDescent="0.3">
      <c r="A17" s="490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77" t="s">
        <v>37</v>
      </c>
      <c r="B19" s="477"/>
      <c r="C19" s="477"/>
      <c r="D19" s="98"/>
    </row>
    <row r="20" spans="1:4" ht="25.5" x14ac:dyDescent="0.25">
      <c r="A20" s="276" t="s">
        <v>35</v>
      </c>
      <c r="B20" s="276" t="s">
        <v>175</v>
      </c>
      <c r="C20" s="276" t="s">
        <v>172</v>
      </c>
    </row>
    <row r="21" spans="1:4" x14ac:dyDescent="0.2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250000</v>
      </c>
      <c r="B22" s="173">
        <f>((GSOC!A22/$B$12)^$D$12)*$C$12*$F$12</f>
        <v>21280.635822412063</v>
      </c>
      <c r="C22" s="179">
        <f t="shared" ref="C22:C41" si="0">B22*$F$14</f>
        <v>4808146.8577157818</v>
      </c>
    </row>
    <row r="23" spans="1:4" x14ac:dyDescent="0.25">
      <c r="A23" s="178">
        <f t="shared" ref="A23:A41" si="1">A22+(($C$17-$B$17)/$D$17)</f>
        <v>500000</v>
      </c>
      <c r="B23" s="173">
        <f>((GSOC!A23/$B$12)^$D$12)*$C$12*$F$12</f>
        <v>32255.412261904592</v>
      </c>
      <c r="C23" s="179">
        <f t="shared" si="0"/>
        <v>7287787.8464547237</v>
      </c>
    </row>
    <row r="24" spans="1:4" x14ac:dyDescent="0.25">
      <c r="A24" s="178">
        <f t="shared" si="1"/>
        <v>750000</v>
      </c>
      <c r="B24" s="173">
        <f>((GSOC!A24/$B$12)^$D$12)*$C$12*$F$12</f>
        <v>41139.343076618679</v>
      </c>
      <c r="C24" s="179">
        <f t="shared" si="0"/>
        <v>9295023.1747312248</v>
      </c>
    </row>
    <row r="25" spans="1:4" x14ac:dyDescent="0.25">
      <c r="A25" s="178">
        <f t="shared" si="1"/>
        <v>1000000</v>
      </c>
      <c r="B25" s="173">
        <f>((GSOC!A25/$B$12)^$D$12)*$C$12*$F$12</f>
        <v>48890.062724991418</v>
      </c>
      <c r="C25" s="179">
        <f t="shared" si="0"/>
        <v>11046220.77208456</v>
      </c>
    </row>
    <row r="26" spans="1:4" x14ac:dyDescent="0.25">
      <c r="A26" s="178">
        <f t="shared" si="1"/>
        <v>1250000</v>
      </c>
      <c r="B26" s="173">
        <f>((GSOC!A26/$B$12)^$D$12)*$C$12*$F$12</f>
        <v>55894.181682956114</v>
      </c>
      <c r="C26" s="179">
        <f t="shared" si="0"/>
        <v>12628731.409447104</v>
      </c>
    </row>
    <row r="27" spans="1:4" x14ac:dyDescent="0.25">
      <c r="A27" s="178">
        <f t="shared" si="1"/>
        <v>1500000</v>
      </c>
      <c r="B27" s="173">
        <f>((GSOC!A27/$B$12)^$D$12)*$C$12*$F$12</f>
        <v>62355.583836585771</v>
      </c>
      <c r="C27" s="179">
        <f t="shared" si="0"/>
        <v>14088620.61203819</v>
      </c>
    </row>
    <row r="28" spans="1:4" x14ac:dyDescent="0.25">
      <c r="A28" s="178">
        <f t="shared" si="1"/>
        <v>1750000</v>
      </c>
      <c r="B28" s="173">
        <f>((GSOC!A28/$B$12)^$D$12)*$C$12*$F$12</f>
        <v>68398.003276133066</v>
      </c>
      <c r="C28" s="179">
        <f t="shared" si="0"/>
        <v>15453844.860209504</v>
      </c>
    </row>
    <row r="29" spans="1:4" x14ac:dyDescent="0.25">
      <c r="A29" s="178">
        <f t="shared" si="1"/>
        <v>2000000</v>
      </c>
      <c r="B29" s="173">
        <f>((GSOC!A29/$B$12)^$D$12)*$C$12*$F$12</f>
        <v>74103.478010002</v>
      </c>
      <c r="C29" s="179">
        <f t="shared" si="0"/>
        <v>16742939.821579851</v>
      </c>
    </row>
    <row r="30" spans="1:4" x14ac:dyDescent="0.25">
      <c r="A30" s="178">
        <f t="shared" si="1"/>
        <v>2250000</v>
      </c>
      <c r="B30" s="173">
        <f>((GSOC!A30/$B$12)^$D$12)*$C$12*$F$12</f>
        <v>79529.839376007047</v>
      </c>
      <c r="C30" s="179">
        <f t="shared" si="0"/>
        <v>17968971.90861503</v>
      </c>
    </row>
    <row r="31" spans="1:4" x14ac:dyDescent="0.25">
      <c r="A31" s="178">
        <f t="shared" si="1"/>
        <v>2500000</v>
      </c>
      <c r="B31" s="173">
        <f>((GSOC!A31/$B$12)^$D$12)*$C$12*$F$12</f>
        <v>84719.737148398606</v>
      </c>
      <c r="C31" s="179">
        <f t="shared" si="0"/>
        <v>19141577.411309183</v>
      </c>
    </row>
    <row r="32" spans="1:4" x14ac:dyDescent="0.25">
      <c r="A32" s="178">
        <f t="shared" si="1"/>
        <v>2750000</v>
      </c>
      <c r="B32" s="173">
        <f>((GSOC!A32/$B$12)^$D$12)*$C$12*$F$12</f>
        <v>89705.735378365556</v>
      </c>
      <c r="C32" s="179">
        <f t="shared" si="0"/>
        <v>20268113.851387914</v>
      </c>
    </row>
    <row r="33" spans="1:3" x14ac:dyDescent="0.25">
      <c r="A33" s="178">
        <f t="shared" si="1"/>
        <v>3000000</v>
      </c>
      <c r="B33" s="173">
        <f>((GSOC!A33/$B$12)^$D$12)*$C$12*$F$12</f>
        <v>94513.391435541067</v>
      </c>
      <c r="C33" s="179">
        <f t="shared" si="0"/>
        <v>21354355.660946149</v>
      </c>
    </row>
    <row r="34" spans="1:3" x14ac:dyDescent="0.25">
      <c r="A34" s="178">
        <f t="shared" si="1"/>
        <v>3250000</v>
      </c>
      <c r="B34" s="173">
        <f>((GSOC!A34/$B$12)^$D$12)*$C$12*$F$12</f>
        <v>99163.217815008757</v>
      </c>
      <c r="C34" s="179">
        <f t="shared" si="0"/>
        <v>22404937.433123078</v>
      </c>
    </row>
    <row r="35" spans="1:3" x14ac:dyDescent="0.25">
      <c r="A35" s="178">
        <f t="shared" si="1"/>
        <v>3500000</v>
      </c>
      <c r="B35" s="173">
        <f>((GSOC!A35/$B$12)^$D$12)*$C$12*$F$12</f>
        <v>103671.98668186736</v>
      </c>
      <c r="C35" s="179">
        <f t="shared" si="0"/>
        <v>23423648.670901112</v>
      </c>
    </row>
    <row r="36" spans="1:3" x14ac:dyDescent="0.25">
      <c r="A36" s="178">
        <f t="shared" si="1"/>
        <v>3750000</v>
      </c>
      <c r="B36" s="173">
        <f>((GSOC!A36/$B$12)^$D$12)*$C$12*$F$12</f>
        <v>108053.62844564456</v>
      </c>
      <c r="C36" s="179">
        <f t="shared" si="0"/>
        <v>24413636.81100893</v>
      </c>
    </row>
    <row r="37" spans="1:3" x14ac:dyDescent="0.25">
      <c r="A37" s="178">
        <f t="shared" si="1"/>
        <v>4000000</v>
      </c>
      <c r="B37" s="173">
        <f>((GSOC!A37/$B$12)^$D$12)*$C$12*$F$12</f>
        <v>112319.869255799</v>
      </c>
      <c r="C37" s="179">
        <f t="shared" si="0"/>
        <v>25377551.259655226</v>
      </c>
    </row>
    <row r="38" spans="1:3" x14ac:dyDescent="0.25">
      <c r="A38" s="178">
        <f t="shared" si="1"/>
        <v>4250000</v>
      </c>
      <c r="B38" s="173">
        <f>((GSOC!A38/$B$12)^$D$12)*$C$12*$F$12</f>
        <v>116480.69479189794</v>
      </c>
      <c r="C38" s="179">
        <f t="shared" si="0"/>
        <v>26317648.181281421</v>
      </c>
    </row>
    <row r="39" spans="1:3" x14ac:dyDescent="0.25">
      <c r="A39" s="178">
        <f t="shared" si="1"/>
        <v>4500000</v>
      </c>
      <c r="B39" s="173">
        <f>((GSOC!A39/$B$12)^$D$12)*$C$12*$F$12</f>
        <v>120544.69507412486</v>
      </c>
      <c r="C39" s="179">
        <f t="shared" si="0"/>
        <v>27235868.405047771</v>
      </c>
    </row>
    <row r="40" spans="1:3" x14ac:dyDescent="0.25">
      <c r="A40" s="178">
        <f t="shared" si="1"/>
        <v>4750000</v>
      </c>
      <c r="B40" s="173">
        <f>((GSOC!A40/$B$12)^$D$12)*$C$12*$F$12</f>
        <v>124519.32570439449</v>
      </c>
      <c r="C40" s="179">
        <f t="shared" si="0"/>
        <v>28133896.449650891</v>
      </c>
    </row>
    <row r="41" spans="1:3" x14ac:dyDescent="0.25">
      <c r="A41" s="178">
        <f t="shared" si="1"/>
        <v>5000000</v>
      </c>
      <c r="B41" s="173">
        <f>((GSOC!A41/$B$12)^$D$12)*$C$12*$F$12</f>
        <v>128411.10910623417</v>
      </c>
      <c r="C41" s="179">
        <f t="shared" si="0"/>
        <v>29013205.991462547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topLeftCell="A19" workbookViewId="0">
      <selection activeCell="H12" sqref="H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25">
      <c r="A3" s="11" t="s">
        <v>3</v>
      </c>
      <c r="B3" s="12" t="s">
        <v>245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78" t="s">
        <v>106</v>
      </c>
      <c r="C4" s="478"/>
      <c r="D4" s="478"/>
      <c r="E4" s="478"/>
      <c r="F4" s="479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80" t="s">
        <v>8</v>
      </c>
      <c r="B7" s="483" t="s">
        <v>9</v>
      </c>
      <c r="C7" s="484"/>
      <c r="D7" s="485" t="s">
        <v>12</v>
      </c>
      <c r="E7" s="486"/>
      <c r="F7" s="487"/>
      <c r="G7" s="483" t="s">
        <v>124</v>
      </c>
      <c r="H7" s="483"/>
      <c r="I7" s="488"/>
      <c r="J7" s="98" t="s">
        <v>125</v>
      </c>
    </row>
    <row r="8" spans="1:18" ht="28.15" customHeight="1" x14ac:dyDescent="0.2">
      <c r="A8" s="481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25">
      <c r="A9" s="482"/>
      <c r="B9" s="95">
        <f>VAC_Optim_Scenario!G20</f>
        <v>121153.85799999999</v>
      </c>
      <c r="C9" s="95">
        <f>VAC_Optim_Scenario!H20</f>
        <v>225000.022</v>
      </c>
      <c r="D9" s="68">
        <f>VAC_Optim_Scenario!I20</f>
        <v>225000.022</v>
      </c>
      <c r="E9" s="84">
        <f>((($R$12/(1+EXP($P$12+$Q$12*D9)))-1) - ($F$12-$C$12))*$I$12</f>
        <v>8989.8273410275578</v>
      </c>
      <c r="F9" s="89">
        <f>E9*$G$12</f>
        <v>8989.8273410275578</v>
      </c>
      <c r="G9" s="95">
        <f>VAC_Optim_Scenario!E20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196</v>
      </c>
    </row>
    <row r="10" spans="1:18" ht="13.5" thickBot="1" x14ac:dyDescent="0.25"/>
    <row r="11" spans="1:18" ht="51.6" customHeight="1" x14ac:dyDescent="0.2">
      <c r="A11" s="480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489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25">
      <c r="A12" s="482"/>
      <c r="B12" s="95">
        <f>'[4]HCC Online Video Curve'!$B$12</f>
        <v>173076.94</v>
      </c>
      <c r="C12" s="95">
        <f>'[4]HCC Online Video Curve'!$C$12</f>
        <v>7568.2941111774026</v>
      </c>
      <c r="D12" s="95">
        <f>'[4]HCC Online Video Curve'!$D$12</f>
        <v>0</v>
      </c>
      <c r="E12" s="95">
        <f>'[4]HCC Online Video Curve'!$E$12</f>
        <v>15136.588222354803</v>
      </c>
      <c r="F12" s="95">
        <f>'[4]HCC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490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491" t="s">
        <v>114</v>
      </c>
      <c r="B13" s="492"/>
      <c r="C13" s="492"/>
      <c r="D13" s="492"/>
      <c r="E13" s="492"/>
      <c r="F13" s="493"/>
      <c r="G13" s="139" t="s">
        <v>150</v>
      </c>
      <c r="H13" s="139" t="s">
        <v>151</v>
      </c>
      <c r="K13" s="491" t="s">
        <v>115</v>
      </c>
      <c r="L13" s="492"/>
      <c r="M13" s="492"/>
      <c r="N13" s="492"/>
      <c r="O13" s="492"/>
      <c r="P13" s="492"/>
      <c r="Q13" s="492"/>
      <c r="R13" s="493"/>
    </row>
    <row r="14" spans="1:18" ht="33.6" customHeight="1" thickBot="1" x14ac:dyDescent="0.25">
      <c r="A14" s="494"/>
      <c r="B14" s="495"/>
      <c r="C14" s="495"/>
      <c r="D14" s="495"/>
      <c r="E14" s="495"/>
      <c r="F14" s="496"/>
      <c r="G14" s="95">
        <f>VAC_Optim_Scenario!$I$32</f>
        <v>225.94</v>
      </c>
      <c r="H14" s="95">
        <f>VAC_Optim_Scenario!$F$32</f>
        <v>225.94</v>
      </c>
      <c r="K14" s="494"/>
      <c r="L14" s="495"/>
      <c r="M14" s="495"/>
      <c r="N14" s="495"/>
      <c r="O14" s="495"/>
      <c r="P14" s="495"/>
      <c r="Q14" s="495"/>
      <c r="R14" s="496"/>
    </row>
    <row r="16" spans="1:18" ht="13.5" thickBot="1" x14ac:dyDescent="0.25"/>
    <row r="17" spans="1:8" ht="42.6" customHeight="1" x14ac:dyDescent="0.2">
      <c r="A17" s="489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25">
      <c r="A18" s="490"/>
      <c r="B18" s="75">
        <v>0</v>
      </c>
      <c r="C18" s="76">
        <v>2000000</v>
      </c>
      <c r="D18" s="26">
        <v>20</v>
      </c>
    </row>
    <row r="20" spans="1:8" x14ac:dyDescent="0.2">
      <c r="A20" s="477" t="s">
        <v>37</v>
      </c>
      <c r="B20" s="477"/>
      <c r="C20" s="477"/>
    </row>
    <row r="21" spans="1:8" ht="25.5" x14ac:dyDescent="0.2">
      <c r="A21" s="139" t="s">
        <v>35</v>
      </c>
      <c r="B21" s="139" t="s">
        <v>120</v>
      </c>
      <c r="C21" s="139" t="s">
        <v>197</v>
      </c>
      <c r="D21" s="98" t="s">
        <v>121</v>
      </c>
      <c r="E21" s="139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41"/>
  <sheetViews>
    <sheetView topLeftCell="A16" workbookViewId="0">
      <selection activeCell="A33" sqref="A33:XFD33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254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97"/>
      <c r="C4" s="498"/>
      <c r="D4" s="498"/>
      <c r="E4" s="498"/>
      <c r="F4" s="49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87"/>
      <c r="G6" s="98"/>
      <c r="H6" s="98"/>
      <c r="I6" s="98"/>
    </row>
    <row r="7" spans="1:9" x14ac:dyDescent="0.25">
      <c r="A7" s="480" t="s">
        <v>8</v>
      </c>
      <c r="B7" s="483" t="s">
        <v>9</v>
      </c>
      <c r="C7" s="483"/>
      <c r="D7" s="483" t="s">
        <v>12</v>
      </c>
      <c r="E7" s="483"/>
      <c r="F7" s="483"/>
      <c r="G7" s="483" t="s">
        <v>124</v>
      </c>
      <c r="H7" s="483"/>
      <c r="I7" s="488"/>
    </row>
    <row r="8" spans="1:9" x14ac:dyDescent="0.25">
      <c r="A8" s="481"/>
      <c r="B8" s="286" t="s">
        <v>10</v>
      </c>
      <c r="C8" s="286" t="s">
        <v>11</v>
      </c>
      <c r="D8" s="286" t="s">
        <v>20</v>
      </c>
      <c r="E8" s="286" t="s">
        <v>21</v>
      </c>
      <c r="F8" s="286" t="s">
        <v>117</v>
      </c>
      <c r="G8" s="286" t="s">
        <v>22</v>
      </c>
      <c r="H8" s="286" t="s">
        <v>23</v>
      </c>
      <c r="I8" s="4" t="s">
        <v>123</v>
      </c>
    </row>
    <row r="9" spans="1:9" ht="15.75" thickBot="1" x14ac:dyDescent="0.3">
      <c r="A9" s="482"/>
      <c r="B9" s="171">
        <f>VAC_Optim_Scenario!G21</f>
        <v>4326087.5</v>
      </c>
      <c r="C9" s="171">
        <f>VAC_Optim_Scenario!H21</f>
        <v>8034162.5</v>
      </c>
      <c r="D9" s="172">
        <f>VAC_Optim_Scenario!I21</f>
        <v>7092172.847014742</v>
      </c>
      <c r="E9" s="84">
        <f>((GSTRV!D9/$B$12)^$D$12)*$C$12*$F$12</f>
        <v>159289.63557628606</v>
      </c>
      <c r="F9" s="84">
        <f>E9*F11</f>
        <v>159289.63557628606</v>
      </c>
      <c r="G9" s="76">
        <f>VAC_Optim_Scenario!E21</f>
        <v>6180125</v>
      </c>
      <c r="H9" s="173">
        <f>((GSTRV!G9/$B$12)^$D$12)*$C$12*$F$12</f>
        <v>144657.20917756393</v>
      </c>
      <c r="I9" s="174">
        <f>H9*F11</f>
        <v>144657.20917756393</v>
      </c>
    </row>
    <row r="10" spans="1:9" ht="15.75" thickBot="1" x14ac:dyDescent="0.3"/>
    <row r="11" spans="1:9" ht="48.95" customHeight="1" x14ac:dyDescent="0.25">
      <c r="A11" s="477" t="s">
        <v>15</v>
      </c>
      <c r="B11" s="287" t="s">
        <v>16</v>
      </c>
      <c r="C11" s="287" t="s">
        <v>17</v>
      </c>
      <c r="D11" s="287" t="s">
        <v>168</v>
      </c>
      <c r="E11" s="286" t="s">
        <v>126</v>
      </c>
      <c r="F11" s="175">
        <v>1</v>
      </c>
    </row>
    <row r="12" spans="1:9" ht="40.5" customHeight="1" thickBot="1" x14ac:dyDescent="0.3">
      <c r="A12" s="477"/>
      <c r="B12" s="176">
        <f>'[5]Streaming Video - Power'!$B$12</f>
        <v>5935125</v>
      </c>
      <c r="C12" s="176">
        <f>'[5]Streaming Video - Power'!$C$12</f>
        <v>140618.64530883348</v>
      </c>
      <c r="D12" s="336">
        <f>'[5]Streaming Video - Power'!$D$12</f>
        <v>0.7</v>
      </c>
      <c r="E12" s="286" t="s">
        <v>122</v>
      </c>
      <c r="F12" s="177">
        <f>VAC_Optim_Scenario!D21</f>
        <v>1</v>
      </c>
      <c r="H12" s="283"/>
    </row>
    <row r="13" spans="1:9" ht="18.75" customHeight="1" x14ac:dyDescent="0.25">
      <c r="A13" s="491" t="s">
        <v>169</v>
      </c>
      <c r="B13" s="492"/>
      <c r="C13" s="492"/>
      <c r="D13" s="492"/>
      <c r="E13" s="286" t="s">
        <v>170</v>
      </c>
      <c r="F13" s="286" t="s">
        <v>171</v>
      </c>
    </row>
    <row r="14" spans="1:9" ht="15.75" thickBot="1" x14ac:dyDescent="0.3">
      <c r="A14" s="494"/>
      <c r="B14" s="495"/>
      <c r="C14" s="495"/>
      <c r="D14" s="495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89" t="s">
        <v>34</v>
      </c>
      <c r="B16" s="287" t="s">
        <v>32</v>
      </c>
      <c r="C16" s="287" t="s">
        <v>31</v>
      </c>
      <c r="D16" s="288" t="s">
        <v>33</v>
      </c>
    </row>
    <row r="17" spans="1:4" ht="15.75" thickBot="1" x14ac:dyDescent="0.3">
      <c r="A17" s="490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77" t="s">
        <v>37</v>
      </c>
      <c r="B19" s="477"/>
      <c r="C19" s="477"/>
      <c r="D19" s="98"/>
    </row>
    <row r="20" spans="1:4" ht="25.5" x14ac:dyDescent="0.25">
      <c r="A20" s="286" t="s">
        <v>35</v>
      </c>
      <c r="B20" s="286" t="s">
        <v>175</v>
      </c>
      <c r="C20" s="286" t="s">
        <v>172</v>
      </c>
    </row>
    <row r="21" spans="1:4" x14ac:dyDescent="0.2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500000</v>
      </c>
      <c r="B22" s="173">
        <f>((GSTRV!A22/$B$12)^$D$12)*$C$12*$F$12</f>
        <v>24884.046469428908</v>
      </c>
      <c r="C22" s="179">
        <f t="shared" ref="C22:C41" si="0">B22*$F$14</f>
        <v>5622301.4593027672</v>
      </c>
    </row>
    <row r="23" spans="1:4" x14ac:dyDescent="0.25">
      <c r="A23" s="178">
        <f t="shared" ref="A23:A41" si="1">A22+(($C$17-$B$17)/$D$17)</f>
        <v>1000000</v>
      </c>
      <c r="B23" s="173">
        <f>((GSTRV!A23/$B$12)^$D$12)*$C$12*$F$12</f>
        <v>40424.252751667111</v>
      </c>
      <c r="C23" s="179">
        <f t="shared" si="0"/>
        <v>9133455.6667116676</v>
      </c>
    </row>
    <row r="24" spans="1:4" x14ac:dyDescent="0.25">
      <c r="A24" s="178">
        <f t="shared" si="1"/>
        <v>1500000</v>
      </c>
      <c r="B24" s="173">
        <f>((GSTRV!A24/$B$12)^$D$12)*$C$12*$F$12</f>
        <v>53691.542628546988</v>
      </c>
      <c r="C24" s="179">
        <f t="shared" si="0"/>
        <v>12131067.141493905</v>
      </c>
    </row>
    <row r="25" spans="1:4" x14ac:dyDescent="0.25">
      <c r="A25" s="178">
        <f t="shared" si="1"/>
        <v>2000000</v>
      </c>
      <c r="B25" s="173">
        <f>((GSTRV!A25/$B$12)^$D$12)*$C$12*$F$12</f>
        <v>65669.392336903504</v>
      </c>
      <c r="C25" s="179">
        <f t="shared" si="0"/>
        <v>14837342.504599977</v>
      </c>
    </row>
    <row r="26" spans="1:4" x14ac:dyDescent="0.25">
      <c r="A26" s="178">
        <f t="shared" si="1"/>
        <v>2500000</v>
      </c>
      <c r="B26" s="173">
        <f>((GSTRV!A26/$B$12)^$D$12)*$C$12*$F$12</f>
        <v>76771.496565679685</v>
      </c>
      <c r="C26" s="179">
        <f t="shared" si="0"/>
        <v>17345751.93404967</v>
      </c>
    </row>
    <row r="27" spans="1:4" x14ac:dyDescent="0.25">
      <c r="A27" s="178">
        <f t="shared" si="1"/>
        <v>3000000</v>
      </c>
      <c r="B27" s="173">
        <f>((GSTRV!A27/$B$12)^$D$12)*$C$12*$F$12</f>
        <v>87222.168328200525</v>
      </c>
      <c r="C27" s="179">
        <f t="shared" si="0"/>
        <v>19706976.712073628</v>
      </c>
    </row>
    <row r="28" spans="1:4" x14ac:dyDescent="0.25">
      <c r="A28" s="178">
        <f t="shared" si="1"/>
        <v>3500000</v>
      </c>
      <c r="B28" s="173">
        <f>((GSTRV!A28/$B$12)^$D$12)*$C$12*$F$12</f>
        <v>97160.475531144242</v>
      </c>
      <c r="C28" s="179">
        <f t="shared" si="0"/>
        <v>21952437.841506731</v>
      </c>
    </row>
    <row r="29" spans="1:4" x14ac:dyDescent="0.25">
      <c r="A29" s="178">
        <f t="shared" si="1"/>
        <v>4000000</v>
      </c>
      <c r="B29" s="173">
        <f>((GSTRV!A29/$B$12)^$D$12)*$C$12*$F$12</f>
        <v>106680.24258581536</v>
      </c>
      <c r="C29" s="179">
        <f t="shared" si="0"/>
        <v>24103334.009839121</v>
      </c>
    </row>
    <row r="30" spans="1:4" x14ac:dyDescent="0.25">
      <c r="A30" s="178">
        <f t="shared" si="1"/>
        <v>4500000</v>
      </c>
      <c r="B30" s="173">
        <f>((GSTRV!A30/$B$12)^$D$12)*$C$12*$F$12</f>
        <v>115848.59212406214</v>
      </c>
      <c r="C30" s="179">
        <f t="shared" si="0"/>
        <v>26174830.904510599</v>
      </c>
    </row>
    <row r="31" spans="1:4" x14ac:dyDescent="0.25">
      <c r="A31" s="178">
        <f t="shared" si="1"/>
        <v>5000000</v>
      </c>
      <c r="B31" s="173">
        <f>((GSTRV!A31/$B$12)^$D$12)*$C$12*$F$12</f>
        <v>124715.66411465566</v>
      </c>
      <c r="C31" s="179">
        <f t="shared" si="0"/>
        <v>28178257.150065299</v>
      </c>
    </row>
    <row r="32" spans="1:4" x14ac:dyDescent="0.25">
      <c r="A32" s="178">
        <f t="shared" si="1"/>
        <v>5500000</v>
      </c>
      <c r="B32" s="173">
        <f>((GSTRV!A32/$B$12)^$D$12)*$C$12*$F$12</f>
        <v>133320.17753068838</v>
      </c>
      <c r="C32" s="179">
        <f t="shared" si="0"/>
        <v>30122360.911283731</v>
      </c>
    </row>
    <row r="33" spans="1:3" x14ac:dyDescent="0.25">
      <c r="A33" s="178">
        <f t="shared" si="1"/>
        <v>6000000</v>
      </c>
      <c r="B33" s="173">
        <f>((GSTRV!A33/$B$12)^$D$12)*$C$12*$F$12</f>
        <v>141692.83047993566</v>
      </c>
      <c r="C33" s="179">
        <f t="shared" si="0"/>
        <v>32014078.11863666</v>
      </c>
    </row>
    <row r="34" spans="1:3" x14ac:dyDescent="0.25">
      <c r="A34" s="178">
        <f t="shared" si="1"/>
        <v>6500000</v>
      </c>
      <c r="B34" s="173">
        <f>((GSTRV!A34/$B$12)^$D$12)*$C$12*$F$12</f>
        <v>149858.48932590534</v>
      </c>
      <c r="C34" s="179">
        <f t="shared" si="0"/>
        <v>33859027.078295052</v>
      </c>
    </row>
    <row r="35" spans="1:3" x14ac:dyDescent="0.25">
      <c r="A35" s="178">
        <f t="shared" si="1"/>
        <v>7000000</v>
      </c>
      <c r="B35" s="173">
        <f>((GSTRV!A35/$B$12)^$D$12)*$C$12*$F$12</f>
        <v>157837.6581625666</v>
      </c>
      <c r="C35" s="179">
        <f t="shared" si="0"/>
        <v>35661840.485250294</v>
      </c>
    </row>
    <row r="36" spans="1:3" x14ac:dyDescent="0.25">
      <c r="A36" s="178">
        <f t="shared" si="1"/>
        <v>7500000</v>
      </c>
      <c r="B36" s="173">
        <f>((GSTRV!A36/$B$12)^$D$12)*$C$12*$F$12</f>
        <v>165647.49971744206</v>
      </c>
      <c r="C36" s="179">
        <f t="shared" si="0"/>
        <v>37426396.086158857</v>
      </c>
    </row>
    <row r="37" spans="1:3" x14ac:dyDescent="0.25">
      <c r="A37" s="178">
        <f t="shared" si="1"/>
        <v>8000000</v>
      </c>
      <c r="B37" s="173">
        <f>((GSTRV!A37/$B$12)^$D$12)*$C$12*$F$12</f>
        <v>173302.56536838613</v>
      </c>
      <c r="C37" s="179">
        <f t="shared" si="0"/>
        <v>39155981.619333163</v>
      </c>
    </row>
    <row r="38" spans="1:3" x14ac:dyDescent="0.25">
      <c r="A38" s="178">
        <f t="shared" si="1"/>
        <v>8500000</v>
      </c>
      <c r="B38" s="173">
        <f>((GSTRV!A38/$B$12)^$D$12)*$C$12*$F$12</f>
        <v>180815.33013485884</v>
      </c>
      <c r="C38" s="179">
        <f t="shared" si="0"/>
        <v>40853415.690670006</v>
      </c>
    </row>
    <row r="39" spans="1:3" x14ac:dyDescent="0.25">
      <c r="A39" s="178">
        <f t="shared" si="1"/>
        <v>9000000</v>
      </c>
      <c r="B39" s="173">
        <f>((GSTRV!A39/$B$12)^$D$12)*$C$12*$F$12</f>
        <v>188196.59313453117</v>
      </c>
      <c r="C39" s="179">
        <f t="shared" si="0"/>
        <v>42521138.252815969</v>
      </c>
    </row>
    <row r="40" spans="1:3" x14ac:dyDescent="0.25">
      <c r="A40" s="178">
        <f t="shared" si="1"/>
        <v>9500000</v>
      </c>
      <c r="B40" s="173">
        <f>((GSTRV!A40/$B$12)^$D$12)*$C$12*$F$12</f>
        <v>195455.78291760079</v>
      </c>
      <c r="C40" s="179">
        <f t="shared" si="0"/>
        <v>44161279.592402726</v>
      </c>
    </row>
    <row r="41" spans="1:3" x14ac:dyDescent="0.25">
      <c r="A41" s="178">
        <f t="shared" si="1"/>
        <v>10000000</v>
      </c>
      <c r="B41" s="173">
        <f>((GSTRV!A41/$B$12)^$D$12)*$C$12*$F$12</f>
        <v>202601.19408057688</v>
      </c>
      <c r="C41" s="179">
        <f t="shared" si="0"/>
        <v>45775713.790565543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44"/>
  <sheetViews>
    <sheetView topLeftCell="A22" workbookViewId="0">
      <selection activeCell="G12" sqref="G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252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38" t="s">
        <v>102</v>
      </c>
      <c r="I2" s="339"/>
      <c r="J2" s="339"/>
      <c r="K2" s="339"/>
      <c r="L2" s="340"/>
    </row>
    <row r="3" spans="1:18" ht="13.5" thickBot="1" x14ac:dyDescent="0.2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78" t="s">
        <v>106</v>
      </c>
      <c r="C4" s="478"/>
      <c r="D4" s="478"/>
      <c r="E4" s="478"/>
      <c r="F4" s="479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  <c r="F6" s="331"/>
    </row>
    <row r="7" spans="1:18" ht="27.75" customHeight="1" x14ac:dyDescent="0.2">
      <c r="A7" s="480" t="s">
        <v>8</v>
      </c>
      <c r="B7" s="483" t="s">
        <v>9</v>
      </c>
      <c r="C7" s="484"/>
      <c r="D7" s="485" t="s">
        <v>12</v>
      </c>
      <c r="E7" s="486"/>
      <c r="F7" s="487"/>
      <c r="G7" s="483" t="s">
        <v>124</v>
      </c>
      <c r="H7" s="483"/>
      <c r="I7" s="488"/>
      <c r="J7" s="98" t="s">
        <v>125</v>
      </c>
    </row>
    <row r="8" spans="1:18" ht="28.15" customHeight="1" x14ac:dyDescent="0.2">
      <c r="A8" s="481"/>
      <c r="B8" s="342" t="s">
        <v>10</v>
      </c>
      <c r="C8" s="17" t="s">
        <v>11</v>
      </c>
      <c r="D8" s="19" t="s">
        <v>20</v>
      </c>
      <c r="E8" s="342" t="s">
        <v>21</v>
      </c>
      <c r="F8" s="81" t="s">
        <v>117</v>
      </c>
      <c r="G8" s="341" t="s">
        <v>22</v>
      </c>
      <c r="H8" s="342" t="s">
        <v>23</v>
      </c>
      <c r="I8" s="88" t="s">
        <v>123</v>
      </c>
    </row>
    <row r="9" spans="1:18" ht="14.65" customHeight="1" thickBot="1" x14ac:dyDescent="0.25">
      <c r="A9" s="482"/>
      <c r="B9" s="95">
        <f>VAC_Optim_Scenario!G22</f>
        <v>1153850.159</v>
      </c>
      <c r="C9" s="95">
        <f>VAC_Optim_Scenario!H22</f>
        <v>2142864.5810000002</v>
      </c>
      <c r="D9" s="68">
        <f>VAC_Optim_Scenario!I22</f>
        <v>2142864.5810000002</v>
      </c>
      <c r="E9" s="84">
        <f>((($R$12/(1+EXP($P$12+$Q$12*D9)))-1) - ($F$12-$C$12))*$I$12</f>
        <v>126447.32566596754</v>
      </c>
      <c r="F9" s="89">
        <f>E9*$G$12</f>
        <v>126447.32566596754</v>
      </c>
      <c r="G9" s="95">
        <f>VAC_Optim_Scenario!E22</f>
        <v>1648357.37</v>
      </c>
      <c r="H9" s="85">
        <f>((($R$12/(1+EXP($P$12+$Q$12*G9)))-1) - ($F$12-$C$12))*$I$12</f>
        <v>104116.36986385845</v>
      </c>
      <c r="I9" s="90">
        <f>H9*$G$12</f>
        <v>104116.36986385845</v>
      </c>
      <c r="J9" s="87">
        <f>G9/I9</f>
        <v>15.831875161949808</v>
      </c>
      <c r="K9" s="98" t="s">
        <v>196</v>
      </c>
    </row>
    <row r="10" spans="1:18" ht="13.5" thickBot="1" x14ac:dyDescent="0.25"/>
    <row r="11" spans="1:18" ht="51.6" customHeight="1" x14ac:dyDescent="0.2">
      <c r="A11" s="480" t="s">
        <v>15</v>
      </c>
      <c r="B11" s="344" t="s">
        <v>16</v>
      </c>
      <c r="C11" s="344" t="s">
        <v>17</v>
      </c>
      <c r="D11" s="344" t="s">
        <v>18</v>
      </c>
      <c r="E11" s="344" t="s">
        <v>19</v>
      </c>
      <c r="F11" s="345" t="s">
        <v>109</v>
      </c>
      <c r="G11" s="343" t="s">
        <v>118</v>
      </c>
      <c r="H11" s="344" t="s">
        <v>119</v>
      </c>
      <c r="I11" s="92" t="s">
        <v>122</v>
      </c>
      <c r="K11" s="489" t="s">
        <v>25</v>
      </c>
      <c r="L11" s="344" t="s">
        <v>110</v>
      </c>
      <c r="M11" s="344" t="s">
        <v>111</v>
      </c>
      <c r="N11" s="344" t="s">
        <v>112</v>
      </c>
      <c r="O11" s="344" t="s">
        <v>113</v>
      </c>
      <c r="P11" s="344" t="s">
        <v>26</v>
      </c>
      <c r="Q11" s="344" t="s">
        <v>27</v>
      </c>
      <c r="R11" s="345" t="s">
        <v>28</v>
      </c>
    </row>
    <row r="12" spans="1:18" ht="15" customHeight="1" thickBot="1" x14ac:dyDescent="0.25">
      <c r="A12" s="482"/>
      <c r="B12" s="95">
        <f>'[6]HCC Display'!$B$12</f>
        <v>1648357.37</v>
      </c>
      <c r="C12" s="95">
        <f>'[6]HCC Display'!$C$12</f>
        <v>104116.3698638577</v>
      </c>
      <c r="D12" s="95">
        <f>'[6]HCC Display'!$D$12</f>
        <v>0</v>
      </c>
      <c r="E12" s="95">
        <f>'[6]HCC Display'!$E$12</f>
        <v>260290.92465964428</v>
      </c>
      <c r="F12" s="95">
        <f>'[6]HCC Display'!$F$12</f>
        <v>8649234</v>
      </c>
      <c r="G12" s="91">
        <f>VAC_Optim_Scenario!$D$32</f>
        <v>1</v>
      </c>
      <c r="H12" s="71">
        <f>C12*G12</f>
        <v>104116.3698638577</v>
      </c>
      <c r="I12" s="115">
        <f>VAC_Optim_Scenario!D20</f>
        <v>1</v>
      </c>
      <c r="K12" s="490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491" t="s">
        <v>114</v>
      </c>
      <c r="B13" s="492"/>
      <c r="C13" s="492"/>
      <c r="D13" s="492"/>
      <c r="E13" s="492"/>
      <c r="F13" s="493"/>
      <c r="G13" s="342" t="s">
        <v>150</v>
      </c>
      <c r="H13" s="342" t="s">
        <v>151</v>
      </c>
      <c r="K13" s="491" t="s">
        <v>115</v>
      </c>
      <c r="L13" s="492"/>
      <c r="M13" s="492"/>
      <c r="N13" s="492"/>
      <c r="O13" s="492"/>
      <c r="P13" s="492"/>
      <c r="Q13" s="492"/>
      <c r="R13" s="493"/>
    </row>
    <row r="14" spans="1:18" ht="33.6" customHeight="1" thickBot="1" x14ac:dyDescent="0.25">
      <c r="A14" s="494"/>
      <c r="B14" s="495"/>
      <c r="C14" s="495"/>
      <c r="D14" s="495"/>
      <c r="E14" s="495"/>
      <c r="F14" s="496"/>
      <c r="G14" s="95">
        <f>VAC_Optim_Scenario!$I$32</f>
        <v>225.94</v>
      </c>
      <c r="H14" s="95">
        <f>VAC_Optim_Scenario!$F$32</f>
        <v>225.94</v>
      </c>
      <c r="K14" s="494"/>
      <c r="L14" s="495"/>
      <c r="M14" s="495"/>
      <c r="N14" s="495"/>
      <c r="O14" s="495"/>
      <c r="P14" s="495"/>
      <c r="Q14" s="495"/>
      <c r="R14" s="496"/>
    </row>
    <row r="16" spans="1:18" ht="13.5" thickBot="1" x14ac:dyDescent="0.25"/>
    <row r="17" spans="1:8" ht="42.6" customHeight="1" x14ac:dyDescent="0.2">
      <c r="A17" s="489" t="s">
        <v>34</v>
      </c>
      <c r="B17" s="344" t="s">
        <v>32</v>
      </c>
      <c r="C17" s="344" t="s">
        <v>31</v>
      </c>
      <c r="D17" s="345" t="s">
        <v>33</v>
      </c>
      <c r="F17" s="82"/>
      <c r="G17" s="82"/>
      <c r="H17" s="83"/>
    </row>
    <row r="18" spans="1:8" ht="23.65" customHeight="1" thickBot="1" x14ac:dyDescent="0.25">
      <c r="A18" s="490"/>
      <c r="B18" s="75">
        <v>0</v>
      </c>
      <c r="C18" s="76">
        <v>2000000</v>
      </c>
      <c r="D18" s="26">
        <v>20</v>
      </c>
    </row>
    <row r="20" spans="1:8" x14ac:dyDescent="0.2">
      <c r="A20" s="477" t="s">
        <v>37</v>
      </c>
      <c r="B20" s="477"/>
      <c r="C20" s="477"/>
    </row>
    <row r="21" spans="1:8" ht="25.5" x14ac:dyDescent="0.2">
      <c r="A21" s="342" t="s">
        <v>35</v>
      </c>
      <c r="B21" s="342" t="s">
        <v>120</v>
      </c>
      <c r="C21" s="342" t="s">
        <v>197</v>
      </c>
      <c r="D21" s="98" t="s">
        <v>121</v>
      </c>
      <c r="E21" s="342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8194.431742310524</v>
      </c>
      <c r="C22" s="79">
        <f>B22*$G$12</f>
        <v>8194.431742310524</v>
      </c>
      <c r="E22" s="116">
        <f>B22*$H$14</f>
        <v>1851449.9078576397</v>
      </c>
    </row>
    <row r="23" spans="1:8" x14ac:dyDescent="0.2">
      <c r="A23" s="86">
        <v>207702.72369229962</v>
      </c>
      <c r="B23" s="79">
        <f t="shared" si="0"/>
        <v>16138.258794490248</v>
      </c>
      <c r="C23" s="79">
        <f t="shared" ref="C23:C42" si="1">B23*$G$12</f>
        <v>16138.258794490248</v>
      </c>
      <c r="D23" s="98">
        <f>(B23-B22)/A23</f>
        <v>3.8246138090842152E-2</v>
      </c>
      <c r="E23" s="116">
        <f t="shared" ref="E23:E42" si="2">B23*$H$14</f>
        <v>3646278.1920271264</v>
      </c>
    </row>
    <row r="24" spans="1:8" x14ac:dyDescent="0.2">
      <c r="A24" s="86">
        <v>311554.08553844941</v>
      </c>
      <c r="B24" s="79">
        <f t="shared" si="0"/>
        <v>23838.687388489023</v>
      </c>
      <c r="C24" s="79">
        <f t="shared" si="1"/>
        <v>23838.687388489023</v>
      </c>
      <c r="D24" s="98">
        <f t="shared" ref="D24:D42" si="3">(B24-B23)/A24</f>
        <v>2.4716185572371357E-2</v>
      </c>
      <c r="E24" s="116">
        <f t="shared" si="2"/>
        <v>5386113.0285552097</v>
      </c>
    </row>
    <row r="25" spans="1:8" x14ac:dyDescent="0.2">
      <c r="A25" s="86">
        <v>415405.44738459925</v>
      </c>
      <c r="B25" s="79">
        <f t="shared" si="0"/>
        <v>31302.745052527636</v>
      </c>
      <c r="C25" s="79">
        <f t="shared" si="1"/>
        <v>31302.745052527636</v>
      </c>
      <c r="D25" s="98">
        <f t="shared" si="3"/>
        <v>1.7968126588210301E-2</v>
      </c>
      <c r="E25" s="116">
        <f t="shared" si="2"/>
        <v>7072542.2171680937</v>
      </c>
    </row>
    <row r="26" spans="1:8" x14ac:dyDescent="0.2">
      <c r="A26" s="86">
        <v>519256.80923074903</v>
      </c>
      <c r="B26" s="79">
        <f t="shared" si="0"/>
        <v>38537.283223880455</v>
      </c>
      <c r="C26" s="79">
        <f t="shared" si="1"/>
        <v>38537.283223880455</v>
      </c>
      <c r="D26" s="98">
        <f t="shared" si="3"/>
        <v>1.3932485896661417E-2</v>
      </c>
      <c r="E26" s="116">
        <f t="shared" si="2"/>
        <v>8707113.7716035508</v>
      </c>
    </row>
    <row r="27" spans="1:8" x14ac:dyDescent="0.2">
      <c r="A27" s="86">
        <v>623108.17107689881</v>
      </c>
      <c r="B27" s="79">
        <f t="shared" si="0"/>
        <v>45548.979951588437</v>
      </c>
      <c r="C27" s="79">
        <f t="shared" si="1"/>
        <v>45548.979951588437</v>
      </c>
      <c r="D27" s="98">
        <f t="shared" si="3"/>
        <v>1.1252776087962192E-2</v>
      </c>
      <c r="E27" s="116">
        <f t="shared" si="2"/>
        <v>10291336.530261891</v>
      </c>
    </row>
    <row r="28" spans="1:8" x14ac:dyDescent="0.2">
      <c r="A28" s="86">
        <v>726959.53292304859</v>
      </c>
      <c r="B28" s="79">
        <f t="shared" si="0"/>
        <v>52344.342677412555</v>
      </c>
      <c r="C28" s="79">
        <f t="shared" si="1"/>
        <v>52344.342677412555</v>
      </c>
      <c r="D28" s="98">
        <f t="shared" si="3"/>
        <v>9.3476492405299167E-3</v>
      </c>
      <c r="E28" s="116">
        <f t="shared" si="2"/>
        <v>11826680.784534592</v>
      </c>
    </row>
    <row r="29" spans="1:8" x14ac:dyDescent="0.2">
      <c r="A29" s="86">
        <v>830810.89476919849</v>
      </c>
      <c r="B29" s="79">
        <f t="shared" si="0"/>
        <v>58929.711084183306</v>
      </c>
      <c r="C29" s="79">
        <f t="shared" si="1"/>
        <v>58929.711084183306</v>
      </c>
      <c r="D29" s="98">
        <f t="shared" si="3"/>
        <v>7.9264348219701478E-3</v>
      </c>
      <c r="E29" s="116">
        <f t="shared" si="2"/>
        <v>13314578.922360376</v>
      </c>
    </row>
    <row r="30" spans="1:8" x14ac:dyDescent="0.2">
      <c r="A30" s="86">
        <v>934662.25661534828</v>
      </c>
      <c r="B30" s="79">
        <f t="shared" si="0"/>
        <v>65311.260001372546</v>
      </c>
      <c r="C30" s="79">
        <f t="shared" si="1"/>
        <v>65311.260001372546</v>
      </c>
      <c r="D30" s="98">
        <f t="shared" si="3"/>
        <v>6.8276523118612556E-3</v>
      </c>
      <c r="E30" s="116">
        <f t="shared" si="2"/>
        <v>14756426.084710114</v>
      </c>
    </row>
    <row r="31" spans="1:8" x14ac:dyDescent="0.2">
      <c r="A31" s="86">
        <v>1038513.6184614981</v>
      </c>
      <c r="B31" s="79">
        <f t="shared" si="0"/>
        <v>71495.002358317375</v>
      </c>
      <c r="C31" s="79">
        <f t="shared" si="1"/>
        <v>71495.002358317375</v>
      </c>
      <c r="D31" s="98">
        <f t="shared" si="3"/>
        <v>5.9544162416528632E-3</v>
      </c>
      <c r="E31" s="116">
        <f t="shared" si="2"/>
        <v>16153580.832838228</v>
      </c>
    </row>
    <row r="32" spans="1:8" x14ac:dyDescent="0.2">
      <c r="A32" s="86">
        <v>1142364.980307648</v>
      </c>
      <c r="B32" s="79">
        <f t="shared" si="0"/>
        <v>77486.79217626527</v>
      </c>
      <c r="C32" s="79">
        <f t="shared" si="1"/>
        <v>77486.79217626527</v>
      </c>
      <c r="D32" s="98">
        <f t="shared" si="3"/>
        <v>5.2450748414348781E-3</v>
      </c>
      <c r="E32" s="116">
        <f t="shared" si="2"/>
        <v>17507365.824305374</v>
      </c>
    </row>
    <row r="33" spans="1:5" x14ac:dyDescent="0.2">
      <c r="A33" s="86">
        <v>1246216.3421537976</v>
      </c>
      <c r="B33" s="79">
        <f t="shared" si="0"/>
        <v>83292.327590946108</v>
      </c>
      <c r="C33" s="79">
        <f t="shared" si="1"/>
        <v>83292.327590946108</v>
      </c>
      <c r="D33" s="98">
        <f t="shared" si="3"/>
        <v>4.6585293566663629E-3</v>
      </c>
      <c r="E33" s="116">
        <f t="shared" si="2"/>
        <v>18819068.495898362</v>
      </c>
    </row>
    <row r="34" spans="1:5" x14ac:dyDescent="0.2">
      <c r="A34" s="86">
        <v>1350067.7039999475</v>
      </c>
      <c r="B34" s="79">
        <f t="shared" si="0"/>
        <v>88917.153897989541</v>
      </c>
      <c r="C34" s="79">
        <f t="shared" si="1"/>
        <v>88917.153897989541</v>
      </c>
      <c r="D34" s="98">
        <f t="shared" si="3"/>
        <v>4.1663290591859468E-3</v>
      </c>
      <c r="E34" s="116">
        <f t="shared" si="2"/>
        <v>20089941.751711756</v>
      </c>
    </row>
    <row r="35" spans="1:5" x14ac:dyDescent="0.2">
      <c r="A35" s="86">
        <v>1453919.0658460972</v>
      </c>
      <c r="B35" s="79">
        <f t="shared" si="0"/>
        <v>94366.666614044458</v>
      </c>
      <c r="C35" s="79">
        <f t="shared" si="1"/>
        <v>94366.666614044458</v>
      </c>
      <c r="D35" s="98">
        <f t="shared" si="3"/>
        <v>3.7481541057332608E-3</v>
      </c>
      <c r="E35" s="116">
        <f t="shared" si="2"/>
        <v>21321204.654777203</v>
      </c>
    </row>
    <row r="36" spans="1:5" x14ac:dyDescent="0.2">
      <c r="A36" s="86">
        <v>1557770.4276922471</v>
      </c>
      <c r="B36" s="79">
        <f t="shared" si="0"/>
        <v>99646.114547008649</v>
      </c>
      <c r="C36" s="79">
        <f t="shared" si="1"/>
        <v>99646.114547008649</v>
      </c>
      <c r="D36" s="98">
        <f t="shared" si="3"/>
        <v>3.3891052488301556E-3</v>
      </c>
      <c r="E36" s="116">
        <f t="shared" si="2"/>
        <v>22514043.120751135</v>
      </c>
    </row>
    <row r="37" spans="1:5" x14ac:dyDescent="0.2">
      <c r="A37" s="86">
        <v>1661621.789538397</v>
      </c>
      <c r="B37" s="79">
        <f t="shared" si="0"/>
        <v>104760.60286923684</v>
      </c>
      <c r="C37" s="79">
        <f t="shared" si="1"/>
        <v>104760.60286923684</v>
      </c>
      <c r="D37" s="98">
        <f t="shared" si="3"/>
        <v>3.0780099023912126E-3</v>
      </c>
      <c r="E37" s="116">
        <f t="shared" si="2"/>
        <v>23669610.612275373</v>
      </c>
    </row>
    <row r="38" spans="1:5" x14ac:dyDescent="0.2">
      <c r="A38" s="86">
        <v>1765473.1513845467</v>
      </c>
      <c r="B38" s="79">
        <f t="shared" si="0"/>
        <v>109715.09618811496</v>
      </c>
      <c r="C38" s="79">
        <f t="shared" si="1"/>
        <v>109715.09618811496</v>
      </c>
      <c r="D38" s="98">
        <f t="shared" si="3"/>
        <v>2.8063260633516998E-3</v>
      </c>
      <c r="E38" s="116">
        <f t="shared" si="2"/>
        <v>24789028.832742695</v>
      </c>
    </row>
    <row r="39" spans="1:5" x14ac:dyDescent="0.2">
      <c r="A39" s="86">
        <v>1869324.5132306966</v>
      </c>
      <c r="B39" s="79">
        <f t="shared" si="0"/>
        <v>114514.42160880566</v>
      </c>
      <c r="C39" s="79">
        <f t="shared" si="1"/>
        <v>114514.42160880566</v>
      </c>
      <c r="D39" s="98">
        <f t="shared" si="3"/>
        <v>2.5674115899738418E-3</v>
      </c>
      <c r="E39" s="116">
        <f t="shared" si="2"/>
        <v>25873388.418293551</v>
      </c>
    </row>
    <row r="40" spans="1:5" x14ac:dyDescent="0.2">
      <c r="A40" s="86">
        <v>1973175.8750768462</v>
      </c>
      <c r="B40" s="79">
        <f t="shared" si="0"/>
        <v>119163.27178439125</v>
      </c>
      <c r="C40" s="79">
        <f t="shared" si="1"/>
        <v>119163.27178439125</v>
      </c>
      <c r="D40" s="98">
        <f t="shared" si="3"/>
        <v>2.3560242319527378E-3</v>
      </c>
      <c r="E40" s="116">
        <f t="shared" si="2"/>
        <v>26923749.626965359</v>
      </c>
    </row>
    <row r="41" spans="1:5" x14ac:dyDescent="0.2">
      <c r="A41" s="86">
        <v>2077027.2369229961</v>
      </c>
      <c r="B41" s="79">
        <f t="shared" si="0"/>
        <v>123666.20794909261</v>
      </c>
      <c r="C41" s="79">
        <f t="shared" si="1"/>
        <v>123666.20794909261</v>
      </c>
      <c r="D41" s="98">
        <f t="shared" si="3"/>
        <v>2.1679716494099588E-3</v>
      </c>
      <c r="E41" s="116">
        <f t="shared" si="2"/>
        <v>27941143.024017986</v>
      </c>
    </row>
    <row r="42" spans="1:5" x14ac:dyDescent="0.2">
      <c r="A42" s="86">
        <v>2180878.598769146</v>
      </c>
      <c r="B42" s="79">
        <f t="shared" si="0"/>
        <v>128027.66293053329</v>
      </c>
      <c r="C42" s="79">
        <f t="shared" si="1"/>
        <v>128027.66293053329</v>
      </c>
      <c r="D42" s="98">
        <f t="shared" si="3"/>
        <v>1.9998614246121795E-3</v>
      </c>
      <c r="E42" s="116">
        <f t="shared" si="2"/>
        <v>28926570.162524693</v>
      </c>
    </row>
    <row r="43" spans="1:5" x14ac:dyDescent="0.2">
      <c r="A43" s="98">
        <v>2284729.9606152959</v>
      </c>
      <c r="B43" s="79">
        <f t="shared" si="0"/>
        <v>132251.9441374708</v>
      </c>
    </row>
    <row r="44" spans="1:5" x14ac:dyDescent="0.2">
      <c r="A44" s="98">
        <v>2388581.3224614454</v>
      </c>
      <c r="B44" s="79">
        <f t="shared" si="0"/>
        <v>136343.23651968129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topLeftCell="A21" workbookViewId="0">
      <selection activeCell="D12" sqref="D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253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97"/>
      <c r="C4" s="498"/>
      <c r="D4" s="498"/>
      <c r="E4" s="498"/>
      <c r="F4" s="49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480" t="s">
        <v>8</v>
      </c>
      <c r="B7" s="483" t="s">
        <v>9</v>
      </c>
      <c r="C7" s="483"/>
      <c r="D7" s="483" t="s">
        <v>12</v>
      </c>
      <c r="E7" s="483"/>
      <c r="F7" s="483"/>
      <c r="G7" s="483" t="s">
        <v>124</v>
      </c>
      <c r="H7" s="483"/>
      <c r="I7" s="488"/>
    </row>
    <row r="8" spans="1:9" x14ac:dyDescent="0.25">
      <c r="A8" s="481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.75" thickBot="1" x14ac:dyDescent="0.3">
      <c r="A9" s="482"/>
      <c r="B9" s="171">
        <f>VAC_Optim_Scenario!G23</f>
        <v>241294.9</v>
      </c>
      <c r="C9" s="171">
        <f>VAC_Optim_Scenario!H23</f>
        <v>448119.10000000003</v>
      </c>
      <c r="D9" s="172">
        <f>VAC_Optim_Scenario!I23</f>
        <v>448119.10000000003</v>
      </c>
      <c r="E9" s="84">
        <f>((GSEARCH!D9/$B$12)^$D$12)*$C$12*$F$12</f>
        <v>157042.17063662564</v>
      </c>
      <c r="F9" s="84">
        <f>E9*F11</f>
        <v>157042.17063662564</v>
      </c>
      <c r="G9" s="76">
        <f>VAC_Optim_Scenario!E23</f>
        <v>344707</v>
      </c>
      <c r="H9" s="173">
        <f>((GSEARCH!G9/$B$12)^$D$12)*$C$12*$F$12</f>
        <v>130694.08808973072</v>
      </c>
      <c r="I9" s="174">
        <f>H9*F11</f>
        <v>130694.08808973072</v>
      </c>
    </row>
    <row r="10" spans="1:9" ht="15.75" thickBot="1" x14ac:dyDescent="0.3"/>
    <row r="11" spans="1:9" ht="48.95" customHeight="1" x14ac:dyDescent="0.25">
      <c r="A11" s="477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3">
      <c r="A12" s="477"/>
      <c r="B12" s="176">
        <f>'[7]HCC Paid Search - Power'!$B$12</f>
        <v>344707</v>
      </c>
      <c r="C12" s="176">
        <f>'[7]HCC Paid Search - Power'!$C$12</f>
        <v>130694.08808973072</v>
      </c>
      <c r="D12" s="336">
        <f>'[7]HCC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25">
      <c r="A13" s="491" t="s">
        <v>169</v>
      </c>
      <c r="B13" s="492"/>
      <c r="C13" s="492"/>
      <c r="D13" s="492"/>
      <c r="E13" s="153" t="s">
        <v>170</v>
      </c>
      <c r="F13" s="153" t="s">
        <v>171</v>
      </c>
    </row>
    <row r="14" spans="1:9" ht="15.75" thickBot="1" x14ac:dyDescent="0.3">
      <c r="A14" s="494"/>
      <c r="B14" s="495"/>
      <c r="C14" s="495"/>
      <c r="D14" s="495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89" t="s">
        <v>34</v>
      </c>
      <c r="B16" s="154" t="s">
        <v>32</v>
      </c>
      <c r="C16" s="154" t="s">
        <v>31</v>
      </c>
      <c r="D16" s="155" t="s">
        <v>33</v>
      </c>
    </row>
    <row r="17" spans="1:4" ht="15.75" thickBot="1" x14ac:dyDescent="0.3">
      <c r="A17" s="490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77" t="s">
        <v>37</v>
      </c>
      <c r="B19" s="477"/>
      <c r="C19" s="477"/>
      <c r="D19" s="98"/>
    </row>
    <row r="20" spans="1:4" ht="25.5" x14ac:dyDescent="0.25">
      <c r="A20" s="153" t="s">
        <v>35</v>
      </c>
      <c r="B20" s="153" t="s">
        <v>175</v>
      </c>
      <c r="C20" s="153" t="s">
        <v>172</v>
      </c>
    </row>
    <row r="21" spans="1:4" x14ac:dyDescent="0.2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150000</v>
      </c>
      <c r="B22" s="173">
        <f>((GSEARCH!A22/$B$12)^$D$12)*$C$12*$F$12</f>
        <v>72996.956333749695</v>
      </c>
      <c r="C22" s="179">
        <f t="shared" ref="C22:C41" si="0">B22*$F$14</f>
        <v>16492932.314047405</v>
      </c>
    </row>
    <row r="23" spans="1:4" x14ac:dyDescent="0.25">
      <c r="A23" s="178">
        <f t="shared" ref="A23:A41" si="1">A22+(($C$17-$B$17)/$D$17)</f>
        <v>300000</v>
      </c>
      <c r="B23" s="173">
        <f>((GSEARCH!A23/$B$12)^$D$12)*$C$12*$F$12</f>
        <v>118583.90541759932</v>
      </c>
      <c r="C23" s="179">
        <f t="shared" si="0"/>
        <v>26792847.590052392</v>
      </c>
    </row>
    <row r="24" spans="1:4" x14ac:dyDescent="0.25">
      <c r="A24" s="178">
        <f t="shared" si="1"/>
        <v>450000</v>
      </c>
      <c r="B24" s="173">
        <f>((GSEARCH!A24/$B$12)^$D$12)*$C$12*$F$12</f>
        <v>157503.29021297849</v>
      </c>
      <c r="C24" s="179">
        <f t="shared" si="0"/>
        <v>35586293.39072036</v>
      </c>
    </row>
    <row r="25" spans="1:4" x14ac:dyDescent="0.25">
      <c r="A25" s="178">
        <f t="shared" si="1"/>
        <v>600000</v>
      </c>
      <c r="B25" s="173">
        <f>((GSEARCH!A25/$B$12)^$D$12)*$C$12*$F$12</f>
        <v>192640.12268945246</v>
      </c>
      <c r="C25" s="179">
        <f t="shared" si="0"/>
        <v>43525109.320454888</v>
      </c>
    </row>
    <row r="26" spans="1:4" x14ac:dyDescent="0.25">
      <c r="A26" s="178">
        <f t="shared" si="1"/>
        <v>750000</v>
      </c>
      <c r="B26" s="173">
        <f>((GSEARCH!A26/$B$12)^$D$12)*$C$12*$F$12</f>
        <v>225207.96966708719</v>
      </c>
      <c r="C26" s="179">
        <f t="shared" si="0"/>
        <v>50883488.666581683</v>
      </c>
    </row>
    <row r="27" spans="1:4" x14ac:dyDescent="0.25">
      <c r="A27" s="178">
        <f t="shared" si="1"/>
        <v>900000</v>
      </c>
      <c r="B27" s="173">
        <f>((GSEARCH!A27/$B$12)^$D$12)*$C$12*$F$12</f>
        <v>255864.84981896676</v>
      </c>
      <c r="C27" s="179">
        <f t="shared" si="0"/>
        <v>57810104.168097347</v>
      </c>
    </row>
    <row r="28" spans="1:4" x14ac:dyDescent="0.25">
      <c r="A28" s="178">
        <f t="shared" si="1"/>
        <v>1050000</v>
      </c>
      <c r="B28" s="173">
        <f>((GSEARCH!A28/$B$12)^$D$12)*$C$12*$F$12</f>
        <v>285018.71664749639</v>
      </c>
      <c r="C28" s="179">
        <f t="shared" si="0"/>
        <v>64397128.83933533</v>
      </c>
    </row>
    <row r="29" spans="1:4" x14ac:dyDescent="0.25">
      <c r="A29" s="178">
        <f t="shared" si="1"/>
        <v>1200000</v>
      </c>
      <c r="B29" s="173">
        <f>((GSEARCH!A29/$B$12)^$D$12)*$C$12*$F$12</f>
        <v>312944.80257773394</v>
      </c>
      <c r="C29" s="179">
        <f t="shared" si="0"/>
        <v>70706748.6944132</v>
      </c>
    </row>
    <row r="30" spans="1:4" x14ac:dyDescent="0.25">
      <c r="A30" s="178">
        <f t="shared" si="1"/>
        <v>1350000</v>
      </c>
      <c r="B30" s="173">
        <f>((GSEARCH!A30/$B$12)^$D$12)*$C$12*$F$12</f>
        <v>339840.0107874666</v>
      </c>
      <c r="C30" s="179">
        <f t="shared" si="0"/>
        <v>76783452.037320197</v>
      </c>
    </row>
    <row r="31" spans="1:4" x14ac:dyDescent="0.25">
      <c r="A31" s="178">
        <f t="shared" si="1"/>
        <v>1500000</v>
      </c>
      <c r="B31" s="173">
        <f>((GSEARCH!A31/$B$12)^$D$12)*$C$12*$F$12</f>
        <v>365851.4260812279</v>
      </c>
      <c r="C31" s="179">
        <f t="shared" si="0"/>
        <v>82660471.208792627</v>
      </c>
    </row>
    <row r="32" spans="1:4" x14ac:dyDescent="0.25">
      <c r="A32" s="178">
        <f t="shared" si="1"/>
        <v>1650000</v>
      </c>
      <c r="B32" s="173">
        <f>((GSEARCH!A32/$B$12)^$D$12)*$C$12*$F$12</f>
        <v>391092.62995355454</v>
      </c>
      <c r="C32" s="179">
        <f t="shared" si="0"/>
        <v>88363468.811706111</v>
      </c>
    </row>
    <row r="33" spans="1:3" x14ac:dyDescent="0.25">
      <c r="A33" s="178">
        <f t="shared" si="1"/>
        <v>1800000</v>
      </c>
      <c r="B33" s="173">
        <f>((GSEARCH!A33/$B$12)^$D$12)*$C$12*$F$12</f>
        <v>415653.6748175681</v>
      </c>
      <c r="C33" s="179">
        <f t="shared" si="0"/>
        <v>93912791.288281336</v>
      </c>
    </row>
    <row r="34" spans="1:3" x14ac:dyDescent="0.25">
      <c r="A34" s="178">
        <f t="shared" si="1"/>
        <v>1950000</v>
      </c>
      <c r="B34" s="173">
        <f>((GSEARCH!A34/$B$12)^$D$12)*$C$12*$F$12</f>
        <v>439607.50575691467</v>
      </c>
      <c r="C34" s="179">
        <f t="shared" si="0"/>
        <v>99324919.850717306</v>
      </c>
    </row>
    <row r="35" spans="1:3" x14ac:dyDescent="0.25">
      <c r="A35" s="178">
        <f t="shared" si="1"/>
        <v>2100000</v>
      </c>
      <c r="B35" s="173">
        <f>((GSEARCH!A35/$B$12)^$D$12)*$C$12*$F$12</f>
        <v>463014.27120661555</v>
      </c>
      <c r="C35" s="179">
        <f t="shared" si="0"/>
        <v>104613444.43642272</v>
      </c>
    </row>
    <row r="36" spans="1:3" x14ac:dyDescent="0.25">
      <c r="A36" s="178">
        <f t="shared" si="1"/>
        <v>2250000</v>
      </c>
      <c r="B36" s="173">
        <f>((GSEARCH!A36/$B$12)^$D$12)*$C$12*$F$12</f>
        <v>485924.31775612396</v>
      </c>
      <c r="C36" s="179">
        <f t="shared" si="0"/>
        <v>109789740.35381864</v>
      </c>
    </row>
    <row r="37" spans="1:3" x14ac:dyDescent="0.25">
      <c r="A37" s="178">
        <f t="shared" si="1"/>
        <v>2400000</v>
      </c>
      <c r="B37" s="173">
        <f>((GSEARCH!A37/$B$12)^$D$12)*$C$12*$F$12</f>
        <v>508380.33164198685</v>
      </c>
      <c r="C37" s="179">
        <f t="shared" si="0"/>
        <v>114863452.13119051</v>
      </c>
    </row>
    <row r="38" spans="1:3" x14ac:dyDescent="0.25">
      <c r="A38" s="178">
        <f t="shared" si="1"/>
        <v>2550000</v>
      </c>
      <c r="B38" s="173">
        <f>((GSEARCH!A38/$B$12)^$D$12)*$C$12*$F$12</f>
        <v>530418.90813627536</v>
      </c>
      <c r="C38" s="179">
        <f t="shared" si="0"/>
        <v>119842848.10431005</v>
      </c>
    </row>
    <row r="39" spans="1:3" x14ac:dyDescent="0.25">
      <c r="A39" s="178">
        <f t="shared" si="1"/>
        <v>2700000</v>
      </c>
      <c r="B39" s="173">
        <f>((GSEARCH!A39/$B$12)^$D$12)*$C$12*$F$12</f>
        <v>552071.72627969738</v>
      </c>
      <c r="C39" s="179">
        <f t="shared" si="0"/>
        <v>124735085.83563483</v>
      </c>
    </row>
    <row r="40" spans="1:3" x14ac:dyDescent="0.25">
      <c r="A40" s="178">
        <f t="shared" si="1"/>
        <v>2850000</v>
      </c>
      <c r="B40" s="173">
        <f>((GSEARCH!A40/$B$12)^$D$12)*$C$12*$F$12</f>
        <v>573366.44457497681</v>
      </c>
      <c r="C40" s="179">
        <f t="shared" si="0"/>
        <v>129546414.48727025</v>
      </c>
    </row>
    <row r="41" spans="1:3" x14ac:dyDescent="0.25">
      <c r="A41" s="178">
        <f t="shared" si="1"/>
        <v>3000000</v>
      </c>
      <c r="B41" s="173">
        <f>((GSEARCH!A41/$B$12)^$D$12)*$C$12*$F$12</f>
        <v>594327.39508964703</v>
      </c>
      <c r="C41" s="179">
        <f t="shared" si="0"/>
        <v>134282331.64655486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topLeftCell="A31" workbookViewId="0">
      <selection activeCell="G14" sqref="G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190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97"/>
      <c r="C4" s="498"/>
      <c r="D4" s="498"/>
      <c r="E4" s="498"/>
      <c r="F4" s="49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480" t="s">
        <v>8</v>
      </c>
      <c r="B7" s="483" t="s">
        <v>9</v>
      </c>
      <c r="C7" s="483"/>
      <c r="D7" s="483" t="s">
        <v>12</v>
      </c>
      <c r="E7" s="483"/>
      <c r="F7" s="483"/>
      <c r="G7" s="483" t="s">
        <v>124</v>
      </c>
      <c r="H7" s="483"/>
      <c r="I7" s="488"/>
    </row>
    <row r="8" spans="1:9" x14ac:dyDescent="0.25">
      <c r="A8" s="481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82"/>
      <c r="B9" s="171">
        <f>VAC_Optim_Scenario!G24</f>
        <v>1005933.8869999999</v>
      </c>
      <c r="C9" s="171">
        <f>VAC_Optim_Scenario!H24</f>
        <v>1868162.933</v>
      </c>
      <c r="D9" s="172">
        <f>VAC_Optim_Scenario!I24</f>
        <v>1868162.933</v>
      </c>
      <c r="E9" s="173">
        <f>((GRADIO!D9/$B$12)^$D$12)*$C$12*$F$12</f>
        <v>82600.094379775124</v>
      </c>
      <c r="F9" s="84">
        <f>E9*F11</f>
        <v>82600.094379775124</v>
      </c>
      <c r="G9" s="76">
        <f>VAC_Optim_Scenario!E24</f>
        <v>1437048.41</v>
      </c>
      <c r="H9" s="173">
        <f>((GRADIO!G9/$B$12)^$D$12)*$C$12*$F$12</f>
        <v>70569.092436493243</v>
      </c>
      <c r="I9" s="174">
        <f>H9*F11</f>
        <v>70569.092436493243</v>
      </c>
    </row>
    <row r="10" spans="1:9" ht="15.75" thickBot="1" x14ac:dyDescent="0.3"/>
    <row r="11" spans="1:9" ht="48.95" customHeight="1" x14ac:dyDescent="0.25">
      <c r="A11" s="477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77"/>
      <c r="B12" s="176">
        <f>'[8]Radio - Power'!$B$12</f>
        <v>1437048.41</v>
      </c>
      <c r="C12" s="176">
        <f>'[8]Radio - Power'!$C$12</f>
        <v>70569.092436493243</v>
      </c>
      <c r="D12" s="336">
        <f>'[8]Radio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25">
      <c r="A13" s="491" t="s">
        <v>169</v>
      </c>
      <c r="B13" s="492"/>
      <c r="C13" s="492"/>
      <c r="D13" s="492"/>
      <c r="E13" s="150" t="s">
        <v>170</v>
      </c>
      <c r="F13" s="150" t="s">
        <v>171</v>
      </c>
    </row>
    <row r="14" spans="1:9" ht="15.75" thickBot="1" x14ac:dyDescent="0.3">
      <c r="A14" s="494"/>
      <c r="B14" s="495"/>
      <c r="C14" s="495"/>
      <c r="D14" s="495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89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90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77" t="s">
        <v>37</v>
      </c>
      <c r="B19" s="477"/>
      <c r="C19" s="477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2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2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2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2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2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2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2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2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2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2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2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2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2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2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2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2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2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2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2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41"/>
  <sheetViews>
    <sheetView topLeftCell="A34" workbookViewId="0">
      <selection activeCell="D12" sqref="D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97"/>
      <c r="C4" s="498"/>
      <c r="D4" s="498"/>
      <c r="E4" s="498"/>
      <c r="F4" s="499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480" t="s">
        <v>8</v>
      </c>
      <c r="B7" s="483" t="s">
        <v>9</v>
      </c>
      <c r="C7" s="483"/>
      <c r="D7" s="483" t="s">
        <v>12</v>
      </c>
      <c r="E7" s="483"/>
      <c r="F7" s="483"/>
      <c r="G7" s="483" t="s">
        <v>124</v>
      </c>
      <c r="H7" s="483"/>
      <c r="I7" s="488"/>
    </row>
    <row r="8" spans="1:9" x14ac:dyDescent="0.25">
      <c r="A8" s="481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82"/>
      <c r="B9" s="171">
        <f>VAC_Optim_Scenario!G25</f>
        <v>13503524.99</v>
      </c>
      <c r="C9" s="171">
        <f>VAC_Optim_Scenario!H25</f>
        <v>13503524.99</v>
      </c>
      <c r="D9" s="172">
        <f>VAC_Optim_Scenario!I25</f>
        <v>13503524.99</v>
      </c>
      <c r="E9" s="84">
        <f>((GTV!D9/$B$12)^$D$12)*$C$12*$F$12</f>
        <v>253686.28893952153</v>
      </c>
      <c r="F9" s="84">
        <f>E9*F11</f>
        <v>253686.28893952153</v>
      </c>
      <c r="G9" s="76">
        <f>VAC_Optim_Scenario!E25</f>
        <v>13503524.99</v>
      </c>
      <c r="H9" s="173">
        <f>((GTV!G9/$B$12)^$D$12)*$C$12*$F$12</f>
        <v>253686.28893952153</v>
      </c>
      <c r="I9" s="174">
        <f>H9*F11</f>
        <v>253686.28893952153</v>
      </c>
    </row>
    <row r="10" spans="1:9" ht="15.75" thickBot="1" x14ac:dyDescent="0.3"/>
    <row r="11" spans="1:9" ht="48.95" customHeight="1" x14ac:dyDescent="0.25">
      <c r="A11" s="477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77"/>
      <c r="B12" s="176">
        <f>'[9]TV - Power'!$B$12</f>
        <v>13503524.99</v>
      </c>
      <c r="C12" s="176">
        <f>'[9]TV - Power'!$C$12</f>
        <v>253686.28893952153</v>
      </c>
      <c r="D12" s="336">
        <f>'[9]TV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25">
      <c r="A13" s="491" t="s">
        <v>169</v>
      </c>
      <c r="B13" s="492"/>
      <c r="C13" s="492"/>
      <c r="D13" s="492"/>
      <c r="E13" s="150" t="s">
        <v>170</v>
      </c>
      <c r="F13" s="150" t="s">
        <v>171</v>
      </c>
    </row>
    <row r="14" spans="1:9" ht="15.75" thickBot="1" x14ac:dyDescent="0.3">
      <c r="A14" s="494"/>
      <c r="B14" s="495"/>
      <c r="C14" s="495"/>
      <c r="D14" s="495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89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90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77" t="s">
        <v>37</v>
      </c>
      <c r="B19" s="477"/>
      <c r="C19" s="477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1250000</v>
      </c>
      <c r="B22" s="173">
        <f>((GTV!A22/$B$12)^$D$12)*$C$12*$F$12</f>
        <v>47953.575867360239</v>
      </c>
      <c r="C22" s="179">
        <f t="shared" ref="C22:C41" si="0">B22*$F$14</f>
        <v>10834630.931471372</v>
      </c>
    </row>
    <row r="23" spans="1:4" x14ac:dyDescent="0.25">
      <c r="A23" s="178">
        <f t="shared" ref="A23:A41" si="1">A22+(($C$17-$B$17)/$D$17)</f>
        <v>2500000</v>
      </c>
      <c r="B23" s="173">
        <f>((GTV!A23/$B$12)^$D$12)*$C$12*$F$12</f>
        <v>77900.813824227807</v>
      </c>
      <c r="C23" s="179">
        <f t="shared" si="0"/>
        <v>17600909.875446029</v>
      </c>
    </row>
    <row r="24" spans="1:4" x14ac:dyDescent="0.25">
      <c r="A24" s="178">
        <f t="shared" si="1"/>
        <v>3750000</v>
      </c>
      <c r="B24" s="173">
        <f>((GTV!A24/$B$12)^$D$12)*$C$12*$F$12</f>
        <v>103467.95751393421</v>
      </c>
      <c r="C24" s="179">
        <f t="shared" si="0"/>
        <v>23377550.320698295</v>
      </c>
    </row>
    <row r="25" spans="1:4" x14ac:dyDescent="0.25">
      <c r="A25" s="178">
        <f t="shared" si="1"/>
        <v>5000000</v>
      </c>
      <c r="B25" s="173">
        <f>((GTV!A25/$B$12)^$D$12)*$C$12*$F$12</f>
        <v>126550.24541365997</v>
      </c>
      <c r="C25" s="179">
        <f t="shared" si="0"/>
        <v>28592762.448762335</v>
      </c>
    </row>
    <row r="26" spans="1:4" x14ac:dyDescent="0.25">
      <c r="A26" s="178">
        <f t="shared" si="1"/>
        <v>6250000</v>
      </c>
      <c r="B26" s="173">
        <f>((GTV!A26/$B$12)^$D$12)*$C$12*$F$12</f>
        <v>147944.9007433716</v>
      </c>
      <c r="C26" s="179">
        <f t="shared" si="0"/>
        <v>33426670.873957381</v>
      </c>
    </row>
    <row r="27" spans="1:4" x14ac:dyDescent="0.25">
      <c r="A27" s="178">
        <f t="shared" si="1"/>
        <v>7500000</v>
      </c>
      <c r="B27" s="173">
        <f>((GTV!A27/$B$12)^$D$12)*$C$12*$F$12</f>
        <v>168084.19287355643</v>
      </c>
      <c r="C27" s="179">
        <f t="shared" si="0"/>
        <v>37976942.537851341</v>
      </c>
    </row>
    <row r="28" spans="1:4" x14ac:dyDescent="0.25">
      <c r="A28" s="178">
        <f t="shared" si="1"/>
        <v>8750000</v>
      </c>
      <c r="B28" s="173">
        <f>((GTV!A28/$B$12)^$D$12)*$C$12*$F$12</f>
        <v>187236.11694004576</v>
      </c>
      <c r="C28" s="179">
        <f t="shared" si="0"/>
        <v>42304128.261433937</v>
      </c>
    </row>
    <row r="29" spans="1:4" x14ac:dyDescent="0.25">
      <c r="A29" s="178">
        <f t="shared" si="1"/>
        <v>10000000</v>
      </c>
      <c r="B29" s="173">
        <f>((GTV!A29/$B$12)^$D$12)*$C$12*$F$12</f>
        <v>205581.48019343003</v>
      </c>
      <c r="C29" s="179">
        <f t="shared" si="0"/>
        <v>46449079.63490358</v>
      </c>
    </row>
    <row r="30" spans="1:4" x14ac:dyDescent="0.25">
      <c r="A30" s="178">
        <f t="shared" si="1"/>
        <v>11250000</v>
      </c>
      <c r="B30" s="173">
        <f>((GTV!A30/$B$12)^$D$12)*$C$12*$F$12</f>
        <v>223249.63338953216</v>
      </c>
      <c r="C30" s="179">
        <f t="shared" si="0"/>
        <v>50441022.168030895</v>
      </c>
    </row>
    <row r="31" spans="1:4" x14ac:dyDescent="0.25">
      <c r="A31" s="178">
        <f t="shared" si="1"/>
        <v>12500000</v>
      </c>
      <c r="B31" s="173">
        <f>((GTV!A31/$B$12)^$D$12)*$C$12*$F$12</f>
        <v>240337.20031497802</v>
      </c>
      <c r="C31" s="179">
        <f t="shared" si="0"/>
        <v>54301787.03916613</v>
      </c>
    </row>
    <row r="32" spans="1:4" x14ac:dyDescent="0.25">
      <c r="A32" s="178">
        <f t="shared" si="1"/>
        <v>13750000</v>
      </c>
      <c r="B32" s="173">
        <f>((GTV!A32/$B$12)^$D$12)*$C$12*$F$12</f>
        <v>256918.795571375</v>
      </c>
      <c r="C32" s="179">
        <f t="shared" si="0"/>
        <v>58048232.671396464</v>
      </c>
    </row>
    <row r="33" spans="1:3" x14ac:dyDescent="0.25">
      <c r="A33" s="178">
        <f t="shared" si="1"/>
        <v>15000000</v>
      </c>
      <c r="B33" s="173">
        <f>((GTV!A33/$B$12)^$D$12)*$C$12*$F$12</f>
        <v>273053.57690229977</v>
      </c>
      <c r="C33" s="179">
        <f t="shared" si="0"/>
        <v>61693725.165305607</v>
      </c>
    </row>
    <row r="34" spans="1:3" x14ac:dyDescent="0.25">
      <c r="A34" s="178">
        <f t="shared" si="1"/>
        <v>16250000</v>
      </c>
      <c r="B34" s="173">
        <f>((GTV!A34/$B$12)^$D$12)*$C$12*$F$12</f>
        <v>288789.46380711853</v>
      </c>
      <c r="C34" s="179">
        <f t="shared" si="0"/>
        <v>65249091.452580363</v>
      </c>
    </row>
    <row r="35" spans="1:3" x14ac:dyDescent="0.25">
      <c r="A35" s="178">
        <f t="shared" si="1"/>
        <v>17500000</v>
      </c>
      <c r="B35" s="173">
        <f>((GTV!A35/$B$12)^$D$12)*$C$12*$F$12</f>
        <v>304165.969337977</v>
      </c>
      <c r="C35" s="179">
        <f t="shared" si="0"/>
        <v>68723259.112222522</v>
      </c>
    </row>
    <row r="36" spans="1:3" x14ac:dyDescent="0.25">
      <c r="A36" s="178">
        <f t="shared" si="1"/>
        <v>18750000</v>
      </c>
      <c r="B36" s="173">
        <f>((GTV!A36/$B$12)^$D$12)*$C$12*$F$12</f>
        <v>319216.16746286326</v>
      </c>
      <c r="C36" s="179">
        <f t="shared" si="0"/>
        <v>72123700.876559317</v>
      </c>
    </row>
    <row r="37" spans="1:3" x14ac:dyDescent="0.25">
      <c r="A37" s="178">
        <f t="shared" si="1"/>
        <v>20000000</v>
      </c>
      <c r="B37" s="173">
        <f>((GTV!A37/$B$12)^$D$12)*$C$12*$F$12</f>
        <v>333968.099867151</v>
      </c>
      <c r="C37" s="179">
        <f t="shared" si="0"/>
        <v>75456752.483984098</v>
      </c>
    </row>
    <row r="38" spans="1:3" x14ac:dyDescent="0.25">
      <c r="A38" s="178">
        <f t="shared" si="1"/>
        <v>21250000</v>
      </c>
      <c r="B38" s="173">
        <f>((GTV!A38/$B$12)^$D$12)*$C$12*$F$12</f>
        <v>348445.80692517635</v>
      </c>
      <c r="C38" s="179">
        <f t="shared" si="0"/>
        <v>78727845.616674349</v>
      </c>
    </row>
    <row r="39" spans="1:3" x14ac:dyDescent="0.25">
      <c r="A39" s="178">
        <f t="shared" si="1"/>
        <v>22500000</v>
      </c>
      <c r="B39" s="173">
        <f>((GTV!A39/$B$12)^$D$12)*$C$12*$F$12</f>
        <v>362670.09941259713</v>
      </c>
      <c r="C39" s="179">
        <f t="shared" si="0"/>
        <v>81941682.261282191</v>
      </c>
    </row>
    <row r="40" spans="1:3" x14ac:dyDescent="0.25">
      <c r="A40" s="178">
        <f t="shared" si="1"/>
        <v>23750000</v>
      </c>
      <c r="B40" s="173">
        <f>((GTV!A40/$B$12)^$D$12)*$C$12*$F$12</f>
        <v>376659.1469103847</v>
      </c>
      <c r="C40" s="179">
        <f t="shared" si="0"/>
        <v>85102367.652932316</v>
      </c>
    </row>
    <row r="41" spans="1:3" x14ac:dyDescent="0.25">
      <c r="A41" s="178">
        <f t="shared" si="1"/>
        <v>25000000</v>
      </c>
      <c r="B41" s="173">
        <f>((GTV!A41/$B$12)^$D$12)*$C$12*$F$12</f>
        <v>390428.93377877894</v>
      </c>
      <c r="C41" s="179">
        <f t="shared" si="0"/>
        <v>88213513.297977313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78" t="s">
        <v>106</v>
      </c>
      <c r="C4" s="478"/>
      <c r="D4" s="478"/>
      <c r="E4" s="478"/>
      <c r="F4" s="479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80" t="s">
        <v>8</v>
      </c>
      <c r="B7" s="483" t="s">
        <v>9</v>
      </c>
      <c r="C7" s="484"/>
      <c r="D7" s="485" t="s">
        <v>12</v>
      </c>
      <c r="E7" s="486"/>
      <c r="F7" s="487"/>
      <c r="G7" s="483" t="s">
        <v>124</v>
      </c>
      <c r="H7" s="483"/>
      <c r="I7" s="488"/>
      <c r="J7" s="98" t="s">
        <v>125</v>
      </c>
    </row>
    <row r="8" spans="1:18" ht="28.15" customHeight="1" x14ac:dyDescent="0.2">
      <c r="A8" s="481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82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196</v>
      </c>
    </row>
    <row r="10" spans="1:18" ht="13.5" thickBot="1" x14ac:dyDescent="0.25"/>
    <row r="11" spans="1:18" ht="51.6" customHeight="1" x14ac:dyDescent="0.2">
      <c r="A11" s="480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89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82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490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491" t="s">
        <v>114</v>
      </c>
      <c r="B13" s="492"/>
      <c r="C13" s="492"/>
      <c r="D13" s="492"/>
      <c r="E13" s="492"/>
      <c r="F13" s="493"/>
      <c r="G13" s="119" t="s">
        <v>150</v>
      </c>
      <c r="H13" s="119" t="s">
        <v>151</v>
      </c>
      <c r="K13" s="491" t="s">
        <v>115</v>
      </c>
      <c r="L13" s="492"/>
      <c r="M13" s="492"/>
      <c r="N13" s="492"/>
      <c r="O13" s="492"/>
      <c r="P13" s="492"/>
      <c r="Q13" s="492"/>
      <c r="R13" s="493"/>
    </row>
    <row r="14" spans="1:18" ht="33.6" customHeight="1" thickBot="1" x14ac:dyDescent="0.25">
      <c r="A14" s="494"/>
      <c r="B14" s="495"/>
      <c r="C14" s="495"/>
      <c r="D14" s="495"/>
      <c r="E14" s="495"/>
      <c r="F14" s="496"/>
      <c r="G14" s="95">
        <f>VAC_Optim_Scenario!I32</f>
        <v>225.94</v>
      </c>
      <c r="H14" s="95">
        <f>VAC_Optim_Scenario!G32</f>
        <v>225.94</v>
      </c>
      <c r="K14" s="494"/>
      <c r="L14" s="495"/>
      <c r="M14" s="495"/>
      <c r="N14" s="495"/>
      <c r="O14" s="495"/>
      <c r="P14" s="495"/>
      <c r="Q14" s="495"/>
      <c r="R14" s="496"/>
    </row>
    <row r="16" spans="1:18" ht="13.5" thickBot="1" x14ac:dyDescent="0.25"/>
    <row r="17" spans="1:8" ht="42.6" customHeight="1" x14ac:dyDescent="0.2">
      <c r="A17" s="489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90"/>
      <c r="B18" s="75">
        <v>0</v>
      </c>
      <c r="C18" s="76">
        <v>4000000</v>
      </c>
      <c r="D18" s="26">
        <v>20</v>
      </c>
    </row>
    <row r="20" spans="1:8" x14ac:dyDescent="0.2">
      <c r="A20" s="477" t="s">
        <v>37</v>
      </c>
      <c r="B20" s="477"/>
      <c r="C20" s="477"/>
    </row>
    <row r="21" spans="1:8" ht="25.5" x14ac:dyDescent="0.2">
      <c r="A21" s="119" t="s">
        <v>35</v>
      </c>
      <c r="B21" s="119" t="s">
        <v>120</v>
      </c>
      <c r="C21" s="119" t="s">
        <v>197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62" t="s">
        <v>100</v>
      </c>
      <c r="G2" s="463"/>
      <c r="H2" s="463"/>
      <c r="I2" s="463"/>
      <c r="J2" s="463"/>
      <c r="K2" s="463"/>
      <c r="L2" s="464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65" t="s">
        <v>72</v>
      </c>
      <c r="G3" s="466"/>
      <c r="H3" s="466"/>
      <c r="I3" s="466"/>
      <c r="J3" s="466"/>
      <c r="K3" s="466"/>
      <c r="L3" s="467"/>
    </row>
    <row r="4" spans="1:12" ht="13.5" thickBot="1" x14ac:dyDescent="0.25">
      <c r="A4" s="29" t="s">
        <v>38</v>
      </c>
      <c r="B4" s="500" t="s">
        <v>39</v>
      </c>
      <c r="C4" s="500"/>
      <c r="D4" s="501"/>
    </row>
    <row r="6" spans="1:12" ht="13.5" thickBot="1" x14ac:dyDescent="0.25"/>
    <row r="7" spans="1:12" ht="27.75" customHeight="1" x14ac:dyDescent="0.2">
      <c r="A7" s="480" t="s">
        <v>8</v>
      </c>
      <c r="B7" s="483" t="s">
        <v>9</v>
      </c>
      <c r="C7" s="484"/>
      <c r="D7" s="485" t="s">
        <v>12</v>
      </c>
      <c r="E7" s="487"/>
      <c r="F7" s="486" t="s">
        <v>24</v>
      </c>
      <c r="G7" s="508"/>
    </row>
    <row r="8" spans="1:12" ht="25.5" x14ac:dyDescent="0.2">
      <c r="A8" s="48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82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80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80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82"/>
      <c r="B12" s="12">
        <v>20</v>
      </c>
      <c r="C12" s="12">
        <v>30</v>
      </c>
      <c r="D12" s="12">
        <v>0</v>
      </c>
      <c r="E12" s="14">
        <v>70</v>
      </c>
      <c r="G12" s="482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491" t="s">
        <v>30</v>
      </c>
      <c r="B13" s="492"/>
      <c r="C13" s="492"/>
      <c r="D13" s="492"/>
      <c r="E13" s="493"/>
      <c r="G13" s="502" t="s">
        <v>29</v>
      </c>
      <c r="H13" s="503"/>
      <c r="I13" s="503"/>
      <c r="J13" s="504"/>
    </row>
    <row r="14" spans="1:12" ht="33.6" customHeight="1" x14ac:dyDescent="0.2">
      <c r="A14" s="494"/>
      <c r="B14" s="495"/>
      <c r="C14" s="495"/>
      <c r="D14" s="495"/>
      <c r="E14" s="496"/>
      <c r="G14" s="505"/>
      <c r="H14" s="506"/>
      <c r="I14" s="506"/>
      <c r="J14" s="507"/>
    </row>
    <row r="16" spans="1:12" ht="13.5" thickBot="1" x14ac:dyDescent="0.25"/>
    <row r="17" spans="1:4" ht="16.899999999999999" customHeight="1" x14ac:dyDescent="0.2">
      <c r="A17" s="489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490"/>
      <c r="B18" s="12">
        <v>0</v>
      </c>
      <c r="C18" s="12">
        <v>100</v>
      </c>
      <c r="D18" s="26">
        <v>20</v>
      </c>
    </row>
    <row r="20" spans="1:4" x14ac:dyDescent="0.2">
      <c r="A20" s="477" t="s">
        <v>37</v>
      </c>
      <c r="B20" s="477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62" t="s">
        <v>100</v>
      </c>
      <c r="G2" s="463"/>
      <c r="H2" s="463"/>
      <c r="I2" s="463"/>
      <c r="J2" s="463"/>
      <c r="K2" s="463"/>
      <c r="L2" s="464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65" t="s">
        <v>72</v>
      </c>
      <c r="G3" s="466"/>
      <c r="H3" s="466"/>
      <c r="I3" s="466"/>
      <c r="J3" s="466"/>
      <c r="K3" s="466"/>
      <c r="L3" s="467"/>
    </row>
    <row r="4" spans="1:12" ht="31.9" customHeight="1" thickBot="1" x14ac:dyDescent="0.25">
      <c r="A4" s="29" t="s">
        <v>38</v>
      </c>
      <c r="B4" s="513" t="s">
        <v>41</v>
      </c>
      <c r="C4" s="514"/>
      <c r="D4" s="515"/>
    </row>
    <row r="6" spans="1:12" ht="13.5" thickBot="1" x14ac:dyDescent="0.25"/>
    <row r="7" spans="1:12" ht="27.75" customHeight="1" x14ac:dyDescent="0.2">
      <c r="A7" s="480" t="s">
        <v>8</v>
      </c>
      <c r="B7" s="483" t="s">
        <v>9</v>
      </c>
      <c r="C7" s="484"/>
      <c r="D7" s="485" t="s">
        <v>12</v>
      </c>
      <c r="E7" s="487"/>
      <c r="F7" s="486" t="s">
        <v>24</v>
      </c>
      <c r="G7" s="508"/>
      <c r="H7" s="1" t="s">
        <v>54</v>
      </c>
    </row>
    <row r="8" spans="1:12" ht="25.5" x14ac:dyDescent="0.2">
      <c r="A8" s="48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82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80" t="s">
        <v>42</v>
      </c>
      <c r="B11" s="452" t="s">
        <v>47</v>
      </c>
      <c r="C11" s="510" t="s">
        <v>46</v>
      </c>
      <c r="D11" s="486"/>
      <c r="E11" s="486"/>
      <c r="F11" s="3" t="s">
        <v>48</v>
      </c>
      <c r="G11" s="33"/>
      <c r="H11" s="32"/>
      <c r="I11" s="32"/>
      <c r="J11" s="32"/>
    </row>
    <row r="12" spans="1:12" x14ac:dyDescent="0.2">
      <c r="A12" s="511"/>
      <c r="B12" s="453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512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509" t="s">
        <v>52</v>
      </c>
      <c r="B14" s="509"/>
      <c r="C14" s="509"/>
      <c r="D14" s="509"/>
      <c r="E14" s="509"/>
      <c r="F14" s="509"/>
      <c r="G14" s="38"/>
      <c r="H14" s="39"/>
      <c r="I14" s="39"/>
      <c r="J14" s="39"/>
    </row>
    <row r="15" spans="1:12" ht="30.6" customHeight="1" x14ac:dyDescent="0.2">
      <c r="A15" s="509"/>
      <c r="B15" s="509"/>
      <c r="C15" s="509"/>
      <c r="D15" s="509"/>
      <c r="E15" s="509"/>
      <c r="F15" s="509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489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490"/>
      <c r="B19" s="12">
        <v>0</v>
      </c>
      <c r="C19" s="12">
        <v>20000000</v>
      </c>
      <c r="D19" s="26">
        <v>20</v>
      </c>
    </row>
    <row r="21" spans="1:4" x14ac:dyDescent="0.2">
      <c r="A21" s="477" t="s">
        <v>37</v>
      </c>
      <c r="B21" s="477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16" t="s">
        <v>106</v>
      </c>
      <c r="C4" s="516"/>
      <c r="D4" s="516"/>
      <c r="E4" s="516"/>
      <c r="F4" s="517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80" t="s">
        <v>8</v>
      </c>
      <c r="B7" s="483" t="s">
        <v>9</v>
      </c>
      <c r="C7" s="484"/>
      <c r="D7" s="485" t="s">
        <v>12</v>
      </c>
      <c r="E7" s="487"/>
      <c r="F7" s="486" t="s">
        <v>24</v>
      </c>
      <c r="G7" s="508"/>
    </row>
    <row r="8" spans="1:15" ht="25.5" x14ac:dyDescent="0.2">
      <c r="A8" s="481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82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80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89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82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90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491" t="s">
        <v>114</v>
      </c>
      <c r="B13" s="492"/>
      <c r="C13" s="492"/>
      <c r="D13" s="492"/>
      <c r="E13" s="492"/>
      <c r="F13" s="493"/>
      <c r="H13" s="491" t="s">
        <v>115</v>
      </c>
      <c r="I13" s="492"/>
      <c r="J13" s="492"/>
      <c r="K13" s="492"/>
      <c r="L13" s="492"/>
      <c r="M13" s="492"/>
      <c r="N13" s="492"/>
      <c r="O13" s="493"/>
    </row>
    <row r="14" spans="1:15" ht="33.6" customHeight="1" x14ac:dyDescent="0.2">
      <c r="A14" s="494"/>
      <c r="B14" s="495"/>
      <c r="C14" s="495"/>
      <c r="D14" s="495"/>
      <c r="E14" s="495"/>
      <c r="F14" s="496"/>
      <c r="H14" s="494"/>
      <c r="I14" s="495"/>
      <c r="J14" s="495"/>
      <c r="K14" s="495"/>
      <c r="L14" s="495"/>
      <c r="M14" s="495"/>
      <c r="N14" s="495"/>
      <c r="O14" s="496"/>
    </row>
    <row r="16" spans="1:15" ht="13.5" thickBot="1" x14ac:dyDescent="0.25"/>
    <row r="17" spans="1:4" ht="16.899999999999999" customHeight="1" x14ac:dyDescent="0.2">
      <c r="A17" s="489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490"/>
      <c r="B18" s="75">
        <v>0</v>
      </c>
      <c r="C18" s="76">
        <v>200000000</v>
      </c>
      <c r="D18" s="26">
        <v>20</v>
      </c>
    </row>
    <row r="20" spans="1:4" x14ac:dyDescent="0.2">
      <c r="A20" s="477" t="s">
        <v>37</v>
      </c>
      <c r="B20" s="477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62" t="s">
        <v>100</v>
      </c>
      <c r="G2" s="463"/>
      <c r="H2" s="463"/>
      <c r="I2" s="463"/>
      <c r="J2" s="463"/>
      <c r="K2" s="463"/>
      <c r="L2" s="464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65" t="s">
        <v>72</v>
      </c>
      <c r="G3" s="466"/>
      <c r="H3" s="466"/>
      <c r="I3" s="466"/>
      <c r="J3" s="466"/>
      <c r="K3" s="466"/>
      <c r="L3" s="467"/>
    </row>
    <row r="4" spans="1:14" ht="13.5" thickBot="1" x14ac:dyDescent="0.25">
      <c r="A4" s="29" t="s">
        <v>38</v>
      </c>
      <c r="B4" s="500" t="s">
        <v>57</v>
      </c>
      <c r="C4" s="500"/>
      <c r="D4" s="501"/>
    </row>
    <row r="6" spans="1:14" ht="13.5" thickBot="1" x14ac:dyDescent="0.25"/>
    <row r="7" spans="1:14" ht="27.75" customHeight="1" x14ac:dyDescent="0.2">
      <c r="A7" s="480" t="s">
        <v>8</v>
      </c>
      <c r="B7" s="483" t="s">
        <v>9</v>
      </c>
      <c r="C7" s="484"/>
      <c r="D7" s="485" t="s">
        <v>12</v>
      </c>
      <c r="E7" s="487"/>
      <c r="F7" s="486" t="s">
        <v>24</v>
      </c>
      <c r="G7" s="508"/>
      <c r="I7" s="523" t="s">
        <v>73</v>
      </c>
      <c r="J7" s="523"/>
      <c r="K7" s="523"/>
      <c r="L7" s="523"/>
      <c r="N7" s="47" t="s">
        <v>58</v>
      </c>
    </row>
    <row r="8" spans="1:14" ht="25.5" x14ac:dyDescent="0.2">
      <c r="A8" s="48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23"/>
      <c r="J8" s="523"/>
      <c r="K8" s="523"/>
      <c r="L8" s="523"/>
      <c r="N8" s="47" t="s">
        <v>59</v>
      </c>
    </row>
    <row r="9" spans="1:14" ht="13.5" thickBot="1" x14ac:dyDescent="0.25">
      <c r="A9" s="482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477" t="s">
        <v>60</v>
      </c>
      <c r="B11" s="3" t="s">
        <v>61</v>
      </c>
      <c r="C11" s="3" t="s">
        <v>62</v>
      </c>
      <c r="D11" s="32"/>
      <c r="E11" s="521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477"/>
      <c r="B12" s="41">
        <v>0</v>
      </c>
      <c r="C12" s="41">
        <v>0</v>
      </c>
      <c r="D12" s="32"/>
      <c r="E12" s="522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477"/>
      <c r="B13" s="41">
        <v>1</v>
      </c>
      <c r="C13" s="41">
        <v>0.75</v>
      </c>
      <c r="D13" s="32"/>
      <c r="E13" s="522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477"/>
      <c r="B14" s="41">
        <v>2</v>
      </c>
      <c r="C14" s="41">
        <v>0</v>
      </c>
      <c r="D14" s="32"/>
      <c r="E14" s="522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477"/>
      <c r="B15" s="41">
        <v>3</v>
      </c>
      <c r="C15" s="41">
        <v>-1</v>
      </c>
      <c r="D15" s="32"/>
      <c r="E15" s="522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477"/>
      <c r="B16" s="41">
        <v>4</v>
      </c>
      <c r="C16" s="41">
        <v>3</v>
      </c>
      <c r="D16" s="32"/>
      <c r="E16" s="522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77"/>
      <c r="B17" s="42">
        <v>5</v>
      </c>
      <c r="C17" s="42">
        <v>3</v>
      </c>
      <c r="D17" s="40"/>
      <c r="E17" s="522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518" t="s">
        <v>74</v>
      </c>
      <c r="B18" s="519"/>
      <c r="C18" s="520"/>
      <c r="D18" s="33"/>
      <c r="E18" s="509" t="s">
        <v>75</v>
      </c>
      <c r="F18" s="509"/>
      <c r="G18" s="509"/>
      <c r="H18" s="509"/>
      <c r="I18" s="509"/>
      <c r="J18" s="509"/>
      <c r="K18" s="509"/>
      <c r="L18" s="509"/>
      <c r="M18" s="509"/>
    </row>
    <row r="19" spans="1:13" ht="35.65" customHeight="1" x14ac:dyDescent="0.2">
      <c r="A19" s="494"/>
      <c r="B19" s="495"/>
      <c r="C19" s="496"/>
      <c r="D19" s="33"/>
      <c r="E19" s="509"/>
      <c r="F19" s="509"/>
      <c r="G19" s="509"/>
      <c r="H19" s="509"/>
      <c r="I19" s="509"/>
      <c r="J19" s="509"/>
      <c r="K19" s="509"/>
      <c r="L19" s="509"/>
      <c r="M19" s="509"/>
    </row>
    <row r="21" spans="1:13" ht="13.5" thickBot="1" x14ac:dyDescent="0.25"/>
    <row r="22" spans="1:13" ht="16.899999999999999" customHeight="1" x14ac:dyDescent="0.2">
      <c r="A22" s="489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490"/>
      <c r="B23" s="12">
        <v>0</v>
      </c>
      <c r="C23" s="12">
        <v>5</v>
      </c>
      <c r="D23" s="26">
        <v>20</v>
      </c>
    </row>
    <row r="25" spans="1:13" x14ac:dyDescent="0.2">
      <c r="A25" s="477" t="s">
        <v>37</v>
      </c>
      <c r="B25" s="477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YOY Curve comparison</vt:lpstr>
      <vt:lpstr>Scenario summary</vt:lpstr>
      <vt:lpstr>Chart - Combined</vt:lpstr>
      <vt:lpstr>Sheet1</vt:lpstr>
      <vt:lpstr>Scenario deep dive</vt:lpstr>
      <vt:lpstr>Scenario deep dive_2023</vt:lpstr>
      <vt:lpstr>Senstivity</vt:lpstr>
      <vt:lpstr>Sensitivity - Template</vt:lpstr>
      <vt:lpstr>Contribution, promo eff, ROI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2023-08-17T07:31:03Z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