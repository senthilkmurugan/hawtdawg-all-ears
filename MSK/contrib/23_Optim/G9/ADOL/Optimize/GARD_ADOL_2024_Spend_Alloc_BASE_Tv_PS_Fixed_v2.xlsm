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"/>
    </mc:Choice>
  </mc:AlternateContent>
  <xr:revisionPtr revIDLastSave="0" documentId="13_ncr:1_{CA8264DB-2216-4014-9368-3E8E1E30B2FB}" xr6:coauthVersionLast="47" xr6:coauthVersionMax="47" xr10:uidLastSave="{00000000-0000-0000-0000-000000000000}"/>
  <bookViews>
    <workbookView xWindow="30" yWindow="30" windowWidth="20460" windowHeight="10890" tabRatio="709" firstSheet="2" activeTab="4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heet1" sheetId="90" r:id="rId4"/>
    <sheet name="Scenario deep dive" sheetId="79" r:id="rId5"/>
    <sheet name="Scenario deep dive_2023" sheetId="89" state="hidden" r:id="rId6"/>
    <sheet name="Senstivity" sheetId="87" state="hidden" r:id="rId7"/>
    <sheet name="Sensitivity - Template" sheetId="86" state="hidden" r:id="rId8"/>
    <sheet name="Contribution, promo eff, ROI" sheetId="8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8" hidden="1">'Contribution, promo eff, ROI'!$E$16:$F$24</definedName>
    <definedName name="solver_adj" localSheetId="9" hidden="1">VAC_Optim_Scenario!$I$17:$I$25</definedName>
    <definedName name="solver_cvg" localSheetId="7" hidden="1">0.0001</definedName>
    <definedName name="solver_cvg" localSheetId="6" hidden="1">0.0001</definedName>
    <definedName name="solver_cvg" localSheetId="9" hidden="1">0.0001</definedName>
    <definedName name="solver_drv" localSheetId="7" hidden="1">1</definedName>
    <definedName name="solver_drv" localSheetId="6" hidden="1">1</definedName>
    <definedName name="solver_drv" localSheetId="9" hidden="1">1</definedName>
    <definedName name="solver_eng" localSheetId="7" hidden="1">1</definedName>
    <definedName name="solver_eng" localSheetId="6" hidden="1">1</definedName>
    <definedName name="solver_eng" localSheetId="9" hidden="1">1</definedName>
    <definedName name="solver_est" localSheetId="7" hidden="1">1</definedName>
    <definedName name="solver_est" localSheetId="6" hidden="1">1</definedName>
    <definedName name="solver_est" localSheetId="9" hidden="1">1</definedName>
    <definedName name="solver_itr" localSheetId="7" hidden="1">2147483647</definedName>
    <definedName name="solver_itr" localSheetId="6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7" hidden="1">2147483647</definedName>
    <definedName name="solver_mip" localSheetId="6" hidden="1">2147483647</definedName>
    <definedName name="solver_mip" localSheetId="9" hidden="1">2147483647</definedName>
    <definedName name="solver_mni" localSheetId="7" hidden="1">30</definedName>
    <definedName name="solver_mni" localSheetId="6" hidden="1">30</definedName>
    <definedName name="solver_mni" localSheetId="9" hidden="1">30</definedName>
    <definedName name="solver_mrt" localSheetId="7" hidden="1">0.075</definedName>
    <definedName name="solver_mrt" localSheetId="6" hidden="1">0.075</definedName>
    <definedName name="solver_mrt" localSheetId="9" hidden="1">0.075</definedName>
    <definedName name="solver_msl" localSheetId="7" hidden="1">2</definedName>
    <definedName name="solver_msl" localSheetId="6" hidden="1">2</definedName>
    <definedName name="solver_msl" localSheetId="9" hidden="1">2</definedName>
    <definedName name="solver_neg" localSheetId="7" hidden="1">1</definedName>
    <definedName name="solver_neg" localSheetId="6" hidden="1">1</definedName>
    <definedName name="solver_neg" localSheetId="9" hidden="1">1</definedName>
    <definedName name="solver_nod" localSheetId="7" hidden="1">2147483647</definedName>
    <definedName name="solver_nod" localSheetId="6" hidden="1">2147483647</definedName>
    <definedName name="solver_nod" localSheetId="9" hidden="1">2147483647</definedName>
    <definedName name="solver_num" localSheetId="7" hidden="1">0</definedName>
    <definedName name="solver_num" localSheetId="6" hidden="1">0</definedName>
    <definedName name="solver_num" localSheetId="9" hidden="1">3</definedName>
    <definedName name="solver_nwt" localSheetId="7" hidden="1">1</definedName>
    <definedName name="solver_nwt" localSheetId="6" hidden="1">1</definedName>
    <definedName name="solver_nwt" localSheetId="9" hidden="1">1</definedName>
    <definedName name="solver_opt" localSheetId="7" hidden="1">'Sensitivity - Template'!$F$6</definedName>
    <definedName name="solver_opt" localSheetId="6" hidden="1">Senstivity!$F$6</definedName>
    <definedName name="solver_opt" localSheetId="9" hidden="1">VAC_Optim_Scenario!$B$9</definedName>
    <definedName name="solver_pre" localSheetId="7" hidden="1">0.000001</definedName>
    <definedName name="solver_pre" localSheetId="6" hidden="1">0.000001</definedName>
    <definedName name="solver_pre" localSheetId="9" hidden="1">0.00000001</definedName>
    <definedName name="solver_rbv" localSheetId="7" hidden="1">1</definedName>
    <definedName name="solver_rbv" localSheetId="6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VAC_Optim_Scenario!$I$27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7" hidden="1">2</definedName>
    <definedName name="solver_rlx" localSheetId="6" hidden="1">2</definedName>
    <definedName name="solver_rlx" localSheetId="9" hidden="1">2</definedName>
    <definedName name="solver_rsd" localSheetId="7" hidden="1">0</definedName>
    <definedName name="solver_rsd" localSheetId="6" hidden="1">0</definedName>
    <definedName name="solver_rsd" localSheetId="9" hidden="1">0</definedName>
    <definedName name="solver_scl" localSheetId="7" hidden="1">1</definedName>
    <definedName name="solver_scl" localSheetId="6" hidden="1">1</definedName>
    <definedName name="solver_scl" localSheetId="9" hidden="1">1</definedName>
    <definedName name="solver_sho" localSheetId="7" hidden="1">2</definedName>
    <definedName name="solver_sho" localSheetId="6" hidden="1">2</definedName>
    <definedName name="solver_sho" localSheetId="9" hidden="1">2</definedName>
    <definedName name="solver_ssz" localSheetId="7" hidden="1">100</definedName>
    <definedName name="solver_ssz" localSheetId="6" hidden="1">100</definedName>
    <definedName name="solver_ssz" localSheetId="9" hidden="1">100</definedName>
    <definedName name="solver_tim" localSheetId="7" hidden="1">2147483647</definedName>
    <definedName name="solver_tim" localSheetId="6" hidden="1">2147483647</definedName>
    <definedName name="solver_tim" localSheetId="9" hidden="1">2147483647</definedName>
    <definedName name="solver_tol" localSheetId="7" hidden="1">0.01</definedName>
    <definedName name="solver_tol" localSheetId="6" hidden="1">0.01</definedName>
    <definedName name="solver_tol" localSheetId="9" hidden="1">0.01</definedName>
    <definedName name="solver_typ" localSheetId="7" hidden="1">1</definedName>
    <definedName name="solver_typ" localSheetId="6" hidden="1">1</definedName>
    <definedName name="solver_typ" localSheetId="9" hidden="1">1</definedName>
    <definedName name="solver_val" localSheetId="7" hidden="1">0</definedName>
    <definedName name="solver_val" localSheetId="6" hidden="1">0</definedName>
    <definedName name="solver_val" localSheetId="9" hidden="1">0</definedName>
    <definedName name="solver_ver" localSheetId="7" hidden="1">3</definedName>
    <definedName name="solver_ver" localSheetId="6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79" l="1"/>
  <c r="H23" i="23"/>
  <c r="G23" i="23"/>
  <c r="C8" i="78"/>
  <c r="F13" i="90" l="1"/>
  <c r="D13" i="90"/>
  <c r="E5" i="90"/>
  <c r="F5" i="90"/>
  <c r="E6" i="90"/>
  <c r="F6" i="90"/>
  <c r="E7" i="90"/>
  <c r="F7" i="90"/>
  <c r="E8" i="90"/>
  <c r="F8" i="90"/>
  <c r="E9" i="90"/>
  <c r="F9" i="90"/>
  <c r="E10" i="90"/>
  <c r="E13" i="90" s="1"/>
  <c r="F10" i="90"/>
  <c r="E11" i="90"/>
  <c r="F11" i="90"/>
  <c r="E12" i="90"/>
  <c r="F12" i="90"/>
  <c r="F4" i="90"/>
  <c r="E4" i="90"/>
  <c r="I11" i="90"/>
  <c r="I9" i="90"/>
  <c r="I7" i="90"/>
  <c r="I5" i="90"/>
  <c r="H13" i="90"/>
  <c r="I13" i="90" l="1"/>
  <c r="I8" i="90"/>
  <c r="I10" i="90"/>
  <c r="I12" i="90"/>
  <c r="I6" i="90"/>
  <c r="I4" i="90"/>
  <c r="D5" i="80"/>
  <c r="D6" i="80"/>
  <c r="D7" i="80"/>
  <c r="D8" i="80"/>
  <c r="D9" i="80"/>
  <c r="D10" i="80"/>
  <c r="D11" i="80"/>
  <c r="D12" i="80"/>
  <c r="D4" i="80"/>
  <c r="R8" i="80" a="1"/>
  <c r="Q8" i="80" a="1"/>
  <c r="R9" i="80" a="1"/>
  <c r="Q5" i="80" a="1"/>
  <c r="Q9" i="80" a="1"/>
  <c r="R12" i="80" a="1"/>
  <c r="Q11" i="80" a="1"/>
  <c r="R7" i="80" a="1"/>
  <c r="Q7" i="80" a="1"/>
  <c r="Q10" i="80" a="1"/>
  <c r="Q6" i="80" a="1"/>
  <c r="R10" i="80" a="1"/>
  <c r="R5" i="80" a="1"/>
  <c r="R11" i="80" a="1"/>
  <c r="R6" i="80" a="1"/>
  <c r="Q12" i="80" a="1"/>
  <c r="R4" i="80" a="1"/>
  <c r="Q4" i="80" a="1"/>
  <c r="Q11" i="80" l="1"/>
  <c r="R10" i="80"/>
  <c r="R12" i="80"/>
  <c r="R11" i="80"/>
  <c r="Q12" i="80"/>
  <c r="Q10" i="80"/>
  <c r="Q9" i="80"/>
  <c r="R8" i="80"/>
  <c r="R9" i="80"/>
  <c r="Q8" i="80"/>
  <c r="R5" i="80"/>
  <c r="R7" i="80"/>
  <c r="R6" i="80"/>
  <c r="Q7" i="80"/>
  <c r="Q6" i="80"/>
  <c r="Q5" i="80"/>
  <c r="Q4" i="80"/>
  <c r="R4" i="80"/>
  <c r="B12" i="23" l="1"/>
  <c r="G27" i="23"/>
  <c r="H27" i="23"/>
  <c r="I27" i="23"/>
  <c r="E27" i="23"/>
  <c r="H25" i="23"/>
  <c r="G25" i="23"/>
  <c r="X16" i="79"/>
  <c r="V16" i="79"/>
  <c r="C6" i="78" s="1"/>
  <c r="T16" i="79"/>
  <c r="R16" i="79"/>
  <c r="P16" i="79"/>
  <c r="N16" i="79"/>
  <c r="L16" i="79"/>
  <c r="J16" i="79"/>
  <c r="H16" i="79"/>
  <c r="F16" i="79"/>
  <c r="G16" i="79" s="1"/>
  <c r="W16" i="79" l="1"/>
  <c r="S16" i="79"/>
  <c r="C7" i="78"/>
  <c r="O16" i="79"/>
  <c r="C10" i="78"/>
  <c r="K16" i="79"/>
  <c r="C9" i="78"/>
  <c r="F12" i="50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18" i="23"/>
  <c r="G19" i="23"/>
  <c r="G20" i="23"/>
  <c r="G21" i="23"/>
  <c r="G22" i="23"/>
  <c r="B9" i="88" s="1"/>
  <c r="G24" i="23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5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9" i="80"/>
  <c r="I12" i="59" l="1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H19" i="23"/>
  <c r="Q19" i="23" s="1"/>
  <c r="F12" i="84" l="1"/>
  <c r="D9" i="84"/>
  <c r="G9" i="84"/>
  <c r="K21" i="23"/>
  <c r="M21" i="23" s="1"/>
  <c r="I26" i="23"/>
  <c r="H21" i="23" l="1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AB11" i="89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H8" i="80" l="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E9" i="78"/>
  <c r="C17" i="78"/>
  <c r="E7" i="78"/>
  <c r="E6" i="78"/>
  <c r="E8" i="78"/>
  <c r="L8" i="78"/>
  <c r="C18" i="78" l="1"/>
  <c r="E17" i="78" s="1"/>
  <c r="L9" i="78"/>
  <c r="C15" i="78"/>
  <c r="L6" i="78"/>
  <c r="L7" i="78"/>
  <c r="C16" i="78"/>
  <c r="E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O23" i="23"/>
  <c r="I18" i="78"/>
  <c r="I15" i="78"/>
  <c r="B24" i="77"/>
  <c r="C24" i="77" s="1"/>
  <c r="A25" i="77"/>
  <c r="J10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E11" i="80" l="1"/>
  <c r="I11" i="80" s="1"/>
  <c r="O24" i="23"/>
  <c r="E12" i="80"/>
  <c r="I12" i="80" s="1"/>
  <c r="O25" i="23"/>
  <c r="H11" i="80"/>
  <c r="A22" i="75"/>
  <c r="A23" i="75" s="1"/>
  <c r="A24" i="75" s="1"/>
  <c r="A23" i="74"/>
  <c r="B21" i="74"/>
  <c r="C21" i="74" s="1"/>
  <c r="H12" i="80" l="1"/>
  <c r="B23" i="75"/>
  <c r="C23" i="75" s="1"/>
  <c r="B22" i="75"/>
  <c r="C22" i="75" s="1"/>
  <c r="F2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H18" i="23" l="1"/>
  <c r="Q18" i="23" s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H20" i="23"/>
  <c r="H22" i="23"/>
  <c r="C9" i="88" s="1"/>
  <c r="H24" i="23"/>
  <c r="P25" i="23"/>
  <c r="Q25" i="23"/>
  <c r="P18" i="23"/>
  <c r="H17" i="23"/>
  <c r="Q17" i="23" s="1"/>
  <c r="G17" i="23"/>
  <c r="P17" i="23" s="1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AB10" i="89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E7" i="80" l="1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H7" i="80" l="1"/>
  <c r="I7" i="80"/>
  <c r="F21" i="80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N23" i="79" l="1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O23" i="79"/>
  <c r="K22" i="79"/>
  <c r="G22" i="79"/>
  <c r="F22" i="79"/>
  <c r="J41" i="23"/>
  <c r="AB13" i="89" s="1"/>
  <c r="J42" i="23"/>
  <c r="AB14" i="89" s="1"/>
  <c r="J40" i="23"/>
  <c r="AB12" i="89" s="1"/>
  <c r="G40" i="23"/>
  <c r="G41" i="23"/>
  <c r="F10" i="80" s="1"/>
  <c r="G38" i="23"/>
  <c r="G42" i="23"/>
  <c r="F11" i="80" s="1"/>
  <c r="H14" i="59"/>
  <c r="P38" i="23" l="1"/>
  <c r="F7" i="80"/>
  <c r="G9" i="80"/>
  <c r="F9" i="80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31" i="79"/>
  <c r="R31" i="79"/>
  <c r="S31" i="79"/>
  <c r="G11" i="80"/>
  <c r="D14" i="79"/>
  <c r="D29" i="79" s="1"/>
  <c r="A29" i="79" s="1"/>
  <c r="G10" i="80"/>
  <c r="H15" i="80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31" i="79"/>
  <c r="N31" i="79"/>
  <c r="O31" i="79"/>
  <c r="J31" i="79"/>
  <c r="K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AB15" i="89" s="1"/>
  <c r="F43" i="23"/>
  <c r="G43" i="23" s="1"/>
  <c r="F12" i="80" s="1"/>
  <c r="J7" i="80"/>
  <c r="P13" i="87" l="1"/>
  <c r="R27" i="87"/>
  <c r="R13" i="87"/>
  <c r="P27" i="87"/>
  <c r="N13" i="87"/>
  <c r="N27" i="87"/>
  <c r="P43" i="23"/>
  <c r="X30" i="79"/>
  <c r="H30" i="79"/>
  <c r="T30" i="79"/>
  <c r="P30" i="79"/>
  <c r="L30" i="79"/>
  <c r="G12" i="80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I35" i="23" l="1"/>
  <c r="F18" i="80"/>
  <c r="G3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F6" i="80" l="1"/>
  <c r="G6" i="80" s="1"/>
  <c r="E4" i="80"/>
  <c r="O17" i="23"/>
  <c r="D9" i="79"/>
  <c r="L19" i="23"/>
  <c r="N19" i="23" s="1"/>
  <c r="I37" i="23"/>
  <c r="J37" i="23" s="1"/>
  <c r="AB9" i="89" s="1"/>
  <c r="F35" i="23"/>
  <c r="G35" i="23" s="1"/>
  <c r="J35" i="23"/>
  <c r="AB7" i="89" s="1"/>
  <c r="F4" i="80" l="1"/>
  <c r="G4" i="80" s="1"/>
  <c r="H4" i="80"/>
  <c r="I4" i="80"/>
  <c r="F2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17" i="80"/>
  <c r="F22" i="80"/>
  <c r="D24" i="79"/>
  <c r="A24" i="79" s="1"/>
  <c r="C3" i="79"/>
  <c r="L37" i="23"/>
  <c r="N37" i="23" s="1"/>
  <c r="X22" i="79" l="1"/>
  <c r="H22" i="79"/>
  <c r="C9" i="51"/>
  <c r="B9" i="51"/>
  <c r="B9" i="50" l="1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7" i="23" l="1"/>
  <c r="M27" i="23" s="1"/>
  <c r="K26" i="23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6" i="5"/>
  <c r="E9" i="5"/>
  <c r="B37" i="5"/>
  <c r="B31" i="5"/>
  <c r="B44" i="5"/>
  <c r="B47" i="5"/>
  <c r="B29" i="5"/>
  <c r="B32" i="5"/>
  <c r="B46" i="5"/>
  <c r="B40" i="5"/>
  <c r="B45" i="5"/>
  <c r="B28" i="5"/>
  <c r="B30" i="5"/>
  <c r="B41" i="5"/>
  <c r="B43" i="5"/>
  <c r="B33" i="5"/>
  <c r="B38" i="5"/>
  <c r="B42" i="5"/>
  <c r="B34" i="5"/>
  <c r="B39" i="5"/>
  <c r="B35" i="5"/>
  <c r="B2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J27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J9" i="50"/>
  <c r="J5" i="80"/>
  <c r="O18" i="23" l="1"/>
  <c r="F27" i="23"/>
  <c r="L18" i="23"/>
  <c r="E5" i="80"/>
  <c r="I5" i="80" s="1"/>
  <c r="F36" i="23"/>
  <c r="F26" i="23"/>
  <c r="J36" i="23"/>
  <c r="AB8" i="89" s="1"/>
  <c r="AB16" i="89" s="1"/>
  <c r="I44" i="23"/>
  <c r="N18" i="23" l="1"/>
  <c r="L27" i="23"/>
  <c r="N27" i="23" s="1"/>
  <c r="R6" i="87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H17" i="79" s="1"/>
  <c r="J44" i="23"/>
  <c r="M13" i="23" s="1"/>
  <c r="G36" i="23"/>
  <c r="F44" i="23"/>
  <c r="B9" i="23"/>
  <c r="E13" i="80"/>
  <c r="I13" i="80" s="1"/>
  <c r="F25" i="80"/>
  <c r="F5" i="80" l="1"/>
  <c r="G5" i="80" s="1"/>
  <c r="P36" i="23"/>
  <c r="X23" i="79"/>
  <c r="L36" i="23"/>
  <c r="N36" i="23" s="1"/>
  <c r="D8" i="79"/>
  <c r="G44" i="23"/>
  <c r="D23" i="79" l="1"/>
  <c r="A23" i="79" s="1"/>
  <c r="D16" i="79"/>
  <c r="L44" i="23"/>
  <c r="N44" i="23" s="1"/>
  <c r="L13" i="23"/>
  <c r="L31" i="79"/>
  <c r="L35" i="79" s="1"/>
  <c r="G9" i="78"/>
  <c r="K9" i="78" s="1"/>
  <c r="T31" i="79"/>
  <c r="T35" i="79" s="1"/>
  <c r="G7" i="78"/>
  <c r="G6" i="78"/>
  <c r="X31" i="79"/>
  <c r="X35" i="79" s="1"/>
  <c r="P31" i="79"/>
  <c r="P35" i="79" s="1"/>
  <c r="G10" i="78"/>
  <c r="H31" i="79"/>
  <c r="H35" i="79" s="1"/>
  <c r="G8" i="78"/>
  <c r="F13" i="80"/>
  <c r="F16" i="78" l="1"/>
  <c r="H16" i="78" s="1"/>
  <c r="F17" i="78"/>
  <c r="H17" i="78" s="1"/>
  <c r="G13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T33" i="79" l="1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<sst xmlns="http://schemas.openxmlformats.org/spreadsheetml/2006/main" count="1338" uniqueCount="303">
  <si>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</si>
  <si>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</si>
  <si>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</si>
  <si>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</si>
  <si>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</si>
  <si>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</si>
  <si>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</si>
  <si>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</si>
  <si>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</si>
  <si>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</si>
  <si>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</si>
  <si>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</si>
  <si>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</si>
  <si>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</si>
  <si>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</si>
  <si>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</si>
  <si>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</si>
  <si>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</si>
  <si>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</si>
  <si>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</si>
  <si>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</si>
  <si>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</si>
  <si>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</si>
  <si>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</si>
  <si>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</si>
  <si>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</si>
  <si>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</si>
  <si>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</si>
  <si>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</si>
  <si>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</si>
  <si>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</si>
  <si>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</si>
  <si>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</si>
  <si>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</si>
  <si>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</si>
  <si>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</si>
  <si>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</si>
  <si>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</si>
  <si>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</si>
  <si>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</si>
  <si>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</si>
  <si>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</si>
  <si>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</si>
  <si>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</si>
  <si>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</si>
  <si>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</si>
  <si>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</si>
  <si>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</si>
  <si>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</si>
  <si>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</si>
  <si>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</si>
  <si>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</si>
  <si>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</si>
  <si>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</si>
  <si>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</si>
  <si>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</si>
  <si>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</si>
  <si>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</si>
  <si>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</si>
  <si>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</si>
  <si>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</si>
  <si>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</si>
  <si>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</si>
  <si>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</si>
  <si>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</si>
  <si>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</si>
  <si>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</si>
  <si>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</si>
  <si>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</si>
  <si>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</si>
  <si>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</si>
  <si>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</si>
  <si>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</si>
  <si>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</si>
  <si>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</si>
  <si>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</si>
  <si>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</si>
  <si>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</si>
  <si>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</si>
  <si>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</si>
  <si>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</si>
  <si>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</si>
  <si>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</si>
  <si>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</si>
  <si>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</si>
  <si>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</si>
  <si>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</si>
  <si>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</si>
  <si>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</si>
  <si>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</si>
  <si>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</si>
  <si>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</si>
  <si>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</si>
  <si>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</si>
  <si>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</si>
  <si>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</si>
  <si>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</si>
  <si>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</si>
  <si>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</si>
  <si>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</si>
  <si>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</si>
  <si>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</si>
  <si>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</si>
  <si>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</si>
  <si>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</si>
  <si>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</si>
  <si>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</si>
  <si>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</si>
  <si>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</si>
  <si>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</si>
  <si>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</si>
  <si>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</si>
  <si>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</si>
  <si>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</si>
  <si>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</si>
  <si>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</si>
  <si>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</si>
  <si>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</si>
  <si>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</si>
  <si>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</si>
  <si>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</si>
  <si>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</si>
  <si>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</si>
  <si>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</si>
  <si>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</si>
  <si>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</si>
  <si>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</si>
  <si>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</si>
  <si>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</si>
  <si>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</si>
  <si>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</si>
  <si>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</si>
  <si>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</si>
  <si>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</si>
  <si>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</si>
  <si>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</si>
  <si>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</si>
  <si>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</si>
  <si>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</si>
  <si>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</si>
  <si>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</si>
  <si>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</si>
  <si>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</si>
  <si>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</si>
  <si>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</si>
  <si>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</si>
  <si>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</si>
  <si>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</si>
  <si>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</si>
  <si>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</si>
  <si>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</si>
  <si>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</si>
  <si>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</si>
  <si>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</si>
  <si>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</si>
  <si>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</si>
  <si>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</si>
  <si>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</si>
  <si>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</si>
  <si>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</si>
  <si>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</si>
  <si>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</si>
  <si>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</si>
  <si>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</si>
  <si>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</si>
  <si>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</si>
  <si>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</si>
  <si>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</si>
  <si>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</si>
  <si>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</si>
  <si>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</si>
  <si>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</si>
  <si>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</si>
  <si>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</si>
  <si>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</si>
  <si>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</si>
  <si>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</si>
  <si>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</si>
  <si>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</si>
  <si>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</si>
  <si>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</si>
  <si>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</si>
  <si>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</si>
  <si>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</si>
  <si>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</si>
  <si>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</si>
  <si>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</si>
  <si>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</si>
  <si>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</si>
  <si>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</si>
  <si>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</si>
  <si>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</si>
  <si>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</si>
  <si>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</si>
  <si>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</si>
  <si>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</si>
  <si>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</si>
  <si>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</si>
  <si>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</si>
  <si>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</si>
  <si>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</si>
  <si>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</si>
  <si>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</si>
  <si>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</si>
  <si>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</si>
  <si>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</si>
  <si>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</si>
  <si>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</si>
  <si>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</si>
  <si>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</si>
  <si>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</si>
  <si>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</si>
  <si>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</si>
  <si>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</si>
  <si>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</si>
  <si>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</si>
  <si>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</si>
  <si>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</si>
  <si>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</si>
  <si>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</si>
  <si>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</si>
  <si>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</si>
  <si>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</si>
  <si>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</si>
  <si>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</si>
  <si>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</si>
  <si>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</si>
  <si>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</si>
  <si>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</si>
  <si>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</si>
  <si>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</si>
  <si>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</si>
  <si>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</si>
  <si>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</si>
  <si>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</si>
  <si>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</si>
  <si>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</si>
  <si>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</si>
  <si>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</si>
  <si>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</si>
  <si>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</si>
  <si>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</si>
  <si>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</si>
  <si>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</si>
  <si>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</si>
  <si>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</si>
  <si>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</si>
  <si>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</si>
  <si>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</si>
  <si>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</si>
  <si>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</si>
  <si>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</si>
  <si>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</si>
  <si>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</si>
  <si>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</si>
  <si>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</si>
  <si>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</si>
  <si>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</si>
  <si>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</si>
  <si>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</si>
  <si>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</si>
  <si>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</si>
  <si>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</si>
  <si>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</si>
  <si>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</si>
  <si>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</si>
  <si>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</si>
  <si>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</si>
  <si>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</si>
  <si>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Estimated Pre-tax ROI</t>
  </si>
  <si>
    <t>2023 Current Baseline ($MM)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</si>
  <si>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</si>
  <si>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</si>
  <si>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</si>
  <si>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</si>
  <si>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</si>
  <si>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</si>
  <si>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</si>
  <si>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</si>
  <si>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</si>
  <si>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</si>
  <si>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</si>
  <si>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</si>
  <si>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TOTAL WITHOUT TV</t>
  </si>
  <si>
    <t>10% reduction optimal ($30M)</t>
  </si>
  <si>
    <t>20% reduction optimal ($29M)</t>
  </si>
  <si>
    <t>10% increase optimal ($34M)</t>
  </si>
  <si>
    <t>20% increase optimal ($36M)</t>
  </si>
  <si>
    <t>Optimal channel spend allowed to vary between +/- 30% of the 2023 channel spend  except Linear TV</t>
  </si>
  <si>
    <t>+$15(6.1%)</t>
  </si>
  <si>
    <t>+$3(1.1%)</t>
  </si>
  <si>
    <t>-$13(-5.1%)</t>
  </si>
  <si>
    <t>+$24(9.5%)</t>
  </si>
  <si>
    <t>+$30(12.3%)</t>
  </si>
  <si>
    <t>GSTRV</t>
  </si>
  <si>
    <t>2023 Estimated Pre-Tax NPV ($MM)</t>
  </si>
  <si>
    <t>Δ Pre-tax Revenue w.r.t 2023 Current baseline</t>
  </si>
  <si>
    <t>Gardasil Adolescent</t>
  </si>
  <si>
    <t xml:space="preserve">2023 Estimated pre-tax Incr. Doses </t>
  </si>
  <si>
    <t>2023 pre-tax Spend ($MM)</t>
  </si>
  <si>
    <t>Minimum spend</t>
  </si>
  <si>
    <t>Maximum Spend</t>
  </si>
  <si>
    <t>Current optimal ($32MM)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</si>
</sst>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0.0,,\ 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9.5"/>
      <color theme="1"/>
      <name val="Arial"/>
      <family val="2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2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70" fontId="0" fillId="0" borderId="100" xfId="4" applyNumberFormat="1" applyFont="1" applyFill="1" applyBorder="1" applyAlignment="1">
      <alignment horizontal="center" vertical="center"/>
    </xf>
    <xf numFmtId="0" fontId="41" fillId="0" borderId="0" xfId="0" applyFont="1"/>
    <xf numFmtId="173" fontId="43" fillId="0" borderId="42" xfId="0" applyNumberFormat="1" applyFont="1" applyBorder="1" applyAlignment="1">
      <alignment horizontal="center" vertical="center"/>
    </xf>
    <xf numFmtId="2" fontId="42" fillId="0" borderId="101" xfId="3" applyNumberFormat="1" applyFont="1" applyBorder="1" applyAlignment="1">
      <alignment horizontal="center" vertical="center"/>
    </xf>
    <xf numFmtId="0" fontId="44" fillId="47" borderId="47" xfId="0" applyFont="1" applyFill="1" applyBorder="1" applyAlignment="1">
      <alignment horizontal="center" vertical="center" wrapText="1"/>
    </xf>
    <xf numFmtId="0" fontId="44" fillId="47" borderId="48" xfId="0" applyFont="1" applyFill="1" applyBorder="1" applyAlignment="1">
      <alignment horizontal="center" vertical="center" wrapText="1"/>
    </xf>
    <xf numFmtId="0" fontId="44" fillId="47" borderId="49" xfId="0" applyFont="1" applyFill="1" applyBorder="1" applyAlignment="1">
      <alignment horizontal="center" vertical="center" wrapText="1"/>
    </xf>
    <xf numFmtId="174" fontId="42" fillId="0" borderId="0" xfId="0" applyNumberFormat="1" applyFont="1" applyBorder="1" applyAlignment="1">
      <alignment horizontal="center" vertical="center"/>
    </xf>
    <xf numFmtId="174" fontId="42" fillId="0" borderId="48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0" fontId="47" fillId="0" borderId="0" xfId="0" applyFont="1"/>
    <xf numFmtId="0" fontId="48" fillId="0" borderId="0" xfId="0" applyFont="1" applyFill="1" applyAlignment="1">
      <alignment horizontal="center"/>
    </xf>
    <xf numFmtId="0" fontId="47" fillId="0" borderId="70" xfId="0" applyFont="1" applyBorder="1" applyAlignment="1">
      <alignment horizontal="left" vertical="center" wrapText="1" indent="1"/>
    </xf>
    <xf numFmtId="0" fontId="47" fillId="0" borderId="70" xfId="0" applyFont="1" applyBorder="1" applyAlignment="1">
      <alignment horizontal="center" vertical="center"/>
    </xf>
    <xf numFmtId="0" fontId="47" fillId="0" borderId="70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78" xfId="0" applyFont="1" applyBorder="1" applyAlignment="1">
      <alignment horizontal="center" vertical="center" wrapText="1"/>
    </xf>
    <xf numFmtId="0" fontId="47" fillId="0" borderId="79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9" fillId="0" borderId="71" xfId="0" applyFont="1" applyBorder="1" applyAlignment="1">
      <alignment horizontal="left" vertical="center" indent="1"/>
    </xf>
    <xf numFmtId="170" fontId="49" fillId="0" borderId="80" xfId="4" applyNumberFormat="1" applyFont="1" applyBorder="1" applyAlignment="1">
      <alignment horizontal="center" vertical="center"/>
    </xf>
    <xf numFmtId="166" fontId="49" fillId="0" borderId="0" xfId="4" applyNumberFormat="1" applyFont="1" applyAlignment="1">
      <alignment horizontal="center" vertical="center"/>
    </xf>
    <xf numFmtId="170" fontId="49" fillId="0" borderId="82" xfId="4" applyNumberFormat="1" applyFont="1" applyBorder="1" applyAlignment="1">
      <alignment horizontal="center" vertical="center"/>
    </xf>
    <xf numFmtId="9" fontId="49" fillId="0" borderId="80" xfId="3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0" xfId="0" applyFont="1"/>
    <xf numFmtId="170" fontId="49" fillId="0" borderId="83" xfId="4" applyNumberFormat="1" applyFont="1" applyBorder="1" applyAlignment="1">
      <alignment horizontal="center" vertical="center"/>
    </xf>
    <xf numFmtId="170" fontId="49" fillId="0" borderId="84" xfId="4" applyNumberFormat="1" applyFont="1" applyBorder="1" applyAlignment="1">
      <alignment horizontal="center" vertical="center"/>
    </xf>
    <xf numFmtId="170" fontId="49" fillId="0" borderId="86" xfId="4" applyNumberFormat="1" applyFont="1" applyBorder="1" applyAlignment="1">
      <alignment horizontal="center" vertical="center"/>
    </xf>
    <xf numFmtId="9" fontId="49" fillId="0" borderId="84" xfId="3" applyFont="1" applyBorder="1" applyAlignment="1">
      <alignment horizontal="center" vertical="center"/>
    </xf>
    <xf numFmtId="170" fontId="49" fillId="0" borderId="87" xfId="4" applyNumberFormat="1" applyFont="1" applyBorder="1" applyAlignment="1">
      <alignment horizontal="center" vertical="center"/>
    </xf>
    <xf numFmtId="170" fontId="47" fillId="48" borderId="89" xfId="0" applyNumberFormat="1" applyFont="1" applyFill="1" applyBorder="1" applyAlignment="1">
      <alignment horizontal="center" vertical="center"/>
    </xf>
    <xf numFmtId="170" fontId="47" fillId="48" borderId="91" xfId="4" applyNumberFormat="1" applyFont="1" applyFill="1" applyBorder="1" applyAlignment="1">
      <alignment horizontal="center" vertical="center" wrapText="1"/>
    </xf>
    <xf numFmtId="9" fontId="47" fillId="48" borderId="92" xfId="3" applyFont="1" applyFill="1" applyBorder="1" applyAlignment="1">
      <alignment horizontal="center" vertical="center"/>
    </xf>
    <xf numFmtId="170" fontId="47" fillId="48" borderId="93" xfId="4" applyNumberFormat="1" applyFont="1" applyFill="1" applyBorder="1" applyAlignment="1">
      <alignment horizontal="center" vertical="center" wrapText="1"/>
    </xf>
    <xf numFmtId="0" fontId="50" fillId="0" borderId="0" xfId="0" applyFont="1"/>
    <xf numFmtId="170" fontId="47" fillId="48" borderId="90" xfId="0" applyNumberFormat="1" applyFont="1" applyFill="1" applyBorder="1" applyAlignment="1">
      <alignment horizontal="center" vertical="center"/>
    </xf>
    <xf numFmtId="166" fontId="51" fillId="48" borderId="93" xfId="4" quotePrefix="1" applyNumberFormat="1" applyFont="1" applyFill="1" applyBorder="1" applyAlignment="1">
      <alignment horizontal="center" vertical="center" wrapText="1"/>
    </xf>
    <xf numFmtId="166" fontId="51" fillId="48" borderId="93" xfId="4" quotePrefix="1" applyNumberFormat="1" applyFont="1" applyFill="1" applyBorder="1" applyAlignment="1">
      <alignment horizontal="center" vertical="center"/>
    </xf>
    <xf numFmtId="166" fontId="52" fillId="48" borderId="93" xfId="4" quotePrefix="1" applyNumberFormat="1" applyFont="1" applyFill="1" applyBorder="1" applyAlignment="1">
      <alignment horizontal="center" vertical="center"/>
    </xf>
    <xf numFmtId="170" fontId="49" fillId="0" borderId="81" xfId="4" applyNumberFormat="1" applyFont="1" applyBorder="1" applyAlignment="1">
      <alignment horizontal="center" vertical="center"/>
    </xf>
    <xf numFmtId="170" fontId="49" fillId="0" borderId="85" xfId="4" applyNumberFormat="1" applyFont="1" applyBorder="1" applyAlignment="1">
      <alignment horizontal="center" vertical="center"/>
    </xf>
    <xf numFmtId="0" fontId="47" fillId="48" borderId="88" xfId="0" applyFont="1" applyFill="1" applyBorder="1" applyAlignment="1">
      <alignment horizontal="left" vertical="center" wrapText="1" indent="1"/>
    </xf>
    <xf numFmtId="174" fontId="45" fillId="0" borderId="42" xfId="0" applyNumberFormat="1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6" fillId="0" borderId="41" xfId="0" applyFont="1" applyBorder="1" applyAlignment="1">
      <alignment horizontal="left" vertical="center"/>
    </xf>
    <xf numFmtId="0" fontId="46" fillId="0" borderId="42" xfId="0" applyFont="1" applyFill="1" applyBorder="1" applyAlignment="1">
      <alignment horizontal="left" vertical="center"/>
    </xf>
    <xf numFmtId="3" fontId="46" fillId="0" borderId="42" xfId="0" applyNumberFormat="1" applyFont="1" applyBorder="1" applyAlignment="1">
      <alignment horizontal="center" vertical="center"/>
    </xf>
    <xf numFmtId="169" fontId="46" fillId="0" borderId="42" xfId="0" applyNumberFormat="1" applyFont="1" applyBorder="1" applyAlignment="1">
      <alignment horizontal="center" vertical="center"/>
    </xf>
    <xf numFmtId="171" fontId="46" fillId="0" borderId="42" xfId="0" applyNumberFormat="1" applyFont="1" applyBorder="1" applyAlignment="1">
      <alignment horizontal="center" vertical="center"/>
    </xf>
    <xf numFmtId="166" fontId="46" fillId="0" borderId="42" xfId="4" applyNumberFormat="1" applyFont="1" applyBorder="1" applyAlignment="1">
      <alignment horizontal="center" vertical="center"/>
    </xf>
    <xf numFmtId="172" fontId="46" fillId="0" borderId="13" xfId="0" applyNumberFormat="1" applyFont="1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50" fillId="0" borderId="70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0" fillId="0" borderId="70" xfId="0" applyFont="1" applyBorder="1" applyAlignment="1">
      <alignment horizontal="left" vertical="center" wrapText="1" indent="1"/>
    </xf>
    <xf numFmtId="170" fontId="50" fillId="0" borderId="70" xfId="0" applyNumberFormat="1" applyFont="1" applyBorder="1" applyAlignment="1">
      <alignment horizontal="center" vertical="center"/>
    </xf>
    <xf numFmtId="170" fontId="50" fillId="0" borderId="103" xfId="0" applyNumberFormat="1" applyFont="1" applyBorder="1" applyAlignment="1">
      <alignment horizontal="center" vertical="center"/>
    </xf>
    <xf numFmtId="170" fontId="50" fillId="0" borderId="82" xfId="4" applyNumberFormat="1" applyFont="1" applyBorder="1" applyAlignment="1">
      <alignment horizontal="center" vertical="center"/>
    </xf>
    <xf numFmtId="9" fontId="50" fillId="0" borderId="80" xfId="3" applyFont="1" applyBorder="1" applyAlignment="1">
      <alignment horizontal="center" vertical="center"/>
    </xf>
    <xf numFmtId="0" fontId="50" fillId="0" borderId="71" xfId="0" applyFont="1" applyBorder="1" applyAlignment="1">
      <alignment horizontal="left" vertical="center" indent="1"/>
    </xf>
    <xf numFmtId="170" fontId="50" fillId="0" borderId="0" xfId="0" applyNumberFormat="1" applyFont="1" applyAlignment="1">
      <alignment horizontal="center" vertical="center"/>
    </xf>
    <xf numFmtId="166" fontId="47" fillId="48" borderId="89" xfId="0" applyNumberFormat="1" applyFont="1" applyFill="1" applyBorder="1" applyAlignment="1">
      <alignment horizontal="center" vertical="center"/>
    </xf>
    <xf numFmtId="166" fontId="47" fillId="48" borderId="91" xfId="4" applyNumberFormat="1" applyFont="1" applyFill="1" applyBorder="1" applyAlignment="1">
      <alignment horizontal="center" vertical="center" wrapText="1"/>
    </xf>
    <xf numFmtId="166" fontId="1" fillId="49" borderId="37" xfId="4" applyNumberFormat="1" applyFont="1" applyFill="1" applyBorder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0" fillId="0" borderId="73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50" fillId="0" borderId="74" xfId="0" applyFont="1" applyBorder="1" applyAlignment="1">
      <alignment horizontal="center" vertical="center"/>
    </xf>
    <xf numFmtId="0" fontId="48" fillId="47" borderId="67" xfId="0" applyFont="1" applyFill="1" applyBorder="1" applyAlignment="1">
      <alignment horizontal="center" vertical="center"/>
    </xf>
    <xf numFmtId="0" fontId="48" fillId="47" borderId="68" xfId="0" applyFont="1" applyFill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48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47" fillId="0" borderId="73" xfId="0" applyFont="1" applyBorder="1" applyAlignment="1">
      <alignment horizontal="center" vertical="center" wrapText="1"/>
    </xf>
    <xf numFmtId="0" fontId="47" fillId="0" borderId="74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36035901.725355089</c:v>
                </c:pt>
                <c:pt idx="1">
                  <c:v>34158203.662121654</c:v>
                </c:pt>
                <c:pt idx="2">
                  <c:v>32280505.600000001</c:v>
                </c:pt>
                <c:pt idx="3">
                  <c:v>30402807.5499276</c:v>
                </c:pt>
                <c:pt idx="4">
                  <c:v>28525109.484704621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273241284.28609532</c:v>
                </c:pt>
                <c:pt idx="1">
                  <c:v>266331464.02262783</c:v>
                </c:pt>
                <c:pt idx="2">
                  <c:v>258085927.57357416</c:v>
                </c:pt>
                <c:pt idx="3">
                  <c:v>245887450.49787</c:v>
                </c:pt>
                <c:pt idx="4">
                  <c:v>230759769.4221988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36035901.725355089</c:v>
                </c:pt>
                <c:pt idx="1">
                  <c:v>34158203.662121654</c:v>
                </c:pt>
                <c:pt idx="2">
                  <c:v>32280505.600000001</c:v>
                </c:pt>
                <c:pt idx="3">
                  <c:v>30402807.5499276</c:v>
                </c:pt>
                <c:pt idx="4">
                  <c:v>28525109.484704621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1228705.0999999999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26262.427318379283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6974984.7570000011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334480.28078193869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1868162.933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82600.094379775124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225000.022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8989.8273410275578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2142864.5810000002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126447.32566596754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1666468.7252945821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66420.003636956317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4326087.5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112696.05412018712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1.2287050999999998</c:v>
                </c:pt>
                <c:pt idx="1">
                  <c:v>1.2287050999999998</c:v>
                </c:pt>
                <c:pt idx="2">
                  <c:v>1.2287050999999998</c:v>
                </c:pt>
                <c:pt idx="3">
                  <c:v>1.2287050999999998</c:v>
                </c:pt>
                <c:pt idx="4">
                  <c:v>1.2287050999999998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6.9749847570000014</c:v>
                </c:pt>
                <c:pt idx="1">
                  <c:v>6.9749847570000014</c:v>
                </c:pt>
                <c:pt idx="2">
                  <c:v>6.9749847570000014</c:v>
                </c:pt>
                <c:pt idx="3">
                  <c:v>6.9749847570000014</c:v>
                </c:pt>
                <c:pt idx="4">
                  <c:v>6.9749847570000014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1.666468725294582</c:v>
                </c:pt>
                <c:pt idx="1">
                  <c:v>1.666468725294582</c:v>
                </c:pt>
                <c:pt idx="2">
                  <c:v>1.666468725294582</c:v>
                </c:pt>
                <c:pt idx="3">
                  <c:v>1.666468725294582</c:v>
                </c:pt>
                <c:pt idx="4">
                  <c:v>1.666468725294582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0.22500002199999999</c:v>
                </c:pt>
                <c:pt idx="1">
                  <c:v>0.22500002199999999</c:v>
                </c:pt>
                <c:pt idx="2">
                  <c:v>0.22500002199999999</c:v>
                </c:pt>
                <c:pt idx="3">
                  <c:v>0.22500002199999999</c:v>
                </c:pt>
                <c:pt idx="4">
                  <c:v>0.22500002199999999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4.3260874999999999</c:v>
                </c:pt>
                <c:pt idx="1">
                  <c:v>4.3260874999999999</c:v>
                </c:pt>
                <c:pt idx="2">
                  <c:v>4.3260874999999999</c:v>
                </c:pt>
                <c:pt idx="3">
                  <c:v>4.3260874999999999</c:v>
                </c:pt>
                <c:pt idx="4">
                  <c:v>4.3260874999999999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2.1428645810000004</c:v>
                </c:pt>
                <c:pt idx="1">
                  <c:v>2.1428645810000004</c:v>
                </c:pt>
                <c:pt idx="2">
                  <c:v>2.1428645810000004</c:v>
                </c:pt>
                <c:pt idx="3">
                  <c:v>2.1428645810000004</c:v>
                </c:pt>
                <c:pt idx="4">
                  <c:v>2.1428645810000004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0.34470699999999999</c:v>
                </c:pt>
                <c:pt idx="1">
                  <c:v>0.34470699999999999</c:v>
                </c:pt>
                <c:pt idx="2">
                  <c:v>0.34470699999999999</c:v>
                </c:pt>
                <c:pt idx="3">
                  <c:v>0.34470699999999999</c:v>
                </c:pt>
                <c:pt idx="4">
                  <c:v>0.34470699999999999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1.868162933</c:v>
                </c:pt>
                <c:pt idx="1">
                  <c:v>1.868162933</c:v>
                </c:pt>
                <c:pt idx="2">
                  <c:v>1.868162933</c:v>
                </c:pt>
                <c:pt idx="3">
                  <c:v>1.868162933</c:v>
                </c:pt>
                <c:pt idx="4">
                  <c:v>1.868162933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Radio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14</xdr:row>
      <xdr:rowOff>2116</xdr:rowOff>
    </xdr:from>
    <xdr:to>
      <xdr:col>20</xdr:col>
      <xdr:colOff>87983</xdr:colOff>
      <xdr:row>29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3"/>
  <sheetViews>
    <sheetView zoomScale="75" zoomScaleNormal="75" workbookViewId="0">
      <selection activeCell="C7" sqref="C7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427" t="s">
        <v>200</v>
      </c>
      <c r="H4" s="427"/>
      <c r="I4" s="428" t="s">
        <v>201</v>
      </c>
      <c r="J4" s="428"/>
      <c r="K4" s="429" t="s">
        <v>202</v>
      </c>
      <c r="L4" s="429"/>
    </row>
    <row r="5" spans="2:13" ht="38.65" customHeight="1" x14ac:dyDescent="0.25">
      <c r="B5" s="197"/>
      <c r="C5" s="271" t="s">
        <v>203</v>
      </c>
      <c r="D5" s="271" t="s">
        <v>204</v>
      </c>
      <c r="E5" s="181" t="s">
        <v>205</v>
      </c>
      <c r="F5" s="271" t="s">
        <v>274</v>
      </c>
      <c r="G5" s="292" t="s">
        <v>247</v>
      </c>
      <c r="H5" s="292"/>
      <c r="I5" s="292" t="s">
        <v>247</v>
      </c>
      <c r="J5" s="292"/>
      <c r="K5" s="292" t="s">
        <v>247</v>
      </c>
      <c r="L5" s="292"/>
      <c r="M5" s="293"/>
    </row>
    <row r="6" spans="2:13" x14ac:dyDescent="0.25">
      <c r="C6" s="183">
        <f>'Scenario deep dive'!V16</f>
        <v>36035901.725355089</v>
      </c>
      <c r="D6" s="184">
        <v>0.2</v>
      </c>
      <c r="E6" s="185">
        <f>D6*$C$8</f>
        <v>6456101.120000001</v>
      </c>
      <c r="F6" s="183"/>
      <c r="G6" s="183">
        <f>'Scenario deep dive'!X16</f>
        <v>273241284.28609532</v>
      </c>
      <c r="H6" s="183"/>
      <c r="I6" s="183">
        <f t="shared" ref="I6:J10" si="0">G6-$F$8</f>
        <v>24885523.941670537</v>
      </c>
      <c r="J6" s="183">
        <f t="shared" si="0"/>
        <v>-248355760.34442478</v>
      </c>
      <c r="K6" s="186">
        <f t="shared" ref="K6:L10" si="1">G6/$C6</f>
        <v>7.5824738997398535</v>
      </c>
      <c r="L6" s="186">
        <f t="shared" si="1"/>
        <v>0</v>
      </c>
    </row>
    <row r="7" spans="2:13" x14ac:dyDescent="0.25">
      <c r="C7" s="183">
        <f>'Scenario deep dive'!R16</f>
        <v>34158203.662121654</v>
      </c>
      <c r="D7" s="184">
        <v>0.1</v>
      </c>
      <c r="E7" s="185">
        <f>D7*$C$8</f>
        <v>3228050.5600000005</v>
      </c>
      <c r="F7" s="183"/>
      <c r="G7" s="183">
        <f>'Scenario deep dive'!T16</f>
        <v>266331464.02262783</v>
      </c>
      <c r="H7" s="187"/>
      <c r="I7" s="183">
        <f t="shared" si="0"/>
        <v>17975703.678203046</v>
      </c>
      <c r="J7" s="183">
        <f t="shared" si="0"/>
        <v>-248355760.34442478</v>
      </c>
      <c r="K7" s="186">
        <f t="shared" si="1"/>
        <v>7.7969985382447158</v>
      </c>
      <c r="L7" s="186">
        <f t="shared" si="1"/>
        <v>0</v>
      </c>
    </row>
    <row r="8" spans="2:13" x14ac:dyDescent="0.25">
      <c r="B8" s="188">
        <f>F8/C8</f>
        <v>7.6936762831999994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248355760.34442478</v>
      </c>
      <c r="G8" s="183">
        <f>'Scenario deep dive'!H16</f>
        <v>258085927.57357416</v>
      </c>
      <c r="H8" s="183"/>
      <c r="I8" s="183">
        <f t="shared" si="0"/>
        <v>9730167.2291493714</v>
      </c>
      <c r="J8" s="183">
        <f t="shared" si="0"/>
        <v>-248355760.34442478</v>
      </c>
      <c r="K8" s="186">
        <f t="shared" si="1"/>
        <v>7.9951017735476286</v>
      </c>
      <c r="L8" s="186">
        <f t="shared" si="1"/>
        <v>0</v>
      </c>
    </row>
    <row r="9" spans="2:13" x14ac:dyDescent="0.25">
      <c r="C9" s="183">
        <f>'Scenario deep dive'!J16</f>
        <v>30402807.5499276</v>
      </c>
      <c r="D9" s="184">
        <v>-0.1</v>
      </c>
      <c r="E9" s="185">
        <f>D9*$C$8</f>
        <v>-3228050.5600000005</v>
      </c>
      <c r="F9" s="183"/>
      <c r="G9" s="183">
        <f>'Scenario deep dive'!L16</f>
        <v>245887450.49787</v>
      </c>
      <c r="H9" s="183"/>
      <c r="I9" s="183">
        <f t="shared" si="0"/>
        <v>-2468309.846554786</v>
      </c>
      <c r="J9" s="183">
        <f t="shared" si="0"/>
        <v>-248355760.34442478</v>
      </c>
      <c r="K9" s="186">
        <f t="shared" si="1"/>
        <v>8.0876560526218757</v>
      </c>
      <c r="L9" s="186">
        <f t="shared" si="1"/>
        <v>0</v>
      </c>
    </row>
    <row r="10" spans="2:13" x14ac:dyDescent="0.25">
      <c r="C10" s="183">
        <f>'Scenario deep dive'!N16</f>
        <v>28525109.484704621</v>
      </c>
      <c r="D10" s="184">
        <v>-0.2</v>
      </c>
      <c r="E10" s="185">
        <f>D10*$C$8</f>
        <v>-6456101.120000001</v>
      </c>
      <c r="F10" s="183"/>
      <c r="G10" s="183">
        <f>'Scenario deep dive'!P16</f>
        <v>230759769.4221988</v>
      </c>
      <c r="H10" s="183"/>
      <c r="I10" s="183">
        <f t="shared" si="0"/>
        <v>-17595990.922225982</v>
      </c>
      <c r="J10" s="183">
        <f t="shared" si="0"/>
        <v>-248355760.34442478</v>
      </c>
      <c r="K10" s="186">
        <f t="shared" si="1"/>
        <v>8.0897067037002586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430" t="s">
        <v>206</v>
      </c>
      <c r="G13" s="430"/>
      <c r="H13" s="430" t="s">
        <v>207</v>
      </c>
      <c r="I13" s="430"/>
    </row>
    <row r="14" spans="2:13" x14ac:dyDescent="0.25">
      <c r="C14" s="180" t="s">
        <v>203</v>
      </c>
      <c r="D14" s="180" t="s">
        <v>204</v>
      </c>
      <c r="E14" s="97" t="s">
        <v>208</v>
      </c>
      <c r="F14" s="292" t="s">
        <v>247</v>
      </c>
      <c r="G14" s="182"/>
      <c r="H14" s="292" t="s">
        <v>247</v>
      </c>
      <c r="I14" s="182"/>
    </row>
    <row r="15" spans="2:13" x14ac:dyDescent="0.25">
      <c r="C15" s="190">
        <f t="shared" ref="C15:D19" si="2">C6</f>
        <v>36035901.725355089</v>
      </c>
      <c r="D15" s="191">
        <f t="shared" si="2"/>
        <v>0.2</v>
      </c>
      <c r="E15" s="190">
        <f>C15-C16</f>
        <v>1877698.0632334352</v>
      </c>
      <c r="F15" s="192">
        <f t="shared" ref="F15:G18" si="3">G6-G7</f>
        <v>6909820.2634674907</v>
      </c>
      <c r="G15" s="192">
        <f>H6-H7</f>
        <v>0</v>
      </c>
      <c r="H15" s="186">
        <f t="shared" ref="H15:I18" si="4">F15/$E15</f>
        <v>3.6799421583087946</v>
      </c>
      <c r="I15" s="186">
        <f t="shared" si="4"/>
        <v>0</v>
      </c>
    </row>
    <row r="16" spans="2:13" x14ac:dyDescent="0.25">
      <c r="C16" s="190">
        <f t="shared" si="2"/>
        <v>34158203.662121654</v>
      </c>
      <c r="D16" s="191">
        <f t="shared" si="2"/>
        <v>0.1</v>
      </c>
      <c r="E16" s="190">
        <f>C16-C17</f>
        <v>1877698.0621216521</v>
      </c>
      <c r="F16" s="192">
        <f>G7-G8</f>
        <v>8245536.4490536749</v>
      </c>
      <c r="G16" s="192">
        <f t="shared" si="3"/>
        <v>0</v>
      </c>
      <c r="H16" s="186">
        <f>F16/$E16</f>
        <v>4.3913005053309071</v>
      </c>
      <c r="I16" s="186">
        <f t="shared" si="4"/>
        <v>0</v>
      </c>
    </row>
    <row r="17" spans="3:9" x14ac:dyDescent="0.25">
      <c r="C17" s="190">
        <f t="shared" si="2"/>
        <v>32280505.600000001</v>
      </c>
      <c r="D17" s="191">
        <f t="shared" si="2"/>
        <v>0</v>
      </c>
      <c r="E17" s="190">
        <f>C17-C18</f>
        <v>1877698.0500724018</v>
      </c>
      <c r="F17" s="192">
        <f>G8-G9</f>
        <v>12198477.075704157</v>
      </c>
      <c r="G17" s="192">
        <f t="shared" si="3"/>
        <v>0</v>
      </c>
      <c r="H17" s="186">
        <f>F17/$E17</f>
        <v>6.4965062275235352</v>
      </c>
      <c r="I17" s="186">
        <f t="shared" si="4"/>
        <v>0</v>
      </c>
    </row>
    <row r="18" spans="3:9" x14ac:dyDescent="0.25">
      <c r="C18" s="190">
        <f t="shared" si="2"/>
        <v>30402807.5499276</v>
      </c>
      <c r="D18" s="191">
        <f t="shared" si="2"/>
        <v>-0.1</v>
      </c>
      <c r="E18" s="190">
        <f>C18-C19</f>
        <v>1877698.0652229786</v>
      </c>
      <c r="F18" s="192">
        <f t="shared" si="3"/>
        <v>15127681.075671196</v>
      </c>
      <c r="G18" s="192">
        <f t="shared" si="3"/>
        <v>0</v>
      </c>
      <c r="H18" s="186">
        <f t="shared" si="4"/>
        <v>8.0565035219732035</v>
      </c>
      <c r="I18" s="186">
        <f t="shared" si="4"/>
        <v>0</v>
      </c>
    </row>
    <row r="19" spans="3:9" x14ac:dyDescent="0.25">
      <c r="C19" s="190">
        <f t="shared" si="2"/>
        <v>28525109.484704621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T15" sqref="T15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7359-CAD4-43FF-B805-E3FA1795751D}">
  <dimension ref="C2:I13"/>
  <sheetViews>
    <sheetView showGridLines="0" workbookViewId="0">
      <selection activeCell="F15" sqref="F15"/>
    </sheetView>
  </sheetViews>
  <sheetFormatPr defaultRowHeight="15" x14ac:dyDescent="0.25"/>
  <cols>
    <col min="1" max="2" width="9.140625" style="97"/>
    <col min="3" max="3" width="21" style="97" customWidth="1"/>
    <col min="4" max="4" width="11.7109375" style="97" bestFit="1" customWidth="1"/>
    <col min="5" max="5" width="9.7109375" style="97" customWidth="1"/>
    <col min="6" max="6" width="10.85546875" style="97" customWidth="1"/>
    <col min="7" max="7" width="0.7109375" style="97" customWidth="1"/>
    <col min="8" max="8" width="12" style="97" customWidth="1"/>
    <col min="9" max="9" width="12.5703125" style="97" customWidth="1"/>
    <col min="10" max="16384" width="9.140625" style="97"/>
  </cols>
  <sheetData>
    <row r="2" spans="3:9" ht="15" customHeight="1" x14ac:dyDescent="0.25">
      <c r="C2" s="385"/>
      <c r="D2" s="431" t="s">
        <v>270</v>
      </c>
      <c r="E2" s="432"/>
      <c r="F2" s="433"/>
      <c r="G2" s="360"/>
      <c r="H2" s="434" t="s">
        <v>302</v>
      </c>
      <c r="I2" s="435"/>
    </row>
    <row r="3" spans="3:9" ht="25.5" x14ac:dyDescent="0.25">
      <c r="C3" s="413" t="s">
        <v>211</v>
      </c>
      <c r="D3" s="413" t="s">
        <v>218</v>
      </c>
      <c r="E3" s="414" t="s">
        <v>300</v>
      </c>
      <c r="F3" s="415" t="s">
        <v>301</v>
      </c>
      <c r="G3" s="415"/>
      <c r="H3" s="416" t="s">
        <v>221</v>
      </c>
      <c r="I3" s="414" t="s">
        <v>214</v>
      </c>
    </row>
    <row r="4" spans="3:9" x14ac:dyDescent="0.25">
      <c r="C4" s="417" t="s">
        <v>224</v>
      </c>
      <c r="D4" s="418">
        <v>1.755293</v>
      </c>
      <c r="E4" s="418">
        <f>VAC_Optim_Scenario!G17/1000000</f>
        <v>1.2287050999999998</v>
      </c>
      <c r="F4" s="418">
        <f>VAC_Optim_Scenario!H17/1000000</f>
        <v>2.2818809</v>
      </c>
      <c r="G4" s="419"/>
      <c r="H4" s="420">
        <v>1.2287050999999998</v>
      </c>
      <c r="I4" s="421">
        <f>(H4-D4)/D4</f>
        <v>-0.3000000000000001</v>
      </c>
    </row>
    <row r="5" spans="3:9" x14ac:dyDescent="0.25">
      <c r="C5" s="422" t="s">
        <v>225</v>
      </c>
      <c r="D5" s="418">
        <v>5.3653728900000006</v>
      </c>
      <c r="E5" s="418">
        <f>VAC_Optim_Scenario!G18/1000000</f>
        <v>3.7557610230000003</v>
      </c>
      <c r="F5" s="418">
        <f>VAC_Optim_Scenario!H18/1000000</f>
        <v>6.9749847570000014</v>
      </c>
      <c r="G5" s="423"/>
      <c r="H5" s="420">
        <v>6.9749847570000023</v>
      </c>
      <c r="I5" s="421">
        <f t="shared" ref="I5:I12" si="0">(H5-D5)/D5</f>
        <v>0.30000000000000027</v>
      </c>
    </row>
    <row r="6" spans="3:9" x14ac:dyDescent="0.25">
      <c r="C6" s="422" t="s">
        <v>226</v>
      </c>
      <c r="D6" s="418">
        <v>1.873</v>
      </c>
      <c r="E6" s="418">
        <f>VAC_Optim_Scenario!G19/1000000</f>
        <v>1.3110999999999999</v>
      </c>
      <c r="F6" s="418">
        <f>VAC_Optim_Scenario!H19/1000000</f>
        <v>2.4348999999999998</v>
      </c>
      <c r="G6" s="423"/>
      <c r="H6" s="420">
        <v>1.5630566187892538</v>
      </c>
      <c r="I6" s="421">
        <f t="shared" si="0"/>
        <v>-0.1654796482705532</v>
      </c>
    </row>
    <row r="7" spans="3:9" x14ac:dyDescent="0.25">
      <c r="C7" s="422" t="s">
        <v>244</v>
      </c>
      <c r="D7" s="418">
        <v>0.17307694000000001</v>
      </c>
      <c r="E7" s="418">
        <f>VAC_Optim_Scenario!G20/1000000</f>
        <v>0.12115385799999999</v>
      </c>
      <c r="F7" s="418">
        <f>VAC_Optim_Scenario!H20/1000000</f>
        <v>0.22500002199999999</v>
      </c>
      <c r="G7" s="423"/>
      <c r="H7" s="420">
        <v>0.22500002199999999</v>
      </c>
      <c r="I7" s="421">
        <f t="shared" si="0"/>
        <v>0.29999999999999988</v>
      </c>
    </row>
    <row r="8" spans="3:9" x14ac:dyDescent="0.25">
      <c r="C8" s="422" t="s">
        <v>246</v>
      </c>
      <c r="D8" s="418">
        <v>6.1801250000000003</v>
      </c>
      <c r="E8" s="418">
        <f>VAC_Optim_Scenario!G21/1000000</f>
        <v>4.3260874999999999</v>
      </c>
      <c r="F8" s="418">
        <f>VAC_Optim_Scenario!H21/1000000</f>
        <v>8.0341625000000008</v>
      </c>
      <c r="G8" s="423"/>
      <c r="H8" s="420">
        <v>4.3260874999999999</v>
      </c>
      <c r="I8" s="421">
        <f t="shared" si="0"/>
        <v>-0.30000000000000004</v>
      </c>
    </row>
    <row r="9" spans="3:9" x14ac:dyDescent="0.25">
      <c r="C9" s="422" t="s">
        <v>227</v>
      </c>
      <c r="D9" s="418">
        <v>1.64835737</v>
      </c>
      <c r="E9" s="418">
        <f>VAC_Optim_Scenario!G22/1000000</f>
        <v>1.1538501589999999</v>
      </c>
      <c r="F9" s="418">
        <f>VAC_Optim_Scenario!H22/1000000</f>
        <v>2.1428645810000004</v>
      </c>
      <c r="G9" s="423"/>
      <c r="H9" s="420">
        <v>2.1428645810000004</v>
      </c>
      <c r="I9" s="421">
        <f t="shared" si="0"/>
        <v>0.30000000000000021</v>
      </c>
    </row>
    <row r="10" spans="3:9" x14ac:dyDescent="0.25">
      <c r="C10" s="422" t="s">
        <v>228</v>
      </c>
      <c r="D10" s="418">
        <v>0.34470699999999999</v>
      </c>
      <c r="E10" s="418">
        <f>VAC_Optim_Scenario!G23/1000000</f>
        <v>0.34470699999999999</v>
      </c>
      <c r="F10" s="418">
        <f>VAC_Optim_Scenario!H23/1000000</f>
        <v>0.34470699999999999</v>
      </c>
      <c r="G10" s="423"/>
      <c r="H10" s="420">
        <v>0.44811910000000005</v>
      </c>
      <c r="I10" s="421">
        <f t="shared" si="0"/>
        <v>0.30000000000000021</v>
      </c>
    </row>
    <row r="11" spans="3:9" x14ac:dyDescent="0.25">
      <c r="C11" s="422" t="s">
        <v>190</v>
      </c>
      <c r="D11" s="418">
        <v>1.4370484099999998</v>
      </c>
      <c r="E11" s="418">
        <f>VAC_Optim_Scenario!G24/1000000</f>
        <v>1.0059338869999999</v>
      </c>
      <c r="F11" s="418">
        <f>VAC_Optim_Scenario!H24/1000000</f>
        <v>1.868162933</v>
      </c>
      <c r="G11" s="423"/>
      <c r="H11" s="420">
        <v>1.868162933</v>
      </c>
      <c r="I11" s="421">
        <f t="shared" si="0"/>
        <v>0.30000000000000016</v>
      </c>
    </row>
    <row r="12" spans="3:9" x14ac:dyDescent="0.25">
      <c r="C12" s="422" t="s">
        <v>187</v>
      </c>
      <c r="D12" s="418">
        <v>13.503524990000001</v>
      </c>
      <c r="E12" s="418">
        <f>VAC_Optim_Scenario!G25/1000000</f>
        <v>13.503524990000001</v>
      </c>
      <c r="F12" s="418">
        <f>VAC_Optim_Scenario!H25/1000000</f>
        <v>13.503524990000001</v>
      </c>
      <c r="G12" s="423"/>
      <c r="H12" s="420">
        <v>13.503524990000001</v>
      </c>
      <c r="I12" s="421">
        <f t="shared" si="0"/>
        <v>0</v>
      </c>
    </row>
    <row r="13" spans="3:9" ht="25.5" x14ac:dyDescent="0.25">
      <c r="C13" s="392" t="s">
        <v>217</v>
      </c>
      <c r="D13" s="424">
        <f>SUM(D4:D12)</f>
        <v>32.280505599999998</v>
      </c>
      <c r="E13" s="424">
        <f>SUM(E4:E12)</f>
        <v>26.750823517000001</v>
      </c>
      <c r="F13" s="424">
        <f>SUM(F4:F12)</f>
        <v>37.810187683000002</v>
      </c>
      <c r="G13" s="423"/>
      <c r="H13" s="425">
        <f>SUM(H4:H12)</f>
        <v>32.280505601789258</v>
      </c>
      <c r="I13" s="383">
        <f>(H13-D13)/D13</f>
        <v>5.5428509009525981E-11</v>
      </c>
    </row>
  </sheetData>
  <mergeCells count="2">
    <mergeCell ref="D2:F2"/>
    <mergeCell ref="H2:I2"/>
  </mergeCells>
  <conditionalFormatting sqref="I4:I12">
    <cfRule type="cellIs" dxfId="37" priority="1" operator="lessThan">
      <formula>0</formula>
    </cfRule>
    <cfRule type="cellIs" dxfId="3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F67"/>
  <sheetViews>
    <sheetView showGridLines="0" tabSelected="1" topLeftCell="D1" zoomScaleNormal="100" workbookViewId="0">
      <selection activeCell="O13" sqref="O13"/>
    </sheetView>
  </sheetViews>
  <sheetFormatPr defaultColWidth="8.7109375" defaultRowHeight="15" x14ac:dyDescent="0.25"/>
  <cols>
    <col min="1" max="1" width="5.28515625" style="97" bestFit="1" customWidth="1"/>
    <col min="2" max="2" width="28.140625" style="97" bestFit="1" customWidth="1"/>
    <col min="3" max="4" width="14" style="97" bestFit="1" customWidth="1"/>
    <col min="5" max="5" width="0.85546875" style="97" customWidth="1"/>
    <col min="6" max="6" width="12.7109375" style="97" bestFit="1" customWidth="1"/>
    <col min="7" max="7" width="12.5703125" style="97" bestFit="1" customWidth="1"/>
    <col min="8" max="8" width="13.85546875" style="97" bestFit="1" customWidth="1"/>
    <col min="9" max="9" width="0.85546875" style="97" customWidth="1"/>
    <col min="10" max="10" width="12.7109375" style="97" bestFit="1" customWidth="1"/>
    <col min="11" max="11" width="12.5703125" style="97" bestFit="1" customWidth="1"/>
    <col min="12" max="12" width="13.85546875" style="97" bestFit="1" customWidth="1"/>
    <col min="13" max="13" width="0.85546875" style="97" customWidth="1"/>
    <col min="14" max="14" width="12.7109375" style="97" bestFit="1" customWidth="1"/>
    <col min="15" max="15" width="12.5703125" style="97" bestFit="1" customWidth="1"/>
    <col min="16" max="16" width="14" style="97" bestFit="1" customWidth="1"/>
    <col min="17" max="17" width="0.85546875" style="97" customWidth="1"/>
    <col min="18" max="18" width="12.7109375" style="97" bestFit="1" customWidth="1"/>
    <col min="19" max="19" width="12.5703125" style="97" bestFit="1" customWidth="1"/>
    <col min="20" max="20" width="13.85546875" style="97" bestFit="1" customWidth="1"/>
    <col min="21" max="21" width="0.85546875" style="97" customWidth="1"/>
    <col min="22" max="22" width="12.7109375" style="97" bestFit="1" customWidth="1"/>
    <col min="23" max="23" width="12.5703125" style="97" bestFit="1" customWidth="1"/>
    <col min="24" max="24" width="14.85546875" style="97" bestFit="1" customWidth="1"/>
    <col min="25" max="25" width="8.7109375" style="97"/>
    <col min="26" max="26" width="17.85546875" style="97" bestFit="1" customWidth="1"/>
    <col min="27" max="27" width="12.5703125" style="97" bestFit="1" customWidth="1"/>
    <col min="28" max="28" width="13.85546875" style="97" bestFit="1" customWidth="1"/>
    <col min="29" max="29" width="11.5703125" style="97" bestFit="1" customWidth="1"/>
    <col min="30" max="30" width="11" style="97" bestFit="1" customWidth="1"/>
    <col min="31" max="31" width="8.7109375" style="97"/>
    <col min="32" max="32" width="12" style="97" bestFit="1" customWidth="1"/>
    <col min="33" max="16384" width="8.7109375" style="97"/>
  </cols>
  <sheetData>
    <row r="3" spans="1:32" x14ac:dyDescent="0.25">
      <c r="B3" s="194">
        <f>SUM(C9:C13)</f>
        <v>10219266.309999999</v>
      </c>
      <c r="C3" s="194">
        <f>SUM(D9:D13)</f>
        <v>103543587.85847765</v>
      </c>
    </row>
    <row r="4" spans="1:32" x14ac:dyDescent="0.25">
      <c r="F4" s="441" t="s">
        <v>288</v>
      </c>
      <c r="G4" s="441"/>
      <c r="H4" s="441"/>
      <c r="I4" s="441"/>
      <c r="J4" s="441"/>
      <c r="K4" s="441"/>
      <c r="L4" s="441"/>
      <c r="M4" s="441"/>
      <c r="N4" s="441"/>
      <c r="O4" s="441"/>
      <c r="P4" s="441"/>
    </row>
    <row r="5" spans="1:32" x14ac:dyDescent="0.25">
      <c r="F5" s="436" t="s">
        <v>255</v>
      </c>
      <c r="G5" s="437"/>
      <c r="H5" s="438"/>
      <c r="I5" s="195"/>
      <c r="J5" s="436" t="s">
        <v>284</v>
      </c>
      <c r="K5" s="437"/>
      <c r="L5" s="438"/>
      <c r="M5" s="195"/>
      <c r="N5" s="436" t="s">
        <v>285</v>
      </c>
      <c r="O5" s="437"/>
      <c r="P5" s="438"/>
      <c r="R5" s="436" t="s">
        <v>286</v>
      </c>
      <c r="S5" s="437"/>
      <c r="T5" s="438"/>
      <c r="V5" s="436" t="s">
        <v>287</v>
      </c>
      <c r="W5" s="437"/>
      <c r="X5" s="438"/>
      <c r="Z5" s="97" t="s">
        <v>248</v>
      </c>
    </row>
    <row r="6" spans="1:32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32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1228705.0999999999</v>
      </c>
      <c r="G7" s="191">
        <v>-0.3000000000000001</v>
      </c>
      <c r="H7" s="199">
        <v>5933732.8283146154</v>
      </c>
      <c r="I7" s="199"/>
      <c r="J7" s="199">
        <v>1228705.0999999999</v>
      </c>
      <c r="K7" s="191">
        <v>-0.3000000000000001</v>
      </c>
      <c r="L7" s="199">
        <v>5933732.8283146154</v>
      </c>
      <c r="N7" s="199">
        <v>1228705.0999999999</v>
      </c>
      <c r="O7" s="191">
        <v>-0.3000000000000001</v>
      </c>
      <c r="P7" s="199">
        <v>5933732.8283146154</v>
      </c>
      <c r="R7" s="199">
        <v>1228705.0999999999</v>
      </c>
      <c r="S7" s="191">
        <v>-0.3000000000000001</v>
      </c>
      <c r="T7" s="199">
        <v>5933732.8283146154</v>
      </c>
      <c r="V7" s="199">
        <v>1355864.2064150705</v>
      </c>
      <c r="W7" s="191">
        <v>-0.22755676322125681</v>
      </c>
      <c r="X7" s="199">
        <v>6395479.7746464573</v>
      </c>
      <c r="Z7" s="199">
        <f>VAC_Optim_Scenario!$H35</f>
        <v>1228705.0999999999</v>
      </c>
      <c r="AA7" s="191">
        <f>(Z7-$C7)/$C7</f>
        <v>-0.3000000000000001</v>
      </c>
      <c r="AB7" s="199">
        <f>VAC_Optim_Scenario!$J35</f>
        <v>5933732.8283146154</v>
      </c>
      <c r="AD7" s="199"/>
      <c r="AE7" s="191"/>
      <c r="AF7" s="199"/>
    </row>
    <row r="8" spans="1:32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6974984.7570000011</v>
      </c>
      <c r="G8" s="191">
        <v>0.30000000000000004</v>
      </c>
      <c r="H8" s="199">
        <v>75572474.639871225</v>
      </c>
      <c r="I8" s="199"/>
      <c r="J8" s="199">
        <v>6214597.016458285</v>
      </c>
      <c r="K8" s="191">
        <v>0.15827867771149162</v>
      </c>
      <c r="L8" s="199">
        <v>70358294.504407793</v>
      </c>
      <c r="N8" s="199">
        <v>4541032.56870462</v>
      </c>
      <c r="O8" s="191">
        <v>-0.15364082575356294</v>
      </c>
      <c r="P8" s="199">
        <v>56764305.507644884</v>
      </c>
      <c r="R8" s="199">
        <v>6974984.7570000011</v>
      </c>
      <c r="S8" s="191">
        <v>0.30000000000000004</v>
      </c>
      <c r="T8" s="199">
        <v>75572474.639871225</v>
      </c>
      <c r="V8" s="199">
        <v>6974984.7570000011</v>
      </c>
      <c r="W8" s="191">
        <v>0.30000000000000004</v>
      </c>
      <c r="X8" s="199">
        <v>75572474.639871225</v>
      </c>
      <c r="Z8" s="199">
        <f>VAC_Optim_Scenario!$H36</f>
        <v>6974984.7570000011</v>
      </c>
      <c r="AA8" s="191">
        <f t="shared" ref="AA8:AA15" si="0">(Z8-$C8)/$C8</f>
        <v>0.30000000000000004</v>
      </c>
      <c r="AB8" s="199">
        <f>VAC_Optim_Scenario!$J36</f>
        <v>75572474.639871225</v>
      </c>
      <c r="AD8" s="199"/>
      <c r="AE8" s="191"/>
      <c r="AF8" s="199"/>
    </row>
    <row r="9" spans="1:32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1666468.7170000006</v>
      </c>
      <c r="G9" s="191">
        <v>-0.11026763641217265</v>
      </c>
      <c r="H9" s="199">
        <v>15006935.57691714</v>
      </c>
      <c r="I9" s="199"/>
      <c r="J9" s="199">
        <v>1311100</v>
      </c>
      <c r="K9" s="191">
        <v>-0.3</v>
      </c>
      <c r="L9" s="199">
        <v>12995566.302066877</v>
      </c>
      <c r="N9" s="199">
        <v>1311100</v>
      </c>
      <c r="O9" s="191">
        <v>-0.3</v>
      </c>
      <c r="P9" s="199">
        <v>12995566.302066877</v>
      </c>
      <c r="R9" s="199">
        <v>2434900</v>
      </c>
      <c r="S9" s="191">
        <v>0.3</v>
      </c>
      <c r="T9" s="199">
        <v>18840932.631302718</v>
      </c>
      <c r="V9" s="199">
        <v>2434900</v>
      </c>
      <c r="W9" s="191">
        <v>0.3</v>
      </c>
      <c r="X9" s="199">
        <v>18840932.631302718</v>
      </c>
      <c r="Z9" s="199">
        <f>VAC_Optim_Scenario!$H37</f>
        <v>1666468.7252945821</v>
      </c>
      <c r="AA9" s="191">
        <f t="shared" si="0"/>
        <v>-0.11026763198367213</v>
      </c>
      <c r="AB9" s="199">
        <f>VAC_Optim_Scenario!$J37</f>
        <v>15006935.621733909</v>
      </c>
      <c r="AC9" s="194"/>
      <c r="AD9" s="199"/>
      <c r="AE9" s="191"/>
      <c r="AF9" s="199"/>
    </row>
    <row r="10" spans="1:32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225000.022</v>
      </c>
      <c r="G10" s="191">
        <v>0.3</v>
      </c>
      <c r="H10" s="199">
        <v>2031161.5894317664</v>
      </c>
      <c r="I10" s="199"/>
      <c r="J10" s="199">
        <v>159818.46151167116</v>
      </c>
      <c r="K10" s="191">
        <v>-7.6604534886789866E-2</v>
      </c>
      <c r="L10" s="199">
        <v>1616694.8020144119</v>
      </c>
      <c r="N10" s="199">
        <v>121153.85800000001</v>
      </c>
      <c r="O10" s="191">
        <v>-0.3</v>
      </c>
      <c r="P10" s="199">
        <v>1314601.0547516858</v>
      </c>
      <c r="R10" s="199">
        <v>225000.022</v>
      </c>
      <c r="S10" s="191">
        <v>0.3</v>
      </c>
      <c r="T10" s="199">
        <v>2031161.5894317664</v>
      </c>
      <c r="V10" s="199">
        <v>225000.022</v>
      </c>
      <c r="W10" s="191">
        <v>0.3</v>
      </c>
      <c r="X10" s="199">
        <v>2031161.5894317664</v>
      </c>
      <c r="Z10" s="199">
        <f>VAC_Optim_Scenario!$H38</f>
        <v>225000.022</v>
      </c>
      <c r="AA10" s="191">
        <f t="shared" si="0"/>
        <v>0.3</v>
      </c>
      <c r="AB10" s="199">
        <f>VAC_Optim_Scenario!$J38</f>
        <v>2031161.5894317664</v>
      </c>
      <c r="AC10" s="194"/>
      <c r="AD10" s="199"/>
      <c r="AE10" s="191"/>
      <c r="AF10" s="199"/>
    </row>
    <row r="11" spans="1:32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4326087.5</v>
      </c>
      <c r="G11" s="191">
        <v>-0.3</v>
      </c>
      <c r="H11" s="199">
        <v>25462546.467915077</v>
      </c>
      <c r="I11" s="199"/>
      <c r="J11" s="199">
        <v>4326087.5</v>
      </c>
      <c r="K11" s="191">
        <v>-0.3</v>
      </c>
      <c r="L11" s="199">
        <v>25462546.467915077</v>
      </c>
      <c r="N11" s="199">
        <v>4326087.5</v>
      </c>
      <c r="O11" s="191">
        <v>-0.3</v>
      </c>
      <c r="P11" s="199">
        <v>25462546.467915077</v>
      </c>
      <c r="R11" s="199">
        <v>5435354.2791216532</v>
      </c>
      <c r="S11" s="191">
        <v>-0.1205106241181767</v>
      </c>
      <c r="T11" s="199">
        <v>29874085.862583175</v>
      </c>
      <c r="V11" s="199">
        <v>7185893.2359400196</v>
      </c>
      <c r="W11" s="191">
        <v>0.16274237753120196</v>
      </c>
      <c r="X11" s="199">
        <v>36322159.179718815</v>
      </c>
      <c r="Z11" s="199">
        <f>VAC_Optim_Scenario!$H39</f>
        <v>4326087.5</v>
      </c>
      <c r="AA11" s="191">
        <f t="shared" si="0"/>
        <v>-0.3</v>
      </c>
      <c r="AB11" s="199">
        <f>VAC_Optim_Scenario!$J39</f>
        <v>25462546.467915077</v>
      </c>
      <c r="AD11" s="199"/>
      <c r="AE11" s="191"/>
      <c r="AF11" s="199"/>
    </row>
    <row r="12" spans="1:32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2142864.5810000002</v>
      </c>
      <c r="G12" s="191">
        <v>0.30000000000000004</v>
      </c>
      <c r="H12" s="199">
        <v>28569508.760968704</v>
      </c>
      <c r="I12" s="199"/>
      <c r="J12" s="199">
        <v>2142864.5810000002</v>
      </c>
      <c r="K12" s="191">
        <v>0.30000000000000004</v>
      </c>
      <c r="L12" s="199">
        <v>28569508.760968704</v>
      </c>
      <c r="N12" s="199">
        <v>2142864.5810000002</v>
      </c>
      <c r="O12" s="191">
        <v>0.30000000000000004</v>
      </c>
      <c r="P12" s="199">
        <v>28569508.760968704</v>
      </c>
      <c r="R12" s="199">
        <v>2142864.5810000002</v>
      </c>
      <c r="S12" s="191">
        <v>0.30000000000000004</v>
      </c>
      <c r="T12" s="199">
        <v>28569508.760968704</v>
      </c>
      <c r="V12" s="199">
        <v>2142864.5810000002</v>
      </c>
      <c r="W12" s="191">
        <v>0.30000000000000004</v>
      </c>
      <c r="X12" s="199">
        <v>28569508.760968704</v>
      </c>
      <c r="Z12" s="199">
        <f>VAC_Optim_Scenario!$H40</f>
        <v>2142864.5810000002</v>
      </c>
      <c r="AA12" s="191">
        <f t="shared" si="0"/>
        <v>0.30000000000000004</v>
      </c>
      <c r="AB12" s="199">
        <f>VAC_Optim_Scenario!$J40</f>
        <v>28569508.760968704</v>
      </c>
      <c r="AD12" s="199"/>
      <c r="AE12" s="191"/>
      <c r="AF12" s="199"/>
    </row>
    <row r="13" spans="1:32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344707</v>
      </c>
      <c r="G13" s="191">
        <v>0</v>
      </c>
      <c r="H13" s="199">
        <v>29529022.26299376</v>
      </c>
      <c r="I13" s="199"/>
      <c r="J13" s="199">
        <v>344707</v>
      </c>
      <c r="K13" s="191">
        <v>0</v>
      </c>
      <c r="L13" s="199">
        <v>29529022.26299376</v>
      </c>
      <c r="N13" s="199">
        <v>344707</v>
      </c>
      <c r="O13" s="191">
        <v>0</v>
      </c>
      <c r="P13" s="199">
        <v>29529022.26299376</v>
      </c>
      <c r="R13" s="199">
        <v>344707</v>
      </c>
      <c r="S13" s="191">
        <v>0</v>
      </c>
      <c r="T13" s="199">
        <v>29529022.26299376</v>
      </c>
      <c r="V13" s="199">
        <v>344707</v>
      </c>
      <c r="W13" s="191">
        <v>0</v>
      </c>
      <c r="X13" s="199">
        <v>29529022.26299376</v>
      </c>
      <c r="Z13" s="199">
        <f>VAC_Optim_Scenario!$H41</f>
        <v>344707</v>
      </c>
      <c r="AA13" s="191">
        <f t="shared" si="0"/>
        <v>0</v>
      </c>
      <c r="AB13" s="199">
        <f>VAC_Optim_Scenario!$J41</f>
        <v>29529022.26299376</v>
      </c>
      <c r="AC13" s="194"/>
      <c r="AD13" s="199"/>
      <c r="AE13" s="191"/>
      <c r="AF13" s="199"/>
    </row>
    <row r="14" spans="1:32" x14ac:dyDescent="0.25">
      <c r="A14" s="194"/>
      <c r="B14" s="198" t="str">
        <f>VAC_Optim_Scenario!B24</f>
        <v>HCC Radio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1868162.933</v>
      </c>
      <c r="G14" s="191">
        <v>0.30000000000000004</v>
      </c>
      <c r="H14" s="199">
        <v>18662665.324166391</v>
      </c>
      <c r="I14" s="199"/>
      <c r="J14" s="199">
        <v>1171402.9009576403</v>
      </c>
      <c r="K14" s="191">
        <v>-0.18485494795708354</v>
      </c>
      <c r="L14" s="199">
        <v>14104204.446193289</v>
      </c>
      <c r="N14" s="199">
        <v>1005933.8869999999</v>
      </c>
      <c r="O14" s="191">
        <v>-0.30000000000000004</v>
      </c>
      <c r="P14" s="199">
        <v>12872606.114547707</v>
      </c>
      <c r="R14" s="199">
        <v>1868162.933</v>
      </c>
      <c r="S14" s="191">
        <v>0.30000000000000004</v>
      </c>
      <c r="T14" s="199">
        <v>18662665.324166391</v>
      </c>
      <c r="V14" s="199">
        <v>1868162.933</v>
      </c>
      <c r="W14" s="191">
        <v>0.30000000000000004</v>
      </c>
      <c r="X14" s="199">
        <v>18662665.324166391</v>
      </c>
      <c r="Z14" s="199">
        <f>VAC_Optim_Scenario!$H42</f>
        <v>1868162.933</v>
      </c>
      <c r="AA14" s="191">
        <f t="shared" si="0"/>
        <v>0.30000000000000004</v>
      </c>
      <c r="AB14" s="199">
        <f>VAC_Optim_Scenario!$J42</f>
        <v>18662665.324166391</v>
      </c>
      <c r="AD14" s="199"/>
      <c r="AE14" s="191"/>
      <c r="AF14" s="199"/>
    </row>
    <row r="15" spans="1:32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13503524.99</v>
      </c>
      <c r="G15" s="191">
        <v>0</v>
      </c>
      <c r="H15" s="199">
        <v>57317880.122995496</v>
      </c>
      <c r="I15" s="199"/>
      <c r="J15" s="199">
        <v>13503524.99</v>
      </c>
      <c r="K15" s="191">
        <v>0</v>
      </c>
      <c r="L15" s="199">
        <v>57317880.122995496</v>
      </c>
      <c r="N15" s="199">
        <v>13503524.99</v>
      </c>
      <c r="O15" s="191">
        <v>0</v>
      </c>
      <c r="P15" s="199">
        <v>57317880.122995496</v>
      </c>
      <c r="R15" s="199">
        <v>13503524.99</v>
      </c>
      <c r="S15" s="191">
        <v>0</v>
      </c>
      <c r="T15" s="199">
        <v>57317880.122995496</v>
      </c>
      <c r="V15" s="199">
        <v>13503524.99</v>
      </c>
      <c r="W15" s="191">
        <v>0</v>
      </c>
      <c r="X15" s="199">
        <v>57317880.122995496</v>
      </c>
      <c r="Z15" s="199">
        <f>VAC_Optim_Scenario!$H43</f>
        <v>13503524.99</v>
      </c>
      <c r="AA15" s="191">
        <f t="shared" si="0"/>
        <v>0</v>
      </c>
      <c r="AB15" s="199">
        <f>VAC_Optim_Scenario!$J43</f>
        <v>57317880.122995496</v>
      </c>
      <c r="AD15" s="199"/>
      <c r="AE15" s="191"/>
      <c r="AF15" s="199"/>
    </row>
    <row r="16" spans="1:32" ht="34.35" customHeight="1" x14ac:dyDescent="0.25">
      <c r="B16" s="201" t="s">
        <v>217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32280505.600000001</v>
      </c>
      <c r="G16" s="203">
        <f>(F16-$C$16)/$C$16</f>
        <v>0</v>
      </c>
      <c r="H16" s="202">
        <f>SUM(H7:H15)</f>
        <v>258085927.57357416</v>
      </c>
      <c r="I16" s="193"/>
      <c r="J16" s="202">
        <f>SUM(J7:J15)</f>
        <v>30402807.5499276</v>
      </c>
      <c r="K16" s="203">
        <f>(J16-$C$16)/$C$16</f>
        <v>-5.8168173489587527E-2</v>
      </c>
      <c r="L16" s="202">
        <f>SUM(L7:L15)</f>
        <v>245887450.49787</v>
      </c>
      <c r="M16" s="193"/>
      <c r="N16" s="202">
        <f>SUM(N7:N15)</f>
        <v>28525109.484704621</v>
      </c>
      <c r="O16" s="203">
        <f>(N16-$C$16)/$C$16</f>
        <v>-0.11633634744851643</v>
      </c>
      <c r="P16" s="202">
        <f>SUM(P7:P15)</f>
        <v>230759769.4221988</v>
      </c>
      <c r="Q16" s="193"/>
      <c r="R16" s="202">
        <f>SUM(R7:R15)</f>
        <v>34158203.662121654</v>
      </c>
      <c r="S16" s="203">
        <f>(R16-$C$16)/$C$16</f>
        <v>5.8168173862854611E-2</v>
      </c>
      <c r="T16" s="202">
        <f>SUM(T7:T15)</f>
        <v>266331464.02262783</v>
      </c>
      <c r="V16" s="202">
        <f>SUM(V7:V15)</f>
        <v>36035901.725355089</v>
      </c>
      <c r="W16" s="203">
        <f>(V16-$C$16)/$C$16</f>
        <v>0.11633634776015055</v>
      </c>
      <c r="X16" s="202">
        <f>SUM(X7:X15)</f>
        <v>273241284.28609532</v>
      </c>
      <c r="Z16" s="202">
        <f>SUM(Z7:Z15)</f>
        <v>32280505.608294584</v>
      </c>
      <c r="AA16" s="203">
        <f>(Z16-$C$16)/$C$16</f>
        <v>2.5695329774956684E-10</v>
      </c>
      <c r="AB16" s="202">
        <f>SUM(AB7:AB15)</f>
        <v>258085927.61839092</v>
      </c>
    </row>
    <row r="17" spans="1:24" x14ac:dyDescent="0.25">
      <c r="D17" s="97">
        <f>D16/C16</f>
        <v>7.6936762831999994</v>
      </c>
      <c r="H17" s="194">
        <f>H16-AB16</f>
        <v>-4.4816762208938599E-2</v>
      </c>
    </row>
    <row r="19" spans="1:24" ht="26.85" customHeight="1" x14ac:dyDescent="0.25">
      <c r="F19" s="441" t="str">
        <f>F4</f>
        <v>Optimal channel spend allowed to vary between +/- 30% of the 2023 channel spend  except Linear TV</v>
      </c>
      <c r="G19" s="441"/>
      <c r="H19" s="441"/>
      <c r="I19" s="441"/>
      <c r="J19" s="441"/>
      <c r="K19" s="441"/>
      <c r="L19" s="441"/>
      <c r="M19" s="441"/>
      <c r="N19" s="441"/>
      <c r="O19" s="441"/>
      <c r="P19" s="441"/>
    </row>
    <row r="20" spans="1:24" ht="30.4" customHeight="1" x14ac:dyDescent="0.25">
      <c r="B20" s="360"/>
      <c r="C20" s="446" t="s">
        <v>270</v>
      </c>
      <c r="D20" s="447"/>
      <c r="E20" s="360"/>
      <c r="F20" s="434" t="str">
        <f>F5</f>
        <v>Current Optimal ($32MM)</v>
      </c>
      <c r="G20" s="435"/>
      <c r="H20" s="439"/>
      <c r="I20" s="361"/>
      <c r="J20" s="434" t="str">
        <f>J5</f>
        <v>10% reduction optimal ($30M)</v>
      </c>
      <c r="K20" s="435"/>
      <c r="L20" s="439"/>
      <c r="M20" s="361"/>
      <c r="N20" s="434" t="str">
        <f>N5</f>
        <v>20% reduction optimal ($29M)</v>
      </c>
      <c r="O20" s="435"/>
      <c r="P20" s="439"/>
      <c r="Q20" s="360"/>
      <c r="R20" s="434" t="str">
        <f>R5</f>
        <v>10% increase optimal ($34M)</v>
      </c>
      <c r="S20" s="435"/>
      <c r="T20" s="439"/>
      <c r="U20" s="360"/>
      <c r="V20" s="434" t="str">
        <f>V5</f>
        <v>20% increase optimal ($36M)</v>
      </c>
      <c r="W20" s="435"/>
      <c r="X20" s="439"/>
    </row>
    <row r="21" spans="1:24" ht="45.75" customHeight="1" x14ac:dyDescent="0.25">
      <c r="B21" s="362" t="s">
        <v>211</v>
      </c>
      <c r="C21" s="363" t="s">
        <v>218</v>
      </c>
      <c r="D21" s="364" t="s">
        <v>219</v>
      </c>
      <c r="E21" s="365"/>
      <c r="F21" s="366" t="s">
        <v>221</v>
      </c>
      <c r="G21" s="364" t="s">
        <v>204</v>
      </c>
      <c r="H21" s="367" t="s">
        <v>215</v>
      </c>
      <c r="I21" s="365"/>
      <c r="J21" s="366" t="s">
        <v>221</v>
      </c>
      <c r="K21" s="364" t="s">
        <v>204</v>
      </c>
      <c r="L21" s="367" t="s">
        <v>215</v>
      </c>
      <c r="M21" s="368"/>
      <c r="N21" s="366" t="s">
        <v>221</v>
      </c>
      <c r="O21" s="364" t="s">
        <v>204</v>
      </c>
      <c r="P21" s="367" t="s">
        <v>215</v>
      </c>
      <c r="Q21" s="360"/>
      <c r="R21" s="366" t="s">
        <v>221</v>
      </c>
      <c r="S21" s="364" t="s">
        <v>204</v>
      </c>
      <c r="T21" s="367" t="s">
        <v>215</v>
      </c>
      <c r="U21" s="360"/>
      <c r="V21" s="366" t="s">
        <v>221</v>
      </c>
      <c r="W21" s="364" t="s">
        <v>204</v>
      </c>
      <c r="X21" s="367" t="s">
        <v>215</v>
      </c>
    </row>
    <row r="22" spans="1:24" x14ac:dyDescent="0.25">
      <c r="A22" s="186">
        <f>D22/C22</f>
        <v>4.3867164533332925</v>
      </c>
      <c r="B22" s="369" t="str">
        <f>B7</f>
        <v>HCC In Office</v>
      </c>
      <c r="C22" s="370">
        <f>C7/1000000</f>
        <v>1.755293</v>
      </c>
      <c r="D22" s="390">
        <f>D7/1000000</f>
        <v>7.6999726835207554</v>
      </c>
      <c r="E22" s="371"/>
      <c r="F22" s="372">
        <f>F7/1000000</f>
        <v>1.2287050999999998</v>
      </c>
      <c r="G22" s="373">
        <f>G7</f>
        <v>-0.3000000000000001</v>
      </c>
      <c r="H22" s="376">
        <f>H7/1000000</f>
        <v>5.9337328283146151</v>
      </c>
      <c r="I22" s="371"/>
      <c r="J22" s="372">
        <f>J7/1000000</f>
        <v>1.2287050999999998</v>
      </c>
      <c r="K22" s="373">
        <f>K7</f>
        <v>-0.3000000000000001</v>
      </c>
      <c r="L22" s="376">
        <f>L7/1000000</f>
        <v>5.9337328283146151</v>
      </c>
      <c r="M22" s="374"/>
      <c r="N22" s="372">
        <f>N7/1000000</f>
        <v>1.2287050999999998</v>
      </c>
      <c r="O22" s="373">
        <f>O7</f>
        <v>-0.3000000000000001</v>
      </c>
      <c r="P22" s="376">
        <f>P7/1000000</f>
        <v>5.9337328283146151</v>
      </c>
      <c r="Q22" s="374"/>
      <c r="R22" s="372">
        <f>R7/1000000</f>
        <v>1.2287050999999998</v>
      </c>
      <c r="S22" s="373">
        <f>S7</f>
        <v>-0.3000000000000001</v>
      </c>
      <c r="T22" s="376">
        <f>T7/1000000</f>
        <v>5.9337328283146151</v>
      </c>
      <c r="U22" s="375"/>
      <c r="V22" s="372">
        <f>V7/1000000</f>
        <v>1.3558642064150705</v>
      </c>
      <c r="W22" s="373">
        <f>W7</f>
        <v>-0.22755676322125681</v>
      </c>
      <c r="X22" s="376">
        <f>X7/1000000</f>
        <v>6.3954797746464571</v>
      </c>
    </row>
    <row r="23" spans="1:24" x14ac:dyDescent="0.25">
      <c r="A23" s="186">
        <f t="shared" ref="A23:A30" si="1">D23/C23</f>
        <v>11.900373048317544</v>
      </c>
      <c r="B23" s="369" t="str">
        <f t="shared" ref="B23:B30" si="2">B8</f>
        <v>HCP MCM</v>
      </c>
      <c r="C23" s="377">
        <f t="shared" ref="C23:D23" si="3">C8/1000000</f>
        <v>5.3653728900000006</v>
      </c>
      <c r="D23" s="391">
        <f t="shared" si="3"/>
        <v>63.849938934329622</v>
      </c>
      <c r="E23" s="371"/>
      <c r="F23" s="378">
        <f t="shared" ref="F23:F30" si="4">F8/1000000</f>
        <v>6.9749847570000014</v>
      </c>
      <c r="G23" s="379">
        <f t="shared" ref="G23:G30" si="5">G8</f>
        <v>0.30000000000000004</v>
      </c>
      <c r="H23" s="380">
        <f t="shared" ref="H23:H30" si="6">H8/1000000</f>
        <v>75.572474639871231</v>
      </c>
      <c r="I23" s="371"/>
      <c r="J23" s="378">
        <f t="shared" ref="J23:J30" si="7">J8/1000000</f>
        <v>6.2145970164582849</v>
      </c>
      <c r="K23" s="379">
        <f t="shared" ref="K23:K30" si="8">K8</f>
        <v>0.15827867771149162</v>
      </c>
      <c r="L23" s="380">
        <f t="shared" ref="L23:L30" si="9">L8/1000000</f>
        <v>70.358294504407795</v>
      </c>
      <c r="M23" s="374"/>
      <c r="N23" s="378">
        <f t="shared" ref="N23:N30" si="10">N8/1000000</f>
        <v>4.5410325687046198</v>
      </c>
      <c r="O23" s="379">
        <f t="shared" ref="O23:O30" si="11">O8</f>
        <v>-0.15364082575356294</v>
      </c>
      <c r="P23" s="380">
        <f t="shared" ref="P23:P30" si="12">P8/1000000</f>
        <v>56.764305507644885</v>
      </c>
      <c r="Q23" s="374"/>
      <c r="R23" s="378">
        <f t="shared" ref="R23:R30" si="13">R8/1000000</f>
        <v>6.9749847570000014</v>
      </c>
      <c r="S23" s="373">
        <f t="shared" ref="S23:S30" si="14">S8</f>
        <v>0.30000000000000004</v>
      </c>
      <c r="T23" s="380">
        <f t="shared" ref="T23:T30" si="15">T8/1000000</f>
        <v>75.572474639871231</v>
      </c>
      <c r="U23" s="375"/>
      <c r="V23" s="378">
        <f t="shared" ref="V23:V30" si="16">V8/1000000</f>
        <v>6.9749847570000014</v>
      </c>
      <c r="W23" s="373">
        <f t="shared" ref="W23:W30" si="17">W8</f>
        <v>0.30000000000000004</v>
      </c>
      <c r="X23" s="380">
        <f t="shared" ref="X23:X30" si="18">X8/1000000</f>
        <v>75.572474639871231</v>
      </c>
    </row>
    <row r="24" spans="1:24" x14ac:dyDescent="0.25">
      <c r="A24" s="186">
        <f t="shared" si="1"/>
        <v>8.5940644823200767</v>
      </c>
      <c r="B24" s="369" t="str">
        <f t="shared" si="2"/>
        <v>HCC Social</v>
      </c>
      <c r="C24" s="377">
        <f t="shared" ref="C24:D24" si="19">C9/1000000</f>
        <v>1.873</v>
      </c>
      <c r="D24" s="391">
        <f t="shared" si="19"/>
        <v>16.096682775385503</v>
      </c>
      <c r="E24" s="371"/>
      <c r="F24" s="378">
        <f t="shared" si="4"/>
        <v>1.6664687170000005</v>
      </c>
      <c r="G24" s="379">
        <f t="shared" si="5"/>
        <v>-0.11026763641217265</v>
      </c>
      <c r="H24" s="380">
        <f t="shared" si="6"/>
        <v>15.00693557691714</v>
      </c>
      <c r="I24" s="371"/>
      <c r="J24" s="378">
        <f t="shared" si="7"/>
        <v>1.3110999999999999</v>
      </c>
      <c r="K24" s="379">
        <f t="shared" si="8"/>
        <v>-0.3</v>
      </c>
      <c r="L24" s="380">
        <f t="shared" si="9"/>
        <v>12.995566302066878</v>
      </c>
      <c r="M24" s="374"/>
      <c r="N24" s="378">
        <f t="shared" si="10"/>
        <v>1.3110999999999999</v>
      </c>
      <c r="O24" s="379">
        <f t="shared" si="11"/>
        <v>-0.3</v>
      </c>
      <c r="P24" s="380">
        <f t="shared" si="12"/>
        <v>12.995566302066878</v>
      </c>
      <c r="Q24" s="374"/>
      <c r="R24" s="378">
        <f t="shared" si="13"/>
        <v>2.4348999999999998</v>
      </c>
      <c r="S24" s="373">
        <f t="shared" si="14"/>
        <v>0.3</v>
      </c>
      <c r="T24" s="380">
        <f t="shared" si="15"/>
        <v>18.840932631302717</v>
      </c>
      <c r="U24" s="375"/>
      <c r="V24" s="378">
        <f t="shared" si="16"/>
        <v>2.4348999999999998</v>
      </c>
      <c r="W24" s="373">
        <f t="shared" si="17"/>
        <v>0.3</v>
      </c>
      <c r="X24" s="380">
        <f t="shared" si="18"/>
        <v>18.840932631302717</v>
      </c>
    </row>
    <row r="25" spans="1:24" x14ac:dyDescent="0.25">
      <c r="A25" s="186">
        <f t="shared" si="1"/>
        <v>9.879885624736632</v>
      </c>
      <c r="B25" s="369" t="str">
        <f t="shared" si="2"/>
        <v>HCC Online Video</v>
      </c>
      <c r="C25" s="377">
        <f t="shared" ref="C25:D25" si="20">C10/1000000</f>
        <v>0.17307694000000001</v>
      </c>
      <c r="D25" s="391">
        <f t="shared" si="20"/>
        <v>1.7099803714794048</v>
      </c>
      <c r="E25" s="371"/>
      <c r="F25" s="378">
        <f t="shared" si="4"/>
        <v>0.22500002199999999</v>
      </c>
      <c r="G25" s="379">
        <f t="shared" si="5"/>
        <v>0.3</v>
      </c>
      <c r="H25" s="380">
        <f t="shared" si="6"/>
        <v>2.0311615894317665</v>
      </c>
      <c r="I25" s="371"/>
      <c r="J25" s="378">
        <f t="shared" si="7"/>
        <v>0.15981846151167117</v>
      </c>
      <c r="K25" s="379">
        <f t="shared" si="8"/>
        <v>-7.6604534886789866E-2</v>
      </c>
      <c r="L25" s="380">
        <f t="shared" si="9"/>
        <v>1.6166948020144118</v>
      </c>
      <c r="M25" s="374"/>
      <c r="N25" s="378">
        <f t="shared" si="10"/>
        <v>0.121153858</v>
      </c>
      <c r="O25" s="379">
        <f t="shared" si="11"/>
        <v>-0.3</v>
      </c>
      <c r="P25" s="380">
        <f t="shared" si="12"/>
        <v>1.3146010547516858</v>
      </c>
      <c r="Q25" s="374"/>
      <c r="R25" s="378">
        <f t="shared" si="13"/>
        <v>0.22500002199999999</v>
      </c>
      <c r="S25" s="373">
        <f t="shared" si="14"/>
        <v>0.3</v>
      </c>
      <c r="T25" s="380">
        <f t="shared" si="15"/>
        <v>2.0311615894317665</v>
      </c>
      <c r="U25" s="375"/>
      <c r="V25" s="378">
        <f t="shared" si="16"/>
        <v>0.22500002199999999</v>
      </c>
      <c r="W25" s="373">
        <f t="shared" si="17"/>
        <v>0.3</v>
      </c>
      <c r="X25" s="380">
        <f t="shared" si="18"/>
        <v>2.0311615894317665</v>
      </c>
    </row>
    <row r="26" spans="1:24" x14ac:dyDescent="0.25">
      <c r="A26" s="186">
        <f t="shared" si="1"/>
        <v>5.288541872790403</v>
      </c>
      <c r="B26" s="369" t="str">
        <f t="shared" si="2"/>
        <v>HCC Streaming Video</v>
      </c>
      <c r="C26" s="377">
        <f t="shared" ref="C26:D26" si="21">C11/1000000</f>
        <v>6.1801250000000003</v>
      </c>
      <c r="D26" s="391">
        <f t="shared" si="21"/>
        <v>32.683849841578791</v>
      </c>
      <c r="E26" s="371"/>
      <c r="F26" s="378">
        <f t="shared" si="4"/>
        <v>4.3260874999999999</v>
      </c>
      <c r="G26" s="379">
        <f t="shared" si="5"/>
        <v>-0.3</v>
      </c>
      <c r="H26" s="380">
        <f t="shared" si="6"/>
        <v>25.462546467915075</v>
      </c>
      <c r="I26" s="371"/>
      <c r="J26" s="378">
        <f t="shared" si="7"/>
        <v>4.3260874999999999</v>
      </c>
      <c r="K26" s="379">
        <f t="shared" si="8"/>
        <v>-0.3</v>
      </c>
      <c r="L26" s="380">
        <f t="shared" si="9"/>
        <v>25.462546467915075</v>
      </c>
      <c r="M26" s="374"/>
      <c r="N26" s="378">
        <f t="shared" si="10"/>
        <v>4.3260874999999999</v>
      </c>
      <c r="O26" s="379">
        <f t="shared" si="11"/>
        <v>-0.3</v>
      </c>
      <c r="P26" s="380">
        <f t="shared" si="12"/>
        <v>25.462546467915075</v>
      </c>
      <c r="Q26" s="374"/>
      <c r="R26" s="378">
        <f t="shared" si="13"/>
        <v>5.4353542791216531</v>
      </c>
      <c r="S26" s="373">
        <f t="shared" si="14"/>
        <v>-0.1205106241181767</v>
      </c>
      <c r="T26" s="380">
        <f t="shared" si="15"/>
        <v>29.874085862583176</v>
      </c>
      <c r="U26" s="375"/>
      <c r="V26" s="378">
        <f t="shared" si="16"/>
        <v>7.1858932359400196</v>
      </c>
      <c r="W26" s="373">
        <f t="shared" si="17"/>
        <v>0.16274237753120196</v>
      </c>
      <c r="X26" s="380">
        <f t="shared" si="18"/>
        <v>36.322159179718817</v>
      </c>
    </row>
    <row r="27" spans="1:24" x14ac:dyDescent="0.25">
      <c r="A27" s="186">
        <f t="shared" si="1"/>
        <v>14.271209044334954</v>
      </c>
      <c r="B27" s="369" t="str">
        <f t="shared" si="2"/>
        <v>HCC Display</v>
      </c>
      <c r="C27" s="377">
        <f t="shared" ref="C27:D27" si="22">C12/1000000</f>
        <v>1.64835737</v>
      </c>
      <c r="D27" s="391">
        <f t="shared" si="22"/>
        <v>23.524052607040179</v>
      </c>
      <c r="E27" s="371"/>
      <c r="F27" s="378">
        <f t="shared" si="4"/>
        <v>2.1428645810000004</v>
      </c>
      <c r="G27" s="379">
        <f t="shared" si="5"/>
        <v>0.30000000000000004</v>
      </c>
      <c r="H27" s="380">
        <f t="shared" si="6"/>
        <v>28.569508760968702</v>
      </c>
      <c r="I27" s="371"/>
      <c r="J27" s="378">
        <f t="shared" si="7"/>
        <v>2.1428645810000004</v>
      </c>
      <c r="K27" s="379">
        <f t="shared" si="8"/>
        <v>0.30000000000000004</v>
      </c>
      <c r="L27" s="380">
        <f t="shared" si="9"/>
        <v>28.569508760968702</v>
      </c>
      <c r="M27" s="374"/>
      <c r="N27" s="378">
        <f t="shared" si="10"/>
        <v>2.1428645810000004</v>
      </c>
      <c r="O27" s="379">
        <f t="shared" si="11"/>
        <v>0.30000000000000004</v>
      </c>
      <c r="P27" s="380">
        <f t="shared" si="12"/>
        <v>28.569508760968702</v>
      </c>
      <c r="Q27" s="374"/>
      <c r="R27" s="378">
        <f t="shared" si="13"/>
        <v>2.1428645810000004</v>
      </c>
      <c r="S27" s="373">
        <f t="shared" si="14"/>
        <v>0.30000000000000004</v>
      </c>
      <c r="T27" s="380">
        <f t="shared" si="15"/>
        <v>28.569508760968702</v>
      </c>
      <c r="U27" s="375"/>
      <c r="V27" s="378">
        <f t="shared" si="16"/>
        <v>2.1428645810000004</v>
      </c>
      <c r="W27" s="373">
        <f t="shared" si="17"/>
        <v>0.30000000000000004</v>
      </c>
      <c r="X27" s="380">
        <f t="shared" si="18"/>
        <v>28.569508760968702</v>
      </c>
    </row>
    <row r="28" spans="1:24" x14ac:dyDescent="0.25">
      <c r="A28" s="186">
        <f t="shared" si="1"/>
        <v>85.664121305902583</v>
      </c>
      <c r="B28" s="369" t="str">
        <f t="shared" si="2"/>
        <v>HCC Paid Search</v>
      </c>
      <c r="C28" s="377">
        <f t="shared" ref="C28:D28" si="23">C13/1000000</f>
        <v>0.34470699999999999</v>
      </c>
      <c r="D28" s="391">
        <f t="shared" si="23"/>
        <v>29.52902226299376</v>
      </c>
      <c r="E28" s="371"/>
      <c r="F28" s="378">
        <f t="shared" si="4"/>
        <v>0.34470699999999999</v>
      </c>
      <c r="G28" s="379">
        <f t="shared" si="5"/>
        <v>0</v>
      </c>
      <c r="H28" s="380">
        <f t="shared" si="6"/>
        <v>29.52902226299376</v>
      </c>
      <c r="I28" s="371"/>
      <c r="J28" s="378">
        <f t="shared" si="7"/>
        <v>0.34470699999999999</v>
      </c>
      <c r="K28" s="379">
        <f t="shared" si="8"/>
        <v>0</v>
      </c>
      <c r="L28" s="380">
        <f t="shared" si="9"/>
        <v>29.52902226299376</v>
      </c>
      <c r="M28" s="374"/>
      <c r="N28" s="378">
        <f t="shared" si="10"/>
        <v>0.34470699999999999</v>
      </c>
      <c r="O28" s="379">
        <f t="shared" si="11"/>
        <v>0</v>
      </c>
      <c r="P28" s="380">
        <f t="shared" si="12"/>
        <v>29.52902226299376</v>
      </c>
      <c r="Q28" s="374"/>
      <c r="R28" s="378">
        <f t="shared" si="13"/>
        <v>0.34470699999999999</v>
      </c>
      <c r="S28" s="373">
        <f t="shared" si="14"/>
        <v>0</v>
      </c>
      <c r="T28" s="380">
        <f t="shared" si="15"/>
        <v>29.52902226299376</v>
      </c>
      <c r="U28" s="375"/>
      <c r="V28" s="378">
        <f t="shared" si="16"/>
        <v>0.34470699999999999</v>
      </c>
      <c r="W28" s="373">
        <f t="shared" si="17"/>
        <v>0</v>
      </c>
      <c r="X28" s="380">
        <f t="shared" si="18"/>
        <v>29.52902226299376</v>
      </c>
    </row>
    <row r="29" spans="1:24" x14ac:dyDescent="0.25">
      <c r="A29" s="186">
        <f t="shared" si="1"/>
        <v>11.095228688295396</v>
      </c>
      <c r="B29" s="369" t="str">
        <f t="shared" si="2"/>
        <v>HCC Radio</v>
      </c>
      <c r="C29" s="377">
        <f t="shared" ref="C29:D29" si="24">C14/1000000</f>
        <v>1.4370484099999998</v>
      </c>
      <c r="D29" s="391">
        <f t="shared" si="24"/>
        <v>15.944380745101283</v>
      </c>
      <c r="E29" s="371"/>
      <c r="F29" s="378">
        <f t="shared" si="4"/>
        <v>1.868162933</v>
      </c>
      <c r="G29" s="379">
        <f t="shared" si="5"/>
        <v>0.30000000000000004</v>
      </c>
      <c r="H29" s="380">
        <f t="shared" si="6"/>
        <v>18.66266532416639</v>
      </c>
      <c r="I29" s="371"/>
      <c r="J29" s="378">
        <f t="shared" si="7"/>
        <v>1.1714029009576403</v>
      </c>
      <c r="K29" s="379">
        <f t="shared" si="8"/>
        <v>-0.18485494795708354</v>
      </c>
      <c r="L29" s="380">
        <f t="shared" si="9"/>
        <v>14.10420444619329</v>
      </c>
      <c r="M29" s="374"/>
      <c r="N29" s="378">
        <f t="shared" si="10"/>
        <v>1.0059338869999999</v>
      </c>
      <c r="O29" s="379">
        <f t="shared" si="11"/>
        <v>-0.30000000000000004</v>
      </c>
      <c r="P29" s="380">
        <f t="shared" si="12"/>
        <v>12.872606114547708</v>
      </c>
      <c r="Q29" s="374"/>
      <c r="R29" s="378">
        <f t="shared" si="13"/>
        <v>1.868162933</v>
      </c>
      <c r="S29" s="373">
        <f t="shared" si="14"/>
        <v>0.30000000000000004</v>
      </c>
      <c r="T29" s="380">
        <f t="shared" si="15"/>
        <v>18.66266532416639</v>
      </c>
      <c r="U29" s="375"/>
      <c r="V29" s="378">
        <f t="shared" si="16"/>
        <v>1.868162933</v>
      </c>
      <c r="W29" s="373">
        <f t="shared" si="17"/>
        <v>0.30000000000000004</v>
      </c>
      <c r="X29" s="380">
        <f t="shared" si="18"/>
        <v>18.66266532416639</v>
      </c>
    </row>
    <row r="30" spans="1:24" x14ac:dyDescent="0.25">
      <c r="A30" s="186">
        <f t="shared" si="1"/>
        <v>4.2446605731053264</v>
      </c>
      <c r="B30" s="369" t="str">
        <f t="shared" si="2"/>
        <v>HCC TV</v>
      </c>
      <c r="C30" s="377">
        <f t="shared" ref="C30:D30" si="25">C15/1000000</f>
        <v>13.503524990000001</v>
      </c>
      <c r="D30" s="391">
        <f t="shared" si="25"/>
        <v>57.317880122995497</v>
      </c>
      <c r="E30" s="371"/>
      <c r="F30" s="378">
        <f t="shared" si="4"/>
        <v>13.503524990000001</v>
      </c>
      <c r="G30" s="379">
        <f t="shared" si="5"/>
        <v>0</v>
      </c>
      <c r="H30" s="380">
        <f t="shared" si="6"/>
        <v>57.317880122995497</v>
      </c>
      <c r="I30" s="371"/>
      <c r="J30" s="378">
        <f t="shared" si="7"/>
        <v>13.503524990000001</v>
      </c>
      <c r="K30" s="379">
        <f t="shared" si="8"/>
        <v>0</v>
      </c>
      <c r="L30" s="380">
        <f t="shared" si="9"/>
        <v>57.317880122995497</v>
      </c>
      <c r="M30" s="374"/>
      <c r="N30" s="378">
        <f t="shared" si="10"/>
        <v>13.503524990000001</v>
      </c>
      <c r="O30" s="379">
        <f t="shared" si="11"/>
        <v>0</v>
      </c>
      <c r="P30" s="380">
        <f t="shared" si="12"/>
        <v>57.317880122995497</v>
      </c>
      <c r="Q30" s="374"/>
      <c r="R30" s="378">
        <f t="shared" si="13"/>
        <v>13.503524990000001</v>
      </c>
      <c r="S30" s="373">
        <f t="shared" si="14"/>
        <v>0</v>
      </c>
      <c r="T30" s="380">
        <f t="shared" si="15"/>
        <v>57.317880122995497</v>
      </c>
      <c r="U30" s="375"/>
      <c r="V30" s="378">
        <f t="shared" si="16"/>
        <v>13.503524990000001</v>
      </c>
      <c r="W30" s="373">
        <f t="shared" si="17"/>
        <v>0</v>
      </c>
      <c r="X30" s="380">
        <f t="shared" si="18"/>
        <v>57.317880122995497</v>
      </c>
    </row>
    <row r="31" spans="1:24" ht="29.65" customHeight="1" x14ac:dyDescent="0.25">
      <c r="B31" s="392" t="s">
        <v>217</v>
      </c>
      <c r="C31" s="381">
        <f>C16/1000000</f>
        <v>32.280505600000005</v>
      </c>
      <c r="D31" s="386">
        <f>D16/1000000</f>
        <v>248.35576034442479</v>
      </c>
      <c r="E31" s="368"/>
      <c r="F31" s="382">
        <f>F16/1000000</f>
        <v>32.280505600000005</v>
      </c>
      <c r="G31" s="383">
        <f>G16</f>
        <v>0</v>
      </c>
      <c r="H31" s="384">
        <f>H16/1000000</f>
        <v>258.08592757357417</v>
      </c>
      <c r="I31" s="368"/>
      <c r="J31" s="382">
        <f>J16/1000000</f>
        <v>30.402807549927601</v>
      </c>
      <c r="K31" s="383">
        <f>K16</f>
        <v>-5.8168173489587527E-2</v>
      </c>
      <c r="L31" s="384">
        <f>L16/1000000</f>
        <v>245.88745049786999</v>
      </c>
      <c r="M31" s="368"/>
      <c r="N31" s="382">
        <f>N16/1000000</f>
        <v>28.525109484704622</v>
      </c>
      <c r="O31" s="383">
        <f>O16</f>
        <v>-0.11633634744851643</v>
      </c>
      <c r="P31" s="384">
        <f>P16/1000000</f>
        <v>230.75976942219881</v>
      </c>
      <c r="Q31" s="385"/>
      <c r="R31" s="382">
        <f>R16/1000000</f>
        <v>34.15820366212165</v>
      </c>
      <c r="S31" s="383">
        <f>S16</f>
        <v>5.8168173862854611E-2</v>
      </c>
      <c r="T31" s="384">
        <f>T16/1000000</f>
        <v>266.33146402262781</v>
      </c>
      <c r="U31" s="385"/>
      <c r="V31" s="382">
        <f>V16/1000000</f>
        <v>36.035901725355089</v>
      </c>
      <c r="W31" s="383">
        <f>W16</f>
        <v>0.11633634776015055</v>
      </c>
      <c r="X31" s="384">
        <f>X16/1000000</f>
        <v>273.24128428609532</v>
      </c>
    </row>
    <row r="32" spans="1:24" ht="25.5" x14ac:dyDescent="0.25">
      <c r="B32" s="392" t="s">
        <v>296</v>
      </c>
      <c r="C32" s="381"/>
      <c r="D32" s="386"/>
      <c r="E32" s="368"/>
      <c r="F32" s="382"/>
      <c r="G32" s="383"/>
      <c r="H32" s="388" t="s">
        <v>289</v>
      </c>
      <c r="I32" s="368"/>
      <c r="J32" s="382"/>
      <c r="K32" s="383"/>
      <c r="L32" s="387" t="s">
        <v>290</v>
      </c>
      <c r="M32" s="368"/>
      <c r="N32" s="382"/>
      <c r="O32" s="383"/>
      <c r="P32" s="389" t="s">
        <v>291</v>
      </c>
      <c r="Q32" s="385"/>
      <c r="R32" s="382"/>
      <c r="S32" s="383"/>
      <c r="T32" s="388" t="s">
        <v>292</v>
      </c>
      <c r="U32" s="385"/>
      <c r="V32" s="382"/>
      <c r="W32" s="383"/>
      <c r="X32" s="388" t="s">
        <v>293</v>
      </c>
    </row>
    <row r="33" spans="2:24" x14ac:dyDescent="0.25">
      <c r="D33" s="350">
        <f>D31/C31</f>
        <v>7.6936762831999994</v>
      </c>
      <c r="G33" s="194"/>
      <c r="H33" s="230">
        <f>(H31-$D$31)</f>
        <v>9.730167229149373</v>
      </c>
      <c r="L33" s="230">
        <f>(L31-$D$31)</f>
        <v>-2.4683098465548028</v>
      </c>
      <c r="P33" s="230">
        <f>(P31-$D$31)</f>
        <v>-17.59599092222598</v>
      </c>
      <c r="T33" s="230">
        <f>(T31-$D$31)</f>
        <v>17.975703678203018</v>
      </c>
      <c r="X33" s="230">
        <f>(X31-$D$31)</f>
        <v>24.885523941670527</v>
      </c>
    </row>
    <row r="34" spans="2:24" x14ac:dyDescent="0.25">
      <c r="H34" s="297">
        <f>H33/$D$31</f>
        <v>3.917834325910291E-2</v>
      </c>
      <c r="L34" s="297">
        <f>L33/$D$31</f>
        <v>-9.9386051812597413E-3</v>
      </c>
      <c r="P34" s="297">
        <f>P33/$D$31</f>
        <v>-7.0849940818056734E-2</v>
      </c>
      <c r="T34" s="297">
        <f>T33/$D$31</f>
        <v>7.2378847397273766E-2</v>
      </c>
      <c r="X34" s="297">
        <f>X33/$D$31</f>
        <v>0.10020111434966832</v>
      </c>
    </row>
    <row r="35" spans="2:24" x14ac:dyDescent="0.25">
      <c r="H35" s="186">
        <f>H31/F31</f>
        <v>7.9951017735476277</v>
      </c>
      <c r="L35" s="186">
        <f>L31/J31</f>
        <v>8.0876560526218739</v>
      </c>
      <c r="P35" s="186">
        <f>P31/N31</f>
        <v>8.0897067037002586</v>
      </c>
      <c r="T35" s="186">
        <f>T31/R31</f>
        <v>7.7969985382447158</v>
      </c>
      <c r="X35" s="186">
        <f>X31/V31</f>
        <v>7.5824738997398535</v>
      </c>
    </row>
    <row r="36" spans="2:24" x14ac:dyDescent="0.25">
      <c r="B36" s="442" t="s">
        <v>250</v>
      </c>
      <c r="C36" s="442"/>
      <c r="D36" s="442"/>
      <c r="E36" s="442"/>
      <c r="F36" s="442"/>
      <c r="G36" s="442"/>
      <c r="H36" s="442"/>
      <c r="I36" s="442"/>
      <c r="J36" s="442"/>
      <c r="K36" s="442"/>
      <c r="L36" s="442"/>
      <c r="M36" s="442"/>
      <c r="N36" s="442"/>
      <c r="O36" s="442"/>
      <c r="P36" s="442"/>
      <c r="Q36" s="442"/>
      <c r="R36" s="442"/>
      <c r="S36" s="442"/>
      <c r="T36" s="442"/>
    </row>
    <row r="37" spans="2:24" x14ac:dyDescent="0.25">
      <c r="B37" s="442"/>
      <c r="C37" s="442"/>
      <c r="D37" s="442"/>
      <c r="E37" s="442"/>
      <c r="F37" s="442"/>
      <c r="G37" s="442"/>
      <c r="H37" s="442"/>
      <c r="I37" s="442"/>
      <c r="J37" s="442"/>
      <c r="K37" s="442"/>
      <c r="L37" s="442"/>
      <c r="M37" s="442"/>
      <c r="N37" s="442"/>
      <c r="O37" s="442"/>
      <c r="P37" s="442"/>
      <c r="Q37" s="442"/>
      <c r="R37" s="442"/>
      <c r="S37" s="442"/>
      <c r="T37" s="442"/>
    </row>
    <row r="39" spans="2:24" x14ac:dyDescent="0.25">
      <c r="F39" s="436" t="s">
        <v>242</v>
      </c>
      <c r="G39" s="437"/>
      <c r="H39" s="438"/>
      <c r="I39" s="195"/>
      <c r="J39" s="436" t="s">
        <v>209</v>
      </c>
      <c r="K39" s="437"/>
      <c r="L39" s="438"/>
      <c r="M39" s="195"/>
      <c r="N39" s="436" t="s">
        <v>210</v>
      </c>
      <c r="O39" s="437"/>
      <c r="P39" s="438"/>
      <c r="R39" s="443"/>
      <c r="S39" s="444"/>
      <c r="T39" s="445"/>
    </row>
    <row r="40" spans="2:24" ht="30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40" t="str">
        <f>B36</f>
        <v>Optimal Channel Spend  allowed to vary between  of the 2021 spend</v>
      </c>
      <c r="G53" s="440"/>
      <c r="H53" s="440"/>
      <c r="I53" s="440"/>
      <c r="J53" s="440"/>
      <c r="K53" s="440"/>
      <c r="L53" s="440"/>
      <c r="M53" s="440"/>
      <c r="N53" s="440"/>
      <c r="O53" s="440"/>
      <c r="P53" s="440"/>
    </row>
    <row r="54" spans="2:20" x14ac:dyDescent="0.25">
      <c r="C54" s="448" t="s">
        <v>243</v>
      </c>
      <c r="D54" s="449"/>
      <c r="E54" s="204"/>
      <c r="F54" s="436" t="str">
        <f>F39</f>
        <v>Current Optimal ($MM)</v>
      </c>
      <c r="G54" s="437"/>
      <c r="H54" s="438"/>
      <c r="I54" s="205"/>
      <c r="J54" s="436" t="str">
        <f>J39</f>
        <v>10% reduction optimal ($)</v>
      </c>
      <c r="K54" s="437"/>
      <c r="L54" s="438"/>
      <c r="M54" s="205"/>
      <c r="N54" s="436" t="str">
        <f>N39</f>
        <v>20% reduction optimal ()</v>
      </c>
      <c r="O54" s="437"/>
      <c r="P54" s="438"/>
      <c r="R54" s="450"/>
      <c r="S54" s="451"/>
      <c r="T54" s="452"/>
    </row>
    <row r="55" spans="2:20" ht="30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216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x14ac:dyDescent="0.25">
      <c r="B64" s="221" t="s">
        <v>217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35" priority="17" operator="lessThan">
      <formula>0</formula>
    </cfRule>
    <cfRule type="cellIs" dxfId="34" priority="18" operator="greaterThan">
      <formula>0</formula>
    </cfRule>
  </conditionalFormatting>
  <conditionalFormatting sqref="K22:K30">
    <cfRule type="cellIs" dxfId="33" priority="15" operator="lessThan">
      <formula>0</formula>
    </cfRule>
    <cfRule type="cellIs" dxfId="32" priority="16" operator="greaterThan">
      <formula>0</formula>
    </cfRule>
  </conditionalFormatting>
  <conditionalFormatting sqref="O22:O30">
    <cfRule type="cellIs" dxfId="31" priority="13" operator="lessThan">
      <formula>0</formula>
    </cfRule>
    <cfRule type="cellIs" dxfId="30" priority="14" operator="greaterThan">
      <formula>0</formula>
    </cfRule>
  </conditionalFormatting>
  <conditionalFormatting sqref="S22:S30">
    <cfRule type="cellIs" dxfId="29" priority="11" operator="lessThan">
      <formula>0</formula>
    </cfRule>
    <cfRule type="cellIs" dxfId="28" priority="12" operator="greaterThan">
      <formula>0</formula>
    </cfRule>
  </conditionalFormatting>
  <conditionalFormatting sqref="G56:G63">
    <cfRule type="cellIs" dxfId="27" priority="9" operator="lessThan">
      <formula>0</formula>
    </cfRule>
    <cfRule type="cellIs" dxfId="26" priority="10" operator="greaterThan">
      <formula>0</formula>
    </cfRule>
  </conditionalFormatting>
  <conditionalFormatting sqref="K56:K63">
    <cfRule type="cellIs" dxfId="25" priority="7" operator="lessThan">
      <formula>0</formula>
    </cfRule>
    <cfRule type="cellIs" dxfId="24" priority="8" operator="greaterThan">
      <formula>0</formula>
    </cfRule>
  </conditionalFormatting>
  <conditionalFormatting sqref="O56:O63">
    <cfRule type="cellIs" dxfId="23" priority="5" operator="lessThan">
      <formula>0</formula>
    </cfRule>
    <cfRule type="cellIs" dxfId="22" priority="6" operator="greaterThan">
      <formula>0</formula>
    </cfRule>
  </conditionalFormatting>
  <conditionalFormatting sqref="S56:S63">
    <cfRule type="cellIs" dxfId="21" priority="3" operator="lessThan">
      <formula>0</formula>
    </cfRule>
    <cfRule type="cellIs" dxfId="20" priority="4" operator="greaterThan">
      <formula>0</formula>
    </cfRule>
  </conditionalFormatting>
  <conditionalFormatting sqref="W22:W30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441" t="s">
        <v>249</v>
      </c>
      <c r="G4" s="441"/>
      <c r="H4" s="441"/>
      <c r="I4" s="441"/>
      <c r="J4" s="441"/>
      <c r="K4" s="441"/>
      <c r="L4" s="441"/>
      <c r="M4" s="441"/>
      <c r="N4" s="441"/>
      <c r="O4" s="441"/>
      <c r="P4" s="441"/>
    </row>
    <row r="5" spans="1:28" x14ac:dyDescent="0.25">
      <c r="F5" s="436" t="s">
        <v>255</v>
      </c>
      <c r="G5" s="437"/>
      <c r="H5" s="438"/>
      <c r="I5" s="195"/>
      <c r="J5" s="436" t="s">
        <v>261</v>
      </c>
      <c r="K5" s="437"/>
      <c r="L5" s="438"/>
      <c r="M5" s="195"/>
      <c r="N5" s="436" t="s">
        <v>262</v>
      </c>
      <c r="O5" s="437"/>
      <c r="P5" s="438"/>
      <c r="R5" s="436" t="s">
        <v>263</v>
      </c>
      <c r="S5" s="437"/>
      <c r="T5" s="438"/>
      <c r="V5" s="436" t="s">
        <v>264</v>
      </c>
      <c r="W5" s="437"/>
      <c r="X5" s="438"/>
      <c r="Z5" s="97" t="s">
        <v>248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1228705.0999999999</v>
      </c>
      <c r="AA7" s="191">
        <f>(Z7-$C7)/$C7</f>
        <v>-0.27723229411764716</v>
      </c>
      <c r="AB7" s="199">
        <f>VAC_Optim_Scenario!$J35</f>
        <v>5933732.8283146154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6974984.7570000011</v>
      </c>
      <c r="AA8" s="191">
        <f t="shared" ref="AA8:AA15" si="0">(Z8-$C8)/$C8</f>
        <v>0.21433330031268083</v>
      </c>
      <c r="AB8" s="199">
        <f>VAC_Optim_Scenario!$J36</f>
        <v>75572474.639871225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1666468.7252945821</v>
      </c>
      <c r="AA9" s="191">
        <f t="shared" si="0"/>
        <v>-0.14332440593890328</v>
      </c>
      <c r="AB9" s="199">
        <f>VAC_Optim_Scenario!$J37</f>
        <v>15006935.621733909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225000.022</v>
      </c>
      <c r="AA10" s="191">
        <f t="shared" si="0"/>
        <v>-0.56390266913248344</v>
      </c>
      <c r="AB10" s="199">
        <f>VAC_Optim_Scenario!$J38</f>
        <v>2031161.5894317664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4326087.5</v>
      </c>
      <c r="AA11" s="191">
        <f t="shared" si="0"/>
        <v>-0.17556412732150187</v>
      </c>
      <c r="AB11" s="199">
        <f>VAC_Optim_Scenario!$J39</f>
        <v>25462546.467915077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2142864.5810000002</v>
      </c>
      <c r="AA12" s="191">
        <f t="shared" si="0"/>
        <v>1.1583926621615357</v>
      </c>
      <c r="AB12" s="199">
        <f>VAC_Optim_Scenario!$J40</f>
        <v>28569508.760968704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344707</v>
      </c>
      <c r="AA13" s="191">
        <f t="shared" si="0"/>
        <v>-0.56911625538604682</v>
      </c>
      <c r="AB13" s="199">
        <f>VAC_Optim_Scenario!$J41</f>
        <v>29529022.26299376</v>
      </c>
    </row>
    <row r="14" spans="1:28" x14ac:dyDescent="0.25">
      <c r="A14" s="194"/>
      <c r="B14" s="198" t="str">
        <f>VAC_Optim_Scenario!B24</f>
        <v>HCC Radio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1868162.933</v>
      </c>
      <c r="AA14" s="191">
        <f t="shared" si="0"/>
        <v>0.43172851433270149</v>
      </c>
      <c r="AB14" s="199">
        <f>VAC_Optim_Scenario!$J42</f>
        <v>18662665.324166391</v>
      </c>
    </row>
    <row r="15" spans="1:28" x14ac:dyDescent="0.25">
      <c r="A15" s="194"/>
      <c r="B15" s="198" t="str">
        <f>VAC_Optim_Scenario!B25</f>
        <v>HCC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13503524.99</v>
      </c>
      <c r="AA15" s="191">
        <f t="shared" si="0"/>
        <v>-9.8797946508791742E-3</v>
      </c>
      <c r="AB15" s="199">
        <f>VAC_Optim_Scenario!$J43</f>
        <v>57317880.122995496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32280505.608294584</v>
      </c>
      <c r="AA16" s="203">
        <f>(Z16-$C$16)/$C$16</f>
        <v>1.2298442809853826E-2</v>
      </c>
      <c r="AB16" s="202">
        <f>SUM(AB7:AB15)</f>
        <v>258085927.61839092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441" t="str">
        <f>F4</f>
        <v>Optimal channel spend allowed to vary between +/- 30% of the 2021 channel spend</v>
      </c>
      <c r="G19" s="441"/>
      <c r="H19" s="441"/>
      <c r="I19" s="441"/>
      <c r="J19" s="441"/>
      <c r="K19" s="441"/>
      <c r="L19" s="441"/>
      <c r="M19" s="441"/>
      <c r="N19" s="441"/>
      <c r="O19" s="441"/>
      <c r="P19" s="441"/>
    </row>
    <row r="20" spans="1:24" ht="30.4" customHeight="1" x14ac:dyDescent="0.25">
      <c r="C20" s="448" t="s">
        <v>266</v>
      </c>
      <c r="D20" s="449"/>
      <c r="E20" s="204"/>
      <c r="F20" s="436" t="str">
        <f>F5</f>
        <v>Current Optimal ($32MM)</v>
      </c>
      <c r="G20" s="437"/>
      <c r="H20" s="438"/>
      <c r="I20" s="205"/>
      <c r="J20" s="436" t="str">
        <f>J5</f>
        <v>10% reduction optimal ($29M)</v>
      </c>
      <c r="K20" s="437"/>
      <c r="L20" s="438"/>
      <c r="M20" s="205"/>
      <c r="N20" s="436" t="str">
        <f>N5</f>
        <v>20% reduction optimal ($26M)</v>
      </c>
      <c r="O20" s="437"/>
      <c r="P20" s="438"/>
      <c r="R20" s="436" t="str">
        <f>R5</f>
        <v>10% increase optimal ($35M)</v>
      </c>
      <c r="S20" s="437"/>
      <c r="T20" s="438"/>
      <c r="V20" s="436" t="str">
        <f>V5</f>
        <v>20% increase optimal ($38M)</v>
      </c>
      <c r="W20" s="437"/>
      <c r="X20" s="438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299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4">
        <f>H7/1000000</f>
        <v>13.6100055720021</v>
      </c>
      <c r="I22" s="212"/>
      <c r="J22" s="213">
        <f>J7/1000000</f>
        <v>2.04</v>
      </c>
      <c r="K22" s="214">
        <f>K7</f>
        <v>0.2</v>
      </c>
      <c r="L22" s="294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4">
        <f>P7/1000000</f>
        <v>10.4732293814481</v>
      </c>
      <c r="Q22" s="193"/>
      <c r="R22" s="213">
        <f>R7/1000000</f>
        <v>2.04</v>
      </c>
      <c r="S22" s="214">
        <f>S7</f>
        <v>0.2</v>
      </c>
      <c r="T22" s="294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0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5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5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5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5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0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5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5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5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5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0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5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5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5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5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0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5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5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5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5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0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5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5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5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5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0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5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5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5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5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Radio</v>
      </c>
      <c r="C29" s="216">
        <f t="shared" si="3"/>
        <v>1.30483043</v>
      </c>
      <c r="D29" s="300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5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5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5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5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TV</v>
      </c>
      <c r="C30" s="216">
        <f t="shared" si="3"/>
        <v>13.63826828</v>
      </c>
      <c r="D30" s="300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5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5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5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5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01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296" t="s">
        <v>265</v>
      </c>
      <c r="C32" s="222"/>
      <c r="D32" s="223"/>
      <c r="E32" s="224"/>
      <c r="F32" s="225"/>
      <c r="G32" s="226"/>
      <c r="H32" s="298" t="s">
        <v>256</v>
      </c>
      <c r="I32" s="224"/>
      <c r="J32" s="225"/>
      <c r="K32" s="226"/>
      <c r="L32" s="229" t="s">
        <v>257</v>
      </c>
      <c r="M32" s="224"/>
      <c r="N32" s="225"/>
      <c r="O32" s="226"/>
      <c r="P32" s="229" t="s">
        <v>258</v>
      </c>
      <c r="R32" s="225"/>
      <c r="S32" s="226"/>
      <c r="T32" s="298" t="s">
        <v>259</v>
      </c>
      <c r="V32" s="225"/>
      <c r="W32" s="226"/>
      <c r="X32" s="298" t="s">
        <v>260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297">
        <f>H33/$D$31</f>
        <v>3.5705042417482985E-2</v>
      </c>
      <c r="L34" s="297">
        <f>L33/$D$31</f>
        <v>-1.4899195132062636E-2</v>
      </c>
      <c r="P34" s="297">
        <f>P33/$D$31</f>
        <v>-9.1912082788183316E-2</v>
      </c>
      <c r="T34" s="297">
        <f>T33/$D$31</f>
        <v>8.2681401230603579E-2</v>
      </c>
      <c r="X34" s="297">
        <f>X33/$D$31</f>
        <v>0.11903943039343379</v>
      </c>
    </row>
    <row r="36" spans="2:24" x14ac:dyDescent="0.25">
      <c r="B36" s="442" t="s">
        <v>250</v>
      </c>
      <c r="C36" s="442"/>
      <c r="D36" s="442"/>
      <c r="E36" s="442"/>
      <c r="F36" s="442"/>
      <c r="G36" s="442"/>
      <c r="H36" s="442"/>
      <c r="I36" s="442"/>
      <c r="J36" s="442"/>
      <c r="K36" s="442"/>
      <c r="L36" s="442"/>
      <c r="M36" s="442"/>
      <c r="N36" s="442"/>
      <c r="O36" s="442"/>
      <c r="P36" s="442"/>
      <c r="Q36" s="442"/>
      <c r="R36" s="442"/>
      <c r="S36" s="442"/>
      <c r="T36" s="442"/>
    </row>
    <row r="37" spans="2:24" x14ac:dyDescent="0.25">
      <c r="B37" s="442"/>
      <c r="C37" s="442"/>
      <c r="D37" s="442"/>
      <c r="E37" s="442"/>
      <c r="F37" s="442"/>
      <c r="G37" s="442"/>
      <c r="H37" s="442"/>
      <c r="I37" s="442"/>
      <c r="J37" s="442"/>
      <c r="K37" s="442"/>
      <c r="L37" s="442"/>
      <c r="M37" s="442"/>
      <c r="N37" s="442"/>
      <c r="O37" s="442"/>
      <c r="P37" s="442"/>
      <c r="Q37" s="442"/>
      <c r="R37" s="442"/>
      <c r="S37" s="442"/>
      <c r="T37" s="442"/>
    </row>
    <row r="39" spans="2:24" x14ac:dyDescent="0.25">
      <c r="F39" s="436" t="s">
        <v>242</v>
      </c>
      <c r="G39" s="437"/>
      <c r="H39" s="438"/>
      <c r="I39" s="195"/>
      <c r="J39" s="436" t="s">
        <v>209</v>
      </c>
      <c r="K39" s="437"/>
      <c r="L39" s="438"/>
      <c r="M39" s="195"/>
      <c r="N39" s="436" t="s">
        <v>210</v>
      </c>
      <c r="O39" s="437"/>
      <c r="P39" s="438"/>
      <c r="R39" s="443"/>
      <c r="S39" s="444"/>
      <c r="T39" s="445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40" t="str">
        <f>B36</f>
        <v>Optimal Channel Spend  allowed to vary between  of the 2021 spend</v>
      </c>
      <c r="G53" s="440"/>
      <c r="H53" s="440"/>
      <c r="I53" s="440"/>
      <c r="J53" s="440"/>
      <c r="K53" s="440"/>
      <c r="L53" s="440"/>
      <c r="M53" s="440"/>
      <c r="N53" s="440"/>
      <c r="O53" s="440"/>
      <c r="P53" s="440"/>
    </row>
    <row r="54" spans="2:20" x14ac:dyDescent="0.25">
      <c r="C54" s="448" t="s">
        <v>243</v>
      </c>
      <c r="D54" s="449"/>
      <c r="E54" s="204"/>
      <c r="F54" s="436" t="str">
        <f>F39</f>
        <v>Current Optimal ($MM)</v>
      </c>
      <c r="G54" s="437"/>
      <c r="H54" s="438"/>
      <c r="I54" s="205"/>
      <c r="J54" s="436" t="str">
        <f>J39</f>
        <v>10% reduction optimal ($)</v>
      </c>
      <c r="K54" s="437"/>
      <c r="L54" s="438"/>
      <c r="M54" s="205"/>
      <c r="N54" s="436" t="str">
        <f>N39</f>
        <v>20% reduction optimal ()</v>
      </c>
      <c r="O54" s="437"/>
      <c r="P54" s="438"/>
      <c r="R54" s="450"/>
      <c r="S54" s="451"/>
      <c r="T54" s="452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46"/>
      <c r="J67" s="346"/>
      <c r="K67" s="346"/>
      <c r="L67" s="191" t="e">
        <f>L66/$D$64</f>
        <v>#DIV/0!</v>
      </c>
      <c r="M67" s="346"/>
      <c r="N67" s="346"/>
      <c r="O67" s="346"/>
      <c r="P67" s="191" t="e">
        <f>P66/$D$64</f>
        <v>#DIV/0!</v>
      </c>
      <c r="Q67" s="346"/>
      <c r="R67" s="346"/>
      <c r="S67" s="346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K22:K30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22:O30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S22:S30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6:G6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6:K6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6:O6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56:S6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W22:W3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0" t="s">
        <v>231</v>
      </c>
    </row>
    <row r="2" spans="2:20" ht="15.75" thickBot="1" x14ac:dyDescent="0.3"/>
    <row r="3" spans="2:20" ht="30.2" customHeight="1" x14ac:dyDescent="0.25">
      <c r="B3" s="453" t="s">
        <v>2</v>
      </c>
      <c r="C3" s="455" t="s">
        <v>3</v>
      </c>
      <c r="D3" s="456" t="s">
        <v>232</v>
      </c>
      <c r="E3" s="457"/>
      <c r="F3" s="456" t="s">
        <v>233</v>
      </c>
      <c r="G3" s="457"/>
      <c r="H3" s="456" t="s">
        <v>234</v>
      </c>
      <c r="I3" s="457"/>
      <c r="K3" s="453" t="s">
        <v>2</v>
      </c>
      <c r="L3" s="455" t="s">
        <v>3</v>
      </c>
      <c r="M3" s="456" t="s">
        <v>232</v>
      </c>
      <c r="N3" s="457"/>
      <c r="O3" s="456" t="s">
        <v>233</v>
      </c>
      <c r="P3" s="457"/>
      <c r="Q3" s="456" t="s">
        <v>234</v>
      </c>
      <c r="R3" s="457"/>
    </row>
    <row r="4" spans="2:20" ht="25.5" x14ac:dyDescent="0.25">
      <c r="B4" s="454"/>
      <c r="C4" s="454"/>
      <c r="D4" s="241" t="s">
        <v>235</v>
      </c>
      <c r="E4" s="242" t="s">
        <v>236</v>
      </c>
      <c r="F4" s="241" t="s">
        <v>235</v>
      </c>
      <c r="G4" s="242" t="s">
        <v>236</v>
      </c>
      <c r="H4" s="241" t="s">
        <v>235</v>
      </c>
      <c r="I4" s="242" t="s">
        <v>236</v>
      </c>
      <c r="K4" s="454"/>
      <c r="L4" s="454"/>
      <c r="M4" s="241" t="s">
        <v>235</v>
      </c>
      <c r="N4" s="242" t="s">
        <v>236</v>
      </c>
      <c r="O4" s="241" t="s">
        <v>235</v>
      </c>
      <c r="P4" s="242" t="s">
        <v>236</v>
      </c>
      <c r="Q4" s="241" t="s">
        <v>235</v>
      </c>
      <c r="R4" s="242" t="s">
        <v>236</v>
      </c>
    </row>
    <row r="5" spans="2:20" x14ac:dyDescent="0.25">
      <c r="B5" s="53" t="s">
        <v>154</v>
      </c>
      <c r="C5" s="243" t="str">
        <f>VAC_Optim_Scenario!B17</f>
        <v>HCC In Office</v>
      </c>
      <c r="D5" s="244">
        <v>3081000</v>
      </c>
      <c r="E5" s="245">
        <v>15505097.624899359</v>
      </c>
      <c r="F5" s="244">
        <v>1659000</v>
      </c>
      <c r="G5" s="245">
        <v>5231470.2092302376</v>
      </c>
      <c r="H5" s="244">
        <v>3081000</v>
      </c>
      <c r="I5" s="245">
        <v>31010195.249798719</v>
      </c>
      <c r="J5" s="246"/>
      <c r="K5" s="53" t="s">
        <v>154</v>
      </c>
      <c r="L5" s="53" t="str">
        <f>VAC_Optim_Scenario!B17</f>
        <v>HCC In Office</v>
      </c>
      <c r="M5" s="247">
        <f>D5/1000000</f>
        <v>3.081</v>
      </c>
      <c r="N5" s="248">
        <f t="shared" ref="N5:R13" si="0">E5/1000000</f>
        <v>15.50509762489936</v>
      </c>
      <c r="O5" s="247">
        <f t="shared" si="0"/>
        <v>1.659</v>
      </c>
      <c r="P5" s="248">
        <f t="shared" si="0"/>
        <v>5.2314702092302374</v>
      </c>
      <c r="Q5" s="247">
        <f t="shared" si="0"/>
        <v>3.081</v>
      </c>
      <c r="R5" s="248">
        <f t="shared" si="0"/>
        <v>31.01019524979872</v>
      </c>
    </row>
    <row r="6" spans="2:20" x14ac:dyDescent="0.25">
      <c r="B6" s="54" t="s">
        <v>154</v>
      </c>
      <c r="C6" s="249" t="str">
        <f>VAC_Optim_Scenario!B18</f>
        <v>HCP MCM</v>
      </c>
      <c r="D6" s="250">
        <v>7913749.9886468202</v>
      </c>
      <c r="E6" s="251">
        <v>57060597.324814886</v>
      </c>
      <c r="F6" s="250">
        <v>7913749.9886468202</v>
      </c>
      <c r="G6" s="251">
        <v>28530298.662407443</v>
      </c>
      <c r="H6" s="250">
        <v>7913749.9886468202</v>
      </c>
      <c r="I6" s="251">
        <v>114121194.64962977</v>
      </c>
      <c r="J6" s="246"/>
      <c r="K6" s="54" t="s">
        <v>154</v>
      </c>
      <c r="L6" s="54" t="str">
        <f>VAC_Optim_Scenario!B18</f>
        <v>HCP MCM</v>
      </c>
      <c r="M6" s="252">
        <f t="shared" ref="M6:M13" si="1">D6/1000000</f>
        <v>7.9137499886468206</v>
      </c>
      <c r="N6" s="253">
        <f t="shared" si="0"/>
        <v>57.060597324814886</v>
      </c>
      <c r="O6" s="252">
        <f t="shared" si="0"/>
        <v>7.9137499886468206</v>
      </c>
      <c r="P6" s="253">
        <f t="shared" si="0"/>
        <v>28.530298662407443</v>
      </c>
      <c r="Q6" s="252">
        <f t="shared" si="0"/>
        <v>7.9137499886468206</v>
      </c>
      <c r="R6" s="253">
        <f t="shared" si="0"/>
        <v>114.12119464962977</v>
      </c>
    </row>
    <row r="7" spans="2:20" x14ac:dyDescent="0.25">
      <c r="B7" s="54" t="s">
        <v>154</v>
      </c>
      <c r="C7" s="249" t="str">
        <f>VAC_Optim_Scenario!B19</f>
        <v>HCC Social</v>
      </c>
      <c r="D7" s="250">
        <v>2938000</v>
      </c>
      <c r="E7" s="251">
        <v>12484947.958885178</v>
      </c>
      <c r="F7" s="250">
        <v>1582000</v>
      </c>
      <c r="G7" s="251">
        <v>4305757.3675515149</v>
      </c>
      <c r="H7" s="250">
        <v>2938000</v>
      </c>
      <c r="I7" s="251">
        <v>24969895.917770356</v>
      </c>
      <c r="J7" s="254"/>
      <c r="K7" s="54" t="s">
        <v>154</v>
      </c>
      <c r="L7" s="54" t="str">
        <f>VAC_Optim_Scenario!B19</f>
        <v>HCC Social</v>
      </c>
      <c r="M7" s="252">
        <f t="shared" si="1"/>
        <v>2.9380000000000002</v>
      </c>
      <c r="N7" s="253">
        <f t="shared" si="0"/>
        <v>12.484947958885177</v>
      </c>
      <c r="O7" s="252">
        <f t="shared" si="0"/>
        <v>1.5820000000000001</v>
      </c>
      <c r="P7" s="253">
        <f t="shared" si="0"/>
        <v>4.3057573675515153</v>
      </c>
      <c r="Q7" s="252">
        <f t="shared" si="0"/>
        <v>2.9380000000000002</v>
      </c>
      <c r="R7" s="253">
        <f t="shared" si="0"/>
        <v>24.969895917770355</v>
      </c>
    </row>
    <row r="8" spans="2:20" x14ac:dyDescent="0.25">
      <c r="B8" s="54" t="s">
        <v>154</v>
      </c>
      <c r="C8" s="249" t="str">
        <f>VAC_Optim_Scenario!B20</f>
        <v>HCC Online Video</v>
      </c>
      <c r="D8" s="250">
        <v>693000</v>
      </c>
      <c r="E8" s="251">
        <v>1393371.6974633737</v>
      </c>
      <c r="F8" s="250">
        <v>693000</v>
      </c>
      <c r="G8" s="251">
        <v>696685.84873168683</v>
      </c>
      <c r="H8" s="250">
        <v>1287000</v>
      </c>
      <c r="I8" s="251">
        <v>5072075.9622077979</v>
      </c>
      <c r="J8" s="246"/>
      <c r="K8" s="54" t="s">
        <v>154</v>
      </c>
      <c r="L8" s="54" t="str">
        <f>VAC_Optim_Scenario!B20</f>
        <v>HCC Online Video</v>
      </c>
      <c r="M8" s="252">
        <f t="shared" si="1"/>
        <v>0.69299999999999995</v>
      </c>
      <c r="N8" s="253">
        <f t="shared" si="0"/>
        <v>1.3933716974633736</v>
      </c>
      <c r="O8" s="252">
        <f t="shared" si="0"/>
        <v>0.69299999999999995</v>
      </c>
      <c r="P8" s="253">
        <f t="shared" si="0"/>
        <v>0.69668584873168682</v>
      </c>
      <c r="Q8" s="252">
        <f t="shared" si="0"/>
        <v>1.2869999999999999</v>
      </c>
      <c r="R8" s="253">
        <f t="shared" si="0"/>
        <v>5.0720759622077978</v>
      </c>
    </row>
    <row r="9" spans="2:20" x14ac:dyDescent="0.25">
      <c r="B9" s="54" t="s">
        <v>154</v>
      </c>
      <c r="C9" s="249" t="str">
        <f>VAC_Optim_Scenario!B21</f>
        <v>HCC Streaming Video</v>
      </c>
      <c r="D9" s="250">
        <v>3941643.9999999995</v>
      </c>
      <c r="E9" s="251">
        <v>16046723.043048661</v>
      </c>
      <c r="F9" s="250">
        <v>3941643.9999999995</v>
      </c>
      <c r="G9" s="251">
        <v>8023361.5215243306</v>
      </c>
      <c r="H9" s="250">
        <v>7320196</v>
      </c>
      <c r="I9" s="251">
        <v>46528980.850825705</v>
      </c>
      <c r="J9" s="254"/>
      <c r="K9" s="54" t="s">
        <v>154</v>
      </c>
      <c r="L9" s="54" t="str">
        <f>VAC_Optim_Scenario!B21</f>
        <v>HCC Streaming Video</v>
      </c>
      <c r="M9" s="252">
        <f t="shared" si="1"/>
        <v>3.9416439999999997</v>
      </c>
      <c r="N9" s="253">
        <f t="shared" si="0"/>
        <v>16.046723043048662</v>
      </c>
      <c r="O9" s="252">
        <f t="shared" si="0"/>
        <v>3.9416439999999997</v>
      </c>
      <c r="P9" s="253">
        <f t="shared" si="0"/>
        <v>8.0233615215243308</v>
      </c>
      <c r="Q9" s="252">
        <f t="shared" si="0"/>
        <v>7.3201960000000001</v>
      </c>
      <c r="R9" s="253">
        <f t="shared" si="0"/>
        <v>46.528980850825704</v>
      </c>
    </row>
    <row r="10" spans="2:20" x14ac:dyDescent="0.25">
      <c r="B10" s="54" t="s">
        <v>154</v>
      </c>
      <c r="C10" s="249" t="str">
        <f>VAC_Optim_Scenario!B22</f>
        <v>HCC Display</v>
      </c>
      <c r="D10" s="250">
        <v>1921400</v>
      </c>
      <c r="E10" s="251">
        <v>18796150.349974733</v>
      </c>
      <c r="F10" s="250">
        <v>1921400</v>
      </c>
      <c r="G10" s="251">
        <v>9398075.1749873664</v>
      </c>
      <c r="H10" s="250">
        <v>1921400</v>
      </c>
      <c r="I10" s="251">
        <v>37592300.699949466</v>
      </c>
      <c r="J10" s="254"/>
      <c r="K10" s="54" t="s">
        <v>154</v>
      </c>
      <c r="L10" s="54" t="str">
        <f>VAC_Optim_Scenario!B22</f>
        <v>HCC Display</v>
      </c>
      <c r="M10" s="252">
        <f t="shared" si="1"/>
        <v>1.9214</v>
      </c>
      <c r="N10" s="253">
        <f t="shared" si="0"/>
        <v>18.796150349974734</v>
      </c>
      <c r="O10" s="252">
        <f t="shared" si="0"/>
        <v>1.9214</v>
      </c>
      <c r="P10" s="253">
        <f t="shared" si="0"/>
        <v>9.3980751749873672</v>
      </c>
      <c r="Q10" s="252">
        <f t="shared" si="0"/>
        <v>1.9214</v>
      </c>
      <c r="R10" s="253">
        <f t="shared" si="0"/>
        <v>37.592300699949469</v>
      </c>
    </row>
    <row r="11" spans="2:20" x14ac:dyDescent="0.25">
      <c r="B11" s="54" t="s">
        <v>154</v>
      </c>
      <c r="C11" s="249" t="str">
        <f>VAC_Optim_Scenario!B23</f>
        <v>HCC Paid Search</v>
      </c>
      <c r="D11" s="250">
        <v>1232000</v>
      </c>
      <c r="E11" s="251">
        <v>1724376.7699591145</v>
      </c>
      <c r="F11" s="250">
        <v>1232000</v>
      </c>
      <c r="G11" s="251">
        <v>862188.38497955725</v>
      </c>
      <c r="H11" s="250">
        <v>1232000</v>
      </c>
      <c r="I11" s="251">
        <v>3448753.539918229</v>
      </c>
      <c r="J11" s="246"/>
      <c r="K11" s="54" t="s">
        <v>154</v>
      </c>
      <c r="L11" s="54" t="str">
        <f>VAC_Optim_Scenario!B23</f>
        <v>HCC Paid Search</v>
      </c>
      <c r="M11" s="252">
        <f t="shared" si="1"/>
        <v>1.232</v>
      </c>
      <c r="N11" s="253">
        <f t="shared" si="0"/>
        <v>1.7243767699591146</v>
      </c>
      <c r="O11" s="252">
        <f t="shared" si="0"/>
        <v>1.232</v>
      </c>
      <c r="P11" s="253">
        <f t="shared" si="0"/>
        <v>0.8621883849795573</v>
      </c>
      <c r="Q11" s="252">
        <f t="shared" si="0"/>
        <v>1.232</v>
      </c>
      <c r="R11" s="253">
        <f t="shared" si="0"/>
        <v>3.4487535399182292</v>
      </c>
    </row>
    <row r="12" spans="2:20" x14ac:dyDescent="0.25">
      <c r="B12" s="54" t="s">
        <v>154</v>
      </c>
      <c r="C12" s="249" t="str">
        <f>VAC_Optim_Scenario!B24</f>
        <v>HCC Radio</v>
      </c>
      <c r="D12" s="250">
        <v>1599670.8676800225</v>
      </c>
      <c r="E12" s="251">
        <v>9996421.98813181</v>
      </c>
      <c r="F12" s="250">
        <v>913707.9</v>
      </c>
      <c r="G12" s="251">
        <v>3995078.1857456174</v>
      </c>
      <c r="H12" s="250">
        <v>1696886.1</v>
      </c>
      <c r="I12" s="251">
        <v>20470261.90992026</v>
      </c>
      <c r="J12" s="246"/>
      <c r="K12" s="54" t="s">
        <v>154</v>
      </c>
      <c r="L12" s="54" t="str">
        <f>VAC_Optim_Scenario!B24</f>
        <v>HCC Radio</v>
      </c>
      <c r="M12" s="252">
        <f t="shared" si="1"/>
        <v>1.5996708676800224</v>
      </c>
      <c r="N12" s="253">
        <f t="shared" si="0"/>
        <v>9.9964219881318108</v>
      </c>
      <c r="O12" s="252">
        <f t="shared" si="0"/>
        <v>0.91370790000000002</v>
      </c>
      <c r="P12" s="253">
        <f t="shared" si="0"/>
        <v>3.9950781857456175</v>
      </c>
      <c r="Q12" s="252">
        <f t="shared" si="0"/>
        <v>1.6968861000000002</v>
      </c>
      <c r="R12" s="253">
        <f t="shared" si="0"/>
        <v>20.470261909920261</v>
      </c>
    </row>
    <row r="13" spans="2:20" x14ac:dyDescent="0.25">
      <c r="B13" s="263" t="s">
        <v>154</v>
      </c>
      <c r="C13" s="236" t="str">
        <f>VAC_Optim_Scenario!B25</f>
        <v>HCC TV</v>
      </c>
      <c r="D13" s="264">
        <v>15034299.993673161</v>
      </c>
      <c r="E13" s="264">
        <v>62633387.738168843</v>
      </c>
      <c r="F13" s="264">
        <v>11531133.494999999</v>
      </c>
      <c r="G13" s="264">
        <v>26708480.43695968</v>
      </c>
      <c r="H13" s="264">
        <v>18498262.961353183</v>
      </c>
      <c r="I13" s="264">
        <v>141861497.65733996</v>
      </c>
      <c r="J13" s="246"/>
      <c r="K13" s="263" t="s">
        <v>154</v>
      </c>
      <c r="L13" s="263" t="str">
        <f>VAC_Optim_Scenario!B25</f>
        <v>HCC TV</v>
      </c>
      <c r="M13" s="257">
        <f t="shared" si="1"/>
        <v>15.034299993673161</v>
      </c>
      <c r="N13" s="257">
        <f t="shared" si="0"/>
        <v>62.633387738168842</v>
      </c>
      <c r="O13" s="257">
        <f t="shared" si="0"/>
        <v>11.531133494999999</v>
      </c>
      <c r="P13" s="257">
        <f t="shared" si="0"/>
        <v>26.708480436959679</v>
      </c>
      <c r="Q13" s="257">
        <f t="shared" si="0"/>
        <v>18.498262961353184</v>
      </c>
      <c r="R13" s="257">
        <f t="shared" si="0"/>
        <v>141.86149765733995</v>
      </c>
    </row>
    <row r="14" spans="2:20" x14ac:dyDescent="0.25">
      <c r="T14" s="305"/>
    </row>
    <row r="15" spans="2:20" x14ac:dyDescent="0.25">
      <c r="C15" s="240" t="s">
        <v>238</v>
      </c>
    </row>
    <row r="17" spans="2:19" ht="37.9" customHeight="1" x14ac:dyDescent="0.25">
      <c r="C17" s="455" t="s">
        <v>3</v>
      </c>
      <c r="D17" s="456" t="s">
        <v>232</v>
      </c>
      <c r="E17" s="457"/>
      <c r="F17" s="456" t="s">
        <v>239</v>
      </c>
      <c r="G17" s="457"/>
      <c r="H17" s="456" t="s">
        <v>240</v>
      </c>
      <c r="I17" s="457"/>
      <c r="L17" s="455" t="s">
        <v>3</v>
      </c>
      <c r="M17" s="456" t="s">
        <v>232</v>
      </c>
      <c r="N17" s="457"/>
      <c r="O17" s="456" t="s">
        <v>239</v>
      </c>
      <c r="P17" s="457"/>
      <c r="Q17" s="456" t="s">
        <v>240</v>
      </c>
      <c r="R17" s="457"/>
    </row>
    <row r="18" spans="2:19" ht="25.5" x14ac:dyDescent="0.25">
      <c r="C18" s="454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54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3" t="str">
        <f>VAC_Optim_Scenario!B17</f>
        <v>HCC In Office</v>
      </c>
      <c r="D19" s="244">
        <v>3081000</v>
      </c>
      <c r="E19" s="245">
        <v>15505097.624899359</v>
      </c>
      <c r="F19" s="244">
        <v>1976029.1300433497</v>
      </c>
      <c r="G19" s="245">
        <v>7097337.0795079041</v>
      </c>
      <c r="H19" s="244">
        <v>3081000</v>
      </c>
      <c r="I19" s="245">
        <v>21707136.674859103</v>
      </c>
      <c r="J19" s="246"/>
      <c r="K19" s="53" t="s">
        <v>154</v>
      </c>
      <c r="L19" s="243" t="str">
        <f>VAC_Optim_Scenario!B17</f>
        <v>HCC In Office</v>
      </c>
      <c r="M19" s="247">
        <f>D19/1000000</f>
        <v>3.081</v>
      </c>
      <c r="N19" s="248">
        <f t="shared" ref="N19:R27" si="2">E19/1000000</f>
        <v>15.50509762489936</v>
      </c>
      <c r="O19" s="247">
        <f t="shared" si="2"/>
        <v>1.9760291300433497</v>
      </c>
      <c r="P19" s="248">
        <f t="shared" si="2"/>
        <v>7.0973370795079038</v>
      </c>
      <c r="Q19" s="247">
        <f t="shared" si="2"/>
        <v>3.081</v>
      </c>
      <c r="R19" s="248">
        <f t="shared" si="2"/>
        <v>21.707136674859104</v>
      </c>
    </row>
    <row r="20" spans="2:19" x14ac:dyDescent="0.25">
      <c r="B20" s="54" t="s">
        <v>154</v>
      </c>
      <c r="C20" s="249" t="str">
        <f>VAC_Optim_Scenario!B18</f>
        <v>HCP MCM</v>
      </c>
      <c r="D20" s="250">
        <v>7913749.9886468202</v>
      </c>
      <c r="E20" s="251">
        <v>57060597.324814886</v>
      </c>
      <c r="F20" s="250">
        <v>7913749.9886468202</v>
      </c>
      <c r="G20" s="251">
        <v>34236358.39488893</v>
      </c>
      <c r="H20" s="250">
        <v>7913749.9886468202</v>
      </c>
      <c r="I20" s="251">
        <v>79884836.254740834</v>
      </c>
      <c r="J20" s="246"/>
      <c r="K20" s="54" t="s">
        <v>154</v>
      </c>
      <c r="L20" s="249" t="str">
        <f>VAC_Optim_Scenario!B18</f>
        <v>HCP MCM</v>
      </c>
      <c r="M20" s="252">
        <f t="shared" ref="M20:M27" si="3">D20/1000000</f>
        <v>7.9137499886468206</v>
      </c>
      <c r="N20" s="253">
        <f t="shared" si="2"/>
        <v>57.060597324814886</v>
      </c>
      <c r="O20" s="252">
        <f t="shared" si="2"/>
        <v>7.9137499886468206</v>
      </c>
      <c r="P20" s="253">
        <f t="shared" si="2"/>
        <v>34.236358394888931</v>
      </c>
      <c r="Q20" s="252">
        <f t="shared" si="2"/>
        <v>7.9137499886468206</v>
      </c>
      <c r="R20" s="253">
        <f t="shared" si="2"/>
        <v>79.884836254740833</v>
      </c>
    </row>
    <row r="21" spans="2:19" x14ac:dyDescent="0.25">
      <c r="B21" s="54" t="s">
        <v>154</v>
      </c>
      <c r="C21" s="249" t="str">
        <f>VAC_Optim_Scenario!B19</f>
        <v>HCC Social</v>
      </c>
      <c r="D21" s="250">
        <v>2938000</v>
      </c>
      <c r="E21" s="251">
        <v>12484947.958885178</v>
      </c>
      <c r="F21" s="250">
        <v>1582000</v>
      </c>
      <c r="G21" s="251">
        <v>5166908.8410618175</v>
      </c>
      <c r="H21" s="250">
        <v>2938000</v>
      </c>
      <c r="I21" s="251">
        <v>17478927.142439246</v>
      </c>
      <c r="J21" s="254"/>
      <c r="K21" s="54" t="s">
        <v>154</v>
      </c>
      <c r="L21" s="249" t="str">
        <f>VAC_Optim_Scenario!B19</f>
        <v>HCC Social</v>
      </c>
      <c r="M21" s="252">
        <f t="shared" si="3"/>
        <v>2.9380000000000002</v>
      </c>
      <c r="N21" s="253">
        <f t="shared" si="2"/>
        <v>12.484947958885177</v>
      </c>
      <c r="O21" s="252">
        <f t="shared" si="2"/>
        <v>1.5820000000000001</v>
      </c>
      <c r="P21" s="253">
        <f t="shared" si="2"/>
        <v>5.1669088410618178</v>
      </c>
      <c r="Q21" s="252">
        <f t="shared" si="2"/>
        <v>2.9380000000000002</v>
      </c>
      <c r="R21" s="253">
        <f t="shared" si="2"/>
        <v>17.478927142439247</v>
      </c>
    </row>
    <row r="22" spans="2:19" x14ac:dyDescent="0.25">
      <c r="B22" s="54" t="s">
        <v>154</v>
      </c>
      <c r="C22" s="249" t="str">
        <f>VAC_Optim_Scenario!B20</f>
        <v>HCC Online Video</v>
      </c>
      <c r="D22" s="250">
        <v>693000</v>
      </c>
      <c r="E22" s="251">
        <v>1393371.6974633737</v>
      </c>
      <c r="F22" s="250">
        <v>693000</v>
      </c>
      <c r="G22" s="251">
        <v>836023.01847802405</v>
      </c>
      <c r="H22" s="250">
        <v>1287000</v>
      </c>
      <c r="I22" s="251">
        <v>3550453.1735454584</v>
      </c>
      <c r="J22" s="246"/>
      <c r="K22" s="54" t="s">
        <v>154</v>
      </c>
      <c r="L22" s="249" t="str">
        <f>VAC_Optim_Scenario!B20</f>
        <v>HCC Online Video</v>
      </c>
      <c r="M22" s="252">
        <f t="shared" si="3"/>
        <v>0.69299999999999995</v>
      </c>
      <c r="N22" s="253">
        <f t="shared" si="2"/>
        <v>1.3933716974633736</v>
      </c>
      <c r="O22" s="252">
        <f t="shared" si="2"/>
        <v>0.69299999999999995</v>
      </c>
      <c r="P22" s="253">
        <f t="shared" si="2"/>
        <v>0.83602301847802407</v>
      </c>
      <c r="Q22" s="252">
        <f t="shared" si="2"/>
        <v>1.2869999999999999</v>
      </c>
      <c r="R22" s="253">
        <f t="shared" si="2"/>
        <v>3.5504531735454585</v>
      </c>
    </row>
    <row r="23" spans="2:19" x14ac:dyDescent="0.25">
      <c r="B23" s="54" t="s">
        <v>154</v>
      </c>
      <c r="C23" s="249" t="str">
        <f>VAC_Optim_Scenario!B21</f>
        <v>HCC Streaming Video</v>
      </c>
      <c r="D23" s="250">
        <v>3941643.9999999995</v>
      </c>
      <c r="E23" s="251">
        <v>16046723.043048661</v>
      </c>
      <c r="F23" s="250">
        <v>3941643.9999999995</v>
      </c>
      <c r="G23" s="251">
        <v>9628033.8258291967</v>
      </c>
      <c r="H23" s="250">
        <v>7133528.9098028336</v>
      </c>
      <c r="I23" s="251">
        <v>32069383.393545374</v>
      </c>
      <c r="J23" s="254"/>
      <c r="K23" s="54" t="s">
        <v>154</v>
      </c>
      <c r="L23" s="249" t="str">
        <f>VAC_Optim_Scenario!B21</f>
        <v>HCC Streaming Video</v>
      </c>
      <c r="M23" s="252">
        <f t="shared" si="3"/>
        <v>3.9416439999999997</v>
      </c>
      <c r="N23" s="253">
        <f t="shared" si="2"/>
        <v>16.046723043048662</v>
      </c>
      <c r="O23" s="252">
        <f t="shared" si="2"/>
        <v>3.9416439999999997</v>
      </c>
      <c r="P23" s="253">
        <f t="shared" si="2"/>
        <v>9.6280338258291973</v>
      </c>
      <c r="Q23" s="252">
        <f t="shared" si="2"/>
        <v>7.1335289098028332</v>
      </c>
      <c r="R23" s="253">
        <f t="shared" si="2"/>
        <v>32.069383393545372</v>
      </c>
    </row>
    <row r="24" spans="2:19" x14ac:dyDescent="0.25">
      <c r="B24" s="54" t="s">
        <v>154</v>
      </c>
      <c r="C24" s="249" t="str">
        <f>VAC_Optim_Scenario!B22</f>
        <v>HCC Display</v>
      </c>
      <c r="D24" s="250">
        <v>1921400</v>
      </c>
      <c r="E24" s="251">
        <v>18796150.349974733</v>
      </c>
      <c r="F24" s="250">
        <v>1921400</v>
      </c>
      <c r="G24" s="251">
        <v>11277690.209984839</v>
      </c>
      <c r="H24" s="250">
        <v>1921400</v>
      </c>
      <c r="I24" s="251">
        <v>26314610.489964623</v>
      </c>
      <c r="J24" s="254"/>
      <c r="K24" s="54" t="s">
        <v>154</v>
      </c>
      <c r="L24" s="249" t="str">
        <f>VAC_Optim_Scenario!B22</f>
        <v>HCC Display</v>
      </c>
      <c r="M24" s="252">
        <f t="shared" si="3"/>
        <v>1.9214</v>
      </c>
      <c r="N24" s="253">
        <f t="shared" si="2"/>
        <v>18.796150349974734</v>
      </c>
      <c r="O24" s="252">
        <f t="shared" si="2"/>
        <v>1.9214</v>
      </c>
      <c r="P24" s="253">
        <f t="shared" si="2"/>
        <v>11.277690209984838</v>
      </c>
      <c r="Q24" s="252">
        <f t="shared" si="2"/>
        <v>1.9214</v>
      </c>
      <c r="R24" s="253">
        <f t="shared" si="2"/>
        <v>26.314610489964622</v>
      </c>
    </row>
    <row r="25" spans="2:19" x14ac:dyDescent="0.25">
      <c r="B25" s="54" t="s">
        <v>154</v>
      </c>
      <c r="C25" s="249" t="str">
        <f>VAC_Optim_Scenario!B23</f>
        <v>HCC Paid Search</v>
      </c>
      <c r="D25" s="250">
        <v>1232000</v>
      </c>
      <c r="E25" s="251">
        <v>1724376.7699591145</v>
      </c>
      <c r="F25" s="250">
        <v>1232000</v>
      </c>
      <c r="G25" s="251">
        <v>1034626.0619754686</v>
      </c>
      <c r="H25" s="250">
        <v>1232000</v>
      </c>
      <c r="I25" s="251">
        <v>2414127.4779427601</v>
      </c>
      <c r="J25" s="254"/>
      <c r="K25" s="54" t="s">
        <v>154</v>
      </c>
      <c r="L25" s="249" t="str">
        <f>VAC_Optim_Scenario!B23</f>
        <v>HCC Paid Search</v>
      </c>
      <c r="M25" s="252">
        <f t="shared" si="3"/>
        <v>1.232</v>
      </c>
      <c r="N25" s="253">
        <f t="shared" si="2"/>
        <v>1.7243767699591146</v>
      </c>
      <c r="O25" s="252">
        <f t="shared" si="2"/>
        <v>1.232</v>
      </c>
      <c r="P25" s="253">
        <f t="shared" si="2"/>
        <v>1.0346260619754686</v>
      </c>
      <c r="Q25" s="252">
        <f t="shared" si="2"/>
        <v>1.232</v>
      </c>
      <c r="R25" s="253">
        <f t="shared" si="2"/>
        <v>2.4141274779427602</v>
      </c>
    </row>
    <row r="26" spans="2:19" x14ac:dyDescent="0.25">
      <c r="B26" s="54" t="s">
        <v>154</v>
      </c>
      <c r="C26" s="249" t="str">
        <f>VAC_Optim_Scenario!B24</f>
        <v>HCC Radio</v>
      </c>
      <c r="D26" s="250">
        <v>1599670.7428443772</v>
      </c>
      <c r="E26" s="251">
        <v>9996421.676090166</v>
      </c>
      <c r="F26" s="250">
        <v>913707.89999999991</v>
      </c>
      <c r="G26" s="251">
        <v>4794093.8228947408</v>
      </c>
      <c r="H26" s="250">
        <v>1696886.1</v>
      </c>
      <c r="I26" s="251">
        <v>14329183.336944181</v>
      </c>
      <c r="J26" s="254"/>
      <c r="K26" s="54" t="s">
        <v>154</v>
      </c>
      <c r="L26" s="249" t="str">
        <f>VAC_Optim_Scenario!B24</f>
        <v>HCC Radio</v>
      </c>
      <c r="M26" s="252">
        <f t="shared" si="3"/>
        <v>1.5996707428443773</v>
      </c>
      <c r="N26" s="253">
        <f t="shared" si="2"/>
        <v>9.9964216760901667</v>
      </c>
      <c r="O26" s="252">
        <f t="shared" si="2"/>
        <v>0.91370789999999991</v>
      </c>
      <c r="P26" s="253">
        <f t="shared" si="2"/>
        <v>4.794093822894741</v>
      </c>
      <c r="Q26" s="252">
        <f t="shared" si="2"/>
        <v>1.6968861000000002</v>
      </c>
      <c r="R26" s="253">
        <f t="shared" si="2"/>
        <v>14.329183336944181</v>
      </c>
    </row>
    <row r="27" spans="2:19" x14ac:dyDescent="0.25">
      <c r="B27" s="263" t="s">
        <v>154</v>
      </c>
      <c r="C27" s="236" t="str">
        <f>VAC_Optim_Scenario!B25</f>
        <v>HCC TV</v>
      </c>
      <c r="D27" s="264">
        <v>15034300.118508808</v>
      </c>
      <c r="E27" s="264">
        <v>62633388.050210491</v>
      </c>
      <c r="F27" s="264">
        <v>11531133.494999999</v>
      </c>
      <c r="G27" s="264">
        <v>32050176.524351615</v>
      </c>
      <c r="H27" s="264">
        <v>17521435.993065551</v>
      </c>
      <c r="I27" s="264">
        <v>96122670.742821991</v>
      </c>
      <c r="J27" s="254"/>
      <c r="K27" s="263" t="s">
        <v>154</v>
      </c>
      <c r="L27" s="236" t="str">
        <f>VAC_Optim_Scenario!B25</f>
        <v>HCC TV</v>
      </c>
      <c r="M27" s="257">
        <f t="shared" si="3"/>
        <v>15.034300118508808</v>
      </c>
      <c r="N27" s="257">
        <f t="shared" si="2"/>
        <v>62.633388050210492</v>
      </c>
      <c r="O27" s="257">
        <f t="shared" si="2"/>
        <v>11.531133494999999</v>
      </c>
      <c r="P27" s="257">
        <f t="shared" si="2"/>
        <v>32.050176524351613</v>
      </c>
      <c r="Q27" s="257">
        <f t="shared" si="2"/>
        <v>17.521435993065552</v>
      </c>
      <c r="R27" s="257">
        <f t="shared" si="2"/>
        <v>96.122670742821995</v>
      </c>
    </row>
    <row r="30" spans="2:19" ht="34.35" customHeight="1" x14ac:dyDescent="0.25">
      <c r="C30" s="332" t="s">
        <v>3</v>
      </c>
      <c r="D30" s="333" t="s">
        <v>241</v>
      </c>
      <c r="E30" s="255">
        <v>-0.5</v>
      </c>
      <c r="F30" s="255">
        <v>2</v>
      </c>
      <c r="G30" s="255">
        <v>-0.4</v>
      </c>
      <c r="H30" s="255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6" t="str">
        <f>VAC_Optim_Scenario!B17</f>
        <v>HCC In Office</v>
      </c>
      <c r="D31" s="334">
        <f>M19</f>
        <v>3.081</v>
      </c>
      <c r="E31" s="334">
        <f>O5</f>
        <v>1.659</v>
      </c>
      <c r="F31" s="334">
        <f>Q5</f>
        <v>3.081</v>
      </c>
      <c r="G31" s="334">
        <f>O19</f>
        <v>1.9760291300433497</v>
      </c>
      <c r="H31" s="334">
        <f>Q19</f>
        <v>3.081</v>
      </c>
      <c r="J31" s="256">
        <v>-0.5</v>
      </c>
      <c r="K31" s="257">
        <f>E$31</f>
        <v>1.659</v>
      </c>
      <c r="L31" s="257">
        <f>E$32</f>
        <v>7.9137499886468206</v>
      </c>
      <c r="M31" s="257">
        <f>E$33</f>
        <v>1.5820000000000001</v>
      </c>
      <c r="N31" s="257">
        <f>E$34</f>
        <v>0.69299999999999995</v>
      </c>
      <c r="O31" s="257">
        <f>E$35</f>
        <v>3.9416439999999997</v>
      </c>
      <c r="P31" s="257">
        <f>E$36</f>
        <v>1.9214</v>
      </c>
      <c r="Q31" s="257">
        <f>E$37</f>
        <v>1.232</v>
      </c>
      <c r="R31" s="257">
        <f>E$38</f>
        <v>0.91370790000000002</v>
      </c>
      <c r="S31" s="257">
        <f>E$39</f>
        <v>11.531133494999999</v>
      </c>
    </row>
    <row r="32" spans="2:19" x14ac:dyDescent="0.25">
      <c r="B32" s="54" t="s">
        <v>154</v>
      </c>
      <c r="C32" s="307" t="str">
        <f>VAC_Optim_Scenario!B18</f>
        <v>HCP MCM</v>
      </c>
      <c r="D32" s="335">
        <f t="shared" ref="D32:D39" si="4">M20</f>
        <v>7.9137499886468206</v>
      </c>
      <c r="E32" s="335">
        <f t="shared" ref="E32:E39" si="5">O6</f>
        <v>7.9137499886468206</v>
      </c>
      <c r="F32" s="335">
        <f t="shared" ref="F32:F39" si="6">Q6</f>
        <v>7.9137499886468206</v>
      </c>
      <c r="G32" s="335">
        <f t="shared" ref="G32:G39" si="7">O20</f>
        <v>7.9137499886468206</v>
      </c>
      <c r="H32" s="335">
        <f t="shared" ref="H32:H39" si="8">Q20</f>
        <v>7.9137499886468206</v>
      </c>
      <c r="J32" s="256">
        <v>-0.4</v>
      </c>
      <c r="K32" s="257">
        <f>G$31</f>
        <v>1.9760291300433497</v>
      </c>
      <c r="L32" s="257">
        <f>G$32</f>
        <v>7.9137499886468206</v>
      </c>
      <c r="M32" s="257">
        <f>G$33</f>
        <v>1.5820000000000001</v>
      </c>
      <c r="N32" s="257">
        <f>G$34</f>
        <v>0.69299999999999995</v>
      </c>
      <c r="O32" s="257">
        <f>G$35</f>
        <v>3.9416439999999997</v>
      </c>
      <c r="P32" s="257">
        <f>G$36</f>
        <v>1.9214</v>
      </c>
      <c r="Q32" s="257">
        <f>G$37</f>
        <v>1.232</v>
      </c>
      <c r="R32" s="257">
        <f>G$38</f>
        <v>0.91370789999999991</v>
      </c>
      <c r="S32" s="257">
        <f>G$39</f>
        <v>11.531133494999999</v>
      </c>
    </row>
    <row r="33" spans="2:22" x14ac:dyDescent="0.25">
      <c r="B33" s="54" t="s">
        <v>154</v>
      </c>
      <c r="C33" s="307" t="str">
        <f>VAC_Optim_Scenario!B19</f>
        <v>HCC Social</v>
      </c>
      <c r="D33" s="335">
        <f t="shared" si="4"/>
        <v>2.9380000000000002</v>
      </c>
      <c r="E33" s="335">
        <f t="shared" si="5"/>
        <v>1.5820000000000001</v>
      </c>
      <c r="F33" s="335">
        <f t="shared" si="6"/>
        <v>2.9380000000000002</v>
      </c>
      <c r="G33" s="335">
        <f t="shared" si="7"/>
        <v>1.5820000000000001</v>
      </c>
      <c r="H33" s="335">
        <f t="shared" si="8"/>
        <v>2.9380000000000002</v>
      </c>
      <c r="J33" s="256" t="s">
        <v>241</v>
      </c>
      <c r="K33" s="257">
        <f>D$31</f>
        <v>3.081</v>
      </c>
      <c r="L33" s="257">
        <f>D$32</f>
        <v>7.9137499886468206</v>
      </c>
      <c r="M33" s="257">
        <f>D$33</f>
        <v>2.9380000000000002</v>
      </c>
      <c r="N33" s="257">
        <f>D$34</f>
        <v>0.69299999999999995</v>
      </c>
      <c r="O33" s="257">
        <f>D$35</f>
        <v>3.9416439999999997</v>
      </c>
      <c r="P33" s="257">
        <f>D$36</f>
        <v>1.9214</v>
      </c>
      <c r="Q33" s="257">
        <f>D$37</f>
        <v>1.232</v>
      </c>
      <c r="R33" s="257">
        <f>D$38</f>
        <v>1.5996707428443773</v>
      </c>
      <c r="S33" s="257">
        <f>D$39</f>
        <v>15.034300118508808</v>
      </c>
    </row>
    <row r="34" spans="2:22" x14ac:dyDescent="0.25">
      <c r="B34" s="54" t="s">
        <v>154</v>
      </c>
      <c r="C34" s="307" t="str">
        <f>VAC_Optim_Scenario!B20</f>
        <v>HCC Online Video</v>
      </c>
      <c r="D34" s="335">
        <f t="shared" si="4"/>
        <v>0.69299999999999995</v>
      </c>
      <c r="E34" s="335">
        <f t="shared" si="5"/>
        <v>0.69299999999999995</v>
      </c>
      <c r="F34" s="335">
        <f t="shared" si="6"/>
        <v>1.2869999999999999</v>
      </c>
      <c r="G34" s="335">
        <f t="shared" si="7"/>
        <v>0.69299999999999995</v>
      </c>
      <c r="H34" s="335">
        <f t="shared" si="8"/>
        <v>1.2869999999999999</v>
      </c>
      <c r="J34" s="256">
        <v>0.4</v>
      </c>
      <c r="K34" s="257">
        <f>H$31</f>
        <v>3.081</v>
      </c>
      <c r="L34" s="257">
        <f>H$32</f>
        <v>7.9137499886468206</v>
      </c>
      <c r="M34" s="257">
        <f>H$33</f>
        <v>2.9380000000000002</v>
      </c>
      <c r="N34" s="257">
        <f>H$34</f>
        <v>1.2869999999999999</v>
      </c>
      <c r="O34" s="257">
        <f>H$35</f>
        <v>7.1335289098028332</v>
      </c>
      <c r="P34" s="257">
        <f>H$36</f>
        <v>1.9214</v>
      </c>
      <c r="Q34" s="257">
        <f>H$37</f>
        <v>1.232</v>
      </c>
      <c r="R34" s="257">
        <f>H$38</f>
        <v>1.6968861000000002</v>
      </c>
      <c r="S34" s="257">
        <f>H$39</f>
        <v>17.521435993065552</v>
      </c>
    </row>
    <row r="35" spans="2:22" x14ac:dyDescent="0.25">
      <c r="B35" s="54" t="s">
        <v>154</v>
      </c>
      <c r="C35" s="307" t="str">
        <f>VAC_Optim_Scenario!B21</f>
        <v>HCC Streaming Video</v>
      </c>
      <c r="D35" s="335">
        <f t="shared" si="4"/>
        <v>3.9416439999999997</v>
      </c>
      <c r="E35" s="335">
        <f t="shared" si="5"/>
        <v>3.9416439999999997</v>
      </c>
      <c r="F35" s="335">
        <f t="shared" si="6"/>
        <v>7.3201960000000001</v>
      </c>
      <c r="G35" s="335">
        <f t="shared" si="7"/>
        <v>3.9416439999999997</v>
      </c>
      <c r="H35" s="335">
        <f t="shared" si="8"/>
        <v>7.1335289098028332</v>
      </c>
      <c r="J35" s="255">
        <v>2</v>
      </c>
      <c r="K35" s="257">
        <f>F$31</f>
        <v>3.081</v>
      </c>
      <c r="L35" s="257">
        <f>F$32</f>
        <v>7.9137499886468206</v>
      </c>
      <c r="M35" s="257">
        <f>F$33</f>
        <v>2.9380000000000002</v>
      </c>
      <c r="N35" s="257">
        <f>F$34</f>
        <v>1.2869999999999999</v>
      </c>
      <c r="O35" s="257">
        <f>F$35</f>
        <v>7.3201960000000001</v>
      </c>
      <c r="P35" s="257">
        <f>F$36</f>
        <v>1.9214</v>
      </c>
      <c r="Q35" s="257">
        <f>F$37</f>
        <v>1.232</v>
      </c>
      <c r="R35" s="257">
        <f>F$38</f>
        <v>1.6968861000000002</v>
      </c>
      <c r="S35" s="257">
        <f>F$39</f>
        <v>18.498262961353184</v>
      </c>
    </row>
    <row r="36" spans="2:22" x14ac:dyDescent="0.25">
      <c r="B36" s="54" t="s">
        <v>154</v>
      </c>
      <c r="C36" s="307" t="str">
        <f>VAC_Optim_Scenario!B22</f>
        <v>HCC Display</v>
      </c>
      <c r="D36" s="335">
        <f t="shared" si="4"/>
        <v>1.9214</v>
      </c>
      <c r="E36" s="335">
        <f t="shared" si="5"/>
        <v>1.9214</v>
      </c>
      <c r="F36" s="335">
        <f t="shared" si="6"/>
        <v>1.9214</v>
      </c>
      <c r="G36" s="335">
        <f t="shared" si="7"/>
        <v>1.9214</v>
      </c>
      <c r="H36" s="335">
        <f t="shared" si="8"/>
        <v>1.9214</v>
      </c>
    </row>
    <row r="37" spans="2:22" x14ac:dyDescent="0.25">
      <c r="B37" s="54" t="s">
        <v>154</v>
      </c>
      <c r="C37" s="307" t="str">
        <f>VAC_Optim_Scenario!B23</f>
        <v>HCC Paid Search</v>
      </c>
      <c r="D37" s="335">
        <f t="shared" si="4"/>
        <v>1.232</v>
      </c>
      <c r="E37" s="335">
        <f t="shared" si="5"/>
        <v>1.232</v>
      </c>
      <c r="F37" s="335">
        <f t="shared" si="6"/>
        <v>1.232</v>
      </c>
      <c r="G37" s="335">
        <f t="shared" si="7"/>
        <v>1.232</v>
      </c>
      <c r="H37" s="335">
        <f t="shared" si="8"/>
        <v>1.232</v>
      </c>
      <c r="J37" s="273"/>
      <c r="K37" s="258"/>
      <c r="L37" s="258"/>
      <c r="M37" s="258"/>
      <c r="N37" s="258"/>
      <c r="O37" s="258"/>
      <c r="P37" s="258"/>
      <c r="Q37" s="258"/>
      <c r="R37" s="258"/>
    </row>
    <row r="38" spans="2:22" x14ac:dyDescent="0.25">
      <c r="B38" s="54" t="s">
        <v>154</v>
      </c>
      <c r="C38" s="307" t="str">
        <f>VAC_Optim_Scenario!B24</f>
        <v>HCC Radio</v>
      </c>
      <c r="D38" s="335">
        <f t="shared" si="4"/>
        <v>1.5996707428443773</v>
      </c>
      <c r="E38" s="335">
        <f t="shared" si="5"/>
        <v>0.91370790000000002</v>
      </c>
      <c r="F38" s="335">
        <f t="shared" si="6"/>
        <v>1.6968861000000002</v>
      </c>
      <c r="G38" s="335">
        <f t="shared" si="7"/>
        <v>0.91370789999999991</v>
      </c>
      <c r="H38" s="335">
        <f t="shared" si="8"/>
        <v>1.6968861000000002</v>
      </c>
      <c r="J38" s="274"/>
      <c r="K38" s="259"/>
      <c r="L38" s="259"/>
      <c r="M38" s="259"/>
      <c r="N38" s="259"/>
      <c r="O38" s="259"/>
      <c r="P38" s="259"/>
      <c r="Q38" s="259"/>
      <c r="R38" s="259"/>
    </row>
    <row r="39" spans="2:22" x14ac:dyDescent="0.25">
      <c r="B39" s="97" t="s">
        <v>154</v>
      </c>
      <c r="C39" s="308" t="str">
        <f>VAC_Optim_Scenario!B25</f>
        <v>HCC TV</v>
      </c>
      <c r="D39" s="335">
        <f t="shared" si="4"/>
        <v>15.034300118508808</v>
      </c>
      <c r="E39" s="335">
        <f t="shared" si="5"/>
        <v>11.531133494999999</v>
      </c>
      <c r="F39" s="335">
        <f t="shared" si="6"/>
        <v>18.498262961353184</v>
      </c>
      <c r="G39" s="335">
        <f t="shared" si="7"/>
        <v>11.531133494999999</v>
      </c>
      <c r="H39" s="335">
        <f t="shared" si="8"/>
        <v>17.521435993065552</v>
      </c>
      <c r="J39" s="273"/>
      <c r="K39" s="258"/>
      <c r="L39" s="258"/>
      <c r="M39" s="258"/>
      <c r="N39" s="258"/>
      <c r="O39" s="258"/>
      <c r="P39" s="258"/>
      <c r="Q39" s="258"/>
      <c r="R39" s="258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57"/>
      <c r="M41" s="257"/>
      <c r="N41" s="257"/>
      <c r="O41" s="257"/>
      <c r="P41" s="257"/>
    </row>
    <row r="42" spans="2:22" x14ac:dyDescent="0.25">
      <c r="L42" s="257"/>
      <c r="M42" s="257"/>
      <c r="N42" s="257"/>
      <c r="O42" s="257"/>
      <c r="P42" s="257"/>
    </row>
    <row r="43" spans="2:22" x14ac:dyDescent="0.25">
      <c r="L43" s="257"/>
      <c r="M43" s="257"/>
      <c r="N43" s="257"/>
      <c r="O43" s="257"/>
      <c r="P43" s="257"/>
    </row>
    <row r="44" spans="2:22" x14ac:dyDescent="0.25">
      <c r="L44" s="257"/>
      <c r="M44" s="257"/>
      <c r="N44" s="257"/>
      <c r="O44" s="257"/>
      <c r="P44" s="257"/>
      <c r="S44" s="260"/>
      <c r="T44" s="260"/>
      <c r="V44" s="260"/>
    </row>
    <row r="45" spans="2:22" x14ac:dyDescent="0.25">
      <c r="L45" s="257"/>
      <c r="M45" s="257"/>
      <c r="N45" s="257"/>
      <c r="O45" s="257"/>
      <c r="P45" s="261"/>
      <c r="S45" s="262"/>
      <c r="T45" s="262"/>
      <c r="U45" s="262"/>
      <c r="V45" s="262"/>
    </row>
    <row r="46" spans="2:22" x14ac:dyDescent="0.25">
      <c r="L46" s="257"/>
      <c r="M46" s="257"/>
      <c r="N46" s="257"/>
      <c r="O46" s="257"/>
      <c r="P46" s="257"/>
      <c r="S46" s="262"/>
      <c r="T46" s="262"/>
      <c r="U46" s="262"/>
      <c r="V46" s="262"/>
    </row>
    <row r="47" spans="2:22" x14ac:dyDescent="0.25">
      <c r="L47" s="257"/>
      <c r="M47" s="257"/>
      <c r="N47" s="257"/>
      <c r="O47" s="257"/>
      <c r="P47" s="257"/>
    </row>
    <row r="48" spans="2:22" x14ac:dyDescent="0.25">
      <c r="L48" s="257"/>
      <c r="M48" s="257"/>
      <c r="N48" s="257"/>
      <c r="O48" s="257"/>
      <c r="P48" s="257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0" t="s">
        <v>231</v>
      </c>
    </row>
    <row r="2" spans="2:20" ht="15.75" thickBot="1" x14ac:dyDescent="0.3"/>
    <row r="3" spans="2:20" ht="30.2" customHeight="1" x14ac:dyDescent="0.25">
      <c r="B3" s="453" t="s">
        <v>2</v>
      </c>
      <c r="C3" s="455" t="s">
        <v>3</v>
      </c>
      <c r="D3" s="456" t="s">
        <v>232</v>
      </c>
      <c r="E3" s="457"/>
      <c r="F3" s="456" t="s">
        <v>233</v>
      </c>
      <c r="G3" s="457"/>
      <c r="H3" s="456" t="s">
        <v>234</v>
      </c>
      <c r="I3" s="457"/>
      <c r="K3" s="453" t="s">
        <v>2</v>
      </c>
      <c r="L3" s="455" t="s">
        <v>3</v>
      </c>
      <c r="M3" s="456" t="s">
        <v>232</v>
      </c>
      <c r="N3" s="457"/>
      <c r="O3" s="456" t="s">
        <v>233</v>
      </c>
      <c r="P3" s="457"/>
      <c r="Q3" s="456" t="s">
        <v>234</v>
      </c>
      <c r="R3" s="457"/>
    </row>
    <row r="4" spans="2:20" ht="25.5" x14ac:dyDescent="0.25">
      <c r="B4" s="454"/>
      <c r="C4" s="454"/>
      <c r="D4" s="241" t="s">
        <v>235</v>
      </c>
      <c r="E4" s="242" t="s">
        <v>236</v>
      </c>
      <c r="F4" s="241" t="s">
        <v>235</v>
      </c>
      <c r="G4" s="242" t="s">
        <v>236</v>
      </c>
      <c r="H4" s="241" t="s">
        <v>235</v>
      </c>
      <c r="I4" s="242" t="s">
        <v>236</v>
      </c>
      <c r="K4" s="454"/>
      <c r="L4" s="454"/>
      <c r="M4" s="241" t="s">
        <v>235</v>
      </c>
      <c r="N4" s="242" t="s">
        <v>236</v>
      </c>
      <c r="O4" s="241" t="s">
        <v>235</v>
      </c>
      <c r="P4" s="242" t="s">
        <v>236</v>
      </c>
      <c r="Q4" s="241" t="s">
        <v>235</v>
      </c>
      <c r="R4" s="242" t="s">
        <v>236</v>
      </c>
    </row>
    <row r="5" spans="2:20" x14ac:dyDescent="0.25">
      <c r="B5" s="53" t="s">
        <v>154</v>
      </c>
      <c r="C5" s="243" t="str">
        <f>VAC_Optim_Scenario!B17</f>
        <v>HCC In Office</v>
      </c>
      <c r="D5" s="244">
        <f>VAC_Optim_Scenario!$H35</f>
        <v>1228705.0999999999</v>
      </c>
      <c r="E5" s="245">
        <f>VAC_Optim_Scenario!$J35</f>
        <v>5933732.8283146154</v>
      </c>
      <c r="F5" s="244">
        <f>VAC_Optim_Scenario!$H35</f>
        <v>1228705.0999999999</v>
      </c>
      <c r="G5" s="245">
        <f>VAC_Optim_Scenario!$J35</f>
        <v>5933732.8283146154</v>
      </c>
      <c r="H5" s="244">
        <f>VAC_Optim_Scenario!$H35</f>
        <v>1228705.0999999999</v>
      </c>
      <c r="I5" s="245">
        <f>VAC_Optim_Scenario!$J35</f>
        <v>5933732.8283146154</v>
      </c>
      <c r="J5" s="246"/>
      <c r="K5" s="53" t="s">
        <v>154</v>
      </c>
      <c r="L5" s="53" t="str">
        <f>VAC_Optim_Scenario!B17</f>
        <v>HCC In Office</v>
      </c>
      <c r="M5" s="247">
        <f>D5/1000000</f>
        <v>1.2287050999999998</v>
      </c>
      <c r="N5" s="248">
        <f t="shared" ref="N5:R13" si="0">E5/1000000</f>
        <v>5.9337328283146151</v>
      </c>
      <c r="O5" s="247">
        <f t="shared" si="0"/>
        <v>1.2287050999999998</v>
      </c>
      <c r="P5" s="248">
        <f t="shared" si="0"/>
        <v>5.9337328283146151</v>
      </c>
      <c r="Q5" s="247">
        <f t="shared" si="0"/>
        <v>1.2287050999999998</v>
      </c>
      <c r="R5" s="248">
        <f t="shared" si="0"/>
        <v>5.9337328283146151</v>
      </c>
    </row>
    <row r="6" spans="2:20" x14ac:dyDescent="0.25">
      <c r="B6" s="54" t="s">
        <v>154</v>
      </c>
      <c r="C6" s="249" t="str">
        <f>VAC_Optim_Scenario!B18</f>
        <v>HCP MCM</v>
      </c>
      <c r="D6" s="250">
        <f>VAC_Optim_Scenario!$H36</f>
        <v>6974984.7570000011</v>
      </c>
      <c r="E6" s="251">
        <f>VAC_Optim_Scenario!$J36</f>
        <v>75572474.639871225</v>
      </c>
      <c r="F6" s="250">
        <f>VAC_Optim_Scenario!$H36</f>
        <v>6974984.7570000011</v>
      </c>
      <c r="G6" s="251">
        <f>VAC_Optim_Scenario!$J36</f>
        <v>75572474.639871225</v>
      </c>
      <c r="H6" s="250">
        <f>VAC_Optim_Scenario!$H36</f>
        <v>6974984.7570000011</v>
      </c>
      <c r="I6" s="251">
        <f>VAC_Optim_Scenario!$J36</f>
        <v>75572474.639871225</v>
      </c>
      <c r="J6" s="246"/>
      <c r="K6" s="54" t="s">
        <v>154</v>
      </c>
      <c r="L6" s="54" t="str">
        <f>VAC_Optim_Scenario!B18</f>
        <v>HCP MCM</v>
      </c>
      <c r="M6" s="252">
        <f t="shared" ref="M6:M13" si="1">D6/1000000</f>
        <v>6.9749847570000014</v>
      </c>
      <c r="N6" s="253">
        <f t="shared" si="0"/>
        <v>75.572474639871231</v>
      </c>
      <c r="O6" s="252">
        <f t="shared" si="0"/>
        <v>6.9749847570000014</v>
      </c>
      <c r="P6" s="253">
        <f t="shared" si="0"/>
        <v>75.572474639871231</v>
      </c>
      <c r="Q6" s="252">
        <f t="shared" si="0"/>
        <v>6.9749847570000014</v>
      </c>
      <c r="R6" s="253">
        <f t="shared" si="0"/>
        <v>75.572474639871231</v>
      </c>
    </row>
    <row r="7" spans="2:20" x14ac:dyDescent="0.25">
      <c r="B7" s="54" t="s">
        <v>154</v>
      </c>
      <c r="C7" s="249" t="str">
        <f>VAC_Optim_Scenario!B19</f>
        <v>HCC Social</v>
      </c>
      <c r="D7" s="250">
        <f>VAC_Optim_Scenario!$H37</f>
        <v>1666468.7252945821</v>
      </c>
      <c r="E7" s="251">
        <f>VAC_Optim_Scenario!$J37</f>
        <v>15006935.621733909</v>
      </c>
      <c r="F7" s="250">
        <f>VAC_Optim_Scenario!$H37</f>
        <v>1666468.7252945821</v>
      </c>
      <c r="G7" s="251">
        <f>VAC_Optim_Scenario!$J37</f>
        <v>15006935.621733909</v>
      </c>
      <c r="H7" s="250">
        <f>VAC_Optim_Scenario!$H37</f>
        <v>1666468.7252945821</v>
      </c>
      <c r="I7" s="251">
        <f>VAC_Optim_Scenario!$J37</f>
        <v>15006935.621733909</v>
      </c>
      <c r="J7" s="254"/>
      <c r="K7" s="54" t="s">
        <v>154</v>
      </c>
      <c r="L7" s="54" t="str">
        <f>VAC_Optim_Scenario!B19</f>
        <v>HCC Social</v>
      </c>
      <c r="M7" s="252">
        <f t="shared" si="1"/>
        <v>1.666468725294582</v>
      </c>
      <c r="N7" s="253">
        <f t="shared" si="0"/>
        <v>15.006935621733909</v>
      </c>
      <c r="O7" s="252">
        <f t="shared" si="0"/>
        <v>1.666468725294582</v>
      </c>
      <c r="P7" s="253">
        <f t="shared" si="0"/>
        <v>15.006935621733909</v>
      </c>
      <c r="Q7" s="252">
        <f t="shared" si="0"/>
        <v>1.666468725294582</v>
      </c>
      <c r="R7" s="253">
        <f t="shared" si="0"/>
        <v>15.006935621733909</v>
      </c>
    </row>
    <row r="8" spans="2:20" x14ac:dyDescent="0.25">
      <c r="B8" s="54" t="s">
        <v>154</v>
      </c>
      <c r="C8" s="249" t="str">
        <f>VAC_Optim_Scenario!B20</f>
        <v>HCC Online Video</v>
      </c>
      <c r="D8" s="250">
        <f>VAC_Optim_Scenario!$H38</f>
        <v>225000.022</v>
      </c>
      <c r="E8" s="251">
        <f>VAC_Optim_Scenario!$J38</f>
        <v>2031161.5894317664</v>
      </c>
      <c r="F8" s="250">
        <f>VAC_Optim_Scenario!$H38</f>
        <v>225000.022</v>
      </c>
      <c r="G8" s="251">
        <f>VAC_Optim_Scenario!$J38</f>
        <v>2031161.5894317664</v>
      </c>
      <c r="H8" s="250">
        <f>VAC_Optim_Scenario!$H38</f>
        <v>225000.022</v>
      </c>
      <c r="I8" s="251">
        <f>VAC_Optim_Scenario!$J38</f>
        <v>2031161.5894317664</v>
      </c>
      <c r="J8" s="246"/>
      <c r="K8" s="54" t="s">
        <v>154</v>
      </c>
      <c r="L8" s="54" t="str">
        <f>VAC_Optim_Scenario!B20</f>
        <v>HCC Online Video</v>
      </c>
      <c r="M8" s="252">
        <f t="shared" si="1"/>
        <v>0.22500002199999999</v>
      </c>
      <c r="N8" s="253">
        <f t="shared" si="0"/>
        <v>2.0311615894317665</v>
      </c>
      <c r="O8" s="252">
        <f t="shared" si="0"/>
        <v>0.22500002199999999</v>
      </c>
      <c r="P8" s="253">
        <f t="shared" si="0"/>
        <v>2.0311615894317665</v>
      </c>
      <c r="Q8" s="252">
        <f t="shared" si="0"/>
        <v>0.22500002199999999</v>
      </c>
      <c r="R8" s="253">
        <f t="shared" si="0"/>
        <v>2.0311615894317665</v>
      </c>
    </row>
    <row r="9" spans="2:20" x14ac:dyDescent="0.25">
      <c r="B9" s="54" t="s">
        <v>154</v>
      </c>
      <c r="C9" s="249" t="str">
        <f>VAC_Optim_Scenario!B21</f>
        <v>HCC Streaming Video</v>
      </c>
      <c r="D9" s="250">
        <f>VAC_Optim_Scenario!$H39</f>
        <v>4326087.5</v>
      </c>
      <c r="E9" s="251">
        <f>VAC_Optim_Scenario!$J39</f>
        <v>25462546.467915077</v>
      </c>
      <c r="F9" s="250">
        <f>VAC_Optim_Scenario!$H39</f>
        <v>4326087.5</v>
      </c>
      <c r="G9" s="251">
        <f>VAC_Optim_Scenario!$J39</f>
        <v>25462546.467915077</v>
      </c>
      <c r="H9" s="250">
        <f>VAC_Optim_Scenario!$H39</f>
        <v>4326087.5</v>
      </c>
      <c r="I9" s="251">
        <f>VAC_Optim_Scenario!$J39</f>
        <v>25462546.467915077</v>
      </c>
      <c r="J9" s="254"/>
      <c r="K9" s="54" t="s">
        <v>154</v>
      </c>
      <c r="L9" s="54" t="str">
        <f>VAC_Optim_Scenario!B21</f>
        <v>HCC Streaming Video</v>
      </c>
      <c r="M9" s="252">
        <f t="shared" si="1"/>
        <v>4.3260874999999999</v>
      </c>
      <c r="N9" s="253">
        <f t="shared" si="0"/>
        <v>25.462546467915075</v>
      </c>
      <c r="O9" s="252">
        <f t="shared" si="0"/>
        <v>4.3260874999999999</v>
      </c>
      <c r="P9" s="253">
        <f t="shared" si="0"/>
        <v>25.462546467915075</v>
      </c>
      <c r="Q9" s="252">
        <f t="shared" si="0"/>
        <v>4.3260874999999999</v>
      </c>
      <c r="R9" s="253">
        <f t="shared" si="0"/>
        <v>25.462546467915075</v>
      </c>
    </row>
    <row r="10" spans="2:20" x14ac:dyDescent="0.25">
      <c r="B10" s="54" t="s">
        <v>154</v>
      </c>
      <c r="C10" s="249" t="str">
        <f>VAC_Optim_Scenario!B22</f>
        <v>HCC Display</v>
      </c>
      <c r="D10" s="250">
        <f>VAC_Optim_Scenario!$H40</f>
        <v>2142864.5810000002</v>
      </c>
      <c r="E10" s="251">
        <f>VAC_Optim_Scenario!$J40</f>
        <v>28569508.760968704</v>
      </c>
      <c r="F10" s="250">
        <f>VAC_Optim_Scenario!$H40</f>
        <v>2142864.5810000002</v>
      </c>
      <c r="G10" s="251">
        <f>VAC_Optim_Scenario!$J40</f>
        <v>28569508.760968704</v>
      </c>
      <c r="H10" s="250">
        <f>VAC_Optim_Scenario!$H40</f>
        <v>2142864.5810000002</v>
      </c>
      <c r="I10" s="251">
        <f>VAC_Optim_Scenario!$J40</f>
        <v>28569508.760968704</v>
      </c>
      <c r="J10" s="254"/>
      <c r="K10" s="54" t="s">
        <v>154</v>
      </c>
      <c r="L10" s="54" t="str">
        <f>VAC_Optim_Scenario!B22</f>
        <v>HCC Display</v>
      </c>
      <c r="M10" s="252">
        <f t="shared" si="1"/>
        <v>2.1428645810000004</v>
      </c>
      <c r="N10" s="253">
        <f t="shared" si="0"/>
        <v>28.569508760968702</v>
      </c>
      <c r="O10" s="252">
        <f t="shared" si="0"/>
        <v>2.1428645810000004</v>
      </c>
      <c r="P10" s="253">
        <f t="shared" si="0"/>
        <v>28.569508760968702</v>
      </c>
      <c r="Q10" s="252">
        <f t="shared" si="0"/>
        <v>2.1428645810000004</v>
      </c>
      <c r="R10" s="253">
        <f t="shared" si="0"/>
        <v>28.569508760968702</v>
      </c>
    </row>
    <row r="11" spans="2:20" x14ac:dyDescent="0.25">
      <c r="B11" s="54" t="s">
        <v>154</v>
      </c>
      <c r="C11" s="249" t="str">
        <f>VAC_Optim_Scenario!B23</f>
        <v>HCC Paid Search</v>
      </c>
      <c r="D11" s="250">
        <f>VAC_Optim_Scenario!$H41</f>
        <v>344707</v>
      </c>
      <c r="E11" s="251">
        <f>VAC_Optim_Scenario!$J41</f>
        <v>29529022.26299376</v>
      </c>
      <c r="F11" s="250">
        <f>VAC_Optim_Scenario!$H41</f>
        <v>344707</v>
      </c>
      <c r="G11" s="251">
        <f>VAC_Optim_Scenario!$J41</f>
        <v>29529022.26299376</v>
      </c>
      <c r="H11" s="250">
        <f>VAC_Optim_Scenario!$H41</f>
        <v>344707</v>
      </c>
      <c r="I11" s="251">
        <f>VAC_Optim_Scenario!$J41</f>
        <v>29529022.26299376</v>
      </c>
      <c r="J11" s="246"/>
      <c r="K11" s="54" t="s">
        <v>154</v>
      </c>
      <c r="L11" s="54" t="str">
        <f>VAC_Optim_Scenario!B23</f>
        <v>HCC Paid Search</v>
      </c>
      <c r="M11" s="252">
        <f t="shared" si="1"/>
        <v>0.34470699999999999</v>
      </c>
      <c r="N11" s="253">
        <f t="shared" si="0"/>
        <v>29.52902226299376</v>
      </c>
      <c r="O11" s="252">
        <f t="shared" si="0"/>
        <v>0.34470699999999999</v>
      </c>
      <c r="P11" s="253">
        <f t="shared" si="0"/>
        <v>29.52902226299376</v>
      </c>
      <c r="Q11" s="252">
        <f t="shared" si="0"/>
        <v>0.34470699999999999</v>
      </c>
      <c r="R11" s="253">
        <f t="shared" si="0"/>
        <v>29.52902226299376</v>
      </c>
    </row>
    <row r="12" spans="2:20" x14ac:dyDescent="0.25">
      <c r="B12" s="54" t="s">
        <v>154</v>
      </c>
      <c r="C12" s="249" t="str">
        <f>VAC_Optim_Scenario!B24</f>
        <v>HCC Radio</v>
      </c>
      <c r="D12" s="250">
        <f>VAC_Optim_Scenario!$H42</f>
        <v>1868162.933</v>
      </c>
      <c r="E12" s="251">
        <f>VAC_Optim_Scenario!$J42</f>
        <v>18662665.324166391</v>
      </c>
      <c r="F12" s="250">
        <f>VAC_Optim_Scenario!$H42</f>
        <v>1868162.933</v>
      </c>
      <c r="G12" s="251">
        <f>VAC_Optim_Scenario!$J42</f>
        <v>18662665.324166391</v>
      </c>
      <c r="H12" s="250">
        <f>VAC_Optim_Scenario!$H42</f>
        <v>1868162.933</v>
      </c>
      <c r="I12" s="251">
        <f>VAC_Optim_Scenario!$J42</f>
        <v>18662665.324166391</v>
      </c>
      <c r="J12" s="246"/>
      <c r="K12" s="54" t="s">
        <v>154</v>
      </c>
      <c r="L12" s="54" t="str">
        <f>VAC_Optim_Scenario!B24</f>
        <v>HCC Radio</v>
      </c>
      <c r="M12" s="252">
        <f t="shared" si="1"/>
        <v>1.868162933</v>
      </c>
      <c r="N12" s="253">
        <f t="shared" si="0"/>
        <v>18.66266532416639</v>
      </c>
      <c r="O12" s="252">
        <f t="shared" si="0"/>
        <v>1.868162933</v>
      </c>
      <c r="P12" s="253">
        <f t="shared" si="0"/>
        <v>18.66266532416639</v>
      </c>
      <c r="Q12" s="252">
        <f t="shared" si="0"/>
        <v>1.868162933</v>
      </c>
      <c r="R12" s="253">
        <f t="shared" si="0"/>
        <v>18.66266532416639</v>
      </c>
    </row>
    <row r="13" spans="2:20" x14ac:dyDescent="0.25">
      <c r="B13" s="263" t="s">
        <v>154</v>
      </c>
      <c r="C13" s="236" t="str">
        <f>VAC_Optim_Scenario!B25</f>
        <v>HCC TV</v>
      </c>
      <c r="D13" s="264">
        <f>VAC_Optim_Scenario!$H43</f>
        <v>13503524.99</v>
      </c>
      <c r="E13" s="264">
        <f>VAC_Optim_Scenario!$J43</f>
        <v>57317880.122995496</v>
      </c>
      <c r="F13" s="264">
        <f>VAC_Optim_Scenario!$H43</f>
        <v>13503524.99</v>
      </c>
      <c r="G13" s="264">
        <f>VAC_Optim_Scenario!$J43</f>
        <v>57317880.122995496</v>
      </c>
      <c r="H13" s="264">
        <f>VAC_Optim_Scenario!$H43</f>
        <v>13503524.99</v>
      </c>
      <c r="I13" s="264">
        <f>VAC_Optim_Scenario!$J43</f>
        <v>57317880.122995496</v>
      </c>
      <c r="J13" s="246"/>
      <c r="K13" s="263" t="s">
        <v>154</v>
      </c>
      <c r="L13" s="263" t="str">
        <f>VAC_Optim_Scenario!B25</f>
        <v>HCC TV</v>
      </c>
      <c r="M13" s="257">
        <f t="shared" si="1"/>
        <v>13.503524990000001</v>
      </c>
      <c r="N13" s="257">
        <f t="shared" si="0"/>
        <v>57.317880122995497</v>
      </c>
      <c r="O13" s="257">
        <f t="shared" si="0"/>
        <v>13.503524990000001</v>
      </c>
      <c r="P13" s="257">
        <f t="shared" si="0"/>
        <v>57.317880122995497</v>
      </c>
      <c r="Q13" s="257">
        <f t="shared" si="0"/>
        <v>13.503524990000001</v>
      </c>
      <c r="R13" s="257">
        <f t="shared" si="0"/>
        <v>57.317880122995497</v>
      </c>
    </row>
    <row r="14" spans="2:20" x14ac:dyDescent="0.25">
      <c r="T14" s="305"/>
    </row>
    <row r="15" spans="2:20" x14ac:dyDescent="0.25">
      <c r="C15" s="240" t="s">
        <v>238</v>
      </c>
    </row>
    <row r="17" spans="2:19" ht="37.9" customHeight="1" x14ac:dyDescent="0.25">
      <c r="C17" s="455" t="s">
        <v>3</v>
      </c>
      <c r="D17" s="456" t="s">
        <v>232</v>
      </c>
      <c r="E17" s="457"/>
      <c r="F17" s="456" t="s">
        <v>239</v>
      </c>
      <c r="G17" s="457"/>
      <c r="H17" s="456" t="s">
        <v>240</v>
      </c>
      <c r="I17" s="457"/>
      <c r="L17" s="455" t="s">
        <v>3</v>
      </c>
      <c r="M17" s="456" t="s">
        <v>232</v>
      </c>
      <c r="N17" s="457"/>
      <c r="O17" s="456" t="s">
        <v>239</v>
      </c>
      <c r="P17" s="457"/>
      <c r="Q17" s="456" t="s">
        <v>240</v>
      </c>
      <c r="R17" s="457"/>
    </row>
    <row r="18" spans="2:19" ht="25.5" x14ac:dyDescent="0.25">
      <c r="C18" s="454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54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3" t="str">
        <f>VAC_Optim_Scenario!B17</f>
        <v>HCC In Office</v>
      </c>
      <c r="D19" s="244">
        <f>VAC_Optim_Scenario!$H35</f>
        <v>1228705.0999999999</v>
      </c>
      <c r="E19" s="245">
        <f>VAC_Optim_Scenario!$J35</f>
        <v>5933732.8283146154</v>
      </c>
      <c r="F19" s="244">
        <f>VAC_Optim_Scenario!$H35</f>
        <v>1228705.0999999999</v>
      </c>
      <c r="G19" s="245">
        <f>VAC_Optim_Scenario!$J35</f>
        <v>5933732.8283146154</v>
      </c>
      <c r="H19" s="244">
        <f>VAC_Optim_Scenario!$H35</f>
        <v>1228705.0999999999</v>
      </c>
      <c r="I19" s="245">
        <f>VAC_Optim_Scenario!$J35</f>
        <v>5933732.8283146154</v>
      </c>
      <c r="J19" s="246"/>
      <c r="K19" s="53" t="s">
        <v>154</v>
      </c>
      <c r="L19" s="243" t="str">
        <f>VAC_Optim_Scenario!B17</f>
        <v>HCC In Office</v>
      </c>
      <c r="M19" s="247">
        <f>D19/1000000</f>
        <v>1.2287050999999998</v>
      </c>
      <c r="N19" s="248">
        <f t="shared" ref="N19:R27" si="2">E19/1000000</f>
        <v>5.9337328283146151</v>
      </c>
      <c r="O19" s="247">
        <f t="shared" si="2"/>
        <v>1.2287050999999998</v>
      </c>
      <c r="P19" s="248">
        <f t="shared" si="2"/>
        <v>5.9337328283146151</v>
      </c>
      <c r="Q19" s="247">
        <f t="shared" si="2"/>
        <v>1.2287050999999998</v>
      </c>
      <c r="R19" s="248">
        <f t="shared" si="2"/>
        <v>5.9337328283146151</v>
      </c>
    </row>
    <row r="20" spans="2:19" x14ac:dyDescent="0.25">
      <c r="B20" s="54" t="s">
        <v>154</v>
      </c>
      <c r="C20" s="249" t="str">
        <f>VAC_Optim_Scenario!B18</f>
        <v>HCP MCM</v>
      </c>
      <c r="D20" s="250">
        <f>VAC_Optim_Scenario!$H36</f>
        <v>6974984.7570000011</v>
      </c>
      <c r="E20" s="251">
        <f>VAC_Optim_Scenario!$J36</f>
        <v>75572474.639871225</v>
      </c>
      <c r="F20" s="250">
        <f>VAC_Optim_Scenario!$H36</f>
        <v>6974984.7570000011</v>
      </c>
      <c r="G20" s="251">
        <f>VAC_Optim_Scenario!$J36</f>
        <v>75572474.639871225</v>
      </c>
      <c r="H20" s="250">
        <f>VAC_Optim_Scenario!$H36</f>
        <v>6974984.7570000011</v>
      </c>
      <c r="I20" s="251">
        <f>VAC_Optim_Scenario!$J36</f>
        <v>75572474.639871225</v>
      </c>
      <c r="J20" s="246"/>
      <c r="K20" s="54" t="s">
        <v>154</v>
      </c>
      <c r="L20" s="249" t="str">
        <f>VAC_Optim_Scenario!B18</f>
        <v>HCP MCM</v>
      </c>
      <c r="M20" s="252">
        <f t="shared" ref="M20:M27" si="3">D20/1000000</f>
        <v>6.9749847570000014</v>
      </c>
      <c r="N20" s="253">
        <f t="shared" si="2"/>
        <v>75.572474639871231</v>
      </c>
      <c r="O20" s="252">
        <f t="shared" si="2"/>
        <v>6.9749847570000014</v>
      </c>
      <c r="P20" s="253">
        <f t="shared" si="2"/>
        <v>75.572474639871231</v>
      </c>
      <c r="Q20" s="252">
        <f t="shared" si="2"/>
        <v>6.9749847570000014</v>
      </c>
      <c r="R20" s="253">
        <f t="shared" si="2"/>
        <v>75.572474639871231</v>
      </c>
    </row>
    <row r="21" spans="2:19" x14ac:dyDescent="0.25">
      <c r="B21" s="54" t="s">
        <v>154</v>
      </c>
      <c r="C21" s="249" t="str">
        <f>VAC_Optim_Scenario!B19</f>
        <v>HCC Social</v>
      </c>
      <c r="D21" s="250">
        <f>VAC_Optim_Scenario!$H37</f>
        <v>1666468.7252945821</v>
      </c>
      <c r="E21" s="251">
        <f>VAC_Optim_Scenario!$J37</f>
        <v>15006935.621733909</v>
      </c>
      <c r="F21" s="250">
        <f>VAC_Optim_Scenario!$H37</f>
        <v>1666468.7252945821</v>
      </c>
      <c r="G21" s="251">
        <f>VAC_Optim_Scenario!$J37</f>
        <v>15006935.621733909</v>
      </c>
      <c r="H21" s="250">
        <f>VAC_Optim_Scenario!$H37</f>
        <v>1666468.7252945821</v>
      </c>
      <c r="I21" s="251">
        <f>VAC_Optim_Scenario!$J37</f>
        <v>15006935.621733909</v>
      </c>
      <c r="J21" s="254"/>
      <c r="K21" s="54" t="s">
        <v>154</v>
      </c>
      <c r="L21" s="249" t="str">
        <f>VAC_Optim_Scenario!B19</f>
        <v>HCC Social</v>
      </c>
      <c r="M21" s="252">
        <f t="shared" si="3"/>
        <v>1.666468725294582</v>
      </c>
      <c r="N21" s="253">
        <f t="shared" si="2"/>
        <v>15.006935621733909</v>
      </c>
      <c r="O21" s="252">
        <f t="shared" si="2"/>
        <v>1.666468725294582</v>
      </c>
      <c r="P21" s="253">
        <f t="shared" si="2"/>
        <v>15.006935621733909</v>
      </c>
      <c r="Q21" s="252">
        <f t="shared" si="2"/>
        <v>1.666468725294582</v>
      </c>
      <c r="R21" s="253">
        <f t="shared" si="2"/>
        <v>15.006935621733909</v>
      </c>
    </row>
    <row r="22" spans="2:19" x14ac:dyDescent="0.25">
      <c r="B22" s="54" t="s">
        <v>154</v>
      </c>
      <c r="C22" s="249" t="str">
        <f>VAC_Optim_Scenario!B20</f>
        <v>HCC Online Video</v>
      </c>
      <c r="D22" s="250">
        <f>VAC_Optim_Scenario!$H38</f>
        <v>225000.022</v>
      </c>
      <c r="E22" s="251">
        <f>VAC_Optim_Scenario!$J38</f>
        <v>2031161.5894317664</v>
      </c>
      <c r="F22" s="250">
        <f>VAC_Optim_Scenario!$H38</f>
        <v>225000.022</v>
      </c>
      <c r="G22" s="251">
        <f>VAC_Optim_Scenario!$J38</f>
        <v>2031161.5894317664</v>
      </c>
      <c r="H22" s="250">
        <f>VAC_Optim_Scenario!$H38</f>
        <v>225000.022</v>
      </c>
      <c r="I22" s="251">
        <f>VAC_Optim_Scenario!$J38</f>
        <v>2031161.5894317664</v>
      </c>
      <c r="J22" s="246"/>
      <c r="K22" s="54" t="s">
        <v>154</v>
      </c>
      <c r="L22" s="249" t="str">
        <f>VAC_Optim_Scenario!B20</f>
        <v>HCC Online Video</v>
      </c>
      <c r="M22" s="252">
        <f t="shared" si="3"/>
        <v>0.22500002199999999</v>
      </c>
      <c r="N22" s="253">
        <f t="shared" si="2"/>
        <v>2.0311615894317665</v>
      </c>
      <c r="O22" s="252">
        <f t="shared" si="2"/>
        <v>0.22500002199999999</v>
      </c>
      <c r="P22" s="253">
        <f t="shared" si="2"/>
        <v>2.0311615894317665</v>
      </c>
      <c r="Q22" s="252">
        <f t="shared" si="2"/>
        <v>0.22500002199999999</v>
      </c>
      <c r="R22" s="253">
        <f t="shared" si="2"/>
        <v>2.0311615894317665</v>
      </c>
    </row>
    <row r="23" spans="2:19" x14ac:dyDescent="0.25">
      <c r="B23" s="54" t="s">
        <v>154</v>
      </c>
      <c r="C23" s="249" t="str">
        <f>VAC_Optim_Scenario!B21</f>
        <v>HCC Streaming Video</v>
      </c>
      <c r="D23" s="250">
        <f>VAC_Optim_Scenario!$H39</f>
        <v>4326087.5</v>
      </c>
      <c r="E23" s="251">
        <f>VAC_Optim_Scenario!$J39</f>
        <v>25462546.467915077</v>
      </c>
      <c r="F23" s="250">
        <f>VAC_Optim_Scenario!$H39</f>
        <v>4326087.5</v>
      </c>
      <c r="G23" s="251">
        <f>VAC_Optim_Scenario!$J39</f>
        <v>25462546.467915077</v>
      </c>
      <c r="H23" s="250">
        <f>VAC_Optim_Scenario!$H39</f>
        <v>4326087.5</v>
      </c>
      <c r="I23" s="251">
        <f>VAC_Optim_Scenario!$J39</f>
        <v>25462546.467915077</v>
      </c>
      <c r="J23" s="254"/>
      <c r="K23" s="54" t="s">
        <v>154</v>
      </c>
      <c r="L23" s="249" t="str">
        <f>VAC_Optim_Scenario!B21</f>
        <v>HCC Streaming Video</v>
      </c>
      <c r="M23" s="252">
        <f t="shared" si="3"/>
        <v>4.3260874999999999</v>
      </c>
      <c r="N23" s="253">
        <f t="shared" si="2"/>
        <v>25.462546467915075</v>
      </c>
      <c r="O23" s="252">
        <f t="shared" si="2"/>
        <v>4.3260874999999999</v>
      </c>
      <c r="P23" s="253">
        <f t="shared" si="2"/>
        <v>25.462546467915075</v>
      </c>
      <c r="Q23" s="252">
        <f t="shared" si="2"/>
        <v>4.3260874999999999</v>
      </c>
      <c r="R23" s="253">
        <f t="shared" si="2"/>
        <v>25.462546467915075</v>
      </c>
    </row>
    <row r="24" spans="2:19" x14ac:dyDescent="0.25">
      <c r="B24" s="54" t="s">
        <v>154</v>
      </c>
      <c r="C24" s="249" t="str">
        <f>VAC_Optim_Scenario!B22</f>
        <v>HCC Display</v>
      </c>
      <c r="D24" s="250">
        <f>VAC_Optim_Scenario!$H40</f>
        <v>2142864.5810000002</v>
      </c>
      <c r="E24" s="251">
        <f>VAC_Optim_Scenario!$J40</f>
        <v>28569508.760968704</v>
      </c>
      <c r="F24" s="250">
        <f>VAC_Optim_Scenario!$H40</f>
        <v>2142864.5810000002</v>
      </c>
      <c r="G24" s="251">
        <f>VAC_Optim_Scenario!$J40</f>
        <v>28569508.760968704</v>
      </c>
      <c r="H24" s="250">
        <f>VAC_Optim_Scenario!$H40</f>
        <v>2142864.5810000002</v>
      </c>
      <c r="I24" s="251">
        <f>VAC_Optim_Scenario!$J40</f>
        <v>28569508.760968704</v>
      </c>
      <c r="J24" s="254"/>
      <c r="K24" s="54" t="s">
        <v>154</v>
      </c>
      <c r="L24" s="249" t="str">
        <f>VAC_Optim_Scenario!B22</f>
        <v>HCC Display</v>
      </c>
      <c r="M24" s="252">
        <f t="shared" si="3"/>
        <v>2.1428645810000004</v>
      </c>
      <c r="N24" s="253">
        <f t="shared" si="2"/>
        <v>28.569508760968702</v>
      </c>
      <c r="O24" s="252">
        <f t="shared" si="2"/>
        <v>2.1428645810000004</v>
      </c>
      <c r="P24" s="253">
        <f t="shared" si="2"/>
        <v>28.569508760968702</v>
      </c>
      <c r="Q24" s="252">
        <f t="shared" si="2"/>
        <v>2.1428645810000004</v>
      </c>
      <c r="R24" s="253">
        <f t="shared" si="2"/>
        <v>28.569508760968702</v>
      </c>
    </row>
    <row r="25" spans="2:19" x14ac:dyDescent="0.25">
      <c r="B25" s="54" t="s">
        <v>154</v>
      </c>
      <c r="C25" s="249" t="str">
        <f>VAC_Optim_Scenario!B23</f>
        <v>HCC Paid Search</v>
      </c>
      <c r="D25" s="250">
        <f>VAC_Optim_Scenario!$H41</f>
        <v>344707</v>
      </c>
      <c r="E25" s="251">
        <f>VAC_Optim_Scenario!$J41</f>
        <v>29529022.26299376</v>
      </c>
      <c r="F25" s="250">
        <f>VAC_Optim_Scenario!$H41</f>
        <v>344707</v>
      </c>
      <c r="G25" s="251">
        <f>VAC_Optim_Scenario!$J41</f>
        <v>29529022.26299376</v>
      </c>
      <c r="H25" s="250">
        <f>VAC_Optim_Scenario!$H41</f>
        <v>344707</v>
      </c>
      <c r="I25" s="251">
        <f>VAC_Optim_Scenario!$J41</f>
        <v>29529022.26299376</v>
      </c>
      <c r="J25" s="254"/>
      <c r="K25" s="54" t="s">
        <v>154</v>
      </c>
      <c r="L25" s="249" t="str">
        <f>VAC_Optim_Scenario!B23</f>
        <v>HCC Paid Search</v>
      </c>
      <c r="M25" s="252">
        <f t="shared" si="3"/>
        <v>0.34470699999999999</v>
      </c>
      <c r="N25" s="253">
        <f t="shared" si="2"/>
        <v>29.52902226299376</v>
      </c>
      <c r="O25" s="252">
        <f t="shared" si="2"/>
        <v>0.34470699999999999</v>
      </c>
      <c r="P25" s="253">
        <f t="shared" si="2"/>
        <v>29.52902226299376</v>
      </c>
      <c r="Q25" s="252">
        <f t="shared" si="2"/>
        <v>0.34470699999999999</v>
      </c>
      <c r="R25" s="253">
        <f t="shared" si="2"/>
        <v>29.52902226299376</v>
      </c>
    </row>
    <row r="26" spans="2:19" x14ac:dyDescent="0.25">
      <c r="B26" s="54" t="s">
        <v>154</v>
      </c>
      <c r="C26" s="249" t="str">
        <f>VAC_Optim_Scenario!B24</f>
        <v>HCC Radio</v>
      </c>
      <c r="D26" s="250">
        <f>VAC_Optim_Scenario!$H42</f>
        <v>1868162.933</v>
      </c>
      <c r="E26" s="251">
        <f>VAC_Optim_Scenario!$J42</f>
        <v>18662665.324166391</v>
      </c>
      <c r="F26" s="250">
        <f>VAC_Optim_Scenario!$H42</f>
        <v>1868162.933</v>
      </c>
      <c r="G26" s="251">
        <f>VAC_Optim_Scenario!$J42</f>
        <v>18662665.324166391</v>
      </c>
      <c r="H26" s="250">
        <f>VAC_Optim_Scenario!$H42</f>
        <v>1868162.933</v>
      </c>
      <c r="I26" s="251">
        <f>VAC_Optim_Scenario!$J42</f>
        <v>18662665.324166391</v>
      </c>
      <c r="J26" s="254"/>
      <c r="K26" s="54" t="s">
        <v>154</v>
      </c>
      <c r="L26" s="249" t="str">
        <f>VAC_Optim_Scenario!B24</f>
        <v>HCC Radio</v>
      </c>
      <c r="M26" s="252">
        <f t="shared" si="3"/>
        <v>1.868162933</v>
      </c>
      <c r="N26" s="253">
        <f t="shared" si="2"/>
        <v>18.66266532416639</v>
      </c>
      <c r="O26" s="252">
        <f t="shared" si="2"/>
        <v>1.868162933</v>
      </c>
      <c r="P26" s="253">
        <f t="shared" si="2"/>
        <v>18.66266532416639</v>
      </c>
      <c r="Q26" s="252">
        <f t="shared" si="2"/>
        <v>1.868162933</v>
      </c>
      <c r="R26" s="253">
        <f t="shared" si="2"/>
        <v>18.66266532416639</v>
      </c>
    </row>
    <row r="27" spans="2:19" x14ac:dyDescent="0.25">
      <c r="B27" s="263" t="s">
        <v>154</v>
      </c>
      <c r="C27" s="236" t="str">
        <f>VAC_Optim_Scenario!B25</f>
        <v>HCC TV</v>
      </c>
      <c r="D27" s="264">
        <f>VAC_Optim_Scenario!$H43</f>
        <v>13503524.99</v>
      </c>
      <c r="E27" s="264">
        <f>VAC_Optim_Scenario!$J43</f>
        <v>57317880.122995496</v>
      </c>
      <c r="F27" s="264">
        <f>VAC_Optim_Scenario!$H43</f>
        <v>13503524.99</v>
      </c>
      <c r="G27" s="264">
        <f>VAC_Optim_Scenario!$J43</f>
        <v>57317880.122995496</v>
      </c>
      <c r="H27" s="264">
        <f>VAC_Optim_Scenario!$H43</f>
        <v>13503524.99</v>
      </c>
      <c r="I27" s="264">
        <f>VAC_Optim_Scenario!$J43</f>
        <v>57317880.122995496</v>
      </c>
      <c r="J27" s="254"/>
      <c r="K27" s="263" t="s">
        <v>154</v>
      </c>
      <c r="L27" s="236" t="str">
        <f>VAC_Optim_Scenario!B25</f>
        <v>HCC TV</v>
      </c>
      <c r="M27" s="257">
        <f t="shared" si="3"/>
        <v>13.503524990000001</v>
      </c>
      <c r="N27" s="257">
        <f t="shared" si="2"/>
        <v>57.317880122995497</v>
      </c>
      <c r="O27" s="257">
        <f t="shared" si="2"/>
        <v>13.503524990000001</v>
      </c>
      <c r="P27" s="257">
        <f t="shared" si="2"/>
        <v>57.317880122995497</v>
      </c>
      <c r="Q27" s="257">
        <f t="shared" si="2"/>
        <v>13.503524990000001</v>
      </c>
      <c r="R27" s="257">
        <f t="shared" si="2"/>
        <v>57.317880122995497</v>
      </c>
    </row>
    <row r="30" spans="2:19" ht="34.35" customHeight="1" x14ac:dyDescent="0.25">
      <c r="C30" s="289" t="s">
        <v>3</v>
      </c>
      <c r="D30" s="290" t="s">
        <v>241</v>
      </c>
      <c r="E30" s="255">
        <v>-0.5</v>
      </c>
      <c r="F30" s="255">
        <v>2</v>
      </c>
      <c r="G30" s="255">
        <v>-0.4</v>
      </c>
      <c r="H30" s="255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6" t="str">
        <f>VAC_Optim_Scenario!B17</f>
        <v>HCC In Office</v>
      </c>
      <c r="D31" s="247">
        <f>M19</f>
        <v>1.2287050999999998</v>
      </c>
      <c r="E31" s="247">
        <f>O5</f>
        <v>1.2287050999999998</v>
      </c>
      <c r="F31" s="247">
        <f>Q5</f>
        <v>1.2287050999999998</v>
      </c>
      <c r="G31" s="247">
        <f>O19</f>
        <v>1.2287050999999998</v>
      </c>
      <c r="H31" s="247">
        <f>Q19</f>
        <v>1.2287050999999998</v>
      </c>
      <c r="J31" s="256">
        <v>-0.5</v>
      </c>
      <c r="K31" s="257">
        <f>E$31</f>
        <v>1.2287050999999998</v>
      </c>
      <c r="L31" s="257">
        <f>E$32</f>
        <v>6.9749847570000014</v>
      </c>
      <c r="M31" s="257">
        <f>E$33</f>
        <v>1.666468725294582</v>
      </c>
      <c r="N31" s="257">
        <f>E$34</f>
        <v>0.22500002199999999</v>
      </c>
      <c r="O31" s="257">
        <f>E$35</f>
        <v>4.3260874999999999</v>
      </c>
      <c r="P31" s="257">
        <f>E$36</f>
        <v>2.1428645810000004</v>
      </c>
      <c r="Q31" s="257">
        <f>E$37</f>
        <v>0.34470699999999999</v>
      </c>
      <c r="R31" s="257">
        <f>E$38</f>
        <v>1.868162933</v>
      </c>
      <c r="S31" s="257">
        <f>E$39</f>
        <v>13.503524990000001</v>
      </c>
    </row>
    <row r="32" spans="2:19" x14ac:dyDescent="0.25">
      <c r="B32" s="54" t="s">
        <v>154</v>
      </c>
      <c r="C32" s="307" t="str">
        <f>VAC_Optim_Scenario!B18</f>
        <v>HCP MCM</v>
      </c>
      <c r="D32" s="252">
        <f t="shared" ref="D32:D39" si="4">M20</f>
        <v>6.9749847570000014</v>
      </c>
      <c r="E32" s="252">
        <f t="shared" ref="E32:E39" si="5">O6</f>
        <v>6.9749847570000014</v>
      </c>
      <c r="F32" s="252">
        <f t="shared" ref="F32:F39" si="6">Q6</f>
        <v>6.9749847570000014</v>
      </c>
      <c r="G32" s="252">
        <f t="shared" ref="G32:G39" si="7">O20</f>
        <v>6.9749847570000014</v>
      </c>
      <c r="H32" s="252">
        <f t="shared" ref="H32:H39" si="8">Q20</f>
        <v>6.9749847570000014</v>
      </c>
      <c r="J32" s="256">
        <v>-0.4</v>
      </c>
      <c r="K32" s="257">
        <f>G$31</f>
        <v>1.2287050999999998</v>
      </c>
      <c r="L32" s="257">
        <f>G$32</f>
        <v>6.9749847570000014</v>
      </c>
      <c r="M32" s="257">
        <f>G$33</f>
        <v>1.666468725294582</v>
      </c>
      <c r="N32" s="257">
        <f>G$34</f>
        <v>0.22500002199999999</v>
      </c>
      <c r="O32" s="257">
        <f>G$35</f>
        <v>4.3260874999999999</v>
      </c>
      <c r="P32" s="257">
        <f>G$36</f>
        <v>2.1428645810000004</v>
      </c>
      <c r="Q32" s="257">
        <f>G$37</f>
        <v>0.34470699999999999</v>
      </c>
      <c r="R32" s="257">
        <f>G$38</f>
        <v>1.868162933</v>
      </c>
      <c r="S32" s="257">
        <f>G$39</f>
        <v>13.503524990000001</v>
      </c>
    </row>
    <row r="33" spans="2:22" x14ac:dyDescent="0.25">
      <c r="B33" s="54" t="s">
        <v>154</v>
      </c>
      <c r="C33" s="307" t="str">
        <f>VAC_Optim_Scenario!B19</f>
        <v>HCC Social</v>
      </c>
      <c r="D33" s="252">
        <f t="shared" si="4"/>
        <v>1.666468725294582</v>
      </c>
      <c r="E33" s="252">
        <f t="shared" si="5"/>
        <v>1.666468725294582</v>
      </c>
      <c r="F33" s="252">
        <f t="shared" si="6"/>
        <v>1.666468725294582</v>
      </c>
      <c r="G33" s="252">
        <f t="shared" si="7"/>
        <v>1.666468725294582</v>
      </c>
      <c r="H33" s="252">
        <f t="shared" si="8"/>
        <v>1.666468725294582</v>
      </c>
      <c r="J33" s="256" t="s">
        <v>241</v>
      </c>
      <c r="K33" s="257">
        <f>D$31</f>
        <v>1.2287050999999998</v>
      </c>
      <c r="L33" s="257">
        <f>D$32</f>
        <v>6.9749847570000014</v>
      </c>
      <c r="M33" s="257">
        <f>D$33</f>
        <v>1.666468725294582</v>
      </c>
      <c r="N33" s="257">
        <f>D$34</f>
        <v>0.22500002199999999</v>
      </c>
      <c r="O33" s="257">
        <f>D$35</f>
        <v>4.3260874999999999</v>
      </c>
      <c r="P33" s="257">
        <f>D$36</f>
        <v>2.1428645810000004</v>
      </c>
      <c r="Q33" s="257">
        <f>D$37</f>
        <v>0.34470699999999999</v>
      </c>
      <c r="R33" s="257">
        <f>D$38</f>
        <v>1.868162933</v>
      </c>
      <c r="S33" s="257">
        <f>D$39</f>
        <v>13.503524990000001</v>
      </c>
    </row>
    <row r="34" spans="2:22" x14ac:dyDescent="0.25">
      <c r="B34" s="54" t="s">
        <v>154</v>
      </c>
      <c r="C34" s="307" t="str">
        <f>VAC_Optim_Scenario!B20</f>
        <v>HCC Online Video</v>
      </c>
      <c r="D34" s="252">
        <f t="shared" si="4"/>
        <v>0.22500002199999999</v>
      </c>
      <c r="E34" s="252">
        <f t="shared" si="5"/>
        <v>0.22500002199999999</v>
      </c>
      <c r="F34" s="252">
        <f t="shared" si="6"/>
        <v>0.22500002199999999</v>
      </c>
      <c r="G34" s="252">
        <f t="shared" si="7"/>
        <v>0.22500002199999999</v>
      </c>
      <c r="H34" s="252">
        <f t="shared" si="8"/>
        <v>0.22500002199999999</v>
      </c>
      <c r="J34" s="256">
        <v>0.4</v>
      </c>
      <c r="K34" s="257">
        <f>H$31</f>
        <v>1.2287050999999998</v>
      </c>
      <c r="L34" s="257">
        <f>H$32</f>
        <v>6.9749847570000014</v>
      </c>
      <c r="M34" s="257">
        <f>H$33</f>
        <v>1.666468725294582</v>
      </c>
      <c r="N34" s="257">
        <f>H$34</f>
        <v>0.22500002199999999</v>
      </c>
      <c r="O34" s="257">
        <f>H$35</f>
        <v>4.3260874999999999</v>
      </c>
      <c r="P34" s="257">
        <f>H$36</f>
        <v>2.1428645810000004</v>
      </c>
      <c r="Q34" s="257">
        <f>H$37</f>
        <v>0.34470699999999999</v>
      </c>
      <c r="R34" s="257">
        <f>H$38</f>
        <v>1.868162933</v>
      </c>
      <c r="S34" s="257">
        <f>H$39</f>
        <v>13.503524990000001</v>
      </c>
    </row>
    <row r="35" spans="2:22" x14ac:dyDescent="0.25">
      <c r="B35" s="54" t="s">
        <v>154</v>
      </c>
      <c r="C35" s="307" t="str">
        <f>VAC_Optim_Scenario!B21</f>
        <v>HCC Streaming Video</v>
      </c>
      <c r="D35" s="252">
        <f t="shared" si="4"/>
        <v>4.3260874999999999</v>
      </c>
      <c r="E35" s="252">
        <f t="shared" si="5"/>
        <v>4.3260874999999999</v>
      </c>
      <c r="F35" s="252">
        <f t="shared" si="6"/>
        <v>4.3260874999999999</v>
      </c>
      <c r="G35" s="252">
        <f t="shared" si="7"/>
        <v>4.3260874999999999</v>
      </c>
      <c r="H35" s="252">
        <f t="shared" si="8"/>
        <v>4.3260874999999999</v>
      </c>
      <c r="J35" s="255">
        <v>2</v>
      </c>
      <c r="K35" s="257">
        <f>F$31</f>
        <v>1.2287050999999998</v>
      </c>
      <c r="L35" s="257">
        <f>F$32</f>
        <v>6.9749847570000014</v>
      </c>
      <c r="M35" s="257">
        <f>F$33</f>
        <v>1.666468725294582</v>
      </c>
      <c r="N35" s="257">
        <f>F$34</f>
        <v>0.22500002199999999</v>
      </c>
      <c r="O35" s="257">
        <f>F$35</f>
        <v>4.3260874999999999</v>
      </c>
      <c r="P35" s="257">
        <f>F$36</f>
        <v>2.1428645810000004</v>
      </c>
      <c r="Q35" s="257">
        <f>F$37</f>
        <v>0.34470699999999999</v>
      </c>
      <c r="R35" s="257">
        <f>F$38</f>
        <v>1.868162933</v>
      </c>
      <c r="S35" s="257">
        <f>F$39</f>
        <v>13.503524990000001</v>
      </c>
    </row>
    <row r="36" spans="2:22" x14ac:dyDescent="0.25">
      <c r="B36" s="54" t="s">
        <v>154</v>
      </c>
      <c r="C36" s="307" t="str">
        <f>VAC_Optim_Scenario!B22</f>
        <v>HCC Display</v>
      </c>
      <c r="D36" s="252">
        <f t="shared" si="4"/>
        <v>2.1428645810000004</v>
      </c>
      <c r="E36" s="252">
        <f t="shared" si="5"/>
        <v>2.1428645810000004</v>
      </c>
      <c r="F36" s="252">
        <f t="shared" si="6"/>
        <v>2.1428645810000004</v>
      </c>
      <c r="G36" s="252">
        <f t="shared" si="7"/>
        <v>2.1428645810000004</v>
      </c>
      <c r="H36" s="252">
        <f t="shared" si="8"/>
        <v>2.1428645810000004</v>
      </c>
    </row>
    <row r="37" spans="2:22" x14ac:dyDescent="0.25">
      <c r="B37" s="54" t="s">
        <v>154</v>
      </c>
      <c r="C37" s="307" t="str">
        <f>VAC_Optim_Scenario!B23</f>
        <v>HCC Paid Search</v>
      </c>
      <c r="D37" s="252">
        <f t="shared" si="4"/>
        <v>0.34470699999999999</v>
      </c>
      <c r="E37" s="252">
        <f t="shared" si="5"/>
        <v>0.34470699999999999</v>
      </c>
      <c r="F37" s="252">
        <f t="shared" si="6"/>
        <v>0.34470699999999999</v>
      </c>
      <c r="G37" s="252">
        <f t="shared" si="7"/>
        <v>0.34470699999999999</v>
      </c>
      <c r="H37" s="252">
        <f t="shared" si="8"/>
        <v>0.34470699999999999</v>
      </c>
      <c r="J37" s="273"/>
      <c r="K37" s="258"/>
      <c r="L37" s="258"/>
      <c r="M37" s="258"/>
      <c r="N37" s="258"/>
      <c r="O37" s="258"/>
      <c r="P37" s="258"/>
      <c r="Q37" s="258"/>
      <c r="R37" s="258"/>
    </row>
    <row r="38" spans="2:22" x14ac:dyDescent="0.25">
      <c r="B38" s="54" t="s">
        <v>154</v>
      </c>
      <c r="C38" s="307" t="str">
        <f>VAC_Optim_Scenario!B24</f>
        <v>HCC Radio</v>
      </c>
      <c r="D38" s="252">
        <f t="shared" si="4"/>
        <v>1.868162933</v>
      </c>
      <c r="E38" s="252">
        <f t="shared" si="5"/>
        <v>1.868162933</v>
      </c>
      <c r="F38" s="252">
        <f t="shared" si="6"/>
        <v>1.868162933</v>
      </c>
      <c r="G38" s="252">
        <f t="shared" si="7"/>
        <v>1.868162933</v>
      </c>
      <c r="H38" s="252">
        <f t="shared" si="8"/>
        <v>1.868162933</v>
      </c>
      <c r="J38" s="274"/>
      <c r="K38" s="259"/>
      <c r="L38" s="259"/>
      <c r="M38" s="259"/>
      <c r="N38" s="259"/>
      <c r="O38" s="259"/>
      <c r="P38" s="259"/>
      <c r="Q38" s="259"/>
      <c r="R38" s="259"/>
    </row>
    <row r="39" spans="2:22" x14ac:dyDescent="0.25">
      <c r="B39" s="97" t="s">
        <v>154</v>
      </c>
      <c r="C39" s="308" t="str">
        <f>VAC_Optim_Scenario!B25</f>
        <v>HCC TV</v>
      </c>
      <c r="D39" s="252">
        <f t="shared" si="4"/>
        <v>13.503524990000001</v>
      </c>
      <c r="E39" s="252">
        <f t="shared" si="5"/>
        <v>13.503524990000001</v>
      </c>
      <c r="F39" s="252">
        <f t="shared" si="6"/>
        <v>13.503524990000001</v>
      </c>
      <c r="G39" s="252">
        <f t="shared" si="7"/>
        <v>13.503524990000001</v>
      </c>
      <c r="H39" s="252">
        <f t="shared" si="8"/>
        <v>13.503524990000001</v>
      </c>
      <c r="J39" s="273"/>
      <c r="K39" s="258"/>
      <c r="L39" s="258"/>
      <c r="M39" s="258"/>
      <c r="N39" s="258"/>
      <c r="O39" s="258"/>
      <c r="P39" s="258"/>
      <c r="Q39" s="258"/>
      <c r="R39" s="258"/>
    </row>
    <row r="40" spans="2:22" x14ac:dyDescent="0.25">
      <c r="L40" s="191"/>
      <c r="M40" s="191"/>
      <c r="O40" s="191"/>
      <c r="P40" s="191"/>
    </row>
    <row r="41" spans="2:22" x14ac:dyDescent="0.25">
      <c r="L41" s="257"/>
      <c r="M41" s="257"/>
      <c r="N41" s="257"/>
      <c r="O41" s="257"/>
      <c r="P41" s="257"/>
    </row>
    <row r="42" spans="2:22" x14ac:dyDescent="0.25">
      <c r="L42" s="257"/>
      <c r="M42" s="257"/>
      <c r="N42" s="257"/>
      <c r="O42" s="257"/>
      <c r="P42" s="257"/>
    </row>
    <row r="43" spans="2:22" x14ac:dyDescent="0.25">
      <c r="L43" s="257"/>
      <c r="M43" s="257"/>
      <c r="N43" s="257"/>
      <c r="O43" s="257"/>
      <c r="P43" s="257"/>
    </row>
    <row r="44" spans="2:22" x14ac:dyDescent="0.25">
      <c r="L44" s="257"/>
      <c r="M44" s="257"/>
      <c r="N44" s="257"/>
      <c r="O44" s="257"/>
      <c r="P44" s="257"/>
      <c r="S44" s="260"/>
      <c r="T44" s="260"/>
      <c r="V44" s="260"/>
    </row>
    <row r="45" spans="2:22" x14ac:dyDescent="0.25">
      <c r="L45" s="257"/>
      <c r="M45" s="257"/>
      <c r="N45" s="257"/>
      <c r="O45" s="257"/>
      <c r="P45" s="261"/>
      <c r="S45" s="262"/>
      <c r="T45" s="262"/>
      <c r="U45" s="262"/>
      <c r="V45" s="262"/>
    </row>
    <row r="46" spans="2:22" x14ac:dyDescent="0.25">
      <c r="L46" s="257"/>
      <c r="M46" s="257"/>
      <c r="N46" s="257"/>
      <c r="O46" s="257"/>
      <c r="P46" s="257"/>
      <c r="S46" s="262"/>
      <c r="T46" s="262"/>
      <c r="U46" s="262"/>
      <c r="V46" s="262"/>
    </row>
    <row r="47" spans="2:22" x14ac:dyDescent="0.25">
      <c r="L47" s="257"/>
      <c r="M47" s="257"/>
      <c r="N47" s="257"/>
      <c r="O47" s="257"/>
      <c r="P47" s="257"/>
    </row>
    <row r="48" spans="2:22" x14ac:dyDescent="0.25">
      <c r="L48" s="257"/>
      <c r="M48" s="257"/>
      <c r="N48" s="257"/>
      <c r="O48" s="257"/>
      <c r="P48" s="257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5"/>
  <sheetViews>
    <sheetView showGridLines="0" zoomScaleNormal="100" workbookViewId="0">
      <selection activeCell="B3" sqref="B3:J13"/>
    </sheetView>
  </sheetViews>
  <sheetFormatPr defaultColWidth="8.7109375" defaultRowHeight="15" x14ac:dyDescent="0.25"/>
  <cols>
    <col min="1" max="1" width="8.7109375" style="97"/>
    <col min="2" max="2" width="23.140625" style="97" customWidth="1"/>
    <col min="3" max="3" width="19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13.28515625" style="97" customWidth="1"/>
    <col min="8" max="8" width="14.85546875" style="97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384" width="8.7109375" style="97"/>
  </cols>
  <sheetData>
    <row r="2" spans="1:18" x14ac:dyDescent="0.25">
      <c r="D2" s="458">
        <v>2023</v>
      </c>
      <c r="E2" s="458"/>
      <c r="F2" s="458"/>
      <c r="G2" s="458"/>
      <c r="H2" s="458"/>
      <c r="I2" s="458"/>
      <c r="L2" s="97" t="s">
        <v>271</v>
      </c>
    </row>
    <row r="3" spans="1:18" ht="63" x14ac:dyDescent="0.25">
      <c r="B3" s="354" t="s">
        <v>2</v>
      </c>
      <c r="C3" s="355" t="s">
        <v>3</v>
      </c>
      <c r="D3" s="355" t="s">
        <v>299</v>
      </c>
      <c r="E3" s="355" t="s">
        <v>298</v>
      </c>
      <c r="F3" s="355" t="s">
        <v>295</v>
      </c>
      <c r="G3" s="355" t="s">
        <v>269</v>
      </c>
      <c r="H3" s="355" t="s">
        <v>222</v>
      </c>
      <c r="I3" s="355" t="s">
        <v>223</v>
      </c>
      <c r="J3" s="356" t="s">
        <v>207</v>
      </c>
      <c r="K3"/>
      <c r="L3" s="348">
        <v>8649234</v>
      </c>
      <c r="M3" s="234" t="s">
        <v>251</v>
      </c>
    </row>
    <row r="4" spans="1:18" x14ac:dyDescent="0.25">
      <c r="A4" s="97" t="s">
        <v>275</v>
      </c>
      <c r="B4" s="394" t="s">
        <v>297</v>
      </c>
      <c r="C4" s="395" t="str">
        <f>VAC_Optim_Scenario!B17</f>
        <v>HCC In Office</v>
      </c>
      <c r="D4" s="358">
        <f>VAC_Optim_Scenario!E17</f>
        <v>1755293</v>
      </c>
      <c r="E4" s="396">
        <f>VAC_Optim_Scenario!F17</f>
        <v>34079.723304951563</v>
      </c>
      <c r="F4" s="358">
        <f>VAC_Optim_Scenario!G35</f>
        <v>7699972.6835207557</v>
      </c>
      <c r="G4" s="397">
        <f>F4/D4</f>
        <v>4.3867164533332925</v>
      </c>
      <c r="H4" s="398">
        <f>E4/$L$3</f>
        <v>3.9402013293838006E-3</v>
      </c>
      <c r="I4" s="399">
        <f>(D4)/E4</f>
        <v>51.50549446347668</v>
      </c>
      <c r="J4" s="359">
        <f ca="1">(VLOOKUP($Q4,INDIRECT("'"&amp;A4&amp;"'!"&amp;"A20:E42"),5,0)-VLOOKUP($R4,INDIRECT("'"&amp;A4&amp;"'!"&amp;"A20:E42"),5,0))/(Q4-R4)</f>
        <v>3.0770541370015128</v>
      </c>
      <c r="K4"/>
      <c r="Q4" s="351" cm="1">
        <f t="array" aca="1" ref="Q4" ca="1">MAX(_xlfn._xlws.FILTER(INDIRECT("'"&amp;A4&amp;"'!"&amp;"A20:A42"),INDIRECT("'"&amp;A4&amp;"'!"&amp;"A20:A42")&lt;$D4))</f>
        <v>1600000</v>
      </c>
      <c r="R4" s="351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276</v>
      </c>
      <c r="B5" s="400" t="s">
        <v>297</v>
      </c>
      <c r="C5" s="401" t="str">
        <f>VAC_Optim_Scenario!B18</f>
        <v>HCP MCM</v>
      </c>
      <c r="D5" s="357">
        <f>VAC_Optim_Scenario!E18</f>
        <v>5365372.8900000006</v>
      </c>
      <c r="E5" s="402">
        <f>VAC_Optim_Scenario!F18</f>
        <v>282596.87941192184</v>
      </c>
      <c r="F5" s="357">
        <f>VAC_Optim_Scenario!G36</f>
        <v>63849938.934329621</v>
      </c>
      <c r="G5" s="403">
        <f>F5/D5</f>
        <v>11.900373048317544</v>
      </c>
      <c r="H5" s="404">
        <f t="shared" ref="H5:H12" si="0">E5/$L$3</f>
        <v>3.2673052828946683E-2</v>
      </c>
      <c r="I5" s="405">
        <f t="shared" ref="I5:I12" si="1">(D5)/E5</f>
        <v>18.98595943863651</v>
      </c>
      <c r="J5" s="353">
        <f t="shared" ref="J5:J9" ca="1" si="2">(VLOOKUP($Q5,INDIRECT("'"&amp;A5&amp;"'!"&amp;"A20:E42"),5,0)-VLOOKUP($R5,INDIRECT("'"&amp;A5&amp;"'!"&amp;"A20:E42"),5,0))/(Q5-R5)</f>
        <v>8.3357790163863541</v>
      </c>
      <c r="K5"/>
      <c r="Q5" s="351" cm="1">
        <f t="array" aca="1" ref="Q5" ca="1">MAX(_xlfn._xlws.FILTER(INDIRECT("'"&amp;A5&amp;"'!"&amp;"A20:A42"),INDIRECT("'"&amp;A5&amp;"'!"&amp;"A20:A42")&lt;$D5))</f>
        <v>4950000</v>
      </c>
      <c r="R5" s="351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279</v>
      </c>
      <c r="B6" s="400" t="s">
        <v>297</v>
      </c>
      <c r="C6" s="401" t="str">
        <f>VAC_Optim_Scenario!B19</f>
        <v>HCC Social</v>
      </c>
      <c r="D6" s="357">
        <f>VAC_Optim_Scenario!E19</f>
        <v>1873000</v>
      </c>
      <c r="E6" s="402">
        <f>VAC_Optim_Scenario!F19</f>
        <v>71243.17418511775</v>
      </c>
      <c r="F6" s="357">
        <f>VAC_Optim_Scenario!G37</f>
        <v>16096682.775385505</v>
      </c>
      <c r="G6" s="403">
        <f t="shared" ref="G6:G12" si="3">F6/D6</f>
        <v>8.5940644823200767</v>
      </c>
      <c r="H6" s="404">
        <f t="shared" si="0"/>
        <v>8.2369345291291411E-3</v>
      </c>
      <c r="I6" s="405">
        <f t="shared" si="1"/>
        <v>26.290237926979646</v>
      </c>
      <c r="J6" s="353">
        <f ca="1">(VLOOKUP($Q6,INDIRECT("'"&amp;A6&amp;"'!"&amp;"A20:E42"),3,0)-VLOOKUP($R6,INDIRECT("'"&amp;A6&amp;"'!"&amp;"A20:E42"),3,0))/(Q6-R6)</f>
        <v>5.1563798454813883</v>
      </c>
      <c r="K6"/>
      <c r="Q6" s="351" cm="1">
        <f t="array" aca="1" ref="Q6" ca="1">MAX(_xlfn._xlws.FILTER(INDIRECT("'"&amp;A6&amp;"'!"&amp;"A20:A42"),INDIRECT("'"&amp;A6&amp;"'!"&amp;"A20:A42")&lt;$D6))</f>
        <v>1750000</v>
      </c>
      <c r="R6" s="351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277</v>
      </c>
      <c r="B7" s="400" t="s">
        <v>297</v>
      </c>
      <c r="C7" s="401" t="str">
        <f>VAC_Optim_Scenario!B20</f>
        <v>HCC Online Video</v>
      </c>
      <c r="D7" s="357">
        <f>VAC_Optim_Scenario!E20</f>
        <v>173076.94</v>
      </c>
      <c r="E7" s="402">
        <f>VAC_Optim_Scenario!F20</f>
        <v>7568.2941111773252</v>
      </c>
      <c r="F7" s="357">
        <f>VAC_Optim_Scenario!G38</f>
        <v>1709980.3714794049</v>
      </c>
      <c r="G7" s="403">
        <f t="shared" si="3"/>
        <v>9.8798856247366338</v>
      </c>
      <c r="H7" s="404">
        <f t="shared" si="0"/>
        <v>8.7502478383372738E-4</v>
      </c>
      <c r="I7" s="405">
        <f t="shared" si="1"/>
        <v>22.868685790684225</v>
      </c>
      <c r="J7" s="353">
        <f t="shared" ca="1" si="2"/>
        <v>7.3949364813552894</v>
      </c>
      <c r="K7"/>
      <c r="Q7" s="351" cm="1">
        <f t="array" aca="1" ref="Q7" ca="1">MAX(_xlfn._xlws.FILTER(INDIRECT("'"&amp;A7&amp;"'!"&amp;"A20:A42"),INDIRECT("'"&amp;A7&amp;"'!"&amp;"A20:A42")&lt;$D7))</f>
        <v>103851.36184614981</v>
      </c>
      <c r="R7" s="351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294</v>
      </c>
      <c r="B8" s="400" t="s">
        <v>297</v>
      </c>
      <c r="C8" s="401" t="str">
        <f>VAC_Optim_Scenario!B21</f>
        <v>HCC Streaming Video</v>
      </c>
      <c r="D8" s="357">
        <f>VAC_Optim_Scenario!E21</f>
        <v>6180125</v>
      </c>
      <c r="E8" s="402">
        <f>VAC_Optim_Scenario!F21</f>
        <v>144657.20917756393</v>
      </c>
      <c r="F8" s="357">
        <f>VAC_Optim_Scenario!G39</f>
        <v>32683849.841578793</v>
      </c>
      <c r="G8" s="403">
        <f t="shared" si="3"/>
        <v>5.2885418727904039</v>
      </c>
      <c r="H8" s="404">
        <f t="shared" si="0"/>
        <v>1.6724857851870341E-2</v>
      </c>
      <c r="I8" s="405">
        <f t="shared" si="1"/>
        <v>42.722551023461378</v>
      </c>
      <c r="J8" s="353">
        <f ca="1">(VLOOKUP($Q8,INDIRECT("'"&amp;A8&amp;"'!"&amp;"A20:E42"),3,0)-VLOOKUP($R8,INDIRECT("'"&amp;A8&amp;"'!"&amp;"A20:E42"),3,0))/(Q8-R8)</f>
        <v>3.6898979193167833</v>
      </c>
      <c r="K8"/>
      <c r="Q8" s="351" cm="1">
        <f t="array" aca="1" ref="Q8" ca="1">MAX(_xlfn._xlws.FILTER(INDIRECT("'"&amp;A8&amp;"'!"&amp;"A20:A42"),INDIRECT("'"&amp;A8&amp;"'!"&amp;"A20:A42")&lt;$D8))</f>
        <v>6000000</v>
      </c>
      <c r="R8" s="351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278</v>
      </c>
      <c r="B9" s="400" t="s">
        <v>297</v>
      </c>
      <c r="C9" s="401" t="str">
        <f>VAC_Optim_Scenario!B22</f>
        <v>HCC Display</v>
      </c>
      <c r="D9" s="357">
        <f>VAC_Optim_Scenario!E22</f>
        <v>1648357.37</v>
      </c>
      <c r="E9" s="402">
        <f>VAC_Optim_Scenario!F22</f>
        <v>104116.36986385845</v>
      </c>
      <c r="F9" s="357">
        <f>VAC_Optim_Scenario!G40</f>
        <v>23524052.607040178</v>
      </c>
      <c r="G9" s="403">
        <f t="shared" si="3"/>
        <v>14.271209044334952</v>
      </c>
      <c r="H9" s="404">
        <f t="shared" si="0"/>
        <v>1.2037640542949635E-2</v>
      </c>
      <c r="I9" s="405">
        <f t="shared" si="1"/>
        <v>15.831875161949808</v>
      </c>
      <c r="J9" s="353">
        <f t="shared" ca="1" si="2"/>
        <v>11.127128917540322</v>
      </c>
      <c r="K9"/>
      <c r="Q9" s="351" cm="1">
        <f t="array" aca="1" ref="Q9" ca="1">MAX(_xlfn._xlws.FILTER(INDIRECT("'"&amp;A9&amp;"'!"&amp;"A20:A42"),INDIRECT("'"&amp;A9&amp;"'!"&amp;"A20:A42")&lt;$D9))</f>
        <v>1557770.4276922471</v>
      </c>
      <c r="R9" s="351" cm="1">
        <f t="array" aca="1" ref="R9" ca="1">MIN(_xlfn._xlws.FILTER(INDIRECT("'"&amp;A9&amp;"'!"&amp;"A20:A42"),INDIRECT("'"&amp;A9&amp;"'!"&amp;"A20:A42")&gt;=$D9))</f>
        <v>1661621.789538397</v>
      </c>
    </row>
    <row r="10" spans="1:18" x14ac:dyDescent="0.25">
      <c r="A10" s="97" t="s">
        <v>280</v>
      </c>
      <c r="B10" s="400" t="s">
        <v>297</v>
      </c>
      <c r="C10" s="401" t="str">
        <f>VAC_Optim_Scenario!B23</f>
        <v>HCC Paid Search</v>
      </c>
      <c r="D10" s="357">
        <f>VAC_Optim_Scenario!E23</f>
        <v>344707</v>
      </c>
      <c r="E10" s="402">
        <f>VAC_Optim_Scenario!F23</f>
        <v>130694.08808973072</v>
      </c>
      <c r="F10" s="357">
        <f>VAC_Optim_Scenario!G41</f>
        <v>29529022.26299376</v>
      </c>
      <c r="G10" s="403">
        <f t="shared" si="3"/>
        <v>85.664121305902583</v>
      </c>
      <c r="H10" s="404">
        <f t="shared" si="0"/>
        <v>1.5110481239116749E-2</v>
      </c>
      <c r="I10" s="405">
        <f t="shared" si="1"/>
        <v>2.6375102733287696</v>
      </c>
      <c r="J10" s="353">
        <f ca="1">(VLOOKUP($Q10,INDIRECT("'"&amp;A10&amp;"'!"&amp;"A20:E42"),3,0)-VLOOKUP($R10,INDIRECT("'"&amp;A10&amp;"'!"&amp;"A20:E42"),3,0))/(Q10-R10)</f>
        <v>58.622972004453118</v>
      </c>
      <c r="K10"/>
      <c r="Q10" s="351" cm="1">
        <f t="array" aca="1" ref="Q10" ca="1">MAX(_xlfn._xlws.FILTER(INDIRECT("'"&amp;A10&amp;"'!"&amp;"A20:A42"),INDIRECT("'"&amp;A10&amp;"'!"&amp;"A20:A42")&lt;$D10))</f>
        <v>300000</v>
      </c>
      <c r="R10" s="351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281</v>
      </c>
      <c r="B11" s="400" t="s">
        <v>297</v>
      </c>
      <c r="C11" s="401" t="str">
        <f>VAC_Optim_Scenario!B24</f>
        <v>HCC Radio</v>
      </c>
      <c r="D11" s="357">
        <f>VAC_Optim_Scenario!E24</f>
        <v>1437048.41</v>
      </c>
      <c r="E11" s="402">
        <f>VAC_Optim_Scenario!F24</f>
        <v>70569.092436493243</v>
      </c>
      <c r="F11" s="357">
        <f>VAC_Optim_Scenario!G42</f>
        <v>15944380.745101282</v>
      </c>
      <c r="G11" s="403">
        <f t="shared" si="3"/>
        <v>11.095228688295395</v>
      </c>
      <c r="H11" s="404">
        <f t="shared" si="0"/>
        <v>8.1589991017115785E-3</v>
      </c>
      <c r="I11" s="405">
        <f t="shared" si="1"/>
        <v>20.363708252210174</v>
      </c>
      <c r="J11" s="353">
        <f ca="1">(VLOOKUP($Q11,INDIRECT("'"&amp;A11&amp;"'!"&amp;"A20:E42"),3,0)-VLOOKUP($R11,INDIRECT("'"&amp;A11&amp;"'!"&amp;"A20:E42"),3,0))/(Q11-R11)</f>
        <v>6.5466633097348268</v>
      </c>
      <c r="K11"/>
      <c r="Q11" s="351" cm="1">
        <f t="array" aca="1" ref="Q11" ca="1">MAX(_xlfn._xlws.FILTER(INDIRECT("'"&amp;A11&amp;"'!"&amp;"A20:A42"),INDIRECT("'"&amp;A11&amp;"'!"&amp;"A20:A42")&lt;$D11))</f>
        <v>1400000</v>
      </c>
      <c r="R11" s="351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282</v>
      </c>
      <c r="B12" s="400" t="s">
        <v>297</v>
      </c>
      <c r="C12" s="401" t="str">
        <f>VAC_Optim_Scenario!B25</f>
        <v>HCC TV</v>
      </c>
      <c r="D12" s="357">
        <f>VAC_Optim_Scenario!E25</f>
        <v>13503524.99</v>
      </c>
      <c r="E12" s="402">
        <f>VAC_Optim_Scenario!F25</f>
        <v>253686.28893952153</v>
      </c>
      <c r="F12" s="357">
        <f>VAC_Optim_Scenario!G43</f>
        <v>57317880.122995496</v>
      </c>
      <c r="G12" s="403">
        <f t="shared" si="3"/>
        <v>4.2446605731053264</v>
      </c>
      <c r="H12" s="404">
        <f t="shared" si="0"/>
        <v>2.9330492034268182E-2</v>
      </c>
      <c r="I12" s="405">
        <f t="shared" si="1"/>
        <v>53.229226721114685</v>
      </c>
      <c r="J12" s="353">
        <f ca="1">(VLOOKUP($Q12,INDIRECT("'"&amp;A12&amp;"'!"&amp;"A20:E42"),3,0)-VLOOKUP($R12,INDIRECT("'"&amp;A12&amp;"'!"&amp;"A20:E42"),3,0))/(Q12-R12)</f>
        <v>2.9971565057842673</v>
      </c>
      <c r="K12"/>
      <c r="Q12" s="351" cm="1">
        <f t="array" aca="1" ref="Q12" ca="1">MAX(_xlfn._xlws.FILTER(INDIRECT("'"&amp;A12&amp;"'!"&amp;"A20:A42"),INDIRECT("'"&amp;A12&amp;"'!"&amp;"A20:A42")&lt;$D12))</f>
        <v>12500000</v>
      </c>
      <c r="R12" s="351" cm="1">
        <f t="array" aca="1" ref="R12" ca="1">MIN(_xlfn._xlws.FILTER(INDIRECT("'"&amp;A12&amp;"'!"&amp;"A20:A42"),INDIRECT("'"&amp;A12&amp;"'!"&amp;"A20:A42")&gt;=$D12))</f>
        <v>13750000</v>
      </c>
    </row>
    <row r="13" spans="1:18" ht="15.75" x14ac:dyDescent="0.25">
      <c r="B13" s="406" t="s">
        <v>154</v>
      </c>
      <c r="C13" s="407" t="s">
        <v>230</v>
      </c>
      <c r="D13" s="393">
        <f>SUM(D4:D12)</f>
        <v>32280505.600000001</v>
      </c>
      <c r="E13" s="408">
        <f>SUM(E4:E12)</f>
        <v>1099211.1195203364</v>
      </c>
      <c r="F13" s="393">
        <f>SUM(F4:F12)</f>
        <v>248355760.34442478</v>
      </c>
      <c r="G13" s="409">
        <f>F13/D13</f>
        <v>7.6936762831999994</v>
      </c>
      <c r="H13" s="410">
        <f>SUM(H4:H12)</f>
        <v>0.12708768424120984</v>
      </c>
      <c r="I13" s="411">
        <f>(D13)/E13</f>
        <v>29.366975121290867</v>
      </c>
      <c r="J13" s="412"/>
      <c r="Q13" s="351"/>
      <c r="R13" s="351"/>
    </row>
    <row r="14" spans="1:18" x14ac:dyDescent="0.25">
      <c r="D14" s="352"/>
      <c r="F14" s="352"/>
      <c r="G14" s="238"/>
      <c r="H14" s="239"/>
    </row>
    <row r="15" spans="1:18" x14ac:dyDescent="0.25">
      <c r="H15" s="97">
        <f>G10/5</f>
        <v>17.132824261180517</v>
      </c>
    </row>
    <row r="16" spans="1:18" ht="25.5" x14ac:dyDescent="0.25">
      <c r="E16" s="233" t="s">
        <v>3</v>
      </c>
      <c r="F16" s="234" t="s">
        <v>273</v>
      </c>
    </row>
    <row r="17" spans="5:6" x14ac:dyDescent="0.25">
      <c r="E17" s="235" t="s">
        <v>228</v>
      </c>
      <c r="F17" s="272">
        <f t="shared" ref="F17:F25" si="4">VLOOKUP(E17,$C$4:$I$12,7,0)</f>
        <v>2.6375102733287696</v>
      </c>
    </row>
    <row r="18" spans="5:6" x14ac:dyDescent="0.25">
      <c r="E18" s="236" t="s">
        <v>227</v>
      </c>
      <c r="F18" s="272">
        <f t="shared" si="4"/>
        <v>15.831875161949808</v>
      </c>
    </row>
    <row r="19" spans="5:6" x14ac:dyDescent="0.25">
      <c r="E19" s="236" t="s">
        <v>225</v>
      </c>
      <c r="F19" s="272">
        <f t="shared" si="4"/>
        <v>18.98595943863651</v>
      </c>
    </row>
    <row r="20" spans="5:6" x14ac:dyDescent="0.25">
      <c r="E20" s="236" t="s">
        <v>190</v>
      </c>
      <c r="F20" s="272">
        <f t="shared" si="4"/>
        <v>20.363708252210174</v>
      </c>
    </row>
    <row r="21" spans="5:6" x14ac:dyDescent="0.25">
      <c r="E21" s="236" t="s">
        <v>244</v>
      </c>
      <c r="F21" s="272">
        <f t="shared" si="4"/>
        <v>22.868685790684225</v>
      </c>
    </row>
    <row r="22" spans="5:6" x14ac:dyDescent="0.25">
      <c r="E22" s="236" t="s">
        <v>226</v>
      </c>
      <c r="F22" s="272">
        <f t="shared" si="4"/>
        <v>26.290237926979646</v>
      </c>
    </row>
    <row r="23" spans="5:6" x14ac:dyDescent="0.25">
      <c r="E23" s="236" t="s">
        <v>246</v>
      </c>
      <c r="F23" s="272">
        <f t="shared" si="4"/>
        <v>42.722551023461378</v>
      </c>
    </row>
    <row r="24" spans="5:6" x14ac:dyDescent="0.25">
      <c r="E24" s="236" t="s">
        <v>224</v>
      </c>
      <c r="F24" s="272">
        <f t="shared" si="4"/>
        <v>51.50549446347668</v>
      </c>
    </row>
    <row r="25" spans="5:6" x14ac:dyDescent="0.25">
      <c r="E25" s="237" t="s">
        <v>187</v>
      </c>
      <c r="F25" s="272">
        <f t="shared" si="4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J6:J7 J9 G13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16" zoomScale="90" zoomScaleNormal="90" workbookViewId="0">
      <selection activeCell="E11" sqref="E11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61" t="s">
        <v>272</v>
      </c>
      <c r="C4" s="462"/>
      <c r="D4" s="462"/>
      <c r="E4" s="462"/>
      <c r="F4" s="462"/>
      <c r="G4" s="462"/>
      <c r="H4" s="462"/>
      <c r="I4" s="462"/>
    </row>
    <row r="5" spans="1:14" x14ac:dyDescent="0.2">
      <c r="A5" s="48" t="s">
        <v>79</v>
      </c>
      <c r="B5" s="1" t="s">
        <v>127</v>
      </c>
      <c r="E5" s="463" t="s">
        <v>50</v>
      </c>
      <c r="F5" s="464"/>
      <c r="G5" s="464"/>
      <c r="H5" s="464"/>
      <c r="I5" s="465"/>
    </row>
    <row r="6" spans="1:14" x14ac:dyDescent="0.2">
      <c r="A6" s="48" t="s">
        <v>80</v>
      </c>
      <c r="B6" s="1" t="s">
        <v>193</v>
      </c>
      <c r="E6" s="466" t="s">
        <v>51</v>
      </c>
      <c r="F6" s="467"/>
      <c r="G6" s="467"/>
      <c r="H6" s="467"/>
      <c r="I6" s="468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258085927.61839092</v>
      </c>
    </row>
    <row r="10" spans="1:14" ht="13.5" thickBot="1" x14ac:dyDescent="0.25">
      <c r="A10" s="50"/>
      <c r="B10" s="1">
        <v>1</v>
      </c>
      <c r="E10" s="1" t="s">
        <v>94</v>
      </c>
    </row>
    <row r="11" spans="1:14" ht="26.25" thickBot="1" x14ac:dyDescent="0.25">
      <c r="A11" s="282" t="s">
        <v>82</v>
      </c>
      <c r="B11" s="279" t="s">
        <v>84</v>
      </c>
      <c r="C11" s="275" t="s">
        <v>97</v>
      </c>
      <c r="D11" s="156" t="s">
        <v>98</v>
      </c>
      <c r="E11" s="275" t="s">
        <v>159</v>
      </c>
      <c r="F11" s="156" t="s">
        <v>160</v>
      </c>
    </row>
    <row r="12" spans="1:14" s="263" customFormat="1" ht="13.5" thickBot="1" x14ac:dyDescent="0.25">
      <c r="A12" s="157" t="s">
        <v>158</v>
      </c>
      <c r="B12" s="158">
        <f>E27*B10</f>
        <v>18776980.609999999</v>
      </c>
      <c r="C12" s="159">
        <f>B12*E12</f>
        <v>0</v>
      </c>
      <c r="D12" s="159">
        <f>B12*F12</f>
        <v>18776980.609999999</v>
      </c>
      <c r="E12" s="160">
        <v>0</v>
      </c>
      <c r="F12" s="161">
        <v>1</v>
      </c>
      <c r="I12" s="280"/>
      <c r="K12" s="281"/>
      <c r="L12" s="281"/>
    </row>
    <row r="13" spans="1:14" ht="13.5" thickBot="1" x14ac:dyDescent="0.25">
      <c r="L13" s="149">
        <f>G44</f>
        <v>248355760.34442478</v>
      </c>
      <c r="M13" s="113">
        <f>J44</f>
        <v>258085927.61839092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1">
        <v>0.7</v>
      </c>
      <c r="H14" s="291">
        <v>1.3</v>
      </c>
      <c r="I14" s="56" t="s">
        <v>95</v>
      </c>
      <c r="J14" s="56" t="s">
        <v>96</v>
      </c>
    </row>
    <row r="15" spans="1:14" ht="27.75" customHeight="1" x14ac:dyDescent="0.2">
      <c r="A15" s="453" t="s">
        <v>2</v>
      </c>
      <c r="B15" s="455" t="s">
        <v>3</v>
      </c>
      <c r="C15" s="455" t="s">
        <v>38</v>
      </c>
      <c r="D15" s="455" t="s">
        <v>128</v>
      </c>
      <c r="E15" s="469" t="s">
        <v>86</v>
      </c>
      <c r="F15" s="471"/>
      <c r="G15" s="456" t="s">
        <v>131</v>
      </c>
      <c r="H15" s="457"/>
      <c r="I15" s="456" t="s">
        <v>89</v>
      </c>
      <c r="J15" s="457"/>
      <c r="K15" s="469" t="s">
        <v>90</v>
      </c>
      <c r="L15" s="470"/>
      <c r="M15" s="470"/>
      <c r="N15" s="471"/>
    </row>
    <row r="16" spans="1:14" ht="25.5" x14ac:dyDescent="0.2">
      <c r="A16" s="454"/>
      <c r="B16" s="454"/>
      <c r="C16" s="454"/>
      <c r="D16" s="454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4" t="s">
        <v>173</v>
      </c>
      <c r="B17" s="302" t="s">
        <v>224</v>
      </c>
      <c r="C17" s="54" t="s">
        <v>129</v>
      </c>
      <c r="D17" s="310">
        <v>1</v>
      </c>
      <c r="E17" s="321">
        <v>1755293</v>
      </c>
      <c r="F17" s="311">
        <f>GINOFF!I9</f>
        <v>34079.723304951563</v>
      </c>
      <c r="G17" s="324">
        <f>E17*$G$14</f>
        <v>1228705.0999999999</v>
      </c>
      <c r="H17" s="324">
        <f>E17*$H$14</f>
        <v>2281880.9</v>
      </c>
      <c r="I17" s="325">
        <v>1228705.0999999999</v>
      </c>
      <c r="J17" s="312">
        <f>GINOFF!F9</f>
        <v>26262.427318379283</v>
      </c>
      <c r="K17" s="313">
        <f>I17-E17</f>
        <v>-526587.90000000014</v>
      </c>
      <c r="L17" s="313">
        <f>J17-F17</f>
        <v>-7817.2959865722805</v>
      </c>
      <c r="M17" s="314">
        <f>K17/E17</f>
        <v>-0.3000000000000001</v>
      </c>
      <c r="N17" s="314">
        <f>L17/F17</f>
        <v>-0.22938261313396516</v>
      </c>
      <c r="O17" s="347">
        <f>E17/F17</f>
        <v>51.50549446347668</v>
      </c>
      <c r="P17" s="304">
        <f>G17/1000000</f>
        <v>1.2287050999999998</v>
      </c>
      <c r="Q17" s="304">
        <f>H17/1000000</f>
        <v>2.2818809</v>
      </c>
    </row>
    <row r="18" spans="1:17" x14ac:dyDescent="0.2">
      <c r="A18" s="285" t="s">
        <v>173</v>
      </c>
      <c r="B18" s="303" t="s">
        <v>225</v>
      </c>
      <c r="C18" s="54" t="s">
        <v>129</v>
      </c>
      <c r="D18" s="315">
        <v>1</v>
      </c>
      <c r="E18" s="322">
        <v>5365372.8900000006</v>
      </c>
      <c r="F18" s="316">
        <f>GMCM!I9</f>
        <v>282596.87941192184</v>
      </c>
      <c r="G18" s="326">
        <f>E18*$G$14</f>
        <v>3755761.023</v>
      </c>
      <c r="H18" s="326">
        <f>E18*$H$14</f>
        <v>6974984.7570000011</v>
      </c>
      <c r="I18" s="327">
        <v>6974984.7570000011</v>
      </c>
      <c r="J18" s="317">
        <f>GMCM!F9</f>
        <v>334480.28078193869</v>
      </c>
      <c r="K18" s="318">
        <f>I18-E18</f>
        <v>1609611.8670000006</v>
      </c>
      <c r="L18" s="318">
        <f t="shared" ref="L18" si="0">J18-F18</f>
        <v>51883.401370016858</v>
      </c>
      <c r="M18" s="319">
        <f>K18/E18</f>
        <v>0.30000000000000004</v>
      </c>
      <c r="N18" s="319">
        <f t="shared" ref="N18:N24" si="1">L18/F18</f>
        <v>0.18359509658417009</v>
      </c>
      <c r="O18" s="347">
        <f t="shared" ref="O18:O25" si="2">E18/F18</f>
        <v>18.98595943863651</v>
      </c>
      <c r="P18" s="304">
        <f t="shared" ref="P18:Q25" si="3">G18/1000000</f>
        <v>3.7557610230000003</v>
      </c>
      <c r="Q18" s="304">
        <f t="shared" si="3"/>
        <v>6.9749847570000014</v>
      </c>
    </row>
    <row r="19" spans="1:17" s="98" customFormat="1" x14ac:dyDescent="0.2">
      <c r="A19" s="285" t="s">
        <v>173</v>
      </c>
      <c r="B19" s="303" t="s">
        <v>226</v>
      </c>
      <c r="C19" s="54" t="s">
        <v>167</v>
      </c>
      <c r="D19" s="315">
        <v>1</v>
      </c>
      <c r="E19" s="322">
        <v>1873000</v>
      </c>
      <c r="F19" s="316">
        <f>GSOC!I9</f>
        <v>71243.17418511775</v>
      </c>
      <c r="G19" s="326">
        <f t="shared" ref="G19:G24" si="4">E19*$G$14</f>
        <v>1311100</v>
      </c>
      <c r="H19" s="326">
        <f t="shared" ref="H19:H24" si="5">E19*$H$14</f>
        <v>2434900</v>
      </c>
      <c r="I19" s="327">
        <v>1666468.7252945821</v>
      </c>
      <c r="J19" s="317">
        <f>GSOC!F9</f>
        <v>66420.003636956317</v>
      </c>
      <c r="K19" s="318">
        <f t="shared" ref="K19:K25" si="6">I19-E19</f>
        <v>-206531.27470541792</v>
      </c>
      <c r="L19" s="318">
        <f t="shared" ref="L19:L25" si="7">J19-F19</f>
        <v>-4823.1705481614335</v>
      </c>
      <c r="M19" s="319">
        <f t="shared" ref="M19:M25" si="8">K19/E19</f>
        <v>-0.11026763198367213</v>
      </c>
      <c r="N19" s="319">
        <f t="shared" si="1"/>
        <v>-6.7700107460525863E-2</v>
      </c>
      <c r="O19" s="347">
        <f t="shared" si="2"/>
        <v>26.290237926979646</v>
      </c>
      <c r="P19" s="304">
        <f t="shared" si="3"/>
        <v>1.3110999999999999</v>
      </c>
      <c r="Q19" s="304">
        <f t="shared" si="3"/>
        <v>2.4348999999999998</v>
      </c>
    </row>
    <row r="20" spans="1:17" s="98" customFormat="1" x14ac:dyDescent="0.2">
      <c r="A20" s="285" t="s">
        <v>173</v>
      </c>
      <c r="B20" s="303" t="s">
        <v>244</v>
      </c>
      <c r="C20" s="54" t="s">
        <v>129</v>
      </c>
      <c r="D20" s="315">
        <v>1</v>
      </c>
      <c r="E20" s="322">
        <v>173076.94</v>
      </c>
      <c r="F20" s="316">
        <f>GOLV!I9</f>
        <v>7568.2941111773252</v>
      </c>
      <c r="G20" s="326">
        <f t="shared" si="4"/>
        <v>121153.85799999999</v>
      </c>
      <c r="H20" s="326">
        <f t="shared" si="5"/>
        <v>225000.022</v>
      </c>
      <c r="I20" s="327">
        <v>225000.022</v>
      </c>
      <c r="J20" s="317">
        <f>GOLV!F9</f>
        <v>8989.8273410275578</v>
      </c>
      <c r="K20" s="318">
        <f t="shared" si="6"/>
        <v>51923.081999999995</v>
      </c>
      <c r="L20" s="318">
        <f t="shared" si="7"/>
        <v>1421.5332298502326</v>
      </c>
      <c r="M20" s="319">
        <f t="shared" si="8"/>
        <v>0.3</v>
      </c>
      <c r="N20" s="319">
        <f t="shared" si="1"/>
        <v>0.18782742966487315</v>
      </c>
      <c r="O20" s="347">
        <f t="shared" si="2"/>
        <v>22.868685790684225</v>
      </c>
      <c r="P20" s="304">
        <f t="shared" si="3"/>
        <v>0.12115385799999999</v>
      </c>
      <c r="Q20" s="304">
        <f t="shared" si="3"/>
        <v>0.22500002199999999</v>
      </c>
    </row>
    <row r="21" spans="1:17" s="98" customFormat="1" x14ac:dyDescent="0.2">
      <c r="A21" s="285" t="s">
        <v>173</v>
      </c>
      <c r="B21" s="303" t="s">
        <v>246</v>
      </c>
      <c r="C21" s="54" t="s">
        <v>167</v>
      </c>
      <c r="D21" s="315">
        <v>1</v>
      </c>
      <c r="E21" s="322">
        <v>6180125</v>
      </c>
      <c r="F21" s="316">
        <f>GSTRV!H9</f>
        <v>144657.20917756393</v>
      </c>
      <c r="G21" s="326">
        <f t="shared" si="4"/>
        <v>4326087.5</v>
      </c>
      <c r="H21" s="326">
        <f t="shared" si="5"/>
        <v>8034162.5</v>
      </c>
      <c r="I21" s="327">
        <v>4326087.5</v>
      </c>
      <c r="J21" s="317">
        <f>GSTRV!F9</f>
        <v>112696.05412018712</v>
      </c>
      <c r="K21" s="318">
        <f t="shared" si="6"/>
        <v>-1854037.5</v>
      </c>
      <c r="L21" s="318">
        <f t="shared" si="7"/>
        <v>-31961.155057376804</v>
      </c>
      <c r="M21" s="319">
        <f t="shared" si="8"/>
        <v>-0.3</v>
      </c>
      <c r="N21" s="319">
        <f t="shared" si="1"/>
        <v>-0.22094408732955095</v>
      </c>
      <c r="O21" s="347">
        <f t="shared" si="2"/>
        <v>42.722551023461378</v>
      </c>
      <c r="P21" s="304">
        <f t="shared" si="3"/>
        <v>4.3260874999999999</v>
      </c>
      <c r="Q21" s="304">
        <f t="shared" si="3"/>
        <v>8.0341625000000008</v>
      </c>
    </row>
    <row r="22" spans="1:17" s="98" customFormat="1" x14ac:dyDescent="0.2">
      <c r="A22" s="285" t="s">
        <v>173</v>
      </c>
      <c r="B22" s="303" t="s">
        <v>227</v>
      </c>
      <c r="C22" s="54" t="s">
        <v>129</v>
      </c>
      <c r="D22" s="315">
        <v>1</v>
      </c>
      <c r="E22" s="322">
        <v>1648357.37</v>
      </c>
      <c r="F22" s="316">
        <f>GDISP!I9</f>
        <v>104116.36986385845</v>
      </c>
      <c r="G22" s="326">
        <f t="shared" si="4"/>
        <v>1153850.159</v>
      </c>
      <c r="H22" s="326">
        <f t="shared" si="5"/>
        <v>2142864.5810000002</v>
      </c>
      <c r="I22" s="327">
        <v>2142864.5810000002</v>
      </c>
      <c r="J22" s="317">
        <f>GDISP!F9</f>
        <v>126447.32566596754</v>
      </c>
      <c r="K22" s="318">
        <f t="shared" si="6"/>
        <v>494507.21100000013</v>
      </c>
      <c r="L22" s="318">
        <f t="shared" si="7"/>
        <v>22330.955802109092</v>
      </c>
      <c r="M22" s="319">
        <f t="shared" si="8"/>
        <v>0.30000000000000004</v>
      </c>
      <c r="N22" s="319">
        <f t="shared" si="1"/>
        <v>0.21448073757574176</v>
      </c>
      <c r="O22" s="347">
        <f t="shared" si="2"/>
        <v>15.831875161949808</v>
      </c>
      <c r="P22" s="304">
        <f t="shared" si="3"/>
        <v>1.1538501589999999</v>
      </c>
      <c r="Q22" s="304">
        <f t="shared" si="3"/>
        <v>2.1428645810000004</v>
      </c>
    </row>
    <row r="23" spans="1:17" s="98" customFormat="1" x14ac:dyDescent="0.2">
      <c r="A23" s="285" t="s">
        <v>173</v>
      </c>
      <c r="B23" s="303" t="s">
        <v>228</v>
      </c>
      <c r="C23" s="54" t="s">
        <v>167</v>
      </c>
      <c r="D23" s="315">
        <v>1</v>
      </c>
      <c r="E23" s="322">
        <v>344707</v>
      </c>
      <c r="F23" s="316">
        <f>GSEARCH!I9</f>
        <v>130694.08808973072</v>
      </c>
      <c r="G23" s="426">
        <f>E23</f>
        <v>344707</v>
      </c>
      <c r="H23" s="426">
        <f>E23</f>
        <v>344707</v>
      </c>
      <c r="I23" s="327">
        <v>344707</v>
      </c>
      <c r="J23" s="317">
        <f>GSEARCH!F9</f>
        <v>130694.08808973072</v>
      </c>
      <c r="K23" s="318">
        <f t="shared" si="6"/>
        <v>0</v>
      </c>
      <c r="L23" s="318">
        <f t="shared" si="7"/>
        <v>0</v>
      </c>
      <c r="M23" s="319">
        <f t="shared" si="8"/>
        <v>0</v>
      </c>
      <c r="N23" s="319">
        <f t="shared" si="1"/>
        <v>0</v>
      </c>
      <c r="O23" s="347">
        <f t="shared" si="2"/>
        <v>2.6375102733287696</v>
      </c>
      <c r="P23" s="304">
        <f t="shared" si="3"/>
        <v>0.34470699999999999</v>
      </c>
      <c r="Q23" s="304">
        <f t="shared" si="3"/>
        <v>0.34470699999999999</v>
      </c>
    </row>
    <row r="24" spans="1:17" x14ac:dyDescent="0.2">
      <c r="A24" s="285" t="s">
        <v>173</v>
      </c>
      <c r="B24" s="303" t="s">
        <v>190</v>
      </c>
      <c r="C24" s="54" t="s">
        <v>167</v>
      </c>
      <c r="D24" s="315">
        <v>1</v>
      </c>
      <c r="E24" s="322">
        <v>1437048.41</v>
      </c>
      <c r="F24" s="316">
        <f>GRADIO!I9</f>
        <v>70569.092436493243</v>
      </c>
      <c r="G24" s="326">
        <f t="shared" si="4"/>
        <v>1005933.8869999999</v>
      </c>
      <c r="H24" s="326">
        <f t="shared" si="5"/>
        <v>1868162.933</v>
      </c>
      <c r="I24" s="327">
        <v>1868162.933</v>
      </c>
      <c r="J24" s="317">
        <f>GRADIO!F9</f>
        <v>82600.094379775124</v>
      </c>
      <c r="K24" s="318">
        <f t="shared" si="6"/>
        <v>431114.52300000004</v>
      </c>
      <c r="L24" s="318">
        <f t="shared" si="7"/>
        <v>12031.001943281881</v>
      </c>
      <c r="M24" s="319">
        <f t="shared" si="8"/>
        <v>0.30000000000000004</v>
      </c>
      <c r="N24" s="319">
        <f t="shared" si="1"/>
        <v>0.17048542822211943</v>
      </c>
      <c r="O24" s="347">
        <f t="shared" si="2"/>
        <v>20.363708252210174</v>
      </c>
      <c r="P24" s="304">
        <f t="shared" si="3"/>
        <v>1.0059338869999999</v>
      </c>
      <c r="Q24" s="304">
        <f t="shared" si="3"/>
        <v>1.868162933</v>
      </c>
    </row>
    <row r="25" spans="1:17" s="98" customFormat="1" x14ac:dyDescent="0.2">
      <c r="A25" s="285" t="s">
        <v>173</v>
      </c>
      <c r="B25" s="303" t="s">
        <v>187</v>
      </c>
      <c r="C25" s="54" t="s">
        <v>167</v>
      </c>
      <c r="D25" s="315">
        <v>1</v>
      </c>
      <c r="E25" s="322">
        <v>13503524.99</v>
      </c>
      <c r="F25" s="316">
        <f>GTV!I9</f>
        <v>253686.28893952153</v>
      </c>
      <c r="G25" s="426">
        <f>E25</f>
        <v>13503524.99</v>
      </c>
      <c r="H25" s="426">
        <f>E25</f>
        <v>13503524.99</v>
      </c>
      <c r="I25" s="327">
        <v>13503524.99</v>
      </c>
      <c r="J25" s="317">
        <f>GTV!F9</f>
        <v>253686.28893952153</v>
      </c>
      <c r="K25" s="318">
        <f t="shared" si="6"/>
        <v>0</v>
      </c>
      <c r="L25" s="318">
        <f t="shared" si="7"/>
        <v>0</v>
      </c>
      <c r="M25" s="319">
        <f t="shared" si="8"/>
        <v>0</v>
      </c>
      <c r="N25" s="319">
        <f t="shared" ref="N25" si="9">L25/F25</f>
        <v>0</v>
      </c>
      <c r="O25" s="347">
        <f t="shared" si="2"/>
        <v>53.229226721114685</v>
      </c>
      <c r="P25" s="304">
        <f t="shared" si="3"/>
        <v>13.503524990000001</v>
      </c>
      <c r="Q25" s="304">
        <f t="shared" si="3"/>
        <v>13.503524990000001</v>
      </c>
    </row>
    <row r="26" spans="1:17" s="98" customFormat="1" x14ac:dyDescent="0.2">
      <c r="A26" s="127" t="s">
        <v>154</v>
      </c>
      <c r="B26" s="127" t="s">
        <v>99</v>
      </c>
      <c r="C26" s="127"/>
      <c r="D26" s="320"/>
      <c r="E26" s="323">
        <f>SUM(E17:E25)</f>
        <v>32280505.600000001</v>
      </c>
      <c r="F26" s="329">
        <f t="shared" ref="F26:L26" si="10">SUM(F17:F25)</f>
        <v>1099211.1195203364</v>
      </c>
      <c r="G26" s="328">
        <f t="shared" si="10"/>
        <v>26750823.516999997</v>
      </c>
      <c r="H26" s="328">
        <f t="shared" si="10"/>
        <v>37810187.682999998</v>
      </c>
      <c r="I26" s="328">
        <f t="shared" si="10"/>
        <v>32280505.608294584</v>
      </c>
      <c r="J26" s="329">
        <f t="shared" si="10"/>
        <v>1142276.3902734839</v>
      </c>
      <c r="K26" s="328">
        <f t="shared" si="10"/>
        <v>8.294582599774003E-3</v>
      </c>
      <c r="L26" s="165">
        <f t="shared" si="10"/>
        <v>43065.270753147546</v>
      </c>
      <c r="M26" s="166">
        <f>K26/E26</f>
        <v>2.5695330496229904E-10</v>
      </c>
      <c r="N26" s="166">
        <f>L26/F26</f>
        <v>3.9178343439556881E-2</v>
      </c>
    </row>
    <row r="27" spans="1:17" x14ac:dyDescent="0.2">
      <c r="A27" s="127" t="s">
        <v>154</v>
      </c>
      <c r="B27" s="127" t="s">
        <v>283</v>
      </c>
      <c r="C27" s="127"/>
      <c r="D27" s="320"/>
      <c r="E27" s="323">
        <f>SUM(E17:E24)</f>
        <v>18776980.609999999</v>
      </c>
      <c r="F27" s="329">
        <f t="shared" ref="F27:L27" si="11">SUM(F17:F24)</f>
        <v>845524.83058081486</v>
      </c>
      <c r="G27" s="328">
        <f t="shared" si="11"/>
        <v>13247298.526999999</v>
      </c>
      <c r="H27" s="328">
        <f t="shared" si="11"/>
        <v>24306662.693</v>
      </c>
      <c r="I27" s="328">
        <f t="shared" si="11"/>
        <v>18776980.618294582</v>
      </c>
      <c r="J27" s="329">
        <f t="shared" si="11"/>
        <v>888590.10133396229</v>
      </c>
      <c r="K27" s="328">
        <f t="shared" si="11"/>
        <v>8.294582599774003E-3</v>
      </c>
      <c r="L27" s="165">
        <f t="shared" si="11"/>
        <v>43065.270753147546</v>
      </c>
      <c r="M27" s="166">
        <f>K27/E27</f>
        <v>4.4174208686973786E-10</v>
      </c>
      <c r="N27" s="166">
        <f>L27/F27</f>
        <v>5.0933182794365477E-2</v>
      </c>
    </row>
    <row r="29" spans="1:17" x14ac:dyDescent="0.2">
      <c r="J29" s="337"/>
      <c r="K29" s="87"/>
    </row>
    <row r="30" spans="1:17" s="98" customFormat="1" x14ac:dyDescent="0.2">
      <c r="D30" s="476" t="s">
        <v>154</v>
      </c>
      <c r="E30" s="476"/>
      <c r="F30" s="476"/>
      <c r="G30" s="476"/>
      <c r="H30" s="476"/>
      <c r="I30" s="476"/>
      <c r="J30" s="475"/>
      <c r="K30" s="475"/>
      <c r="L30" s="475"/>
      <c r="M30" s="475"/>
      <c r="N30" s="475"/>
      <c r="O30" s="475"/>
      <c r="P30" s="134"/>
    </row>
    <row r="31" spans="1:17" ht="51" x14ac:dyDescent="0.2">
      <c r="A31" s="478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78"/>
      <c r="D32" s="168">
        <v>1</v>
      </c>
      <c r="E32" s="126">
        <v>225.94</v>
      </c>
      <c r="F32" s="309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77" t="s">
        <v>2</v>
      </c>
      <c r="B33" s="455" t="s">
        <v>3</v>
      </c>
      <c r="C33" s="455" t="str">
        <f t="shared" ref="C33:C43" si="12">D15</f>
        <v>Response Scaling Factor for Sensitivity Analysis</v>
      </c>
      <c r="D33" s="472" t="s">
        <v>86</v>
      </c>
      <c r="E33" s="473"/>
      <c r="F33" s="473"/>
      <c r="G33" s="474"/>
      <c r="H33" s="459" t="s">
        <v>89</v>
      </c>
      <c r="I33" s="460"/>
      <c r="J33" s="460"/>
      <c r="K33" s="472" t="s">
        <v>136</v>
      </c>
      <c r="L33" s="473"/>
      <c r="M33" s="473"/>
      <c r="N33" s="474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54"/>
      <c r="B34" s="454"/>
      <c r="C34" s="454">
        <f t="shared" si="12"/>
        <v>0</v>
      </c>
      <c r="D34" s="93" t="s">
        <v>267</v>
      </c>
      <c r="E34" s="93" t="s">
        <v>133</v>
      </c>
      <c r="F34" s="93" t="s">
        <v>134</v>
      </c>
      <c r="G34" s="93" t="s">
        <v>146</v>
      </c>
      <c r="H34" s="55" t="s">
        <v>268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43" t="str">
        <f t="shared" ref="A35:B38" si="13">A17</f>
        <v>Gardasil Adolescents</v>
      </c>
      <c r="B35" s="243" t="str">
        <f t="shared" si="13"/>
        <v>HCC In Office</v>
      </c>
      <c r="C35" s="310">
        <f t="shared" si="12"/>
        <v>1</v>
      </c>
      <c r="D35" s="99">
        <f t="shared" ref="D35:D43" si="14">E17</f>
        <v>1755293</v>
      </c>
      <c r="E35" s="265" t="s">
        <v>166</v>
      </c>
      <c r="F35" s="101">
        <f t="shared" ref="F35:F43" si="15">F17/$D$32</f>
        <v>34079.723304951563</v>
      </c>
      <c r="G35" s="103">
        <f>F35*$F$32</f>
        <v>7699972.6835207557</v>
      </c>
      <c r="H35" s="105">
        <f t="shared" ref="H35:H43" si="16">I17</f>
        <v>1228705.0999999999</v>
      </c>
      <c r="I35" s="101">
        <f>J17/$D$32</f>
        <v>26262.427318379283</v>
      </c>
      <c r="J35" s="107">
        <f>I35*$F$32</f>
        <v>5933732.8283146154</v>
      </c>
      <c r="K35" s="99">
        <f>H35-D35</f>
        <v>-526587.90000000014</v>
      </c>
      <c r="L35" s="99">
        <f>J35-G35</f>
        <v>-1766239.8552061403</v>
      </c>
      <c r="M35" s="109">
        <f>K35/D35</f>
        <v>-0.3000000000000001</v>
      </c>
      <c r="N35" s="110">
        <f>L35/G35</f>
        <v>-0.22938261313396507</v>
      </c>
      <c r="O35" s="148"/>
      <c r="P35" s="331">
        <f>(J35-G35)/1000000</f>
        <v>-1.7662398552061402</v>
      </c>
    </row>
    <row r="36" spans="1:22" x14ac:dyDescent="0.2">
      <c r="A36" s="249" t="str">
        <f t="shared" si="13"/>
        <v>Gardasil Adolescents</v>
      </c>
      <c r="B36" s="249" t="str">
        <f t="shared" si="13"/>
        <v>HCP MCM</v>
      </c>
      <c r="C36" s="315">
        <f t="shared" si="12"/>
        <v>1</v>
      </c>
      <c r="D36" s="100">
        <f>E18</f>
        <v>5365372.8900000006</v>
      </c>
      <c r="E36" s="266" t="s">
        <v>166</v>
      </c>
      <c r="F36" s="102">
        <f t="shared" si="15"/>
        <v>282596.87941192184</v>
      </c>
      <c r="G36" s="104">
        <f t="shared" ref="G36:G43" si="17">F36*$F$32</f>
        <v>63849938.934329621</v>
      </c>
      <c r="H36" s="106">
        <f t="shared" si="16"/>
        <v>6974984.7570000011</v>
      </c>
      <c r="I36" s="102">
        <f t="shared" ref="I36:I43" si="18">J18/$D$32</f>
        <v>334480.28078193869</v>
      </c>
      <c r="J36" s="108">
        <f t="shared" ref="J36" si="19">I36*$F$32</f>
        <v>75572474.639871225</v>
      </c>
      <c r="K36" s="100">
        <f t="shared" ref="K36" si="20">H36-D36</f>
        <v>1609611.8670000006</v>
      </c>
      <c r="L36" s="100">
        <f t="shared" ref="L36" si="21">J36-G36</f>
        <v>11722535.705541603</v>
      </c>
      <c r="M36" s="111">
        <f t="shared" ref="M36" si="22">K36/D36</f>
        <v>0.30000000000000004</v>
      </c>
      <c r="N36" s="112">
        <f t="shared" ref="N36" si="23">L36/G36</f>
        <v>0.18359509658417</v>
      </c>
      <c r="O36" s="148"/>
      <c r="P36" s="331">
        <f t="shared" ref="P36:P43" si="24">(J36-G36)/1000000</f>
        <v>11.722535705541603</v>
      </c>
    </row>
    <row r="37" spans="1:22" s="98" customFormat="1" x14ac:dyDescent="0.2">
      <c r="A37" s="249" t="str">
        <f t="shared" si="13"/>
        <v>Gardasil Adolescents</v>
      </c>
      <c r="B37" s="249" t="str">
        <f t="shared" si="13"/>
        <v>HCC Social</v>
      </c>
      <c r="C37" s="315">
        <f t="shared" si="12"/>
        <v>1</v>
      </c>
      <c r="D37" s="100">
        <f t="shared" si="14"/>
        <v>1873000</v>
      </c>
      <c r="E37" s="266" t="s">
        <v>166</v>
      </c>
      <c r="F37" s="102">
        <f t="shared" si="15"/>
        <v>71243.17418511775</v>
      </c>
      <c r="G37" s="104">
        <f t="shared" si="17"/>
        <v>16096682.775385505</v>
      </c>
      <c r="H37" s="106">
        <f t="shared" si="16"/>
        <v>1666468.7252945821</v>
      </c>
      <c r="I37" s="102">
        <f t="shared" si="18"/>
        <v>66420.003636956317</v>
      </c>
      <c r="J37" s="108">
        <f t="shared" ref="J37:J43" si="25">I37*$F$32</f>
        <v>15006935.621733909</v>
      </c>
      <c r="K37" s="100">
        <f t="shared" ref="K37:K43" si="26">H37-D37</f>
        <v>-206531.27470541792</v>
      </c>
      <c r="L37" s="100">
        <f t="shared" ref="L37:L43" si="27">J37-G37</f>
        <v>-1089747.1536515951</v>
      </c>
      <c r="M37" s="111">
        <f t="shared" ref="M37:M43" si="28">K37/D37</f>
        <v>-0.11026763198367213</v>
      </c>
      <c r="N37" s="112">
        <f t="shared" ref="N37:N43" si="29">L37/G37</f>
        <v>-6.7700107460525905E-2</v>
      </c>
      <c r="O37" s="148"/>
      <c r="P37" s="331">
        <f t="shared" si="24"/>
        <v>-1.089747153651595</v>
      </c>
    </row>
    <row r="38" spans="1:22" s="98" customFormat="1" x14ac:dyDescent="0.2">
      <c r="A38" s="249" t="str">
        <f t="shared" si="13"/>
        <v>Gardasil Adolescents</v>
      </c>
      <c r="B38" s="249" t="str">
        <f t="shared" si="13"/>
        <v>HCC Online Video</v>
      </c>
      <c r="C38" s="315">
        <f t="shared" si="12"/>
        <v>1</v>
      </c>
      <c r="D38" s="100">
        <f t="shared" si="14"/>
        <v>173076.94</v>
      </c>
      <c r="E38" s="266" t="s">
        <v>166</v>
      </c>
      <c r="F38" s="102">
        <f t="shared" si="15"/>
        <v>7568.2941111773252</v>
      </c>
      <c r="G38" s="104">
        <f t="shared" si="17"/>
        <v>1709980.3714794049</v>
      </c>
      <c r="H38" s="106">
        <f t="shared" si="16"/>
        <v>225000.022</v>
      </c>
      <c r="I38" s="102">
        <f t="shared" si="18"/>
        <v>8989.8273410275578</v>
      </c>
      <c r="J38" s="108">
        <f t="shared" si="25"/>
        <v>2031161.5894317664</v>
      </c>
      <c r="K38" s="100">
        <f t="shared" si="26"/>
        <v>51923.081999999995</v>
      </c>
      <c r="L38" s="100">
        <f t="shared" si="27"/>
        <v>321181.21795236156</v>
      </c>
      <c r="M38" s="111">
        <f t="shared" si="28"/>
        <v>0.3</v>
      </c>
      <c r="N38" s="112">
        <f t="shared" si="29"/>
        <v>0.18782742966487315</v>
      </c>
      <c r="O38" s="148"/>
      <c r="P38" s="331">
        <f t="shared" si="24"/>
        <v>0.32118121795236154</v>
      </c>
    </row>
    <row r="39" spans="1:22" s="98" customFormat="1" x14ac:dyDescent="0.2">
      <c r="A39" s="285" t="s">
        <v>173</v>
      </c>
      <c r="B39" s="249" t="str">
        <f>B21</f>
        <v>HCC Streaming Video</v>
      </c>
      <c r="C39" s="315">
        <f t="shared" si="12"/>
        <v>1</v>
      </c>
      <c r="D39" s="100">
        <f t="shared" si="14"/>
        <v>6180125</v>
      </c>
      <c r="E39" s="266" t="s">
        <v>166</v>
      </c>
      <c r="F39" s="102">
        <f t="shared" si="15"/>
        <v>144657.20917756393</v>
      </c>
      <c r="G39" s="104">
        <f t="shared" si="17"/>
        <v>32683849.841578793</v>
      </c>
      <c r="H39" s="106">
        <f t="shared" si="16"/>
        <v>4326087.5</v>
      </c>
      <c r="I39" s="102">
        <f t="shared" si="18"/>
        <v>112696.05412018712</v>
      </c>
      <c r="J39" s="108">
        <f t="shared" si="25"/>
        <v>25462546.467915077</v>
      </c>
      <c r="K39" s="100">
        <f t="shared" si="26"/>
        <v>-1854037.5</v>
      </c>
      <c r="L39" s="100">
        <f t="shared" si="27"/>
        <v>-7221303.373663716</v>
      </c>
      <c r="M39" s="111">
        <f t="shared" si="28"/>
        <v>-0.3</v>
      </c>
      <c r="N39" s="112">
        <f t="shared" si="29"/>
        <v>-0.22094408732955098</v>
      </c>
      <c r="O39" s="148"/>
      <c r="P39" s="331">
        <f t="shared" si="24"/>
        <v>-7.2213033736637158</v>
      </c>
    </row>
    <row r="40" spans="1:22" s="98" customFormat="1" x14ac:dyDescent="0.2">
      <c r="A40" s="249" t="str">
        <f>A22</f>
        <v>Gardasil Adolescents</v>
      </c>
      <c r="B40" s="249" t="str">
        <f>B22</f>
        <v>HCC Display</v>
      </c>
      <c r="C40" s="315">
        <f t="shared" si="12"/>
        <v>1</v>
      </c>
      <c r="D40" s="100">
        <f t="shared" si="14"/>
        <v>1648357.37</v>
      </c>
      <c r="E40" s="266" t="s">
        <v>166</v>
      </c>
      <c r="F40" s="102">
        <f t="shared" si="15"/>
        <v>104116.36986385845</v>
      </c>
      <c r="G40" s="104">
        <f t="shared" si="17"/>
        <v>23524052.607040178</v>
      </c>
      <c r="H40" s="106">
        <f t="shared" si="16"/>
        <v>2142864.5810000002</v>
      </c>
      <c r="I40" s="102">
        <f t="shared" si="18"/>
        <v>126447.32566596754</v>
      </c>
      <c r="J40" s="108">
        <f t="shared" si="25"/>
        <v>28569508.760968704</v>
      </c>
      <c r="K40" s="100">
        <f t="shared" si="26"/>
        <v>494507.21100000013</v>
      </c>
      <c r="L40" s="100">
        <f t="shared" si="27"/>
        <v>5045456.1539285257</v>
      </c>
      <c r="M40" s="111">
        <f t="shared" si="28"/>
        <v>0.30000000000000004</v>
      </c>
      <c r="N40" s="112">
        <f t="shared" si="29"/>
        <v>0.21448073757574165</v>
      </c>
      <c r="O40" s="148"/>
      <c r="P40" s="331">
        <f t="shared" si="24"/>
        <v>5.0454561539285256</v>
      </c>
    </row>
    <row r="41" spans="1:22" x14ac:dyDescent="0.2">
      <c r="A41" s="249" t="str">
        <f>A23</f>
        <v>Gardasil Adolescents</v>
      </c>
      <c r="B41" s="249" t="str">
        <f>B23</f>
        <v>HCC Paid Search</v>
      </c>
      <c r="C41" s="315">
        <f t="shared" si="12"/>
        <v>1</v>
      </c>
      <c r="D41" s="100">
        <f t="shared" si="14"/>
        <v>344707</v>
      </c>
      <c r="E41" s="266" t="s">
        <v>166</v>
      </c>
      <c r="F41" s="102">
        <f t="shared" si="15"/>
        <v>130694.08808973072</v>
      </c>
      <c r="G41" s="104">
        <f t="shared" si="17"/>
        <v>29529022.26299376</v>
      </c>
      <c r="H41" s="106">
        <f t="shared" si="16"/>
        <v>344707</v>
      </c>
      <c r="I41" s="102">
        <f t="shared" si="18"/>
        <v>130694.08808973072</v>
      </c>
      <c r="J41" s="108">
        <f t="shared" si="25"/>
        <v>29529022.26299376</v>
      </c>
      <c r="K41" s="100">
        <f t="shared" si="26"/>
        <v>0</v>
      </c>
      <c r="L41" s="100">
        <f t="shared" si="27"/>
        <v>0</v>
      </c>
      <c r="M41" s="111">
        <f t="shared" si="28"/>
        <v>0</v>
      </c>
      <c r="N41" s="112">
        <f t="shared" si="29"/>
        <v>0</v>
      </c>
      <c r="O41" s="148"/>
      <c r="P41" s="331">
        <f t="shared" si="24"/>
        <v>0</v>
      </c>
    </row>
    <row r="42" spans="1:22" s="98" customFormat="1" x14ac:dyDescent="0.2">
      <c r="A42" s="249" t="str">
        <f>A24</f>
        <v>Gardasil Adolescents</v>
      </c>
      <c r="B42" s="249" t="str">
        <f>B24</f>
        <v>HCC Radio</v>
      </c>
      <c r="C42" s="315">
        <f t="shared" si="12"/>
        <v>1</v>
      </c>
      <c r="D42" s="100">
        <f t="shared" si="14"/>
        <v>1437048.41</v>
      </c>
      <c r="E42" s="266" t="s">
        <v>166</v>
      </c>
      <c r="F42" s="102">
        <f t="shared" si="15"/>
        <v>70569.092436493243</v>
      </c>
      <c r="G42" s="104">
        <f t="shared" si="17"/>
        <v>15944380.745101282</v>
      </c>
      <c r="H42" s="106">
        <f t="shared" si="16"/>
        <v>1868162.933</v>
      </c>
      <c r="I42" s="102">
        <f t="shared" si="18"/>
        <v>82600.094379775124</v>
      </c>
      <c r="J42" s="108">
        <f t="shared" si="25"/>
        <v>18662665.324166391</v>
      </c>
      <c r="K42" s="100">
        <f t="shared" si="26"/>
        <v>431114.52300000004</v>
      </c>
      <c r="L42" s="100">
        <f t="shared" si="27"/>
        <v>2718284.5790651087</v>
      </c>
      <c r="M42" s="111">
        <f t="shared" si="28"/>
        <v>0.30000000000000004</v>
      </c>
      <c r="N42" s="112">
        <f t="shared" si="29"/>
        <v>0.17048542822211948</v>
      </c>
      <c r="O42" s="148"/>
      <c r="P42" s="331">
        <f t="shared" si="24"/>
        <v>2.7182845790651085</v>
      </c>
    </row>
    <row r="43" spans="1:22" s="98" customFormat="1" x14ac:dyDescent="0.2">
      <c r="A43" s="249" t="str">
        <f>A25</f>
        <v>Gardasil Adolescents</v>
      </c>
      <c r="B43" s="249" t="str">
        <f>B25</f>
        <v>HCC TV</v>
      </c>
      <c r="C43" s="315">
        <f t="shared" si="12"/>
        <v>1</v>
      </c>
      <c r="D43" s="100">
        <f t="shared" si="14"/>
        <v>13503524.99</v>
      </c>
      <c r="E43" s="266" t="s">
        <v>166</v>
      </c>
      <c r="F43" s="102">
        <f t="shared" si="15"/>
        <v>253686.28893952153</v>
      </c>
      <c r="G43" s="104">
        <f t="shared" si="17"/>
        <v>57317880.122995496</v>
      </c>
      <c r="H43" s="106">
        <f t="shared" si="16"/>
        <v>13503524.99</v>
      </c>
      <c r="I43" s="102">
        <f t="shared" si="18"/>
        <v>253686.28893952153</v>
      </c>
      <c r="J43" s="108">
        <f t="shared" si="25"/>
        <v>57317880.122995496</v>
      </c>
      <c r="K43" s="100">
        <f t="shared" si="26"/>
        <v>0</v>
      </c>
      <c r="L43" s="100">
        <f t="shared" si="27"/>
        <v>0</v>
      </c>
      <c r="M43" s="111">
        <f t="shared" si="28"/>
        <v>0</v>
      </c>
      <c r="N43" s="112">
        <f t="shared" si="29"/>
        <v>0</v>
      </c>
      <c r="O43" s="148"/>
      <c r="P43" s="331">
        <f t="shared" si="24"/>
        <v>0</v>
      </c>
    </row>
    <row r="44" spans="1:22" s="98" customFormat="1" x14ac:dyDescent="0.2">
      <c r="A44" s="128" t="s">
        <v>154</v>
      </c>
      <c r="B44" s="128" t="s">
        <v>99</v>
      </c>
      <c r="C44" s="330"/>
      <c r="D44" s="131">
        <f>SUM(D35:D43)</f>
        <v>32280505.600000001</v>
      </c>
      <c r="E44" s="267"/>
      <c r="F44" s="130">
        <f>SUM(F35:F43)</f>
        <v>1099211.1195203364</v>
      </c>
      <c r="G44" s="131">
        <f>SUM(G35:G43)</f>
        <v>248355760.34442478</v>
      </c>
      <c r="H44" s="131">
        <f>SUM(H35:H43)</f>
        <v>32280505.608294584</v>
      </c>
      <c r="I44" s="130">
        <f>SUM(I35:I43)</f>
        <v>1142276.3902734839</v>
      </c>
      <c r="J44" s="131">
        <f>SUM(J35:J43)</f>
        <v>258085927.61839092</v>
      </c>
      <c r="K44" s="131">
        <f t="shared" ref="K44" si="30">H44-D44</f>
        <v>8.2945823669433594E-3</v>
      </c>
      <c r="L44" s="131">
        <f t="shared" ref="L44" si="31">J44-G44</f>
        <v>9730167.2739661336</v>
      </c>
      <c r="M44" s="129">
        <f t="shared" ref="M44" si="32">K44/D44</f>
        <v>2.5695329774956684E-10</v>
      </c>
      <c r="N44" s="132">
        <f t="shared" ref="N44" si="33">L44/G44</f>
        <v>3.9178343439556791E-2</v>
      </c>
    </row>
    <row r="45" spans="1:22" x14ac:dyDescent="0.2">
      <c r="D45" s="162"/>
      <c r="E45" s="268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68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68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69"/>
      <c r="F48" s="349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69"/>
      <c r="F49" s="349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69"/>
      <c r="F50" s="349"/>
    </row>
    <row r="51" spans="4:14" x14ac:dyDescent="0.2">
      <c r="E51" s="270"/>
      <c r="F51" s="349"/>
    </row>
    <row r="52" spans="4:14" x14ac:dyDescent="0.2">
      <c r="E52" s="270"/>
      <c r="F52" s="349"/>
    </row>
    <row r="53" spans="4:14" x14ac:dyDescent="0.2">
      <c r="E53" s="270"/>
      <c r="F53" s="349"/>
    </row>
    <row r="54" spans="4:14" x14ac:dyDescent="0.2">
      <c r="E54" s="270"/>
      <c r="F54" s="349"/>
    </row>
    <row r="55" spans="4:14" x14ac:dyDescent="0.2">
      <c r="E55" s="270"/>
      <c r="F55" s="349"/>
    </row>
    <row r="56" spans="4:14" x14ac:dyDescent="0.2">
      <c r="F56" s="349"/>
    </row>
    <row r="57" spans="4:14" x14ac:dyDescent="0.2">
      <c r="F57" s="349"/>
    </row>
    <row r="58" spans="4:14" x14ac:dyDescent="0.2">
      <c r="F58" s="349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E27 I27" formulaRange="1"/>
    <ignoredError sqref="G23:H23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9" workbookViewId="0">
      <selection activeCell="G9" sqref="G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79" t="s">
        <v>106</v>
      </c>
      <c r="C4" s="479"/>
      <c r="D4" s="479"/>
      <c r="E4" s="479"/>
      <c r="F4" s="480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1" t="s">
        <v>8</v>
      </c>
      <c r="B7" s="484" t="s">
        <v>9</v>
      </c>
      <c r="C7" s="485"/>
      <c r="D7" s="486" t="s">
        <v>12</v>
      </c>
      <c r="E7" s="487"/>
      <c r="F7" s="488"/>
      <c r="G7" s="484" t="s">
        <v>124</v>
      </c>
      <c r="H7" s="484"/>
      <c r="I7" s="489"/>
      <c r="J7" s="98" t="s">
        <v>125</v>
      </c>
    </row>
    <row r="8" spans="1:18" ht="28.15" customHeight="1" x14ac:dyDescent="0.2">
      <c r="A8" s="48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83"/>
      <c r="B9" s="95">
        <f>VAC_Optim_Scenario!G17</f>
        <v>1228705.0999999999</v>
      </c>
      <c r="C9" s="95">
        <f>VAC_Optim_Scenario!H17</f>
        <v>2281880.9</v>
      </c>
      <c r="D9" s="68">
        <f>VAC_Optim_Scenario!I17</f>
        <v>1228705.0999999999</v>
      </c>
      <c r="E9" s="84">
        <f>((($R$12/(1+EXP($P$12+$Q$12*D9)))-1) - ($F$12-$C$12))*$I$12</f>
        <v>26262.427318379283</v>
      </c>
      <c r="F9" s="89">
        <f>E9*$G$12</f>
        <v>26262.427318379283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8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9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3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91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92" t="s">
        <v>180</v>
      </c>
      <c r="B13" s="493"/>
      <c r="C13" s="493"/>
      <c r="D13" s="493"/>
      <c r="E13" s="493"/>
      <c r="F13" s="494"/>
      <c r="G13" s="119" t="s">
        <v>150</v>
      </c>
      <c r="H13" s="119" t="s">
        <v>151</v>
      </c>
      <c r="K13" s="492" t="s">
        <v>115</v>
      </c>
      <c r="L13" s="493"/>
      <c r="M13" s="493"/>
      <c r="N13" s="493"/>
      <c r="O13" s="493"/>
      <c r="P13" s="493"/>
      <c r="Q13" s="493"/>
      <c r="R13" s="494"/>
    </row>
    <row r="14" spans="1:18" ht="33.6" customHeight="1" thickBot="1" x14ac:dyDescent="0.25">
      <c r="A14" s="495"/>
      <c r="B14" s="496"/>
      <c r="C14" s="496"/>
      <c r="D14" s="496"/>
      <c r="E14" s="496"/>
      <c r="F14" s="497"/>
      <c r="G14" s="95">
        <f>VAC_Optim_Scenario!$I$32</f>
        <v>225.94</v>
      </c>
      <c r="H14" s="95">
        <f>VAC_Optim_Scenario!$F$32</f>
        <v>225.94</v>
      </c>
      <c r="K14" s="495"/>
      <c r="L14" s="496"/>
      <c r="M14" s="496"/>
      <c r="N14" s="496"/>
      <c r="O14" s="496"/>
      <c r="P14" s="496"/>
      <c r="Q14" s="496"/>
      <c r="R14" s="497"/>
    </row>
    <row r="16" spans="1:18" ht="13.5" thickBot="1" x14ac:dyDescent="0.25"/>
    <row r="17" spans="1:8" ht="42.6" customHeight="1" x14ac:dyDescent="0.2">
      <c r="A17" s="49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91"/>
      <c r="B18" s="75">
        <v>0</v>
      </c>
      <c r="C18" s="76">
        <v>4000000</v>
      </c>
      <c r="D18" s="26">
        <v>20</v>
      </c>
    </row>
    <row r="20" spans="1:8" x14ac:dyDescent="0.2">
      <c r="A20" s="478" t="s">
        <v>37</v>
      </c>
      <c r="B20" s="478"/>
      <c r="C20" s="478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25"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79" t="s">
        <v>106</v>
      </c>
      <c r="C4" s="479"/>
      <c r="D4" s="479"/>
      <c r="E4" s="479"/>
      <c r="F4" s="480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1" t="s">
        <v>8</v>
      </c>
      <c r="B7" s="484" t="s">
        <v>9</v>
      </c>
      <c r="C7" s="485"/>
      <c r="D7" s="486" t="s">
        <v>12</v>
      </c>
      <c r="E7" s="487"/>
      <c r="F7" s="488"/>
      <c r="G7" s="484" t="s">
        <v>124</v>
      </c>
      <c r="H7" s="484"/>
      <c r="I7" s="489"/>
      <c r="J7" s="98" t="s">
        <v>125</v>
      </c>
    </row>
    <row r="8" spans="1:18" ht="28.15" customHeight="1" x14ac:dyDescent="0.2">
      <c r="A8" s="48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83"/>
      <c r="B9" s="95">
        <f>VAC_Optim_Scenario!G18</f>
        <v>3755761.023</v>
      </c>
      <c r="C9" s="95">
        <f>VAC_Optim_Scenario!H18</f>
        <v>6974984.7570000011</v>
      </c>
      <c r="D9" s="68">
        <f>VAC_Optim_Scenario!I18</f>
        <v>6974984.7570000011</v>
      </c>
      <c r="E9" s="84">
        <f>((($R$12/(1+EXP($P$12+$Q$12*D9)))-1) - ($F$12-$C$12))*$I$12</f>
        <v>334480.28078193869</v>
      </c>
      <c r="F9" s="89">
        <f>E9*$G$12</f>
        <v>334480.28078193869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8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9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3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91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92" t="s">
        <v>185</v>
      </c>
      <c r="B13" s="493"/>
      <c r="C13" s="493"/>
      <c r="D13" s="493"/>
      <c r="E13" s="493"/>
      <c r="F13" s="494"/>
      <c r="G13" s="119" t="s">
        <v>150</v>
      </c>
      <c r="H13" s="119" t="s">
        <v>151</v>
      </c>
      <c r="K13" s="492" t="s">
        <v>115</v>
      </c>
      <c r="L13" s="493"/>
      <c r="M13" s="493"/>
      <c r="N13" s="493"/>
      <c r="O13" s="493"/>
      <c r="P13" s="493"/>
      <c r="Q13" s="493"/>
      <c r="R13" s="494"/>
    </row>
    <row r="14" spans="1:18" ht="33.6" customHeight="1" thickBot="1" x14ac:dyDescent="0.25">
      <c r="A14" s="495"/>
      <c r="B14" s="496"/>
      <c r="C14" s="496"/>
      <c r="D14" s="496"/>
      <c r="E14" s="496"/>
      <c r="F14" s="497"/>
      <c r="G14" s="95">
        <f>VAC_Optim_Scenario!$I$32</f>
        <v>225.94</v>
      </c>
      <c r="H14" s="95">
        <f>VAC_Optim_Scenario!$F$32</f>
        <v>225.94</v>
      </c>
      <c r="K14" s="495"/>
      <c r="L14" s="496"/>
      <c r="M14" s="496"/>
      <c r="N14" s="496"/>
      <c r="O14" s="496"/>
      <c r="P14" s="496"/>
      <c r="Q14" s="496"/>
      <c r="R14" s="497"/>
    </row>
    <row r="16" spans="1:18" ht="13.5" thickBot="1" x14ac:dyDescent="0.25"/>
    <row r="17" spans="1:8" ht="42.6" customHeight="1" x14ac:dyDescent="0.2">
      <c r="A17" s="49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91"/>
      <c r="B18" s="75">
        <v>0</v>
      </c>
      <c r="C18" s="76">
        <v>9000000</v>
      </c>
      <c r="D18" s="26">
        <v>20</v>
      </c>
    </row>
    <row r="20" spans="1:8" x14ac:dyDescent="0.2">
      <c r="A20" s="478" t="s">
        <v>37</v>
      </c>
      <c r="B20" s="478"/>
      <c r="C20" s="478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25" workbookViewId="0">
      <selection activeCell="B28" sqref="B28:B2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8"/>
      <c r="C4" s="499"/>
      <c r="D4" s="499"/>
      <c r="E4" s="499"/>
      <c r="F4" s="5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81" t="s">
        <v>8</v>
      </c>
      <c r="B7" s="484" t="s">
        <v>9</v>
      </c>
      <c r="C7" s="484"/>
      <c r="D7" s="484" t="s">
        <v>12</v>
      </c>
      <c r="E7" s="484"/>
      <c r="F7" s="484"/>
      <c r="G7" s="484" t="s">
        <v>124</v>
      </c>
      <c r="H7" s="484"/>
      <c r="I7" s="489"/>
    </row>
    <row r="8" spans="1:9" x14ac:dyDescent="0.25">
      <c r="A8" s="482"/>
      <c r="B8" s="276" t="s">
        <v>10</v>
      </c>
      <c r="C8" s="276" t="s">
        <v>11</v>
      </c>
      <c r="D8" s="276" t="s">
        <v>20</v>
      </c>
      <c r="E8" s="276" t="s">
        <v>21</v>
      </c>
      <c r="F8" s="276" t="s">
        <v>117</v>
      </c>
      <c r="G8" s="276" t="s">
        <v>22</v>
      </c>
      <c r="H8" s="276" t="s">
        <v>23</v>
      </c>
      <c r="I8" s="4" t="s">
        <v>123</v>
      </c>
    </row>
    <row r="9" spans="1:9" ht="15.75" thickBot="1" x14ac:dyDescent="0.3">
      <c r="A9" s="483"/>
      <c r="B9" s="171">
        <f>VAC_Optim_Scenario!G$19</f>
        <v>1311100</v>
      </c>
      <c r="C9" s="171">
        <f>VAC_Optim_Scenario!H$19</f>
        <v>2434900</v>
      </c>
      <c r="D9" s="172">
        <f>VAC_Optim_Scenario!I$19</f>
        <v>1666468.7252945821</v>
      </c>
      <c r="E9" s="84">
        <f>((GSOC!D9/$B$12)^$D$12)*$C$12*$F$12</f>
        <v>66420.003636956317</v>
      </c>
      <c r="F9" s="84">
        <f>E9*F11</f>
        <v>66420.003636956317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78" t="s">
        <v>15</v>
      </c>
      <c r="B11" s="277" t="s">
        <v>16</v>
      </c>
      <c r="C11" s="277" t="s">
        <v>17</v>
      </c>
      <c r="D11" s="277" t="s">
        <v>168</v>
      </c>
      <c r="E11" s="276" t="s">
        <v>126</v>
      </c>
      <c r="F11" s="175">
        <v>1</v>
      </c>
    </row>
    <row r="12" spans="1:9" ht="40.5" customHeight="1" thickBot="1" x14ac:dyDescent="0.3">
      <c r="A12" s="478"/>
      <c r="B12" s="176">
        <f>'[3]HCC Social - Power'!$B$12</f>
        <v>1873000</v>
      </c>
      <c r="C12" s="176">
        <f>'[3]HCC Social - Power'!$C$12</f>
        <v>71243.17418511775</v>
      </c>
      <c r="D12" s="336">
        <f>'[3]HCC Social - Power'!$D$12</f>
        <v>0.6</v>
      </c>
      <c r="E12" s="276" t="s">
        <v>122</v>
      </c>
      <c r="F12" s="177">
        <f>VAC_Optim_Scenario!D19</f>
        <v>1</v>
      </c>
      <c r="G12" s="283">
        <f>B12*2</f>
        <v>3746000</v>
      </c>
    </row>
    <row r="13" spans="1:9" ht="18.75" customHeight="1" x14ac:dyDescent="0.25">
      <c r="A13" s="492" t="s">
        <v>169</v>
      </c>
      <c r="B13" s="493"/>
      <c r="C13" s="493"/>
      <c r="D13" s="493"/>
      <c r="E13" s="276" t="s">
        <v>170</v>
      </c>
      <c r="F13" s="276" t="s">
        <v>171</v>
      </c>
    </row>
    <row r="14" spans="1:9" ht="15.75" thickBot="1" x14ac:dyDescent="0.3">
      <c r="A14" s="495"/>
      <c r="B14" s="496"/>
      <c r="C14" s="496"/>
      <c r="D14" s="496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90" t="s">
        <v>34</v>
      </c>
      <c r="B16" s="277" t="s">
        <v>32</v>
      </c>
      <c r="C16" s="277" t="s">
        <v>31</v>
      </c>
      <c r="D16" s="278" t="s">
        <v>33</v>
      </c>
    </row>
    <row r="17" spans="1:4" ht="15.75" thickBot="1" x14ac:dyDescent="0.3">
      <c r="A17" s="49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8" t="s">
        <v>37</v>
      </c>
      <c r="B19" s="478"/>
      <c r="C19" s="478"/>
      <c r="D19" s="98"/>
    </row>
    <row r="20" spans="1:4" ht="25.5" x14ac:dyDescent="0.25">
      <c r="A20" s="276" t="s">
        <v>35</v>
      </c>
      <c r="B20" s="276" t="s">
        <v>175</v>
      </c>
      <c r="C20" s="276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9" workbookViewId="0">
      <selection activeCell="H12" sqref="H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79" t="s">
        <v>106</v>
      </c>
      <c r="C4" s="479"/>
      <c r="D4" s="479"/>
      <c r="E4" s="479"/>
      <c r="F4" s="48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1" t="s">
        <v>8</v>
      </c>
      <c r="B7" s="484" t="s">
        <v>9</v>
      </c>
      <c r="C7" s="485"/>
      <c r="D7" s="486" t="s">
        <v>12</v>
      </c>
      <c r="E7" s="487"/>
      <c r="F7" s="488"/>
      <c r="G7" s="484" t="s">
        <v>124</v>
      </c>
      <c r="H7" s="484"/>
      <c r="I7" s="489"/>
      <c r="J7" s="98" t="s">
        <v>125</v>
      </c>
    </row>
    <row r="8" spans="1:18" ht="28.15" customHeight="1" x14ac:dyDescent="0.2">
      <c r="A8" s="482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83"/>
      <c r="B9" s="95">
        <f>VAC_Optim_Scenario!G20</f>
        <v>121153.85799999999</v>
      </c>
      <c r="C9" s="95">
        <f>VAC_Optim_Scenario!H20</f>
        <v>225000.022</v>
      </c>
      <c r="D9" s="68">
        <f>VAC_Optim_Scenario!I20</f>
        <v>225000.022</v>
      </c>
      <c r="E9" s="84">
        <f>((($R$12/(1+EXP($P$12+$Q$12*D9)))-1) - ($F$12-$C$12))*$I$12</f>
        <v>8989.8273410275578</v>
      </c>
      <c r="F9" s="89">
        <f>E9*$G$12</f>
        <v>8989.8273410275578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481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90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83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91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92" t="s">
        <v>114</v>
      </c>
      <c r="B13" s="493"/>
      <c r="C13" s="493"/>
      <c r="D13" s="493"/>
      <c r="E13" s="493"/>
      <c r="F13" s="494"/>
      <c r="G13" s="139" t="s">
        <v>150</v>
      </c>
      <c r="H13" s="139" t="s">
        <v>151</v>
      </c>
      <c r="K13" s="492" t="s">
        <v>115</v>
      </c>
      <c r="L13" s="493"/>
      <c r="M13" s="493"/>
      <c r="N13" s="493"/>
      <c r="O13" s="493"/>
      <c r="P13" s="493"/>
      <c r="Q13" s="493"/>
      <c r="R13" s="494"/>
    </row>
    <row r="14" spans="1:18" ht="33.6" customHeight="1" thickBot="1" x14ac:dyDescent="0.25">
      <c r="A14" s="495"/>
      <c r="B14" s="496"/>
      <c r="C14" s="496"/>
      <c r="D14" s="496"/>
      <c r="E14" s="496"/>
      <c r="F14" s="497"/>
      <c r="G14" s="95">
        <f>VAC_Optim_Scenario!$I$32</f>
        <v>225.94</v>
      </c>
      <c r="H14" s="95">
        <f>VAC_Optim_Scenario!$F$32</f>
        <v>225.94</v>
      </c>
      <c r="K14" s="495"/>
      <c r="L14" s="496"/>
      <c r="M14" s="496"/>
      <c r="N14" s="496"/>
      <c r="O14" s="496"/>
      <c r="P14" s="496"/>
      <c r="Q14" s="496"/>
      <c r="R14" s="497"/>
    </row>
    <row r="16" spans="1:18" ht="13.5" thickBot="1" x14ac:dyDescent="0.25"/>
    <row r="17" spans="1:8" ht="42.6" customHeight="1" x14ac:dyDescent="0.2">
      <c r="A17" s="490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91"/>
      <c r="B18" s="75">
        <v>0</v>
      </c>
      <c r="C18" s="76">
        <v>2000000</v>
      </c>
      <c r="D18" s="26">
        <v>20</v>
      </c>
    </row>
    <row r="20" spans="1:8" x14ac:dyDescent="0.2">
      <c r="A20" s="478" t="s">
        <v>37</v>
      </c>
      <c r="B20" s="478"/>
      <c r="C20" s="478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6" workbookViewId="0">
      <selection activeCell="A33" sqref="A33:XFD3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8"/>
      <c r="C4" s="499"/>
      <c r="D4" s="499"/>
      <c r="E4" s="499"/>
      <c r="F4" s="5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481" t="s">
        <v>8</v>
      </c>
      <c r="B7" s="484" t="s">
        <v>9</v>
      </c>
      <c r="C7" s="484"/>
      <c r="D7" s="484" t="s">
        <v>12</v>
      </c>
      <c r="E7" s="484"/>
      <c r="F7" s="484"/>
      <c r="G7" s="484" t="s">
        <v>124</v>
      </c>
      <c r="H7" s="484"/>
      <c r="I7" s="489"/>
    </row>
    <row r="8" spans="1:9" x14ac:dyDescent="0.25">
      <c r="A8" s="482"/>
      <c r="B8" s="286" t="s">
        <v>10</v>
      </c>
      <c r="C8" s="286" t="s">
        <v>11</v>
      </c>
      <c r="D8" s="286" t="s">
        <v>20</v>
      </c>
      <c r="E8" s="286" t="s">
        <v>21</v>
      </c>
      <c r="F8" s="286" t="s">
        <v>117</v>
      </c>
      <c r="G8" s="286" t="s">
        <v>22</v>
      </c>
      <c r="H8" s="286" t="s">
        <v>23</v>
      </c>
      <c r="I8" s="4" t="s">
        <v>123</v>
      </c>
    </row>
    <row r="9" spans="1:9" ht="15.75" thickBot="1" x14ac:dyDescent="0.3">
      <c r="A9" s="483"/>
      <c r="B9" s="171">
        <f>VAC_Optim_Scenario!G21</f>
        <v>4326087.5</v>
      </c>
      <c r="C9" s="171">
        <f>VAC_Optim_Scenario!H21</f>
        <v>8034162.5</v>
      </c>
      <c r="D9" s="172">
        <f>VAC_Optim_Scenario!I21</f>
        <v>4326087.5</v>
      </c>
      <c r="E9" s="84">
        <f>((GSTRV!D9/$B$12)^$D$12)*$C$12*$F$12</f>
        <v>112696.05412018712</v>
      </c>
      <c r="F9" s="84">
        <f>E9*F11</f>
        <v>112696.05412018712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78" t="s">
        <v>15</v>
      </c>
      <c r="B11" s="287" t="s">
        <v>16</v>
      </c>
      <c r="C11" s="287" t="s">
        <v>17</v>
      </c>
      <c r="D11" s="287" t="s">
        <v>168</v>
      </c>
      <c r="E11" s="286" t="s">
        <v>126</v>
      </c>
      <c r="F11" s="175">
        <v>1</v>
      </c>
    </row>
    <row r="12" spans="1:9" ht="40.5" customHeight="1" thickBot="1" x14ac:dyDescent="0.3">
      <c r="A12" s="478"/>
      <c r="B12" s="176">
        <f>'[5]Streaming Video - Power'!$B$12</f>
        <v>5935125</v>
      </c>
      <c r="C12" s="176">
        <f>'[5]Streaming Video - Power'!$C$12</f>
        <v>140618.64530883348</v>
      </c>
      <c r="D12" s="336">
        <f>'[5]Streaming Video - Power'!$D$12</f>
        <v>0.7</v>
      </c>
      <c r="E12" s="286" t="s">
        <v>122</v>
      </c>
      <c r="F12" s="177">
        <f>VAC_Optim_Scenario!D21</f>
        <v>1</v>
      </c>
      <c r="H12" s="283"/>
    </row>
    <row r="13" spans="1:9" ht="18.75" customHeight="1" x14ac:dyDescent="0.25">
      <c r="A13" s="492" t="s">
        <v>169</v>
      </c>
      <c r="B13" s="493"/>
      <c r="C13" s="493"/>
      <c r="D13" s="493"/>
      <c r="E13" s="286" t="s">
        <v>170</v>
      </c>
      <c r="F13" s="286" t="s">
        <v>171</v>
      </c>
    </row>
    <row r="14" spans="1:9" ht="15.75" thickBot="1" x14ac:dyDescent="0.3">
      <c r="A14" s="495"/>
      <c r="B14" s="496"/>
      <c r="C14" s="496"/>
      <c r="D14" s="496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90" t="s">
        <v>34</v>
      </c>
      <c r="B16" s="287" t="s">
        <v>32</v>
      </c>
      <c r="C16" s="287" t="s">
        <v>31</v>
      </c>
      <c r="D16" s="288" t="s">
        <v>33</v>
      </c>
    </row>
    <row r="17" spans="1:4" ht="15.75" thickBot="1" x14ac:dyDescent="0.3">
      <c r="A17" s="491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8" t="s">
        <v>37</v>
      </c>
      <c r="B19" s="478"/>
      <c r="C19" s="478"/>
      <c r="D19" s="98"/>
    </row>
    <row r="20" spans="1:4" ht="25.5" x14ac:dyDescent="0.25">
      <c r="A20" s="286" t="s">
        <v>35</v>
      </c>
      <c r="B20" s="286" t="s">
        <v>175</v>
      </c>
      <c r="C20" s="286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topLeftCell="A22" workbookViewId="0">
      <selection activeCell="G12" sqref="G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252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38" t="s">
        <v>102</v>
      </c>
      <c r="I2" s="339"/>
      <c r="J2" s="339"/>
      <c r="K2" s="339"/>
      <c r="L2" s="340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79" t="s">
        <v>106</v>
      </c>
      <c r="C4" s="479"/>
      <c r="D4" s="479"/>
      <c r="E4" s="479"/>
      <c r="F4" s="48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  <c r="F6" s="331"/>
    </row>
    <row r="7" spans="1:18" ht="27.75" customHeight="1" x14ac:dyDescent="0.2">
      <c r="A7" s="481" t="s">
        <v>8</v>
      </c>
      <c r="B7" s="484" t="s">
        <v>9</v>
      </c>
      <c r="C7" s="485"/>
      <c r="D7" s="486" t="s">
        <v>12</v>
      </c>
      <c r="E7" s="487"/>
      <c r="F7" s="488"/>
      <c r="G7" s="484" t="s">
        <v>124</v>
      </c>
      <c r="H7" s="484"/>
      <c r="I7" s="489"/>
      <c r="J7" s="98" t="s">
        <v>125</v>
      </c>
    </row>
    <row r="8" spans="1:18" ht="28.15" customHeight="1" x14ac:dyDescent="0.2">
      <c r="A8" s="482"/>
      <c r="B8" s="342" t="s">
        <v>10</v>
      </c>
      <c r="C8" s="17" t="s">
        <v>11</v>
      </c>
      <c r="D8" s="19" t="s">
        <v>20</v>
      </c>
      <c r="E8" s="342" t="s">
        <v>21</v>
      </c>
      <c r="F8" s="81" t="s">
        <v>117</v>
      </c>
      <c r="G8" s="341" t="s">
        <v>22</v>
      </c>
      <c r="H8" s="342" t="s">
        <v>23</v>
      </c>
      <c r="I8" s="88" t="s">
        <v>123</v>
      </c>
    </row>
    <row r="9" spans="1:18" ht="14.65" customHeight="1" thickBot="1" x14ac:dyDescent="0.25">
      <c r="A9" s="483"/>
      <c r="B9" s="95">
        <f>VAC_Optim_Scenario!G22</f>
        <v>1153850.159</v>
      </c>
      <c r="C9" s="95">
        <f>VAC_Optim_Scenario!H22</f>
        <v>2142864.5810000002</v>
      </c>
      <c r="D9" s="68">
        <f>VAC_Optim_Scenario!I22</f>
        <v>2142864.5810000002</v>
      </c>
      <c r="E9" s="84">
        <f>((($R$12/(1+EXP($P$12+$Q$12*D9)))-1) - ($F$12-$C$12))*$I$12</f>
        <v>126447.32566596754</v>
      </c>
      <c r="F9" s="89">
        <f>E9*$G$12</f>
        <v>126447.32566596754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196</v>
      </c>
    </row>
    <row r="10" spans="1:18" ht="13.5" thickBot="1" x14ac:dyDescent="0.25"/>
    <row r="11" spans="1:18" ht="51.6" customHeight="1" x14ac:dyDescent="0.2">
      <c r="A11" s="481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118</v>
      </c>
      <c r="H11" s="344" t="s">
        <v>119</v>
      </c>
      <c r="I11" s="92" t="s">
        <v>122</v>
      </c>
      <c r="K11" s="490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483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491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492" t="s">
        <v>114</v>
      </c>
      <c r="B13" s="493"/>
      <c r="C13" s="493"/>
      <c r="D13" s="493"/>
      <c r="E13" s="493"/>
      <c r="F13" s="494"/>
      <c r="G13" s="342" t="s">
        <v>150</v>
      </c>
      <c r="H13" s="342" t="s">
        <v>151</v>
      </c>
      <c r="K13" s="492" t="s">
        <v>115</v>
      </c>
      <c r="L13" s="493"/>
      <c r="M13" s="493"/>
      <c r="N13" s="493"/>
      <c r="O13" s="493"/>
      <c r="P13" s="493"/>
      <c r="Q13" s="493"/>
      <c r="R13" s="494"/>
    </row>
    <row r="14" spans="1:18" ht="33.6" customHeight="1" thickBot="1" x14ac:dyDescent="0.25">
      <c r="A14" s="495"/>
      <c r="B14" s="496"/>
      <c r="C14" s="496"/>
      <c r="D14" s="496"/>
      <c r="E14" s="496"/>
      <c r="F14" s="497"/>
      <c r="G14" s="95">
        <f>VAC_Optim_Scenario!$I$32</f>
        <v>225.94</v>
      </c>
      <c r="H14" s="95">
        <f>VAC_Optim_Scenario!$F$32</f>
        <v>225.94</v>
      </c>
      <c r="K14" s="495"/>
      <c r="L14" s="496"/>
      <c r="M14" s="496"/>
      <c r="N14" s="496"/>
      <c r="O14" s="496"/>
      <c r="P14" s="496"/>
      <c r="Q14" s="496"/>
      <c r="R14" s="497"/>
    </row>
    <row r="16" spans="1:18" ht="13.5" thickBot="1" x14ac:dyDescent="0.25"/>
    <row r="17" spans="1:8" ht="42.6" customHeight="1" x14ac:dyDescent="0.2">
      <c r="A17" s="490" t="s">
        <v>34</v>
      </c>
      <c r="B17" s="344" t="s">
        <v>32</v>
      </c>
      <c r="C17" s="344" t="s">
        <v>31</v>
      </c>
      <c r="D17" s="345" t="s">
        <v>33</v>
      </c>
      <c r="F17" s="82"/>
      <c r="G17" s="82"/>
      <c r="H17" s="83"/>
    </row>
    <row r="18" spans="1:8" ht="23.65" customHeight="1" thickBot="1" x14ac:dyDescent="0.25">
      <c r="A18" s="491"/>
      <c r="B18" s="75">
        <v>0</v>
      </c>
      <c r="C18" s="76">
        <v>2000000</v>
      </c>
      <c r="D18" s="26">
        <v>20</v>
      </c>
    </row>
    <row r="20" spans="1:8" x14ac:dyDescent="0.2">
      <c r="A20" s="478" t="s">
        <v>37</v>
      </c>
      <c r="B20" s="478"/>
      <c r="C20" s="478"/>
    </row>
    <row r="21" spans="1:8" ht="25.5" x14ac:dyDescent="0.2">
      <c r="A21" s="342" t="s">
        <v>35</v>
      </c>
      <c r="B21" s="342" t="s">
        <v>120</v>
      </c>
      <c r="C21" s="342" t="s">
        <v>197</v>
      </c>
      <c r="D21" s="98" t="s">
        <v>121</v>
      </c>
      <c r="E21" s="342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42" si="1">B23*$G$12</f>
        <v>16138.258794490248</v>
      </c>
      <c r="D23" s="98">
        <f>(B23-B22)/A23</f>
        <v>3.8246138090842152E-2</v>
      </c>
      <c r="E23" s="116">
        <f t="shared" ref="E23:E42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42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98">
        <v>2284729.9606152959</v>
      </c>
      <c r="B43" s="79">
        <f t="shared" si="0"/>
        <v>132251.9441374708</v>
      </c>
    </row>
    <row r="44" spans="1:5" x14ac:dyDescent="0.2">
      <c r="A44" s="98">
        <v>2388581.3224614454</v>
      </c>
      <c r="B44" s="79">
        <f t="shared" si="0"/>
        <v>136343.23651968129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21"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8"/>
      <c r="C4" s="499"/>
      <c r="D4" s="499"/>
      <c r="E4" s="499"/>
      <c r="F4" s="5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81" t="s">
        <v>8</v>
      </c>
      <c r="B7" s="484" t="s">
        <v>9</v>
      </c>
      <c r="C7" s="484"/>
      <c r="D7" s="484" t="s">
        <v>12</v>
      </c>
      <c r="E7" s="484"/>
      <c r="F7" s="484"/>
      <c r="G7" s="484" t="s">
        <v>124</v>
      </c>
      <c r="H7" s="484"/>
      <c r="I7" s="489"/>
    </row>
    <row r="8" spans="1:9" x14ac:dyDescent="0.25">
      <c r="A8" s="482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83"/>
      <c r="B9" s="171">
        <f>VAC_Optim_Scenario!G23</f>
        <v>344707</v>
      </c>
      <c r="C9" s="171">
        <f>VAC_Optim_Scenario!H23</f>
        <v>344707</v>
      </c>
      <c r="D9" s="172">
        <f>VAC_Optim_Scenario!I23</f>
        <v>344707</v>
      </c>
      <c r="E9" s="84">
        <f>((GSEARCH!D9/$B$12)^$D$12)*$C$12*$F$12</f>
        <v>130694.08808973072</v>
      </c>
      <c r="F9" s="84">
        <f>E9*F11</f>
        <v>130694.08808973072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78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78"/>
      <c r="B12" s="176">
        <f>'[7]HCC Paid Search - Power'!$B$12</f>
        <v>344707</v>
      </c>
      <c r="C12" s="176">
        <f>'[7]HCC Paid Search - Power'!$C$12</f>
        <v>130694.08808973072</v>
      </c>
      <c r="D12" s="336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92" t="s">
        <v>169</v>
      </c>
      <c r="B13" s="493"/>
      <c r="C13" s="493"/>
      <c r="D13" s="493"/>
      <c r="E13" s="153" t="s">
        <v>170</v>
      </c>
      <c r="F13" s="153" t="s">
        <v>171</v>
      </c>
    </row>
    <row r="14" spans="1:9" ht="15.75" thickBot="1" x14ac:dyDescent="0.3">
      <c r="A14" s="495"/>
      <c r="B14" s="496"/>
      <c r="C14" s="496"/>
      <c r="D14" s="496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90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91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8" t="s">
        <v>37</v>
      </c>
      <c r="B19" s="478"/>
      <c r="C19" s="478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G14" sqref="G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8"/>
      <c r="C4" s="499"/>
      <c r="D4" s="499"/>
      <c r="E4" s="499"/>
      <c r="F4" s="5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81" t="s">
        <v>8</v>
      </c>
      <c r="B7" s="484" t="s">
        <v>9</v>
      </c>
      <c r="C7" s="484"/>
      <c r="D7" s="484" t="s">
        <v>12</v>
      </c>
      <c r="E7" s="484"/>
      <c r="F7" s="484"/>
      <c r="G7" s="484" t="s">
        <v>124</v>
      </c>
      <c r="H7" s="484"/>
      <c r="I7" s="489"/>
    </row>
    <row r="8" spans="1:9" x14ac:dyDescent="0.25">
      <c r="A8" s="482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83"/>
      <c r="B9" s="171">
        <f>VAC_Optim_Scenario!G24</f>
        <v>1005933.8869999999</v>
      </c>
      <c r="C9" s="171">
        <f>VAC_Optim_Scenario!H24</f>
        <v>1868162.933</v>
      </c>
      <c r="D9" s="172">
        <f>VAC_Optim_Scenario!I24</f>
        <v>1868162.933</v>
      </c>
      <c r="E9" s="173">
        <f>((GRADIO!D9/$B$12)^$D$12)*$C$12*$F$12</f>
        <v>82600.094379775124</v>
      </c>
      <c r="F9" s="84">
        <f>E9*F11</f>
        <v>82600.094379775124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78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78"/>
      <c r="B12" s="176">
        <f>'[8]Radio - Power'!$B$12</f>
        <v>1437048.41</v>
      </c>
      <c r="C12" s="176">
        <f>'[8]Radio - Power'!$C$12</f>
        <v>70569.092436493243</v>
      </c>
      <c r="D12" s="336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92" t="s">
        <v>169</v>
      </c>
      <c r="B13" s="493"/>
      <c r="C13" s="493"/>
      <c r="D13" s="493"/>
      <c r="E13" s="150" t="s">
        <v>170</v>
      </c>
      <c r="F13" s="150" t="s">
        <v>171</v>
      </c>
    </row>
    <row r="14" spans="1:9" ht="15.75" thickBot="1" x14ac:dyDescent="0.3">
      <c r="A14" s="495"/>
      <c r="B14" s="496"/>
      <c r="C14" s="496"/>
      <c r="D14" s="496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90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91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8" t="s">
        <v>37</v>
      </c>
      <c r="B19" s="478"/>
      <c r="C19" s="478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34"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8"/>
      <c r="C4" s="499"/>
      <c r="D4" s="499"/>
      <c r="E4" s="499"/>
      <c r="F4" s="5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81" t="s">
        <v>8</v>
      </c>
      <c r="B7" s="484" t="s">
        <v>9</v>
      </c>
      <c r="C7" s="484"/>
      <c r="D7" s="484" t="s">
        <v>12</v>
      </c>
      <c r="E7" s="484"/>
      <c r="F7" s="484"/>
      <c r="G7" s="484" t="s">
        <v>124</v>
      </c>
      <c r="H7" s="484"/>
      <c r="I7" s="489"/>
    </row>
    <row r="8" spans="1:9" x14ac:dyDescent="0.25">
      <c r="A8" s="482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83"/>
      <c r="B9" s="171">
        <f>VAC_Optim_Scenario!G25</f>
        <v>13503524.99</v>
      </c>
      <c r="C9" s="171">
        <f>VAC_Optim_Scenario!H25</f>
        <v>13503524.99</v>
      </c>
      <c r="D9" s="172">
        <f>VAC_Optim_Scenario!I25</f>
        <v>13503524.99</v>
      </c>
      <c r="E9" s="84">
        <f>((GTV!D9/$B$12)^$D$12)*$C$12*$F$12</f>
        <v>253686.28893952153</v>
      </c>
      <c r="F9" s="84">
        <f>E9*F11</f>
        <v>253686.28893952153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78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78"/>
      <c r="B12" s="176">
        <f>'[9]TV - Power'!$B$12</f>
        <v>13503524.99</v>
      </c>
      <c r="C12" s="176">
        <f>'[9]TV - Power'!$C$12</f>
        <v>253686.28893952153</v>
      </c>
      <c r="D12" s="336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92" t="s">
        <v>169</v>
      </c>
      <c r="B13" s="493"/>
      <c r="C13" s="493"/>
      <c r="D13" s="493"/>
      <c r="E13" s="150" t="s">
        <v>170</v>
      </c>
      <c r="F13" s="150" t="s">
        <v>171</v>
      </c>
    </row>
    <row r="14" spans="1:9" ht="15.75" thickBot="1" x14ac:dyDescent="0.3">
      <c r="A14" s="495"/>
      <c r="B14" s="496"/>
      <c r="C14" s="496"/>
      <c r="D14" s="496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90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91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8" t="s">
        <v>37</v>
      </c>
      <c r="B19" s="478"/>
      <c r="C19" s="478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79" t="s">
        <v>106</v>
      </c>
      <c r="C4" s="479"/>
      <c r="D4" s="479"/>
      <c r="E4" s="479"/>
      <c r="F4" s="48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1" t="s">
        <v>8</v>
      </c>
      <c r="B7" s="484" t="s">
        <v>9</v>
      </c>
      <c r="C7" s="485"/>
      <c r="D7" s="486" t="s">
        <v>12</v>
      </c>
      <c r="E7" s="487"/>
      <c r="F7" s="488"/>
      <c r="G7" s="484" t="s">
        <v>124</v>
      </c>
      <c r="H7" s="484"/>
      <c r="I7" s="489"/>
      <c r="J7" s="98" t="s">
        <v>125</v>
      </c>
    </row>
    <row r="8" spans="1:18" ht="28.15" customHeight="1" x14ac:dyDescent="0.2">
      <c r="A8" s="48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8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48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9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91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92" t="s">
        <v>114</v>
      </c>
      <c r="B13" s="493"/>
      <c r="C13" s="493"/>
      <c r="D13" s="493"/>
      <c r="E13" s="493"/>
      <c r="F13" s="494"/>
      <c r="G13" s="119" t="s">
        <v>150</v>
      </c>
      <c r="H13" s="119" t="s">
        <v>151</v>
      </c>
      <c r="K13" s="492" t="s">
        <v>115</v>
      </c>
      <c r="L13" s="493"/>
      <c r="M13" s="493"/>
      <c r="N13" s="493"/>
      <c r="O13" s="493"/>
      <c r="P13" s="493"/>
      <c r="Q13" s="493"/>
      <c r="R13" s="494"/>
    </row>
    <row r="14" spans="1:18" ht="33.6" customHeight="1" thickBot="1" x14ac:dyDescent="0.25">
      <c r="A14" s="495"/>
      <c r="B14" s="496"/>
      <c r="C14" s="496"/>
      <c r="D14" s="496"/>
      <c r="E14" s="496"/>
      <c r="F14" s="497"/>
      <c r="G14" s="95">
        <f>VAC_Optim_Scenario!I32</f>
        <v>225.94</v>
      </c>
      <c r="H14" s="95">
        <f>VAC_Optim_Scenario!G32</f>
        <v>225.94</v>
      </c>
      <c r="K14" s="495"/>
      <c r="L14" s="496"/>
      <c r="M14" s="496"/>
      <c r="N14" s="496"/>
      <c r="O14" s="496"/>
      <c r="P14" s="496"/>
      <c r="Q14" s="496"/>
      <c r="R14" s="497"/>
    </row>
    <row r="16" spans="1:18" ht="13.5" thickBot="1" x14ac:dyDescent="0.25"/>
    <row r="17" spans="1:8" ht="42.6" customHeight="1" x14ac:dyDescent="0.2">
      <c r="A17" s="49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91"/>
      <c r="B18" s="75">
        <v>0</v>
      </c>
      <c r="C18" s="76">
        <v>4000000</v>
      </c>
      <c r="D18" s="26">
        <v>20</v>
      </c>
    </row>
    <row r="20" spans="1:8" x14ac:dyDescent="0.2">
      <c r="A20" s="478" t="s">
        <v>37</v>
      </c>
      <c r="B20" s="478"/>
      <c r="C20" s="478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63" t="s">
        <v>100</v>
      </c>
      <c r="G2" s="464"/>
      <c r="H2" s="464"/>
      <c r="I2" s="464"/>
      <c r="J2" s="464"/>
      <c r="K2" s="464"/>
      <c r="L2" s="465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66" t="s">
        <v>72</v>
      </c>
      <c r="G3" s="467"/>
      <c r="H3" s="467"/>
      <c r="I3" s="467"/>
      <c r="J3" s="467"/>
      <c r="K3" s="467"/>
      <c r="L3" s="468"/>
    </row>
    <row r="4" spans="1:12" ht="13.5" thickBot="1" x14ac:dyDescent="0.25">
      <c r="A4" s="29" t="s">
        <v>38</v>
      </c>
      <c r="B4" s="501" t="s">
        <v>39</v>
      </c>
      <c r="C4" s="501"/>
      <c r="D4" s="502"/>
    </row>
    <row r="6" spans="1:12" ht="13.5" thickBot="1" x14ac:dyDescent="0.25"/>
    <row r="7" spans="1:12" ht="27.75" customHeight="1" x14ac:dyDescent="0.2">
      <c r="A7" s="481" t="s">
        <v>8</v>
      </c>
      <c r="B7" s="484" t="s">
        <v>9</v>
      </c>
      <c r="C7" s="485"/>
      <c r="D7" s="486" t="s">
        <v>12</v>
      </c>
      <c r="E7" s="488"/>
      <c r="F7" s="487" t="s">
        <v>24</v>
      </c>
      <c r="G7" s="509"/>
    </row>
    <row r="8" spans="1:12" ht="25.5" x14ac:dyDescent="0.2">
      <c r="A8" s="48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8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8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81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83"/>
      <c r="B12" s="12">
        <v>20</v>
      </c>
      <c r="C12" s="12">
        <v>30</v>
      </c>
      <c r="D12" s="12">
        <v>0</v>
      </c>
      <c r="E12" s="14">
        <v>70</v>
      </c>
      <c r="G12" s="48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92" t="s">
        <v>30</v>
      </c>
      <c r="B13" s="493"/>
      <c r="C13" s="493"/>
      <c r="D13" s="493"/>
      <c r="E13" s="494"/>
      <c r="G13" s="503" t="s">
        <v>29</v>
      </c>
      <c r="H13" s="504"/>
      <c r="I13" s="504"/>
      <c r="J13" s="505"/>
    </row>
    <row r="14" spans="1:12" ht="33.6" customHeight="1" x14ac:dyDescent="0.2">
      <c r="A14" s="495"/>
      <c r="B14" s="496"/>
      <c r="C14" s="496"/>
      <c r="D14" s="496"/>
      <c r="E14" s="497"/>
      <c r="G14" s="506"/>
      <c r="H14" s="507"/>
      <c r="I14" s="507"/>
      <c r="J14" s="508"/>
    </row>
    <row r="16" spans="1:12" ht="13.5" thickBot="1" x14ac:dyDescent="0.25"/>
    <row r="17" spans="1:4" ht="16.899999999999999" customHeight="1" x14ac:dyDescent="0.2">
      <c r="A17" s="490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91"/>
      <c r="B18" s="12">
        <v>0</v>
      </c>
      <c r="C18" s="12">
        <v>100</v>
      </c>
      <c r="D18" s="26">
        <v>20</v>
      </c>
    </row>
    <row r="20" spans="1:4" x14ac:dyDescent="0.2">
      <c r="A20" s="478" t="s">
        <v>37</v>
      </c>
      <c r="B20" s="478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63" t="s">
        <v>100</v>
      </c>
      <c r="G2" s="464"/>
      <c r="H2" s="464"/>
      <c r="I2" s="464"/>
      <c r="J2" s="464"/>
      <c r="K2" s="464"/>
      <c r="L2" s="465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66" t="s">
        <v>72</v>
      </c>
      <c r="G3" s="467"/>
      <c r="H3" s="467"/>
      <c r="I3" s="467"/>
      <c r="J3" s="467"/>
      <c r="K3" s="467"/>
      <c r="L3" s="468"/>
    </row>
    <row r="4" spans="1:12" ht="31.9" customHeight="1" thickBot="1" x14ac:dyDescent="0.25">
      <c r="A4" s="29" t="s">
        <v>38</v>
      </c>
      <c r="B4" s="514" t="s">
        <v>41</v>
      </c>
      <c r="C4" s="515"/>
      <c r="D4" s="516"/>
    </row>
    <row r="6" spans="1:12" ht="13.5" thickBot="1" x14ac:dyDescent="0.25"/>
    <row r="7" spans="1:12" ht="27.75" customHeight="1" x14ac:dyDescent="0.2">
      <c r="A7" s="481" t="s">
        <v>8</v>
      </c>
      <c r="B7" s="484" t="s">
        <v>9</v>
      </c>
      <c r="C7" s="485"/>
      <c r="D7" s="486" t="s">
        <v>12</v>
      </c>
      <c r="E7" s="488"/>
      <c r="F7" s="487" t="s">
        <v>24</v>
      </c>
      <c r="G7" s="509"/>
      <c r="H7" s="1" t="s">
        <v>54</v>
      </c>
    </row>
    <row r="8" spans="1:12" ht="25.5" x14ac:dyDescent="0.2">
      <c r="A8" s="48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8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81" t="s">
        <v>42</v>
      </c>
      <c r="B11" s="453" t="s">
        <v>47</v>
      </c>
      <c r="C11" s="511" t="s">
        <v>46</v>
      </c>
      <c r="D11" s="487"/>
      <c r="E11" s="487"/>
      <c r="F11" s="3" t="s">
        <v>48</v>
      </c>
      <c r="G11" s="33"/>
      <c r="H11" s="32"/>
      <c r="I11" s="32"/>
      <c r="J11" s="32"/>
    </row>
    <row r="12" spans="1:12" x14ac:dyDescent="0.2">
      <c r="A12" s="512"/>
      <c r="B12" s="45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1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10" t="s">
        <v>52</v>
      </c>
      <c r="B14" s="510"/>
      <c r="C14" s="510"/>
      <c r="D14" s="510"/>
      <c r="E14" s="510"/>
      <c r="F14" s="510"/>
      <c r="G14" s="38"/>
      <c r="H14" s="39"/>
      <c r="I14" s="39"/>
      <c r="J14" s="39"/>
    </row>
    <row r="15" spans="1:12" ht="30.6" customHeight="1" x14ac:dyDescent="0.2">
      <c r="A15" s="510"/>
      <c r="B15" s="510"/>
      <c r="C15" s="510"/>
      <c r="D15" s="510"/>
      <c r="E15" s="510"/>
      <c r="F15" s="510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90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91"/>
      <c r="B19" s="12">
        <v>0</v>
      </c>
      <c r="C19" s="12">
        <v>20000000</v>
      </c>
      <c r="D19" s="26">
        <v>20</v>
      </c>
    </row>
    <row r="21" spans="1:4" x14ac:dyDescent="0.2">
      <c r="A21" s="478" t="s">
        <v>37</v>
      </c>
      <c r="B21" s="478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17" t="s">
        <v>106</v>
      </c>
      <c r="C4" s="517"/>
      <c r="D4" s="517"/>
      <c r="E4" s="517"/>
      <c r="F4" s="518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81" t="s">
        <v>8</v>
      </c>
      <c r="B7" s="484" t="s">
        <v>9</v>
      </c>
      <c r="C7" s="485"/>
      <c r="D7" s="486" t="s">
        <v>12</v>
      </c>
      <c r="E7" s="488"/>
      <c r="F7" s="487" t="s">
        <v>24</v>
      </c>
      <c r="G7" s="509"/>
    </row>
    <row r="8" spans="1:15" ht="25.5" x14ac:dyDescent="0.2">
      <c r="A8" s="482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8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81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90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8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91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92" t="s">
        <v>114</v>
      </c>
      <c r="B13" s="493"/>
      <c r="C13" s="493"/>
      <c r="D13" s="493"/>
      <c r="E13" s="493"/>
      <c r="F13" s="494"/>
      <c r="H13" s="492" t="s">
        <v>115</v>
      </c>
      <c r="I13" s="493"/>
      <c r="J13" s="493"/>
      <c r="K13" s="493"/>
      <c r="L13" s="493"/>
      <c r="M13" s="493"/>
      <c r="N13" s="493"/>
      <c r="O13" s="494"/>
    </row>
    <row r="14" spans="1:15" ht="33.6" customHeight="1" x14ac:dyDescent="0.2">
      <c r="A14" s="495"/>
      <c r="B14" s="496"/>
      <c r="C14" s="496"/>
      <c r="D14" s="496"/>
      <c r="E14" s="496"/>
      <c r="F14" s="497"/>
      <c r="H14" s="495"/>
      <c r="I14" s="496"/>
      <c r="J14" s="496"/>
      <c r="K14" s="496"/>
      <c r="L14" s="496"/>
      <c r="M14" s="496"/>
      <c r="N14" s="496"/>
      <c r="O14" s="497"/>
    </row>
    <row r="16" spans="1:15" ht="13.5" thickBot="1" x14ac:dyDescent="0.25"/>
    <row r="17" spans="1:4" ht="16.899999999999999" customHeight="1" x14ac:dyDescent="0.2">
      <c r="A17" s="490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91"/>
      <c r="B18" s="75">
        <v>0</v>
      </c>
      <c r="C18" s="76">
        <v>200000000</v>
      </c>
      <c r="D18" s="26">
        <v>20</v>
      </c>
    </row>
    <row r="20" spans="1:4" x14ac:dyDescent="0.2">
      <c r="A20" s="478" t="s">
        <v>37</v>
      </c>
      <c r="B20" s="478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63" t="s">
        <v>100</v>
      </c>
      <c r="G2" s="464"/>
      <c r="H2" s="464"/>
      <c r="I2" s="464"/>
      <c r="J2" s="464"/>
      <c r="K2" s="464"/>
      <c r="L2" s="465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66" t="s">
        <v>72</v>
      </c>
      <c r="G3" s="467"/>
      <c r="H3" s="467"/>
      <c r="I3" s="467"/>
      <c r="J3" s="467"/>
      <c r="K3" s="467"/>
      <c r="L3" s="468"/>
    </row>
    <row r="4" spans="1:14" ht="13.5" thickBot="1" x14ac:dyDescent="0.25">
      <c r="A4" s="29" t="s">
        <v>38</v>
      </c>
      <c r="B4" s="501" t="s">
        <v>57</v>
      </c>
      <c r="C4" s="501"/>
      <c r="D4" s="502"/>
    </row>
    <row r="6" spans="1:14" ht="13.5" thickBot="1" x14ac:dyDescent="0.25"/>
    <row r="7" spans="1:14" ht="27.75" customHeight="1" x14ac:dyDescent="0.2">
      <c r="A7" s="481" t="s">
        <v>8</v>
      </c>
      <c r="B7" s="484" t="s">
        <v>9</v>
      </c>
      <c r="C7" s="485"/>
      <c r="D7" s="486" t="s">
        <v>12</v>
      </c>
      <c r="E7" s="488"/>
      <c r="F7" s="487" t="s">
        <v>24</v>
      </c>
      <c r="G7" s="509"/>
      <c r="I7" s="524" t="s">
        <v>73</v>
      </c>
      <c r="J7" s="524"/>
      <c r="K7" s="524"/>
      <c r="L7" s="524"/>
      <c r="N7" s="47" t="s">
        <v>58</v>
      </c>
    </row>
    <row r="8" spans="1:14" ht="25.5" x14ac:dyDescent="0.2">
      <c r="A8" s="48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24"/>
      <c r="J8" s="524"/>
      <c r="K8" s="524"/>
      <c r="L8" s="524"/>
      <c r="N8" s="47" t="s">
        <v>59</v>
      </c>
    </row>
    <row r="9" spans="1:14" ht="13.5" thickBot="1" x14ac:dyDescent="0.25">
      <c r="A9" s="48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78" t="s">
        <v>60</v>
      </c>
      <c r="B11" s="3" t="s">
        <v>61</v>
      </c>
      <c r="C11" s="3" t="s">
        <v>62</v>
      </c>
      <c r="D11" s="32"/>
      <c r="E11" s="52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78"/>
      <c r="B12" s="41">
        <v>0</v>
      </c>
      <c r="C12" s="41">
        <v>0</v>
      </c>
      <c r="D12" s="32"/>
      <c r="E12" s="52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78"/>
      <c r="B13" s="41">
        <v>1</v>
      </c>
      <c r="C13" s="41">
        <v>0.75</v>
      </c>
      <c r="D13" s="32"/>
      <c r="E13" s="52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78"/>
      <c r="B14" s="41">
        <v>2</v>
      </c>
      <c r="C14" s="41">
        <v>0</v>
      </c>
      <c r="D14" s="32"/>
      <c r="E14" s="52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78"/>
      <c r="B15" s="41">
        <v>3</v>
      </c>
      <c r="C15" s="41">
        <v>-1</v>
      </c>
      <c r="D15" s="32"/>
      <c r="E15" s="52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78"/>
      <c r="B16" s="41">
        <v>4</v>
      </c>
      <c r="C16" s="41">
        <v>3</v>
      </c>
      <c r="D16" s="32"/>
      <c r="E16" s="52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78"/>
      <c r="B17" s="42">
        <v>5</v>
      </c>
      <c r="C17" s="42">
        <v>3</v>
      </c>
      <c r="D17" s="40"/>
      <c r="E17" s="52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19" t="s">
        <v>74</v>
      </c>
      <c r="B18" s="520"/>
      <c r="C18" s="521"/>
      <c r="D18" s="33"/>
      <c r="E18" s="510" t="s">
        <v>75</v>
      </c>
      <c r="F18" s="510"/>
      <c r="G18" s="510"/>
      <c r="H18" s="510"/>
      <c r="I18" s="510"/>
      <c r="J18" s="510"/>
      <c r="K18" s="510"/>
      <c r="L18" s="510"/>
      <c r="M18" s="510"/>
    </row>
    <row r="19" spans="1:13" ht="35.65" customHeight="1" x14ac:dyDescent="0.2">
      <c r="A19" s="495"/>
      <c r="B19" s="496"/>
      <c r="C19" s="497"/>
      <c r="D19" s="33"/>
      <c r="E19" s="510"/>
      <c r="F19" s="510"/>
      <c r="G19" s="510"/>
      <c r="H19" s="510"/>
      <c r="I19" s="510"/>
      <c r="J19" s="510"/>
      <c r="K19" s="510"/>
      <c r="L19" s="510"/>
      <c r="M19" s="510"/>
    </row>
    <row r="21" spans="1:13" ht="13.5" thickBot="1" x14ac:dyDescent="0.25"/>
    <row r="22" spans="1:13" ht="16.899999999999999" customHeight="1" x14ac:dyDescent="0.2">
      <c r="A22" s="490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91"/>
      <c r="B23" s="12">
        <v>0</v>
      </c>
      <c r="C23" s="12">
        <v>5</v>
      </c>
      <c r="D23" s="26">
        <v>20</v>
      </c>
    </row>
    <row r="25" spans="1:13" x14ac:dyDescent="0.2">
      <c r="A25" s="478" t="s">
        <v>37</v>
      </c>
      <c r="B25" s="478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Sheet1</vt:lpstr>
      <vt:lpstr>Scenario deep dive</vt:lpstr>
      <vt:lpstr>Scenario deep dive_2023</vt:lpstr>
      <vt:lpstr>Senstivity</vt:lpstr>
      <vt:lpstr>Sensitivity - Template</vt:lpstr>
      <vt:lpstr>Contribution, promo eff, ROI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2023-08-11T06:34:54Z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