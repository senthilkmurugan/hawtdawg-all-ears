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"/>
    </mc:Choice>
  </mc:AlternateContent>
  <xr:revisionPtr revIDLastSave="0" documentId="13_ncr:1_{A455B1ED-7AB0-4EA3-BDF4-850678E94932}" xr6:coauthVersionLast="47" xr6:coauthVersionMax="47" xr10:uidLastSave="{00000000-0000-0000-0000-000000000000}"/>
  <bookViews>
    <workbookView xWindow="-120" yWindow="-120" windowWidth="20730" windowHeight="11160" tabRatio="906" firstSheet="1" activeTab="1" xr2:uid="{00000000-000D-0000-FFFF-FFFF00000000}"/>
  </bookViews>
  <sheets>
    <sheet name="Sensitivity - Template" sheetId="86" state="hidden" r:id="rId1"/>
    <sheet name="Scenario summary" sheetId="78" r:id="rId2"/>
    <sheet name="Chart - Combined" sheetId="36" r:id="rId3"/>
    <sheet name="Sensitivity" sheetId="81" state="hidden" r:id="rId4"/>
    <sheet name="Contribution, promo eff, ROI" sheetId="80" r:id="rId5"/>
    <sheet name="Scenario deep dive" sheetId="79" r:id="rId6"/>
    <sheet name="VAC_Optim_Scenario" sheetId="23" r:id="rId7"/>
    <sheet name="GINOFF" sheetId="51" r:id="rId8"/>
    <sheet name="GMCM" sheetId="50" r:id="rId9"/>
    <sheet name="GSOCIAL" sheetId="89" r:id="rId10"/>
    <sheet name="GOLV" sheetId="92" r:id="rId11"/>
    <sheet name="GSTRTV" sheetId="91" r:id="rId12"/>
    <sheet name="GDISP" sheetId="87" r:id="rId13"/>
    <sheet name="GPDSRCH" sheetId="93" r:id="rId14"/>
    <sheet name="GAUDIO" sheetId="88" r:id="rId15"/>
    <sheet name="GLINEARTV" sheetId="90" r:id="rId16"/>
    <sheet name="GPRNT" sheetId="48" state="hidden" r:id="rId17"/>
    <sheet name="GPHRMCY" sheetId="94" r:id="rId18"/>
    <sheet name="Fn.Templates ==&gt;" sheetId="3" r:id="rId19"/>
    <sheet name="FT_SCurveEst" sheetId="2" r:id="rId20"/>
    <sheet name="FT_Equation" sheetId="4" r:id="rId21"/>
    <sheet name="FT_Interpolate" sheetId="5" r:id="rId22"/>
    <sheet name="FT_SCurve3Est" sheetId="13" r:id="rId23"/>
  </sheets>
  <functionGroups builtInGroupCount="19"/>
  <externalReferences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_xlnm._FilterDatabase" localSheetId="4" hidden="1">'Contribution, promo eff, ROI'!$E$17:$F$25</definedName>
    <definedName name="solver_adj" localSheetId="6" hidden="1">VAC_Optim_Scenario!$I$17:$I$26</definedName>
    <definedName name="solver_cvg" localSheetId="3" hidden="1">0.0001</definedName>
    <definedName name="solver_cvg" localSheetId="0" hidden="1">0.0001</definedName>
    <definedName name="solver_cvg" localSheetId="6" hidden="1">0.0001</definedName>
    <definedName name="solver_drv" localSheetId="3" hidden="1">1</definedName>
    <definedName name="solver_drv" localSheetId="0" hidden="1">1</definedName>
    <definedName name="solver_drv" localSheetId="6" hidden="1">1</definedName>
    <definedName name="solver_eng" localSheetId="17" hidden="1">1</definedName>
    <definedName name="solver_eng" localSheetId="3" hidden="1">1</definedName>
    <definedName name="solver_eng" localSheetId="0" hidden="1">1</definedName>
    <definedName name="solver_eng" localSheetId="6" hidden="1">1</definedName>
    <definedName name="solver_est" localSheetId="3" hidden="1">1</definedName>
    <definedName name="solver_est" localSheetId="0" hidden="1">1</definedName>
    <definedName name="solver_est" localSheetId="6" hidden="1">1</definedName>
    <definedName name="solver_itr" localSheetId="3" hidden="1">2147483647</definedName>
    <definedName name="solver_itr" localSheetId="0" hidden="1">2147483647</definedName>
    <definedName name="solver_itr" localSheetId="6" hidden="1">2147483647</definedName>
    <definedName name="solver_lhs0" localSheetId="6" hidden="1">VAC_Optim_Scenario!$I$27</definedName>
    <definedName name="solver_lhs1" localSheetId="6" hidden="1">VAC_Optim_Scenario!$B$12</definedName>
    <definedName name="solver_lhs2" localSheetId="6" hidden="1">VAC_Optim_Scenario!$I$17:$I$26</definedName>
    <definedName name="solver_lhs3" localSheetId="6" hidden="1">VAC_Optim_Scenario!$I$17:$I$26</definedName>
    <definedName name="solver_lhs4" localSheetId="6" hidden="1">VAC_Optim_Scenario!$I$27</definedName>
    <definedName name="solver_lhs5" localSheetId="6" hidden="1">VAC_Optim_Scenario!#REF!</definedName>
    <definedName name="solver_mip" localSheetId="3" hidden="1">2147483647</definedName>
    <definedName name="solver_mip" localSheetId="0" hidden="1">2147483647</definedName>
    <definedName name="solver_mip" localSheetId="6" hidden="1">2147483647</definedName>
    <definedName name="solver_mni" localSheetId="3" hidden="1">30</definedName>
    <definedName name="solver_mni" localSheetId="0" hidden="1">30</definedName>
    <definedName name="solver_mni" localSheetId="6" hidden="1">30</definedName>
    <definedName name="solver_mrt" localSheetId="3" hidden="1">0.075</definedName>
    <definedName name="solver_mrt" localSheetId="0" hidden="1">0.075</definedName>
    <definedName name="solver_mrt" localSheetId="6" hidden="1">0.075</definedName>
    <definedName name="solver_msl" localSheetId="3" hidden="1">2</definedName>
    <definedName name="solver_msl" localSheetId="0" hidden="1">2</definedName>
    <definedName name="solver_msl" localSheetId="6" hidden="1">2</definedName>
    <definedName name="solver_neg" localSheetId="17" hidden="1">1</definedName>
    <definedName name="solver_neg" localSheetId="3" hidden="1">1</definedName>
    <definedName name="solver_neg" localSheetId="0" hidden="1">1</definedName>
    <definedName name="solver_neg" localSheetId="6" hidden="1">1</definedName>
    <definedName name="solver_nod" localSheetId="3" hidden="1">2147483647</definedName>
    <definedName name="solver_nod" localSheetId="0" hidden="1">2147483647</definedName>
    <definedName name="solver_nod" localSheetId="6" hidden="1">2147483647</definedName>
    <definedName name="solver_num" localSheetId="17" hidden="1">0</definedName>
    <definedName name="solver_num" localSheetId="3" hidden="1">0</definedName>
    <definedName name="solver_num" localSheetId="0" hidden="1">0</definedName>
    <definedName name="solver_num" localSheetId="6" hidden="1">3</definedName>
    <definedName name="solver_nwt" localSheetId="3" hidden="1">1</definedName>
    <definedName name="solver_nwt" localSheetId="0" hidden="1">1</definedName>
    <definedName name="solver_nwt" localSheetId="6" hidden="1">1</definedName>
    <definedName name="solver_opt" localSheetId="17" hidden="1">GPHRMCY!$I$12</definedName>
    <definedName name="solver_opt" localSheetId="3" hidden="1">Sensitivity!$F$6</definedName>
    <definedName name="solver_opt" localSheetId="0" hidden="1">'Sensitivity - Template'!$F$6</definedName>
    <definedName name="solver_opt" localSheetId="6" hidden="1">VAC_Optim_Scenario!$B$9</definedName>
    <definedName name="solver_pre" localSheetId="3" hidden="1">0.000001</definedName>
    <definedName name="solver_pre" localSheetId="0" hidden="1">0.000001</definedName>
    <definedName name="solver_pre" localSheetId="6" hidden="1">0.00000001</definedName>
    <definedName name="solver_rbv" localSheetId="3" hidden="1">1</definedName>
    <definedName name="solver_rbv" localSheetId="0" hidden="1">1</definedName>
    <definedName name="solver_rbv" localSheetId="6" hidden="1">1</definedName>
    <definedName name="solver_rel0" localSheetId="6" hidden="1">3</definedName>
    <definedName name="solver_rel1" localSheetId="6" hidden="1">2</definedName>
    <definedName name="solver_rel2" localSheetId="6" hidden="1">1</definedName>
    <definedName name="solver_rel3" localSheetId="6" hidden="1">3</definedName>
    <definedName name="solver_rel4" localSheetId="6" hidden="1">3</definedName>
    <definedName name="solver_rel5" localSheetId="6" hidden="1">2</definedName>
    <definedName name="solver_rhs0" localSheetId="6" hidden="1">VAC_Optim_Scenario!$C$12</definedName>
    <definedName name="solver_rhs1" localSheetId="6" hidden="1">VAC_Optim_Scenario!$I$27</definedName>
    <definedName name="solver_rhs2" localSheetId="6" hidden="1">VAC_Optim_Scenario!$H$17:$H$26</definedName>
    <definedName name="solver_rhs3" localSheetId="6" hidden="1">VAC_Optim_Scenario!$G$17:$G$26</definedName>
    <definedName name="solver_rhs4" localSheetId="6" hidden="1">VAC_Optim_Scenario!$C$12</definedName>
    <definedName name="solver_rhs5" localSheetId="6" hidden="1">VAC_Optim_Scenario!#REF!</definedName>
    <definedName name="solver_rlx" localSheetId="3" hidden="1">2</definedName>
    <definedName name="solver_rlx" localSheetId="0" hidden="1">2</definedName>
    <definedName name="solver_rlx" localSheetId="6" hidden="1">2</definedName>
    <definedName name="solver_rsd" localSheetId="3" hidden="1">0</definedName>
    <definedName name="solver_rsd" localSheetId="0" hidden="1">0</definedName>
    <definedName name="solver_rsd" localSheetId="6" hidden="1">0</definedName>
    <definedName name="solver_scl" localSheetId="3" hidden="1">1</definedName>
    <definedName name="solver_scl" localSheetId="0" hidden="1">1</definedName>
    <definedName name="solver_scl" localSheetId="6" hidden="1">1</definedName>
    <definedName name="solver_sho" localSheetId="3" hidden="1">2</definedName>
    <definedName name="solver_sho" localSheetId="0" hidden="1">2</definedName>
    <definedName name="solver_sho" localSheetId="6" hidden="1">2</definedName>
    <definedName name="solver_ssz" localSheetId="3" hidden="1">100</definedName>
    <definedName name="solver_ssz" localSheetId="0" hidden="1">100</definedName>
    <definedName name="solver_ssz" localSheetId="6" hidden="1">100</definedName>
    <definedName name="solver_tim" localSheetId="3" hidden="1">2147483647</definedName>
    <definedName name="solver_tim" localSheetId="0" hidden="1">2147483647</definedName>
    <definedName name="solver_tim" localSheetId="6" hidden="1">2147483647</definedName>
    <definedName name="solver_tol" localSheetId="3" hidden="1">0.01</definedName>
    <definedName name="solver_tol" localSheetId="0" hidden="1">0.01</definedName>
    <definedName name="solver_tol" localSheetId="6" hidden="1">0.01</definedName>
    <definedName name="solver_typ" localSheetId="17" hidden="1">1</definedName>
    <definedName name="solver_typ" localSheetId="3" hidden="1">1</definedName>
    <definedName name="solver_typ" localSheetId="0" hidden="1">1</definedName>
    <definedName name="solver_typ" localSheetId="6" hidden="1">1</definedName>
    <definedName name="solver_val" localSheetId="17" hidden="1">0</definedName>
    <definedName name="solver_val" localSheetId="3" hidden="1">0</definedName>
    <definedName name="solver_val" localSheetId="0" hidden="1">0</definedName>
    <definedName name="solver_val" localSheetId="6" hidden="1">0</definedName>
    <definedName name="solver_ver" localSheetId="17" hidden="1">3</definedName>
    <definedName name="solver_ver" localSheetId="3" hidden="1">3</definedName>
    <definedName name="solver_ver" localSheetId="0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8" i="51" l="1"/>
  <c r="G30" i="51" s="1"/>
  <c r="G29" i="51"/>
  <c r="D13" i="80"/>
  <c r="D12" i="80"/>
  <c r="D11" i="80"/>
  <c r="D10" i="80"/>
  <c r="D9" i="80"/>
  <c r="D8" i="80"/>
  <c r="D7" i="80"/>
  <c r="D6" i="80"/>
  <c r="D4" i="80"/>
  <c r="D5" i="80"/>
  <c r="A24" i="79"/>
  <c r="A25" i="79"/>
  <c r="A26" i="79"/>
  <c r="A27" i="79"/>
  <c r="A28" i="79"/>
  <c r="A29" i="79"/>
  <c r="A30" i="79"/>
  <c r="A31" i="79"/>
  <c r="A32" i="79"/>
  <c r="A23" i="79"/>
  <c r="Q12" i="80" a="1"/>
  <c r="R9" i="80" a="1"/>
  <c r="R11" i="80" a="1"/>
  <c r="Q10" i="80" a="1"/>
  <c r="R4" i="80" a="1"/>
  <c r="R8" i="80" a="1"/>
  <c r="R13" i="80" a="1"/>
  <c r="R5" i="80" a="1"/>
  <c r="R10" i="80" a="1"/>
  <c r="Q6" i="80" a="1"/>
  <c r="Q11" i="80" a="1"/>
  <c r="Q4" i="80" a="1"/>
  <c r="R6" i="80" a="1"/>
  <c r="Q5" i="80" a="1"/>
  <c r="R7" i="80" a="1"/>
  <c r="R12" i="80" a="1"/>
  <c r="Q7" i="80" a="1"/>
  <c r="Q13" i="80" a="1"/>
  <c r="Q9" i="80" a="1"/>
  <c r="Q8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Q4" i="80"/>
  <c r="L6" i="80"/>
  <c r="L13" i="80"/>
  <c r="L11" i="80"/>
  <c r="L9" i="80"/>
  <c r="B42" i="91" l="1"/>
  <c r="C42" i="91" s="1"/>
  <c r="B43" i="91"/>
  <c r="C43" i="91" s="1"/>
  <c r="B44" i="91"/>
  <c r="C44" i="91" s="1"/>
  <c r="B45" i="91"/>
  <c r="C45" i="91" s="1"/>
  <c r="A45" i="91"/>
  <c r="A44" i="91"/>
  <c r="A43" i="91"/>
  <c r="A42" i="91"/>
  <c r="L5" i="80"/>
  <c r="L7" i="80"/>
  <c r="L4" i="80"/>
  <c r="L12" i="80"/>
  <c r="L10" i="80"/>
  <c r="L8" i="80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F12" i="92" l="1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G27" i="23"/>
  <c r="H18" i="23"/>
  <c r="H19" i="23"/>
  <c r="H20" i="23"/>
  <c r="H21" i="23"/>
  <c r="H22" i="23"/>
  <c r="H23" i="23"/>
  <c r="H24" i="23"/>
  <c r="H25" i="23"/>
  <c r="H26" i="23"/>
  <c r="H17" i="23"/>
  <c r="G18" i="23"/>
  <c r="G19" i="23"/>
  <c r="G20" i="23"/>
  <c r="G21" i="23"/>
  <c r="G22" i="23"/>
  <c r="G23" i="23"/>
  <c r="G24" i="23"/>
  <c r="G25" i="23"/>
  <c r="G26" i="23"/>
  <c r="G17" i="23"/>
  <c r="A47" i="90" l="1"/>
  <c r="A48" i="90" s="1"/>
  <c r="A49" i="90" s="1"/>
  <c r="A50" i="90" s="1"/>
  <c r="A43" i="90"/>
  <c r="A44" i="90" s="1"/>
  <c r="A45" i="90" s="1"/>
  <c r="A46" i="90" s="1"/>
  <c r="C30" i="23"/>
  <c r="K30" i="23" s="1"/>
  <c r="A42" i="90"/>
  <c r="A43" i="50"/>
  <c r="A44" i="50" s="1"/>
  <c r="A45" i="50" s="1"/>
  <c r="A46" i="50" s="1"/>
  <c r="A47" i="50" s="1"/>
  <c r="G29" i="23" l="1"/>
  <c r="H29" i="23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C40" i="90" l="1"/>
  <c r="A41" i="90"/>
  <c r="C41" i="90" s="1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A26" i="88"/>
  <c r="A27" i="88" l="1"/>
  <c r="B26" i="88"/>
  <c r="C26" i="88" s="1"/>
  <c r="B27" i="88" l="1"/>
  <c r="C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P32" i="79" l="1"/>
  <c r="O32" i="79"/>
  <c r="N32" i="79"/>
  <c r="L32" i="79"/>
  <c r="K32" i="79"/>
  <c r="J32" i="79"/>
  <c r="B32" i="79"/>
  <c r="H53" i="79"/>
  <c r="F53" i="79"/>
  <c r="J53" i="79"/>
  <c r="L53" i="79"/>
  <c r="M53" i="79"/>
  <c r="R57" i="79"/>
  <c r="L68" i="79"/>
  <c r="K68" i="79"/>
  <c r="J68" i="79"/>
  <c r="L67" i="79"/>
  <c r="K67" i="79"/>
  <c r="J67" i="79"/>
  <c r="L66" i="79"/>
  <c r="K66" i="79"/>
  <c r="J66" i="79"/>
  <c r="L65" i="79"/>
  <c r="K65" i="79"/>
  <c r="J65" i="79"/>
  <c r="L64" i="79"/>
  <c r="K64" i="79"/>
  <c r="J64" i="79"/>
  <c r="L63" i="79"/>
  <c r="K63" i="79"/>
  <c r="J63" i="79"/>
  <c r="L62" i="79"/>
  <c r="K62" i="79"/>
  <c r="J62" i="79"/>
  <c r="L61" i="79"/>
  <c r="K61" i="79"/>
  <c r="J61" i="79"/>
  <c r="L60" i="79"/>
  <c r="K60" i="79"/>
  <c r="J60" i="79"/>
  <c r="L59" i="79"/>
  <c r="K59" i="79"/>
  <c r="J59" i="79"/>
  <c r="H68" i="79"/>
  <c r="G68" i="79"/>
  <c r="F68" i="79"/>
  <c r="H67" i="79"/>
  <c r="G67" i="79"/>
  <c r="F67" i="79"/>
  <c r="H66" i="79"/>
  <c r="G66" i="79"/>
  <c r="F66" i="79"/>
  <c r="H65" i="79"/>
  <c r="G65" i="79"/>
  <c r="F65" i="79"/>
  <c r="H64" i="79"/>
  <c r="G64" i="79"/>
  <c r="F64" i="79"/>
  <c r="H63" i="79"/>
  <c r="G63" i="79"/>
  <c r="F63" i="79"/>
  <c r="H62" i="79"/>
  <c r="G62" i="79"/>
  <c r="F62" i="79"/>
  <c r="H61" i="79"/>
  <c r="G61" i="79"/>
  <c r="F61" i="79"/>
  <c r="H60" i="79"/>
  <c r="G60" i="79"/>
  <c r="F60" i="79"/>
  <c r="C8" i="79" l="1"/>
  <c r="C44" i="79" s="1"/>
  <c r="C60" i="79" s="1"/>
  <c r="C9" i="79"/>
  <c r="C45" i="79" s="1"/>
  <c r="C61" i="79" s="1"/>
  <c r="C10" i="79"/>
  <c r="C46" i="79" s="1"/>
  <c r="C62" i="79" s="1"/>
  <c r="C11" i="79"/>
  <c r="C47" i="79" s="1"/>
  <c r="C63" i="79" s="1"/>
  <c r="C12" i="79"/>
  <c r="C48" i="79" s="1"/>
  <c r="C64" i="79" s="1"/>
  <c r="C13" i="79"/>
  <c r="C49" i="79" s="1"/>
  <c r="C65" i="79" s="1"/>
  <c r="C14" i="79"/>
  <c r="C50" i="79" s="1"/>
  <c r="C66" i="79" s="1"/>
  <c r="C15" i="79"/>
  <c r="C51" i="79" s="1"/>
  <c r="C67" i="79" s="1"/>
  <c r="C16" i="79"/>
  <c r="B8" i="79"/>
  <c r="B44" i="79" s="1"/>
  <c r="B60" i="79" s="1"/>
  <c r="B9" i="79"/>
  <c r="B45" i="79" s="1"/>
  <c r="B61" i="79" s="1"/>
  <c r="B10" i="79"/>
  <c r="B46" i="79" s="1"/>
  <c r="B62" i="79" s="1"/>
  <c r="B11" i="79"/>
  <c r="B47" i="79" s="1"/>
  <c r="B63" i="79" s="1"/>
  <c r="B12" i="79"/>
  <c r="B48" i="79" s="1"/>
  <c r="B64" i="79" s="1"/>
  <c r="B13" i="79"/>
  <c r="B49" i="79" s="1"/>
  <c r="B65" i="79" s="1"/>
  <c r="B14" i="79"/>
  <c r="B50" i="79" s="1"/>
  <c r="B66" i="79" s="1"/>
  <c r="B15" i="79"/>
  <c r="B51" i="79" s="1"/>
  <c r="B67" i="79" s="1"/>
  <c r="B16" i="79"/>
  <c r="B52" i="79" s="1"/>
  <c r="B68" i="79" s="1"/>
  <c r="E29" i="23"/>
  <c r="C52" i="79" l="1"/>
  <c r="C68" i="79" s="1"/>
  <c r="C32" i="79"/>
  <c r="E27" i="23"/>
  <c r="E28" i="23" l="1"/>
  <c r="I27" i="23"/>
  <c r="I29" i="23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S68" i="79" l="1"/>
  <c r="X52" i="79"/>
  <c r="Y52" i="79" s="1"/>
  <c r="K45" i="23"/>
  <c r="M45" i="23" s="1"/>
  <c r="Z16" i="79"/>
  <c r="AA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R68" i="79"/>
  <c r="G32" i="79"/>
  <c r="F32" i="79"/>
  <c r="S32" i="79"/>
  <c r="R32" i="79"/>
  <c r="W32" i="79"/>
  <c r="V32" i="79"/>
  <c r="O68" i="79"/>
  <c r="N68" i="79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C23" i="94"/>
  <c r="C24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V21" i="79"/>
  <c r="R21" i="79"/>
  <c r="B24" i="79"/>
  <c r="B25" i="79"/>
  <c r="B26" i="79"/>
  <c r="B27" i="79"/>
  <c r="B28" i="79"/>
  <c r="B29" i="79"/>
  <c r="B30" i="79"/>
  <c r="B31" i="79"/>
  <c r="B7" i="79"/>
  <c r="B43" i="79" s="1"/>
  <c r="B59" i="79" s="1"/>
  <c r="C7" i="79"/>
  <c r="D25" i="94" l="1"/>
  <c r="C22" i="94"/>
  <c r="C31" i="94"/>
  <c r="D31" i="94"/>
  <c r="C37" i="94"/>
  <c r="C39" i="94"/>
  <c r="C42" i="94"/>
  <c r="E28" i="94"/>
  <c r="D23" i="94"/>
  <c r="E23" i="94"/>
  <c r="D38" i="94"/>
  <c r="C38" i="94"/>
  <c r="T68" i="79"/>
  <c r="H32" i="79"/>
  <c r="T32" i="79"/>
  <c r="X32" i="79"/>
  <c r="D33" i="94"/>
  <c r="P68" i="79"/>
  <c r="E11" i="80"/>
  <c r="J11" i="80" s="1"/>
  <c r="K11" i="80" s="1"/>
  <c r="D28" i="94"/>
  <c r="Z52" i="79"/>
  <c r="C17" i="79"/>
  <c r="C33" i="79" s="1"/>
  <c r="C43" i="79"/>
  <c r="C53" i="79" s="1"/>
  <c r="C69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AB16" i="79"/>
  <c r="C25" i="79"/>
  <c r="C27" i="79"/>
  <c r="C26" i="79"/>
  <c r="C28" i="79"/>
  <c r="C29" i="79"/>
  <c r="C30" i="79"/>
  <c r="C31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L24" i="23" s="1"/>
  <c r="N24" i="23" s="1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F45" i="23" l="1"/>
  <c r="G45" i="23" s="1"/>
  <c r="E13" i="80"/>
  <c r="J13" i="80" s="1"/>
  <c r="K13" i="80" s="1"/>
  <c r="L26" i="23"/>
  <c r="N26" i="23" s="1"/>
  <c r="L21" i="23"/>
  <c r="N21" i="23" s="1"/>
  <c r="I28" i="23"/>
  <c r="F13" i="80" l="1"/>
  <c r="G13" i="80" s="1"/>
  <c r="O45" i="23"/>
  <c r="D16" i="79"/>
  <c r="D52" i="79" s="1"/>
  <c r="D68" i="79" s="1"/>
  <c r="L45" i="23"/>
  <c r="N45" i="23" s="1"/>
  <c r="H13" i="80"/>
  <c r="I13" i="80"/>
  <c r="F25" i="80" s="1"/>
  <c r="E8" i="80"/>
  <c r="J8" i="80" s="1"/>
  <c r="K8" i="80" s="1"/>
  <c r="D32" i="79" l="1"/>
  <c r="I8" i="80"/>
  <c r="F24" i="80" s="1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S63" i="79" l="1"/>
  <c r="H27" i="79"/>
  <c r="T27" i="79"/>
  <c r="X27" i="79"/>
  <c r="T63" i="79"/>
  <c r="G27" i="79"/>
  <c r="X47" i="79"/>
  <c r="Y47" i="79" s="1"/>
  <c r="P63" i="79"/>
  <c r="Z47" i="79"/>
  <c r="L27" i="79"/>
  <c r="P27" i="79"/>
  <c r="G40" i="23"/>
  <c r="L40" i="23" s="1"/>
  <c r="N40" i="23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G23" i="81"/>
  <c r="P23" i="81" s="1"/>
  <c r="I23" i="81"/>
  <c r="R23" i="81" s="1"/>
  <c r="E23" i="81"/>
  <c r="N23" i="81" s="1"/>
  <c r="R9" i="81"/>
  <c r="P9" i="81"/>
  <c r="E9" i="81"/>
  <c r="N9" i="81" s="1"/>
  <c r="Z11" i="79"/>
  <c r="AA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O40" i="23" l="1"/>
  <c r="R63" i="79"/>
  <c r="O63" i="79"/>
  <c r="N63" i="79"/>
  <c r="F8" i="80"/>
  <c r="D11" i="79"/>
  <c r="D47" i="79" s="1"/>
  <c r="D63" i="79" s="1"/>
  <c r="W27" i="79"/>
  <c r="V27" i="79"/>
  <c r="K27" i="79"/>
  <c r="J27" i="79"/>
  <c r="O27" i="79"/>
  <c r="N27" i="79"/>
  <c r="S27" i="79"/>
  <c r="R27" i="79"/>
  <c r="F27" i="79"/>
  <c r="H14" i="48"/>
  <c r="G14" i="48"/>
  <c r="D27" i="79" l="1"/>
  <c r="G8" i="80"/>
  <c r="E9" i="80"/>
  <c r="J9" i="80" l="1"/>
  <c r="K9" i="80" s="1"/>
  <c r="I9" i="80"/>
  <c r="H9" i="80"/>
  <c r="F38" i="23" l="1"/>
  <c r="E6" i="80"/>
  <c r="J6" i="80" s="1"/>
  <c r="K6" i="80" s="1"/>
  <c r="H6" i="80" l="1"/>
  <c r="I6" i="80"/>
  <c r="O35" i="81" l="1"/>
  <c r="O34" i="81"/>
  <c r="O33" i="81"/>
  <c r="O32" i="81"/>
  <c r="O31" i="81"/>
  <c r="F20" i="79"/>
  <c r="F56" i="79"/>
  <c r="N57" i="79"/>
  <c r="J57" i="79"/>
  <c r="F57" i="79"/>
  <c r="N21" i="79"/>
  <c r="J21" i="79"/>
  <c r="F21" i="79"/>
  <c r="B23" i="79"/>
  <c r="C59" i="79" l="1"/>
  <c r="C23" i="79"/>
  <c r="B3" i="79"/>
  <c r="D18" i="78"/>
  <c r="D17" i="78"/>
  <c r="G16" i="78"/>
  <c r="D16" i="78"/>
  <c r="G15" i="78"/>
  <c r="D15" i="78"/>
  <c r="G14" i="78"/>
  <c r="D14" i="78"/>
  <c r="C8" i="78" l="1"/>
  <c r="E6" i="78" l="1"/>
  <c r="C6" i="78" s="1"/>
  <c r="E10" i="78"/>
  <c r="C10" i="78" s="1"/>
  <c r="L8" i="78"/>
  <c r="E8" i="78"/>
  <c r="C16" i="78"/>
  <c r="E7" i="78"/>
  <c r="C7" i="78" s="1"/>
  <c r="E9" i="78"/>
  <c r="C9" i="78" s="1"/>
  <c r="C17" i="78" l="1"/>
  <c r="E16" i="78" s="1"/>
  <c r="I16" i="78" s="1"/>
  <c r="L9" i="78"/>
  <c r="C18" i="78"/>
  <c r="L7" i="78"/>
  <c r="C15" i="78"/>
  <c r="E15" i="78" s="1"/>
  <c r="I15" i="78" s="1"/>
  <c r="C14" i="78"/>
  <c r="L6" i="78"/>
  <c r="E10" i="80"/>
  <c r="J10" i="80" s="1"/>
  <c r="K10" i="80" s="1"/>
  <c r="E14" i="78" l="1"/>
  <c r="I14" i="78" s="1"/>
  <c r="E17" i="78"/>
  <c r="I10" i="80"/>
  <c r="H10" i="80"/>
  <c r="E12" i="80" l="1"/>
  <c r="J12" i="80" s="1"/>
  <c r="K12" i="80" s="1"/>
  <c r="H12" i="80" l="1"/>
  <c r="I12" i="80"/>
  <c r="H11" i="80"/>
  <c r="I11" i="80"/>
  <c r="B12" i="23" l="1"/>
  <c r="D12" i="23" s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S61" i="79" l="1"/>
  <c r="G25" i="79"/>
  <c r="S65" i="79"/>
  <c r="G29" i="79"/>
  <c r="S30" i="79"/>
  <c r="W30" i="79"/>
  <c r="S64" i="79"/>
  <c r="G28" i="79"/>
  <c r="S67" i="79"/>
  <c r="G31" i="79"/>
  <c r="G26" i="79"/>
  <c r="G30" i="79"/>
  <c r="S62" i="79"/>
  <c r="X49" i="79"/>
  <c r="Y49" i="79" s="1"/>
  <c r="X45" i="79"/>
  <c r="Y45" i="79" s="1"/>
  <c r="X50" i="79"/>
  <c r="Y50" i="79" s="1"/>
  <c r="X48" i="79"/>
  <c r="Y48" i="79" s="1"/>
  <c r="X51" i="79"/>
  <c r="Y51" i="79" s="1"/>
  <c r="X46" i="79"/>
  <c r="Y46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Z13" i="79"/>
  <c r="AA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Z15" i="79"/>
  <c r="AA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Z14" i="79"/>
  <c r="AA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Z9" i="79"/>
  <c r="AA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Z10" i="79"/>
  <c r="AA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R65" i="79" l="1"/>
  <c r="R64" i="79"/>
  <c r="N65" i="79"/>
  <c r="N61" i="79"/>
  <c r="R66" i="79"/>
  <c r="R67" i="79"/>
  <c r="R61" i="79"/>
  <c r="N62" i="79"/>
  <c r="N67" i="79"/>
  <c r="N64" i="79"/>
  <c r="R62" i="79"/>
  <c r="N66" i="79"/>
  <c r="O67" i="79"/>
  <c r="O61" i="79"/>
  <c r="O62" i="79"/>
  <c r="O65" i="79"/>
  <c r="O64" i="79"/>
  <c r="N28" i="79"/>
  <c r="V30" i="79"/>
  <c r="S31" i="79"/>
  <c r="R31" i="79"/>
  <c r="S28" i="79"/>
  <c r="R28" i="79"/>
  <c r="J26" i="79"/>
  <c r="K30" i="79"/>
  <c r="J30" i="79"/>
  <c r="O31" i="79"/>
  <c r="N31" i="79"/>
  <c r="K28" i="79"/>
  <c r="J28" i="79"/>
  <c r="R30" i="79"/>
  <c r="O26" i="79"/>
  <c r="N26" i="79"/>
  <c r="F30" i="79"/>
  <c r="W31" i="79"/>
  <c r="V31" i="79"/>
  <c r="J29" i="79"/>
  <c r="F26" i="79"/>
  <c r="F25" i="79"/>
  <c r="K31" i="79"/>
  <c r="J31" i="79"/>
  <c r="F29" i="79"/>
  <c r="W26" i="79"/>
  <c r="V26" i="79"/>
  <c r="W25" i="79"/>
  <c r="V25" i="79"/>
  <c r="F31" i="79"/>
  <c r="O29" i="79"/>
  <c r="N29" i="79"/>
  <c r="N25" i="79"/>
  <c r="S26" i="79"/>
  <c r="R26" i="79"/>
  <c r="S25" i="79"/>
  <c r="R25" i="79"/>
  <c r="F28" i="79"/>
  <c r="W29" i="79"/>
  <c r="V29" i="79"/>
  <c r="O30" i="79"/>
  <c r="N30" i="79"/>
  <c r="K25" i="79"/>
  <c r="J25" i="79"/>
  <c r="W28" i="79"/>
  <c r="V28" i="79"/>
  <c r="S29" i="79"/>
  <c r="R29" i="79"/>
  <c r="O25" i="79"/>
  <c r="K26" i="79"/>
  <c r="K29" i="79"/>
  <c r="O28" i="79"/>
  <c r="G9" i="50"/>
  <c r="G9" i="51"/>
  <c r="C9" i="92" l="1"/>
  <c r="B9" i="92"/>
  <c r="I43" i="23" l="1"/>
  <c r="I42" i="23"/>
  <c r="I41" i="23" l="1"/>
  <c r="I39" i="23"/>
  <c r="J39" i="23" s="1"/>
  <c r="E7" i="80"/>
  <c r="J7" i="80" s="1"/>
  <c r="K7" i="80" s="1"/>
  <c r="F42" i="23"/>
  <c r="F43" i="23"/>
  <c r="T26" i="79" l="1"/>
  <c r="T62" i="79"/>
  <c r="H26" i="79"/>
  <c r="X26" i="79"/>
  <c r="P62" i="79"/>
  <c r="Z46" i="79"/>
  <c r="P26" i="79"/>
  <c r="L26" i="79"/>
  <c r="H7" i="80"/>
  <c r="I7" i="80"/>
  <c r="F26" i="80" s="1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F19" i="80" l="1"/>
  <c r="H37" i="23"/>
  <c r="H36" i="23"/>
  <c r="C37" i="23"/>
  <c r="D37" i="23"/>
  <c r="B37" i="23"/>
  <c r="B36" i="23"/>
  <c r="A37" i="23"/>
  <c r="A36" i="23"/>
  <c r="S60" i="79" l="1"/>
  <c r="G24" i="79"/>
  <c r="G23" i="79"/>
  <c r="N59" i="79"/>
  <c r="X44" i="79"/>
  <c r="Y44" i="79" s="1"/>
  <c r="X43" i="79"/>
  <c r="Y43" i="79" s="1"/>
  <c r="H46" i="23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R59" i="79" l="1"/>
  <c r="N60" i="79"/>
  <c r="R60" i="79"/>
  <c r="O59" i="79"/>
  <c r="N53" i="79"/>
  <c r="O53" i="79" s="1"/>
  <c r="S59" i="79"/>
  <c r="R53" i="79"/>
  <c r="S53" i="79" s="1"/>
  <c r="S69" i="79" s="1"/>
  <c r="Z17" i="79"/>
  <c r="AA17" i="79" s="1"/>
  <c r="O60" i="79"/>
  <c r="G59" i="79"/>
  <c r="F59" i="79"/>
  <c r="J24" i="79"/>
  <c r="O24" i="79"/>
  <c r="N24" i="79"/>
  <c r="F24" i="79"/>
  <c r="N17" i="79"/>
  <c r="O17" i="79" s="1"/>
  <c r="O23" i="79"/>
  <c r="N23" i="79"/>
  <c r="R17" i="79"/>
  <c r="S17" i="79" s="1"/>
  <c r="S33" i="79" s="1"/>
  <c r="R23" i="79"/>
  <c r="K23" i="79"/>
  <c r="J17" i="79"/>
  <c r="K17" i="79" s="1"/>
  <c r="J23" i="79"/>
  <c r="W24" i="79"/>
  <c r="V24" i="79"/>
  <c r="F17" i="79"/>
  <c r="S24" i="79"/>
  <c r="R24" i="79"/>
  <c r="W23" i="79"/>
  <c r="V17" i="79"/>
  <c r="W17" i="79" s="1"/>
  <c r="W33" i="79" s="1"/>
  <c r="V23" i="79"/>
  <c r="K24" i="79"/>
  <c r="F23" i="79"/>
  <c r="S23" i="79"/>
  <c r="J42" i="23"/>
  <c r="J43" i="23"/>
  <c r="J41" i="23"/>
  <c r="G41" i="23"/>
  <c r="G42" i="23"/>
  <c r="D13" i="79" s="1"/>
  <c r="D49" i="79" s="1"/>
  <c r="D65" i="79" s="1"/>
  <c r="G39" i="23"/>
  <c r="G43" i="23"/>
  <c r="O43" i="23" l="1"/>
  <c r="D14" i="79"/>
  <c r="D50" i="79" s="1"/>
  <c r="D66" i="79" s="1"/>
  <c r="D50" i="23"/>
  <c r="O42" i="23"/>
  <c r="O41" i="23"/>
  <c r="D10" i="79"/>
  <c r="D46" i="79" s="1"/>
  <c r="D62" i="79" s="1"/>
  <c r="O39" i="23"/>
  <c r="T30" i="79"/>
  <c r="X30" i="79"/>
  <c r="T66" i="79"/>
  <c r="H29" i="79"/>
  <c r="T29" i="79"/>
  <c r="X29" i="79"/>
  <c r="T65" i="79"/>
  <c r="X28" i="79"/>
  <c r="T64" i="79"/>
  <c r="H28" i="79"/>
  <c r="T28" i="79"/>
  <c r="R69" i="79"/>
  <c r="G17" i="79"/>
  <c r="G33" i="79" s="1"/>
  <c r="F33" i="79"/>
  <c r="P64" i="79"/>
  <c r="P65" i="79"/>
  <c r="F11" i="80"/>
  <c r="G11" i="80" s="1"/>
  <c r="P66" i="79"/>
  <c r="Z50" i="79"/>
  <c r="Z48" i="79"/>
  <c r="Z49" i="79"/>
  <c r="N69" i="79"/>
  <c r="O69" i="79"/>
  <c r="J69" i="79"/>
  <c r="K53" i="79"/>
  <c r="K69" i="79" s="1"/>
  <c r="F69" i="79"/>
  <c r="G53" i="79"/>
  <c r="G69" i="79" s="1"/>
  <c r="F9" i="80"/>
  <c r="D12" i="79"/>
  <c r="D48" i="79" s="1"/>
  <c r="D64" i="79" s="1"/>
  <c r="R33" i="79"/>
  <c r="H30" i="79"/>
  <c r="L30" i="79"/>
  <c r="P30" i="79"/>
  <c r="V33" i="79"/>
  <c r="L29" i="79"/>
  <c r="P29" i="79"/>
  <c r="L28" i="79"/>
  <c r="P28" i="79"/>
  <c r="D30" i="79"/>
  <c r="F10" i="80"/>
  <c r="G10" i="80" s="1"/>
  <c r="D29" i="79"/>
  <c r="F7" i="80"/>
  <c r="G7" i="80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I24" i="81"/>
  <c r="R24" i="81" s="1"/>
  <c r="E24" i="81"/>
  <c r="N24" i="81" s="1"/>
  <c r="R10" i="81"/>
  <c r="P10" i="81"/>
  <c r="E10" i="81"/>
  <c r="N10" i="81" s="1"/>
  <c r="G24" i="81"/>
  <c r="P24" i="81" s="1"/>
  <c r="AB14" i="79"/>
  <c r="I26" i="81"/>
  <c r="R26" i="81" s="1"/>
  <c r="E26" i="81"/>
  <c r="N26" i="81" s="1"/>
  <c r="R12" i="81"/>
  <c r="G26" i="81"/>
  <c r="P26" i="81" s="1"/>
  <c r="P12" i="81"/>
  <c r="E12" i="81"/>
  <c r="N12" i="81" s="1"/>
  <c r="AB13" i="79"/>
  <c r="G25" i="81"/>
  <c r="P25" i="81" s="1"/>
  <c r="P11" i="81"/>
  <c r="E11" i="81"/>
  <c r="N11" i="81" s="1"/>
  <c r="I25" i="81"/>
  <c r="R25" i="81" s="1"/>
  <c r="E25" i="81"/>
  <c r="N25" i="81" s="1"/>
  <c r="R11" i="81"/>
  <c r="N33" i="79"/>
  <c r="O33" i="79"/>
  <c r="J33" i="79"/>
  <c r="K33" i="79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D26" i="79" l="1"/>
  <c r="G9" i="80"/>
  <c r="T31" i="79"/>
  <c r="T67" i="79"/>
  <c r="X31" i="79"/>
  <c r="H31" i="79"/>
  <c r="P67" i="79"/>
  <c r="D28" i="79"/>
  <c r="Z51" i="79"/>
  <c r="P31" i="79"/>
  <c r="L31" i="79"/>
  <c r="G44" i="23"/>
  <c r="D15" i="79" s="1"/>
  <c r="D51" i="79" s="1"/>
  <c r="D67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G27" i="81"/>
  <c r="P27" i="81" s="1"/>
  <c r="I27" i="81"/>
  <c r="R27" i="81" s="1"/>
  <c r="E27" i="81"/>
  <c r="N27" i="81" s="1"/>
  <c r="R13" i="81"/>
  <c r="P13" i="81"/>
  <c r="E13" i="81"/>
  <c r="N13" i="81" s="1"/>
  <c r="F12" i="80" l="1"/>
  <c r="G12" i="80" s="1"/>
  <c r="L44" i="23"/>
  <c r="N44" i="23" s="1"/>
  <c r="D31" i="79"/>
  <c r="O44" i="23"/>
  <c r="C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I36" i="23"/>
  <c r="J9" i="48"/>
  <c r="J9" i="51"/>
  <c r="E4" i="80"/>
  <c r="J4" i="80" s="1"/>
  <c r="K4" i="80" s="1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F6" i="80" l="1"/>
  <c r="G6" i="80" s="1"/>
  <c r="D9" i="79"/>
  <c r="D45" i="79" s="1"/>
  <c r="D61" i="79" s="1"/>
  <c r="N17" i="23"/>
  <c r="I4" i="80"/>
  <c r="F21" i="80" s="1"/>
  <c r="H4" i="80"/>
  <c r="F36" i="23"/>
  <c r="J36" i="23"/>
  <c r="T59" i="79" l="1"/>
  <c r="T61" i="79"/>
  <c r="H25" i="79"/>
  <c r="T25" i="79"/>
  <c r="X25" i="79"/>
  <c r="Z43" i="79"/>
  <c r="P59" i="79"/>
  <c r="P61" i="79"/>
  <c r="P25" i="79"/>
  <c r="L25" i="79"/>
  <c r="G36" i="23"/>
  <c r="F4" i="80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F22" i="80"/>
  <c r="F23" i="80"/>
  <c r="D25" i="79"/>
  <c r="C3" i="79"/>
  <c r="I19" i="81"/>
  <c r="R19" i="81" s="1"/>
  <c r="E19" i="81"/>
  <c r="N19" i="81" s="1"/>
  <c r="R5" i="81"/>
  <c r="E5" i="81"/>
  <c r="N5" i="81" s="1"/>
  <c r="G19" i="81"/>
  <c r="P19" i="81" s="1"/>
  <c r="D7" i="79" l="1"/>
  <c r="D43" i="79" s="1"/>
  <c r="D59" i="79" s="1"/>
  <c r="O36" i="23"/>
  <c r="G4" i="80"/>
  <c r="H59" i="79"/>
  <c r="D23" i="79"/>
  <c r="X23" i="79"/>
  <c r="T23" i="79"/>
  <c r="L23" i="79"/>
  <c r="P23" i="79"/>
  <c r="H23" i="79"/>
  <c r="B9" i="50" l="1"/>
  <c r="B9" i="48"/>
  <c r="C9" i="50"/>
  <c r="C9" i="48"/>
  <c r="G14" i="51" l="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28" i="5"/>
  <c r="B40" i="5"/>
  <c r="B42" i="5"/>
  <c r="B34" i="5"/>
  <c r="B29" i="5"/>
  <c r="B47" i="5"/>
  <c r="B32" i="5"/>
  <c r="B35" i="5"/>
  <c r="B36" i="5"/>
  <c r="B37" i="5"/>
  <c r="B43" i="5"/>
  <c r="B39" i="5"/>
  <c r="B46" i="5"/>
  <c r="B30" i="5"/>
  <c r="B44" i="5"/>
  <c r="B33" i="5"/>
  <c r="E9" i="5"/>
  <c r="B27" i="5"/>
  <c r="B31" i="5"/>
  <c r="B45" i="5"/>
  <c r="B38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F27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9" i="23" l="1"/>
  <c r="J29" i="23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N18" i="23" l="1"/>
  <c r="E5" i="80"/>
  <c r="F37" i="23"/>
  <c r="F46" i="23" s="1"/>
  <c r="F28" i="23"/>
  <c r="J37" i="23"/>
  <c r="J5" i="80" l="1"/>
  <c r="K5" i="80" s="1"/>
  <c r="K14" i="80" s="1"/>
  <c r="E14" i="80"/>
  <c r="I14" i="80" s="1"/>
  <c r="J14" i="80"/>
  <c r="T53" i="79"/>
  <c r="P53" i="79"/>
  <c r="Z44" i="79"/>
  <c r="T60" i="79"/>
  <c r="H5" i="80"/>
  <c r="H14" i="80" s="1"/>
  <c r="I5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s="1"/>
  <c r="F18" i="80"/>
  <c r="O37" i="23" l="1"/>
  <c r="P60" i="79"/>
  <c r="P69" i="79"/>
  <c r="F27" i="80"/>
  <c r="F20" i="80"/>
  <c r="T69" i="79"/>
  <c r="L69" i="79"/>
  <c r="D44" i="79"/>
  <c r="D17" i="79"/>
  <c r="F8" i="78" s="1"/>
  <c r="H69" i="79"/>
  <c r="H24" i="79"/>
  <c r="H17" i="79"/>
  <c r="X24" i="79"/>
  <c r="X17" i="79"/>
  <c r="T24" i="79"/>
  <c r="T17" i="79"/>
  <c r="L24" i="79"/>
  <c r="L17" i="79"/>
  <c r="G9" i="78" s="1"/>
  <c r="P24" i="79"/>
  <c r="P17" i="79"/>
  <c r="G10" i="78" s="1"/>
  <c r="F5" i="80"/>
  <c r="F14" i="80" s="1"/>
  <c r="G46" i="23"/>
  <c r="G49" i="23" s="1"/>
  <c r="L37" i="23"/>
  <c r="G17" i="78" l="1"/>
  <c r="I17" i="78" s="1"/>
  <c r="L10" i="78"/>
  <c r="G5" i="80"/>
  <c r="G14" i="80"/>
  <c r="D60" i="79"/>
  <c r="D53" i="79"/>
  <c r="N37" i="23"/>
  <c r="D24" i="79"/>
  <c r="L13" i="23"/>
  <c r="L33" i="79"/>
  <c r="K9" i="78"/>
  <c r="T33" i="79"/>
  <c r="G7" i="78"/>
  <c r="G6" i="78"/>
  <c r="X33" i="79"/>
  <c r="P33" i="79"/>
  <c r="H33" i="79"/>
  <c r="G8" i="78"/>
  <c r="D54" i="79" l="1"/>
  <c r="D69" i="79"/>
  <c r="T71" i="79" s="1"/>
  <c r="T72" i="79" s="1"/>
  <c r="I10" i="78"/>
  <c r="D18" i="79"/>
  <c r="D33" i="79"/>
  <c r="H35" i="79" s="1"/>
  <c r="F17" i="78"/>
  <c r="H17" i="78" s="1"/>
  <c r="K6" i="78"/>
  <c r="F15" i="78"/>
  <c r="H15" i="78" s="1"/>
  <c r="K8" i="78"/>
  <c r="F16" i="78"/>
  <c r="H16" i="78" s="1"/>
  <c r="K10" i="78"/>
  <c r="K7" i="78"/>
  <c r="F14" i="78"/>
  <c r="H14" i="78" s="1"/>
  <c r="H71" i="79" l="1"/>
  <c r="H72" i="79" s="1"/>
  <c r="L71" i="79"/>
  <c r="L72" i="79" s="1"/>
  <c r="P71" i="79"/>
  <c r="P72" i="79" s="1"/>
  <c r="I7" i="78"/>
  <c r="P35" i="79"/>
  <c r="P36" i="79" s="1"/>
  <c r="T35" i="79"/>
  <c r="T36" i="79" s="1"/>
  <c r="L35" i="79"/>
  <c r="L36" i="79" s="1"/>
  <c r="X35" i="79"/>
  <c r="X36" i="79" s="1"/>
  <c r="H36" i="79"/>
  <c r="J9" i="78"/>
  <c r="J6" i="78"/>
  <c r="J7" i="78"/>
  <c r="J8" i="78"/>
  <c r="J10" i="78"/>
  <c r="I9" i="78"/>
  <c r="I6" i="78"/>
  <c r="I8" i="78"/>
  <c r="F9" i="89"/>
  <c r="J19" i="23" s="1"/>
  <c r="I38" i="23" s="1"/>
  <c r="I46" i="23" l="1"/>
  <c r="J38" i="23"/>
  <c r="J27" i="23"/>
  <c r="L19" i="23"/>
  <c r="L27" i="23" l="1"/>
  <c r="N27" i="23" s="1"/>
  <c r="N19" i="23"/>
  <c r="AB9" i="79"/>
  <c r="AB17" i="79" s="1"/>
  <c r="E21" i="81"/>
  <c r="N21" i="81" s="1"/>
  <c r="G7" i="86"/>
  <c r="P7" i="86" s="1"/>
  <c r="O38" i="23"/>
  <c r="G21" i="81"/>
  <c r="P21" i="81" s="1"/>
  <c r="G21" i="86"/>
  <c r="P21" i="86" s="1"/>
  <c r="L38" i="23"/>
  <c r="E21" i="86"/>
  <c r="N21" i="86" s="1"/>
  <c r="J46" i="23"/>
  <c r="I21" i="81"/>
  <c r="R21" i="81" s="1"/>
  <c r="E7" i="81"/>
  <c r="N7" i="81" s="1"/>
  <c r="Z45" i="79"/>
  <c r="I21" i="86"/>
  <c r="R21" i="86" s="1"/>
  <c r="E7" i="86"/>
  <c r="N7" i="86" s="1"/>
  <c r="I7" i="86"/>
  <c r="R7" i="86" s="1"/>
  <c r="B9" i="23"/>
  <c r="J28" i="23"/>
  <c r="M13" i="23" l="1"/>
  <c r="J49" i="23"/>
  <c r="N38" i="23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<sst xmlns="http://schemas.openxmlformats.org/spreadsheetml/2006/main" count="1249" uniqueCount="301">
  <si>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</si>
  <si>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</si>
  <si>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</si>
  <si>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</si>
  <si>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</si>
  <si>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</si>
  <si>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</si>
  <si>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</si>
  <si>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</si>
  <si>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</si>
  <si>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</si>
  <si>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</si>
  <si>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</si>
  <si>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</si>
  <si>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</si>
  <si>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</si>
  <si>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</si>
  <si>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</si>
  <si>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</si>
  <si>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</si>
  <si>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</si>
  <si>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</si>
  <si>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</si>
  <si>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</si>
  <si>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</si>
  <si>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</si>
  <si>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</si>
  <si>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</si>
  <si>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</si>
  <si>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</si>
  <si>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</si>
  <si>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</si>
  <si>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</si>
  <si>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</si>
  <si>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</si>
  <si>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</si>
  <si>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</si>
  <si>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</si>
  <si>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</si>
  <si>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</si>
  <si>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</si>
  <si>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</si>
  <si>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</si>
  <si>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</si>
  <si>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</si>
  <si>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</si>
  <si>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</si>
  <si>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</si>
  <si>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</si>
  <si>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</si>
  <si>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</si>
  <si>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</si>
  <si>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</si>
  <si>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</si>
  <si>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</si>
  <si>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</si>
  <si>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</si>
  <si>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</si>
  <si>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</si>
  <si>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</si>
  <si>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</si>
  <si>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</si>
  <si>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</si>
  <si>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</si>
  <si>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</si>
  <si>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</si>
  <si>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</si>
  <si>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</si>
  <si>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</si>
  <si>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</si>
  <si>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</si>
  <si>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</si>
  <si>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</si>
  <si>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</si>
  <si>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</si>
  <si>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</si>
  <si>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</si>
  <si>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</si>
  <si>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</si>
  <si>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</si>
  <si>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</si>
  <si>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</si>
  <si>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</si>
  <si>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</si>
  <si>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</si>
  <si>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</si>
  <si>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</si>
  <si>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</si>
  <si>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</si>
  <si>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</si>
  <si>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</si>
  <si>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</si>
  <si>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</si>
  <si>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</si>
  <si>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</si>
  <si>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</si>
  <si>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</si>
  <si>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</si>
  <si>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</si>
  <si>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</si>
  <si>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</si>
  <si>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</si>
  <si>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</si>
  <si>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</si>
  <si>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</si>
  <si>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</si>
  <si>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</si>
  <si>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</si>
  <si>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</si>
  <si>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</si>
  <si>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</si>
  <si>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</si>
  <si>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</si>
  <si>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</si>
  <si>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</si>
  <si>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</si>
  <si>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</si>
  <si>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</si>
  <si>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</si>
  <si>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</si>
  <si>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</si>
  <si>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</si>
  <si>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</si>
  <si>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</si>
  <si>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</si>
  <si>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</si>
  <si>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</si>
  <si>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</si>
  <si>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</si>
  <si>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</si>
  <si>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</si>
  <si>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</si>
  <si>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</si>
  <si>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</si>
  <si>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</si>
  <si>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</si>
  <si>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</si>
  <si>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</si>
  <si>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</si>
  <si>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</si>
  <si>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</si>
  <si>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</si>
  <si>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</si>
  <si>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</si>
  <si>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</si>
  <si>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</si>
  <si>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</si>
  <si>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</si>
  <si>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</si>
  <si>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</si>
  <si>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</si>
  <si>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</si>
  <si>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</si>
  <si>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</si>
  <si>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</si>
  <si>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</si>
  <si>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</si>
  <si>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</si>
  <si>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</si>
  <si>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</si>
  <si>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</si>
  <si>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</si>
  <si>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</si>
  <si>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</si>
  <si>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</si>
  <si>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</si>
  <si>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</si>
  <si>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</si>
  <si>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</si>
  <si>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</si>
  <si>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</si>
  <si>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</si>
  <si>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</si>
  <si>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</si>
  <si>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</si>
  <si>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</si>
  <si>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</si>
  <si>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</si>
  <si>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</si>
  <si>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</si>
  <si>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</si>
  <si>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</si>
  <si>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</si>
  <si>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</si>
  <si>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</si>
  <si>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</si>
  <si>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</si>
  <si>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</si>
  <si>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</si>
  <si>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</si>
  <si>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</si>
  <si>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</si>
  <si>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</si>
  <si>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</si>
  <si>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</si>
  <si>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</si>
  <si>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</si>
  <si>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</si>
  <si>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</si>
  <si>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</si>
  <si>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</si>
  <si>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</si>
  <si>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</si>
  <si>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</si>
  <si>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</si>
  <si>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</si>
  <si>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</si>
  <si>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</si>
  <si>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</si>
  <si>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</si>
  <si>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</si>
  <si>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</si>
  <si>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</si>
  <si>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</si>
  <si>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</si>
  <si>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</si>
  <si>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</si>
  <si>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</si>
  <si>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</si>
  <si>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</si>
  <si>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</si>
  <si>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</si>
  <si>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</si>
  <si>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</si>
  <si>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</si>
  <si>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</si>
  <si>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</si>
  <si>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</si>
  <si>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</si>
  <si>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</si>
  <si>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</si>
  <si>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</si>
  <si>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</si>
  <si>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</si>
  <si>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</si>
  <si>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</si>
  <si>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</si>
  <si>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</si>
  <si>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Audio</t>
  </si>
  <si>
    <t>HCC Pharmacy</t>
  </si>
  <si>
    <t>Pharmacy</t>
  </si>
  <si>
    <t>Gardasil Adults: HCC InOffice, HCC Pharmacy, HCC Streaming TV, HCP MCM, HCC Digital, HCC Linear TV</t>
  </si>
  <si>
    <t>All Vaccines: Gardasil Adult</t>
  </si>
  <si>
    <t>HCP</t>
  </si>
  <si>
    <t>Optimal channel spend allowed to vary between constraints defined by marketing team &amp; INI of the 2021 channel spend - LINEAR TV and Streaming TV constraints modified</t>
  </si>
  <si>
    <t>25% reduction optimal ()</t>
  </si>
  <si>
    <t/>
  </si>
  <si>
    <t>$9(+8%)</t>
  </si>
  <si>
    <t>$1.5(+1%)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</si>
  <si>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</si>
  <si>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</si>
  <si>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</si>
  <si>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</si>
  <si>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</si>
  <si>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</si>
  <si>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</si>
  <si>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</si>
  <si>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</si>
  <si>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</si>
  <si>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</si>
  <si>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</si>
  <si>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</si>
  <si>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</si>
  <si>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</si>
  <si>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</si>
  <si>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</si>
  <si>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</si>
  <si>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</si>
  <si>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q1-q3 tv</t>
  </si>
  <si>
    <t>left 4 Q4</t>
  </si>
  <si>
    <t>BASE Case: Vary promotion type spend by + or - 30%. Keep global spend constant.</t>
  </si>
  <si>
    <t>Optimal channel spend allowed to vary between +/- 30% of the 2023 channel spend</t>
  </si>
  <si>
    <t>Current Optimal ($60.0MM)</t>
  </si>
  <si>
    <t>10% reduction optimal ($54M)</t>
  </si>
  <si>
    <t>20% reduction optimal ($48M)</t>
  </si>
  <si>
    <t>10% increase optimal ($66M)</t>
  </si>
  <si>
    <t>20% increase optimal ($72M)</t>
  </si>
  <si>
    <t>2023 Current Baseline ($MM)</t>
  </si>
  <si>
    <t>+$16(9.2%)</t>
  </si>
  <si>
    <t>+$9(5%)</t>
  </si>
  <si>
    <t>-$7(-3.9%)</t>
  </si>
  <si>
    <t>+$22(13%)</t>
  </si>
  <si>
    <t>+$29(16.7%)</t>
  </si>
  <si>
    <t>2023 Spend ($MM)</t>
  </si>
  <si>
    <t>2023 Estimated Incr. Doses ('000)</t>
  </si>
  <si>
    <t>2023 Estimated Pre-Tax NPV</t>
  </si>
  <si>
    <t>2023 Estimated Pre-tax ROI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</si>
  <si>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</si>
  <si>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</si>
  <si>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</si>
  <si>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</si>
  <si>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</si>
  <si>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</si>
  <si>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</si>
  <si>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</si>
  <si>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</si>
  <si>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</si>
  <si>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</si>
  <si>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</si>
  <si>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</si>
  <si>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r>
      <rPr>
        <sz val="1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</si>
</sst>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</numFmts>
  <fonts count="4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9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455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76" xfId="4" applyNumberFormat="1" applyFont="1" applyBorder="1" applyAlignment="1">
      <alignment horizontal="center" vertical="center"/>
    </xf>
    <xf numFmtId="170" fontId="0" fillId="0" borderId="77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9" fontId="0" fillId="0" borderId="76" xfId="3" applyFont="1" applyBorder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0" fontId="28" fillId="48" borderId="84" xfId="0" applyFont="1" applyFill="1" applyBorder="1" applyAlignment="1">
      <alignment horizontal="left" wrapText="1" indent="1"/>
    </xf>
    <xf numFmtId="170" fontId="28" fillId="48" borderId="85" xfId="0" applyNumberFormat="1" applyFont="1" applyFill="1" applyBorder="1" applyAlignment="1">
      <alignment horizontal="center" vertical="center"/>
    </xf>
    <xf numFmtId="170" fontId="28" fillId="48" borderId="8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87" xfId="4" applyNumberFormat="1" applyFont="1" applyFill="1" applyBorder="1" applyAlignment="1">
      <alignment horizontal="center" vertical="center" wrapText="1"/>
    </xf>
    <xf numFmtId="9" fontId="28" fillId="48" borderId="88" xfId="3" applyFont="1" applyFill="1" applyBorder="1" applyAlignment="1">
      <alignment horizontal="center" vertical="center"/>
    </xf>
    <xf numFmtId="170" fontId="28" fillId="48" borderId="89" xfId="4" applyNumberFormat="1" applyFont="1" applyFill="1" applyBorder="1" applyAlignment="1">
      <alignment horizontal="center" vertical="center" wrapText="1"/>
    </xf>
    <xf numFmtId="166" fontId="38" fillId="48" borderId="89" xfId="4" applyNumberFormat="1" applyFont="1" applyFill="1" applyBorder="1" applyAlignment="1">
      <alignment horizontal="center" vertical="center" wrapText="1"/>
    </xf>
    <xf numFmtId="166" fontId="37" fillId="48" borderId="89" xfId="4" quotePrefix="1" applyNumberFormat="1" applyFont="1" applyFill="1" applyBorder="1" applyAlignment="1">
      <alignment horizontal="center" vertical="center" wrapText="1"/>
    </xf>
    <xf numFmtId="166" fontId="28" fillId="48" borderId="89" xfId="4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indent="1"/>
    </xf>
    <xf numFmtId="0" fontId="1" fillId="0" borderId="48" xfId="0" applyFont="1" applyBorder="1" applyAlignment="1">
      <alignment horizontal="left" indent="1"/>
    </xf>
    <xf numFmtId="3" fontId="0" fillId="0" borderId="48" xfId="0" applyNumberFormat="1" applyFont="1" applyBorder="1" applyAlignment="1">
      <alignment horizontal="center"/>
    </xf>
    <xf numFmtId="169" fontId="0" fillId="0" borderId="48" xfId="0" applyNumberFormat="1" applyFont="1" applyBorder="1" applyAlignment="1">
      <alignment horizontal="center"/>
    </xf>
    <xf numFmtId="171" fontId="11" fillId="0" borderId="48" xfId="3" applyNumberFormat="1" applyFont="1" applyBorder="1" applyAlignment="1">
      <alignment horizontal="center"/>
    </xf>
    <xf numFmtId="0" fontId="1" fillId="0" borderId="40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3" fontId="0" fillId="0" borderId="0" xfId="0" applyNumberFormat="1" applyFont="1" applyBorder="1" applyAlignment="1">
      <alignment horizontal="center"/>
    </xf>
    <xf numFmtId="169" fontId="0" fillId="0" borderId="0" xfId="0" applyNumberFormat="1" applyFont="1" applyBorder="1" applyAlignment="1">
      <alignment horizontal="center"/>
    </xf>
    <xf numFmtId="171" fontId="11" fillId="0" borderId="0" xfId="3" applyNumberFormat="1" applyFont="1" applyBorder="1" applyAlignment="1">
      <alignment horizontal="center"/>
    </xf>
    <xf numFmtId="0" fontId="1" fillId="0" borderId="25" xfId="0" applyFont="1" applyBorder="1" applyAlignment="1">
      <alignment horizontal="left" indent="1"/>
    </xf>
    <xf numFmtId="0" fontId="5" fillId="0" borderId="41" xfId="0" applyFont="1" applyBorder="1" applyAlignment="1">
      <alignment horizontal="left" indent="1"/>
    </xf>
    <xf numFmtId="0" fontId="5" fillId="0" borderId="42" xfId="0" applyFont="1" applyFill="1" applyBorder="1" applyAlignment="1">
      <alignment horizontal="left" indent="1"/>
    </xf>
    <xf numFmtId="166" fontId="28" fillId="0" borderId="42" xfId="0" applyNumberFormat="1" applyFont="1" applyBorder="1" applyAlignment="1">
      <alignment horizontal="center"/>
    </xf>
    <xf numFmtId="3" fontId="28" fillId="0" borderId="42" xfId="0" applyNumberFormat="1" applyFont="1" applyBorder="1" applyAlignment="1">
      <alignment horizontal="center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0" xfId="0" applyFont="1" applyFill="1" applyBorder="1" applyAlignment="1">
      <alignment horizontal="center" vertical="center" wrapText="1"/>
    </xf>
    <xf numFmtId="0" fontId="2" fillId="8" borderId="9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2" xfId="4" applyNumberFormat="1" applyFont="1" applyBorder="1"/>
    <xf numFmtId="164" fontId="0" fillId="0" borderId="93" xfId="4" applyNumberFormat="1" applyFont="1" applyBorder="1"/>
    <xf numFmtId="0" fontId="36" fillId="0" borderId="0" xfId="0" applyFont="1"/>
    <xf numFmtId="170" fontId="0" fillId="0" borderId="92" xfId="4" applyNumberFormat="1" applyFont="1" applyBorder="1" applyAlignment="1">
      <alignment horizontal="center"/>
    </xf>
    <xf numFmtId="170" fontId="0" fillId="0" borderId="93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4" xfId="4" applyNumberFormat="1" applyFont="1" applyBorder="1"/>
    <xf numFmtId="164" fontId="0" fillId="0" borderId="95" xfId="4" applyNumberFormat="1" applyFont="1" applyBorder="1"/>
    <xf numFmtId="170" fontId="0" fillId="0" borderId="94" xfId="4" applyNumberFormat="1" applyFont="1" applyBorder="1" applyAlignment="1">
      <alignment horizontal="center"/>
    </xf>
    <xf numFmtId="170" fontId="0" fillId="0" borderId="95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48" xfId="0" applyNumberFormat="1" applyFont="1" applyBorder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79" xfId="4" applyNumberFormat="1" applyFont="1" applyBorder="1" applyAlignment="1">
      <alignment horizontal="center" vertical="center"/>
    </xf>
    <xf numFmtId="166" fontId="0" fillId="0" borderId="83" xfId="4" applyNumberFormat="1" applyFont="1" applyBorder="1" applyAlignment="1">
      <alignment horizontal="center" vertical="center"/>
    </xf>
    <xf numFmtId="0" fontId="0" fillId="48" borderId="84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89" xfId="4" quotePrefix="1" applyNumberFormat="1" applyFont="1" applyFill="1" applyBorder="1" applyAlignment="1">
      <alignment horizontal="center" vertical="center" wrapText="1"/>
    </xf>
    <xf numFmtId="166" fontId="0" fillId="0" borderId="77" xfId="4" applyNumberFormat="1" applyFont="1" applyBorder="1" applyAlignment="1">
      <alignment horizontal="center" vertical="center"/>
    </xf>
    <xf numFmtId="166" fontId="0" fillId="0" borderId="81" xfId="4" applyNumberFormat="1" applyFont="1" applyBorder="1" applyAlignment="1">
      <alignment horizontal="center" vertical="center"/>
    </xf>
    <xf numFmtId="166" fontId="28" fillId="48" borderId="86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69" fontId="28" fillId="0" borderId="42" xfId="0" applyNumberFormat="1" applyFont="1" applyBorder="1" applyAlignment="1">
      <alignment horizontal="center"/>
    </xf>
    <xf numFmtId="170" fontId="0" fillId="0" borderId="48" xfId="0" applyNumberFormat="1" applyFont="1" applyBorder="1" applyAlignment="1">
      <alignment horizontal="center"/>
    </xf>
    <xf numFmtId="170" fontId="0" fillId="0" borderId="0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7" xfId="4" applyNumberFormat="1" applyFont="1" applyBorder="1" applyAlignment="1">
      <alignment horizontal="center" vertical="center"/>
    </xf>
    <xf numFmtId="9" fontId="0" fillId="0" borderId="96" xfId="3" applyFont="1" applyBorder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8" borderId="0" xfId="0" applyFont="1" applyFill="1" applyAlignment="1">
      <alignment horizontal="center"/>
    </xf>
    <xf numFmtId="171" fontId="28" fillId="0" borderId="42" xfId="3" applyNumberFormat="1" applyFont="1" applyBorder="1" applyAlignment="1">
      <alignment horizontal="center"/>
    </xf>
    <xf numFmtId="10" fontId="0" fillId="0" borderId="0" xfId="3" applyNumberFormat="1" applyFont="1" applyBorder="1" applyAlignment="1">
      <alignment horizontal="center"/>
    </xf>
    <xf numFmtId="44" fontId="1" fillId="0" borderId="0" xfId="0" applyNumberFormat="1" applyFont="1"/>
    <xf numFmtId="9" fontId="0" fillId="0" borderId="80" xfId="3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172" fontId="28" fillId="0" borderId="27" xfId="0" applyNumberFormat="1" applyFont="1" applyBorder="1" applyAlignment="1">
      <alignment horizontal="center"/>
    </xf>
    <xf numFmtId="4" fontId="0" fillId="43" borderId="12" xfId="0" applyNumberFormat="1" applyFont="1" applyFill="1" applyBorder="1" applyAlignment="1">
      <alignment horizontal="center"/>
    </xf>
    <xf numFmtId="4" fontId="0" fillId="43" borderId="37" xfId="0" applyNumberFormat="1" applyFont="1" applyFill="1" applyBorder="1" applyAlignment="1">
      <alignment horizontal="center"/>
    </xf>
    <xf numFmtId="4" fontId="0" fillId="43" borderId="32" xfId="0" applyNumberFormat="1" applyFont="1" applyFill="1" applyBorder="1" applyAlignment="1">
      <alignment horizontal="center"/>
    </xf>
    <xf numFmtId="0" fontId="29" fillId="0" borderId="0" xfId="0" applyFont="1"/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8" borderId="0" xfId="0" applyFont="1" applyFill="1" applyAlignment="1">
      <alignment horizontal="center"/>
    </xf>
    <xf numFmtId="0" fontId="28" fillId="0" borderId="72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33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externalLink" Target="externalLinks/externalLink10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externalLink" Target="externalLinks/externalLink9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externalLink" Target="externalLinks/externalLink7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0.93804304598603305</c:v>
                </c:pt>
                <c:pt idx="1">
                  <c:v>0.93804304598603305</c:v>
                </c:pt>
                <c:pt idx="2">
                  <c:v>0.93804304598603305</c:v>
                </c:pt>
                <c:pt idx="3">
                  <c:v>0.93804304598603305</c:v>
                </c:pt>
                <c:pt idx="4">
                  <c:v>0.93804304598603305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13.654847336</c:v>
                </c:pt>
                <c:pt idx="1">
                  <c:v>13.654847336</c:v>
                </c:pt>
                <c:pt idx="2">
                  <c:v>13.654847336</c:v>
                </c:pt>
                <c:pt idx="3">
                  <c:v>13.654847336</c:v>
                </c:pt>
                <c:pt idx="4">
                  <c:v>13.654847336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2.2763</c:v>
                </c:pt>
                <c:pt idx="1">
                  <c:v>2.2763</c:v>
                </c:pt>
                <c:pt idx="2">
                  <c:v>2.2763</c:v>
                </c:pt>
                <c:pt idx="3">
                  <c:v>2.2763</c:v>
                </c:pt>
                <c:pt idx="4">
                  <c:v>2.2763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1.4453127520000002</c:v>
                </c:pt>
                <c:pt idx="1">
                  <c:v>1.4453127520000002</c:v>
                </c:pt>
                <c:pt idx="2">
                  <c:v>1.4453127520000002</c:v>
                </c:pt>
                <c:pt idx="3">
                  <c:v>1.4453127520000002</c:v>
                </c:pt>
                <c:pt idx="4">
                  <c:v>1.4453127520000002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15.506326222568678</c:v>
                </c:pt>
                <c:pt idx="1">
                  <c:v>15.506326222568678</c:v>
                </c:pt>
                <c:pt idx="2">
                  <c:v>15.506326222568678</c:v>
                </c:pt>
                <c:pt idx="3">
                  <c:v>15.506326222568678</c:v>
                </c:pt>
                <c:pt idx="4">
                  <c:v>15.506326222568678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3.7172548659999998</c:v>
                </c:pt>
                <c:pt idx="1">
                  <c:v>3.7172548659999998</c:v>
                </c:pt>
                <c:pt idx="2">
                  <c:v>3.7172548659999998</c:v>
                </c:pt>
                <c:pt idx="3">
                  <c:v>3.7172548659999998</c:v>
                </c:pt>
                <c:pt idx="4">
                  <c:v>3.7172548659999998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6.4999999999998531E-2</c:v>
                </c:pt>
                <c:pt idx="1">
                  <c:v>6.4999999999998531E-2</c:v>
                </c:pt>
                <c:pt idx="2">
                  <c:v>6.4999999999998531E-2</c:v>
                </c:pt>
                <c:pt idx="3">
                  <c:v>6.4999999999998531E-2</c:v>
                </c:pt>
                <c:pt idx="4">
                  <c:v>6.4999999999998531E-2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1.2011674999999999</c:v>
                </c:pt>
                <c:pt idx="1">
                  <c:v>1.2011674999999999</c:v>
                </c:pt>
                <c:pt idx="2">
                  <c:v>1.2011674999999999</c:v>
                </c:pt>
                <c:pt idx="3">
                  <c:v>1.2011674999999999</c:v>
                </c:pt>
                <c:pt idx="4">
                  <c:v>1.2011674999999999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7.3390253414472278E-2"/>
                  <c:y val="-8.050489465843796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1593625153353537"/>
                  <c:y val="-3.15032453713556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1248568703396457"/>
                  <c:y val="-7.141559062812510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71971310.615999997</c:v>
                </c:pt>
                <c:pt idx="1">
                  <c:v>65973701.398000002</c:v>
                </c:pt>
                <c:pt idx="2">
                  <c:v>59976092.18</c:v>
                </c:pt>
                <c:pt idx="3">
                  <c:v>53978482.961999997</c:v>
                </c:pt>
                <c:pt idx="4">
                  <c:v>47980873.744000003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200230491.01534268</c:v>
                </c:pt>
                <c:pt idx="1">
                  <c:v>193986231.83569983</c:v>
                </c:pt>
                <c:pt idx="2">
                  <c:v>187328616.08619222</c:v>
                </c:pt>
                <c:pt idx="3">
                  <c:v>180175237.53389466</c:v>
                </c:pt>
                <c:pt idx="4">
                  <c:v>164864104.31298712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71971310.615999997</c:v>
                </c:pt>
                <c:pt idx="1">
                  <c:v>65973701.398000002</c:v>
                </c:pt>
                <c:pt idx="2">
                  <c:v>59976092.18</c:v>
                </c:pt>
                <c:pt idx="3">
                  <c:v>53978482.961999997</c:v>
                </c:pt>
                <c:pt idx="4">
                  <c:v>47980873.744000003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171572142.41127384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90000000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5"/>
              <c:tx>
                <c:rich>
                  <a:bodyPr/>
                  <a:lstStyle/>
                  <a:p>
                    <a:fld id="{697229F5-08DE-437A-BEF6-0DD6E4FA173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78-44FD-43B8-83FD-0F58AE9B514A}"/>
                </c:ext>
              </c:extLst>
            </c:dLbl>
            <c:dLbl>
              <c:idx val="20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8.2881152312344469E-3"/>
                  <c:y val="4.9374663099934102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3004094917718535E-2"/>
                  <c:y val="-5.717079510934453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350284889011984"/>
                      <c:h val="4.911808669656203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8.3245754976059821E-2"/>
                  <c:y val="-0.11494027737895526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938043.04598603304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6436.3852616762742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13654847.335999999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351876.44985588826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18679386.206453495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134372.93700308583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64999.99999999853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36212.405995131099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1201167.5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29522.816952164638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1445312.7520000001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25719.483123207465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3717254.8659999999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89032.988619922922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2276300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27881.435275465017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15506326.222568678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111547.06345810396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strRef>
              <c:f>VAC_Optim_Scenario!$B$26</c:f>
              <c:strCache>
                <c:ptCount val="1"/>
                <c:pt idx="0">
                  <c:v>HCC Pharmacy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tx>
                <c:rich>
                  <a:bodyPr/>
                  <a:lstStyle/>
                  <a:p>
                    <a:fld id="{16835F1B-2FEC-44FF-8AAC-810223ACCEFC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77-44FD-43B8-83FD-0F58AE9B51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1666.2220611386001</c:v>
                </c:pt>
                <c:pt idx="2">
                  <c:v>3264.0042063035071</c:v>
                </c:pt>
                <c:pt idx="3">
                  <c:v>4796.1128940852359</c:v>
                </c:pt>
                <c:pt idx="4">
                  <c:v>6265.2063891272992</c:v>
                </c:pt>
                <c:pt idx="5">
                  <c:v>7673.8386969938874</c:v>
                </c:pt>
                <c:pt idx="6">
                  <c:v>9024.4633805677295</c:v>
                </c:pt>
                <c:pt idx="7">
                  <c:v>10319.437259402126</c:v>
                </c:pt>
                <c:pt idx="8">
                  <c:v>11561.023993640207</c:v>
                </c:pt>
                <c:pt idx="9">
                  <c:v>12751.397554295138</c:v>
                </c:pt>
                <c:pt idx="10">
                  <c:v>13892.645581817254</c:v>
                </c:pt>
                <c:pt idx="11">
                  <c:v>14986.77263507247</c:v>
                </c:pt>
                <c:pt idx="12">
                  <c:v>16035.703332859091</c:v>
                </c:pt>
                <c:pt idx="13">
                  <c:v>17041.285390286706</c:v>
                </c:pt>
                <c:pt idx="14">
                  <c:v>18005.292552355677</c:v>
                </c:pt>
                <c:pt idx="15">
                  <c:v>18929.42742712982</c:v>
                </c:pt>
                <c:pt idx="16">
                  <c:v>19815.324220983312</c:v>
                </c:pt>
                <c:pt idx="17">
                  <c:v>20664.551378388889</c:v>
                </c:pt>
                <c:pt idx="18">
                  <c:v>21478.614128760993</c:v>
                </c:pt>
                <c:pt idx="19">
                  <c:v>22258.9569428619</c:v>
                </c:pt>
                <c:pt idx="20">
                  <c:v>23006.965901301242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2492454.2167876307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16505.833422747441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2411968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16097.078764905222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13654847.335999999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351876.44985588826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18679386.206453495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134372.93700308583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64999.99999999853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36212.405995131099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15757.683313448728</c:v>
                      </c:pt>
                      <c:pt idx="2">
                        <c:v>20792.387787549629</c:v>
                      </c:pt>
                      <c:pt idx="3">
                        <c:v>24453.49110513533</c:v>
                      </c:pt>
                      <c:pt idx="4">
                        <c:v>27435.720169529453</c:v>
                      </c:pt>
                      <c:pt idx="5">
                        <c:v>29997.175904684151</c:v>
                      </c:pt>
                      <c:pt idx="6">
                        <c:v>32266.574959240672</c:v>
                      </c:pt>
                      <c:pt idx="7">
                        <c:v>34318.759723325085</c:v>
                      </c:pt>
                      <c:pt idx="8">
                        <c:v>36201.649801445565</c:v>
                      </c:pt>
                      <c:pt idx="9">
                        <c:v>37948.041938282877</c:v>
                      </c:pt>
                      <c:pt idx="10">
                        <c:v>39581.510907076787</c:v>
                      </c:pt>
                      <c:pt idx="11">
                        <c:v>41119.653101601129</c:v>
                      </c:pt>
                      <c:pt idx="12">
                        <c:v>42576.000912264644</c:v>
                      </c:pt>
                      <c:pt idx="13">
                        <c:v>43961.217233910902</c:v>
                      </c:pt>
                      <c:pt idx="14">
                        <c:v>45283.874942841634</c:v>
                      </c:pt>
                      <c:pt idx="15">
                        <c:v>46550.984657644571</c:v>
                      </c:pt>
                      <c:pt idx="16">
                        <c:v>47768.363296037402</c:v>
                      </c:pt>
                      <c:pt idx="17">
                        <c:v>48940.898319309759</c:v>
                      </c:pt>
                      <c:pt idx="18">
                        <c:v>50072.741535905814</c:v>
                      </c:pt>
                      <c:pt idx="19">
                        <c:v>51167.454079337178</c:v>
                      </c:pt>
                      <c:pt idx="20">
                        <c:v>52228.116762231417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938043.04598603304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6436.3852616762742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1201167.5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29522.816952164638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1111779.04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21646.235649615526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1445312.7520000001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25719.483123207465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2859426.82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76065.012406995462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3717254.8659999999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89032.988619922922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1751000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23820.403572058858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2276300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27881.435275465017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13418576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100808.3256282994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15506326.222568678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111547.06345810396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1666.2220611386001</c:v>
                      </c:pt>
                      <c:pt idx="2">
                        <c:v>3264.0042063035071</c:v>
                      </c:pt>
                      <c:pt idx="3">
                        <c:v>4796.1128940852359</c:v>
                      </c:pt>
                      <c:pt idx="4">
                        <c:v>6265.2063891272992</c:v>
                      </c:pt>
                      <c:pt idx="5">
                        <c:v>7673.8386969938874</c:v>
                      </c:pt>
                      <c:pt idx="6">
                        <c:v>9024.4633805677295</c:v>
                      </c:pt>
                      <c:pt idx="7">
                        <c:v>10319.437259402126</c:v>
                      </c:pt>
                      <c:pt idx="8">
                        <c:v>11561.023993640207</c:v>
                      </c:pt>
                      <c:pt idx="9">
                        <c:v>12751.397554295138</c:v>
                      </c:pt>
                      <c:pt idx="10">
                        <c:v>13892.645581817254</c:v>
                      </c:pt>
                      <c:pt idx="11">
                        <c:v>14986.77263507247</c:v>
                      </c:pt>
                      <c:pt idx="12">
                        <c:v>16035.703332859091</c:v>
                      </c:pt>
                      <c:pt idx="13">
                        <c:v>17041.285390286706</c:v>
                      </c:pt>
                      <c:pt idx="14">
                        <c:v>18005.292552355677</c:v>
                      </c:pt>
                      <c:pt idx="15">
                        <c:v>18929.42742712982</c:v>
                      </c:pt>
                      <c:pt idx="16">
                        <c:v>19815.324220983312</c:v>
                      </c:pt>
                      <c:pt idx="17">
                        <c:v>20664.551378388889</c:v>
                      </c:pt>
                      <c:pt idx="18">
                        <c:v>21478.614128760993</c:v>
                      </c:pt>
                      <c:pt idx="19">
                        <c:v>22258.9569428619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2492454.2167876307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16505.833422747441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2411968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16097.078764905222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0.93804304598603305</c:v>
                </c:pt>
                <c:pt idx="2">
                  <c:v>0.93804304598603305</c:v>
                </c:pt>
                <c:pt idx="3">
                  <c:v>0.93804304598603305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13.654847336</c:v>
                </c:pt>
                <c:pt idx="2">
                  <c:v>13.654847336</c:v>
                </c:pt>
                <c:pt idx="3">
                  <c:v>13.654847336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2.2763</c:v>
                </c:pt>
                <c:pt idx="2">
                  <c:v>2.2763</c:v>
                </c:pt>
                <c:pt idx="3">
                  <c:v>2.2763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1.4453127520000002</c:v>
                </c:pt>
                <c:pt idx="2">
                  <c:v>1.4453127520000002</c:v>
                </c:pt>
                <c:pt idx="3">
                  <c:v>1.4453127520000002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15.506326222568678</c:v>
                </c:pt>
                <c:pt idx="2">
                  <c:v>15.506326222568678</c:v>
                </c:pt>
                <c:pt idx="3">
                  <c:v>15.506326222568678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3.7172548659999998</c:v>
                </c:pt>
                <c:pt idx="2">
                  <c:v>3.7172548659999998</c:v>
                </c:pt>
                <c:pt idx="3">
                  <c:v>3.7172548659999998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6.4999999999998531E-2</c:v>
                </c:pt>
                <c:pt idx="2">
                  <c:v>6.4999999999998531E-2</c:v>
                </c:pt>
                <c:pt idx="3">
                  <c:v>6.4999999999998531E-2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1.2011674999999999</c:v>
                </c:pt>
                <c:pt idx="2">
                  <c:v>1.2011674999999999</c:v>
                </c:pt>
                <c:pt idx="3">
                  <c:v>1.2011674999999999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18.679386206453493</c:v>
                </c:pt>
                <c:pt idx="2">
                  <c:v>18.679386206453493</c:v>
                </c:pt>
                <c:pt idx="3">
                  <c:v>18.679386206453493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HCC Audio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Pharmacy</c:v>
                </c:pt>
                <c:pt idx="8">
                  <c:v>HCC Linear TV</c:v>
                </c:pt>
                <c:pt idx="9">
                  <c:v>HCC InOffice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1659101.5541117226</c:v>
                </c:pt>
                <c:pt idx="1">
                  <c:v>#N/A</c:v>
                </c:pt>
                <c:pt idx="2">
                  <c:v>36428388.680927962</c:v>
                </c:pt>
                <c:pt idx="3">
                  <c:v>37591880.018375278</c:v>
                </c:pt>
                <c:pt idx="4">
                  <c:v>51361310.945524476</c:v>
                </c:pt>
                <c:pt idx="5">
                  <c:v>73508410.329953805</c:v>
                </c:pt>
                <c:pt idx="6">
                  <c:v>133109799.37785092</c:v>
                </c:pt>
                <c:pt idx="7">
                  <c:v>149838864.25769138</c:v>
                </c:pt>
                <c:pt idx="8">
                  <c:v>153173310.99625105</c:v>
                </c:pt>
                <c:pt idx="9">
                  <c:v>154007945.50765288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19</xdr:row>
      <xdr:rowOff>149225</xdr:rowOff>
    </xdr:from>
    <xdr:to>
      <xdr:col>9</xdr:col>
      <xdr:colOff>406400</xdr:colOff>
      <xdr:row>40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</xdr:colOff>
      <xdr:row>9</xdr:row>
      <xdr:rowOff>149224</xdr:rowOff>
    </xdr:from>
    <xdr:to>
      <xdr:col>16</xdr:col>
      <xdr:colOff>571500</xdr:colOff>
      <xdr:row>35</xdr:row>
      <xdr:rowOff>158749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 refreshError="1"/>
      <sheetData sheetId="1" refreshError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 refreshError="1"/>
      <sheetData sheetId="1" refreshError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 refreshError="1"/>
      <sheetData sheetId="1" refreshError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 refreshError="1"/>
      <sheetData sheetId="1" refreshError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 refreshError="1"/>
      <sheetData sheetId="1" refreshError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 refreshError="1"/>
      <sheetData sheetId="1" refreshError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"/>
      <sheetName val="Data"/>
      <sheetName val="Radio - Power"/>
      <sheetName val="Radio - Scurve"/>
    </sheetNames>
    <sheetDataSet>
      <sheetData sheetId="0" refreshError="1"/>
      <sheetData sheetId="1" refreshError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 refreshError="1"/>
      <sheetData sheetId="1" refreshError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 refreshError="1"/>
      <sheetData sheetId="1" refreshError="1"/>
      <sheetData sheetId="2">
        <row r="12">
          <cell r="B12">
            <v>2411882</v>
          </cell>
          <cell r="C12">
            <v>16096.638284255781</v>
          </cell>
          <cell r="D12">
            <v>0</v>
          </cell>
          <cell r="E12">
            <v>40241.595710639456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9" t="s">
        <v>214</v>
      </c>
    </row>
    <row r="2" spans="2:20" ht="15.75" thickBot="1" x14ac:dyDescent="0.3"/>
    <row r="3" spans="2:20" ht="30.2" customHeight="1" x14ac:dyDescent="0.25">
      <c r="B3" s="371" t="s">
        <v>2</v>
      </c>
      <c r="C3" s="373" t="s">
        <v>3</v>
      </c>
      <c r="D3" s="374" t="s">
        <v>215</v>
      </c>
      <c r="E3" s="375"/>
      <c r="F3" s="374" t="s">
        <v>216</v>
      </c>
      <c r="G3" s="375"/>
      <c r="H3" s="374" t="s">
        <v>217</v>
      </c>
      <c r="I3" s="375"/>
      <c r="K3" s="371" t="s">
        <v>2</v>
      </c>
      <c r="L3" s="373" t="s">
        <v>3</v>
      </c>
      <c r="M3" s="374" t="s">
        <v>215</v>
      </c>
      <c r="N3" s="375"/>
      <c r="O3" s="374" t="s">
        <v>216</v>
      </c>
      <c r="P3" s="375"/>
      <c r="Q3" s="374" t="s">
        <v>217</v>
      </c>
      <c r="R3" s="375"/>
    </row>
    <row r="4" spans="2:20" ht="25.5" x14ac:dyDescent="0.25">
      <c r="B4" s="372"/>
      <c r="C4" s="372"/>
      <c r="D4" s="230" t="s">
        <v>218</v>
      </c>
      <c r="E4" s="231" t="s">
        <v>219</v>
      </c>
      <c r="F4" s="230" t="s">
        <v>218</v>
      </c>
      <c r="G4" s="231" t="s">
        <v>219</v>
      </c>
      <c r="H4" s="230" t="s">
        <v>218</v>
      </c>
      <c r="I4" s="231" t="s">
        <v>219</v>
      </c>
      <c r="K4" s="372"/>
      <c r="L4" s="372"/>
      <c r="M4" s="230" t="s">
        <v>218</v>
      </c>
      <c r="N4" s="231" t="s">
        <v>219</v>
      </c>
      <c r="O4" s="230" t="s">
        <v>218</v>
      </c>
      <c r="P4" s="231" t="s">
        <v>219</v>
      </c>
      <c r="Q4" s="230" t="s">
        <v>218</v>
      </c>
      <c r="R4" s="231" t="s">
        <v>219</v>
      </c>
    </row>
    <row r="5" spans="2:20" x14ac:dyDescent="0.25">
      <c r="B5" s="53" t="s">
        <v>154</v>
      </c>
      <c r="C5" s="232" t="str">
        <f>VAC_Optim_Scenario!B17</f>
        <v>HCC InOffice</v>
      </c>
      <c r="D5" s="233">
        <f>VAC_Optim_Scenario!$H36</f>
        <v>938043.04598603304</v>
      </c>
      <c r="E5" s="234">
        <f>VAC_Optim_Scenario!$J36</f>
        <v>1454236.8860231375</v>
      </c>
      <c r="F5" s="233">
        <f>VAC_Optim_Scenario!$H36</f>
        <v>938043.04598603304</v>
      </c>
      <c r="G5" s="234">
        <f>VAC_Optim_Scenario!$J36</f>
        <v>1454236.8860231375</v>
      </c>
      <c r="H5" s="233">
        <f>VAC_Optim_Scenario!$H36</f>
        <v>938043.04598603304</v>
      </c>
      <c r="I5" s="234">
        <f>VAC_Optim_Scenario!$J36</f>
        <v>1454236.8860231375</v>
      </c>
      <c r="J5" s="235"/>
      <c r="K5" s="53" t="s">
        <v>154</v>
      </c>
      <c r="L5" s="53" t="str">
        <f>VAC_Optim_Scenario!B17</f>
        <v>HCC InOffice</v>
      </c>
      <c r="M5" s="236">
        <f>D5/1000000</f>
        <v>0.93804304598603305</v>
      </c>
      <c r="N5" s="237">
        <f t="shared" ref="N5:R13" si="0">E5/1000000</f>
        <v>1.4542368860231374</v>
      </c>
      <c r="O5" s="236">
        <f t="shared" si="0"/>
        <v>0.93804304598603305</v>
      </c>
      <c r="P5" s="237">
        <f t="shared" si="0"/>
        <v>1.4542368860231374</v>
      </c>
      <c r="Q5" s="236">
        <f t="shared" si="0"/>
        <v>0.93804304598603305</v>
      </c>
      <c r="R5" s="237">
        <f t="shared" si="0"/>
        <v>1.4542368860231374</v>
      </c>
    </row>
    <row r="6" spans="2:20" x14ac:dyDescent="0.25">
      <c r="B6" s="54" t="s">
        <v>154</v>
      </c>
      <c r="C6" s="238" t="str">
        <f>VAC_Optim_Scenario!B18</f>
        <v>HCP MCM</v>
      </c>
      <c r="D6" s="239">
        <f>VAC_Optim_Scenario!$H37</f>
        <v>13654847.335999999</v>
      </c>
      <c r="E6" s="240">
        <f>VAC_Optim_Scenario!$J37</f>
        <v>79502965.080439389</v>
      </c>
      <c r="F6" s="239">
        <f>VAC_Optim_Scenario!$H37</f>
        <v>13654847.335999999</v>
      </c>
      <c r="G6" s="240">
        <f>VAC_Optim_Scenario!$J37</f>
        <v>79502965.080439389</v>
      </c>
      <c r="H6" s="239">
        <f>VAC_Optim_Scenario!$H37</f>
        <v>13654847.335999999</v>
      </c>
      <c r="I6" s="240">
        <f>VAC_Optim_Scenario!$J37</f>
        <v>79502965.080439389</v>
      </c>
      <c r="J6" s="235"/>
      <c r="K6" s="54" t="s">
        <v>154</v>
      </c>
      <c r="L6" s="54" t="str">
        <f>VAC_Optim_Scenario!B18</f>
        <v>HCP MCM</v>
      </c>
      <c r="M6" s="241">
        <f t="shared" ref="M6:M13" si="1">D6/1000000</f>
        <v>13.654847336</v>
      </c>
      <c r="N6" s="242">
        <f t="shared" si="0"/>
        <v>79.502965080439395</v>
      </c>
      <c r="O6" s="241">
        <f t="shared" si="0"/>
        <v>13.654847336</v>
      </c>
      <c r="P6" s="242">
        <f t="shared" si="0"/>
        <v>79.502965080439395</v>
      </c>
      <c r="Q6" s="241">
        <f t="shared" si="0"/>
        <v>13.654847336</v>
      </c>
      <c r="R6" s="242">
        <f t="shared" si="0"/>
        <v>79.502965080439395</v>
      </c>
    </row>
    <row r="7" spans="2:20" x14ac:dyDescent="0.25">
      <c r="B7" s="54" t="s">
        <v>154</v>
      </c>
      <c r="C7" s="238" t="str">
        <f>VAC_Optim_Scenario!B19</f>
        <v>HCC Social</v>
      </c>
      <c r="D7" s="239">
        <f>VAC_Optim_Scenario!$H38</f>
        <v>2276300</v>
      </c>
      <c r="E7" s="240">
        <f>VAC_Optim_Scenario!$J38</f>
        <v>6299531.4861385655</v>
      </c>
      <c r="F7" s="239">
        <f>VAC_Optim_Scenario!$H38</f>
        <v>2276300</v>
      </c>
      <c r="G7" s="240">
        <f>VAC_Optim_Scenario!$J38</f>
        <v>6299531.4861385655</v>
      </c>
      <c r="H7" s="239">
        <f>VAC_Optim_Scenario!$H38</f>
        <v>2276300</v>
      </c>
      <c r="I7" s="240">
        <f>VAC_Optim_Scenario!$J38</f>
        <v>6299531.4861385655</v>
      </c>
      <c r="J7" s="243"/>
      <c r="K7" s="54" t="s">
        <v>154</v>
      </c>
      <c r="L7" s="54" t="str">
        <f>VAC_Optim_Scenario!B19</f>
        <v>HCC Social</v>
      </c>
      <c r="M7" s="241">
        <f t="shared" si="1"/>
        <v>2.2763</v>
      </c>
      <c r="N7" s="242">
        <f t="shared" si="0"/>
        <v>6.2995314861385658</v>
      </c>
      <c r="O7" s="241">
        <f t="shared" si="0"/>
        <v>2.2763</v>
      </c>
      <c r="P7" s="242">
        <f t="shared" si="0"/>
        <v>6.2995314861385658</v>
      </c>
      <c r="Q7" s="241">
        <f t="shared" si="0"/>
        <v>2.2763</v>
      </c>
      <c r="R7" s="242">
        <f t="shared" si="0"/>
        <v>6.2995314861385658</v>
      </c>
    </row>
    <row r="8" spans="2:20" x14ac:dyDescent="0.25">
      <c r="B8" s="54" t="s">
        <v>154</v>
      </c>
      <c r="C8" s="238" t="str">
        <f>VAC_Optim_Scenario!B20</f>
        <v>HCC Online Video</v>
      </c>
      <c r="D8" s="239">
        <f>VAC_Optim_Scenario!$H39</f>
        <v>1445312.7520000001</v>
      </c>
      <c r="E8" s="240">
        <f>VAC_Optim_Scenario!$J39</f>
        <v>5811060.0168574946</v>
      </c>
      <c r="F8" s="239">
        <f>VAC_Optim_Scenario!$H39</f>
        <v>1445312.7520000001</v>
      </c>
      <c r="G8" s="240">
        <f>VAC_Optim_Scenario!$J39</f>
        <v>5811060.0168574946</v>
      </c>
      <c r="H8" s="239">
        <f>VAC_Optim_Scenario!$H39</f>
        <v>1445312.7520000001</v>
      </c>
      <c r="I8" s="240">
        <f>VAC_Optim_Scenario!$J39</f>
        <v>5811060.0168574946</v>
      </c>
      <c r="J8" s="235"/>
      <c r="K8" s="54" t="s">
        <v>154</v>
      </c>
      <c r="L8" s="54" t="str">
        <f>VAC_Optim_Scenario!B20</f>
        <v>HCC Online Video</v>
      </c>
      <c r="M8" s="241">
        <f t="shared" si="1"/>
        <v>1.4453127520000002</v>
      </c>
      <c r="N8" s="242">
        <f t="shared" si="0"/>
        <v>5.8110600168574944</v>
      </c>
      <c r="O8" s="241">
        <f t="shared" si="0"/>
        <v>1.4453127520000002</v>
      </c>
      <c r="P8" s="242">
        <f t="shared" si="0"/>
        <v>5.8110600168574944</v>
      </c>
      <c r="Q8" s="241">
        <f t="shared" si="0"/>
        <v>1.4453127520000002</v>
      </c>
      <c r="R8" s="242">
        <f t="shared" si="0"/>
        <v>5.8110600168574944</v>
      </c>
    </row>
    <row r="9" spans="2:20" x14ac:dyDescent="0.25">
      <c r="B9" s="54" t="s">
        <v>154</v>
      </c>
      <c r="C9" s="238" t="str">
        <f>VAC_Optim_Scenario!B21</f>
        <v>HCC Streaming Video</v>
      </c>
      <c r="D9" s="239">
        <f>VAC_Optim_Scenario!$H40</f>
        <v>15506326.222568678</v>
      </c>
      <c r="E9" s="240">
        <f>VAC_Optim_Scenario!$J40</f>
        <v>25202943.517724007</v>
      </c>
      <c r="F9" s="239">
        <f>VAC_Optim_Scenario!$H40</f>
        <v>15506326.222568678</v>
      </c>
      <c r="G9" s="240">
        <f>VAC_Optim_Scenario!$J40</f>
        <v>25202943.517724007</v>
      </c>
      <c r="H9" s="239">
        <f>VAC_Optim_Scenario!$H40</f>
        <v>15506326.222568678</v>
      </c>
      <c r="I9" s="240">
        <f>VAC_Optim_Scenario!$J40</f>
        <v>25202943.517724007</v>
      </c>
      <c r="J9" s="243"/>
      <c r="K9" s="54" t="s">
        <v>154</v>
      </c>
      <c r="L9" s="54" t="str">
        <f>VAC_Optim_Scenario!B21</f>
        <v>HCC Streaming Video</v>
      </c>
      <c r="M9" s="241">
        <f t="shared" si="1"/>
        <v>15.506326222568678</v>
      </c>
      <c r="N9" s="242">
        <f t="shared" si="0"/>
        <v>25.202943517724009</v>
      </c>
      <c r="O9" s="241">
        <f t="shared" si="0"/>
        <v>15.506326222568678</v>
      </c>
      <c r="P9" s="242">
        <f t="shared" si="0"/>
        <v>25.202943517724009</v>
      </c>
      <c r="Q9" s="241">
        <f t="shared" si="0"/>
        <v>15.506326222568678</v>
      </c>
      <c r="R9" s="242">
        <f t="shared" si="0"/>
        <v>25.202943517724009</v>
      </c>
    </row>
    <row r="10" spans="2:20" x14ac:dyDescent="0.25">
      <c r="B10" s="54" t="s">
        <v>154</v>
      </c>
      <c r="C10" s="238" t="str">
        <f>VAC_Optim_Scenario!B22</f>
        <v>HCC Display</v>
      </c>
      <c r="D10" s="239">
        <f>VAC_Optim_Scenario!$H41</f>
        <v>3717254.8659999999</v>
      </c>
      <c r="E10" s="240">
        <f>VAC_Optim_Scenario!$J41</f>
        <v>20116113.448785383</v>
      </c>
      <c r="F10" s="239">
        <f>VAC_Optim_Scenario!$H41</f>
        <v>3717254.8659999999</v>
      </c>
      <c r="G10" s="240">
        <f>VAC_Optim_Scenario!$J41</f>
        <v>20116113.448785383</v>
      </c>
      <c r="H10" s="239">
        <f>VAC_Optim_Scenario!$H41</f>
        <v>3717254.8659999999</v>
      </c>
      <c r="I10" s="240">
        <f>VAC_Optim_Scenario!$J41</f>
        <v>20116113.448785383</v>
      </c>
      <c r="J10" s="243"/>
      <c r="K10" s="54" t="s">
        <v>154</v>
      </c>
      <c r="L10" s="54" t="str">
        <f>VAC_Optim_Scenario!B22</f>
        <v>HCC Display</v>
      </c>
      <c r="M10" s="241">
        <f t="shared" si="1"/>
        <v>3.7172548659999998</v>
      </c>
      <c r="N10" s="242">
        <f t="shared" si="0"/>
        <v>20.116113448785384</v>
      </c>
      <c r="O10" s="241">
        <f t="shared" si="0"/>
        <v>3.7172548659999998</v>
      </c>
      <c r="P10" s="242">
        <f t="shared" si="0"/>
        <v>20.116113448785384</v>
      </c>
      <c r="Q10" s="241">
        <f t="shared" si="0"/>
        <v>3.7172548659999998</v>
      </c>
      <c r="R10" s="242">
        <f t="shared" si="0"/>
        <v>20.116113448785384</v>
      </c>
    </row>
    <row r="11" spans="2:20" x14ac:dyDescent="0.25">
      <c r="B11" s="54" t="s">
        <v>154</v>
      </c>
      <c r="C11" s="238" t="str">
        <f>VAC_Optim_Scenario!B23</f>
        <v>HCC Paid Search</v>
      </c>
      <c r="D11" s="239">
        <f>VAC_Optim_Scenario!$H42</f>
        <v>64999.99999999853</v>
      </c>
      <c r="E11" s="240">
        <f>VAC_Optim_Scenario!$J42</f>
        <v>8181831.0105399201</v>
      </c>
      <c r="F11" s="239">
        <f>VAC_Optim_Scenario!$H42</f>
        <v>64999.99999999853</v>
      </c>
      <c r="G11" s="240">
        <f>VAC_Optim_Scenario!$J42</f>
        <v>8181831.0105399201</v>
      </c>
      <c r="H11" s="239">
        <f>VAC_Optim_Scenario!$H42</f>
        <v>64999.99999999853</v>
      </c>
      <c r="I11" s="240">
        <f>VAC_Optim_Scenario!$J42</f>
        <v>8181831.0105399201</v>
      </c>
      <c r="J11" s="235"/>
      <c r="K11" s="54" t="s">
        <v>154</v>
      </c>
      <c r="L11" s="54" t="str">
        <f>VAC_Optim_Scenario!B23</f>
        <v>HCC Paid Search</v>
      </c>
      <c r="M11" s="241">
        <f t="shared" si="1"/>
        <v>6.4999999999998531E-2</v>
      </c>
      <c r="N11" s="242">
        <f t="shared" si="0"/>
        <v>8.1818310105399199</v>
      </c>
      <c r="O11" s="241">
        <f t="shared" si="0"/>
        <v>6.4999999999998531E-2</v>
      </c>
      <c r="P11" s="242">
        <f t="shared" si="0"/>
        <v>8.1818310105399199</v>
      </c>
      <c r="Q11" s="241">
        <f t="shared" si="0"/>
        <v>6.4999999999998531E-2</v>
      </c>
      <c r="R11" s="242">
        <f t="shared" si="0"/>
        <v>8.1818310105399199</v>
      </c>
    </row>
    <row r="12" spans="2:20" x14ac:dyDescent="0.25">
      <c r="B12" s="54" t="s">
        <v>154</v>
      </c>
      <c r="C12" s="238" t="str">
        <f>VAC_Optim_Scenario!B24</f>
        <v>HCC Radio</v>
      </c>
      <c r="D12" s="239">
        <f>VAC_Optim_Scenario!$H43</f>
        <v>1201167.5</v>
      </c>
      <c r="E12" s="240">
        <f>VAC_Optim_Scenario!$J43</f>
        <v>6670385.2621720778</v>
      </c>
      <c r="F12" s="239">
        <f>VAC_Optim_Scenario!$H43</f>
        <v>1201167.5</v>
      </c>
      <c r="G12" s="240">
        <f>VAC_Optim_Scenario!$J43</f>
        <v>6670385.2621720778</v>
      </c>
      <c r="H12" s="239">
        <f>VAC_Optim_Scenario!$H43</f>
        <v>1201167.5</v>
      </c>
      <c r="I12" s="240">
        <f>VAC_Optim_Scenario!$J43</f>
        <v>6670385.2621720778</v>
      </c>
      <c r="J12" s="235"/>
      <c r="K12" s="54" t="s">
        <v>154</v>
      </c>
      <c r="L12" s="54" t="str">
        <f>VAC_Optim_Scenario!B24</f>
        <v>HCC Radio</v>
      </c>
      <c r="M12" s="241">
        <f t="shared" si="1"/>
        <v>1.2011674999999999</v>
      </c>
      <c r="N12" s="242">
        <f t="shared" si="0"/>
        <v>6.6703852621720774</v>
      </c>
      <c r="O12" s="241">
        <f t="shared" si="0"/>
        <v>1.2011674999999999</v>
      </c>
      <c r="P12" s="242">
        <f t="shared" si="0"/>
        <v>6.6703852621720774</v>
      </c>
      <c r="Q12" s="241">
        <f t="shared" si="0"/>
        <v>1.2011674999999999</v>
      </c>
      <c r="R12" s="242">
        <f t="shared" si="0"/>
        <v>6.6703852621720774</v>
      </c>
    </row>
    <row r="13" spans="2:20" x14ac:dyDescent="0.25">
      <c r="B13" s="252" t="s">
        <v>154</v>
      </c>
      <c r="C13" s="217" t="str">
        <f>VAC_Optim_Scenario!B25</f>
        <v>HCC Linear TV</v>
      </c>
      <c r="D13" s="253">
        <f>VAC_Optim_Scenario!$H44</f>
        <v>18679386.206453495</v>
      </c>
      <c r="E13" s="253">
        <f>VAC_Optim_Scenario!$J44</f>
        <v>30360221.38647721</v>
      </c>
      <c r="F13" s="253">
        <f>VAC_Optim_Scenario!$H44</f>
        <v>18679386.206453495</v>
      </c>
      <c r="G13" s="253">
        <f>VAC_Optim_Scenario!$J44</f>
        <v>30360221.38647721</v>
      </c>
      <c r="H13" s="253">
        <f>VAC_Optim_Scenario!$H44</f>
        <v>18679386.206453495</v>
      </c>
      <c r="I13" s="253">
        <f>VAC_Optim_Scenario!$J44</f>
        <v>30360221.38647721</v>
      </c>
      <c r="J13" s="235"/>
      <c r="K13" s="252" t="s">
        <v>154</v>
      </c>
      <c r="L13" s="252" t="str">
        <f>VAC_Optim_Scenario!B25</f>
        <v>HCC Linear TV</v>
      </c>
      <c r="M13" s="246">
        <f t="shared" si="1"/>
        <v>18.679386206453493</v>
      </c>
      <c r="N13" s="246">
        <f t="shared" si="0"/>
        <v>30.36022138647721</v>
      </c>
      <c r="O13" s="246">
        <f t="shared" si="0"/>
        <v>18.679386206453493</v>
      </c>
      <c r="P13" s="246">
        <f t="shared" si="0"/>
        <v>30.36022138647721</v>
      </c>
      <c r="Q13" s="246">
        <f t="shared" si="0"/>
        <v>18.679386206453493</v>
      </c>
      <c r="R13" s="246">
        <f t="shared" si="0"/>
        <v>30.36022138647721</v>
      </c>
    </row>
    <row r="14" spans="2:20" x14ac:dyDescent="0.25">
      <c r="T14" s="302"/>
    </row>
    <row r="15" spans="2:20" x14ac:dyDescent="0.25">
      <c r="C15" s="229" t="s">
        <v>220</v>
      </c>
    </row>
    <row r="17" spans="2:19" ht="38.1" customHeight="1" x14ac:dyDescent="0.25">
      <c r="C17" s="373" t="s">
        <v>3</v>
      </c>
      <c r="D17" s="374" t="s">
        <v>215</v>
      </c>
      <c r="E17" s="375"/>
      <c r="F17" s="374" t="s">
        <v>221</v>
      </c>
      <c r="G17" s="375"/>
      <c r="H17" s="374" t="s">
        <v>222</v>
      </c>
      <c r="I17" s="375"/>
      <c r="L17" s="373" t="s">
        <v>3</v>
      </c>
      <c r="M17" s="374" t="s">
        <v>215</v>
      </c>
      <c r="N17" s="375"/>
      <c r="O17" s="374" t="s">
        <v>221</v>
      </c>
      <c r="P17" s="375"/>
      <c r="Q17" s="374" t="s">
        <v>222</v>
      </c>
      <c r="R17" s="375"/>
    </row>
    <row r="18" spans="2:19" ht="25.5" x14ac:dyDescent="0.25">
      <c r="C18" s="372"/>
      <c r="D18" s="55" t="s">
        <v>218</v>
      </c>
      <c r="E18" s="55" t="s">
        <v>219</v>
      </c>
      <c r="F18" s="55" t="s">
        <v>218</v>
      </c>
      <c r="G18" s="55" t="s">
        <v>219</v>
      </c>
      <c r="H18" s="55" t="s">
        <v>218</v>
      </c>
      <c r="I18" s="55" t="s">
        <v>219</v>
      </c>
      <c r="L18" s="372"/>
      <c r="M18" s="55" t="s">
        <v>218</v>
      </c>
      <c r="N18" s="55" t="s">
        <v>219</v>
      </c>
      <c r="O18" s="55" t="s">
        <v>218</v>
      </c>
      <c r="P18" s="55" t="s">
        <v>219</v>
      </c>
      <c r="Q18" s="55" t="s">
        <v>218</v>
      </c>
      <c r="R18" s="55" t="s">
        <v>219</v>
      </c>
    </row>
    <row r="19" spans="2:19" x14ac:dyDescent="0.25">
      <c r="B19" s="53" t="s">
        <v>154</v>
      </c>
      <c r="C19" s="232" t="str">
        <f>VAC_Optim_Scenario!B17</f>
        <v>HCC InOffice</v>
      </c>
      <c r="D19" s="233">
        <f>VAC_Optim_Scenario!$H36</f>
        <v>938043.04598603304</v>
      </c>
      <c r="E19" s="234">
        <f>VAC_Optim_Scenario!$J36</f>
        <v>1454236.8860231375</v>
      </c>
      <c r="F19" s="233">
        <f>VAC_Optim_Scenario!$H36</f>
        <v>938043.04598603304</v>
      </c>
      <c r="G19" s="234">
        <f>VAC_Optim_Scenario!$J36</f>
        <v>1454236.8860231375</v>
      </c>
      <c r="H19" s="233">
        <f>VAC_Optim_Scenario!$H36</f>
        <v>938043.04598603304</v>
      </c>
      <c r="I19" s="234">
        <f>VAC_Optim_Scenario!$J36</f>
        <v>1454236.8860231375</v>
      </c>
      <c r="J19" s="235"/>
      <c r="K19" s="53" t="s">
        <v>154</v>
      </c>
      <c r="L19" s="232" t="str">
        <f>VAC_Optim_Scenario!B17</f>
        <v>HCC InOffice</v>
      </c>
      <c r="M19" s="236">
        <f>D19/1000000</f>
        <v>0.93804304598603305</v>
      </c>
      <c r="N19" s="237">
        <f t="shared" ref="N19:R27" si="2">E19/1000000</f>
        <v>1.4542368860231374</v>
      </c>
      <c r="O19" s="236">
        <f t="shared" si="2"/>
        <v>0.93804304598603305</v>
      </c>
      <c r="P19" s="237">
        <f t="shared" si="2"/>
        <v>1.4542368860231374</v>
      </c>
      <c r="Q19" s="236">
        <f t="shared" si="2"/>
        <v>0.93804304598603305</v>
      </c>
      <c r="R19" s="237">
        <f t="shared" si="2"/>
        <v>1.4542368860231374</v>
      </c>
    </row>
    <row r="20" spans="2:19" x14ac:dyDescent="0.25">
      <c r="B20" s="54" t="s">
        <v>154</v>
      </c>
      <c r="C20" s="238" t="str">
        <f>VAC_Optim_Scenario!B18</f>
        <v>HCP MCM</v>
      </c>
      <c r="D20" s="239">
        <f>VAC_Optim_Scenario!$H37</f>
        <v>13654847.335999999</v>
      </c>
      <c r="E20" s="240">
        <f>VAC_Optim_Scenario!$J37</f>
        <v>79502965.080439389</v>
      </c>
      <c r="F20" s="239">
        <f>VAC_Optim_Scenario!$H37</f>
        <v>13654847.335999999</v>
      </c>
      <c r="G20" s="240">
        <f>VAC_Optim_Scenario!$J37</f>
        <v>79502965.080439389</v>
      </c>
      <c r="H20" s="239">
        <f>VAC_Optim_Scenario!$H37</f>
        <v>13654847.335999999</v>
      </c>
      <c r="I20" s="240">
        <f>VAC_Optim_Scenario!$J37</f>
        <v>79502965.080439389</v>
      </c>
      <c r="J20" s="235"/>
      <c r="K20" s="54" t="s">
        <v>154</v>
      </c>
      <c r="L20" s="238" t="str">
        <f>VAC_Optim_Scenario!B18</f>
        <v>HCP MCM</v>
      </c>
      <c r="M20" s="241">
        <f t="shared" ref="M20:M27" si="3">D20/1000000</f>
        <v>13.654847336</v>
      </c>
      <c r="N20" s="242">
        <f t="shared" si="2"/>
        <v>79.502965080439395</v>
      </c>
      <c r="O20" s="241">
        <f t="shared" si="2"/>
        <v>13.654847336</v>
      </c>
      <c r="P20" s="242">
        <f t="shared" si="2"/>
        <v>79.502965080439395</v>
      </c>
      <c r="Q20" s="241">
        <f t="shared" si="2"/>
        <v>13.654847336</v>
      </c>
      <c r="R20" s="242">
        <f t="shared" si="2"/>
        <v>79.502965080439395</v>
      </c>
    </row>
    <row r="21" spans="2:19" x14ac:dyDescent="0.25">
      <c r="B21" s="54" t="s">
        <v>154</v>
      </c>
      <c r="C21" s="238" t="str">
        <f>VAC_Optim_Scenario!B19</f>
        <v>HCC Social</v>
      </c>
      <c r="D21" s="239">
        <f>VAC_Optim_Scenario!$H38</f>
        <v>2276300</v>
      </c>
      <c r="E21" s="240">
        <f>VAC_Optim_Scenario!$J38</f>
        <v>6299531.4861385655</v>
      </c>
      <c r="F21" s="239">
        <f>VAC_Optim_Scenario!$H38</f>
        <v>2276300</v>
      </c>
      <c r="G21" s="240">
        <f>VAC_Optim_Scenario!$J38</f>
        <v>6299531.4861385655</v>
      </c>
      <c r="H21" s="239">
        <f>VAC_Optim_Scenario!$H38</f>
        <v>2276300</v>
      </c>
      <c r="I21" s="240">
        <f>VAC_Optim_Scenario!$J38</f>
        <v>6299531.4861385655</v>
      </c>
      <c r="J21" s="243"/>
      <c r="K21" s="54" t="s">
        <v>154</v>
      </c>
      <c r="L21" s="238" t="str">
        <f>VAC_Optim_Scenario!B19</f>
        <v>HCC Social</v>
      </c>
      <c r="M21" s="241">
        <f t="shared" si="3"/>
        <v>2.2763</v>
      </c>
      <c r="N21" s="242">
        <f t="shared" si="2"/>
        <v>6.2995314861385658</v>
      </c>
      <c r="O21" s="241">
        <f t="shared" si="2"/>
        <v>2.2763</v>
      </c>
      <c r="P21" s="242">
        <f t="shared" si="2"/>
        <v>6.2995314861385658</v>
      </c>
      <c r="Q21" s="241">
        <f t="shared" si="2"/>
        <v>2.2763</v>
      </c>
      <c r="R21" s="242">
        <f t="shared" si="2"/>
        <v>6.2995314861385658</v>
      </c>
    </row>
    <row r="22" spans="2:19" x14ac:dyDescent="0.25">
      <c r="B22" s="54" t="s">
        <v>154</v>
      </c>
      <c r="C22" s="238" t="str">
        <f>VAC_Optim_Scenario!B20</f>
        <v>HCC Online Video</v>
      </c>
      <c r="D22" s="239">
        <f>VAC_Optim_Scenario!$H39</f>
        <v>1445312.7520000001</v>
      </c>
      <c r="E22" s="240">
        <f>VAC_Optim_Scenario!$J39</f>
        <v>5811060.0168574946</v>
      </c>
      <c r="F22" s="239">
        <f>VAC_Optim_Scenario!$H39</f>
        <v>1445312.7520000001</v>
      </c>
      <c r="G22" s="240">
        <f>VAC_Optim_Scenario!$J39</f>
        <v>5811060.0168574946</v>
      </c>
      <c r="H22" s="239">
        <f>VAC_Optim_Scenario!$H39</f>
        <v>1445312.7520000001</v>
      </c>
      <c r="I22" s="240">
        <f>VAC_Optim_Scenario!$J39</f>
        <v>5811060.0168574946</v>
      </c>
      <c r="J22" s="235"/>
      <c r="K22" s="54" t="s">
        <v>154</v>
      </c>
      <c r="L22" s="238" t="str">
        <f>VAC_Optim_Scenario!B20</f>
        <v>HCC Online Video</v>
      </c>
      <c r="M22" s="241">
        <f t="shared" si="3"/>
        <v>1.4453127520000002</v>
      </c>
      <c r="N22" s="242">
        <f t="shared" si="2"/>
        <v>5.8110600168574944</v>
      </c>
      <c r="O22" s="241">
        <f t="shared" si="2"/>
        <v>1.4453127520000002</v>
      </c>
      <c r="P22" s="242">
        <f t="shared" si="2"/>
        <v>5.8110600168574944</v>
      </c>
      <c r="Q22" s="241">
        <f t="shared" si="2"/>
        <v>1.4453127520000002</v>
      </c>
      <c r="R22" s="242">
        <f t="shared" si="2"/>
        <v>5.8110600168574944</v>
      </c>
    </row>
    <row r="23" spans="2:19" x14ac:dyDescent="0.25">
      <c r="B23" s="54" t="s">
        <v>154</v>
      </c>
      <c r="C23" s="238" t="str">
        <f>VAC_Optim_Scenario!B21</f>
        <v>HCC Streaming Video</v>
      </c>
      <c r="D23" s="239">
        <f>VAC_Optim_Scenario!$H40</f>
        <v>15506326.222568678</v>
      </c>
      <c r="E23" s="240">
        <f>VAC_Optim_Scenario!$J40</f>
        <v>25202943.517724007</v>
      </c>
      <c r="F23" s="239">
        <f>VAC_Optim_Scenario!$H40</f>
        <v>15506326.222568678</v>
      </c>
      <c r="G23" s="240">
        <f>VAC_Optim_Scenario!$J40</f>
        <v>25202943.517724007</v>
      </c>
      <c r="H23" s="239">
        <f>VAC_Optim_Scenario!$H40</f>
        <v>15506326.222568678</v>
      </c>
      <c r="I23" s="240">
        <f>VAC_Optim_Scenario!$J40</f>
        <v>25202943.517724007</v>
      </c>
      <c r="J23" s="243"/>
      <c r="K23" s="54" t="s">
        <v>154</v>
      </c>
      <c r="L23" s="238" t="str">
        <f>VAC_Optim_Scenario!B21</f>
        <v>HCC Streaming Video</v>
      </c>
      <c r="M23" s="241">
        <f t="shared" si="3"/>
        <v>15.506326222568678</v>
      </c>
      <c r="N23" s="242">
        <f t="shared" si="2"/>
        <v>25.202943517724009</v>
      </c>
      <c r="O23" s="241">
        <f t="shared" si="2"/>
        <v>15.506326222568678</v>
      </c>
      <c r="P23" s="242">
        <f t="shared" si="2"/>
        <v>25.202943517724009</v>
      </c>
      <c r="Q23" s="241">
        <f t="shared" si="2"/>
        <v>15.506326222568678</v>
      </c>
      <c r="R23" s="242">
        <f t="shared" si="2"/>
        <v>25.202943517724009</v>
      </c>
    </row>
    <row r="24" spans="2:19" x14ac:dyDescent="0.25">
      <c r="B24" s="54" t="s">
        <v>154</v>
      </c>
      <c r="C24" s="238" t="str">
        <f>VAC_Optim_Scenario!B22</f>
        <v>HCC Display</v>
      </c>
      <c r="D24" s="239">
        <f>VAC_Optim_Scenario!$H41</f>
        <v>3717254.8659999999</v>
      </c>
      <c r="E24" s="240">
        <f>VAC_Optim_Scenario!$J41</f>
        <v>20116113.448785383</v>
      </c>
      <c r="F24" s="239">
        <f>VAC_Optim_Scenario!$H41</f>
        <v>3717254.8659999999</v>
      </c>
      <c r="G24" s="240">
        <f>VAC_Optim_Scenario!$J41</f>
        <v>20116113.448785383</v>
      </c>
      <c r="H24" s="239">
        <f>VAC_Optim_Scenario!$H41</f>
        <v>3717254.8659999999</v>
      </c>
      <c r="I24" s="240">
        <f>VAC_Optim_Scenario!$J41</f>
        <v>20116113.448785383</v>
      </c>
      <c r="J24" s="243"/>
      <c r="K24" s="54" t="s">
        <v>154</v>
      </c>
      <c r="L24" s="238" t="str">
        <f>VAC_Optim_Scenario!B22</f>
        <v>HCC Display</v>
      </c>
      <c r="M24" s="241">
        <f t="shared" si="3"/>
        <v>3.7172548659999998</v>
      </c>
      <c r="N24" s="242">
        <f t="shared" si="2"/>
        <v>20.116113448785384</v>
      </c>
      <c r="O24" s="241">
        <f t="shared" si="2"/>
        <v>3.7172548659999998</v>
      </c>
      <c r="P24" s="242">
        <f t="shared" si="2"/>
        <v>20.116113448785384</v>
      </c>
      <c r="Q24" s="241">
        <f t="shared" si="2"/>
        <v>3.7172548659999998</v>
      </c>
      <c r="R24" s="242">
        <f t="shared" si="2"/>
        <v>20.116113448785384</v>
      </c>
    </row>
    <row r="25" spans="2:19" x14ac:dyDescent="0.25">
      <c r="B25" s="54" t="s">
        <v>154</v>
      </c>
      <c r="C25" s="238" t="str">
        <f>VAC_Optim_Scenario!B23</f>
        <v>HCC Paid Search</v>
      </c>
      <c r="D25" s="239">
        <f>VAC_Optim_Scenario!$H42</f>
        <v>64999.99999999853</v>
      </c>
      <c r="E25" s="240">
        <f>VAC_Optim_Scenario!$J42</f>
        <v>8181831.0105399201</v>
      </c>
      <c r="F25" s="239">
        <f>VAC_Optim_Scenario!$H42</f>
        <v>64999.99999999853</v>
      </c>
      <c r="G25" s="240">
        <f>VAC_Optim_Scenario!$J42</f>
        <v>8181831.0105399201</v>
      </c>
      <c r="H25" s="239">
        <f>VAC_Optim_Scenario!$H42</f>
        <v>64999.99999999853</v>
      </c>
      <c r="I25" s="240">
        <f>VAC_Optim_Scenario!$J42</f>
        <v>8181831.0105399201</v>
      </c>
      <c r="J25" s="243"/>
      <c r="K25" s="54" t="s">
        <v>154</v>
      </c>
      <c r="L25" s="238" t="str">
        <f>VAC_Optim_Scenario!B23</f>
        <v>HCC Paid Search</v>
      </c>
      <c r="M25" s="241">
        <f t="shared" si="3"/>
        <v>6.4999999999998531E-2</v>
      </c>
      <c r="N25" s="242">
        <f t="shared" si="2"/>
        <v>8.1818310105399199</v>
      </c>
      <c r="O25" s="241">
        <f t="shared" si="2"/>
        <v>6.4999999999998531E-2</v>
      </c>
      <c r="P25" s="242">
        <f t="shared" si="2"/>
        <v>8.1818310105399199</v>
      </c>
      <c r="Q25" s="241">
        <f t="shared" si="2"/>
        <v>6.4999999999998531E-2</v>
      </c>
      <c r="R25" s="242">
        <f t="shared" si="2"/>
        <v>8.1818310105399199</v>
      </c>
    </row>
    <row r="26" spans="2:19" x14ac:dyDescent="0.25">
      <c r="B26" s="54" t="s">
        <v>154</v>
      </c>
      <c r="C26" s="238" t="str">
        <f>VAC_Optim_Scenario!B24</f>
        <v>HCC Radio</v>
      </c>
      <c r="D26" s="239">
        <f>VAC_Optim_Scenario!$H43</f>
        <v>1201167.5</v>
      </c>
      <c r="E26" s="240">
        <f>VAC_Optim_Scenario!$J43</f>
        <v>6670385.2621720778</v>
      </c>
      <c r="F26" s="239">
        <f>VAC_Optim_Scenario!$H43</f>
        <v>1201167.5</v>
      </c>
      <c r="G26" s="240">
        <f>VAC_Optim_Scenario!$J43</f>
        <v>6670385.2621720778</v>
      </c>
      <c r="H26" s="239">
        <f>VAC_Optim_Scenario!$H43</f>
        <v>1201167.5</v>
      </c>
      <c r="I26" s="240">
        <f>VAC_Optim_Scenario!$J43</f>
        <v>6670385.2621720778</v>
      </c>
      <c r="J26" s="243"/>
      <c r="K26" s="54" t="s">
        <v>154</v>
      </c>
      <c r="L26" s="238" t="str">
        <f>VAC_Optim_Scenario!B24</f>
        <v>HCC Radio</v>
      </c>
      <c r="M26" s="241">
        <f t="shared" si="3"/>
        <v>1.2011674999999999</v>
      </c>
      <c r="N26" s="242">
        <f t="shared" si="2"/>
        <v>6.6703852621720774</v>
      </c>
      <c r="O26" s="241">
        <f t="shared" si="2"/>
        <v>1.2011674999999999</v>
      </c>
      <c r="P26" s="242">
        <f t="shared" si="2"/>
        <v>6.6703852621720774</v>
      </c>
      <c r="Q26" s="241">
        <f t="shared" si="2"/>
        <v>1.2011674999999999</v>
      </c>
      <c r="R26" s="242">
        <f t="shared" si="2"/>
        <v>6.6703852621720774</v>
      </c>
    </row>
    <row r="27" spans="2:19" x14ac:dyDescent="0.25">
      <c r="B27" s="252" t="s">
        <v>154</v>
      </c>
      <c r="C27" s="217" t="str">
        <f>VAC_Optim_Scenario!B25</f>
        <v>HCC Linear TV</v>
      </c>
      <c r="D27" s="253">
        <f>VAC_Optim_Scenario!$H44</f>
        <v>18679386.206453495</v>
      </c>
      <c r="E27" s="253">
        <f>VAC_Optim_Scenario!$J44</f>
        <v>30360221.38647721</v>
      </c>
      <c r="F27" s="253">
        <f>VAC_Optim_Scenario!$H44</f>
        <v>18679386.206453495</v>
      </c>
      <c r="G27" s="253">
        <f>VAC_Optim_Scenario!$J44</f>
        <v>30360221.38647721</v>
      </c>
      <c r="H27" s="253">
        <f>VAC_Optim_Scenario!$H44</f>
        <v>18679386.206453495</v>
      </c>
      <c r="I27" s="253">
        <f>VAC_Optim_Scenario!$J44</f>
        <v>30360221.38647721</v>
      </c>
      <c r="J27" s="243"/>
      <c r="K27" s="252" t="s">
        <v>154</v>
      </c>
      <c r="L27" s="217" t="str">
        <f>VAC_Optim_Scenario!B25</f>
        <v>HCC Linear TV</v>
      </c>
      <c r="M27" s="246">
        <f t="shared" si="3"/>
        <v>18.679386206453493</v>
      </c>
      <c r="N27" s="246">
        <f t="shared" si="2"/>
        <v>30.36022138647721</v>
      </c>
      <c r="O27" s="246">
        <f t="shared" si="2"/>
        <v>18.679386206453493</v>
      </c>
      <c r="P27" s="246">
        <f t="shared" si="2"/>
        <v>30.36022138647721</v>
      </c>
      <c r="Q27" s="246">
        <f t="shared" si="2"/>
        <v>18.679386206453493</v>
      </c>
      <c r="R27" s="246">
        <f t="shared" si="2"/>
        <v>30.36022138647721</v>
      </c>
    </row>
    <row r="30" spans="2:19" ht="34.35" customHeight="1" x14ac:dyDescent="0.25">
      <c r="C30" s="273" t="s">
        <v>3</v>
      </c>
      <c r="D30" s="274" t="s">
        <v>223</v>
      </c>
      <c r="E30" s="244">
        <v>-0.5</v>
      </c>
      <c r="F30" s="244">
        <v>2</v>
      </c>
      <c r="G30" s="244">
        <v>-0.4</v>
      </c>
      <c r="H30" s="244">
        <v>0.4</v>
      </c>
      <c r="J30" s="97" t="s">
        <v>3</v>
      </c>
      <c r="K30" s="97" t="s">
        <v>208</v>
      </c>
      <c r="L30" s="97" t="s">
        <v>209</v>
      </c>
      <c r="M30" s="97" t="s">
        <v>210</v>
      </c>
      <c r="N30" s="97" t="s">
        <v>226</v>
      </c>
      <c r="O30" s="97" t="s">
        <v>228</v>
      </c>
      <c r="P30" s="97" t="s">
        <v>211</v>
      </c>
      <c r="Q30" s="97" t="s">
        <v>212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303" t="str">
        <f>VAC_Optim_Scenario!B17</f>
        <v>HCC InOffice</v>
      </c>
      <c r="D31" s="236">
        <f>M19</f>
        <v>0.93804304598603305</v>
      </c>
      <c r="E31" s="236">
        <f>O5</f>
        <v>0.93804304598603305</v>
      </c>
      <c r="F31" s="236">
        <f>Q5</f>
        <v>0.93804304598603305</v>
      </c>
      <c r="G31" s="236">
        <f>O19</f>
        <v>0.93804304598603305</v>
      </c>
      <c r="H31" s="236">
        <f>Q19</f>
        <v>0.93804304598603305</v>
      </c>
      <c r="J31" s="245">
        <v>-0.5</v>
      </c>
      <c r="K31" s="246">
        <f>E$31</f>
        <v>0.93804304598603305</v>
      </c>
      <c r="L31" s="246">
        <f>E$32</f>
        <v>13.654847336</v>
      </c>
      <c r="M31" s="246">
        <f>E$33</f>
        <v>2.2763</v>
      </c>
      <c r="N31" s="246">
        <f>E$34</f>
        <v>1.4453127520000002</v>
      </c>
      <c r="O31" s="246">
        <f>E$35</f>
        <v>15.506326222568678</v>
      </c>
      <c r="P31" s="246">
        <f>E$36</f>
        <v>3.7172548659999998</v>
      </c>
      <c r="Q31" s="246">
        <f>E$37</f>
        <v>6.4999999999998531E-2</v>
      </c>
      <c r="R31" s="246">
        <f>E$38</f>
        <v>1.2011674999999999</v>
      </c>
      <c r="S31" s="246">
        <f>E$39</f>
        <v>18.679386206453493</v>
      </c>
    </row>
    <row r="32" spans="2:19" x14ac:dyDescent="0.25">
      <c r="B32" s="54" t="s">
        <v>154</v>
      </c>
      <c r="C32" s="304" t="str">
        <f>VAC_Optim_Scenario!B18</f>
        <v>HCP MCM</v>
      </c>
      <c r="D32" s="241">
        <f t="shared" ref="D32:D39" si="4">M20</f>
        <v>13.654847336</v>
      </c>
      <c r="E32" s="241">
        <f t="shared" ref="E32:E39" si="5">O6</f>
        <v>13.654847336</v>
      </c>
      <c r="F32" s="241">
        <f t="shared" ref="F32:F39" si="6">Q6</f>
        <v>13.654847336</v>
      </c>
      <c r="G32" s="241">
        <f t="shared" ref="G32:G39" si="7">O20</f>
        <v>13.654847336</v>
      </c>
      <c r="H32" s="241">
        <f t="shared" ref="H32:H39" si="8">Q20</f>
        <v>13.654847336</v>
      </c>
      <c r="J32" s="245">
        <v>-0.4</v>
      </c>
      <c r="K32" s="246">
        <f>G$31</f>
        <v>0.93804304598603305</v>
      </c>
      <c r="L32" s="246">
        <f>G$32</f>
        <v>13.654847336</v>
      </c>
      <c r="M32" s="246">
        <f>G$33</f>
        <v>2.2763</v>
      </c>
      <c r="N32" s="246">
        <f>G$34</f>
        <v>1.4453127520000002</v>
      </c>
      <c r="O32" s="246">
        <f>G$35</f>
        <v>15.506326222568678</v>
      </c>
      <c r="P32" s="246">
        <f>G$36</f>
        <v>3.7172548659999998</v>
      </c>
      <c r="Q32" s="246">
        <f>G$37</f>
        <v>6.4999999999998531E-2</v>
      </c>
      <c r="R32" s="246">
        <f>G$38</f>
        <v>1.2011674999999999</v>
      </c>
      <c r="S32" s="246">
        <f>G$39</f>
        <v>18.679386206453493</v>
      </c>
    </row>
    <row r="33" spans="2:22" x14ac:dyDescent="0.25">
      <c r="B33" s="54" t="s">
        <v>154</v>
      </c>
      <c r="C33" s="304" t="str">
        <f>VAC_Optim_Scenario!B19</f>
        <v>HCC Social</v>
      </c>
      <c r="D33" s="241">
        <f t="shared" si="4"/>
        <v>2.2763</v>
      </c>
      <c r="E33" s="241">
        <f t="shared" si="5"/>
        <v>2.2763</v>
      </c>
      <c r="F33" s="241">
        <f t="shared" si="6"/>
        <v>2.2763</v>
      </c>
      <c r="G33" s="241">
        <f t="shared" si="7"/>
        <v>2.2763</v>
      </c>
      <c r="H33" s="241">
        <f t="shared" si="8"/>
        <v>2.2763</v>
      </c>
      <c r="J33" s="245" t="s">
        <v>223</v>
      </c>
      <c r="K33" s="246">
        <f>D$31</f>
        <v>0.93804304598603305</v>
      </c>
      <c r="L33" s="246">
        <f>D$32</f>
        <v>13.654847336</v>
      </c>
      <c r="M33" s="246">
        <f>D$33</f>
        <v>2.2763</v>
      </c>
      <c r="N33" s="246">
        <f>D$34</f>
        <v>1.4453127520000002</v>
      </c>
      <c r="O33" s="246">
        <f>D$35</f>
        <v>15.506326222568678</v>
      </c>
      <c r="P33" s="246">
        <f>D$36</f>
        <v>3.7172548659999998</v>
      </c>
      <c r="Q33" s="246">
        <f>D$37</f>
        <v>6.4999999999998531E-2</v>
      </c>
      <c r="R33" s="246">
        <f>D$38</f>
        <v>1.2011674999999999</v>
      </c>
      <c r="S33" s="246">
        <f>D$39</f>
        <v>18.679386206453493</v>
      </c>
    </row>
    <row r="34" spans="2:22" x14ac:dyDescent="0.25">
      <c r="B34" s="54" t="s">
        <v>154</v>
      </c>
      <c r="C34" s="304" t="str">
        <f>VAC_Optim_Scenario!B20</f>
        <v>HCC Online Video</v>
      </c>
      <c r="D34" s="241">
        <f t="shared" si="4"/>
        <v>1.4453127520000002</v>
      </c>
      <c r="E34" s="241">
        <f t="shared" si="5"/>
        <v>1.4453127520000002</v>
      </c>
      <c r="F34" s="241">
        <f t="shared" si="6"/>
        <v>1.4453127520000002</v>
      </c>
      <c r="G34" s="241">
        <f t="shared" si="7"/>
        <v>1.4453127520000002</v>
      </c>
      <c r="H34" s="241">
        <f t="shared" si="8"/>
        <v>1.4453127520000002</v>
      </c>
      <c r="J34" s="245">
        <v>0.4</v>
      </c>
      <c r="K34" s="246">
        <f>H$31</f>
        <v>0.93804304598603305</v>
      </c>
      <c r="L34" s="246">
        <f>H$32</f>
        <v>13.654847336</v>
      </c>
      <c r="M34" s="246">
        <f>H$33</f>
        <v>2.2763</v>
      </c>
      <c r="N34" s="246">
        <f>H$34</f>
        <v>1.4453127520000002</v>
      </c>
      <c r="O34" s="246">
        <f>H$35</f>
        <v>15.506326222568678</v>
      </c>
      <c r="P34" s="246">
        <f>H$36</f>
        <v>3.7172548659999998</v>
      </c>
      <c r="Q34" s="246">
        <f>H$37</f>
        <v>6.4999999999998531E-2</v>
      </c>
      <c r="R34" s="246">
        <f>H$38</f>
        <v>1.2011674999999999</v>
      </c>
      <c r="S34" s="246">
        <f>H$39</f>
        <v>18.679386206453493</v>
      </c>
    </row>
    <row r="35" spans="2:22" x14ac:dyDescent="0.25">
      <c r="B35" s="54" t="s">
        <v>154</v>
      </c>
      <c r="C35" s="304" t="str">
        <f>VAC_Optim_Scenario!B21</f>
        <v>HCC Streaming Video</v>
      </c>
      <c r="D35" s="241">
        <f t="shared" si="4"/>
        <v>15.506326222568678</v>
      </c>
      <c r="E35" s="241">
        <f t="shared" si="5"/>
        <v>15.506326222568678</v>
      </c>
      <c r="F35" s="241">
        <f t="shared" si="6"/>
        <v>15.506326222568678</v>
      </c>
      <c r="G35" s="241">
        <f t="shared" si="7"/>
        <v>15.506326222568678</v>
      </c>
      <c r="H35" s="241">
        <f t="shared" si="8"/>
        <v>15.506326222568678</v>
      </c>
      <c r="J35" s="244">
        <v>2</v>
      </c>
      <c r="K35" s="246">
        <f>F$31</f>
        <v>0.93804304598603305</v>
      </c>
      <c r="L35" s="246">
        <f>F$32</f>
        <v>13.654847336</v>
      </c>
      <c r="M35" s="246">
        <f>F$33</f>
        <v>2.2763</v>
      </c>
      <c r="N35" s="246">
        <f>F$34</f>
        <v>1.4453127520000002</v>
      </c>
      <c r="O35" s="246">
        <f>F$35</f>
        <v>15.506326222568678</v>
      </c>
      <c r="P35" s="246">
        <f>F$36</f>
        <v>3.7172548659999998</v>
      </c>
      <c r="Q35" s="246">
        <f>F$37</f>
        <v>6.4999999999998531E-2</v>
      </c>
      <c r="R35" s="246">
        <f>F$38</f>
        <v>1.2011674999999999</v>
      </c>
      <c r="S35" s="246">
        <f>F$39</f>
        <v>18.679386206453493</v>
      </c>
    </row>
    <row r="36" spans="2:22" x14ac:dyDescent="0.25">
      <c r="B36" s="54" t="s">
        <v>154</v>
      </c>
      <c r="C36" s="304" t="str">
        <f>VAC_Optim_Scenario!B22</f>
        <v>HCC Display</v>
      </c>
      <c r="D36" s="241">
        <f t="shared" si="4"/>
        <v>3.7172548659999998</v>
      </c>
      <c r="E36" s="241">
        <f t="shared" si="5"/>
        <v>3.7172548659999998</v>
      </c>
      <c r="F36" s="241">
        <f t="shared" si="6"/>
        <v>3.7172548659999998</v>
      </c>
      <c r="G36" s="241">
        <f t="shared" si="7"/>
        <v>3.7172548659999998</v>
      </c>
      <c r="H36" s="241">
        <f t="shared" si="8"/>
        <v>3.7172548659999998</v>
      </c>
    </row>
    <row r="37" spans="2:22" x14ac:dyDescent="0.25">
      <c r="B37" s="54" t="s">
        <v>154</v>
      </c>
      <c r="C37" s="304" t="str">
        <f>VAC_Optim_Scenario!B23</f>
        <v>HCC Paid Search</v>
      </c>
      <c r="D37" s="241">
        <f t="shared" si="4"/>
        <v>6.4999999999998531E-2</v>
      </c>
      <c r="E37" s="241">
        <f t="shared" si="5"/>
        <v>6.4999999999998531E-2</v>
      </c>
      <c r="F37" s="241">
        <f t="shared" si="6"/>
        <v>6.4999999999998531E-2</v>
      </c>
      <c r="G37" s="241">
        <f t="shared" si="7"/>
        <v>6.4999999999998531E-2</v>
      </c>
      <c r="H37" s="241">
        <f t="shared" si="8"/>
        <v>6.4999999999998531E-2</v>
      </c>
      <c r="J37" s="264"/>
      <c r="K37" s="247"/>
      <c r="L37" s="247"/>
      <c r="M37" s="247"/>
      <c r="N37" s="247"/>
      <c r="O37" s="247"/>
      <c r="P37" s="247"/>
      <c r="Q37" s="247"/>
      <c r="R37" s="247"/>
    </row>
    <row r="38" spans="2:22" x14ac:dyDescent="0.25">
      <c r="B38" s="54" t="s">
        <v>154</v>
      </c>
      <c r="C38" s="304" t="str">
        <f>VAC_Optim_Scenario!B24</f>
        <v>HCC Radio</v>
      </c>
      <c r="D38" s="241">
        <f t="shared" si="4"/>
        <v>1.2011674999999999</v>
      </c>
      <c r="E38" s="241">
        <f t="shared" si="5"/>
        <v>1.2011674999999999</v>
      </c>
      <c r="F38" s="241">
        <f t="shared" si="6"/>
        <v>1.2011674999999999</v>
      </c>
      <c r="G38" s="241">
        <f t="shared" si="7"/>
        <v>1.2011674999999999</v>
      </c>
      <c r="H38" s="241">
        <f t="shared" si="8"/>
        <v>1.2011674999999999</v>
      </c>
      <c r="J38" s="265"/>
      <c r="K38" s="248"/>
      <c r="L38" s="248"/>
      <c r="M38" s="248"/>
      <c r="N38" s="248"/>
      <c r="O38" s="248"/>
      <c r="P38" s="248"/>
      <c r="Q38" s="248"/>
      <c r="R38" s="248"/>
    </row>
    <row r="39" spans="2:22" x14ac:dyDescent="0.25">
      <c r="B39" s="97" t="s">
        <v>154</v>
      </c>
      <c r="C39" s="305" t="str">
        <f>VAC_Optim_Scenario!B25</f>
        <v>HCC Linear TV</v>
      </c>
      <c r="D39" s="241">
        <f t="shared" si="4"/>
        <v>18.679386206453493</v>
      </c>
      <c r="E39" s="241">
        <f t="shared" si="5"/>
        <v>18.679386206453493</v>
      </c>
      <c r="F39" s="241">
        <f t="shared" si="6"/>
        <v>18.679386206453493</v>
      </c>
      <c r="G39" s="241">
        <f t="shared" si="7"/>
        <v>18.679386206453493</v>
      </c>
      <c r="H39" s="241">
        <f t="shared" si="8"/>
        <v>18.679386206453493</v>
      </c>
      <c r="J39" s="264"/>
      <c r="K39" s="247"/>
      <c r="L39" s="247"/>
      <c r="M39" s="247"/>
      <c r="N39" s="247"/>
      <c r="O39" s="247"/>
      <c r="P39" s="247"/>
      <c r="Q39" s="247"/>
      <c r="R39" s="247"/>
    </row>
    <row r="40" spans="2:22" x14ac:dyDescent="0.25">
      <c r="L40" s="168"/>
      <c r="M40" s="168"/>
      <c r="O40" s="168"/>
      <c r="P40" s="168"/>
    </row>
    <row r="41" spans="2:22" x14ac:dyDescent="0.25">
      <c r="L41" s="246"/>
      <c r="M41" s="246"/>
      <c r="N41" s="246"/>
      <c r="O41" s="246"/>
      <c r="P41" s="246"/>
    </row>
    <row r="42" spans="2:22" x14ac:dyDescent="0.25">
      <c r="L42" s="246"/>
      <c r="M42" s="246"/>
      <c r="N42" s="246"/>
      <c r="O42" s="246"/>
      <c r="P42" s="246"/>
    </row>
    <row r="43" spans="2:22" x14ac:dyDescent="0.25">
      <c r="L43" s="246"/>
      <c r="M43" s="246"/>
      <c r="N43" s="246"/>
      <c r="O43" s="246"/>
      <c r="P43" s="246"/>
    </row>
    <row r="44" spans="2:22" x14ac:dyDescent="0.25">
      <c r="L44" s="246"/>
      <c r="M44" s="246"/>
      <c r="N44" s="246"/>
      <c r="O44" s="246"/>
      <c r="P44" s="246"/>
      <c r="S44" s="249"/>
      <c r="T44" s="249"/>
      <c r="V44" s="249"/>
    </row>
    <row r="45" spans="2:22" x14ac:dyDescent="0.25">
      <c r="L45" s="246"/>
      <c r="M45" s="246"/>
      <c r="N45" s="246"/>
      <c r="O45" s="246"/>
      <c r="P45" s="250"/>
      <c r="S45" s="251"/>
      <c r="T45" s="251"/>
      <c r="U45" s="251"/>
      <c r="V45" s="251"/>
    </row>
    <row r="46" spans="2:22" x14ac:dyDescent="0.25">
      <c r="L46" s="246"/>
      <c r="M46" s="246"/>
      <c r="N46" s="246"/>
      <c r="O46" s="246"/>
      <c r="P46" s="246"/>
      <c r="S46" s="251"/>
      <c r="T46" s="251"/>
      <c r="U46" s="251"/>
      <c r="V46" s="251"/>
    </row>
    <row r="47" spans="2:22" x14ac:dyDescent="0.25">
      <c r="L47" s="246"/>
      <c r="M47" s="246"/>
      <c r="N47" s="246"/>
      <c r="O47" s="246"/>
      <c r="P47" s="246"/>
    </row>
    <row r="48" spans="2:22" x14ac:dyDescent="0.25">
      <c r="L48" s="246"/>
      <c r="M48" s="246"/>
      <c r="N48" s="246"/>
      <c r="O48" s="246"/>
      <c r="P48" s="246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2"/>
  <sheetViews>
    <sheetView tabSelected="1" topLeftCell="A5" workbookViewId="0">
      <selection activeCell="G8" sqref="G8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1.8554687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376" t="s">
        <v>185</v>
      </c>
      <c r="H4" s="376"/>
      <c r="I4" s="377" t="s">
        <v>186</v>
      </c>
      <c r="J4" s="377"/>
      <c r="K4" s="378" t="s">
        <v>187</v>
      </c>
      <c r="L4" s="378"/>
    </row>
    <row r="5" spans="2:13" ht="38.85" customHeight="1" x14ac:dyDescent="0.25">
      <c r="B5" s="174"/>
      <c r="C5" s="260" t="s">
        <v>188</v>
      </c>
      <c r="D5" s="260" t="s">
        <v>189</v>
      </c>
      <c r="E5" s="158" t="s">
        <v>190</v>
      </c>
      <c r="F5" s="260" t="s">
        <v>289</v>
      </c>
      <c r="G5" s="284" t="s">
        <v>229</v>
      </c>
      <c r="H5" s="284"/>
      <c r="I5" s="284" t="s">
        <v>229</v>
      </c>
      <c r="J5" s="284"/>
      <c r="K5" s="284" t="s">
        <v>229</v>
      </c>
      <c r="L5" s="284"/>
      <c r="M5" s="285"/>
    </row>
    <row r="6" spans="2:13" x14ac:dyDescent="0.25">
      <c r="C6" s="160">
        <f>$C$8+E6</f>
        <v>71971310.615999997</v>
      </c>
      <c r="D6" s="161">
        <v>0.2</v>
      </c>
      <c r="E6" s="162">
        <f t="shared" ref="E6:E10" si="0">D6*$C$8</f>
        <v>11995218.436000001</v>
      </c>
      <c r="F6" s="160"/>
      <c r="G6" s="160">
        <f>'Scenario deep dive'!X17</f>
        <v>200230491.01534268</v>
      </c>
      <c r="H6" s="160"/>
      <c r="I6" s="160">
        <f t="shared" ref="I6:J10" si="1">G6-$F$8</f>
        <v>28658348.604068846</v>
      </c>
      <c r="J6" s="160">
        <f t="shared" si="1"/>
        <v>-171572142.41127384</v>
      </c>
      <c r="K6" s="163">
        <f t="shared" ref="K6:L10" si="2">G6/$C6</f>
        <v>2.7820876027069219</v>
      </c>
      <c r="L6" s="163">
        <f t="shared" si="2"/>
        <v>0</v>
      </c>
    </row>
    <row r="7" spans="2:13" x14ac:dyDescent="0.25">
      <c r="C7" s="160">
        <f>$C$8+E7</f>
        <v>65973701.398000002</v>
      </c>
      <c r="D7" s="161">
        <v>0.1</v>
      </c>
      <c r="E7" s="162">
        <f t="shared" si="0"/>
        <v>5997609.2180000003</v>
      </c>
      <c r="F7" s="160"/>
      <c r="G7" s="160">
        <f>'Scenario deep dive'!T17</f>
        <v>193986231.83569983</v>
      </c>
      <c r="H7" s="164"/>
      <c r="I7" s="160">
        <f t="shared" si="1"/>
        <v>22414089.424425989</v>
      </c>
      <c r="J7" s="160">
        <f t="shared" si="1"/>
        <v>-171572142.41127384</v>
      </c>
      <c r="K7" s="163">
        <f t="shared" si="2"/>
        <v>2.9403569562580363</v>
      </c>
      <c r="L7" s="163">
        <f t="shared" si="2"/>
        <v>0</v>
      </c>
    </row>
    <row r="8" spans="2:13" x14ac:dyDescent="0.25">
      <c r="B8" s="165"/>
      <c r="C8" s="160">
        <f>'Scenario deep dive'!C17</f>
        <v>59976092.18</v>
      </c>
      <c r="D8" s="161">
        <v>0</v>
      </c>
      <c r="E8" s="162">
        <f t="shared" si="0"/>
        <v>0</v>
      </c>
      <c r="F8" s="160">
        <f>'Scenario deep dive'!D17</f>
        <v>171572142.41127384</v>
      </c>
      <c r="G8" s="160">
        <f>'Scenario deep dive'!H17</f>
        <v>187328616.08619222</v>
      </c>
      <c r="H8" s="160"/>
      <c r="I8" s="160">
        <f t="shared" si="1"/>
        <v>15756473.674918383</v>
      </c>
      <c r="J8" s="160">
        <f t="shared" si="1"/>
        <v>-171572142.41127384</v>
      </c>
      <c r="K8" s="163">
        <f t="shared" si="2"/>
        <v>3.1233881581344507</v>
      </c>
      <c r="L8" s="163">
        <f t="shared" si="2"/>
        <v>0</v>
      </c>
    </row>
    <row r="9" spans="2:13" x14ac:dyDescent="0.25">
      <c r="C9" s="160">
        <f>$C$8+E9</f>
        <v>53978482.961999997</v>
      </c>
      <c r="D9" s="161">
        <v>-0.1</v>
      </c>
      <c r="E9" s="162">
        <f t="shared" si="0"/>
        <v>-5997609.2180000003</v>
      </c>
      <c r="F9" s="160"/>
      <c r="G9" s="160">
        <f>'Scenario deep dive'!L17</f>
        <v>180175237.53389466</v>
      </c>
      <c r="H9" s="160"/>
      <c r="I9" s="160">
        <f t="shared" si="1"/>
        <v>8603095.122620821</v>
      </c>
      <c r="J9" s="160">
        <f t="shared" si="1"/>
        <v>-171572142.41127384</v>
      </c>
      <c r="K9" s="163">
        <f t="shared" si="2"/>
        <v>3.337908508113042</v>
      </c>
      <c r="L9" s="163">
        <f t="shared" si="2"/>
        <v>0</v>
      </c>
    </row>
    <row r="10" spans="2:13" x14ac:dyDescent="0.25">
      <c r="C10" s="160">
        <f>$C$8+E10</f>
        <v>47980873.744000003</v>
      </c>
      <c r="D10" s="161">
        <v>-0.2</v>
      </c>
      <c r="E10" s="162">
        <f t="shared" si="0"/>
        <v>-11995218.436000001</v>
      </c>
      <c r="F10" s="160"/>
      <c r="G10" s="160">
        <f>'Scenario deep dive'!P17</f>
        <v>164864104.31298712</v>
      </c>
      <c r="H10" s="160"/>
      <c r="I10" s="160">
        <f t="shared" si="1"/>
        <v>-6708038.0982867181</v>
      </c>
      <c r="J10" s="160">
        <f t="shared" si="1"/>
        <v>-171572142.41127384</v>
      </c>
      <c r="K10" s="163">
        <f t="shared" si="2"/>
        <v>3.4360379761446787</v>
      </c>
      <c r="L10" s="163">
        <f t="shared" si="2"/>
        <v>0</v>
      </c>
    </row>
    <row r="11" spans="2:13" x14ac:dyDescent="0.25">
      <c r="D11" s="166"/>
      <c r="E11" s="166"/>
    </row>
    <row r="12" spans="2:13" x14ac:dyDescent="0.25">
      <c r="F12" s="379" t="s">
        <v>191</v>
      </c>
      <c r="G12" s="379"/>
      <c r="H12" s="379" t="s">
        <v>192</v>
      </c>
      <c r="I12" s="379"/>
    </row>
    <row r="13" spans="2:13" x14ac:dyDescent="0.25">
      <c r="C13" s="157" t="s">
        <v>188</v>
      </c>
      <c r="D13" s="157" t="s">
        <v>189</v>
      </c>
      <c r="E13" s="97" t="s">
        <v>193</v>
      </c>
      <c r="F13" s="284" t="s">
        <v>229</v>
      </c>
      <c r="G13" s="159"/>
      <c r="H13" s="284" t="s">
        <v>229</v>
      </c>
      <c r="I13" s="159"/>
    </row>
    <row r="14" spans="2:13" x14ac:dyDescent="0.25">
      <c r="C14" s="167">
        <f t="shared" ref="C14:D18" si="3">C6</f>
        <v>71971310.615999997</v>
      </c>
      <c r="D14" s="168">
        <f t="shared" si="3"/>
        <v>0.2</v>
      </c>
      <c r="E14" s="167">
        <f>C14-C15</f>
        <v>5997609.2179999948</v>
      </c>
      <c r="F14" s="169">
        <f t="shared" ref="F14:G17" si="4">G6-G7</f>
        <v>6244259.1796428561</v>
      </c>
      <c r="G14" s="169">
        <f t="shared" si="4"/>
        <v>0</v>
      </c>
      <c r="H14" s="163">
        <f t="shared" ref="H14:I17" si="5">F14/$E14</f>
        <v>1.0411247136446664</v>
      </c>
      <c r="I14" s="163">
        <f t="shared" si="5"/>
        <v>0</v>
      </c>
    </row>
    <row r="15" spans="2:13" x14ac:dyDescent="0.25">
      <c r="C15" s="167">
        <f t="shared" si="3"/>
        <v>65973701.398000002</v>
      </c>
      <c r="D15" s="168">
        <f t="shared" si="3"/>
        <v>0.1</v>
      </c>
      <c r="E15" s="167">
        <f>C15-C16</f>
        <v>5997609.2180000022</v>
      </c>
      <c r="F15" s="169">
        <f t="shared" si="4"/>
        <v>6657615.749507606</v>
      </c>
      <c r="G15" s="169">
        <f t="shared" si="4"/>
        <v>0</v>
      </c>
      <c r="H15" s="163">
        <f t="shared" si="5"/>
        <v>1.1100449374938925</v>
      </c>
      <c r="I15" s="163">
        <f t="shared" si="5"/>
        <v>0</v>
      </c>
    </row>
    <row r="16" spans="2:13" x14ac:dyDescent="0.25">
      <c r="C16" s="167">
        <f t="shared" si="3"/>
        <v>59976092.18</v>
      </c>
      <c r="D16" s="168">
        <f t="shared" si="3"/>
        <v>0</v>
      </c>
      <c r="E16" s="167">
        <f>C16-C17</f>
        <v>5997609.2180000022</v>
      </c>
      <c r="F16" s="169">
        <f t="shared" si="4"/>
        <v>7153378.5522975624</v>
      </c>
      <c r="G16" s="169">
        <f t="shared" si="4"/>
        <v>0</v>
      </c>
      <c r="H16" s="163">
        <f t="shared" si="5"/>
        <v>1.1927050083271298</v>
      </c>
      <c r="I16" s="163">
        <f t="shared" si="5"/>
        <v>0</v>
      </c>
    </row>
    <row r="17" spans="3:9" x14ac:dyDescent="0.25">
      <c r="C17" s="167">
        <f t="shared" si="3"/>
        <v>53978482.961999997</v>
      </c>
      <c r="D17" s="168">
        <f t="shared" si="3"/>
        <v>-0.1</v>
      </c>
      <c r="E17" s="167">
        <f>C17-C18</f>
        <v>5997609.2179999948</v>
      </c>
      <c r="F17" s="169">
        <f t="shared" si="4"/>
        <v>15311133.220907539</v>
      </c>
      <c r="G17" s="169">
        <f t="shared" si="4"/>
        <v>0</v>
      </c>
      <c r="H17" s="163">
        <f t="shared" si="5"/>
        <v>2.5528727638599467</v>
      </c>
      <c r="I17" s="163">
        <f t="shared" si="5"/>
        <v>0</v>
      </c>
    </row>
    <row r="18" spans="3:9" x14ac:dyDescent="0.25">
      <c r="C18" s="167">
        <f t="shared" si="3"/>
        <v>47980873.744000003</v>
      </c>
      <c r="D18" s="168">
        <f t="shared" si="3"/>
        <v>-0.2</v>
      </c>
      <c r="E18" s="167"/>
      <c r="F18" s="169"/>
      <c r="G18" s="169"/>
      <c r="H18" s="163"/>
    </row>
    <row r="19" spans="3:9" x14ac:dyDescent="0.25">
      <c r="H19" s="163"/>
    </row>
    <row r="55" spans="21:22" x14ac:dyDescent="0.25">
      <c r="U55" s="170"/>
      <c r="V55" s="170"/>
    </row>
    <row r="56" spans="21:22" x14ac:dyDescent="0.25">
      <c r="U56" s="170"/>
      <c r="V56" s="170"/>
    </row>
    <row r="57" spans="21:22" x14ac:dyDescent="0.25">
      <c r="U57" s="170"/>
      <c r="V57" s="170"/>
    </row>
    <row r="58" spans="21:22" x14ac:dyDescent="0.25">
      <c r="U58" s="170"/>
      <c r="V58" s="170"/>
    </row>
    <row r="59" spans="21:22" x14ac:dyDescent="0.25">
      <c r="U59" s="170"/>
      <c r="V59" s="170"/>
    </row>
    <row r="60" spans="21:22" x14ac:dyDescent="0.25">
      <c r="U60" s="170"/>
      <c r="V60" s="170"/>
    </row>
    <row r="61" spans="21:22" x14ac:dyDescent="0.25">
      <c r="U61" s="170"/>
      <c r="V61" s="170"/>
    </row>
    <row r="62" spans="21:22" x14ac:dyDescent="0.25">
      <c r="U62" s="170"/>
      <c r="V62" s="170"/>
    </row>
  </sheetData>
  <mergeCells count="5">
    <mergeCell ref="G4:H4"/>
    <mergeCell ref="I4:J4"/>
    <mergeCell ref="K4:L4"/>
    <mergeCell ref="F12:G12"/>
    <mergeCell ref="H12:I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13" zoomScale="115" zoomScaleNormal="115" workbookViewId="0">
      <selection activeCell="A20" sqref="A20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9" t="s">
        <v>214</v>
      </c>
    </row>
    <row r="2" spans="2:20" ht="15.75" thickBot="1" x14ac:dyDescent="0.3"/>
    <row r="3" spans="2:20" ht="30.2" customHeight="1" x14ac:dyDescent="0.25">
      <c r="B3" s="371" t="s">
        <v>2</v>
      </c>
      <c r="C3" s="373" t="s">
        <v>3</v>
      </c>
      <c r="D3" s="374" t="s">
        <v>215</v>
      </c>
      <c r="E3" s="375"/>
      <c r="F3" s="374" t="s">
        <v>216</v>
      </c>
      <c r="G3" s="375"/>
      <c r="H3" s="374" t="s">
        <v>217</v>
      </c>
      <c r="I3" s="375"/>
      <c r="K3" s="371" t="s">
        <v>2</v>
      </c>
      <c r="L3" s="373" t="s">
        <v>3</v>
      </c>
      <c r="M3" s="374" t="s">
        <v>215</v>
      </c>
      <c r="N3" s="375"/>
      <c r="O3" s="374" t="s">
        <v>216</v>
      </c>
      <c r="P3" s="375"/>
      <c r="Q3" s="374" t="s">
        <v>217</v>
      </c>
      <c r="R3" s="375"/>
    </row>
    <row r="4" spans="2:20" ht="25.5" x14ac:dyDescent="0.25">
      <c r="B4" s="372"/>
      <c r="C4" s="372"/>
      <c r="D4" s="230" t="s">
        <v>218</v>
      </c>
      <c r="E4" s="231" t="s">
        <v>219</v>
      </c>
      <c r="F4" s="230" t="s">
        <v>218</v>
      </c>
      <c r="G4" s="231" t="s">
        <v>219</v>
      </c>
      <c r="H4" s="230" t="s">
        <v>218</v>
      </c>
      <c r="I4" s="231" t="s">
        <v>219</v>
      </c>
      <c r="K4" s="372"/>
      <c r="L4" s="372"/>
      <c r="M4" s="230" t="s">
        <v>218</v>
      </c>
      <c r="N4" s="231" t="s">
        <v>219</v>
      </c>
      <c r="O4" s="230" t="s">
        <v>218</v>
      </c>
      <c r="P4" s="231" t="s">
        <v>219</v>
      </c>
      <c r="Q4" s="230" t="s">
        <v>218</v>
      </c>
      <c r="R4" s="231" t="s">
        <v>219</v>
      </c>
    </row>
    <row r="5" spans="2:20" x14ac:dyDescent="0.25">
      <c r="B5" s="53" t="s">
        <v>154</v>
      </c>
      <c r="C5" s="232" t="str">
        <f>VAC_Optim_Scenario!B17</f>
        <v>HCC InOffice</v>
      </c>
      <c r="D5" s="233">
        <f>VAC_Optim_Scenario!$H36</f>
        <v>938043.04598603304</v>
      </c>
      <c r="E5" s="234">
        <f>VAC_Optim_Scenario!$J36</f>
        <v>1454236.8860231375</v>
      </c>
      <c r="F5" s="233">
        <v>2304599.9176017214</v>
      </c>
      <c r="G5" s="234">
        <v>5246917.9893056815</v>
      </c>
      <c r="H5" s="233">
        <v>2340000</v>
      </c>
      <c r="I5" s="234">
        <v>21257821.983019568</v>
      </c>
      <c r="J5" s="235"/>
      <c r="K5" s="53" t="s">
        <v>154</v>
      </c>
      <c r="L5" s="53" t="str">
        <f>VAC_Optim_Scenario!B17</f>
        <v>HCC InOffice</v>
      </c>
      <c r="M5" s="236">
        <f>D5/1000000</f>
        <v>0.93804304598603305</v>
      </c>
      <c r="N5" s="237">
        <f t="shared" ref="N5:R5" si="0">E5/1000000</f>
        <v>1.4542368860231374</v>
      </c>
      <c r="O5" s="236">
        <f t="shared" si="0"/>
        <v>2.3045999176017213</v>
      </c>
      <c r="P5" s="237">
        <f t="shared" si="0"/>
        <v>5.2469179893056817</v>
      </c>
      <c r="Q5" s="236">
        <f t="shared" si="0"/>
        <v>2.34</v>
      </c>
      <c r="R5" s="237">
        <f t="shared" si="0"/>
        <v>21.257821983019568</v>
      </c>
    </row>
    <row r="6" spans="2:20" x14ac:dyDescent="0.25">
      <c r="B6" s="54" t="s">
        <v>154</v>
      </c>
      <c r="C6" s="238" t="str">
        <f>VAC_Optim_Scenario!B18</f>
        <v>HCP MCM</v>
      </c>
      <c r="D6" s="239">
        <f>VAC_Optim_Scenario!$H37</f>
        <v>13654847.335999999</v>
      </c>
      <c r="E6" s="240">
        <f>VAC_Optim_Scenario!$J37</f>
        <v>79502965.080439389</v>
      </c>
      <c r="F6" s="239">
        <v>5980821.2879999997</v>
      </c>
      <c r="G6" s="240">
        <v>43271084.653430037</v>
      </c>
      <c r="H6" s="239">
        <v>5980821.2879999997</v>
      </c>
      <c r="I6" s="240">
        <v>173084338.61372015</v>
      </c>
      <c r="J6" s="235"/>
      <c r="K6" s="54" t="s">
        <v>154</v>
      </c>
      <c r="L6" s="54" t="str">
        <f>VAC_Optim_Scenario!B18</f>
        <v>HCP MCM</v>
      </c>
      <c r="M6" s="241">
        <f t="shared" ref="M6:M13" si="1">D6/1000000</f>
        <v>13.654847336</v>
      </c>
      <c r="N6" s="242">
        <f t="shared" ref="N6:N13" si="2">E6/1000000</f>
        <v>79.502965080439395</v>
      </c>
      <c r="O6" s="241">
        <f t="shared" ref="O6:O13" si="3">F6/1000000</f>
        <v>5.9808212879999996</v>
      </c>
      <c r="P6" s="242">
        <f t="shared" ref="P6:P13" si="4">G6/1000000</f>
        <v>43.271084653430037</v>
      </c>
      <c r="Q6" s="241">
        <f t="shared" ref="Q6:Q13" si="5">H6/1000000</f>
        <v>5.9808212879999996</v>
      </c>
      <c r="R6" s="242">
        <f t="shared" ref="R6:R13" si="6">I6/1000000</f>
        <v>173.08433861372015</v>
      </c>
    </row>
    <row r="7" spans="2:20" x14ac:dyDescent="0.25">
      <c r="B7" s="54" t="s">
        <v>154</v>
      </c>
      <c r="C7" s="238" t="str">
        <f>VAC_Optim_Scenario!B19</f>
        <v>HCC Social</v>
      </c>
      <c r="D7" s="239">
        <f>VAC_Optim_Scenario!$H38</f>
        <v>2276300</v>
      </c>
      <c r="E7" s="240">
        <f>VAC_Optim_Scenario!$J38</f>
        <v>6299531.4861385655</v>
      </c>
      <c r="F7" s="239">
        <v>2368423.2000000002</v>
      </c>
      <c r="G7" s="240">
        <v>10014038.796038335</v>
      </c>
      <c r="H7" s="239">
        <v>2368423.2000000002</v>
      </c>
      <c r="I7" s="240">
        <v>40056155.184153341</v>
      </c>
      <c r="J7" s="243"/>
      <c r="K7" s="54" t="s">
        <v>154</v>
      </c>
      <c r="L7" s="54" t="str">
        <f>VAC_Optim_Scenario!B19</f>
        <v>HCC Social</v>
      </c>
      <c r="M7" s="241">
        <f t="shared" si="1"/>
        <v>2.2763</v>
      </c>
      <c r="N7" s="242">
        <f t="shared" si="2"/>
        <v>6.2995314861385658</v>
      </c>
      <c r="O7" s="241">
        <f t="shared" si="3"/>
        <v>2.3684232000000001</v>
      </c>
      <c r="P7" s="242">
        <f t="shared" si="4"/>
        <v>10.014038796038335</v>
      </c>
      <c r="Q7" s="241">
        <f t="shared" si="5"/>
        <v>2.3684232000000001</v>
      </c>
      <c r="R7" s="242">
        <f t="shared" si="6"/>
        <v>40.05615518415334</v>
      </c>
    </row>
    <row r="8" spans="2:20" x14ac:dyDescent="0.25">
      <c r="B8" s="54" t="s">
        <v>154</v>
      </c>
      <c r="C8" s="238" t="str">
        <f>VAC_Optim_Scenario!B20</f>
        <v>HCC Online Video</v>
      </c>
      <c r="D8" s="239">
        <f>VAC_Optim_Scenario!$H39</f>
        <v>1445312.7520000001</v>
      </c>
      <c r="E8" s="240">
        <f>VAC_Optim_Scenario!$J39</f>
        <v>5811060.0168574946</v>
      </c>
      <c r="F8" s="239">
        <v>468720.00002084277</v>
      </c>
      <c r="G8" s="240">
        <v>434197.29403638421</v>
      </c>
      <c r="H8" s="239">
        <v>870480</v>
      </c>
      <c r="I8" s="240">
        <v>3181635.2333120089</v>
      </c>
      <c r="J8" s="235"/>
      <c r="K8" s="54" t="s">
        <v>154</v>
      </c>
      <c r="L8" s="54" t="str">
        <f>VAC_Optim_Scenario!B20</f>
        <v>HCC Online Video</v>
      </c>
      <c r="M8" s="241">
        <f t="shared" si="1"/>
        <v>1.4453127520000002</v>
      </c>
      <c r="N8" s="242">
        <f t="shared" si="2"/>
        <v>5.8110600168574944</v>
      </c>
      <c r="O8" s="241">
        <f t="shared" si="3"/>
        <v>0.46872000002084274</v>
      </c>
      <c r="P8" s="242">
        <f t="shared" si="4"/>
        <v>0.43419729403638418</v>
      </c>
      <c r="Q8" s="241">
        <f t="shared" si="5"/>
        <v>0.87048000000000003</v>
      </c>
      <c r="R8" s="242">
        <f t="shared" si="6"/>
        <v>3.1816352333120088</v>
      </c>
    </row>
    <row r="9" spans="2:20" x14ac:dyDescent="0.25">
      <c r="B9" s="54" t="s">
        <v>154</v>
      </c>
      <c r="C9" s="238" t="str">
        <f>VAC_Optim_Scenario!B21</f>
        <v>HCC Streaming Video</v>
      </c>
      <c r="D9" s="239">
        <f>VAC_Optim_Scenario!$H40</f>
        <v>15506326.222568678</v>
      </c>
      <c r="E9" s="240">
        <f>VAC_Optim_Scenario!$J40</f>
        <v>25202943.517724007</v>
      </c>
      <c r="F9" s="239">
        <v>5499757.2028695699</v>
      </c>
      <c r="G9" s="240">
        <v>7382876.6944708871</v>
      </c>
      <c r="H9" s="239">
        <v>10213834.800000001</v>
      </c>
      <c r="I9" s="240">
        <v>42814688.994375341</v>
      </c>
      <c r="J9" s="243"/>
      <c r="K9" s="54" t="s">
        <v>154</v>
      </c>
      <c r="L9" s="54" t="str">
        <f>VAC_Optim_Scenario!B21</f>
        <v>HCC Streaming Video</v>
      </c>
      <c r="M9" s="241">
        <f t="shared" si="1"/>
        <v>15.506326222568678</v>
      </c>
      <c r="N9" s="242">
        <f t="shared" si="2"/>
        <v>25.202943517724009</v>
      </c>
      <c r="O9" s="241">
        <f t="shared" si="3"/>
        <v>5.4997572028695698</v>
      </c>
      <c r="P9" s="242">
        <f t="shared" si="4"/>
        <v>7.3828766944708875</v>
      </c>
      <c r="Q9" s="241">
        <f t="shared" si="5"/>
        <v>10.213834800000001</v>
      </c>
      <c r="R9" s="242">
        <f t="shared" si="6"/>
        <v>42.814688994375338</v>
      </c>
    </row>
    <row r="10" spans="2:20" x14ac:dyDescent="0.25">
      <c r="B10" s="54" t="s">
        <v>154</v>
      </c>
      <c r="C10" s="238" t="str">
        <f>VAC_Optim_Scenario!B22</f>
        <v>HCC Display</v>
      </c>
      <c r="D10" s="239">
        <f>VAC_Optim_Scenario!$H41</f>
        <v>3717254.8659999999</v>
      </c>
      <c r="E10" s="240">
        <f>VAC_Optim_Scenario!$J41</f>
        <v>20116113.448785383</v>
      </c>
      <c r="F10" s="239">
        <v>2247758.2947281389</v>
      </c>
      <c r="G10" s="240">
        <v>8494262.302786056</v>
      </c>
      <c r="H10" s="239">
        <v>2714286.9</v>
      </c>
      <c r="I10" s="240">
        <v>37336940.701959558</v>
      </c>
      <c r="J10" s="243"/>
      <c r="K10" s="54" t="s">
        <v>154</v>
      </c>
      <c r="L10" s="54" t="str">
        <f>VAC_Optim_Scenario!B22</f>
        <v>HCC Display</v>
      </c>
      <c r="M10" s="241">
        <f t="shared" si="1"/>
        <v>3.7172548659999998</v>
      </c>
      <c r="N10" s="242">
        <f t="shared" si="2"/>
        <v>20.116113448785384</v>
      </c>
      <c r="O10" s="241">
        <f t="shared" si="3"/>
        <v>2.2477582947281389</v>
      </c>
      <c r="P10" s="242">
        <f t="shared" si="4"/>
        <v>8.4942623027860567</v>
      </c>
      <c r="Q10" s="241">
        <f t="shared" si="5"/>
        <v>2.7142868999999998</v>
      </c>
      <c r="R10" s="242">
        <f t="shared" si="6"/>
        <v>37.336940701959556</v>
      </c>
    </row>
    <row r="11" spans="2:20" x14ac:dyDescent="0.25">
      <c r="B11" s="54" t="s">
        <v>154</v>
      </c>
      <c r="C11" s="238" t="str">
        <f>VAC_Optim_Scenario!B23</f>
        <v>HCC Paid Search</v>
      </c>
      <c r="D11" s="239">
        <f>VAC_Optim_Scenario!$H42</f>
        <v>64999.99999999853</v>
      </c>
      <c r="E11" s="240">
        <f>VAC_Optim_Scenario!$J42</f>
        <v>8181831.0105399201</v>
      </c>
      <c r="F11" s="239">
        <v>1503022.5591430741</v>
      </c>
      <c r="G11" s="240">
        <v>5708578.4926482635</v>
      </c>
      <c r="H11" s="239">
        <v>1791576.8</v>
      </c>
      <c r="I11" s="240">
        <v>24930037.611909606</v>
      </c>
      <c r="J11" s="235"/>
      <c r="K11" s="54" t="s">
        <v>154</v>
      </c>
      <c r="L11" s="54" t="str">
        <f>VAC_Optim_Scenario!B23</f>
        <v>HCC Paid Search</v>
      </c>
      <c r="M11" s="241">
        <f t="shared" si="1"/>
        <v>6.4999999999998531E-2</v>
      </c>
      <c r="N11" s="242">
        <f t="shared" si="2"/>
        <v>8.1818310105399199</v>
      </c>
      <c r="O11" s="241">
        <f t="shared" si="3"/>
        <v>1.5030225591430741</v>
      </c>
      <c r="P11" s="242">
        <f t="shared" si="4"/>
        <v>5.7085784926482637</v>
      </c>
      <c r="Q11" s="241">
        <f t="shared" si="5"/>
        <v>1.7915768000000001</v>
      </c>
      <c r="R11" s="242">
        <f t="shared" si="6"/>
        <v>24.930037611909604</v>
      </c>
    </row>
    <row r="12" spans="2:20" x14ac:dyDescent="0.25">
      <c r="B12" s="54" t="s">
        <v>154</v>
      </c>
      <c r="C12" s="238" t="str">
        <f>VAC_Optim_Scenario!B24</f>
        <v>HCC Radio</v>
      </c>
      <c r="D12" s="239">
        <f>VAC_Optim_Scenario!$H43</f>
        <v>1201167.5</v>
      </c>
      <c r="E12" s="240">
        <f>VAC_Optim_Scenario!$J43</f>
        <v>6670385.2621720778</v>
      </c>
      <c r="F12" s="239">
        <v>855611.9</v>
      </c>
      <c r="G12" s="240">
        <v>4509891.717737359</v>
      </c>
      <c r="H12" s="239">
        <v>855611.9</v>
      </c>
      <c r="I12" s="240">
        <v>18039566.870949436</v>
      </c>
      <c r="J12" s="235"/>
      <c r="K12" s="54" t="s">
        <v>154</v>
      </c>
      <c r="L12" s="54" t="str">
        <f>VAC_Optim_Scenario!B24</f>
        <v>HCC Radio</v>
      </c>
      <c r="M12" s="241">
        <f t="shared" si="1"/>
        <v>1.2011674999999999</v>
      </c>
      <c r="N12" s="242">
        <f t="shared" si="2"/>
        <v>6.6703852621720774</v>
      </c>
      <c r="O12" s="241">
        <f t="shared" si="3"/>
        <v>0.85561189999999998</v>
      </c>
      <c r="P12" s="242">
        <f t="shared" si="4"/>
        <v>4.509891717737359</v>
      </c>
      <c r="Q12" s="241">
        <f t="shared" si="5"/>
        <v>0.85561189999999998</v>
      </c>
      <c r="R12" s="242">
        <f t="shared" si="6"/>
        <v>18.039566870949436</v>
      </c>
    </row>
    <row r="13" spans="2:20" x14ac:dyDescent="0.25">
      <c r="B13" s="252" t="s">
        <v>154</v>
      </c>
      <c r="C13" s="217" t="str">
        <f>VAC_Optim_Scenario!B25</f>
        <v>HCC Linear TV</v>
      </c>
      <c r="D13" s="253">
        <f>VAC_Optim_Scenario!$H44</f>
        <v>18679386.206453495</v>
      </c>
      <c r="E13" s="253">
        <f>VAC_Optim_Scenario!$J44</f>
        <v>30360221.38647721</v>
      </c>
      <c r="F13" s="253">
        <v>15717664.872</v>
      </c>
      <c r="G13" s="253">
        <v>44549150.696473777</v>
      </c>
      <c r="H13" s="253">
        <v>21525379.182791278</v>
      </c>
      <c r="I13" s="253">
        <v>202080559.00711048</v>
      </c>
      <c r="J13" s="235"/>
      <c r="K13" s="252" t="s">
        <v>154</v>
      </c>
      <c r="L13" s="252" t="str">
        <f>VAC_Optim_Scenario!B25</f>
        <v>HCC Linear TV</v>
      </c>
      <c r="M13" s="246">
        <f t="shared" si="1"/>
        <v>18.679386206453493</v>
      </c>
      <c r="N13" s="246">
        <f t="shared" si="2"/>
        <v>30.36022138647721</v>
      </c>
      <c r="O13" s="246">
        <f t="shared" si="3"/>
        <v>15.717664872</v>
      </c>
      <c r="P13" s="246">
        <f t="shared" si="4"/>
        <v>44.549150696473774</v>
      </c>
      <c r="Q13" s="246">
        <f t="shared" si="5"/>
        <v>21.525379182791276</v>
      </c>
      <c r="R13" s="246">
        <f t="shared" si="6"/>
        <v>202.08055900711048</v>
      </c>
    </row>
    <row r="14" spans="2:20" x14ac:dyDescent="0.25">
      <c r="T14" s="302"/>
    </row>
    <row r="15" spans="2:20" x14ac:dyDescent="0.25">
      <c r="C15" s="229" t="s">
        <v>220</v>
      </c>
    </row>
    <row r="17" spans="2:19" ht="38.1" customHeight="1" x14ac:dyDescent="0.25">
      <c r="C17" s="373" t="s">
        <v>3</v>
      </c>
      <c r="D17" s="374" t="s">
        <v>215</v>
      </c>
      <c r="E17" s="375"/>
      <c r="F17" s="374" t="s">
        <v>221</v>
      </c>
      <c r="G17" s="375"/>
      <c r="H17" s="374" t="s">
        <v>222</v>
      </c>
      <c r="I17" s="375"/>
      <c r="L17" s="373" t="s">
        <v>3</v>
      </c>
      <c r="M17" s="374" t="s">
        <v>215</v>
      </c>
      <c r="N17" s="375"/>
      <c r="O17" s="374" t="s">
        <v>221</v>
      </c>
      <c r="P17" s="375"/>
      <c r="Q17" s="374" t="s">
        <v>222</v>
      </c>
      <c r="R17" s="375"/>
    </row>
    <row r="18" spans="2:19" ht="25.5" x14ac:dyDescent="0.25">
      <c r="C18" s="372"/>
      <c r="D18" s="55" t="s">
        <v>218</v>
      </c>
      <c r="E18" s="55" t="s">
        <v>219</v>
      </c>
      <c r="F18" s="55" t="s">
        <v>218</v>
      </c>
      <c r="G18" s="55" t="s">
        <v>219</v>
      </c>
      <c r="H18" s="55" t="s">
        <v>218</v>
      </c>
      <c r="I18" s="55" t="s">
        <v>219</v>
      </c>
      <c r="L18" s="372"/>
      <c r="M18" s="55" t="s">
        <v>218</v>
      </c>
      <c r="N18" s="55" t="s">
        <v>219</v>
      </c>
      <c r="O18" s="55" t="s">
        <v>218</v>
      </c>
      <c r="P18" s="55" t="s">
        <v>219</v>
      </c>
      <c r="Q18" s="55" t="s">
        <v>218</v>
      </c>
      <c r="R18" s="55" t="s">
        <v>219</v>
      </c>
    </row>
    <row r="19" spans="2:19" x14ac:dyDescent="0.25">
      <c r="B19" s="53" t="s">
        <v>154</v>
      </c>
      <c r="C19" s="232" t="str">
        <f>VAC_Optim_Scenario!B17</f>
        <v>HCC InOffice</v>
      </c>
      <c r="D19" s="233">
        <f>VAC_Optim_Scenario!$H36</f>
        <v>938043.04598603304</v>
      </c>
      <c r="E19" s="234">
        <f>VAC_Optim_Scenario!$J36</f>
        <v>1454236.8860231375</v>
      </c>
      <c r="F19" s="233">
        <f>VAC_Optim_Scenario!$H36</f>
        <v>938043.04598603304</v>
      </c>
      <c r="G19" s="234">
        <f>VAC_Optim_Scenario!$J36</f>
        <v>1454236.8860231375</v>
      </c>
      <c r="H19" s="233">
        <f>VAC_Optim_Scenario!$H36</f>
        <v>938043.04598603304</v>
      </c>
      <c r="I19" s="234">
        <f>VAC_Optim_Scenario!$J36</f>
        <v>1454236.8860231375</v>
      </c>
      <c r="J19" s="235"/>
      <c r="K19" s="53" t="s">
        <v>154</v>
      </c>
      <c r="L19" s="232" t="str">
        <f>VAC_Optim_Scenario!B17</f>
        <v>HCC InOffice</v>
      </c>
      <c r="M19" s="236">
        <f>D19/1000000</f>
        <v>0.93804304598603305</v>
      </c>
      <c r="N19" s="237">
        <f t="shared" ref="N19:R19" si="7">E19/1000000</f>
        <v>1.4542368860231374</v>
      </c>
      <c r="O19" s="236">
        <f t="shared" si="7"/>
        <v>0.93804304598603305</v>
      </c>
      <c r="P19" s="237">
        <f t="shared" si="7"/>
        <v>1.4542368860231374</v>
      </c>
      <c r="Q19" s="236">
        <f t="shared" si="7"/>
        <v>0.93804304598603305</v>
      </c>
      <c r="R19" s="237">
        <f t="shared" si="7"/>
        <v>1.4542368860231374</v>
      </c>
    </row>
    <row r="20" spans="2:19" x14ac:dyDescent="0.25">
      <c r="B20" s="54" t="s">
        <v>154</v>
      </c>
      <c r="C20" s="238" t="str">
        <f>VAC_Optim_Scenario!B18</f>
        <v>HCP MCM</v>
      </c>
      <c r="D20" s="239">
        <f>VAC_Optim_Scenario!$H37</f>
        <v>13654847.335999999</v>
      </c>
      <c r="E20" s="240">
        <f>VAC_Optim_Scenario!$J37</f>
        <v>79502965.080439389</v>
      </c>
      <c r="F20" s="239">
        <f>VAC_Optim_Scenario!$H37</f>
        <v>13654847.335999999</v>
      </c>
      <c r="G20" s="240">
        <f>VAC_Optim_Scenario!$J37</f>
        <v>79502965.080439389</v>
      </c>
      <c r="H20" s="239">
        <f>VAC_Optim_Scenario!$H37</f>
        <v>13654847.335999999</v>
      </c>
      <c r="I20" s="240">
        <f>VAC_Optim_Scenario!$J37</f>
        <v>79502965.080439389</v>
      </c>
      <c r="J20" s="235"/>
      <c r="K20" s="54" t="s">
        <v>154</v>
      </c>
      <c r="L20" s="238" t="str">
        <f>VAC_Optim_Scenario!B18</f>
        <v>HCP MCM</v>
      </c>
      <c r="M20" s="241">
        <f t="shared" ref="M20:M27" si="8">D20/1000000</f>
        <v>13.654847336</v>
      </c>
      <c r="N20" s="242">
        <f t="shared" ref="N20:N27" si="9">E20/1000000</f>
        <v>79.502965080439395</v>
      </c>
      <c r="O20" s="241">
        <f t="shared" ref="O20:O27" si="10">F20/1000000</f>
        <v>13.654847336</v>
      </c>
      <c r="P20" s="242">
        <f t="shared" ref="P20:P27" si="11">G20/1000000</f>
        <v>79.502965080439395</v>
      </c>
      <c r="Q20" s="241">
        <f t="shared" ref="Q20:Q27" si="12">H20/1000000</f>
        <v>13.654847336</v>
      </c>
      <c r="R20" s="242">
        <f t="shared" ref="R20:R27" si="13">I20/1000000</f>
        <v>79.502965080439395</v>
      </c>
    </row>
    <row r="21" spans="2:19" x14ac:dyDescent="0.25">
      <c r="B21" s="54" t="s">
        <v>154</v>
      </c>
      <c r="C21" s="238" t="str">
        <f>VAC_Optim_Scenario!B19</f>
        <v>HCC Social</v>
      </c>
      <c r="D21" s="239">
        <f>VAC_Optim_Scenario!$H38</f>
        <v>2276300</v>
      </c>
      <c r="E21" s="240">
        <f>VAC_Optim_Scenario!$J38</f>
        <v>6299531.4861385655</v>
      </c>
      <c r="F21" s="239">
        <f>VAC_Optim_Scenario!$H38</f>
        <v>2276300</v>
      </c>
      <c r="G21" s="240">
        <f>VAC_Optim_Scenario!$J38</f>
        <v>6299531.4861385655</v>
      </c>
      <c r="H21" s="239">
        <f>VAC_Optim_Scenario!$H38</f>
        <v>2276300</v>
      </c>
      <c r="I21" s="240">
        <f>VAC_Optim_Scenario!$J38</f>
        <v>6299531.4861385655</v>
      </c>
      <c r="J21" s="243"/>
      <c r="K21" s="54" t="s">
        <v>154</v>
      </c>
      <c r="L21" s="238" t="str">
        <f>VAC_Optim_Scenario!B19</f>
        <v>HCC Social</v>
      </c>
      <c r="M21" s="241">
        <f t="shared" si="8"/>
        <v>2.2763</v>
      </c>
      <c r="N21" s="242">
        <f t="shared" si="9"/>
        <v>6.2995314861385658</v>
      </c>
      <c r="O21" s="241">
        <f t="shared" si="10"/>
        <v>2.2763</v>
      </c>
      <c r="P21" s="242">
        <f t="shared" si="11"/>
        <v>6.2995314861385658</v>
      </c>
      <c r="Q21" s="241">
        <f t="shared" si="12"/>
        <v>2.2763</v>
      </c>
      <c r="R21" s="242">
        <f t="shared" si="13"/>
        <v>6.2995314861385658</v>
      </c>
    </row>
    <row r="22" spans="2:19" x14ac:dyDescent="0.25">
      <c r="B22" s="54" t="s">
        <v>154</v>
      </c>
      <c r="C22" s="238" t="str">
        <f>VAC_Optim_Scenario!B20</f>
        <v>HCC Online Video</v>
      </c>
      <c r="D22" s="239">
        <f>VAC_Optim_Scenario!$H39</f>
        <v>1445312.7520000001</v>
      </c>
      <c r="E22" s="240">
        <f>VAC_Optim_Scenario!$J39</f>
        <v>5811060.0168574946</v>
      </c>
      <c r="F22" s="239">
        <f>VAC_Optim_Scenario!$H39</f>
        <v>1445312.7520000001</v>
      </c>
      <c r="G22" s="240">
        <f>VAC_Optim_Scenario!$J39</f>
        <v>5811060.0168574946</v>
      </c>
      <c r="H22" s="239">
        <f>VAC_Optim_Scenario!$H39</f>
        <v>1445312.7520000001</v>
      </c>
      <c r="I22" s="240">
        <f>VAC_Optim_Scenario!$J39</f>
        <v>5811060.0168574946</v>
      </c>
      <c r="J22" s="235"/>
      <c r="K22" s="54" t="s">
        <v>154</v>
      </c>
      <c r="L22" s="238" t="str">
        <f>VAC_Optim_Scenario!B20</f>
        <v>HCC Online Video</v>
      </c>
      <c r="M22" s="241">
        <f t="shared" si="8"/>
        <v>1.4453127520000002</v>
      </c>
      <c r="N22" s="242">
        <f t="shared" si="9"/>
        <v>5.8110600168574944</v>
      </c>
      <c r="O22" s="241">
        <f t="shared" si="10"/>
        <v>1.4453127520000002</v>
      </c>
      <c r="P22" s="242">
        <f t="shared" si="11"/>
        <v>5.8110600168574944</v>
      </c>
      <c r="Q22" s="241">
        <f t="shared" si="12"/>
        <v>1.4453127520000002</v>
      </c>
      <c r="R22" s="242">
        <f t="shared" si="13"/>
        <v>5.8110600168574944</v>
      </c>
    </row>
    <row r="23" spans="2:19" x14ac:dyDescent="0.25">
      <c r="B23" s="54" t="s">
        <v>154</v>
      </c>
      <c r="C23" s="238" t="str">
        <f>VAC_Optim_Scenario!B21</f>
        <v>HCC Streaming Video</v>
      </c>
      <c r="D23" s="239">
        <f>VAC_Optim_Scenario!$H40</f>
        <v>15506326.222568678</v>
      </c>
      <c r="E23" s="240">
        <f>VAC_Optim_Scenario!$J40</f>
        <v>25202943.517724007</v>
      </c>
      <c r="F23" s="239">
        <f>VAC_Optim_Scenario!$H40</f>
        <v>15506326.222568678</v>
      </c>
      <c r="G23" s="240">
        <f>VAC_Optim_Scenario!$J40</f>
        <v>25202943.517724007</v>
      </c>
      <c r="H23" s="239">
        <f>VAC_Optim_Scenario!$H40</f>
        <v>15506326.222568678</v>
      </c>
      <c r="I23" s="240">
        <f>VAC_Optim_Scenario!$J40</f>
        <v>25202943.517724007</v>
      </c>
      <c r="J23" s="243"/>
      <c r="K23" s="54" t="s">
        <v>154</v>
      </c>
      <c r="L23" s="238" t="str">
        <f>VAC_Optim_Scenario!B21</f>
        <v>HCC Streaming Video</v>
      </c>
      <c r="M23" s="241">
        <f t="shared" si="8"/>
        <v>15.506326222568678</v>
      </c>
      <c r="N23" s="242">
        <f t="shared" si="9"/>
        <v>25.202943517724009</v>
      </c>
      <c r="O23" s="241">
        <f t="shared" si="10"/>
        <v>15.506326222568678</v>
      </c>
      <c r="P23" s="242">
        <f t="shared" si="11"/>
        <v>25.202943517724009</v>
      </c>
      <c r="Q23" s="241">
        <f t="shared" si="12"/>
        <v>15.506326222568678</v>
      </c>
      <c r="R23" s="242">
        <f t="shared" si="13"/>
        <v>25.202943517724009</v>
      </c>
    </row>
    <row r="24" spans="2:19" x14ac:dyDescent="0.25">
      <c r="B24" s="54" t="s">
        <v>154</v>
      </c>
      <c r="C24" s="238" t="str">
        <f>VAC_Optim_Scenario!B22</f>
        <v>HCC Display</v>
      </c>
      <c r="D24" s="239">
        <f>VAC_Optim_Scenario!$H41</f>
        <v>3717254.8659999999</v>
      </c>
      <c r="E24" s="240">
        <f>VAC_Optim_Scenario!$J41</f>
        <v>20116113.448785383</v>
      </c>
      <c r="F24" s="239">
        <f>VAC_Optim_Scenario!$H41</f>
        <v>3717254.8659999999</v>
      </c>
      <c r="G24" s="240">
        <f>VAC_Optim_Scenario!$J41</f>
        <v>20116113.448785383</v>
      </c>
      <c r="H24" s="239">
        <f>VAC_Optim_Scenario!$H41</f>
        <v>3717254.8659999999</v>
      </c>
      <c r="I24" s="240">
        <f>VAC_Optim_Scenario!$J41</f>
        <v>20116113.448785383</v>
      </c>
      <c r="J24" s="243"/>
      <c r="K24" s="54" t="s">
        <v>154</v>
      </c>
      <c r="L24" s="238" t="str">
        <f>VAC_Optim_Scenario!B22</f>
        <v>HCC Display</v>
      </c>
      <c r="M24" s="241">
        <f t="shared" si="8"/>
        <v>3.7172548659999998</v>
      </c>
      <c r="N24" s="242">
        <f t="shared" si="9"/>
        <v>20.116113448785384</v>
      </c>
      <c r="O24" s="241">
        <f t="shared" si="10"/>
        <v>3.7172548659999998</v>
      </c>
      <c r="P24" s="242">
        <f t="shared" si="11"/>
        <v>20.116113448785384</v>
      </c>
      <c r="Q24" s="241">
        <f t="shared" si="12"/>
        <v>3.7172548659999998</v>
      </c>
      <c r="R24" s="242">
        <f t="shared" si="13"/>
        <v>20.116113448785384</v>
      </c>
    </row>
    <row r="25" spans="2:19" x14ac:dyDescent="0.25">
      <c r="B25" s="54" t="s">
        <v>154</v>
      </c>
      <c r="C25" s="238" t="str">
        <f>VAC_Optim_Scenario!B23</f>
        <v>HCC Paid Search</v>
      </c>
      <c r="D25" s="239">
        <f>VAC_Optim_Scenario!$H42</f>
        <v>64999.99999999853</v>
      </c>
      <c r="E25" s="240">
        <f>VAC_Optim_Scenario!$J42</f>
        <v>8181831.0105399201</v>
      </c>
      <c r="F25" s="239">
        <f>VAC_Optim_Scenario!$H42</f>
        <v>64999.99999999853</v>
      </c>
      <c r="G25" s="240">
        <f>VAC_Optim_Scenario!$J42</f>
        <v>8181831.0105399201</v>
      </c>
      <c r="H25" s="239">
        <f>VAC_Optim_Scenario!$H42</f>
        <v>64999.99999999853</v>
      </c>
      <c r="I25" s="240">
        <f>VAC_Optim_Scenario!$J42</f>
        <v>8181831.0105399201</v>
      </c>
      <c r="J25" s="243"/>
      <c r="K25" s="54" t="s">
        <v>154</v>
      </c>
      <c r="L25" s="238" t="str">
        <f>VAC_Optim_Scenario!B23</f>
        <v>HCC Paid Search</v>
      </c>
      <c r="M25" s="241">
        <f t="shared" si="8"/>
        <v>6.4999999999998531E-2</v>
      </c>
      <c r="N25" s="242">
        <f t="shared" si="9"/>
        <v>8.1818310105399199</v>
      </c>
      <c r="O25" s="241">
        <f t="shared" si="10"/>
        <v>6.4999999999998531E-2</v>
      </c>
      <c r="P25" s="242">
        <f t="shared" si="11"/>
        <v>8.1818310105399199</v>
      </c>
      <c r="Q25" s="241">
        <f t="shared" si="12"/>
        <v>6.4999999999998531E-2</v>
      </c>
      <c r="R25" s="242">
        <f t="shared" si="13"/>
        <v>8.1818310105399199</v>
      </c>
    </row>
    <row r="26" spans="2:19" x14ac:dyDescent="0.25">
      <c r="B26" s="54" t="s">
        <v>154</v>
      </c>
      <c r="C26" s="238" t="str">
        <f>VAC_Optim_Scenario!B24</f>
        <v>HCC Radio</v>
      </c>
      <c r="D26" s="239">
        <f>VAC_Optim_Scenario!$H43</f>
        <v>1201167.5</v>
      </c>
      <c r="E26" s="240">
        <f>VAC_Optim_Scenario!$J43</f>
        <v>6670385.2621720778</v>
      </c>
      <c r="F26" s="239">
        <f>VAC_Optim_Scenario!$H43</f>
        <v>1201167.5</v>
      </c>
      <c r="G26" s="240">
        <f>VAC_Optim_Scenario!$J43</f>
        <v>6670385.2621720778</v>
      </c>
      <c r="H26" s="239">
        <f>VAC_Optim_Scenario!$H43</f>
        <v>1201167.5</v>
      </c>
      <c r="I26" s="240">
        <f>VAC_Optim_Scenario!$J43</f>
        <v>6670385.2621720778</v>
      </c>
      <c r="J26" s="243"/>
      <c r="K26" s="54" t="s">
        <v>154</v>
      </c>
      <c r="L26" s="238" t="str">
        <f>VAC_Optim_Scenario!B24</f>
        <v>HCC Radio</v>
      </c>
      <c r="M26" s="241">
        <f t="shared" si="8"/>
        <v>1.2011674999999999</v>
      </c>
      <c r="N26" s="242">
        <f t="shared" si="9"/>
        <v>6.6703852621720774</v>
      </c>
      <c r="O26" s="241">
        <f t="shared" si="10"/>
        <v>1.2011674999999999</v>
      </c>
      <c r="P26" s="242">
        <f t="shared" si="11"/>
        <v>6.6703852621720774</v>
      </c>
      <c r="Q26" s="241">
        <f t="shared" si="12"/>
        <v>1.2011674999999999</v>
      </c>
      <c r="R26" s="242">
        <f t="shared" si="13"/>
        <v>6.6703852621720774</v>
      </c>
    </row>
    <row r="27" spans="2:19" x14ac:dyDescent="0.25">
      <c r="B27" s="252" t="s">
        <v>154</v>
      </c>
      <c r="C27" s="217" t="str">
        <f>VAC_Optim_Scenario!B25</f>
        <v>HCC Linear TV</v>
      </c>
      <c r="D27" s="253">
        <f>VAC_Optim_Scenario!$H44</f>
        <v>18679386.206453495</v>
      </c>
      <c r="E27" s="253">
        <f>VAC_Optim_Scenario!$J44</f>
        <v>30360221.38647721</v>
      </c>
      <c r="F27" s="253">
        <f>VAC_Optim_Scenario!$H44</f>
        <v>18679386.206453495</v>
      </c>
      <c r="G27" s="253">
        <f>VAC_Optim_Scenario!$J44</f>
        <v>30360221.38647721</v>
      </c>
      <c r="H27" s="253">
        <f>VAC_Optim_Scenario!$H44</f>
        <v>18679386.206453495</v>
      </c>
      <c r="I27" s="253">
        <f>VAC_Optim_Scenario!$J44</f>
        <v>30360221.38647721</v>
      </c>
      <c r="J27" s="243"/>
      <c r="K27" s="252" t="s">
        <v>154</v>
      </c>
      <c r="L27" s="217" t="str">
        <f>VAC_Optim_Scenario!B25</f>
        <v>HCC Linear TV</v>
      </c>
      <c r="M27" s="246">
        <f t="shared" si="8"/>
        <v>18.679386206453493</v>
      </c>
      <c r="N27" s="246">
        <f t="shared" si="9"/>
        <v>30.36022138647721</v>
      </c>
      <c r="O27" s="246">
        <f t="shared" si="10"/>
        <v>18.679386206453493</v>
      </c>
      <c r="P27" s="246">
        <f t="shared" si="11"/>
        <v>30.36022138647721</v>
      </c>
      <c r="Q27" s="246">
        <f t="shared" si="12"/>
        <v>18.679386206453493</v>
      </c>
      <c r="R27" s="246">
        <f t="shared" si="13"/>
        <v>30.36022138647721</v>
      </c>
    </row>
    <row r="30" spans="2:19" ht="34.35" customHeight="1" x14ac:dyDescent="0.25">
      <c r="C30" s="141" t="s">
        <v>3</v>
      </c>
      <c r="D30" s="142" t="s">
        <v>223</v>
      </c>
      <c r="E30" s="244">
        <v>-0.5</v>
      </c>
      <c r="F30" s="244">
        <v>2</v>
      </c>
      <c r="G30" s="244">
        <v>-0.4</v>
      </c>
      <c r="H30" s="244">
        <v>0.4</v>
      </c>
      <c r="J30" s="97" t="s">
        <v>3</v>
      </c>
      <c r="K30" s="97" t="s">
        <v>232</v>
      </c>
      <c r="L30" s="97" t="s">
        <v>209</v>
      </c>
      <c r="M30" s="97" t="s">
        <v>210</v>
      </c>
      <c r="N30" s="97" t="s">
        <v>226</v>
      </c>
      <c r="O30" s="97" t="s">
        <v>228</v>
      </c>
      <c r="P30" s="97" t="s">
        <v>211</v>
      </c>
      <c r="Q30" s="97" t="s">
        <v>212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303" t="str">
        <f>VAC_Optim_Scenario!B17</f>
        <v>HCC InOffice</v>
      </c>
      <c r="D31" s="236">
        <f>M19</f>
        <v>0.93804304598603305</v>
      </c>
      <c r="E31" s="236">
        <f>O5</f>
        <v>2.3045999176017213</v>
      </c>
      <c r="F31" s="236">
        <f>Q5</f>
        <v>2.34</v>
      </c>
      <c r="G31" s="236">
        <f>O19</f>
        <v>0.93804304598603305</v>
      </c>
      <c r="H31" s="236">
        <f>Q19</f>
        <v>0.93804304598603305</v>
      </c>
      <c r="J31" s="245">
        <v>-0.5</v>
      </c>
      <c r="K31" s="246">
        <f>E$31</f>
        <v>2.3045999176017213</v>
      </c>
      <c r="L31" s="246">
        <f>E$32</f>
        <v>5.9808212879999996</v>
      </c>
      <c r="M31" s="246">
        <f>E$33</f>
        <v>2.3684232000000001</v>
      </c>
      <c r="N31" s="246">
        <f>E$34</f>
        <v>0.46872000002084274</v>
      </c>
      <c r="O31" s="246">
        <f>E$35</f>
        <v>5.4997572028695698</v>
      </c>
      <c r="P31" s="246">
        <f>E$36</f>
        <v>2.2477582947281389</v>
      </c>
      <c r="Q31" s="246">
        <f>E$37</f>
        <v>1.5030225591430741</v>
      </c>
      <c r="R31" s="246">
        <f>E$38</f>
        <v>0.85561189999999998</v>
      </c>
      <c r="S31" s="246">
        <f>E$39</f>
        <v>15.717664872</v>
      </c>
    </row>
    <row r="32" spans="2:19" x14ac:dyDescent="0.25">
      <c r="B32" s="54" t="s">
        <v>154</v>
      </c>
      <c r="C32" s="304" t="str">
        <f>VAC_Optim_Scenario!B18</f>
        <v>HCP MCM</v>
      </c>
      <c r="D32" s="241">
        <f t="shared" ref="D32:D39" si="14">M20</f>
        <v>13.654847336</v>
      </c>
      <c r="E32" s="241">
        <f t="shared" ref="E32:E39" si="15">O6</f>
        <v>5.9808212879999996</v>
      </c>
      <c r="F32" s="241">
        <f t="shared" ref="F32:F39" si="16">Q6</f>
        <v>5.9808212879999996</v>
      </c>
      <c r="G32" s="241">
        <f t="shared" ref="G32:G39" si="17">O20</f>
        <v>13.654847336</v>
      </c>
      <c r="H32" s="241">
        <f t="shared" ref="H32:H39" si="18">Q20</f>
        <v>13.654847336</v>
      </c>
      <c r="J32" s="245">
        <v>-0.4</v>
      </c>
      <c r="K32" s="246">
        <f>G$31</f>
        <v>0.93804304598603305</v>
      </c>
      <c r="L32" s="246">
        <f>G$32</f>
        <v>13.654847336</v>
      </c>
      <c r="M32" s="246">
        <f>G$33</f>
        <v>2.2763</v>
      </c>
      <c r="N32" s="246">
        <f>G$34</f>
        <v>1.4453127520000002</v>
      </c>
      <c r="O32" s="246">
        <f>G$35</f>
        <v>15.506326222568678</v>
      </c>
      <c r="P32" s="246">
        <f>G$36</f>
        <v>3.7172548659999998</v>
      </c>
      <c r="Q32" s="246">
        <f>G$37</f>
        <v>6.4999999999998531E-2</v>
      </c>
      <c r="R32" s="246">
        <f>G$38</f>
        <v>1.2011674999999999</v>
      </c>
      <c r="S32" s="246">
        <f>G$39</f>
        <v>18.679386206453493</v>
      </c>
    </row>
    <row r="33" spans="2:22" x14ac:dyDescent="0.25">
      <c r="B33" s="54" t="s">
        <v>154</v>
      </c>
      <c r="C33" s="304" t="str">
        <f>VAC_Optim_Scenario!B19</f>
        <v>HCC Social</v>
      </c>
      <c r="D33" s="241">
        <f t="shared" si="14"/>
        <v>2.2763</v>
      </c>
      <c r="E33" s="241">
        <f t="shared" si="15"/>
        <v>2.3684232000000001</v>
      </c>
      <c r="F33" s="241">
        <f t="shared" si="16"/>
        <v>2.3684232000000001</v>
      </c>
      <c r="G33" s="241">
        <f t="shared" si="17"/>
        <v>2.2763</v>
      </c>
      <c r="H33" s="241">
        <f t="shared" si="18"/>
        <v>2.2763</v>
      </c>
      <c r="J33" s="245" t="s">
        <v>223</v>
      </c>
      <c r="K33" s="246">
        <f>D$31</f>
        <v>0.93804304598603305</v>
      </c>
      <c r="L33" s="246">
        <f>D$32</f>
        <v>13.654847336</v>
      </c>
      <c r="M33" s="246">
        <f>D$33</f>
        <v>2.2763</v>
      </c>
      <c r="N33" s="246">
        <f>D$34</f>
        <v>1.4453127520000002</v>
      </c>
      <c r="O33" s="246">
        <f>D$35</f>
        <v>15.506326222568678</v>
      </c>
      <c r="P33" s="246">
        <f>D$36</f>
        <v>3.7172548659999998</v>
      </c>
      <c r="Q33" s="246">
        <f>D$37</f>
        <v>6.4999999999998531E-2</v>
      </c>
      <c r="R33" s="246">
        <f>D$38</f>
        <v>1.2011674999999999</v>
      </c>
      <c r="S33" s="246">
        <f>D$39</f>
        <v>18.679386206453493</v>
      </c>
    </row>
    <row r="34" spans="2:22" x14ac:dyDescent="0.25">
      <c r="B34" s="54" t="s">
        <v>154</v>
      </c>
      <c r="C34" s="304" t="str">
        <f>VAC_Optim_Scenario!B20</f>
        <v>HCC Online Video</v>
      </c>
      <c r="D34" s="241">
        <f t="shared" si="14"/>
        <v>1.4453127520000002</v>
      </c>
      <c r="E34" s="241">
        <f t="shared" si="15"/>
        <v>0.46872000002084274</v>
      </c>
      <c r="F34" s="241">
        <f t="shared" si="16"/>
        <v>0.87048000000000003</v>
      </c>
      <c r="G34" s="241">
        <f t="shared" si="17"/>
        <v>1.4453127520000002</v>
      </c>
      <c r="H34" s="241">
        <f t="shared" si="18"/>
        <v>1.4453127520000002</v>
      </c>
      <c r="J34" s="245">
        <v>0.4</v>
      </c>
      <c r="K34" s="246">
        <f>H$31</f>
        <v>0.93804304598603305</v>
      </c>
      <c r="L34" s="246">
        <f>H$32</f>
        <v>13.654847336</v>
      </c>
      <c r="M34" s="246">
        <f>H$33</f>
        <v>2.2763</v>
      </c>
      <c r="N34" s="246">
        <f>H$34</f>
        <v>1.4453127520000002</v>
      </c>
      <c r="O34" s="246">
        <f>H$35</f>
        <v>15.506326222568678</v>
      </c>
      <c r="P34" s="246">
        <f>H$36</f>
        <v>3.7172548659999998</v>
      </c>
      <c r="Q34" s="246">
        <f>H$37</f>
        <v>6.4999999999998531E-2</v>
      </c>
      <c r="R34" s="246">
        <f>H$38</f>
        <v>1.2011674999999999</v>
      </c>
      <c r="S34" s="246">
        <f>H$39</f>
        <v>18.679386206453493</v>
      </c>
    </row>
    <row r="35" spans="2:22" x14ac:dyDescent="0.25">
      <c r="B35" s="54" t="s">
        <v>154</v>
      </c>
      <c r="C35" s="304" t="str">
        <f>VAC_Optim_Scenario!B21</f>
        <v>HCC Streaming Video</v>
      </c>
      <c r="D35" s="241">
        <f t="shared" si="14"/>
        <v>15.506326222568678</v>
      </c>
      <c r="E35" s="241">
        <f t="shared" si="15"/>
        <v>5.4997572028695698</v>
      </c>
      <c r="F35" s="241">
        <f t="shared" si="16"/>
        <v>10.213834800000001</v>
      </c>
      <c r="G35" s="241">
        <f t="shared" si="17"/>
        <v>15.506326222568678</v>
      </c>
      <c r="H35" s="241">
        <f t="shared" si="18"/>
        <v>15.506326222568678</v>
      </c>
      <c r="J35" s="244">
        <v>2</v>
      </c>
      <c r="K35" s="246">
        <f>F$31</f>
        <v>2.34</v>
      </c>
      <c r="L35" s="246">
        <f>F$32</f>
        <v>5.9808212879999996</v>
      </c>
      <c r="M35" s="246">
        <f>F$33</f>
        <v>2.3684232000000001</v>
      </c>
      <c r="N35" s="246">
        <f>F$34</f>
        <v>0.87048000000000003</v>
      </c>
      <c r="O35" s="246">
        <f>F$35</f>
        <v>10.213834800000001</v>
      </c>
      <c r="P35" s="246">
        <f>F$36</f>
        <v>2.7142868999999998</v>
      </c>
      <c r="Q35" s="246">
        <f>F$37</f>
        <v>1.7915768000000001</v>
      </c>
      <c r="R35" s="246">
        <f>F$38</f>
        <v>0.85561189999999998</v>
      </c>
      <c r="S35" s="246">
        <f>F$39</f>
        <v>21.525379182791276</v>
      </c>
    </row>
    <row r="36" spans="2:22" x14ac:dyDescent="0.25">
      <c r="B36" s="54" t="s">
        <v>154</v>
      </c>
      <c r="C36" s="304" t="str">
        <f>VAC_Optim_Scenario!B22</f>
        <v>HCC Display</v>
      </c>
      <c r="D36" s="241">
        <f t="shared" si="14"/>
        <v>3.7172548659999998</v>
      </c>
      <c r="E36" s="241">
        <f t="shared" si="15"/>
        <v>2.2477582947281389</v>
      </c>
      <c r="F36" s="241">
        <f t="shared" si="16"/>
        <v>2.7142868999999998</v>
      </c>
      <c r="G36" s="241">
        <f t="shared" si="17"/>
        <v>3.7172548659999998</v>
      </c>
      <c r="H36" s="241">
        <f t="shared" si="18"/>
        <v>3.7172548659999998</v>
      </c>
    </row>
    <row r="37" spans="2:22" x14ac:dyDescent="0.25">
      <c r="B37" s="54" t="s">
        <v>154</v>
      </c>
      <c r="C37" s="304" t="str">
        <f>VAC_Optim_Scenario!B23</f>
        <v>HCC Paid Search</v>
      </c>
      <c r="D37" s="241">
        <f t="shared" si="14"/>
        <v>6.4999999999998531E-2</v>
      </c>
      <c r="E37" s="241">
        <f t="shared" si="15"/>
        <v>1.5030225591430741</v>
      </c>
      <c r="F37" s="241">
        <f t="shared" si="16"/>
        <v>1.7915768000000001</v>
      </c>
      <c r="G37" s="241">
        <f t="shared" si="17"/>
        <v>6.4999999999998531E-2</v>
      </c>
      <c r="H37" s="241">
        <f t="shared" si="18"/>
        <v>6.4999999999998531E-2</v>
      </c>
      <c r="J37" s="264"/>
      <c r="K37" s="247"/>
      <c r="L37" s="247"/>
      <c r="M37" s="247"/>
      <c r="N37" s="247"/>
      <c r="O37" s="247"/>
      <c r="P37" s="247"/>
      <c r="Q37" s="247"/>
      <c r="R37" s="247"/>
    </row>
    <row r="38" spans="2:22" x14ac:dyDescent="0.25">
      <c r="B38" s="54" t="s">
        <v>154</v>
      </c>
      <c r="C38" s="304" t="str">
        <f>VAC_Optim_Scenario!B24</f>
        <v>HCC Radio</v>
      </c>
      <c r="D38" s="241">
        <f t="shared" si="14"/>
        <v>1.2011674999999999</v>
      </c>
      <c r="E38" s="241">
        <f t="shared" si="15"/>
        <v>0.85561189999999998</v>
      </c>
      <c r="F38" s="241">
        <f t="shared" si="16"/>
        <v>0.85561189999999998</v>
      </c>
      <c r="G38" s="241">
        <f t="shared" si="17"/>
        <v>1.2011674999999999</v>
      </c>
      <c r="H38" s="241">
        <f t="shared" si="18"/>
        <v>1.2011674999999999</v>
      </c>
      <c r="J38" s="265"/>
      <c r="K38" s="248"/>
      <c r="L38" s="248"/>
      <c r="M38" s="248"/>
      <c r="N38" s="248"/>
      <c r="O38" s="248"/>
      <c r="P38" s="248"/>
      <c r="Q38" s="248"/>
      <c r="R38" s="248"/>
    </row>
    <row r="39" spans="2:22" x14ac:dyDescent="0.25">
      <c r="B39" s="97" t="s">
        <v>154</v>
      </c>
      <c r="C39" s="305" t="str">
        <f>VAC_Optim_Scenario!B25</f>
        <v>HCC Linear TV</v>
      </c>
      <c r="D39" s="241">
        <f t="shared" si="14"/>
        <v>18.679386206453493</v>
      </c>
      <c r="E39" s="241">
        <f t="shared" si="15"/>
        <v>15.717664872</v>
      </c>
      <c r="F39" s="241">
        <f t="shared" si="16"/>
        <v>21.525379182791276</v>
      </c>
      <c r="G39" s="241">
        <f t="shared" si="17"/>
        <v>18.679386206453493</v>
      </c>
      <c r="H39" s="241">
        <f t="shared" si="18"/>
        <v>18.679386206453493</v>
      </c>
      <c r="J39" s="264"/>
      <c r="K39" s="247"/>
      <c r="L39" s="247"/>
      <c r="M39" s="247"/>
      <c r="N39" s="247"/>
      <c r="O39" s="247"/>
      <c r="P39" s="247"/>
      <c r="Q39" s="247"/>
      <c r="R39" s="247"/>
    </row>
    <row r="40" spans="2:22" x14ac:dyDescent="0.25">
      <c r="L40" s="168"/>
      <c r="M40" s="168"/>
      <c r="O40" s="168"/>
      <c r="P40" s="168"/>
    </row>
    <row r="41" spans="2:22" x14ac:dyDescent="0.25">
      <c r="L41" s="246"/>
      <c r="M41" s="246"/>
      <c r="N41" s="246"/>
      <c r="O41" s="246"/>
      <c r="P41" s="246"/>
    </row>
    <row r="42" spans="2:22" x14ac:dyDescent="0.25">
      <c r="L42" s="246"/>
      <c r="M42" s="246"/>
      <c r="N42" s="246"/>
      <c r="O42" s="246"/>
      <c r="P42" s="246"/>
    </row>
    <row r="43" spans="2:22" x14ac:dyDescent="0.25">
      <c r="L43" s="246"/>
      <c r="M43" s="246"/>
      <c r="N43" s="246"/>
      <c r="O43" s="246"/>
      <c r="P43" s="246"/>
    </row>
    <row r="44" spans="2:22" x14ac:dyDescent="0.25">
      <c r="L44" s="246"/>
      <c r="M44" s="246"/>
      <c r="N44" s="246"/>
      <c r="O44" s="246"/>
      <c r="P44" s="246"/>
      <c r="S44" s="249"/>
      <c r="T44" s="249"/>
      <c r="V44" s="249"/>
    </row>
    <row r="45" spans="2:22" x14ac:dyDescent="0.25">
      <c r="L45" s="246"/>
      <c r="M45" s="246"/>
      <c r="N45" s="246"/>
      <c r="O45" s="246"/>
      <c r="P45" s="250"/>
      <c r="S45" s="251"/>
      <c r="T45" s="251"/>
      <c r="U45" s="251"/>
      <c r="V45" s="251"/>
    </row>
    <row r="46" spans="2:22" x14ac:dyDescent="0.25">
      <c r="L46" s="246"/>
      <c r="M46" s="246"/>
      <c r="N46" s="246"/>
      <c r="O46" s="246"/>
      <c r="P46" s="246"/>
      <c r="S46" s="251"/>
      <c r="T46" s="251"/>
      <c r="U46" s="251"/>
      <c r="V46" s="251"/>
    </row>
    <row r="47" spans="2:22" x14ac:dyDescent="0.25">
      <c r="L47" s="246"/>
      <c r="M47" s="246"/>
      <c r="N47" s="246"/>
      <c r="O47" s="246"/>
      <c r="P47" s="246"/>
    </row>
    <row r="48" spans="2:22" x14ac:dyDescent="0.25">
      <c r="L48" s="246"/>
      <c r="M48" s="246"/>
      <c r="N48" s="246"/>
      <c r="O48" s="246"/>
      <c r="P48" s="246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27"/>
  <sheetViews>
    <sheetView topLeftCell="D1" zoomScale="90" zoomScaleNormal="90" workbookViewId="0">
      <selection activeCell="N8" sqref="N8"/>
    </sheetView>
  </sheetViews>
  <sheetFormatPr defaultColWidth="8.85546875" defaultRowHeight="15" x14ac:dyDescent="0.25"/>
  <cols>
    <col min="1" max="1" width="8.85546875" style="97"/>
    <col min="2" max="2" width="18.5703125" style="97" bestFit="1" customWidth="1"/>
    <col min="3" max="3" width="18.42578125" style="97" bestFit="1" customWidth="1"/>
    <col min="4" max="4" width="13.5703125" style="97" bestFit="1" customWidth="1"/>
    <col min="5" max="5" width="22.42578125" style="97" bestFit="1" customWidth="1"/>
    <col min="6" max="6" width="13.42578125" style="97" bestFit="1" customWidth="1"/>
    <col min="7" max="7" width="9.5703125" style="97" bestFit="1" customWidth="1"/>
    <col min="8" max="8" width="10.85546875" style="97" hidden="1" customWidth="1"/>
    <col min="9" max="9" width="16.140625" style="97" bestFit="1" customWidth="1"/>
    <col min="10" max="11" width="16.140625" style="97" customWidth="1"/>
    <col min="12" max="12" width="10.1406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18" x14ac:dyDescent="0.25">
      <c r="D2" s="380">
        <v>2023</v>
      </c>
      <c r="E2" s="380"/>
      <c r="F2" s="380"/>
      <c r="G2" s="380"/>
      <c r="H2" s="380"/>
      <c r="I2" s="380"/>
      <c r="J2" s="349"/>
      <c r="K2" s="349"/>
      <c r="N2" s="97" t="s">
        <v>288</v>
      </c>
    </row>
    <row r="3" spans="1:18" ht="51" x14ac:dyDescent="0.25">
      <c r="B3" s="208" t="s">
        <v>2</v>
      </c>
      <c r="C3" s="209" t="s">
        <v>3</v>
      </c>
      <c r="D3" s="209" t="s">
        <v>283</v>
      </c>
      <c r="E3" s="209" t="s">
        <v>284</v>
      </c>
      <c r="F3" s="209" t="s">
        <v>285</v>
      </c>
      <c r="G3" s="209" t="s">
        <v>286</v>
      </c>
      <c r="H3" s="209" t="s">
        <v>206</v>
      </c>
      <c r="I3" s="209" t="s">
        <v>207</v>
      </c>
      <c r="J3" s="209" t="s">
        <v>265</v>
      </c>
      <c r="K3" s="209" t="s">
        <v>266</v>
      </c>
      <c r="L3" s="297" t="s">
        <v>192</v>
      </c>
      <c r="N3" s="360">
        <v>4647854</v>
      </c>
      <c r="O3"/>
    </row>
    <row r="4" spans="1:18" x14ac:dyDescent="0.25">
      <c r="A4" s="97" t="s">
        <v>290</v>
      </c>
      <c r="B4" s="211" t="s">
        <v>231</v>
      </c>
      <c r="C4" s="212" t="str">
        <f>VAC_Optim_Scenario!B17</f>
        <v>HCC InOffice</v>
      </c>
      <c r="D4" s="300">
        <f>VAC_Optim_Scenario!E17</f>
        <v>1134710</v>
      </c>
      <c r="E4" s="213">
        <f>VAC_Optim_Scenario!F17</f>
        <v>7367.8666140222922</v>
      </c>
      <c r="F4" s="261">
        <f>VAC_Optim_Scenario!G36/1000000</f>
        <v>1.6646957827721967</v>
      </c>
      <c r="G4" s="214">
        <f t="shared" ref="G4:G12" si="0">F4/D4</f>
        <v>1.467067164978009E-6</v>
      </c>
      <c r="H4" s="215" t="e">
        <f>E4/#REF!</f>
        <v>#REF!</v>
      </c>
      <c r="I4" s="261">
        <f>(D4*1000000)/E4</f>
        <v>154007945.50765288</v>
      </c>
      <c r="J4" s="351">
        <f>E4/N$3</f>
        <v>1.5852190309812427E-3</v>
      </c>
      <c r="K4" s="351">
        <f>J4*0.54</f>
        <v>8.5601827672987106E-4</v>
      </c>
      <c r="L4" s="367">
        <f ca="1">(VLOOKUP($Q4,INDIRECT("'"&amp;A4&amp;"'!"&amp;"A20:E42"),5,0)-VLOOKUP($R4,INDIRECT("'"&amp;A4&amp;"'!"&amp;"A20:E42"),5,0))/(Q4-R4)</f>
        <v>1.0281350987444842</v>
      </c>
      <c r="M4"/>
      <c r="Q4" s="370" cm="1">
        <f t="array" aca="1" ref="Q4" ca="1">MAX(_xlfn._xlws.FILTER(INDIRECT("'"&amp;A4&amp;"'!"&amp;"A20:A42"),INDIRECT("'"&amp;A4&amp;"'!"&amp;"A20:A42")&lt;$D4))</f>
        <v>1000000</v>
      </c>
      <c r="R4" s="370" cm="1">
        <f t="array" aca="1" ref="R4" ca="1">MIN(_xlfn._xlws.FILTER(INDIRECT("'"&amp;A4&amp;"'!"&amp;"A20:A42"),INDIRECT("'"&amp;A4&amp;"'!"&amp;"A20:A42")&gt;=$D4))</f>
        <v>1200000</v>
      </c>
    </row>
    <row r="5" spans="1:18" x14ac:dyDescent="0.25">
      <c r="A5" s="97" t="s">
        <v>291</v>
      </c>
      <c r="B5" s="216" t="s">
        <v>231</v>
      </c>
      <c r="C5" s="217" t="str">
        <f>VAC_Optim_Scenario!B18</f>
        <v>HCP MCM</v>
      </c>
      <c r="D5" s="301">
        <f>VAC_Optim_Scenario!E18</f>
        <v>10503728.719999999</v>
      </c>
      <c r="E5" s="218">
        <f>VAC_Optim_Scenario!F18</f>
        <v>288339.09761974216</v>
      </c>
      <c r="F5" s="262">
        <f>VAC_Optim_Scenario!G37/1000000</f>
        <v>65.147335716204537</v>
      </c>
      <c r="G5" s="219">
        <f t="shared" si="0"/>
        <v>6.2023056243025805E-6</v>
      </c>
      <c r="H5" s="220" t="e">
        <f>E5/#REF!</f>
        <v>#REF!</v>
      </c>
      <c r="I5" s="262">
        <f t="shared" ref="I5:I12" si="1">(D5*1000000)/E5</f>
        <v>36428388.680927962</v>
      </c>
      <c r="J5" s="351">
        <f t="shared" ref="J5:J13" si="2">E5/N$3</f>
        <v>6.2037038517075226E-2</v>
      </c>
      <c r="K5" s="351">
        <f t="shared" ref="K5:K13" si="3">J5*0.54</f>
        <v>3.3500000799220622E-2</v>
      </c>
      <c r="L5" s="368">
        <f ca="1">(VLOOKUP($Q5,INDIRECT("'"&amp;A5&amp;"'!"&amp;"A20:E42"),5,0)-VLOOKUP($R5,INDIRECT("'"&amp;A5&amp;"'!"&amp;"A20:E42"),5,0))/(Q5-R5)</f>
        <v>4.9357259150992991</v>
      </c>
      <c r="M5"/>
      <c r="N5" s="361"/>
      <c r="Q5" s="370" cm="1">
        <f t="array" aca="1" ref="Q5" ca="1">MAX(_xlfn._xlws.FILTER(INDIRECT("'"&amp;A5&amp;"'!"&amp;"A20:A42"),INDIRECT("'"&amp;A5&amp;"'!"&amp;"A20:A42")&lt;$D5))</f>
        <v>10000000</v>
      </c>
      <c r="R5" s="370" cm="1">
        <f t="array" aca="1" ref="R5" ca="1">MIN(_xlfn._xlws.FILTER(INDIRECT("'"&amp;A5&amp;"'!"&amp;"A20:A42"),INDIRECT("'"&amp;A5&amp;"'!"&amp;"A20:A42")&gt;=$D5))</f>
        <v>10625000</v>
      </c>
    </row>
    <row r="6" spans="1:18" x14ac:dyDescent="0.25">
      <c r="A6" s="97" t="s">
        <v>292</v>
      </c>
      <c r="B6" s="216" t="s">
        <v>231</v>
      </c>
      <c r="C6" s="217" t="str">
        <f>VAC_Optim_Scenario!B19</f>
        <v>HCC Social</v>
      </c>
      <c r="D6" s="301">
        <f>VAC_Optim_Scenario!E19</f>
        <v>1751000</v>
      </c>
      <c r="E6" s="218">
        <f>VAC_Optim_Scenario!F19</f>
        <v>23820.403572058858</v>
      </c>
      <c r="F6" s="262">
        <f>VAC_Optim_Scenario!G38/1000000</f>
        <v>5.3819819830709781</v>
      </c>
      <c r="G6" s="219">
        <f t="shared" si="0"/>
        <v>3.0736618978132372E-6</v>
      </c>
      <c r="H6" s="220" t="e">
        <f>E6/#REF!</f>
        <v>#REF!</v>
      </c>
      <c r="I6" s="262">
        <f t="shared" si="1"/>
        <v>73508410.329953805</v>
      </c>
      <c r="J6" s="351">
        <f t="shared" si="2"/>
        <v>5.1250326649801949E-3</v>
      </c>
      <c r="K6" s="351">
        <f t="shared" si="3"/>
        <v>2.7675176390893055E-3</v>
      </c>
      <c r="L6" s="368">
        <f t="shared" ref="L6:L12" ca="1" si="4">(VLOOKUP($Q6,INDIRECT("'"&amp;A6&amp;"'!"&amp;"A20:E42"),3,0)-VLOOKUP($R6,INDIRECT("'"&amp;A6&amp;"'!"&amp;"A20:E42"),3,0))/(Q6-R6)</f>
        <v>1.7951540998233295</v>
      </c>
      <c r="M6"/>
      <c r="Q6" s="370" cm="1">
        <f t="array" aca="1" ref="Q6" ca="1">MAX(_xlfn._xlws.FILTER(INDIRECT("'"&amp;A6&amp;"'!"&amp;"A20:A42"),INDIRECT("'"&amp;A6&amp;"'!"&amp;"A20:A42")&lt;$D6))</f>
        <v>1750000</v>
      </c>
      <c r="R6" s="370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264" t="s">
        <v>293</v>
      </c>
      <c r="B7" s="216" t="s">
        <v>231</v>
      </c>
      <c r="C7" s="217" t="str">
        <f>VAC_Optim_Scenario!B20</f>
        <v>HCC Online Video</v>
      </c>
      <c r="D7" s="301">
        <f>VAC_Optim_Scenario!E20</f>
        <v>1111779.04</v>
      </c>
      <c r="E7" s="218">
        <f>VAC_Optim_Scenario!F20</f>
        <v>21646.235649615526</v>
      </c>
      <c r="F7" s="262">
        <f>VAC_Optim_Scenario!G39/1000000</f>
        <v>4.8907504826741324</v>
      </c>
      <c r="G7" s="219">
        <f t="shared" si="0"/>
        <v>4.3990310184963844E-6</v>
      </c>
      <c r="H7" s="220" t="e">
        <f>E7/#REF!</f>
        <v>#REF!</v>
      </c>
      <c r="I7" s="262">
        <f t="shared" si="1"/>
        <v>51361310.945524476</v>
      </c>
      <c r="J7" s="351">
        <f t="shared" si="2"/>
        <v>4.6572537884398968E-3</v>
      </c>
      <c r="K7" s="351">
        <f t="shared" si="3"/>
        <v>2.5149170457575446E-3</v>
      </c>
      <c r="L7" s="368">
        <f t="shared" ca="1" si="4"/>
        <v>1.363152908327058E-2</v>
      </c>
      <c r="M7"/>
      <c r="Q7" s="370" cm="1">
        <f t="array" aca="1" ref="Q7" ca="1">MAX(_xlfn._xlws.FILTER(INDIRECT("'"&amp;A7&amp;"'!"&amp;"A20:A42"),INDIRECT("'"&amp;A7&amp;"'!"&amp;"A20:A42")&lt;$D7))</f>
        <v>1000000</v>
      </c>
      <c r="R7" s="370" cm="1">
        <f t="array" aca="1" ref="R7" ca="1">MIN(_xlfn._xlws.FILTER(INDIRECT("'"&amp;A7&amp;"'!"&amp;"A20:A42"),INDIRECT("'"&amp;A7&amp;"'!"&amp;"A20:A42")&gt;=$D7))</f>
        <v>1200000</v>
      </c>
    </row>
    <row r="8" spans="1:18" x14ac:dyDescent="0.25">
      <c r="A8" s="264" t="s">
        <v>294</v>
      </c>
      <c r="B8" s="216" t="s">
        <v>231</v>
      </c>
      <c r="C8" s="217" t="str">
        <f>VAC_Optim_Scenario!B21</f>
        <v>HCC Streaming Video</v>
      </c>
      <c r="D8" s="301">
        <f>VAC_Optim_Scenario!E21</f>
        <v>13418576</v>
      </c>
      <c r="E8" s="218">
        <f>VAC_Optim_Scenario!F21</f>
        <v>100808.3256282994</v>
      </c>
      <c r="F8" s="262">
        <f>VAC_Optim_Scenario!G40/1000000</f>
        <v>22.776633092457963</v>
      </c>
      <c r="G8" s="219">
        <f t="shared" si="0"/>
        <v>1.6973956917975471E-6</v>
      </c>
      <c r="H8" s="220" t="e">
        <f>E8/#REF!</f>
        <v>#REF!</v>
      </c>
      <c r="I8" s="262">
        <f t="shared" si="1"/>
        <v>133109799.37785092</v>
      </c>
      <c r="J8" s="351">
        <f t="shared" si="2"/>
        <v>2.1689219503947282E-2</v>
      </c>
      <c r="K8" s="351">
        <f t="shared" si="3"/>
        <v>1.1712178532131533E-2</v>
      </c>
      <c r="L8" s="368">
        <f t="shared" ca="1" si="4"/>
        <v>1.1961518650093477</v>
      </c>
      <c r="M8"/>
      <c r="Q8" s="370" cm="1">
        <f t="array" aca="1" ref="Q8" ca="1">MAX(_xlfn._xlws.FILTER(INDIRECT("'"&amp;A8&amp;"'!"&amp;"A20:A42"),INDIRECT("'"&amp;A8&amp;"'!"&amp;"A20:A42")&lt;$D8))</f>
        <v>12750000</v>
      </c>
      <c r="R8" s="370" cm="1">
        <f t="array" aca="1" ref="R8" ca="1">MIN(_xlfn._xlws.FILTER(INDIRECT("'"&amp;A8&amp;"'!"&amp;"A20:A42"),INDIRECT("'"&amp;A8&amp;"'!"&amp;"A20:A42")&gt;=$D8))</f>
        <v>13500000</v>
      </c>
    </row>
    <row r="9" spans="1:18" x14ac:dyDescent="0.25">
      <c r="A9" s="264" t="s">
        <v>295</v>
      </c>
      <c r="B9" s="216" t="s">
        <v>231</v>
      </c>
      <c r="C9" s="217" t="str">
        <f>VAC_Optim_Scenario!B22</f>
        <v>HCC Display</v>
      </c>
      <c r="D9" s="301">
        <f>VAC_Optim_Scenario!E22</f>
        <v>2859426.82</v>
      </c>
      <c r="E9" s="218">
        <f>VAC_Optim_Scenario!F22</f>
        <v>76065.012406995462</v>
      </c>
      <c r="F9" s="262">
        <f>VAC_Optim_Scenario!G41/1000000</f>
        <v>17.186128903236554</v>
      </c>
      <c r="G9" s="219">
        <f t="shared" si="0"/>
        <v>6.0103405280490986E-6</v>
      </c>
      <c r="H9" s="220" t="e">
        <f>E9/#REF!</f>
        <v>#REF!</v>
      </c>
      <c r="I9" s="262">
        <f t="shared" si="1"/>
        <v>37591880.018375278</v>
      </c>
      <c r="J9" s="351">
        <f t="shared" si="2"/>
        <v>1.6365620005920036E-2</v>
      </c>
      <c r="K9" s="351">
        <f t="shared" si="3"/>
        <v>8.8374348031968197E-3</v>
      </c>
      <c r="L9" s="368">
        <f t="shared" ca="1" si="4"/>
        <v>3.5990133726234732</v>
      </c>
      <c r="M9"/>
      <c r="Q9" s="370" cm="1">
        <f t="array" aca="1" ref="Q9" ca="1">MAX(_xlfn._xlws.FILTER(INDIRECT("'"&amp;A9&amp;"'!"&amp;"A20:A42"),INDIRECT("'"&amp;A9&amp;"'!"&amp;"A20:A42")&lt;$D9))</f>
        <v>2750000</v>
      </c>
      <c r="R9" s="370" cm="1">
        <f t="array" aca="1" ref="R9" ca="1">MIN(_xlfn._xlws.FILTER(INDIRECT("'"&amp;A9&amp;"'!"&amp;"A20:A42"),INDIRECT("'"&amp;A9&amp;"'!"&amp;"A20:A42")&gt;=$D9))</f>
        <v>3000000</v>
      </c>
    </row>
    <row r="10" spans="1:18" x14ac:dyDescent="0.25">
      <c r="A10" s="97" t="s">
        <v>296</v>
      </c>
      <c r="B10" s="216" t="s">
        <v>231</v>
      </c>
      <c r="C10" s="217" t="str">
        <f>VAC_Optim_Scenario!B23</f>
        <v>HCC Paid Search</v>
      </c>
      <c r="D10" s="301">
        <f>VAC_Optim_Scenario!E23</f>
        <v>50000</v>
      </c>
      <c r="E10" s="218">
        <f>VAC_Optim_Scenario!F23</f>
        <v>30136.792938374307</v>
      </c>
      <c r="F10" s="262">
        <f>VAC_Optim_Scenario!G42/1000000</f>
        <v>6.8091069964962907</v>
      </c>
      <c r="G10" s="219">
        <f t="shared" si="0"/>
        <v>1.3618213992992582E-4</v>
      </c>
      <c r="H10" s="220" t="e">
        <f>E10/#REF!</f>
        <v>#REF!</v>
      </c>
      <c r="I10" s="262">
        <f t="shared" si="1"/>
        <v>1659101.5541117226</v>
      </c>
      <c r="J10" s="351">
        <f t="shared" si="2"/>
        <v>6.4840231509798512E-3</v>
      </c>
      <c r="K10" s="351">
        <f t="shared" si="3"/>
        <v>3.5013725015291199E-3</v>
      </c>
      <c r="L10" s="368">
        <f t="shared" ca="1" si="4"/>
        <v>84.028991834438983</v>
      </c>
      <c r="M10"/>
      <c r="Q10" s="370" cm="1">
        <f t="array" aca="1" ref="Q10" ca="1">MAX(_xlfn._xlws.FILTER(INDIRECT("'"&amp;A10&amp;"'!"&amp;"A20:A42"),INDIRECT("'"&amp;A10&amp;"'!"&amp;"A20:A42")&lt;$D10))</f>
        <v>0</v>
      </c>
      <c r="R10" s="370" cm="1">
        <f t="array" aca="1" ref="R10" ca="1">MIN(_xlfn._xlws.FILTER(INDIRECT("'"&amp;A10&amp;"'!"&amp;"A20:A42"),INDIRECT("'"&amp;A10&amp;"'!"&amp;"A20:A42")&gt;=$D10))</f>
        <v>250000</v>
      </c>
    </row>
    <row r="11" spans="1:18" x14ac:dyDescent="0.25">
      <c r="A11" s="97" t="s">
        <v>297</v>
      </c>
      <c r="B11" s="216" t="s">
        <v>231</v>
      </c>
      <c r="C11" s="217" t="str">
        <f>VAC_Optim_Scenario!B24</f>
        <v>HCC Radio</v>
      </c>
      <c r="D11" s="301">
        <f>VAC_Optim_Scenario!E24</f>
        <v>923975</v>
      </c>
      <c r="E11" s="218">
        <f>VAC_Optim_Scenario!J24</f>
        <v>29522.816952164638</v>
      </c>
      <c r="F11" s="262">
        <f>VAC_Optim_Scenario!J43/1000000</f>
        <v>6.6703852621720774</v>
      </c>
      <c r="G11" s="219">
        <f t="shared" si="0"/>
        <v>7.2192269944230927E-6</v>
      </c>
      <c r="H11" s="220" t="e">
        <f>E11/#REF!</f>
        <v>#REF!</v>
      </c>
      <c r="I11" s="262">
        <f t="shared" si="1"/>
        <v>31296979.603846826</v>
      </c>
      <c r="J11" s="351">
        <f t="shared" si="2"/>
        <v>6.351924340171752E-3</v>
      </c>
      <c r="K11" s="351">
        <f t="shared" si="3"/>
        <v>3.4300391436927462E-3</v>
      </c>
      <c r="L11" s="368">
        <f t="shared" ca="1" si="4"/>
        <v>2.6952193392368331</v>
      </c>
      <c r="M11"/>
      <c r="Q11" s="370" cm="1">
        <f t="array" aca="1" ref="Q11" ca="1">MAX(_xlfn._xlws.FILTER(INDIRECT("'"&amp;A11&amp;"'!"&amp;"A20:A42"),INDIRECT("'"&amp;A11&amp;"'!"&amp;"A20:A42")&lt;$D11))</f>
        <v>750000</v>
      </c>
      <c r="R11" s="370" cm="1">
        <f t="array" aca="1" ref="R11" ca="1">MIN(_xlfn._xlws.FILTER(INDIRECT("'"&amp;A11&amp;"'!"&amp;"A20:A42"),INDIRECT("'"&amp;A11&amp;"'!"&amp;"A20:A42")&gt;=$D11))</f>
        <v>1000000</v>
      </c>
    </row>
    <row r="12" spans="1:18" x14ac:dyDescent="0.25">
      <c r="A12" s="97" t="s">
        <v>298</v>
      </c>
      <c r="B12" s="216" t="s">
        <v>231</v>
      </c>
      <c r="C12" s="217" t="str">
        <f>VAC_Optim_Scenario!B25</f>
        <v>HCC Linear TV</v>
      </c>
      <c r="D12" s="301">
        <f>VAC_Optim_Scenario!E25</f>
        <v>25810928.600000001</v>
      </c>
      <c r="E12" s="218">
        <f>VAC_Optim_Scenario!F25</f>
        <v>168508.00202805389</v>
      </c>
      <c r="F12" s="262">
        <f>VAC_Optim_Scenario!G44/1000000</f>
        <v>38.072697978218493</v>
      </c>
      <c r="G12" s="219">
        <f t="shared" si="0"/>
        <v>1.4750611482540186E-6</v>
      </c>
      <c r="H12" s="220" t="e">
        <f>E12/#REF!</f>
        <v>#REF!</v>
      </c>
      <c r="I12" s="262">
        <f t="shared" si="1"/>
        <v>153173310.99625105</v>
      </c>
      <c r="J12" s="351">
        <f t="shared" si="2"/>
        <v>3.6255011888939259E-2</v>
      </c>
      <c r="K12" s="351">
        <f t="shared" si="3"/>
        <v>1.9577706420027201E-2</v>
      </c>
      <c r="L12" s="368">
        <f t="shared" ca="1" si="4"/>
        <v>1.0273854514533429</v>
      </c>
      <c r="M12"/>
      <c r="Q12" s="370" cm="1">
        <f t="array" aca="1" ref="Q12" ca="1">MAX(_xlfn._xlws.FILTER(INDIRECT("'"&amp;A12&amp;"'!"&amp;"A20:A42"),INDIRECT("'"&amp;A12&amp;"'!"&amp;"A20:A42")&lt;$D12))</f>
        <v>25500000</v>
      </c>
      <c r="R12" s="370" cm="1">
        <f t="array" aca="1" ref="R12" ca="1">MIN(_xlfn._xlws.FILTER(INDIRECT("'"&amp;A12&amp;"'!"&amp;"A20:A42"),INDIRECT("'"&amp;A12&amp;"'!"&amp;"A20:A42")&gt;=$D12))</f>
        <v>27000000</v>
      </c>
    </row>
    <row r="13" spans="1:18" x14ac:dyDescent="0.25">
      <c r="A13" s="97" t="s">
        <v>299</v>
      </c>
      <c r="B13" s="221" t="s">
        <v>231</v>
      </c>
      <c r="C13" s="217" t="str">
        <f>VAC_Optim_Scenario!B26</f>
        <v>HCC Pharmacy</v>
      </c>
      <c r="D13" s="301">
        <f>VAC_Optim_Scenario!E26</f>
        <v>2411968</v>
      </c>
      <c r="E13" s="218">
        <f>VAC_Optim_Scenario!F26</f>
        <v>16097.078764905222</v>
      </c>
      <c r="F13" s="262">
        <f>VAC_Optim_Scenario!G45/1000000</f>
        <v>3.636973976142686</v>
      </c>
      <c r="G13" s="219">
        <f t="shared" ref="G13" si="5">F13/D13</f>
        <v>1.5078864960657379E-6</v>
      </c>
      <c r="H13" s="220" t="e">
        <f>E13/#REF!</f>
        <v>#REF!</v>
      </c>
      <c r="I13" s="262">
        <f t="shared" ref="I13" si="6">(D13*1000000)/E13</f>
        <v>149838864.25769138</v>
      </c>
      <c r="J13" s="351">
        <f t="shared" si="2"/>
        <v>3.4633357168502329E-3</v>
      </c>
      <c r="K13" s="351">
        <f t="shared" si="3"/>
        <v>1.8702012870991259E-3</v>
      </c>
      <c r="L13" s="369">
        <f ca="1">(VLOOKUP($Q13,INDIRECT("'"&amp;A13&amp;"'!"&amp;"A20:E42"),5,0)-VLOOKUP($R13,INDIRECT("'"&amp;A13&amp;"'!"&amp;"A20:E42"),5,0))/(Q13-R13)</f>
        <v>1.1360060502759763</v>
      </c>
      <c r="M13"/>
      <c r="Q13" s="370" cm="1">
        <f t="array" aca="1" ref="Q13" ca="1">MAX(_xlfn._xlws.FILTER(INDIRECT("'"&amp;A13&amp;"'!"&amp;"A20:A42"),INDIRECT("'"&amp;A13&amp;"'!"&amp;"A20:A42")&lt;$D13))</f>
        <v>2400000</v>
      </c>
      <c r="R13" s="370" cm="1">
        <f t="array" aca="1" ref="R13" ca="1">MIN(_xlfn._xlws.FILTER(INDIRECT("'"&amp;A13&amp;"'!"&amp;"A20:A42"),INDIRECT("'"&amp;A13&amp;"'!"&amp;"A20:A42")&gt;=$D13))</f>
        <v>2600000</v>
      </c>
    </row>
    <row r="14" spans="1:18" x14ac:dyDescent="0.25">
      <c r="B14" s="222" t="s">
        <v>154</v>
      </c>
      <c r="C14" s="223" t="s">
        <v>213</v>
      </c>
      <c r="D14" s="224">
        <f>SUM(D4:D13)</f>
        <v>59976092.18</v>
      </c>
      <c r="E14" s="225">
        <f>SUM(E4:E13)</f>
        <v>762311.63217423169</v>
      </c>
      <c r="F14" s="224">
        <f>SUM(F4:F13)</f>
        <v>172.23669017344591</v>
      </c>
      <c r="G14" s="299">
        <f>F14/D14</f>
        <v>2.8717557932339084E-6</v>
      </c>
      <c r="H14" s="226" t="e">
        <f>SUM(H4:H12)</f>
        <v>#REF!</v>
      </c>
      <c r="I14" s="298">
        <f>(D14*1000000)/E14</f>
        <v>78676606.322979525</v>
      </c>
      <c r="J14" s="350">
        <f>SUM(J4:J13)</f>
        <v>0.16401367860828495</v>
      </c>
      <c r="K14" s="350">
        <f>SUM(K4:K13)</f>
        <v>8.8567386448473881E-2</v>
      </c>
      <c r="L14" s="366"/>
    </row>
    <row r="15" spans="1:18" x14ac:dyDescent="0.25">
      <c r="G15" s="227"/>
      <c r="H15" s="228"/>
    </row>
    <row r="17" spans="5:6" ht="38.25" x14ac:dyDescent="0.25">
      <c r="E17" s="209" t="s">
        <v>3</v>
      </c>
      <c r="F17" s="210" t="s">
        <v>287</v>
      </c>
    </row>
    <row r="18" spans="5:6" x14ac:dyDescent="0.25">
      <c r="E18" s="362" t="s">
        <v>212</v>
      </c>
      <c r="F18" s="263">
        <f t="shared" ref="F18:F23" si="7">VLOOKUP(E18,$C$4:$I$12,7,0)</f>
        <v>1659101.5541117226</v>
      </c>
    </row>
    <row r="19" spans="5:6" x14ac:dyDescent="0.25">
      <c r="E19" s="363" t="s">
        <v>238</v>
      </c>
      <c r="F19" s="263" t="e">
        <f t="shared" si="7"/>
        <v>#N/A</v>
      </c>
    </row>
    <row r="20" spans="5:6" x14ac:dyDescent="0.25">
      <c r="E20" s="363" t="s">
        <v>209</v>
      </c>
      <c r="F20" s="263">
        <f t="shared" si="7"/>
        <v>36428388.680927962</v>
      </c>
    </row>
    <row r="21" spans="5:6" x14ac:dyDescent="0.25">
      <c r="E21" s="363" t="s">
        <v>211</v>
      </c>
      <c r="F21" s="263">
        <f t="shared" si="7"/>
        <v>37591880.018375278</v>
      </c>
    </row>
    <row r="22" spans="5:6" x14ac:dyDescent="0.25">
      <c r="E22" s="363" t="s">
        <v>226</v>
      </c>
      <c r="F22" s="263">
        <f t="shared" si="7"/>
        <v>51361310.945524476</v>
      </c>
    </row>
    <row r="23" spans="5:6" x14ac:dyDescent="0.25">
      <c r="E23" s="363" t="s">
        <v>210</v>
      </c>
      <c r="F23" s="263">
        <f t="shared" si="7"/>
        <v>73508410.329953805</v>
      </c>
    </row>
    <row r="24" spans="5:6" x14ac:dyDescent="0.25">
      <c r="E24" s="363" t="s">
        <v>228</v>
      </c>
      <c r="F24" s="263">
        <f>VLOOKUP(E24,$C$4:$I$13,7,0)</f>
        <v>133109799.37785092</v>
      </c>
    </row>
    <row r="25" spans="5:6" x14ac:dyDescent="0.25">
      <c r="E25" s="359" t="s">
        <v>239</v>
      </c>
      <c r="F25" s="263">
        <f>VLOOKUP(E25,$C$4:$I$13,7,0)</f>
        <v>149838864.25769138</v>
      </c>
    </row>
    <row r="26" spans="5:6" x14ac:dyDescent="0.25">
      <c r="E26" s="363" t="s">
        <v>237</v>
      </c>
      <c r="F26" s="263">
        <f>VLOOKUP(E26,$C$4:$I$12,7,0)</f>
        <v>153173310.99625105</v>
      </c>
    </row>
    <row r="27" spans="5:6" x14ac:dyDescent="0.25">
      <c r="E27" s="363" t="s">
        <v>236</v>
      </c>
      <c r="F27" s="263">
        <f>VLOOKUP(E27,$C$4:$I$12,7,0)</f>
        <v>154007945.50765288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B72"/>
  <sheetViews>
    <sheetView showGridLines="0" zoomScale="70" zoomScaleNormal="70" workbookViewId="0">
      <selection activeCell="B14" sqref="B14"/>
    </sheetView>
  </sheetViews>
  <sheetFormatPr defaultColWidth="8.85546875" defaultRowHeight="15" x14ac:dyDescent="0.25"/>
  <cols>
    <col min="1" max="1" width="7.28515625" style="97" bestFit="1" customWidth="1"/>
    <col min="2" max="2" width="21.140625" style="97" bestFit="1" customWidth="1"/>
    <col min="3" max="3" width="12.7109375" style="97" bestFit="1" customWidth="1"/>
    <col min="4" max="4" width="14.5703125" style="97" customWidth="1"/>
    <col min="5" max="5" width="0.42578125" style="97" customWidth="1"/>
    <col min="6" max="6" width="12.85546875" style="97" customWidth="1"/>
    <col min="7" max="7" width="13" style="97" bestFit="1" customWidth="1"/>
    <col min="8" max="8" width="13.85546875" style="97" customWidth="1"/>
    <col min="9" max="9" width="0.42578125" style="97" customWidth="1"/>
    <col min="10" max="10" width="12.85546875" style="97" bestFit="1" customWidth="1"/>
    <col min="11" max="11" width="13" style="97" bestFit="1" customWidth="1"/>
    <col min="12" max="12" width="13.85546875" style="97" bestFit="1" customWidth="1"/>
    <col min="13" max="13" width="0.28515625" style="97" customWidth="1"/>
    <col min="14" max="14" width="12.85546875" style="97" bestFit="1" customWidth="1"/>
    <col min="15" max="15" width="14.42578125" style="97" bestFit="1" customWidth="1"/>
    <col min="16" max="16" width="14.28515625" style="97" customWidth="1"/>
    <col min="17" max="17" width="0.28515625" style="97" customWidth="1"/>
    <col min="18" max="18" width="13" style="97" customWidth="1"/>
    <col min="19" max="19" width="12.5703125" style="97" bestFit="1" customWidth="1"/>
    <col min="20" max="20" width="14.140625" style="97" customWidth="1"/>
    <col min="21" max="21" width="0.28515625" style="97" customWidth="1"/>
    <col min="22" max="22" width="12.7109375" style="97" bestFit="1" customWidth="1"/>
    <col min="23" max="23" width="12.5703125" style="97" bestFit="1" customWidth="1"/>
    <col min="24" max="24" width="13.42578125" style="97" bestFit="1" customWidth="1"/>
    <col min="25" max="25" width="8.85546875" style="97"/>
    <col min="26" max="26" width="17.85546875" style="97" bestFit="1" customWidth="1"/>
    <col min="27" max="27" width="12.140625" style="97" bestFit="1" customWidth="1"/>
    <col min="28" max="28" width="13.42578125" style="97" bestFit="1" customWidth="1"/>
    <col min="29" max="16384" width="8.85546875" style="97"/>
  </cols>
  <sheetData>
    <row r="3" spans="2:28" x14ac:dyDescent="0.25">
      <c r="B3" s="171">
        <f>SUM(C9:C13)</f>
        <v>19190781.859999999</v>
      </c>
      <c r="C3" s="171">
        <f>SUM(D9:D13)</f>
        <v>57044601.457935914</v>
      </c>
    </row>
    <row r="4" spans="2:28" x14ac:dyDescent="0.25">
      <c r="F4" s="386" t="s">
        <v>271</v>
      </c>
      <c r="G4" s="386"/>
      <c r="H4" s="386"/>
      <c r="I4" s="386"/>
      <c r="J4" s="386"/>
      <c r="K4" s="386"/>
      <c r="L4" s="386"/>
      <c r="M4" s="386"/>
      <c r="N4" s="386"/>
      <c r="O4" s="386"/>
      <c r="P4" s="386"/>
    </row>
    <row r="5" spans="2:28" x14ac:dyDescent="0.25">
      <c r="F5" s="383" t="s">
        <v>272</v>
      </c>
      <c r="G5" s="384"/>
      <c r="H5" s="385"/>
      <c r="I5" s="172"/>
      <c r="J5" s="383" t="s">
        <v>273</v>
      </c>
      <c r="K5" s="384"/>
      <c r="L5" s="385"/>
      <c r="M5" s="172"/>
      <c r="N5" s="383" t="s">
        <v>274</v>
      </c>
      <c r="O5" s="384"/>
      <c r="P5" s="385"/>
      <c r="R5" s="383" t="s">
        <v>275</v>
      </c>
      <c r="S5" s="384"/>
      <c r="T5" s="385"/>
      <c r="V5" s="383" t="s">
        <v>276</v>
      </c>
      <c r="W5" s="384"/>
      <c r="X5" s="385"/>
      <c r="Z5" s="97" t="s">
        <v>230</v>
      </c>
    </row>
    <row r="6" spans="2:28" ht="38.1" customHeight="1" x14ac:dyDescent="0.25">
      <c r="B6" s="173" t="s">
        <v>196</v>
      </c>
      <c r="C6" s="170" t="s">
        <v>197</v>
      </c>
      <c r="D6" s="184" t="s">
        <v>198</v>
      </c>
      <c r="E6" s="174"/>
      <c r="F6" s="184" t="s">
        <v>205</v>
      </c>
      <c r="G6" s="184" t="s">
        <v>199</v>
      </c>
      <c r="H6" s="184" t="s">
        <v>200</v>
      </c>
      <c r="I6" s="184"/>
      <c r="J6" s="184" t="s">
        <v>205</v>
      </c>
      <c r="K6" s="184" t="s">
        <v>199</v>
      </c>
      <c r="L6" s="184" t="s">
        <v>200</v>
      </c>
      <c r="M6" s="170"/>
      <c r="N6" s="184" t="s">
        <v>205</v>
      </c>
      <c r="O6" s="184" t="s">
        <v>199</v>
      </c>
      <c r="P6" s="184" t="s">
        <v>200</v>
      </c>
      <c r="Q6" s="170"/>
      <c r="R6" s="184" t="s">
        <v>205</v>
      </c>
      <c r="S6" s="184" t="s">
        <v>199</v>
      </c>
      <c r="T6" s="184" t="s">
        <v>200</v>
      </c>
      <c r="U6" s="170"/>
      <c r="V6" s="184" t="s">
        <v>205</v>
      </c>
      <c r="W6" s="184" t="s">
        <v>199</v>
      </c>
      <c r="X6" s="184" t="s">
        <v>200</v>
      </c>
      <c r="Z6" s="174" t="s">
        <v>205</v>
      </c>
      <c r="AA6" s="174" t="s">
        <v>199</v>
      </c>
      <c r="AB6" s="174" t="s">
        <v>200</v>
      </c>
    </row>
    <row r="7" spans="2:28" x14ac:dyDescent="0.25">
      <c r="B7" s="175" t="str">
        <f>VAC_Optim_Scenario!B17</f>
        <v>HCC InOffice</v>
      </c>
      <c r="C7" s="176">
        <f>VAC_Optim_Scenario!E17</f>
        <v>1134710</v>
      </c>
      <c r="D7" s="176">
        <f>VAC_Optim_Scenario!G36</f>
        <v>1664695.7827721967</v>
      </c>
      <c r="E7" s="176"/>
      <c r="F7" s="176">
        <v>938042.45761709032</v>
      </c>
      <c r="G7" s="168">
        <v>-0.17331965205463043</v>
      </c>
      <c r="H7" s="176">
        <v>1454236.2166161595</v>
      </c>
      <c r="I7" s="176"/>
      <c r="J7" s="176">
        <v>794297</v>
      </c>
      <c r="K7" s="168">
        <v>-0.3</v>
      </c>
      <c r="L7" s="176">
        <v>1283066.8908256721</v>
      </c>
      <c r="N7" s="176">
        <v>794297</v>
      </c>
      <c r="O7" s="168">
        <v>-0.3</v>
      </c>
      <c r="P7" s="176">
        <v>1283066.8908256721</v>
      </c>
      <c r="R7" s="176">
        <v>1024507.3989414652</v>
      </c>
      <c r="S7" s="168">
        <v>-9.7119617398749289E-2</v>
      </c>
      <c r="T7" s="176">
        <v>1549981.2884198136</v>
      </c>
      <c r="V7" s="176">
        <v>1130450.9973803405</v>
      </c>
      <c r="W7" s="168">
        <v>-3.7533842300319273E-3</v>
      </c>
      <c r="X7" s="176">
        <v>1660408.6831321076</v>
      </c>
      <c r="Z7" s="176">
        <f>VAC_Optim_Scenario!$H36</f>
        <v>938043.04598603304</v>
      </c>
      <c r="AA7" s="168">
        <f>IFERROR((Z7-$C7)/$C7,"")</f>
        <v>-0.17331913353541165</v>
      </c>
      <c r="AB7" s="176">
        <f>VAC_Optim_Scenario!$J36</f>
        <v>1454236.8860231375</v>
      </c>
    </row>
    <row r="8" spans="2:28" x14ac:dyDescent="0.25">
      <c r="B8" s="175" t="str">
        <f>VAC_Optim_Scenario!B18</f>
        <v>HCP MCM</v>
      </c>
      <c r="C8" s="176">
        <f>VAC_Optim_Scenario!E18</f>
        <v>10503728.719999999</v>
      </c>
      <c r="D8" s="176">
        <f>VAC_Optim_Scenario!G37</f>
        <v>65147335.716204539</v>
      </c>
      <c r="E8" s="176"/>
      <c r="F8" s="176">
        <v>13654847.335999997</v>
      </c>
      <c r="G8" s="168">
        <v>0.29999999999999988</v>
      </c>
      <c r="H8" s="176">
        <v>79502965.080439389</v>
      </c>
      <c r="I8" s="176"/>
      <c r="J8" s="176">
        <v>13654847.336000001</v>
      </c>
      <c r="K8" s="168">
        <v>0.30000000000000027</v>
      </c>
      <c r="L8" s="176">
        <v>79502965.080439389</v>
      </c>
      <c r="N8" s="176">
        <v>13320219.338437157</v>
      </c>
      <c r="O8" s="168">
        <v>0.26814198019740537</v>
      </c>
      <c r="P8" s="176">
        <v>78075947.616367564</v>
      </c>
      <c r="R8" s="176">
        <v>13654847.335999999</v>
      </c>
      <c r="S8" s="168">
        <v>0.30000000000000004</v>
      </c>
      <c r="T8" s="176">
        <v>79502965.080439389</v>
      </c>
      <c r="V8" s="176">
        <v>13654847.335999999</v>
      </c>
      <c r="W8" s="168">
        <v>0.30000000000000004</v>
      </c>
      <c r="X8" s="176">
        <v>79502965.080439389</v>
      </c>
      <c r="Z8" s="176">
        <f>VAC_Optim_Scenario!$H37</f>
        <v>13654847.335999999</v>
      </c>
      <c r="AA8" s="168">
        <f t="shared" ref="AA8:AA16" si="0">IFERROR((Z8-$C8)/$C8,"")</f>
        <v>0.30000000000000004</v>
      </c>
      <c r="AB8" s="176">
        <f>VAC_Optim_Scenario!$J37</f>
        <v>79502965.080439389</v>
      </c>
    </row>
    <row r="9" spans="2:28" x14ac:dyDescent="0.25">
      <c r="B9" s="175" t="str">
        <f>VAC_Optim_Scenario!B19</f>
        <v>HCC Social</v>
      </c>
      <c r="C9" s="176">
        <f>VAC_Optim_Scenario!E19</f>
        <v>1751000</v>
      </c>
      <c r="D9" s="176">
        <f>VAC_Optim_Scenario!G38</f>
        <v>5381981.983070978</v>
      </c>
      <c r="E9" s="176"/>
      <c r="F9" s="176">
        <v>2276299.9999981909</v>
      </c>
      <c r="G9" s="168">
        <v>0.29999999999896682</v>
      </c>
      <c r="H9" s="176">
        <v>6299531.486135562</v>
      </c>
      <c r="I9" s="176"/>
      <c r="J9" s="176">
        <v>2276299.9999981909</v>
      </c>
      <c r="K9" s="168">
        <v>0.29999999999896682</v>
      </c>
      <c r="L9" s="176">
        <v>6299531.486135562</v>
      </c>
      <c r="N9" s="176">
        <v>1225700</v>
      </c>
      <c r="O9" s="168">
        <v>-0.3</v>
      </c>
      <c r="P9" s="176">
        <v>4345112.8827910451</v>
      </c>
      <c r="R9" s="176">
        <v>2276300</v>
      </c>
      <c r="S9" s="168">
        <v>0.3</v>
      </c>
      <c r="T9" s="176">
        <v>6299531.4861385655</v>
      </c>
      <c r="V9" s="176">
        <v>2276300</v>
      </c>
      <c r="W9" s="168">
        <v>0.3</v>
      </c>
      <c r="X9" s="176">
        <v>6299531.4861385655</v>
      </c>
      <c r="Z9" s="176">
        <f>VAC_Optim_Scenario!$H38</f>
        <v>2276300</v>
      </c>
      <c r="AA9" s="168">
        <f t="shared" si="0"/>
        <v>0.3</v>
      </c>
      <c r="AB9" s="176">
        <f>VAC_Optim_Scenario!$J38</f>
        <v>6299531.4861385655</v>
      </c>
    </row>
    <row r="10" spans="2:28" x14ac:dyDescent="0.25">
      <c r="B10" s="175" t="str">
        <f>VAC_Optim_Scenario!B20</f>
        <v>HCC Online Video</v>
      </c>
      <c r="C10" s="176">
        <f>VAC_Optim_Scenario!E20</f>
        <v>1111779.04</v>
      </c>
      <c r="D10" s="176">
        <f>VAC_Optim_Scenario!G39</f>
        <v>4890750.4826741321</v>
      </c>
      <c r="E10" s="176"/>
      <c r="F10" s="176">
        <v>1445312.7519992709</v>
      </c>
      <c r="G10" s="168">
        <v>0.29999999999934412</v>
      </c>
      <c r="H10" s="176">
        <v>5811060.0168556003</v>
      </c>
      <c r="I10" s="176"/>
      <c r="J10" s="176">
        <v>1445312.7519992709</v>
      </c>
      <c r="K10" s="168">
        <v>0.29999999999934412</v>
      </c>
      <c r="L10" s="176">
        <v>5811060.0168556003</v>
      </c>
      <c r="N10" s="176">
        <v>778245.32799999998</v>
      </c>
      <c r="O10" s="168">
        <v>-0.30000000000000004</v>
      </c>
      <c r="P10" s="176">
        <v>3758344.6023231097</v>
      </c>
      <c r="R10" s="176">
        <v>1445312.7520000001</v>
      </c>
      <c r="S10" s="168">
        <v>0.30000000000000004</v>
      </c>
      <c r="T10" s="176">
        <v>5811060.0168574946</v>
      </c>
      <c r="V10" s="176">
        <v>1445312.7520000001</v>
      </c>
      <c r="W10" s="168">
        <v>0.30000000000000004</v>
      </c>
      <c r="X10" s="176">
        <v>5811060.0168574946</v>
      </c>
      <c r="Z10" s="176">
        <f>VAC_Optim_Scenario!$H39</f>
        <v>1445312.7520000001</v>
      </c>
      <c r="AA10" s="168">
        <f t="shared" si="0"/>
        <v>0.30000000000000004</v>
      </c>
      <c r="AB10" s="176">
        <f>VAC_Optim_Scenario!$J39</f>
        <v>5811060.0168574946</v>
      </c>
    </row>
    <row r="11" spans="2:28" x14ac:dyDescent="0.25">
      <c r="B11" s="175" t="str">
        <f>VAC_Optim_Scenario!B21</f>
        <v>HCC Streaming Video</v>
      </c>
      <c r="C11" s="176">
        <f>VAC_Optim_Scenario!E21</f>
        <v>13418576</v>
      </c>
      <c r="D11" s="176">
        <f>VAC_Optim_Scenario!G40</f>
        <v>22776633.092457965</v>
      </c>
      <c r="E11" s="176"/>
      <c r="F11" s="176">
        <v>15506327.183975426</v>
      </c>
      <c r="G11" s="168">
        <v>0.15558664227675326</v>
      </c>
      <c r="H11" s="176">
        <v>25202944.611548275</v>
      </c>
      <c r="I11" s="176"/>
      <c r="J11" s="176">
        <v>10781095.30146645</v>
      </c>
      <c r="K11" s="168">
        <v>-0.19655444054075111</v>
      </c>
      <c r="L11" s="176">
        <v>19541551.61969984</v>
      </c>
      <c r="N11" s="176">
        <v>9393003.1999999993</v>
      </c>
      <c r="O11" s="168">
        <v>-0.30000000000000004</v>
      </c>
      <c r="P11" s="176">
        <v>17744270.681404795</v>
      </c>
      <c r="R11" s="176">
        <v>17444148.800000001</v>
      </c>
      <c r="S11" s="168">
        <v>0.30000000000000004</v>
      </c>
      <c r="T11" s="176">
        <v>27368429.229773648</v>
      </c>
      <c r="V11" s="176">
        <v>17444148.800000001</v>
      </c>
      <c r="W11" s="168">
        <v>0.30000000000000004</v>
      </c>
      <c r="X11" s="176">
        <v>27368429.229773648</v>
      </c>
      <c r="Z11" s="176">
        <f>VAC_Optim_Scenario!$H40</f>
        <v>15506326.222568678</v>
      </c>
      <c r="AA11" s="168">
        <f t="shared" si="0"/>
        <v>0.15558657062930356</v>
      </c>
      <c r="AB11" s="176">
        <f>VAC_Optim_Scenario!$J40</f>
        <v>25202943.517724007</v>
      </c>
    </row>
    <row r="12" spans="2:28" x14ac:dyDescent="0.25">
      <c r="B12" s="175" t="str">
        <f>VAC_Optim_Scenario!B22</f>
        <v>HCC Display</v>
      </c>
      <c r="C12" s="176">
        <f>VAC_Optim_Scenario!E22</f>
        <v>2859426.82</v>
      </c>
      <c r="D12" s="176">
        <f>VAC_Optim_Scenario!G41</f>
        <v>17186128.903236553</v>
      </c>
      <c r="E12" s="176"/>
      <c r="F12" s="176">
        <v>3717254.8659951757</v>
      </c>
      <c r="G12" s="168">
        <v>0.29999999999831289</v>
      </c>
      <c r="H12" s="176">
        <v>20116113.448769718</v>
      </c>
      <c r="I12" s="176"/>
      <c r="J12" s="176">
        <v>3717254.8659951757</v>
      </c>
      <c r="K12" s="168">
        <v>0.29999999999831289</v>
      </c>
      <c r="L12" s="176">
        <v>20116113.448769718</v>
      </c>
      <c r="N12" s="176">
        <v>2001598.7739999997</v>
      </c>
      <c r="O12" s="168">
        <v>-0.30000000000000004</v>
      </c>
      <c r="P12" s="176">
        <v>13875124.505740259</v>
      </c>
      <c r="R12" s="176">
        <v>3717254.8659999999</v>
      </c>
      <c r="S12" s="168">
        <v>0.30000000000000004</v>
      </c>
      <c r="T12" s="176">
        <v>20116113.448785383</v>
      </c>
      <c r="V12" s="176">
        <v>3717254.8659999999</v>
      </c>
      <c r="W12" s="168">
        <v>0.30000000000000004</v>
      </c>
      <c r="X12" s="176">
        <v>20116113.448785383</v>
      </c>
      <c r="Z12" s="176">
        <f>VAC_Optim_Scenario!$H41</f>
        <v>3717254.8659999999</v>
      </c>
      <c r="AA12" s="168">
        <f t="shared" si="0"/>
        <v>0.30000000000000004</v>
      </c>
      <c r="AB12" s="176">
        <f>VAC_Optim_Scenario!$J41</f>
        <v>20116113.448785383</v>
      </c>
    </row>
    <row r="13" spans="2:28" x14ac:dyDescent="0.25">
      <c r="B13" s="175" t="str">
        <f>VAC_Optim_Scenario!B23</f>
        <v>HCC Paid Search</v>
      </c>
      <c r="C13" s="176">
        <f>VAC_Optim_Scenario!E23</f>
        <v>50000</v>
      </c>
      <c r="D13" s="176">
        <f>VAC_Optim_Scenario!G42</f>
        <v>6809106.9964962909</v>
      </c>
      <c r="E13" s="176"/>
      <c r="F13" s="176">
        <v>64999.99999999853</v>
      </c>
      <c r="G13" s="168">
        <v>0.29999999999997062</v>
      </c>
      <c r="H13" s="176">
        <v>8181831.0105399201</v>
      </c>
      <c r="I13" s="176"/>
      <c r="J13" s="176">
        <v>64999.99999999853</v>
      </c>
      <c r="K13" s="168">
        <v>0.29999999999997062</v>
      </c>
      <c r="L13" s="176">
        <v>8181831.0105399201</v>
      </c>
      <c r="N13" s="176">
        <v>64999.99999999853</v>
      </c>
      <c r="O13" s="168">
        <v>0.29999999999997062</v>
      </c>
      <c r="P13" s="176">
        <v>8181831.0105399201</v>
      </c>
      <c r="R13" s="176">
        <v>64999.99999999853</v>
      </c>
      <c r="S13" s="168">
        <v>0.29999999999997062</v>
      </c>
      <c r="T13" s="176">
        <v>8181831.0105399201</v>
      </c>
      <c r="V13" s="176">
        <v>64999.99999999853</v>
      </c>
      <c r="W13" s="168">
        <v>0.29999999999997062</v>
      </c>
      <c r="X13" s="176">
        <v>8181831.0105399201</v>
      </c>
      <c r="Z13" s="176">
        <f>VAC_Optim_Scenario!$H42</f>
        <v>64999.99999999853</v>
      </c>
      <c r="AA13" s="168">
        <f t="shared" si="0"/>
        <v>0.29999999999997062</v>
      </c>
      <c r="AB13" s="176">
        <f>VAC_Optim_Scenario!$J42</f>
        <v>8181831.0105399201</v>
      </c>
    </row>
    <row r="14" spans="2:28" x14ac:dyDescent="0.25">
      <c r="B14" s="175" t="str">
        <f>VAC_Optim_Scenario!B24</f>
        <v>HCC Radio</v>
      </c>
      <c r="C14" s="176">
        <f>VAC_Optim_Scenario!E24</f>
        <v>923975</v>
      </c>
      <c r="D14" s="176">
        <f>VAC_Optim_Scenario!G43</f>
        <v>6005837.5</v>
      </c>
      <c r="E14" s="176"/>
      <c r="F14" s="176">
        <v>1201167.4999994964</v>
      </c>
      <c r="G14" s="168">
        <v>0.29999999999945492</v>
      </c>
      <c r="H14" s="176">
        <v>6670385.2621709602</v>
      </c>
      <c r="I14" s="176"/>
      <c r="J14" s="176">
        <v>1201167.4999994964</v>
      </c>
      <c r="K14" s="168">
        <v>0.29999999999945492</v>
      </c>
      <c r="L14" s="176">
        <v>6670385.2621709602</v>
      </c>
      <c r="N14" s="176">
        <v>646782.5</v>
      </c>
      <c r="O14" s="168">
        <v>-0.3</v>
      </c>
      <c r="P14" s="176">
        <v>5207302.3332463158</v>
      </c>
      <c r="R14" s="176">
        <v>1201167.5</v>
      </c>
      <c r="S14" s="168">
        <v>0.3</v>
      </c>
      <c r="T14" s="176">
        <v>6670385.2621720778</v>
      </c>
      <c r="V14" s="176">
        <v>1201167.5</v>
      </c>
      <c r="W14" s="168">
        <v>0.3</v>
      </c>
      <c r="X14" s="176">
        <v>6670385.2621720778</v>
      </c>
      <c r="Z14" s="176">
        <f>VAC_Optim_Scenario!$H43</f>
        <v>1201167.5</v>
      </c>
      <c r="AA14" s="168">
        <f t="shared" si="0"/>
        <v>0.3</v>
      </c>
      <c r="AB14" s="176">
        <f>VAC_Optim_Scenario!$J43</f>
        <v>6670385.2621720778</v>
      </c>
    </row>
    <row r="15" spans="2:28" x14ac:dyDescent="0.25">
      <c r="B15" s="175" t="str">
        <f>VAC_Optim_Scenario!B25</f>
        <v>HCC Linear TV</v>
      </c>
      <c r="C15" s="176">
        <f>VAC_Optim_Scenario!E25</f>
        <v>25810928.600000001</v>
      </c>
      <c r="D15" s="176">
        <f>VAC_Optim_Scenario!G44</f>
        <v>38072697.978218496</v>
      </c>
      <c r="E15" s="176"/>
      <c r="F15" s="176">
        <v>18679386.21946964</v>
      </c>
      <c r="G15" s="168">
        <v>-0.27629933393912687</v>
      </c>
      <c r="H15" s="176">
        <v>30360221.401286107</v>
      </c>
      <c r="I15" s="176"/>
      <c r="J15" s="176">
        <v>18067650.02</v>
      </c>
      <c r="K15" s="168">
        <v>-0.30000000000000004</v>
      </c>
      <c r="L15" s="176">
        <v>29660760.471247368</v>
      </c>
      <c r="N15" s="176">
        <v>18067650.02</v>
      </c>
      <c r="O15" s="168">
        <v>-0.30000000000000004</v>
      </c>
      <c r="P15" s="176">
        <v>29660760.471247368</v>
      </c>
      <c r="R15" s="176">
        <v>22394927.515148934</v>
      </c>
      <c r="S15" s="168">
        <v>-0.13234708203605922</v>
      </c>
      <c r="T15" s="176">
        <v>34471158.223988205</v>
      </c>
      <c r="V15" s="176">
        <v>27970860.157258596</v>
      </c>
      <c r="W15" s="168">
        <v>8.3682830274405345E-2</v>
      </c>
      <c r="X15" s="176">
        <v>40275893.931409687</v>
      </c>
      <c r="Z15" s="176">
        <f>VAC_Optim_Scenario!$H44</f>
        <v>18679386.206453495</v>
      </c>
      <c r="AA15" s="168">
        <f t="shared" si="0"/>
        <v>-0.27629933444341503</v>
      </c>
      <c r="AB15" s="176">
        <f>VAC_Optim_Scenario!$J44</f>
        <v>30360221.38647721</v>
      </c>
    </row>
    <row r="16" spans="2:28" x14ac:dyDescent="0.25">
      <c r="B16" s="175" t="str">
        <f>VAC_Optim_Scenario!B26</f>
        <v>HCC Pharmacy</v>
      </c>
      <c r="C16" s="176">
        <f>VAC_Optim_Scenario!E26</f>
        <v>2411968</v>
      </c>
      <c r="D16" s="176">
        <f>VAC_Optim_Scenario!G45</f>
        <v>3636973.9761426859</v>
      </c>
      <c r="E16" s="176"/>
      <c r="F16" s="176">
        <v>2492453.8197657783</v>
      </c>
      <c r="G16" s="168">
        <v>3.3369356378599654E-2</v>
      </c>
      <c r="H16" s="176">
        <v>3729327.5518305544</v>
      </c>
      <c r="I16" s="176"/>
      <c r="J16" s="176">
        <v>1975558.1775153696</v>
      </c>
      <c r="K16" s="168">
        <v>-0.1809351626906453</v>
      </c>
      <c r="L16" s="176">
        <v>3107972.2472106083</v>
      </c>
      <c r="N16" s="176">
        <v>1688377.5999999999</v>
      </c>
      <c r="O16" s="168">
        <v>-0.30000000000000004</v>
      </c>
      <c r="P16" s="176">
        <v>2732343.3185010594</v>
      </c>
      <c r="R16" s="176">
        <v>2750235.3663705285</v>
      </c>
      <c r="S16" s="168">
        <v>0.14024537903095252</v>
      </c>
      <c r="T16" s="176">
        <v>4014776.7885853224</v>
      </c>
      <c r="V16" s="176">
        <v>3065968.2120435275</v>
      </c>
      <c r="W16" s="168">
        <v>0.27114796383846201</v>
      </c>
      <c r="X16" s="176">
        <v>4343872.866094402</v>
      </c>
      <c r="Z16" s="176">
        <f>VAC_Optim_Scenario!$H45</f>
        <v>2492454.2167876307</v>
      </c>
      <c r="AA16" s="168">
        <f t="shared" si="0"/>
        <v>3.3369520983541526E-2</v>
      </c>
      <c r="AB16" s="176">
        <f>VAC_Optim_Scenario!$J45</f>
        <v>3729328.0035355566</v>
      </c>
    </row>
    <row r="17" spans="1:28" ht="34.35" customHeight="1" x14ac:dyDescent="0.25">
      <c r="B17" s="177" t="s">
        <v>201</v>
      </c>
      <c r="C17" s="178">
        <f>SUM(C7:C16)</f>
        <v>59976092.18</v>
      </c>
      <c r="D17" s="178">
        <f>SUM(D7:D16)</f>
        <v>171572142.41127384</v>
      </c>
      <c r="E17" s="170"/>
      <c r="F17" s="178">
        <f>SUM(F7:F16)</f>
        <v>59976092.134820059</v>
      </c>
      <c r="G17" s="179">
        <f>(F17-$C$17)/$C$17</f>
        <v>-7.5329917502030307E-10</v>
      </c>
      <c r="H17" s="178">
        <f>SUM(H7:H16)</f>
        <v>187328616.08619222</v>
      </c>
      <c r="I17" s="170"/>
      <c r="J17" s="178">
        <f>SUM(J7:J16)</f>
        <v>53978482.952973962</v>
      </c>
      <c r="K17" s="179">
        <f>(J17-$C$17)/$C$17</f>
        <v>-0.10000000015049393</v>
      </c>
      <c r="L17" s="178">
        <f>SUM(L7:L16)</f>
        <v>180175237.53389466</v>
      </c>
      <c r="M17" s="170"/>
      <c r="N17" s="178">
        <f>SUM(N7:N16)</f>
        <v>47980873.760437153</v>
      </c>
      <c r="O17" s="179">
        <f>(N17-$C$17)/$C$17</f>
        <v>-0.19999999972593824</v>
      </c>
      <c r="P17" s="178">
        <f>SUM(P7:P16)</f>
        <v>164864104.31298712</v>
      </c>
      <c r="Q17" s="170"/>
      <c r="R17" s="178">
        <f>SUM(R7:R16)</f>
        <v>65973701.534460932</v>
      </c>
      <c r="S17" s="179">
        <f>(R17-$C$17)/$C$17</f>
        <v>0.10000000227525548</v>
      </c>
      <c r="T17" s="178">
        <f>SUM(T7:T16)</f>
        <v>193986231.83569983</v>
      </c>
      <c r="V17" s="178">
        <f>SUM(V7:V16)</f>
        <v>71971310.620682463</v>
      </c>
      <c r="W17" s="179">
        <f>(V17-$C$17)/$C$17</f>
        <v>0.20000000007807217</v>
      </c>
      <c r="X17" s="178">
        <f>SUM(X7:X16)</f>
        <v>200230491.01534268</v>
      </c>
      <c r="Z17" s="178">
        <f>SUM(Z7:Z16)</f>
        <v>59976092.14579583</v>
      </c>
      <c r="AA17" s="179">
        <f>(Z17-$C$17)/$C$17</f>
        <v>-5.7029674432919164E-10</v>
      </c>
      <c r="AB17" s="178">
        <f>SUM(AB7:AB16)</f>
        <v>187328616.09869274</v>
      </c>
    </row>
    <row r="18" spans="1:28" x14ac:dyDescent="0.25">
      <c r="D18" s="97">
        <f>D17/C17</f>
        <v>2.8606755821361656</v>
      </c>
    </row>
    <row r="20" spans="1:28" ht="26.85" customHeight="1" x14ac:dyDescent="0.25">
      <c r="F20" s="388" t="str">
        <f>F4</f>
        <v>Optimal channel spend allowed to vary between +/- 30% of the 2023 channel spend</v>
      </c>
      <c r="G20" s="388"/>
      <c r="H20" s="388"/>
      <c r="I20" s="388"/>
      <c r="J20" s="388"/>
      <c r="K20" s="388"/>
      <c r="L20" s="388"/>
      <c r="M20" s="388"/>
      <c r="N20" s="388"/>
      <c r="O20" s="388"/>
      <c r="P20" s="388"/>
      <c r="Q20" s="388"/>
      <c r="R20" s="388"/>
      <c r="S20" s="388"/>
      <c r="T20" s="388"/>
      <c r="U20" s="388"/>
      <c r="V20" s="388"/>
      <c r="W20" s="388"/>
      <c r="X20" s="388"/>
    </row>
    <row r="21" spans="1:28" ht="30.2" customHeight="1" x14ac:dyDescent="0.25">
      <c r="C21" s="381" t="s">
        <v>277</v>
      </c>
      <c r="D21" s="382"/>
      <c r="E21" s="180"/>
      <c r="F21" s="383" t="str">
        <f>F5</f>
        <v>Current Optimal ($60.0MM)</v>
      </c>
      <c r="G21" s="384"/>
      <c r="H21" s="385"/>
      <c r="I21" s="181"/>
      <c r="J21" s="383" t="str">
        <f>J5</f>
        <v>10% reduction optimal ($54M)</v>
      </c>
      <c r="K21" s="384"/>
      <c r="L21" s="385"/>
      <c r="M21" s="181"/>
      <c r="N21" s="383" t="str">
        <f>N5</f>
        <v>20% reduction optimal ($48M)</v>
      </c>
      <c r="O21" s="384"/>
      <c r="P21" s="385"/>
      <c r="R21" s="383" t="str">
        <f>R5</f>
        <v>10% increase optimal ($66M)</v>
      </c>
      <c r="S21" s="384"/>
      <c r="T21" s="385"/>
      <c r="V21" s="383" t="str">
        <f>V5</f>
        <v>20% increase optimal ($72M)</v>
      </c>
      <c r="W21" s="384"/>
      <c r="X21" s="385"/>
    </row>
    <row r="22" spans="1:28" ht="45" x14ac:dyDescent="0.25">
      <c r="B22" s="173" t="s">
        <v>196</v>
      </c>
      <c r="C22" s="182" t="s">
        <v>202</v>
      </c>
      <c r="D22" s="183" t="s">
        <v>203</v>
      </c>
      <c r="E22" s="184"/>
      <c r="F22" s="206" t="s">
        <v>205</v>
      </c>
      <c r="G22" s="183" t="s">
        <v>199</v>
      </c>
      <c r="H22" s="185" t="s">
        <v>200</v>
      </c>
      <c r="I22" s="184"/>
      <c r="J22" s="206" t="s">
        <v>205</v>
      </c>
      <c r="K22" s="183" t="s">
        <v>199</v>
      </c>
      <c r="L22" s="185" t="s">
        <v>200</v>
      </c>
      <c r="M22" s="170"/>
      <c r="N22" s="206" t="s">
        <v>205</v>
      </c>
      <c r="O22" s="183" t="s">
        <v>199</v>
      </c>
      <c r="P22" s="185" t="s">
        <v>200</v>
      </c>
      <c r="R22" s="206" t="s">
        <v>205</v>
      </c>
      <c r="S22" s="183" t="s">
        <v>199</v>
      </c>
      <c r="T22" s="185" t="s">
        <v>200</v>
      </c>
      <c r="V22" s="206" t="s">
        <v>205</v>
      </c>
      <c r="W22" s="183" t="s">
        <v>199</v>
      </c>
      <c r="X22" s="185" t="s">
        <v>200</v>
      </c>
    </row>
    <row r="23" spans="1:28" x14ac:dyDescent="0.25">
      <c r="A23" s="364">
        <f>D23/C23</f>
        <v>1.4670671649780089</v>
      </c>
      <c r="B23" s="175" t="str">
        <f t="shared" ref="B23:B32" si="1">B7</f>
        <v>HCC InOffice</v>
      </c>
      <c r="C23" s="186">
        <f>C7/1000000</f>
        <v>1.1347100000000001</v>
      </c>
      <c r="D23" s="291">
        <f>D7/1000000</f>
        <v>1.6646957827721967</v>
      </c>
      <c r="E23" s="188"/>
      <c r="F23" s="189">
        <f t="shared" ref="F23:F32" si="2">F7/1000000</f>
        <v>0.93804245761709026</v>
      </c>
      <c r="G23" s="190">
        <f>IFERROR(G7,"")</f>
        <v>-0.17331965205463043</v>
      </c>
      <c r="H23" s="286">
        <f t="shared" ref="H23:H32" si="3">H7/1000000</f>
        <v>1.4542362166161595</v>
      </c>
      <c r="I23" s="188"/>
      <c r="J23" s="189">
        <f t="shared" ref="J23:J32" si="4">J7/1000000</f>
        <v>0.79429700000000003</v>
      </c>
      <c r="K23" s="190">
        <f t="shared" ref="K23:K32" si="5">K7</f>
        <v>-0.3</v>
      </c>
      <c r="L23" s="286">
        <f t="shared" ref="L23:L32" si="6">L7/1000000</f>
        <v>1.2830668908256722</v>
      </c>
      <c r="M23" s="170"/>
      <c r="N23" s="189">
        <f t="shared" ref="N23:N32" si="7">N7/1000000</f>
        <v>0.79429700000000003</v>
      </c>
      <c r="O23" s="190">
        <f t="shared" ref="O23:O32" si="8">O7</f>
        <v>-0.3</v>
      </c>
      <c r="P23" s="286">
        <f t="shared" ref="P23:P32" si="9">P7/1000000</f>
        <v>1.2830668908256722</v>
      </c>
      <c r="Q23" s="170"/>
      <c r="R23" s="189">
        <f t="shared" ref="R23:R32" si="10">R7/1000000</f>
        <v>1.0245073989414653</v>
      </c>
      <c r="S23" s="190">
        <f t="shared" ref="S23:S32" si="11">S7</f>
        <v>-9.7119617398749289E-2</v>
      </c>
      <c r="T23" s="286">
        <f t="shared" ref="T23:T32" si="12">T7/1000000</f>
        <v>1.5499812884198136</v>
      </c>
      <c r="V23" s="189">
        <f t="shared" ref="V23:V32" si="13">V7/1000000</f>
        <v>1.1304509973803405</v>
      </c>
      <c r="W23" s="190">
        <f t="shared" ref="W23:W32" si="14">W7</f>
        <v>-3.7533842300319273E-3</v>
      </c>
      <c r="X23" s="191">
        <f t="shared" ref="X23:X32" si="15">X7/1000000</f>
        <v>1.6604086831321077</v>
      </c>
    </row>
    <row r="24" spans="1:28" x14ac:dyDescent="0.25">
      <c r="A24" s="364">
        <f t="shared" ref="A24:A32" si="16">D24/C24</f>
        <v>6.2023056243025811</v>
      </c>
      <c r="B24" s="175" t="str">
        <f t="shared" si="1"/>
        <v>HCP MCM</v>
      </c>
      <c r="C24" s="192">
        <f t="shared" ref="C24:D24" si="17">C8/1000000</f>
        <v>10.503728719999998</v>
      </c>
      <c r="D24" s="292">
        <f t="shared" si="17"/>
        <v>65.147335716204537</v>
      </c>
      <c r="E24" s="188"/>
      <c r="F24" s="193">
        <f t="shared" si="2"/>
        <v>13.654847335999998</v>
      </c>
      <c r="G24" s="194">
        <f t="shared" ref="G24:G32" si="18">IFERROR(G8,"")</f>
        <v>0.29999999999999988</v>
      </c>
      <c r="H24" s="287">
        <f t="shared" si="3"/>
        <v>79.502965080439395</v>
      </c>
      <c r="I24" s="188"/>
      <c r="J24" s="193">
        <f t="shared" si="4"/>
        <v>13.654847336000001</v>
      </c>
      <c r="K24" s="194">
        <f t="shared" si="5"/>
        <v>0.30000000000000027</v>
      </c>
      <c r="L24" s="287">
        <f t="shared" si="6"/>
        <v>79.502965080439395</v>
      </c>
      <c r="M24" s="170"/>
      <c r="N24" s="193">
        <f t="shared" si="7"/>
        <v>13.320219338437157</v>
      </c>
      <c r="O24" s="194">
        <f t="shared" si="8"/>
        <v>0.26814198019740537</v>
      </c>
      <c r="P24" s="287">
        <f t="shared" si="9"/>
        <v>78.075947616367557</v>
      </c>
      <c r="Q24" s="170"/>
      <c r="R24" s="193">
        <f t="shared" si="10"/>
        <v>13.654847336</v>
      </c>
      <c r="S24" s="190">
        <f t="shared" si="11"/>
        <v>0.30000000000000004</v>
      </c>
      <c r="T24" s="287">
        <f t="shared" si="12"/>
        <v>79.502965080439395</v>
      </c>
      <c r="V24" s="193">
        <f t="shared" si="13"/>
        <v>13.654847336</v>
      </c>
      <c r="W24" s="190">
        <f t="shared" si="14"/>
        <v>0.30000000000000004</v>
      </c>
      <c r="X24" s="195">
        <f t="shared" si="15"/>
        <v>79.502965080439395</v>
      </c>
    </row>
    <row r="25" spans="1:28" x14ac:dyDescent="0.25">
      <c r="A25" s="364">
        <f t="shared" si="16"/>
        <v>3.0736618978132371</v>
      </c>
      <c r="B25" s="175" t="str">
        <f t="shared" si="1"/>
        <v>HCC Social</v>
      </c>
      <c r="C25" s="192">
        <f t="shared" ref="C25:D25" si="19">C9/1000000</f>
        <v>1.7509999999999999</v>
      </c>
      <c r="D25" s="292">
        <f t="shared" si="19"/>
        <v>5.3819819830709781</v>
      </c>
      <c r="E25" s="188"/>
      <c r="F25" s="193">
        <f t="shared" si="2"/>
        <v>2.2762999999981908</v>
      </c>
      <c r="G25" s="194">
        <f t="shared" si="18"/>
        <v>0.29999999999896682</v>
      </c>
      <c r="H25" s="287">
        <f t="shared" si="3"/>
        <v>6.299531486135562</v>
      </c>
      <c r="I25" s="188"/>
      <c r="J25" s="193">
        <f t="shared" si="4"/>
        <v>2.2762999999981908</v>
      </c>
      <c r="K25" s="194">
        <f t="shared" si="5"/>
        <v>0.29999999999896682</v>
      </c>
      <c r="L25" s="287">
        <f t="shared" si="6"/>
        <v>6.299531486135562</v>
      </c>
      <c r="M25" s="170"/>
      <c r="N25" s="193">
        <f t="shared" si="7"/>
        <v>1.2257</v>
      </c>
      <c r="O25" s="194">
        <f t="shared" si="8"/>
        <v>-0.3</v>
      </c>
      <c r="P25" s="287">
        <f t="shared" si="9"/>
        <v>4.345112882791045</v>
      </c>
      <c r="Q25" s="170"/>
      <c r="R25" s="193">
        <f t="shared" si="10"/>
        <v>2.2763</v>
      </c>
      <c r="S25" s="190">
        <f t="shared" si="11"/>
        <v>0.3</v>
      </c>
      <c r="T25" s="287">
        <f t="shared" si="12"/>
        <v>6.2995314861385658</v>
      </c>
      <c r="V25" s="193">
        <f t="shared" si="13"/>
        <v>2.2763</v>
      </c>
      <c r="W25" s="190">
        <f t="shared" si="14"/>
        <v>0.3</v>
      </c>
      <c r="X25" s="195">
        <f t="shared" si="15"/>
        <v>6.2995314861385658</v>
      </c>
    </row>
    <row r="26" spans="1:28" x14ac:dyDescent="0.25">
      <c r="A26" s="364">
        <f t="shared" si="16"/>
        <v>4.3990310184963839</v>
      </c>
      <c r="B26" s="175" t="str">
        <f t="shared" si="1"/>
        <v>HCC Online Video</v>
      </c>
      <c r="C26" s="192">
        <f t="shared" ref="C26:D26" si="20">C10/1000000</f>
        <v>1.1117790400000001</v>
      </c>
      <c r="D26" s="292">
        <f t="shared" si="20"/>
        <v>4.8907504826741324</v>
      </c>
      <c r="E26" s="188"/>
      <c r="F26" s="193">
        <f t="shared" si="2"/>
        <v>1.4453127519992708</v>
      </c>
      <c r="G26" s="194">
        <f t="shared" si="18"/>
        <v>0.29999999999934412</v>
      </c>
      <c r="H26" s="287">
        <f t="shared" si="3"/>
        <v>5.8110600168555999</v>
      </c>
      <c r="I26" s="188"/>
      <c r="J26" s="193">
        <f t="shared" si="4"/>
        <v>1.4453127519992708</v>
      </c>
      <c r="K26" s="194">
        <f t="shared" si="5"/>
        <v>0.29999999999934412</v>
      </c>
      <c r="L26" s="287">
        <f t="shared" si="6"/>
        <v>5.8110600168555999</v>
      </c>
      <c r="M26" s="170"/>
      <c r="N26" s="193">
        <f t="shared" si="7"/>
        <v>0.77824532800000001</v>
      </c>
      <c r="O26" s="194">
        <f t="shared" si="8"/>
        <v>-0.30000000000000004</v>
      </c>
      <c r="P26" s="287">
        <f t="shared" si="9"/>
        <v>3.7583446023231097</v>
      </c>
      <c r="Q26" s="170"/>
      <c r="R26" s="193">
        <f t="shared" si="10"/>
        <v>1.4453127520000002</v>
      </c>
      <c r="S26" s="190">
        <f t="shared" si="11"/>
        <v>0.30000000000000004</v>
      </c>
      <c r="T26" s="287">
        <f t="shared" si="12"/>
        <v>5.8110600168574944</v>
      </c>
      <c r="V26" s="193">
        <f t="shared" si="13"/>
        <v>1.4453127520000002</v>
      </c>
      <c r="W26" s="190">
        <f t="shared" si="14"/>
        <v>0.30000000000000004</v>
      </c>
      <c r="X26" s="195">
        <f t="shared" si="15"/>
        <v>5.8110600168574944</v>
      </c>
    </row>
    <row r="27" spans="1:28" x14ac:dyDescent="0.25">
      <c r="A27" s="364">
        <f t="shared" si="16"/>
        <v>1.6973956917975472</v>
      </c>
      <c r="B27" s="175" t="str">
        <f t="shared" si="1"/>
        <v>HCC Streaming Video</v>
      </c>
      <c r="C27" s="192">
        <f t="shared" ref="C27:D27" si="21">C11/1000000</f>
        <v>13.418576</v>
      </c>
      <c r="D27" s="292">
        <f t="shared" si="21"/>
        <v>22.776633092457963</v>
      </c>
      <c r="E27" s="188"/>
      <c r="F27" s="193">
        <f t="shared" si="2"/>
        <v>15.506327183975426</v>
      </c>
      <c r="G27" s="353">
        <f t="shared" si="18"/>
        <v>0.15558664227675326</v>
      </c>
      <c r="H27" s="287">
        <f t="shared" si="3"/>
        <v>25.202944611548276</v>
      </c>
      <c r="I27" s="188"/>
      <c r="J27" s="193">
        <f t="shared" si="4"/>
        <v>10.781095301466451</v>
      </c>
      <c r="K27" s="194">
        <f t="shared" si="5"/>
        <v>-0.19655444054075111</v>
      </c>
      <c r="L27" s="287">
        <f t="shared" si="6"/>
        <v>19.541551619699838</v>
      </c>
      <c r="M27" s="170"/>
      <c r="N27" s="193">
        <f t="shared" si="7"/>
        <v>9.393003199999999</v>
      </c>
      <c r="O27" s="194">
        <f t="shared" si="8"/>
        <v>-0.30000000000000004</v>
      </c>
      <c r="P27" s="287">
        <f t="shared" si="9"/>
        <v>17.744270681404796</v>
      </c>
      <c r="Q27" s="170"/>
      <c r="R27" s="193">
        <f t="shared" si="10"/>
        <v>17.444148800000001</v>
      </c>
      <c r="S27" s="190">
        <f t="shared" si="11"/>
        <v>0.30000000000000004</v>
      </c>
      <c r="T27" s="287">
        <f t="shared" si="12"/>
        <v>27.36842922977365</v>
      </c>
      <c r="V27" s="193">
        <f t="shared" si="13"/>
        <v>17.444148800000001</v>
      </c>
      <c r="W27" s="190">
        <f t="shared" si="14"/>
        <v>0.30000000000000004</v>
      </c>
      <c r="X27" s="195">
        <f t="shared" si="15"/>
        <v>27.36842922977365</v>
      </c>
    </row>
    <row r="28" spans="1:28" x14ac:dyDescent="0.25">
      <c r="A28" s="364">
        <f t="shared" si="16"/>
        <v>6.0103405280490989</v>
      </c>
      <c r="B28" s="175" t="str">
        <f t="shared" si="1"/>
        <v>HCC Display</v>
      </c>
      <c r="C28" s="192">
        <f t="shared" ref="C28:D28" si="22">C12/1000000</f>
        <v>2.8594268199999999</v>
      </c>
      <c r="D28" s="292">
        <f t="shared" si="22"/>
        <v>17.186128903236554</v>
      </c>
      <c r="E28" s="188"/>
      <c r="F28" s="193">
        <f t="shared" si="2"/>
        <v>3.7172548659951756</v>
      </c>
      <c r="G28" s="353">
        <f t="shared" si="18"/>
        <v>0.29999999999831289</v>
      </c>
      <c r="H28" s="287">
        <f t="shared" si="3"/>
        <v>20.116113448769717</v>
      </c>
      <c r="I28" s="188"/>
      <c r="J28" s="193">
        <f t="shared" si="4"/>
        <v>3.7172548659951756</v>
      </c>
      <c r="K28" s="194">
        <f t="shared" si="5"/>
        <v>0.29999999999831289</v>
      </c>
      <c r="L28" s="287">
        <f t="shared" si="6"/>
        <v>20.116113448769717</v>
      </c>
      <c r="M28" s="170"/>
      <c r="N28" s="193">
        <f t="shared" si="7"/>
        <v>2.0015987739999996</v>
      </c>
      <c r="O28" s="194">
        <f t="shared" si="8"/>
        <v>-0.30000000000000004</v>
      </c>
      <c r="P28" s="287">
        <f t="shared" si="9"/>
        <v>13.875124505740258</v>
      </c>
      <c r="Q28" s="170"/>
      <c r="R28" s="193">
        <f t="shared" si="10"/>
        <v>3.7172548659999998</v>
      </c>
      <c r="S28" s="190">
        <f t="shared" si="11"/>
        <v>0.30000000000000004</v>
      </c>
      <c r="T28" s="287">
        <f t="shared" si="12"/>
        <v>20.116113448785384</v>
      </c>
      <c r="V28" s="193">
        <f t="shared" si="13"/>
        <v>3.7172548659999998</v>
      </c>
      <c r="W28" s="190">
        <f t="shared" si="14"/>
        <v>0.30000000000000004</v>
      </c>
      <c r="X28" s="195">
        <f t="shared" si="15"/>
        <v>20.116113448785384</v>
      </c>
    </row>
    <row r="29" spans="1:28" x14ac:dyDescent="0.25">
      <c r="A29" s="364">
        <f t="shared" si="16"/>
        <v>136.1821399299258</v>
      </c>
      <c r="B29" s="175" t="str">
        <f t="shared" si="1"/>
        <v>HCC Paid Search</v>
      </c>
      <c r="C29" s="192">
        <f t="shared" ref="C29:D29" si="23">C13/1000000</f>
        <v>0.05</v>
      </c>
      <c r="D29" s="292">
        <f t="shared" si="23"/>
        <v>6.8091069964962907</v>
      </c>
      <c r="E29" s="188"/>
      <c r="F29" s="193">
        <f t="shared" si="2"/>
        <v>6.4999999999998531E-2</v>
      </c>
      <c r="G29" s="194">
        <f t="shared" si="18"/>
        <v>0.29999999999997062</v>
      </c>
      <c r="H29" s="287">
        <f t="shared" si="3"/>
        <v>8.1818310105399199</v>
      </c>
      <c r="I29" s="188"/>
      <c r="J29" s="193">
        <f t="shared" si="4"/>
        <v>6.4999999999998531E-2</v>
      </c>
      <c r="K29" s="194">
        <f t="shared" si="5"/>
        <v>0.29999999999997062</v>
      </c>
      <c r="L29" s="287">
        <f t="shared" si="6"/>
        <v>8.1818310105399199</v>
      </c>
      <c r="M29" s="170"/>
      <c r="N29" s="193">
        <f t="shared" si="7"/>
        <v>6.4999999999998531E-2</v>
      </c>
      <c r="O29" s="194">
        <f t="shared" si="8"/>
        <v>0.29999999999997062</v>
      </c>
      <c r="P29" s="287">
        <f t="shared" si="9"/>
        <v>8.1818310105399199</v>
      </c>
      <c r="Q29" s="170"/>
      <c r="R29" s="193">
        <f t="shared" si="10"/>
        <v>6.4999999999998531E-2</v>
      </c>
      <c r="S29" s="190">
        <f t="shared" si="11"/>
        <v>0.29999999999997062</v>
      </c>
      <c r="T29" s="287">
        <f t="shared" si="12"/>
        <v>8.1818310105399199</v>
      </c>
      <c r="V29" s="193">
        <f t="shared" si="13"/>
        <v>6.4999999999998531E-2</v>
      </c>
      <c r="W29" s="190">
        <f t="shared" si="14"/>
        <v>0.29999999999997062</v>
      </c>
      <c r="X29" s="195">
        <f t="shared" si="15"/>
        <v>8.1818310105399199</v>
      </c>
    </row>
    <row r="30" spans="1:28" x14ac:dyDescent="0.25">
      <c r="A30" s="364">
        <f t="shared" si="16"/>
        <v>6.5</v>
      </c>
      <c r="B30" s="175" t="str">
        <f t="shared" si="1"/>
        <v>HCC Radio</v>
      </c>
      <c r="C30" s="192">
        <f t="shared" ref="C30:D30" si="24">C14/1000000</f>
        <v>0.92397499999999999</v>
      </c>
      <c r="D30" s="292">
        <f t="shared" si="24"/>
        <v>6.0058375000000002</v>
      </c>
      <c r="E30" s="188"/>
      <c r="F30" s="193">
        <f t="shared" si="2"/>
        <v>1.2011674999994963</v>
      </c>
      <c r="G30" s="194">
        <f t="shared" si="18"/>
        <v>0.29999999999945492</v>
      </c>
      <c r="H30" s="287">
        <f t="shared" si="3"/>
        <v>6.6703852621709601</v>
      </c>
      <c r="I30" s="188"/>
      <c r="J30" s="193">
        <f t="shared" si="4"/>
        <v>1.2011674999994963</v>
      </c>
      <c r="K30" s="194">
        <f t="shared" si="5"/>
        <v>0.29999999999945492</v>
      </c>
      <c r="L30" s="287">
        <f t="shared" si="6"/>
        <v>6.6703852621709601</v>
      </c>
      <c r="M30" s="170"/>
      <c r="N30" s="193">
        <f t="shared" si="7"/>
        <v>0.64678250000000004</v>
      </c>
      <c r="O30" s="194">
        <f t="shared" si="8"/>
        <v>-0.3</v>
      </c>
      <c r="P30" s="287">
        <f t="shared" si="9"/>
        <v>5.2073023332463162</v>
      </c>
      <c r="Q30" s="170"/>
      <c r="R30" s="193">
        <f t="shared" si="10"/>
        <v>1.2011674999999999</v>
      </c>
      <c r="S30" s="194">
        <f t="shared" ref="S30" si="25">IFERROR(S14,"")</f>
        <v>0.3</v>
      </c>
      <c r="T30" s="287">
        <f t="shared" si="12"/>
        <v>6.6703852621720774</v>
      </c>
      <c r="V30" s="193">
        <f t="shared" si="13"/>
        <v>1.2011674999999999</v>
      </c>
      <c r="W30" s="194">
        <f t="shared" ref="W30" si="26">IFERROR(W14,"")</f>
        <v>0.3</v>
      </c>
      <c r="X30" s="195">
        <f t="shared" si="15"/>
        <v>6.6703852621720774</v>
      </c>
    </row>
    <row r="31" spans="1:28" x14ac:dyDescent="0.25">
      <c r="A31" s="364">
        <f t="shared" si="16"/>
        <v>1.4750611482540188</v>
      </c>
      <c r="B31" s="175" t="str">
        <f t="shared" si="1"/>
        <v>HCC Linear TV</v>
      </c>
      <c r="C31" s="192">
        <f t="shared" ref="C31:D32" si="27">C15/1000000</f>
        <v>25.8109286</v>
      </c>
      <c r="D31" s="292">
        <f t="shared" si="27"/>
        <v>38.072697978218493</v>
      </c>
      <c r="E31" s="188"/>
      <c r="F31" s="193">
        <f t="shared" si="2"/>
        <v>18.679386219469642</v>
      </c>
      <c r="G31" s="194">
        <f t="shared" si="18"/>
        <v>-0.27629933393912687</v>
      </c>
      <c r="H31" s="287">
        <f t="shared" si="3"/>
        <v>30.360221401286108</v>
      </c>
      <c r="I31" s="188"/>
      <c r="J31" s="193">
        <f t="shared" si="4"/>
        <v>18.067650019999999</v>
      </c>
      <c r="K31" s="194">
        <f t="shared" si="5"/>
        <v>-0.30000000000000004</v>
      </c>
      <c r="L31" s="287">
        <f t="shared" si="6"/>
        <v>29.660760471247368</v>
      </c>
      <c r="M31" s="170"/>
      <c r="N31" s="193">
        <f t="shared" si="7"/>
        <v>18.067650019999999</v>
      </c>
      <c r="O31" s="194">
        <f t="shared" si="8"/>
        <v>-0.30000000000000004</v>
      </c>
      <c r="P31" s="287">
        <f t="shared" si="9"/>
        <v>29.660760471247368</v>
      </c>
      <c r="Q31" s="170"/>
      <c r="R31" s="193">
        <f t="shared" si="10"/>
        <v>22.394927515148932</v>
      </c>
      <c r="S31" s="190">
        <f t="shared" si="11"/>
        <v>-0.13234708203605922</v>
      </c>
      <c r="T31" s="287">
        <f t="shared" si="12"/>
        <v>34.471158223988205</v>
      </c>
      <c r="V31" s="193">
        <f t="shared" si="13"/>
        <v>27.970860157258596</v>
      </c>
      <c r="W31" s="190">
        <f t="shared" si="14"/>
        <v>8.3682830274405345E-2</v>
      </c>
      <c r="X31" s="195">
        <f t="shared" si="15"/>
        <v>40.275893931409684</v>
      </c>
    </row>
    <row r="32" spans="1:28" x14ac:dyDescent="0.25">
      <c r="A32" s="364">
        <f t="shared" si="16"/>
        <v>1.5078864960657381</v>
      </c>
      <c r="B32" s="175" t="str">
        <f t="shared" si="1"/>
        <v>HCC Pharmacy</v>
      </c>
      <c r="C32" s="192">
        <f t="shared" si="27"/>
        <v>2.4119679999999999</v>
      </c>
      <c r="D32" s="292">
        <f t="shared" si="27"/>
        <v>3.636973976142686</v>
      </c>
      <c r="E32" s="188"/>
      <c r="F32" s="193">
        <f t="shared" si="2"/>
        <v>2.4924538197657782</v>
      </c>
      <c r="G32" s="194">
        <f t="shared" si="18"/>
        <v>3.3369356378599654E-2</v>
      </c>
      <c r="H32" s="287">
        <f t="shared" si="3"/>
        <v>3.7293275518305542</v>
      </c>
      <c r="I32" s="188"/>
      <c r="J32" s="193">
        <f t="shared" si="4"/>
        <v>1.9755581775153697</v>
      </c>
      <c r="K32" s="194">
        <f t="shared" si="5"/>
        <v>-0.1809351626906453</v>
      </c>
      <c r="L32" s="287">
        <f t="shared" si="6"/>
        <v>3.1079722472106082</v>
      </c>
      <c r="M32" s="170"/>
      <c r="N32" s="193">
        <f t="shared" si="7"/>
        <v>1.6883775999999999</v>
      </c>
      <c r="O32" s="194">
        <f t="shared" si="8"/>
        <v>-0.30000000000000004</v>
      </c>
      <c r="P32" s="287">
        <f t="shared" si="9"/>
        <v>2.7323433185010595</v>
      </c>
      <c r="Q32" s="170"/>
      <c r="R32" s="193">
        <f t="shared" si="10"/>
        <v>2.7502353663705286</v>
      </c>
      <c r="S32" s="190">
        <f t="shared" si="11"/>
        <v>0.14024537903095252</v>
      </c>
      <c r="T32" s="287">
        <f t="shared" si="12"/>
        <v>4.0147767885853227</v>
      </c>
      <c r="V32" s="193">
        <f t="shared" si="13"/>
        <v>3.0659682120435274</v>
      </c>
      <c r="W32" s="190">
        <f t="shared" si="14"/>
        <v>0.27114796383846201</v>
      </c>
      <c r="X32" s="195">
        <f t="shared" si="15"/>
        <v>4.3438728660944017</v>
      </c>
    </row>
    <row r="33" spans="2:26" ht="29.45" customHeight="1" x14ac:dyDescent="0.25">
      <c r="B33" s="196" t="s">
        <v>201</v>
      </c>
      <c r="C33" s="197">
        <f>C17/1000000</f>
        <v>59.976092180000002</v>
      </c>
      <c r="D33" s="293">
        <f>D17/1000000</f>
        <v>171.57214241127383</v>
      </c>
      <c r="E33" s="199"/>
      <c r="F33" s="200">
        <f>F17/1000000</f>
        <v>59.976092134820057</v>
      </c>
      <c r="G33" s="201">
        <f>G17</f>
        <v>-7.5329917502030307E-10</v>
      </c>
      <c r="H33" s="205">
        <f>H17/1000000</f>
        <v>187.32861608619223</v>
      </c>
      <c r="I33" s="199"/>
      <c r="J33" s="200">
        <f>J17/1000000</f>
        <v>53.978482952973962</v>
      </c>
      <c r="K33" s="201">
        <f>K17</f>
        <v>-0.10000000015049393</v>
      </c>
      <c r="L33" s="205">
        <f>L17/1000000</f>
        <v>180.17523753389466</v>
      </c>
      <c r="M33" s="199"/>
      <c r="N33" s="200">
        <f>N17/1000000</f>
        <v>47.980873760437156</v>
      </c>
      <c r="O33" s="201">
        <f>O17</f>
        <v>-0.19999999972593824</v>
      </c>
      <c r="P33" s="205">
        <f>P17/1000000</f>
        <v>164.86410431298711</v>
      </c>
      <c r="R33" s="200">
        <f>R17/1000000</f>
        <v>65.973701534460929</v>
      </c>
      <c r="S33" s="201">
        <f>S17</f>
        <v>0.10000000227525548</v>
      </c>
      <c r="T33" s="205">
        <f>T17/1000000</f>
        <v>193.98623183569984</v>
      </c>
      <c r="V33" s="200">
        <f>V17/1000000</f>
        <v>71.971310620682459</v>
      </c>
      <c r="W33" s="201">
        <f>W17</f>
        <v>0.20000000007807217</v>
      </c>
      <c r="X33" s="205">
        <f>X17/1000000</f>
        <v>200.23049101534269</v>
      </c>
    </row>
    <row r="34" spans="2:26" ht="45" x14ac:dyDescent="0.25">
      <c r="B34" s="288" t="s">
        <v>267</v>
      </c>
      <c r="C34" s="197"/>
      <c r="D34" s="198"/>
      <c r="E34" s="199"/>
      <c r="F34" s="200"/>
      <c r="G34" s="201"/>
      <c r="H34" s="290" t="s">
        <v>278</v>
      </c>
      <c r="I34" s="199"/>
      <c r="J34" s="200"/>
      <c r="K34" s="201"/>
      <c r="L34" s="290" t="s">
        <v>279</v>
      </c>
      <c r="M34" s="199"/>
      <c r="N34" s="200"/>
      <c r="O34" s="201"/>
      <c r="P34" s="204" t="s">
        <v>280</v>
      </c>
      <c r="R34" s="200"/>
      <c r="S34" s="201"/>
      <c r="T34" s="290" t="s">
        <v>281</v>
      </c>
      <c r="V34" s="200"/>
      <c r="W34" s="201"/>
      <c r="X34" s="290" t="s">
        <v>282</v>
      </c>
    </row>
    <row r="35" spans="2:26" x14ac:dyDescent="0.25">
      <c r="H35" s="205">
        <f>(H33-$D$33)</f>
        <v>15.756473674918396</v>
      </c>
      <c r="L35" s="205">
        <f>(L33-$D$33)</f>
        <v>8.6030951226208288</v>
      </c>
      <c r="P35" s="205">
        <f>(P33-$D$33)</f>
        <v>-6.7080380982867212</v>
      </c>
      <c r="T35" s="205">
        <f>(T33-$D$33)</f>
        <v>22.41408942442601</v>
      </c>
      <c r="X35" s="205">
        <f>(X33-$D$33)</f>
        <v>28.658348604068863</v>
      </c>
    </row>
    <row r="36" spans="2:26" x14ac:dyDescent="0.25">
      <c r="H36" s="289">
        <f>H35/$D$33</f>
        <v>9.1835850817487102E-2</v>
      </c>
      <c r="L36" s="289">
        <f>L35/$D$33</f>
        <v>5.014272714505387E-2</v>
      </c>
      <c r="P36" s="289">
        <f>P35/$D$33</f>
        <v>-3.9097478203699007E-2</v>
      </c>
      <c r="T36" s="289">
        <f>T35/$D$33</f>
        <v>0.13063944478059511</v>
      </c>
      <c r="X36" s="289">
        <f>X35/$D$33</f>
        <v>0.16703380980912524</v>
      </c>
    </row>
    <row r="38" spans="2:26" hidden="1" x14ac:dyDescent="0.25">
      <c r="B38" s="387" t="s">
        <v>244</v>
      </c>
      <c r="C38" s="387"/>
      <c r="D38" s="387"/>
      <c r="E38" s="387"/>
      <c r="F38" s="387"/>
      <c r="G38" s="387"/>
      <c r="H38" s="387"/>
      <c r="I38" s="387"/>
      <c r="J38" s="387"/>
      <c r="K38" s="387"/>
      <c r="L38" s="387"/>
      <c r="M38" s="387"/>
      <c r="N38" s="387"/>
      <c r="O38" s="387"/>
      <c r="P38" s="387"/>
      <c r="Q38" s="387"/>
      <c r="R38" s="387"/>
      <c r="S38" s="387"/>
      <c r="T38" s="387"/>
    </row>
    <row r="39" spans="2:26" hidden="1" x14ac:dyDescent="0.25">
      <c r="B39" s="387"/>
      <c r="C39" s="387"/>
      <c r="D39" s="387"/>
      <c r="E39" s="387"/>
      <c r="F39" s="387"/>
      <c r="G39" s="387"/>
      <c r="H39" s="387"/>
      <c r="I39" s="387"/>
      <c r="J39" s="387"/>
      <c r="K39" s="387"/>
      <c r="L39" s="387"/>
      <c r="M39" s="387"/>
      <c r="N39" s="387"/>
      <c r="O39" s="387"/>
      <c r="P39" s="387"/>
      <c r="Q39" s="387"/>
      <c r="R39" s="387"/>
      <c r="S39" s="387"/>
      <c r="T39" s="387"/>
    </row>
    <row r="40" spans="2:26" hidden="1" x14ac:dyDescent="0.25"/>
    <row r="41" spans="2:26" hidden="1" x14ac:dyDescent="0.25">
      <c r="F41" s="383" t="s">
        <v>224</v>
      </c>
      <c r="G41" s="384"/>
      <c r="H41" s="385"/>
      <c r="I41" s="172"/>
      <c r="J41" s="383" t="s">
        <v>194</v>
      </c>
      <c r="K41" s="384"/>
      <c r="L41" s="385"/>
      <c r="M41" s="172"/>
      <c r="N41" s="383" t="s">
        <v>195</v>
      </c>
      <c r="O41" s="384"/>
      <c r="P41" s="385"/>
      <c r="R41" s="383" t="s">
        <v>245</v>
      </c>
      <c r="S41" s="384"/>
      <c r="T41" s="385"/>
    </row>
    <row r="42" spans="2:26" ht="45" hidden="1" x14ac:dyDescent="0.25">
      <c r="B42" s="173" t="s">
        <v>196</v>
      </c>
      <c r="C42" s="97" t="s">
        <v>197</v>
      </c>
      <c r="D42" s="174" t="s">
        <v>198</v>
      </c>
      <c r="E42" s="174"/>
      <c r="F42" s="97" t="s">
        <v>197</v>
      </c>
      <c r="G42" s="174" t="s">
        <v>199</v>
      </c>
      <c r="H42" s="174" t="s">
        <v>200</v>
      </c>
      <c r="I42" s="174"/>
      <c r="J42" s="97" t="s">
        <v>197</v>
      </c>
      <c r="K42" s="174" t="s">
        <v>199</v>
      </c>
      <c r="L42" s="174" t="s">
        <v>200</v>
      </c>
      <c r="N42" s="97" t="s">
        <v>197</v>
      </c>
      <c r="O42" s="174" t="s">
        <v>199</v>
      </c>
      <c r="P42" s="174" t="s">
        <v>200</v>
      </c>
      <c r="R42" s="97" t="s">
        <v>197</v>
      </c>
      <c r="S42" s="174" t="s">
        <v>199</v>
      </c>
      <c r="T42" s="174" t="s">
        <v>200</v>
      </c>
    </row>
    <row r="43" spans="2:26" hidden="1" x14ac:dyDescent="0.25">
      <c r="B43" s="175" t="str">
        <f t="shared" ref="B43:D52" si="28">B7</f>
        <v>HCC InOffice</v>
      </c>
      <c r="C43" s="176">
        <f t="shared" si="28"/>
        <v>1134710</v>
      </c>
      <c r="D43" s="176">
        <f t="shared" si="28"/>
        <v>1664695.7827721967</v>
      </c>
      <c r="E43" s="176"/>
      <c r="F43" s="176"/>
      <c r="G43" s="168"/>
      <c r="H43" s="176"/>
      <c r="I43" s="176"/>
      <c r="J43" s="176"/>
      <c r="K43" s="168"/>
      <c r="L43" s="176"/>
      <c r="N43" s="176"/>
      <c r="O43" s="168"/>
      <c r="P43" s="176"/>
      <c r="R43" s="176">
        <v>1726886.6554235087</v>
      </c>
      <c r="S43" s="168">
        <v>0.15125777028233914</v>
      </c>
      <c r="T43" s="176">
        <v>3789941.2960206438</v>
      </c>
      <c r="X43" s="176">
        <f>VAC_Optim_Scenario!$H36</f>
        <v>938043.04598603304</v>
      </c>
      <c r="Y43" s="168">
        <f>(X43-$C43)/$C43</f>
        <v>-0.17331913353541165</v>
      </c>
      <c r="Z43" s="176">
        <f>VAC_Optim_Scenario!$J36</f>
        <v>1454236.8860231375</v>
      </c>
    </row>
    <row r="44" spans="2:26" hidden="1" x14ac:dyDescent="0.25">
      <c r="B44" s="175" t="str">
        <f t="shared" si="28"/>
        <v>HCP MCM</v>
      </c>
      <c r="C44" s="176">
        <f t="shared" si="28"/>
        <v>10503728.719999999</v>
      </c>
      <c r="D44" s="176">
        <f t="shared" si="28"/>
        <v>65147335.716204539</v>
      </c>
      <c r="E44" s="176"/>
      <c r="F44" s="176"/>
      <c r="G44" s="168"/>
      <c r="H44" s="176"/>
      <c r="I44" s="176"/>
      <c r="J44" s="176"/>
      <c r="K44" s="168"/>
      <c r="L44" s="176"/>
      <c r="N44" s="176"/>
      <c r="O44" s="168"/>
      <c r="P44" s="176"/>
      <c r="R44" s="176">
        <v>10277647.167225027</v>
      </c>
      <c r="S44" s="168">
        <v>0.1999999961732519</v>
      </c>
      <c r="T44" s="176">
        <v>63621602.136797041</v>
      </c>
      <c r="X44" s="176">
        <f>VAC_Optim_Scenario!$H37</f>
        <v>13654847.335999999</v>
      </c>
      <c r="Y44" s="168">
        <f t="shared" ref="Y44:Y52" si="29">(X44-$C44)/$C44</f>
        <v>0.30000000000000004</v>
      </c>
      <c r="Z44" s="176">
        <f>VAC_Optim_Scenario!$J37</f>
        <v>79502965.080439389</v>
      </c>
    </row>
    <row r="45" spans="2:26" hidden="1" x14ac:dyDescent="0.25">
      <c r="B45" s="175" t="str">
        <f t="shared" si="28"/>
        <v>HCC Social</v>
      </c>
      <c r="C45" s="176">
        <f t="shared" si="28"/>
        <v>1751000</v>
      </c>
      <c r="D45" s="176">
        <f t="shared" si="28"/>
        <v>5381981.983070978</v>
      </c>
      <c r="E45" s="176"/>
      <c r="F45" s="176"/>
      <c r="G45" s="168"/>
      <c r="H45" s="176"/>
      <c r="I45" s="176"/>
      <c r="J45" s="176"/>
      <c r="K45" s="168"/>
      <c r="L45" s="176"/>
      <c r="N45" s="176"/>
      <c r="O45" s="168"/>
      <c r="P45" s="176"/>
      <c r="R45" s="176">
        <v>2368380.1898589036</v>
      </c>
      <c r="S45" s="168">
        <v>0.29112634317672054</v>
      </c>
      <c r="T45" s="176">
        <v>5730365.3346687928</v>
      </c>
      <c r="X45" s="176">
        <f>VAC_Optim_Scenario!$H38</f>
        <v>2276300</v>
      </c>
      <c r="Y45" s="168">
        <f t="shared" si="29"/>
        <v>0.3</v>
      </c>
      <c r="Z45" s="176">
        <f>VAC_Optim_Scenario!$J38</f>
        <v>6299531.4861385655</v>
      </c>
    </row>
    <row r="46" spans="2:26" hidden="1" x14ac:dyDescent="0.25">
      <c r="B46" s="175" t="str">
        <f t="shared" si="28"/>
        <v>HCC Online Video</v>
      </c>
      <c r="C46" s="176">
        <f t="shared" si="28"/>
        <v>1111779.04</v>
      </c>
      <c r="D46" s="176">
        <f t="shared" si="28"/>
        <v>4890750.4826741321</v>
      </c>
      <c r="E46" s="176"/>
      <c r="F46" s="176"/>
      <c r="G46" s="168"/>
      <c r="H46" s="176"/>
      <c r="I46" s="176"/>
      <c r="J46" s="176"/>
      <c r="K46" s="168"/>
      <c r="L46" s="176"/>
      <c r="N46" s="176"/>
      <c r="O46" s="168"/>
      <c r="P46" s="176"/>
      <c r="R46" s="176">
        <v>1200000</v>
      </c>
      <c r="S46" s="168">
        <v>-0.65337954939341425</v>
      </c>
      <c r="T46" s="176">
        <v>1551024.0419922816</v>
      </c>
      <c r="X46" s="176">
        <f>VAC_Optim_Scenario!$H39</f>
        <v>1445312.7520000001</v>
      </c>
      <c r="Y46" s="168">
        <f t="shared" si="29"/>
        <v>0.30000000000000004</v>
      </c>
      <c r="Z46" s="176">
        <f>VAC_Optim_Scenario!$J39</f>
        <v>5811060.0168574946</v>
      </c>
    </row>
    <row r="47" spans="2:26" hidden="1" x14ac:dyDescent="0.25">
      <c r="B47" s="175" t="str">
        <f t="shared" si="28"/>
        <v>HCC Streaming Video</v>
      </c>
      <c r="C47" s="176">
        <f t="shared" si="28"/>
        <v>13418576</v>
      </c>
      <c r="D47" s="176">
        <f t="shared" si="28"/>
        <v>22776633.092457965</v>
      </c>
      <c r="E47" s="176"/>
      <c r="F47" s="176"/>
      <c r="G47" s="168"/>
      <c r="H47" s="176"/>
      <c r="I47" s="176"/>
      <c r="J47" s="176"/>
      <c r="K47" s="168"/>
      <c r="L47" s="176"/>
      <c r="N47" s="176"/>
      <c r="O47" s="168"/>
      <c r="P47" s="176"/>
      <c r="R47" s="176">
        <v>7932686.9382044151</v>
      </c>
      <c r="S47" s="168">
        <v>-0.49321739045244606</v>
      </c>
      <c r="T47" s="176">
        <v>4575561.4853431694</v>
      </c>
      <c r="X47" s="176">
        <f>VAC_Optim_Scenario!$H40</f>
        <v>15506326.222568678</v>
      </c>
      <c r="Y47" s="168">
        <f t="shared" si="29"/>
        <v>0.15558657062930356</v>
      </c>
      <c r="Z47" s="176">
        <f>VAC_Optim_Scenario!$J40</f>
        <v>25202943.517724007</v>
      </c>
    </row>
    <row r="48" spans="2:26" hidden="1" x14ac:dyDescent="0.25">
      <c r="B48" s="175" t="str">
        <f t="shared" si="28"/>
        <v>HCC Display</v>
      </c>
      <c r="C48" s="176">
        <f t="shared" si="28"/>
        <v>2859426.82</v>
      </c>
      <c r="D48" s="176">
        <f t="shared" si="28"/>
        <v>17186128.903236553</v>
      </c>
      <c r="E48" s="176"/>
      <c r="F48" s="176"/>
      <c r="G48" s="168"/>
      <c r="H48" s="176"/>
      <c r="I48" s="176"/>
      <c r="J48" s="176"/>
      <c r="K48" s="168"/>
      <c r="L48" s="176"/>
      <c r="N48" s="176"/>
      <c r="O48" s="168"/>
      <c r="P48" s="176"/>
      <c r="R48" s="176">
        <v>3440655.137442824</v>
      </c>
      <c r="S48" s="168">
        <v>0.45170911999417063</v>
      </c>
      <c r="T48" s="176">
        <v>13611226.904425433</v>
      </c>
      <c r="X48" s="176">
        <f>VAC_Optim_Scenario!$H41</f>
        <v>3717254.8659999999</v>
      </c>
      <c r="Y48" s="168">
        <f t="shared" si="29"/>
        <v>0.30000000000000004</v>
      </c>
      <c r="Z48" s="176">
        <f>VAC_Optim_Scenario!$J41</f>
        <v>20116113.448785383</v>
      </c>
    </row>
    <row r="49" spans="2:26" hidden="1" x14ac:dyDescent="0.25">
      <c r="B49" s="175" t="str">
        <f t="shared" si="28"/>
        <v>HCC Paid Search</v>
      </c>
      <c r="C49" s="176">
        <f t="shared" si="28"/>
        <v>50000</v>
      </c>
      <c r="D49" s="176">
        <f t="shared" si="28"/>
        <v>6809106.9964962909</v>
      </c>
      <c r="E49" s="176"/>
      <c r="F49" s="176"/>
      <c r="G49" s="168"/>
      <c r="H49" s="176"/>
      <c r="I49" s="176"/>
      <c r="J49" s="176"/>
      <c r="K49" s="168"/>
      <c r="L49" s="176"/>
      <c r="N49" s="176"/>
      <c r="O49" s="168"/>
      <c r="P49" s="176"/>
      <c r="R49" s="176">
        <v>600000.00004973984</v>
      </c>
      <c r="S49" s="168">
        <v>-0.49999999995855016</v>
      </c>
      <c r="T49" s="176">
        <v>434151.34268040024</v>
      </c>
      <c r="X49" s="176">
        <f>VAC_Optim_Scenario!$H42</f>
        <v>64999.99999999853</v>
      </c>
      <c r="Y49" s="168">
        <f t="shared" si="29"/>
        <v>0.29999999999997062</v>
      </c>
      <c r="Z49" s="176">
        <f>VAC_Optim_Scenario!$J42</f>
        <v>8181831.0105399201</v>
      </c>
    </row>
    <row r="50" spans="2:26" hidden="1" x14ac:dyDescent="0.25">
      <c r="B50" s="175" t="str">
        <f t="shared" si="28"/>
        <v>HCC Radio</v>
      </c>
      <c r="C50" s="176">
        <f t="shared" si="28"/>
        <v>923975</v>
      </c>
      <c r="D50" s="176">
        <f t="shared" si="28"/>
        <v>6005837.5</v>
      </c>
      <c r="E50" s="176"/>
      <c r="F50" s="176"/>
      <c r="G50" s="168"/>
      <c r="H50" s="176"/>
      <c r="I50" s="176"/>
      <c r="J50" s="176"/>
      <c r="K50" s="168"/>
      <c r="L50" s="176"/>
      <c r="N50" s="176"/>
      <c r="O50" s="168"/>
      <c r="P50" s="176"/>
      <c r="R50" s="176">
        <v>900000</v>
      </c>
      <c r="S50" s="168" t="s">
        <v>246</v>
      </c>
      <c r="T50" s="176">
        <v>6550890.6021728441</v>
      </c>
      <c r="X50" s="176">
        <f>VAC_Optim_Scenario!$H43</f>
        <v>1201167.5</v>
      </c>
      <c r="Y50" s="168">
        <f>IFERROR((X50-$C50)/$C50,"")</f>
        <v>0.3</v>
      </c>
      <c r="Z50" s="176">
        <f>VAC_Optim_Scenario!$J43</f>
        <v>6670385.2621720778</v>
      </c>
    </row>
    <row r="51" spans="2:26" hidden="1" x14ac:dyDescent="0.25">
      <c r="B51" s="175" t="str">
        <f t="shared" si="28"/>
        <v>HCC Linear TV</v>
      </c>
      <c r="C51" s="176">
        <f t="shared" si="28"/>
        <v>25810928.600000001</v>
      </c>
      <c r="D51" s="176">
        <f t="shared" si="28"/>
        <v>38072697.978218496</v>
      </c>
      <c r="E51" s="176"/>
      <c r="F51" s="176"/>
      <c r="G51" s="168"/>
      <c r="H51" s="176"/>
      <c r="I51" s="176"/>
      <c r="J51" s="176"/>
      <c r="K51" s="168"/>
      <c r="L51" s="176"/>
      <c r="N51" s="176"/>
      <c r="O51" s="168"/>
      <c r="P51" s="176"/>
      <c r="R51" s="176">
        <v>18647619.061795581</v>
      </c>
      <c r="S51" s="168">
        <v>-0.33479099668610202</v>
      </c>
      <c r="T51" s="176">
        <v>19945328.658740945</v>
      </c>
      <c r="X51" s="176">
        <f>VAC_Optim_Scenario!$H44</f>
        <v>18679386.206453495</v>
      </c>
      <c r="Y51" s="168">
        <f t="shared" si="29"/>
        <v>-0.27629933444341503</v>
      </c>
      <c r="Z51" s="176">
        <f>VAC_Optim_Scenario!$J44</f>
        <v>30360221.38647721</v>
      </c>
    </row>
    <row r="52" spans="2:26" hidden="1" x14ac:dyDescent="0.25">
      <c r="B52" s="175" t="str">
        <f t="shared" si="28"/>
        <v>HCC Pharmacy</v>
      </c>
      <c r="C52" s="176">
        <f t="shared" si="28"/>
        <v>2411968</v>
      </c>
      <c r="D52" s="176">
        <f t="shared" si="28"/>
        <v>3636973.9761426859</v>
      </c>
      <c r="E52" s="176"/>
      <c r="F52" s="176"/>
      <c r="G52" s="168"/>
      <c r="H52" s="176"/>
      <c r="I52" s="176"/>
      <c r="J52" s="176"/>
      <c r="K52" s="168"/>
      <c r="L52" s="176"/>
      <c r="N52" s="176"/>
      <c r="O52" s="168"/>
      <c r="P52" s="176"/>
      <c r="R52" s="176">
        <v>1836917.5999999999</v>
      </c>
      <c r="S52" s="168">
        <v>-0.30000000000000004</v>
      </c>
      <c r="T52" s="176">
        <v>3685062.7427258734</v>
      </c>
      <c r="X52" s="176">
        <f>VAC_Optim_Scenario!$H45</f>
        <v>2492454.2167876307</v>
      </c>
      <c r="Y52" s="168">
        <f t="shared" si="29"/>
        <v>3.3369520983541526E-2</v>
      </c>
      <c r="Z52" s="176">
        <f>VAC_Optim_Scenario!$J45</f>
        <v>3729328.0035355566</v>
      </c>
    </row>
    <row r="53" spans="2:26" s="180" customFormat="1" hidden="1" x14ac:dyDescent="0.25">
      <c r="B53" s="328" t="s">
        <v>201</v>
      </c>
      <c r="C53" s="329">
        <f>SUM(C43:C52)</f>
        <v>59976092.18</v>
      </c>
      <c r="D53" s="329">
        <f>SUM(D43:D52)</f>
        <v>171572142.41127384</v>
      </c>
      <c r="E53" s="199"/>
      <c r="F53" s="329">
        <f>SUM(F43:F52)</f>
        <v>0</v>
      </c>
      <c r="G53" s="330">
        <f>(F53-$C$17)/$C$17</f>
        <v>-1</v>
      </c>
      <c r="H53" s="329">
        <f>SUM(H43:H52)</f>
        <v>0</v>
      </c>
      <c r="I53" s="199"/>
      <c r="J53" s="329">
        <f>SUM(J43:J52)</f>
        <v>0</v>
      </c>
      <c r="K53" s="330">
        <f>(J53-$C$17)/$C$17</f>
        <v>-1</v>
      </c>
      <c r="L53" s="329">
        <f>SUM(L43:L52)</f>
        <v>0</v>
      </c>
      <c r="M53" s="329">
        <f>SUM(M43:M52)</f>
        <v>0</v>
      </c>
      <c r="N53" s="329">
        <f>SUM(N43:N52)</f>
        <v>0</v>
      </c>
      <c r="O53" s="330">
        <f>(N53-$C$17)/$C$17</f>
        <v>-1</v>
      </c>
      <c r="P53" s="329">
        <f>SUM(P43:P52)</f>
        <v>0</v>
      </c>
      <c r="Q53" s="199"/>
      <c r="R53" s="329">
        <f>SUM(R43:R52)</f>
        <v>48930792.75</v>
      </c>
      <c r="S53" s="330">
        <f>(R53-$C$53)/$C$53</f>
        <v>-0.18416170558179903</v>
      </c>
      <c r="T53" s="329">
        <f>SUM(T43:T52)</f>
        <v>123495154.54556742</v>
      </c>
    </row>
    <row r="54" spans="2:26" hidden="1" x14ac:dyDescent="0.25">
      <c r="D54" s="97">
        <f>D53/C53</f>
        <v>2.8606755821361656</v>
      </c>
    </row>
    <row r="55" spans="2:26" hidden="1" x14ac:dyDescent="0.25"/>
    <row r="56" spans="2:26" ht="27.6" hidden="1" customHeight="1" x14ac:dyDescent="0.25">
      <c r="F56" s="386" t="str">
        <f>B38</f>
        <v>Optimal channel spend allowed to vary between constraints defined by marketing team &amp; INI of the 2021 channel spend - LINEAR TV and Streaming TV constraints modified</v>
      </c>
      <c r="G56" s="386"/>
      <c r="H56" s="386"/>
      <c r="I56" s="386"/>
      <c r="J56" s="386"/>
      <c r="K56" s="386"/>
      <c r="L56" s="386"/>
      <c r="M56" s="386"/>
      <c r="N56" s="386"/>
      <c r="O56" s="386"/>
      <c r="P56" s="386"/>
    </row>
    <row r="57" spans="2:26" hidden="1" x14ac:dyDescent="0.25">
      <c r="C57" s="381" t="s">
        <v>225</v>
      </c>
      <c r="D57" s="382"/>
      <c r="E57" s="180"/>
      <c r="F57" s="383" t="str">
        <f>F41</f>
        <v>Current Optimal ($MM)</v>
      </c>
      <c r="G57" s="384"/>
      <c r="H57" s="385"/>
      <c r="I57" s="181"/>
      <c r="J57" s="383" t="str">
        <f>J41</f>
        <v>10% reduction optimal ($)</v>
      </c>
      <c r="K57" s="384"/>
      <c r="L57" s="385"/>
      <c r="M57" s="181"/>
      <c r="N57" s="383" t="str">
        <f>N41</f>
        <v>20% reduction optimal ()</v>
      </c>
      <c r="O57" s="384"/>
      <c r="P57" s="385"/>
      <c r="R57" s="383" t="str">
        <f>R41</f>
        <v>25% reduction optimal ()</v>
      </c>
      <c r="S57" s="384"/>
      <c r="T57" s="385"/>
    </row>
    <row r="58" spans="2:26" ht="45" hidden="1" x14ac:dyDescent="0.25">
      <c r="B58" s="173" t="s">
        <v>196</v>
      </c>
      <c r="C58" s="183" t="s">
        <v>205</v>
      </c>
      <c r="D58" s="183" t="s">
        <v>203</v>
      </c>
      <c r="E58" s="184"/>
      <c r="F58" s="206" t="s">
        <v>205</v>
      </c>
      <c r="G58" s="183" t="s">
        <v>199</v>
      </c>
      <c r="H58" s="185" t="s">
        <v>200</v>
      </c>
      <c r="I58" s="184"/>
      <c r="J58" s="206" t="s">
        <v>205</v>
      </c>
      <c r="K58" s="183" t="s">
        <v>199</v>
      </c>
      <c r="L58" s="185" t="s">
        <v>200</v>
      </c>
      <c r="M58" s="170"/>
      <c r="N58" s="206" t="s">
        <v>205</v>
      </c>
      <c r="O58" s="183" t="s">
        <v>199</v>
      </c>
      <c r="P58" s="185" t="s">
        <v>200</v>
      </c>
      <c r="R58" s="206" t="s">
        <v>205</v>
      </c>
      <c r="S58" s="183" t="s">
        <v>199</v>
      </c>
      <c r="T58" s="185" t="s">
        <v>200</v>
      </c>
    </row>
    <row r="59" spans="2:26" hidden="1" x14ac:dyDescent="0.25">
      <c r="B59" s="175" t="str">
        <f>B43</f>
        <v>HCC InOffice</v>
      </c>
      <c r="C59" s="186">
        <f t="shared" ref="C59:D59" si="30">C43/1000000</f>
        <v>1.1347100000000001</v>
      </c>
      <c r="D59" s="187">
        <f t="shared" si="30"/>
        <v>1.6646957827721967</v>
      </c>
      <c r="E59" s="188"/>
      <c r="F59" s="189">
        <f t="shared" ref="F59:F68" si="31">F43/1000000</f>
        <v>0</v>
      </c>
      <c r="G59" s="190">
        <f t="shared" ref="G59:G68" si="32">G43</f>
        <v>0</v>
      </c>
      <c r="H59" s="191">
        <f t="shared" ref="H59:H68" si="33">H43/1000000</f>
        <v>0</v>
      </c>
      <c r="I59" s="188"/>
      <c r="J59" s="189">
        <f t="shared" ref="J59:J68" si="34">J43/1000000</f>
        <v>0</v>
      </c>
      <c r="K59" s="190">
        <f t="shared" ref="K59:K68" si="35">K43</f>
        <v>0</v>
      </c>
      <c r="L59" s="191">
        <f t="shared" ref="L59:L68" si="36">L43/1000000</f>
        <v>0</v>
      </c>
      <c r="M59" s="170"/>
      <c r="N59" s="189">
        <f t="shared" ref="N59:N68" si="37">N43/1000000</f>
        <v>0</v>
      </c>
      <c r="O59" s="190">
        <f t="shared" ref="O59:O68" si="38">O43</f>
        <v>0</v>
      </c>
      <c r="P59" s="191">
        <f t="shared" ref="P59:P68" si="39">P43/1000000</f>
        <v>0</v>
      </c>
      <c r="Q59" s="170"/>
      <c r="R59" s="189">
        <f t="shared" ref="R59:R68" si="40">R43/1000000</f>
        <v>1.7268866554235087</v>
      </c>
      <c r="S59" s="190">
        <f t="shared" ref="S59:S68" si="41">S43</f>
        <v>0.15125777028233914</v>
      </c>
      <c r="T59" s="191">
        <f t="shared" ref="T59:T68" si="42">T43/1000000</f>
        <v>3.7899412960206438</v>
      </c>
    </row>
    <row r="60" spans="2:26" hidden="1" x14ac:dyDescent="0.25">
      <c r="B60" s="175" t="str">
        <f t="shared" ref="B60:B68" si="43">B44</f>
        <v>HCP MCM</v>
      </c>
      <c r="C60" s="186">
        <f t="shared" ref="C60:D60" si="44">C44/1000000</f>
        <v>10.503728719999998</v>
      </c>
      <c r="D60" s="187">
        <f t="shared" si="44"/>
        <v>65.147335716204537</v>
      </c>
      <c r="E60" s="188"/>
      <c r="F60" s="193">
        <f t="shared" si="31"/>
        <v>0</v>
      </c>
      <c r="G60" s="194">
        <f t="shared" si="32"/>
        <v>0</v>
      </c>
      <c r="H60" s="195">
        <f t="shared" si="33"/>
        <v>0</v>
      </c>
      <c r="I60" s="188"/>
      <c r="J60" s="193">
        <f t="shared" si="34"/>
        <v>0</v>
      </c>
      <c r="K60" s="194">
        <f t="shared" si="35"/>
        <v>0</v>
      </c>
      <c r="L60" s="195">
        <f t="shared" si="36"/>
        <v>0</v>
      </c>
      <c r="M60" s="170"/>
      <c r="N60" s="193">
        <f t="shared" si="37"/>
        <v>0</v>
      </c>
      <c r="O60" s="194">
        <f t="shared" si="38"/>
        <v>0</v>
      </c>
      <c r="P60" s="195">
        <f t="shared" si="39"/>
        <v>0</v>
      </c>
      <c r="Q60" s="170"/>
      <c r="R60" s="193">
        <f t="shared" si="40"/>
        <v>10.277647167225027</v>
      </c>
      <c r="S60" s="194">
        <f t="shared" si="41"/>
        <v>0.1999999961732519</v>
      </c>
      <c r="T60" s="195">
        <f t="shared" si="42"/>
        <v>63.621602136797044</v>
      </c>
    </row>
    <row r="61" spans="2:26" hidden="1" x14ac:dyDescent="0.25">
      <c r="B61" s="175" t="str">
        <f t="shared" si="43"/>
        <v>HCC Social</v>
      </c>
      <c r="C61" s="186">
        <f t="shared" ref="C61:D61" si="45">C45/1000000</f>
        <v>1.7509999999999999</v>
      </c>
      <c r="D61" s="187">
        <f t="shared" si="45"/>
        <v>5.3819819830709781</v>
      </c>
      <c r="E61" s="188"/>
      <c r="F61" s="193">
        <f t="shared" si="31"/>
        <v>0</v>
      </c>
      <c r="G61" s="194">
        <f t="shared" si="32"/>
        <v>0</v>
      </c>
      <c r="H61" s="195">
        <f t="shared" si="33"/>
        <v>0</v>
      </c>
      <c r="I61" s="188"/>
      <c r="J61" s="193">
        <f t="shared" si="34"/>
        <v>0</v>
      </c>
      <c r="K61" s="194">
        <f t="shared" si="35"/>
        <v>0</v>
      </c>
      <c r="L61" s="195">
        <f t="shared" si="36"/>
        <v>0</v>
      </c>
      <c r="M61" s="170"/>
      <c r="N61" s="193">
        <f t="shared" si="37"/>
        <v>0</v>
      </c>
      <c r="O61" s="194">
        <f t="shared" si="38"/>
        <v>0</v>
      </c>
      <c r="P61" s="195">
        <f t="shared" si="39"/>
        <v>0</v>
      </c>
      <c r="Q61" s="170"/>
      <c r="R61" s="193">
        <f t="shared" si="40"/>
        <v>2.3683801898589039</v>
      </c>
      <c r="S61" s="194">
        <f t="shared" si="41"/>
        <v>0.29112634317672054</v>
      </c>
      <c r="T61" s="195">
        <f t="shared" si="42"/>
        <v>5.7303653346687931</v>
      </c>
    </row>
    <row r="62" spans="2:26" hidden="1" x14ac:dyDescent="0.25">
      <c r="B62" s="175" t="str">
        <f t="shared" si="43"/>
        <v>HCC Online Video</v>
      </c>
      <c r="C62" s="186">
        <f t="shared" ref="C62:D62" si="46">C46/1000000</f>
        <v>1.1117790400000001</v>
      </c>
      <c r="D62" s="187">
        <f t="shared" si="46"/>
        <v>4.8907504826741324</v>
      </c>
      <c r="E62" s="188"/>
      <c r="F62" s="193">
        <f t="shared" si="31"/>
        <v>0</v>
      </c>
      <c r="G62" s="194">
        <f t="shared" si="32"/>
        <v>0</v>
      </c>
      <c r="H62" s="195">
        <f t="shared" si="33"/>
        <v>0</v>
      </c>
      <c r="I62" s="188"/>
      <c r="J62" s="193">
        <f t="shared" si="34"/>
        <v>0</v>
      </c>
      <c r="K62" s="194">
        <f t="shared" si="35"/>
        <v>0</v>
      </c>
      <c r="L62" s="195">
        <f t="shared" si="36"/>
        <v>0</v>
      </c>
      <c r="M62" s="170"/>
      <c r="N62" s="193">
        <f t="shared" si="37"/>
        <v>0</v>
      </c>
      <c r="O62" s="194">
        <f t="shared" si="38"/>
        <v>0</v>
      </c>
      <c r="P62" s="195">
        <f t="shared" si="39"/>
        <v>0</v>
      </c>
      <c r="Q62" s="170"/>
      <c r="R62" s="193">
        <f t="shared" si="40"/>
        <v>1.2</v>
      </c>
      <c r="S62" s="194">
        <f t="shared" si="41"/>
        <v>-0.65337954939341425</v>
      </c>
      <c r="T62" s="195">
        <f t="shared" si="42"/>
        <v>1.5510240419922816</v>
      </c>
    </row>
    <row r="63" spans="2:26" hidden="1" x14ac:dyDescent="0.25">
      <c r="B63" s="175" t="str">
        <f t="shared" si="43"/>
        <v>HCC Streaming Video</v>
      </c>
      <c r="C63" s="186">
        <f t="shared" ref="C63:D63" si="47">C47/1000000</f>
        <v>13.418576</v>
      </c>
      <c r="D63" s="187">
        <f t="shared" si="47"/>
        <v>22.776633092457963</v>
      </c>
      <c r="E63" s="188"/>
      <c r="F63" s="193">
        <f t="shared" si="31"/>
        <v>0</v>
      </c>
      <c r="G63" s="194">
        <f t="shared" si="32"/>
        <v>0</v>
      </c>
      <c r="H63" s="195">
        <f t="shared" si="33"/>
        <v>0</v>
      </c>
      <c r="I63" s="188"/>
      <c r="J63" s="193">
        <f t="shared" si="34"/>
        <v>0</v>
      </c>
      <c r="K63" s="194">
        <f t="shared" si="35"/>
        <v>0</v>
      </c>
      <c r="L63" s="195">
        <f t="shared" si="36"/>
        <v>0</v>
      </c>
      <c r="M63" s="170"/>
      <c r="N63" s="193">
        <f t="shared" si="37"/>
        <v>0</v>
      </c>
      <c r="O63" s="194">
        <f t="shared" si="38"/>
        <v>0</v>
      </c>
      <c r="P63" s="195">
        <f t="shared" si="39"/>
        <v>0</v>
      </c>
      <c r="Q63" s="170"/>
      <c r="R63" s="193">
        <f t="shared" si="40"/>
        <v>7.932686938204415</v>
      </c>
      <c r="S63" s="194">
        <f t="shared" si="41"/>
        <v>-0.49321739045244606</v>
      </c>
      <c r="T63" s="195">
        <f t="shared" si="42"/>
        <v>4.5755614853431696</v>
      </c>
    </row>
    <row r="64" spans="2:26" hidden="1" x14ac:dyDescent="0.25">
      <c r="B64" s="175" t="str">
        <f t="shared" si="43"/>
        <v>HCC Display</v>
      </c>
      <c r="C64" s="186">
        <f t="shared" ref="C64:D64" si="48">C48/1000000</f>
        <v>2.8594268199999999</v>
      </c>
      <c r="D64" s="187">
        <f t="shared" si="48"/>
        <v>17.186128903236554</v>
      </c>
      <c r="E64" s="188"/>
      <c r="F64" s="193">
        <f t="shared" si="31"/>
        <v>0</v>
      </c>
      <c r="G64" s="194">
        <f t="shared" si="32"/>
        <v>0</v>
      </c>
      <c r="H64" s="195">
        <f t="shared" si="33"/>
        <v>0</v>
      </c>
      <c r="I64" s="188"/>
      <c r="J64" s="193">
        <f t="shared" si="34"/>
        <v>0</v>
      </c>
      <c r="K64" s="194">
        <f t="shared" si="35"/>
        <v>0</v>
      </c>
      <c r="L64" s="195">
        <f t="shared" si="36"/>
        <v>0</v>
      </c>
      <c r="M64" s="170"/>
      <c r="N64" s="193">
        <f t="shared" si="37"/>
        <v>0</v>
      </c>
      <c r="O64" s="194">
        <f t="shared" si="38"/>
        <v>0</v>
      </c>
      <c r="P64" s="195">
        <f t="shared" si="39"/>
        <v>0</v>
      </c>
      <c r="Q64" s="170"/>
      <c r="R64" s="193">
        <f t="shared" si="40"/>
        <v>3.4406551374428238</v>
      </c>
      <c r="S64" s="194">
        <f t="shared" si="41"/>
        <v>0.45170911999417063</v>
      </c>
      <c r="T64" s="195">
        <f t="shared" si="42"/>
        <v>13.611226904425433</v>
      </c>
    </row>
    <row r="65" spans="2:20" hidden="1" x14ac:dyDescent="0.25">
      <c r="B65" s="175" t="str">
        <f t="shared" si="43"/>
        <v>HCC Paid Search</v>
      </c>
      <c r="C65" s="186">
        <f t="shared" ref="C65:D65" si="49">C49/1000000</f>
        <v>0.05</v>
      </c>
      <c r="D65" s="187">
        <f t="shared" si="49"/>
        <v>6.8091069964962907</v>
      </c>
      <c r="E65" s="188"/>
      <c r="F65" s="193">
        <f t="shared" si="31"/>
        <v>0</v>
      </c>
      <c r="G65" s="194">
        <f t="shared" si="32"/>
        <v>0</v>
      </c>
      <c r="H65" s="195">
        <f t="shared" si="33"/>
        <v>0</v>
      </c>
      <c r="I65" s="188"/>
      <c r="J65" s="193">
        <f t="shared" si="34"/>
        <v>0</v>
      </c>
      <c r="K65" s="194">
        <f t="shared" si="35"/>
        <v>0</v>
      </c>
      <c r="L65" s="195">
        <f t="shared" si="36"/>
        <v>0</v>
      </c>
      <c r="M65" s="170"/>
      <c r="N65" s="193">
        <f t="shared" si="37"/>
        <v>0</v>
      </c>
      <c r="O65" s="194">
        <f t="shared" si="38"/>
        <v>0</v>
      </c>
      <c r="P65" s="195">
        <f t="shared" si="39"/>
        <v>0</v>
      </c>
      <c r="Q65" s="170"/>
      <c r="R65" s="193">
        <f t="shared" si="40"/>
        <v>0.60000000004973986</v>
      </c>
      <c r="S65" s="194">
        <f t="shared" si="41"/>
        <v>-0.49999999995855016</v>
      </c>
      <c r="T65" s="195">
        <f t="shared" si="42"/>
        <v>0.43415134268040023</v>
      </c>
    </row>
    <row r="66" spans="2:20" hidden="1" x14ac:dyDescent="0.25">
      <c r="B66" s="175" t="str">
        <f t="shared" si="43"/>
        <v>HCC Radio</v>
      </c>
      <c r="C66" s="186">
        <f t="shared" ref="C66:D66" si="50">C50/1000000</f>
        <v>0.92397499999999999</v>
      </c>
      <c r="D66" s="187">
        <f t="shared" si="50"/>
        <v>6.0058375000000002</v>
      </c>
      <c r="E66" s="188"/>
      <c r="F66" s="193">
        <f t="shared" si="31"/>
        <v>0</v>
      </c>
      <c r="G66" s="194">
        <f t="shared" si="32"/>
        <v>0</v>
      </c>
      <c r="H66" s="195">
        <f t="shared" si="33"/>
        <v>0</v>
      </c>
      <c r="I66" s="188"/>
      <c r="J66" s="193">
        <f t="shared" si="34"/>
        <v>0</v>
      </c>
      <c r="K66" s="194">
        <f t="shared" si="35"/>
        <v>0</v>
      </c>
      <c r="L66" s="195">
        <f t="shared" si="36"/>
        <v>0</v>
      </c>
      <c r="M66" s="170"/>
      <c r="N66" s="193">
        <f t="shared" si="37"/>
        <v>0</v>
      </c>
      <c r="O66" s="194"/>
      <c r="P66" s="195">
        <f t="shared" si="39"/>
        <v>0</v>
      </c>
      <c r="Q66" s="170"/>
      <c r="R66" s="193">
        <f t="shared" si="40"/>
        <v>0.9</v>
      </c>
      <c r="S66" s="194"/>
      <c r="T66" s="195">
        <f t="shared" si="42"/>
        <v>6.5508906021728439</v>
      </c>
    </row>
    <row r="67" spans="2:20" hidden="1" x14ac:dyDescent="0.25">
      <c r="B67" s="175" t="str">
        <f t="shared" si="43"/>
        <v>HCC Linear TV</v>
      </c>
      <c r="C67" s="186">
        <f t="shared" ref="C67:D67" si="51">C51/1000000</f>
        <v>25.8109286</v>
      </c>
      <c r="D67" s="187">
        <f t="shared" si="51"/>
        <v>38.072697978218493</v>
      </c>
      <c r="E67" s="188"/>
      <c r="F67" s="331">
        <f t="shared" si="31"/>
        <v>0</v>
      </c>
      <c r="G67" s="332">
        <f t="shared" si="32"/>
        <v>0</v>
      </c>
      <c r="H67" s="333">
        <f t="shared" si="33"/>
        <v>0</v>
      </c>
      <c r="I67" s="188"/>
      <c r="J67" s="331">
        <f t="shared" si="34"/>
        <v>0</v>
      </c>
      <c r="K67" s="332">
        <f t="shared" si="35"/>
        <v>0</v>
      </c>
      <c r="L67" s="333">
        <f t="shared" si="36"/>
        <v>0</v>
      </c>
      <c r="M67" s="170"/>
      <c r="N67" s="331">
        <f t="shared" si="37"/>
        <v>0</v>
      </c>
      <c r="O67" s="332">
        <f t="shared" si="38"/>
        <v>0</v>
      </c>
      <c r="P67" s="333">
        <f t="shared" si="39"/>
        <v>0</v>
      </c>
      <c r="Q67" s="170"/>
      <c r="R67" s="331">
        <f t="shared" si="40"/>
        <v>18.647619061795581</v>
      </c>
      <c r="S67" s="332">
        <f t="shared" si="41"/>
        <v>-0.33479099668610202</v>
      </c>
      <c r="T67" s="333">
        <f t="shared" si="42"/>
        <v>19.945328658740944</v>
      </c>
    </row>
    <row r="68" spans="2:20" hidden="1" x14ac:dyDescent="0.25">
      <c r="B68" s="175" t="str">
        <f t="shared" si="43"/>
        <v>HCC Pharmacy</v>
      </c>
      <c r="C68" s="186">
        <f t="shared" ref="C68:D68" si="52">C52/1000000</f>
        <v>2.4119679999999999</v>
      </c>
      <c r="D68" s="187">
        <f t="shared" si="52"/>
        <v>3.636973976142686</v>
      </c>
      <c r="E68" s="188"/>
      <c r="F68" s="331">
        <f t="shared" si="31"/>
        <v>0</v>
      </c>
      <c r="G68" s="332">
        <f t="shared" si="32"/>
        <v>0</v>
      </c>
      <c r="H68" s="333">
        <f t="shared" si="33"/>
        <v>0</v>
      </c>
      <c r="I68" s="188"/>
      <c r="J68" s="331">
        <f t="shared" si="34"/>
        <v>0</v>
      </c>
      <c r="K68" s="332">
        <f t="shared" si="35"/>
        <v>0</v>
      </c>
      <c r="L68" s="333">
        <f t="shared" si="36"/>
        <v>0</v>
      </c>
      <c r="M68" s="170"/>
      <c r="N68" s="331">
        <f t="shared" si="37"/>
        <v>0</v>
      </c>
      <c r="O68" s="332">
        <f t="shared" si="38"/>
        <v>0</v>
      </c>
      <c r="P68" s="333">
        <f t="shared" si="39"/>
        <v>0</v>
      </c>
      <c r="Q68" s="170"/>
      <c r="R68" s="331">
        <f t="shared" si="40"/>
        <v>1.8369175999999998</v>
      </c>
      <c r="S68" s="332">
        <f t="shared" si="41"/>
        <v>-0.30000000000000004</v>
      </c>
      <c r="T68" s="333">
        <f t="shared" si="42"/>
        <v>3.6850627427258735</v>
      </c>
    </row>
    <row r="69" spans="2:20" hidden="1" x14ac:dyDescent="0.25">
      <c r="B69" s="196" t="s">
        <v>201</v>
      </c>
      <c r="C69" s="197">
        <f>C53/1000000</f>
        <v>59.976092180000002</v>
      </c>
      <c r="D69" s="198">
        <f t="shared" ref="D69" si="53">D53/1000000</f>
        <v>171.57214241127383</v>
      </c>
      <c r="E69" s="199"/>
      <c r="F69" s="200">
        <f t="shared" ref="F69" si="54">F53/1000000</f>
        <v>0</v>
      </c>
      <c r="G69" s="201">
        <f>G53</f>
        <v>-1</v>
      </c>
      <c r="H69" s="202">
        <f t="shared" ref="H69" si="55">H53/1000000</f>
        <v>0</v>
      </c>
      <c r="I69" s="199"/>
      <c r="J69" s="200">
        <f t="shared" ref="J69" si="56">J53/1000000</f>
        <v>0</v>
      </c>
      <c r="K69" s="201">
        <f>K53</f>
        <v>-1</v>
      </c>
      <c r="L69" s="202">
        <f t="shared" ref="L69" si="57">L53/1000000</f>
        <v>0</v>
      </c>
      <c r="M69" s="199"/>
      <c r="N69" s="200">
        <f t="shared" ref="N69" si="58">N53/1000000</f>
        <v>0</v>
      </c>
      <c r="O69" s="201">
        <f>O53</f>
        <v>-1</v>
      </c>
      <c r="P69" s="202">
        <f>P53/1000000</f>
        <v>0</v>
      </c>
      <c r="R69" s="200">
        <f t="shared" ref="R69" si="59">R53/1000000</f>
        <v>48.930792750000002</v>
      </c>
      <c r="S69" s="201">
        <f>S53</f>
        <v>-0.18416170558179903</v>
      </c>
      <c r="T69" s="202">
        <f t="shared" ref="T69" si="60">T53/1000000</f>
        <v>123.49515454556742</v>
      </c>
    </row>
    <row r="70" spans="2:20" hidden="1" x14ac:dyDescent="0.25">
      <c r="B70" s="196" t="s">
        <v>204</v>
      </c>
      <c r="C70" s="197"/>
      <c r="D70" s="198"/>
      <c r="E70" s="199"/>
      <c r="F70" s="200"/>
      <c r="G70" s="201"/>
      <c r="H70" s="203"/>
      <c r="I70" s="199"/>
      <c r="J70" s="200"/>
      <c r="K70" s="201"/>
      <c r="L70" s="203"/>
      <c r="M70" s="199"/>
      <c r="N70" s="200"/>
      <c r="O70" s="201"/>
      <c r="P70" s="290" t="s">
        <v>247</v>
      </c>
      <c r="R70" s="200"/>
      <c r="S70" s="201"/>
      <c r="T70" s="290" t="s">
        <v>248</v>
      </c>
    </row>
    <row r="71" spans="2:20" hidden="1" x14ac:dyDescent="0.25">
      <c r="H71" s="207">
        <f>H69-$D$69</f>
        <v>-171.57214241127383</v>
      </c>
      <c r="L71" s="207">
        <f>L69-$D$69</f>
        <v>-171.57214241127383</v>
      </c>
      <c r="P71" s="207">
        <f>P69-$D$69</f>
        <v>-171.57214241127383</v>
      </c>
      <c r="T71" s="207">
        <f>T69-$D$69</f>
        <v>-48.076987865706414</v>
      </c>
    </row>
    <row r="72" spans="2:20" hidden="1" x14ac:dyDescent="0.25">
      <c r="H72" s="168">
        <f>H71/$D$69</f>
        <v>-1</v>
      </c>
      <c r="I72" s="166"/>
      <c r="J72" s="166"/>
      <c r="K72" s="166"/>
      <c r="L72" s="168">
        <f>L71/$D$69</f>
        <v>-1</v>
      </c>
      <c r="M72" s="166"/>
      <c r="N72" s="166"/>
      <c r="O72" s="166"/>
      <c r="P72" s="168">
        <f>P71/$D$69</f>
        <v>-1</v>
      </c>
      <c r="Q72" s="166"/>
      <c r="R72" s="166"/>
      <c r="S72" s="166"/>
      <c r="T72" s="97">
        <f>T71/D69</f>
        <v>-0.28021441703782868</v>
      </c>
    </row>
  </sheetData>
  <mergeCells count="24">
    <mergeCell ref="V5:X5"/>
    <mergeCell ref="V21:X21"/>
    <mergeCell ref="F56:P56"/>
    <mergeCell ref="F5:H5"/>
    <mergeCell ref="J5:L5"/>
    <mergeCell ref="N5:P5"/>
    <mergeCell ref="R5:T5"/>
    <mergeCell ref="F21:H21"/>
    <mergeCell ref="J21:L21"/>
    <mergeCell ref="N21:P21"/>
    <mergeCell ref="R21:T21"/>
    <mergeCell ref="F20:X20"/>
    <mergeCell ref="F4:P4"/>
    <mergeCell ref="B38:T39"/>
    <mergeCell ref="F41:H41"/>
    <mergeCell ref="J41:L41"/>
    <mergeCell ref="N41:P41"/>
    <mergeCell ref="R41:T41"/>
    <mergeCell ref="C21:D21"/>
    <mergeCell ref="C57:D57"/>
    <mergeCell ref="F57:H57"/>
    <mergeCell ref="J57:L57"/>
    <mergeCell ref="N57:P57"/>
    <mergeCell ref="R57:T57"/>
  </mergeCells>
  <conditionalFormatting sqref="G23:G31">
    <cfRule type="cellIs" dxfId="32" priority="37" operator="lessThan">
      <formula>0</formula>
    </cfRule>
    <cfRule type="cellIs" dxfId="31" priority="38" operator="greaterThan">
      <formula>0</formula>
    </cfRule>
  </conditionalFormatting>
  <conditionalFormatting sqref="K23:K31">
    <cfRule type="cellIs" dxfId="30" priority="35" operator="lessThan">
      <formula>0</formula>
    </cfRule>
    <cfRule type="cellIs" dxfId="29" priority="36" operator="greaterThan">
      <formula>0</formula>
    </cfRule>
  </conditionalFormatting>
  <conditionalFormatting sqref="O23:O31">
    <cfRule type="cellIs" dxfId="28" priority="33" operator="lessThan">
      <formula>0</formula>
    </cfRule>
    <cfRule type="cellIs" dxfId="27" priority="34" operator="greaterThan">
      <formula>0</formula>
    </cfRule>
  </conditionalFormatting>
  <conditionalFormatting sqref="S23:S29 S31">
    <cfRule type="cellIs" dxfId="26" priority="31" operator="lessThan">
      <formula>0</formula>
    </cfRule>
    <cfRule type="cellIs" dxfId="25" priority="32" operator="greaterThan">
      <formula>0</formula>
    </cfRule>
  </conditionalFormatting>
  <conditionalFormatting sqref="G59:G68">
    <cfRule type="cellIs" dxfId="24" priority="29" operator="lessThan">
      <formula>0</formula>
    </cfRule>
    <cfRule type="cellIs" dxfId="23" priority="30" operator="greaterThan">
      <formula>0</formula>
    </cfRule>
  </conditionalFormatting>
  <conditionalFormatting sqref="W23:W29 W31">
    <cfRule type="cellIs" dxfId="22" priority="21" operator="lessThan">
      <formula>0</formula>
    </cfRule>
    <cfRule type="cellIs" dxfId="21" priority="22" operator="greaterThan">
      <formula>0</formula>
    </cfRule>
  </conditionalFormatting>
  <conditionalFormatting sqref="K59:K68">
    <cfRule type="cellIs" dxfId="20" priority="19" operator="lessThan">
      <formula>0</formula>
    </cfRule>
    <cfRule type="cellIs" dxfId="19" priority="20" operator="greaterThan">
      <formula>0</formula>
    </cfRule>
  </conditionalFormatting>
  <conditionalFormatting sqref="O59:O68">
    <cfRule type="cellIs" dxfId="18" priority="17" operator="lessThan">
      <formula>0</formula>
    </cfRule>
    <cfRule type="cellIs" dxfId="17" priority="18" operator="greaterThan">
      <formula>0</formula>
    </cfRule>
  </conditionalFormatting>
  <conditionalFormatting sqref="S59:S68">
    <cfRule type="cellIs" dxfId="16" priority="15" operator="lessThan">
      <formula>0</formula>
    </cfRule>
    <cfRule type="cellIs" dxfId="15" priority="16" operator="greaterThan">
      <formula>0</formula>
    </cfRule>
  </conditionalFormatting>
  <conditionalFormatting sqref="G32">
    <cfRule type="cellIs" dxfId="14" priority="13" operator="lessThan">
      <formula>0</formula>
    </cfRule>
    <cfRule type="cellIs" dxfId="13" priority="14" operator="greaterThan">
      <formula>0</formula>
    </cfRule>
  </conditionalFormatting>
  <conditionalFormatting sqref="K32">
    <cfRule type="cellIs" dxfId="12" priority="11" operator="lessThan">
      <formula>0</formula>
    </cfRule>
    <cfRule type="cellIs" dxfId="11" priority="12" operator="greaterThan">
      <formula>0</formula>
    </cfRule>
  </conditionalFormatting>
  <conditionalFormatting sqref="O32">
    <cfRule type="cellIs" dxfId="10" priority="9" operator="lessThan">
      <formula>0</formula>
    </cfRule>
    <cfRule type="cellIs" dxfId="9" priority="10" operator="greaterThan">
      <formula>0</formula>
    </cfRule>
  </conditionalFormatting>
  <conditionalFormatting sqref="S32">
    <cfRule type="cellIs" dxfId="8" priority="7" operator="lessThan">
      <formula>0</formula>
    </cfRule>
    <cfRule type="cellIs" dxfId="7" priority="8" operator="greaterThan">
      <formula>0</formula>
    </cfRule>
  </conditionalFormatting>
  <conditionalFormatting sqref="S30">
    <cfRule type="cellIs" dxfId="6" priority="5" operator="lessThan">
      <formula>0</formula>
    </cfRule>
    <cfRule type="cellIs" dxfId="5" priority="6" operator="greaterThan">
      <formula>0</formula>
    </cfRule>
  </conditionalFormatting>
  <conditionalFormatting sqref="W30">
    <cfRule type="cellIs" dxfId="4" priority="3" operator="lessThan">
      <formula>0</formula>
    </cfRule>
    <cfRule type="cellIs" dxfId="3" priority="4" operator="greaterThan">
      <formula>0</formula>
    </cfRule>
  </conditionalFormatting>
  <conditionalFormatting sqref="W32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opLeftCell="A12" zoomScale="90" zoomScaleNormal="90" workbookViewId="0">
      <selection activeCell="B28" sqref="B28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242</v>
      </c>
    </row>
    <row r="3" spans="1:15" x14ac:dyDescent="0.2">
      <c r="A3" s="48" t="s">
        <v>77</v>
      </c>
      <c r="B3" s="1" t="s">
        <v>241</v>
      </c>
    </row>
    <row r="4" spans="1:15" ht="29.1" customHeight="1" x14ac:dyDescent="0.2">
      <c r="A4" s="49" t="s">
        <v>78</v>
      </c>
      <c r="B4" s="393" t="s">
        <v>270</v>
      </c>
      <c r="C4" s="394"/>
      <c r="D4" s="394"/>
      <c r="E4" s="394"/>
      <c r="F4" s="394"/>
      <c r="G4" s="394"/>
      <c r="H4" s="394"/>
      <c r="I4" s="394"/>
    </row>
    <row r="5" spans="1:15" x14ac:dyDescent="0.2">
      <c r="A5" s="48" t="s">
        <v>79</v>
      </c>
      <c r="B5" s="1" t="s">
        <v>127</v>
      </c>
      <c r="E5" s="395" t="s">
        <v>50</v>
      </c>
      <c r="F5" s="396"/>
      <c r="G5" s="396"/>
      <c r="H5" s="396"/>
      <c r="I5" s="397"/>
    </row>
    <row r="6" spans="1:15" x14ac:dyDescent="0.2">
      <c r="A6" s="48" t="s">
        <v>80</v>
      </c>
      <c r="B6" s="1" t="s">
        <v>180</v>
      </c>
      <c r="E6" s="398" t="s">
        <v>51</v>
      </c>
      <c r="F6" s="399"/>
      <c r="G6" s="399"/>
      <c r="H6" s="399"/>
      <c r="I6" s="400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829107.798967393</v>
      </c>
      <c r="K9" s="117"/>
      <c r="O9" s="321"/>
    </row>
    <row r="10" spans="1:15" ht="13.5" thickBot="1" x14ac:dyDescent="0.25">
      <c r="A10" s="50"/>
      <c r="B10" s="1">
        <v>1.2</v>
      </c>
      <c r="E10" s="1" t="s">
        <v>94</v>
      </c>
    </row>
    <row r="11" spans="1:15" ht="26.25" thickBot="1" x14ac:dyDescent="0.25">
      <c r="A11" s="270" t="s">
        <v>82</v>
      </c>
      <c r="B11" s="267" t="s">
        <v>84</v>
      </c>
      <c r="C11" s="266" t="s">
        <v>97</v>
      </c>
      <c r="D11" s="143" t="s">
        <v>98</v>
      </c>
      <c r="E11" s="266" t="s">
        <v>158</v>
      </c>
      <c r="F11" s="143" t="s">
        <v>159</v>
      </c>
      <c r="M11" s="140"/>
    </row>
    <row r="12" spans="1:15" s="252" customFormat="1" ht="13.5" thickBot="1" x14ac:dyDescent="0.25">
      <c r="A12" s="144" t="s">
        <v>157</v>
      </c>
      <c r="B12" s="145">
        <f>E27*B10</f>
        <v>71971310.615999997</v>
      </c>
      <c r="C12" s="146">
        <f>B12*E12</f>
        <v>0</v>
      </c>
      <c r="D12" s="146">
        <f>B12*F12</f>
        <v>71971310.615999997</v>
      </c>
      <c r="E12" s="147">
        <v>0</v>
      </c>
      <c r="F12" s="148">
        <v>1</v>
      </c>
      <c r="I12" s="268"/>
      <c r="K12" s="269"/>
      <c r="L12" s="269"/>
    </row>
    <row r="13" spans="1:15" ht="13.5" thickBot="1" x14ac:dyDescent="0.25">
      <c r="L13" s="140">
        <f>G46</f>
        <v>171572142.41127384</v>
      </c>
      <c r="M13" s="113">
        <f>J46</f>
        <v>187328616.09869274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75">
        <v>0.7</v>
      </c>
      <c r="H14" s="275">
        <v>1.3</v>
      </c>
      <c r="I14" s="56" t="s">
        <v>95</v>
      </c>
      <c r="J14" s="56" t="s">
        <v>96</v>
      </c>
    </row>
    <row r="15" spans="1:15" ht="27.75" customHeight="1" x14ac:dyDescent="0.2">
      <c r="A15" s="371" t="s">
        <v>2</v>
      </c>
      <c r="B15" s="373" t="s">
        <v>3</v>
      </c>
      <c r="C15" s="373" t="s">
        <v>38</v>
      </c>
      <c r="D15" s="373" t="s">
        <v>128</v>
      </c>
      <c r="E15" s="401" t="s">
        <v>86</v>
      </c>
      <c r="F15" s="403"/>
      <c r="G15" s="374" t="s">
        <v>131</v>
      </c>
      <c r="H15" s="375"/>
      <c r="I15" s="374" t="s">
        <v>89</v>
      </c>
      <c r="J15" s="375"/>
      <c r="K15" s="401" t="s">
        <v>90</v>
      </c>
      <c r="L15" s="402"/>
      <c r="M15" s="402"/>
      <c r="N15" s="403"/>
    </row>
    <row r="16" spans="1:15" ht="25.5" x14ac:dyDescent="0.2">
      <c r="A16" s="372"/>
      <c r="B16" s="372"/>
      <c r="C16" s="372"/>
      <c r="D16" s="372"/>
      <c r="E16" s="78" t="s">
        <v>149</v>
      </c>
      <c r="F16" s="78" t="s">
        <v>178</v>
      </c>
      <c r="G16" s="78" t="s">
        <v>87</v>
      </c>
      <c r="H16" s="354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71" t="s">
        <v>231</v>
      </c>
      <c r="B17" s="294" t="s">
        <v>236</v>
      </c>
      <c r="C17" s="54" t="s">
        <v>129</v>
      </c>
      <c r="D17" s="323">
        <v>1</v>
      </c>
      <c r="E17" s="310">
        <v>1134710</v>
      </c>
      <c r="F17" s="306">
        <f>GINOFF!I9</f>
        <v>7367.8666140222922</v>
      </c>
      <c r="G17" s="355">
        <f>E17*$G$14</f>
        <v>794297</v>
      </c>
      <c r="H17" s="310">
        <f>E17*$H$14</f>
        <v>1475123</v>
      </c>
      <c r="I17" s="356">
        <v>938043.04598603304</v>
      </c>
      <c r="J17" s="308">
        <f>GINOFF!F9</f>
        <v>6436.3852616762742</v>
      </c>
      <c r="K17" s="317">
        <f>I17-E17</f>
        <v>-196666.95401396696</v>
      </c>
      <c r="L17" s="313">
        <f>J17-F17</f>
        <v>-931.48135234601796</v>
      </c>
      <c r="M17" s="314">
        <f>K17/E17</f>
        <v>-0.17331913353541165</v>
      </c>
      <c r="N17" s="314">
        <f>L17/F17</f>
        <v>-0.12642483925716733</v>
      </c>
      <c r="O17" s="325"/>
      <c r="R17" s="98"/>
      <c r="S17" s="98"/>
      <c r="T17" s="98"/>
      <c r="U17" s="296"/>
      <c r="V17" s="296"/>
    </row>
    <row r="18" spans="1:24" x14ac:dyDescent="0.2">
      <c r="A18" s="272" t="s">
        <v>231</v>
      </c>
      <c r="B18" s="295" t="s">
        <v>209</v>
      </c>
      <c r="C18" s="54" t="s">
        <v>129</v>
      </c>
      <c r="D18" s="323">
        <v>1</v>
      </c>
      <c r="E18" s="311">
        <v>10503728.719999999</v>
      </c>
      <c r="F18" s="307">
        <f>GMCM!I9</f>
        <v>288339.09761974216</v>
      </c>
      <c r="G18" s="355">
        <f t="shared" ref="G18:G26" si="0">E18*$G$14</f>
        <v>7352610.1039999984</v>
      </c>
      <c r="H18" s="311">
        <f t="shared" ref="H18:H26" si="1">E18*$H$14</f>
        <v>13654847.335999999</v>
      </c>
      <c r="I18" s="356">
        <v>13654847.335999999</v>
      </c>
      <c r="J18" s="309">
        <f>GMCM!F9</f>
        <v>351876.44985588826</v>
      </c>
      <c r="K18" s="318">
        <f t="shared" ref="K18:K26" si="2">I18-E18</f>
        <v>3151118.6160000004</v>
      </c>
      <c r="L18" s="315">
        <f t="shared" ref="L18:L26" si="3">J18-F18</f>
        <v>63537.352236146107</v>
      </c>
      <c r="M18" s="316">
        <f t="shared" ref="M18:M26" si="4">K18/E18</f>
        <v>0.30000000000000004</v>
      </c>
      <c r="N18" s="316">
        <f t="shared" ref="N18:N26" si="5">L18/F18</f>
        <v>0.22035635389252115</v>
      </c>
      <c r="O18" s="325"/>
      <c r="R18" s="98"/>
      <c r="S18" s="98"/>
      <c r="T18" s="98"/>
      <c r="U18" s="296"/>
      <c r="V18" s="296"/>
      <c r="X18" s="87"/>
    </row>
    <row r="19" spans="1:24" s="98" customFormat="1" x14ac:dyDescent="0.2">
      <c r="A19" s="272" t="s">
        <v>231</v>
      </c>
      <c r="B19" s="295" t="s">
        <v>210</v>
      </c>
      <c r="C19" s="54" t="s">
        <v>249</v>
      </c>
      <c r="D19" s="323">
        <v>1</v>
      </c>
      <c r="E19" s="311">
        <v>1751000</v>
      </c>
      <c r="F19" s="307">
        <f>GSOCIAL!I9</f>
        <v>23820.403572058858</v>
      </c>
      <c r="G19" s="355">
        <f t="shared" si="0"/>
        <v>1225700</v>
      </c>
      <c r="H19" s="311">
        <f t="shared" si="1"/>
        <v>2276300</v>
      </c>
      <c r="I19" s="356">
        <v>2276300</v>
      </c>
      <c r="J19" s="309">
        <f>GSOCIAL!F9</f>
        <v>27881.435275465017</v>
      </c>
      <c r="K19" s="318">
        <f t="shared" si="2"/>
        <v>525300</v>
      </c>
      <c r="L19" s="315">
        <f t="shared" si="3"/>
        <v>4061.0317034061591</v>
      </c>
      <c r="M19" s="316">
        <f t="shared" si="4"/>
        <v>0.3</v>
      </c>
      <c r="N19" s="316">
        <f>L19/F19</f>
        <v>0.17048542822211948</v>
      </c>
      <c r="O19" s="325"/>
      <c r="U19" s="296"/>
      <c r="V19" s="296"/>
    </row>
    <row r="20" spans="1:24" s="98" customFormat="1" x14ac:dyDescent="0.2">
      <c r="A20" s="272" t="s">
        <v>231</v>
      </c>
      <c r="B20" s="295" t="s">
        <v>226</v>
      </c>
      <c r="C20" s="54" t="s">
        <v>129</v>
      </c>
      <c r="D20" s="323">
        <v>1</v>
      </c>
      <c r="E20" s="311">
        <v>1111779.04</v>
      </c>
      <c r="F20" s="307">
        <f>GOLV!I9</f>
        <v>21646.235649615526</v>
      </c>
      <c r="G20" s="355">
        <f t="shared" si="0"/>
        <v>778245.32799999998</v>
      </c>
      <c r="H20" s="311">
        <f t="shared" si="1"/>
        <v>1445312.7520000001</v>
      </c>
      <c r="I20" s="356">
        <v>1445312.7520000001</v>
      </c>
      <c r="J20" s="309">
        <f>GOLV!F9</f>
        <v>25719.483123207465</v>
      </c>
      <c r="K20" s="318">
        <f t="shared" si="2"/>
        <v>333533.71200000006</v>
      </c>
      <c r="L20" s="315">
        <f t="shared" si="3"/>
        <v>4073.2474735919386</v>
      </c>
      <c r="M20" s="316">
        <f t="shared" si="4"/>
        <v>0.30000000000000004</v>
      </c>
      <c r="N20" s="316">
        <f t="shared" si="5"/>
        <v>0.1881734791917174</v>
      </c>
      <c r="O20" s="325"/>
      <c r="U20" s="296"/>
      <c r="V20" s="296"/>
    </row>
    <row r="21" spans="1:24" s="98" customFormat="1" x14ac:dyDescent="0.2">
      <c r="A21" s="272" t="s">
        <v>231</v>
      </c>
      <c r="B21" s="295" t="s">
        <v>228</v>
      </c>
      <c r="C21" s="54" t="s">
        <v>249</v>
      </c>
      <c r="D21" s="323">
        <v>1</v>
      </c>
      <c r="E21" s="311">
        <v>13418576</v>
      </c>
      <c r="F21" s="307">
        <f>GSTRTV!I9</f>
        <v>100808.3256282994</v>
      </c>
      <c r="G21" s="355">
        <f t="shared" si="0"/>
        <v>9393003.1999999993</v>
      </c>
      <c r="H21" s="311">
        <f t="shared" si="1"/>
        <v>17444148.800000001</v>
      </c>
      <c r="I21" s="356">
        <v>15506326.222568678</v>
      </c>
      <c r="J21" s="309">
        <f>GSTRTV!F9</f>
        <v>111547.06345810396</v>
      </c>
      <c r="K21" s="318">
        <f t="shared" si="2"/>
        <v>2087750.2225686777</v>
      </c>
      <c r="L21" s="315">
        <f t="shared" si="3"/>
        <v>10738.737829804566</v>
      </c>
      <c r="M21" s="316">
        <f>K21/E21</f>
        <v>0.15558657062930356</v>
      </c>
      <c r="N21" s="316">
        <f t="shared" si="5"/>
        <v>0.10652629892297245</v>
      </c>
      <c r="O21" s="325"/>
      <c r="U21" s="296"/>
      <c r="V21" s="296"/>
    </row>
    <row r="22" spans="1:24" s="98" customFormat="1" x14ac:dyDescent="0.2">
      <c r="A22" s="272" t="s">
        <v>231</v>
      </c>
      <c r="B22" s="295" t="s">
        <v>211</v>
      </c>
      <c r="C22" s="54" t="s">
        <v>249</v>
      </c>
      <c r="D22" s="323">
        <v>1</v>
      </c>
      <c r="E22" s="311">
        <v>2859426.82</v>
      </c>
      <c r="F22" s="307">
        <f>GDISP!I9</f>
        <v>76065.012406995462</v>
      </c>
      <c r="G22" s="355">
        <f t="shared" si="0"/>
        <v>2001598.7739999997</v>
      </c>
      <c r="H22" s="311">
        <f t="shared" si="1"/>
        <v>3717254.8659999999</v>
      </c>
      <c r="I22" s="356">
        <v>3717254.8659999999</v>
      </c>
      <c r="J22" s="309">
        <f>GDISP!F9</f>
        <v>89032.988619922922</v>
      </c>
      <c r="K22" s="318">
        <f t="shared" si="2"/>
        <v>857828.04600000009</v>
      </c>
      <c r="L22" s="315">
        <f t="shared" si="3"/>
        <v>12967.97621292746</v>
      </c>
      <c r="M22" s="316">
        <f t="shared" si="4"/>
        <v>0.30000000000000004</v>
      </c>
      <c r="N22" s="316">
        <f t="shared" si="5"/>
        <v>0.17048542822211959</v>
      </c>
      <c r="O22" s="325"/>
      <c r="U22" s="296"/>
      <c r="V22" s="296"/>
    </row>
    <row r="23" spans="1:24" s="98" customFormat="1" x14ac:dyDescent="0.2">
      <c r="A23" s="272" t="s">
        <v>231</v>
      </c>
      <c r="B23" s="295" t="s">
        <v>212</v>
      </c>
      <c r="C23" s="54" t="s">
        <v>249</v>
      </c>
      <c r="D23" s="323">
        <v>1</v>
      </c>
      <c r="E23" s="311">
        <v>50000</v>
      </c>
      <c r="F23" s="307">
        <f>GPDSRCH!I9</f>
        <v>30136.792938374307</v>
      </c>
      <c r="G23" s="355">
        <f t="shared" si="0"/>
        <v>35000</v>
      </c>
      <c r="H23" s="311">
        <f t="shared" si="1"/>
        <v>65000</v>
      </c>
      <c r="I23" s="356">
        <v>64999.99999999853</v>
      </c>
      <c r="J23" s="309">
        <f>GPDSRCH!F9</f>
        <v>36212.405995131099</v>
      </c>
      <c r="K23" s="318">
        <f t="shared" si="2"/>
        <v>14999.99999999853</v>
      </c>
      <c r="L23" s="315">
        <f t="shared" si="3"/>
        <v>6075.6130567567925</v>
      </c>
      <c r="M23" s="316">
        <f t="shared" si="4"/>
        <v>0.29999999999997062</v>
      </c>
      <c r="N23" s="316">
        <f t="shared" si="5"/>
        <v>0.20160118129293336</v>
      </c>
      <c r="O23" s="325"/>
      <c r="U23" s="296"/>
      <c r="V23" s="296"/>
    </row>
    <row r="24" spans="1:24" x14ac:dyDescent="0.2">
      <c r="A24" s="272" t="s">
        <v>231</v>
      </c>
      <c r="B24" s="295" t="s">
        <v>177</v>
      </c>
      <c r="C24" s="54" t="s">
        <v>249</v>
      </c>
      <c r="D24" s="323">
        <v>1</v>
      </c>
      <c r="E24" s="311">
        <v>923975</v>
      </c>
      <c r="F24" s="307">
        <f>GAUDIO!I9</f>
        <v>26581.559263521289</v>
      </c>
      <c r="G24" s="355">
        <f t="shared" si="0"/>
        <v>646782.5</v>
      </c>
      <c r="H24" s="311">
        <f t="shared" si="1"/>
        <v>1201167.5</v>
      </c>
      <c r="I24" s="356">
        <v>1201167.5</v>
      </c>
      <c r="J24" s="309">
        <f>GAUDIO!F9</f>
        <v>29522.816952164638</v>
      </c>
      <c r="K24" s="318">
        <f t="shared" si="2"/>
        <v>277192.5</v>
      </c>
      <c r="L24" s="315">
        <f t="shared" si="3"/>
        <v>2941.257688643349</v>
      </c>
      <c r="M24" s="316">
        <f t="shared" si="4"/>
        <v>0.3</v>
      </c>
      <c r="N24" s="316">
        <f t="shared" si="5"/>
        <v>0.11065030683432216</v>
      </c>
      <c r="O24" s="325"/>
      <c r="R24" s="98"/>
      <c r="S24" s="98"/>
      <c r="T24" s="98"/>
      <c r="U24" s="296"/>
      <c r="V24" s="296"/>
    </row>
    <row r="25" spans="1:24" s="98" customFormat="1" x14ac:dyDescent="0.2">
      <c r="A25" s="272" t="s">
        <v>231</v>
      </c>
      <c r="B25" s="295" t="s">
        <v>237</v>
      </c>
      <c r="C25" s="54" t="s">
        <v>249</v>
      </c>
      <c r="D25" s="323">
        <v>1</v>
      </c>
      <c r="E25" s="311">
        <v>25810928.600000001</v>
      </c>
      <c r="F25" s="307">
        <f>GLINEARTV!I9</f>
        <v>168508.00202805389</v>
      </c>
      <c r="G25" s="355">
        <f t="shared" si="0"/>
        <v>18067650.02</v>
      </c>
      <c r="H25" s="311">
        <f t="shared" si="1"/>
        <v>33554207.180000003</v>
      </c>
      <c r="I25" s="356">
        <v>18679386.206453495</v>
      </c>
      <c r="J25" s="309">
        <f>GLINEARTV!F9</f>
        <v>134372.93700308583</v>
      </c>
      <c r="K25" s="318">
        <f t="shared" si="2"/>
        <v>-7131542.3935465068</v>
      </c>
      <c r="L25" s="315">
        <f t="shared" si="3"/>
        <v>-34135.065024968062</v>
      </c>
      <c r="M25" s="316">
        <f t="shared" si="4"/>
        <v>-0.27629933444341503</v>
      </c>
      <c r="N25" s="316">
        <f t="shared" si="5"/>
        <v>-0.20257236816139521</v>
      </c>
      <c r="O25" s="325"/>
      <c r="U25" s="296"/>
      <c r="V25" s="296"/>
    </row>
    <row r="26" spans="1:24" s="98" customFormat="1" x14ac:dyDescent="0.2">
      <c r="A26" s="272" t="s">
        <v>231</v>
      </c>
      <c r="B26" s="295" t="s">
        <v>239</v>
      </c>
      <c r="C26" s="54" t="s">
        <v>129</v>
      </c>
      <c r="D26" s="323">
        <v>1</v>
      </c>
      <c r="E26" s="311">
        <v>2411968</v>
      </c>
      <c r="F26" s="307">
        <f>GPHRMCY!I9</f>
        <v>16097.078764905222</v>
      </c>
      <c r="G26" s="355">
        <f t="shared" si="0"/>
        <v>1688377.5999999999</v>
      </c>
      <c r="H26" s="357">
        <f t="shared" si="1"/>
        <v>3135558.4</v>
      </c>
      <c r="I26" s="356">
        <v>2492454.2167876307</v>
      </c>
      <c r="J26" s="309">
        <f>GPHRMCY!F9</f>
        <v>16505.833422747441</v>
      </c>
      <c r="K26" s="318">
        <f t="shared" si="2"/>
        <v>80486.216787630692</v>
      </c>
      <c r="L26" s="315">
        <f t="shared" si="3"/>
        <v>408.75465784221888</v>
      </c>
      <c r="M26" s="316">
        <f t="shared" si="4"/>
        <v>3.3369520983541526E-2</v>
      </c>
      <c r="N26" s="316">
        <f t="shared" si="5"/>
        <v>2.5393095468563148E-2</v>
      </c>
      <c r="O26" s="325"/>
      <c r="P26" s="296"/>
      <c r="U26" s="296"/>
      <c r="V26" s="296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312">
        <f>SUM(E17:E26)</f>
        <v>59976092.18</v>
      </c>
      <c r="F27" s="322">
        <f>SUM(F17:F26)</f>
        <v>759370.3744855884</v>
      </c>
      <c r="G27" s="312">
        <f>SUM(G17:G26)</f>
        <v>41983264.526000001</v>
      </c>
      <c r="H27" s="312">
        <f>SUM(H17:H26)</f>
        <v>77968919.834000006</v>
      </c>
      <c r="I27" s="312">
        <f t="shared" ref="I27:J27" si="6">SUM(I17:I26)</f>
        <v>59976092.14579583</v>
      </c>
      <c r="J27" s="322">
        <f t="shared" si="6"/>
        <v>829107.798967393</v>
      </c>
      <c r="K27" s="312">
        <f t="shared" ref="K27" si="7">SUM(K17:K26)</f>
        <v>-3.4204166382551193E-2</v>
      </c>
      <c r="L27" s="152">
        <f>SUM(L17:L26)</f>
        <v>69737.424481804512</v>
      </c>
      <c r="M27" s="153">
        <f>K27/E27</f>
        <v>-5.7029668221627027E-10</v>
      </c>
      <c r="N27" s="153">
        <f>L27/F27</f>
        <v>9.1835850890345752E-2</v>
      </c>
      <c r="O27" s="326"/>
    </row>
    <row r="28" spans="1:24" x14ac:dyDescent="0.2">
      <c r="B28" s="1" t="s">
        <v>103</v>
      </c>
      <c r="E28" s="321">
        <f>E27-E29</f>
        <v>49472363.460000001</v>
      </c>
      <c r="F28" s="321">
        <f>F27-F29</f>
        <v>471031.27686584624</v>
      </c>
      <c r="I28" s="324">
        <f>I27-I29</f>
        <v>46321244.809795827</v>
      </c>
      <c r="J28" s="321">
        <f>J27-J29</f>
        <v>477231.34911150474</v>
      </c>
    </row>
    <row r="29" spans="1:24" x14ac:dyDescent="0.2">
      <c r="B29" s="1" t="s">
        <v>243</v>
      </c>
      <c r="C29" s="1" t="s">
        <v>268</v>
      </c>
      <c r="E29" s="321">
        <f>E18</f>
        <v>10503728.719999999</v>
      </c>
      <c r="F29" s="321">
        <f>F18</f>
        <v>288339.09761974216</v>
      </c>
      <c r="G29" s="140">
        <f>SUM(G17:G26)</f>
        <v>41983264.526000001</v>
      </c>
      <c r="H29" s="140">
        <f>SUM(H17:H26)</f>
        <v>77968919.834000006</v>
      </c>
      <c r="I29" s="324">
        <f>I18</f>
        <v>13654847.335999999</v>
      </c>
      <c r="J29" s="321">
        <f>J18</f>
        <v>351876.44985588826</v>
      </c>
      <c r="K29" s="140" t="s">
        <v>269</v>
      </c>
    </row>
    <row r="30" spans="1:24" x14ac:dyDescent="0.2">
      <c r="C30" s="140">
        <f>(E25+E21 )-14712253</f>
        <v>24517251.600000001</v>
      </c>
      <c r="K30" s="140">
        <f>(I25+I21) - C30</f>
        <v>9668460.8290221691</v>
      </c>
    </row>
    <row r="31" spans="1:24" s="98" customFormat="1" x14ac:dyDescent="0.2">
      <c r="D31" s="408" t="s">
        <v>154</v>
      </c>
      <c r="E31" s="408"/>
      <c r="F31" s="408"/>
      <c r="G31" s="408"/>
      <c r="H31" s="408"/>
      <c r="I31" s="408"/>
      <c r="J31" s="407"/>
      <c r="K31" s="407"/>
      <c r="L31" s="407"/>
      <c r="M31" s="407"/>
      <c r="N31" s="407"/>
      <c r="O31" s="407"/>
      <c r="P31" s="134"/>
    </row>
    <row r="32" spans="1:24" ht="51" x14ac:dyDescent="0.2">
      <c r="A32" s="390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390"/>
      <c r="D33" s="155">
        <v>1</v>
      </c>
      <c r="E33" s="126">
        <v>225.94</v>
      </c>
      <c r="F33" s="348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389" t="s">
        <v>2</v>
      </c>
      <c r="B34" s="373" t="s">
        <v>3</v>
      </c>
      <c r="C34" s="373" t="str">
        <f t="shared" ref="C34:C45" si="8">D15</f>
        <v>Response Scaling Factor for Sensitivity Analysis</v>
      </c>
      <c r="D34" s="404" t="s">
        <v>86</v>
      </c>
      <c r="E34" s="405"/>
      <c r="F34" s="405"/>
      <c r="G34" s="406"/>
      <c r="H34" s="391" t="s">
        <v>89</v>
      </c>
      <c r="I34" s="392"/>
      <c r="J34" s="392"/>
      <c r="K34" s="404" t="s">
        <v>136</v>
      </c>
      <c r="L34" s="405"/>
      <c r="M34" s="405"/>
      <c r="N34" s="406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372"/>
      <c r="B35" s="372"/>
      <c r="C35" s="372">
        <f t="shared" si="8"/>
        <v>0</v>
      </c>
      <c r="D35" s="93" t="s">
        <v>234</v>
      </c>
      <c r="E35" s="93" t="s">
        <v>133</v>
      </c>
      <c r="F35" s="93" t="s">
        <v>134</v>
      </c>
      <c r="G35" s="93" t="s">
        <v>146</v>
      </c>
      <c r="H35" s="55" t="s">
        <v>235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232" t="str">
        <f t="shared" ref="A36:B39" si="9">A17</f>
        <v>Gardasil Adults</v>
      </c>
      <c r="B36" s="232" t="str">
        <f t="shared" si="9"/>
        <v>HCC InOffice</v>
      </c>
      <c r="C36" s="358">
        <f t="shared" si="8"/>
        <v>1</v>
      </c>
      <c r="D36" s="99">
        <f t="shared" ref="D36:D45" si="10">E17</f>
        <v>1134710</v>
      </c>
      <c r="E36" s="254" t="s">
        <v>161</v>
      </c>
      <c r="F36" s="101">
        <f t="shared" ref="F36:F45" si="11">F17/$D$33</f>
        <v>7367.8666140222922</v>
      </c>
      <c r="G36" s="103">
        <f>F36*$F$33</f>
        <v>1664695.7827721967</v>
      </c>
      <c r="H36" s="105">
        <f t="shared" ref="H36:H45" si="12">I17</f>
        <v>938043.04598603304</v>
      </c>
      <c r="I36" s="101">
        <f t="shared" ref="I36:I45" si="13">J17/$D$33</f>
        <v>6436.3852616762742</v>
      </c>
      <c r="J36" s="107">
        <f>I36*$F$33</f>
        <v>1454236.8860231375</v>
      </c>
      <c r="K36" s="99">
        <f>H36-D36</f>
        <v>-196666.95401396696</v>
      </c>
      <c r="L36" s="99">
        <f>J36-G36</f>
        <v>-210458.8967490592</v>
      </c>
      <c r="M36" s="109">
        <f>K36/D36</f>
        <v>-0.17331913353541165</v>
      </c>
      <c r="N36" s="110">
        <f>L36/G36</f>
        <v>-0.12642483925716727</v>
      </c>
      <c r="O36" s="327">
        <f>(J36-G36)/1000000</f>
        <v>-0.21045889674905921</v>
      </c>
    </row>
    <row r="37" spans="1:22" x14ac:dyDescent="0.2">
      <c r="A37" s="238" t="str">
        <f t="shared" si="9"/>
        <v>Gardasil Adults</v>
      </c>
      <c r="B37" s="238" t="str">
        <f t="shared" si="9"/>
        <v>HCP MCM</v>
      </c>
      <c r="C37" s="323">
        <f t="shared" si="8"/>
        <v>1</v>
      </c>
      <c r="D37" s="100">
        <f t="shared" si="10"/>
        <v>10503728.719999999</v>
      </c>
      <c r="E37" s="255" t="s">
        <v>161</v>
      </c>
      <c r="F37" s="102">
        <f t="shared" si="11"/>
        <v>288339.09761974216</v>
      </c>
      <c r="G37" s="104">
        <f t="shared" ref="G37:G44" si="14">F37*$F$33</f>
        <v>65147335.716204539</v>
      </c>
      <c r="H37" s="106">
        <f t="shared" si="12"/>
        <v>13654847.335999999</v>
      </c>
      <c r="I37" s="102">
        <f t="shared" si="13"/>
        <v>351876.44985588826</v>
      </c>
      <c r="J37" s="108">
        <f t="shared" ref="J37" si="15">I37*$F$33</f>
        <v>79502965.080439389</v>
      </c>
      <c r="K37" s="100">
        <f t="shared" ref="K37" si="16">H37-D37</f>
        <v>3151118.6160000004</v>
      </c>
      <c r="L37" s="100">
        <f t="shared" ref="L37" si="17">J37-G37</f>
        <v>14355629.36423485</v>
      </c>
      <c r="M37" s="111">
        <f t="shared" ref="M37" si="18">K37/D37</f>
        <v>0.30000000000000004</v>
      </c>
      <c r="N37" s="112">
        <f t="shared" ref="N37" si="19">L37/G37</f>
        <v>0.22035635389252115</v>
      </c>
      <c r="O37" s="327">
        <f t="shared" ref="O37:O45" si="20">(J37-G37)/1000000</f>
        <v>14.355629364234851</v>
      </c>
    </row>
    <row r="38" spans="1:22" s="98" customFormat="1" x14ac:dyDescent="0.2">
      <c r="A38" s="238" t="str">
        <f t="shared" si="9"/>
        <v>Gardasil Adults</v>
      </c>
      <c r="B38" s="238" t="str">
        <f t="shared" si="9"/>
        <v>HCC Social</v>
      </c>
      <c r="C38" s="323">
        <f t="shared" si="8"/>
        <v>1</v>
      </c>
      <c r="D38" s="100">
        <f t="shared" si="10"/>
        <v>1751000</v>
      </c>
      <c r="E38" s="255" t="s">
        <v>161</v>
      </c>
      <c r="F38" s="102">
        <f t="shared" si="11"/>
        <v>23820.403572058858</v>
      </c>
      <c r="G38" s="104">
        <f t="shared" si="14"/>
        <v>5381981.983070978</v>
      </c>
      <c r="H38" s="106">
        <f t="shared" si="12"/>
        <v>2276300</v>
      </c>
      <c r="I38" s="102">
        <f t="shared" si="13"/>
        <v>27881.435275465017</v>
      </c>
      <c r="J38" s="108">
        <f t="shared" ref="J38:J44" si="21">I38*$F$33</f>
        <v>6299531.4861385655</v>
      </c>
      <c r="K38" s="100">
        <f t="shared" ref="K38:K44" si="22">H38-D38</f>
        <v>525300</v>
      </c>
      <c r="L38" s="100">
        <f t="shared" ref="L38:L44" si="23">J38-G38</f>
        <v>917549.5030675875</v>
      </c>
      <c r="M38" s="111">
        <f t="shared" ref="M38:M44" si="24">K38/D38</f>
        <v>0.3</v>
      </c>
      <c r="N38" s="112">
        <f t="shared" ref="N38:N44" si="25">L38/G38</f>
        <v>0.17048542822211948</v>
      </c>
      <c r="O38" s="327">
        <f t="shared" si="20"/>
        <v>0.91754950306758754</v>
      </c>
      <c r="P38" s="113"/>
    </row>
    <row r="39" spans="1:22" s="98" customFormat="1" x14ac:dyDescent="0.2">
      <c r="A39" s="238" t="str">
        <f t="shared" si="9"/>
        <v>Gardasil Adults</v>
      </c>
      <c r="B39" s="238" t="str">
        <f t="shared" si="9"/>
        <v>HCC Online Video</v>
      </c>
      <c r="C39" s="323">
        <f t="shared" si="8"/>
        <v>1</v>
      </c>
      <c r="D39" s="100">
        <f t="shared" si="10"/>
        <v>1111779.04</v>
      </c>
      <c r="E39" s="255" t="s">
        <v>161</v>
      </c>
      <c r="F39" s="102">
        <f t="shared" si="11"/>
        <v>21646.235649615526</v>
      </c>
      <c r="G39" s="104">
        <f t="shared" si="14"/>
        <v>4890750.4826741321</v>
      </c>
      <c r="H39" s="106">
        <f t="shared" si="12"/>
        <v>1445312.7520000001</v>
      </c>
      <c r="I39" s="102">
        <f t="shared" si="13"/>
        <v>25719.483123207465</v>
      </c>
      <c r="J39" s="108">
        <f t="shared" si="21"/>
        <v>5811060.0168574946</v>
      </c>
      <c r="K39" s="100">
        <f t="shared" si="22"/>
        <v>333533.71200000006</v>
      </c>
      <c r="L39" s="100">
        <f t="shared" si="23"/>
        <v>920309.5341833625</v>
      </c>
      <c r="M39" s="111">
        <f t="shared" si="24"/>
        <v>0.30000000000000004</v>
      </c>
      <c r="N39" s="112">
        <f t="shared" si="25"/>
        <v>0.18817347919171737</v>
      </c>
      <c r="O39" s="327">
        <f t="shared" si="20"/>
        <v>0.92030953418336248</v>
      </c>
    </row>
    <row r="40" spans="1:22" s="98" customFormat="1" x14ac:dyDescent="0.2">
      <c r="A40" s="238" t="str">
        <f t="shared" ref="A40:A45" si="26">A21</f>
        <v>Gardasil Adults</v>
      </c>
      <c r="B40" s="238" t="str">
        <f t="shared" ref="B40:B45" si="27">B21</f>
        <v>HCC Streaming Video</v>
      </c>
      <c r="C40" s="323">
        <f t="shared" si="8"/>
        <v>1</v>
      </c>
      <c r="D40" s="100">
        <f t="shared" si="10"/>
        <v>13418576</v>
      </c>
      <c r="E40" s="255" t="s">
        <v>161</v>
      </c>
      <c r="F40" s="102">
        <f t="shared" si="11"/>
        <v>100808.3256282994</v>
      </c>
      <c r="G40" s="104">
        <f t="shared" si="14"/>
        <v>22776633.092457965</v>
      </c>
      <c r="H40" s="106">
        <f t="shared" si="12"/>
        <v>15506326.222568678</v>
      </c>
      <c r="I40" s="102">
        <f t="shared" si="13"/>
        <v>111547.06345810396</v>
      </c>
      <c r="J40" s="108">
        <f t="shared" si="21"/>
        <v>25202943.517724007</v>
      </c>
      <c r="K40" s="100">
        <f t="shared" si="22"/>
        <v>2087750.2225686777</v>
      </c>
      <c r="L40" s="100">
        <f t="shared" si="23"/>
        <v>2426310.4252660424</v>
      </c>
      <c r="M40" s="111">
        <f t="shared" si="24"/>
        <v>0.15558657062930356</v>
      </c>
      <c r="N40" s="112">
        <f t="shared" si="25"/>
        <v>0.1065262989229724</v>
      </c>
      <c r="O40" s="327">
        <f t="shared" si="20"/>
        <v>2.4263104252660423</v>
      </c>
    </row>
    <row r="41" spans="1:22" s="98" customFormat="1" x14ac:dyDescent="0.2">
      <c r="A41" s="238" t="str">
        <f t="shared" si="26"/>
        <v>Gardasil Adults</v>
      </c>
      <c r="B41" s="238" t="str">
        <f t="shared" si="27"/>
        <v>HCC Display</v>
      </c>
      <c r="C41" s="323">
        <f t="shared" si="8"/>
        <v>1</v>
      </c>
      <c r="D41" s="100">
        <f t="shared" si="10"/>
        <v>2859426.82</v>
      </c>
      <c r="E41" s="255" t="s">
        <v>161</v>
      </c>
      <c r="F41" s="102">
        <f t="shared" si="11"/>
        <v>76065.012406995462</v>
      </c>
      <c r="G41" s="104">
        <f t="shared" si="14"/>
        <v>17186128.903236553</v>
      </c>
      <c r="H41" s="106">
        <f t="shared" si="12"/>
        <v>3717254.8659999999</v>
      </c>
      <c r="I41" s="102">
        <f t="shared" si="13"/>
        <v>89032.988619922922</v>
      </c>
      <c r="J41" s="108">
        <f t="shared" si="21"/>
        <v>20116113.448785383</v>
      </c>
      <c r="K41" s="100">
        <f t="shared" si="22"/>
        <v>857828.04600000009</v>
      </c>
      <c r="L41" s="100">
        <f t="shared" si="23"/>
        <v>2929984.5455488302</v>
      </c>
      <c r="M41" s="111">
        <f t="shared" si="24"/>
        <v>0.30000000000000004</v>
      </c>
      <c r="N41" s="112">
        <f t="shared" si="25"/>
        <v>0.17048542822211959</v>
      </c>
      <c r="O41" s="327">
        <f t="shared" si="20"/>
        <v>2.9299845455488303</v>
      </c>
    </row>
    <row r="42" spans="1:22" x14ac:dyDescent="0.2">
      <c r="A42" s="238" t="str">
        <f t="shared" si="26"/>
        <v>Gardasil Adults</v>
      </c>
      <c r="B42" s="238" t="str">
        <f t="shared" si="27"/>
        <v>HCC Paid Search</v>
      </c>
      <c r="C42" s="323">
        <f t="shared" si="8"/>
        <v>1</v>
      </c>
      <c r="D42" s="100">
        <f t="shared" si="10"/>
        <v>50000</v>
      </c>
      <c r="E42" s="255" t="s">
        <v>161</v>
      </c>
      <c r="F42" s="102">
        <f t="shared" si="11"/>
        <v>30136.792938374307</v>
      </c>
      <c r="G42" s="104">
        <f t="shared" si="14"/>
        <v>6809106.9964962909</v>
      </c>
      <c r="H42" s="106">
        <f t="shared" si="12"/>
        <v>64999.99999999853</v>
      </c>
      <c r="I42" s="102">
        <f t="shared" si="13"/>
        <v>36212.405995131099</v>
      </c>
      <c r="J42" s="108">
        <f t="shared" si="21"/>
        <v>8181831.0105399201</v>
      </c>
      <c r="K42" s="100">
        <f t="shared" si="22"/>
        <v>14999.99999999853</v>
      </c>
      <c r="L42" s="100">
        <f t="shared" si="23"/>
        <v>1372724.0140436292</v>
      </c>
      <c r="M42" s="111">
        <f t="shared" si="24"/>
        <v>0.29999999999997062</v>
      </c>
      <c r="N42" s="112">
        <f t="shared" si="25"/>
        <v>0.20160118129293328</v>
      </c>
      <c r="O42" s="327">
        <f t="shared" si="20"/>
        <v>1.3727240140436292</v>
      </c>
    </row>
    <row r="43" spans="1:22" s="98" customFormat="1" x14ac:dyDescent="0.2">
      <c r="A43" s="238" t="str">
        <f t="shared" si="26"/>
        <v>Gardasil Adults</v>
      </c>
      <c r="B43" s="238" t="str">
        <f t="shared" si="27"/>
        <v>HCC Radio</v>
      </c>
      <c r="C43" s="323">
        <f t="shared" si="8"/>
        <v>1</v>
      </c>
      <c r="D43" s="100">
        <f t="shared" si="10"/>
        <v>923975</v>
      </c>
      <c r="E43" s="255" t="s">
        <v>161</v>
      </c>
      <c r="F43" s="102">
        <f t="shared" si="11"/>
        <v>26581.559263521289</v>
      </c>
      <c r="G43" s="104">
        <f t="shared" si="14"/>
        <v>6005837.5</v>
      </c>
      <c r="H43" s="106">
        <f t="shared" si="12"/>
        <v>1201167.5</v>
      </c>
      <c r="I43" s="102">
        <f t="shared" si="13"/>
        <v>29522.816952164638</v>
      </c>
      <c r="J43" s="108">
        <f t="shared" si="21"/>
        <v>6670385.2621720778</v>
      </c>
      <c r="K43" s="100">
        <f t="shared" si="22"/>
        <v>277192.5</v>
      </c>
      <c r="L43" s="100">
        <f t="shared" si="23"/>
        <v>664547.76217207778</v>
      </c>
      <c r="M43" s="111">
        <f t="shared" si="24"/>
        <v>0.3</v>
      </c>
      <c r="N43" s="112">
        <f t="shared" si="25"/>
        <v>0.11065030683432207</v>
      </c>
      <c r="O43" s="327">
        <f t="shared" si="20"/>
        <v>0.66454776217207778</v>
      </c>
    </row>
    <row r="44" spans="1:22" s="98" customFormat="1" x14ac:dyDescent="0.2">
      <c r="A44" s="238" t="str">
        <f t="shared" si="26"/>
        <v>Gardasil Adults</v>
      </c>
      <c r="B44" s="238" t="str">
        <f t="shared" si="27"/>
        <v>HCC Linear TV</v>
      </c>
      <c r="C44" s="323">
        <f t="shared" si="8"/>
        <v>1</v>
      </c>
      <c r="D44" s="100">
        <f t="shared" si="10"/>
        <v>25810928.600000001</v>
      </c>
      <c r="E44" s="255" t="s">
        <v>161</v>
      </c>
      <c r="F44" s="102">
        <f t="shared" si="11"/>
        <v>168508.00202805389</v>
      </c>
      <c r="G44" s="104">
        <f t="shared" si="14"/>
        <v>38072697.978218496</v>
      </c>
      <c r="H44" s="106">
        <f t="shared" si="12"/>
        <v>18679386.206453495</v>
      </c>
      <c r="I44" s="102">
        <f t="shared" si="13"/>
        <v>134372.93700308583</v>
      </c>
      <c r="J44" s="108">
        <f t="shared" si="21"/>
        <v>30360221.38647721</v>
      </c>
      <c r="K44" s="100">
        <f t="shared" si="22"/>
        <v>-7131542.3935465068</v>
      </c>
      <c r="L44" s="100">
        <f t="shared" si="23"/>
        <v>-7712476.5917412862</v>
      </c>
      <c r="M44" s="111">
        <f t="shared" si="24"/>
        <v>-0.27629933444341503</v>
      </c>
      <c r="N44" s="112">
        <f t="shared" si="25"/>
        <v>-0.20257236816139526</v>
      </c>
      <c r="O44" s="327">
        <f t="shared" si="20"/>
        <v>-7.7124765917412859</v>
      </c>
    </row>
    <row r="45" spans="1:22" s="98" customFormat="1" x14ac:dyDescent="0.2">
      <c r="A45" s="238" t="str">
        <f t="shared" si="26"/>
        <v>Gardasil Adults</v>
      </c>
      <c r="B45" s="238" t="str">
        <f t="shared" si="27"/>
        <v>HCC Pharmacy</v>
      </c>
      <c r="C45" s="323">
        <f t="shared" si="8"/>
        <v>1</v>
      </c>
      <c r="D45" s="100">
        <f t="shared" si="10"/>
        <v>2411968</v>
      </c>
      <c r="E45" s="255" t="s">
        <v>161</v>
      </c>
      <c r="F45" s="102">
        <f t="shared" si="11"/>
        <v>16097.078764905222</v>
      </c>
      <c r="G45" s="104">
        <f t="shared" ref="G45" si="28">F45*$F$33</f>
        <v>3636973.9761426859</v>
      </c>
      <c r="H45" s="106">
        <f t="shared" si="12"/>
        <v>2492454.2167876307</v>
      </c>
      <c r="I45" s="102">
        <f t="shared" si="13"/>
        <v>16505.833422747441</v>
      </c>
      <c r="J45" s="108">
        <f t="shared" ref="J45" si="29">I45*$F$33</f>
        <v>3729328.0035355566</v>
      </c>
      <c r="K45" s="100">
        <f t="shared" ref="K45" si="30">H45-D45</f>
        <v>80486.216787630692</v>
      </c>
      <c r="L45" s="100">
        <f t="shared" ref="L45" si="31">J45-G45</f>
        <v>92354.027392870747</v>
      </c>
      <c r="M45" s="111">
        <f t="shared" ref="M45" si="32">K45/D45</f>
        <v>3.3369520983541526E-2</v>
      </c>
      <c r="N45" s="112">
        <f t="shared" ref="N45" si="33">L45/G45</f>
        <v>2.5393095468563099E-2</v>
      </c>
      <c r="O45" s="327">
        <f t="shared" si="20"/>
        <v>9.2354027392870741E-2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59976092.18</v>
      </c>
      <c r="E46" s="256"/>
      <c r="F46" s="130">
        <f t="shared" ref="F46:I46" si="34">SUM(F36:F45)</f>
        <v>759370.3744855884</v>
      </c>
      <c r="G46" s="131">
        <f t="shared" si="34"/>
        <v>171572142.41127384</v>
      </c>
      <c r="H46" s="131">
        <f t="shared" si="34"/>
        <v>59976092.14579583</v>
      </c>
      <c r="I46" s="130">
        <f t="shared" si="34"/>
        <v>829107.798967393</v>
      </c>
      <c r="J46" s="131">
        <f>SUM(J36:J45)</f>
        <v>187328616.09869274</v>
      </c>
      <c r="K46" s="131">
        <f>SUM(K36:K45)</f>
        <v>-3.4204166382551193E-2</v>
      </c>
      <c r="L46" s="131">
        <f>SUM(L36:L45)</f>
        <v>15756473.687418908</v>
      </c>
      <c r="M46" s="129">
        <f>K46/D46</f>
        <v>-5.7029668221627027E-10</v>
      </c>
      <c r="N46" s="132">
        <f>L46/G46</f>
        <v>9.1835850890345738E-2</v>
      </c>
    </row>
    <row r="47" spans="1:22" x14ac:dyDescent="0.2">
      <c r="D47" s="149"/>
      <c r="E47" s="257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57"/>
      <c r="F48" s="150"/>
      <c r="G48" s="327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57"/>
      <c r="F49" s="150"/>
      <c r="G49" s="352">
        <f>G46/D46</f>
        <v>2.8606755821361656</v>
      </c>
      <c r="H49" s="98"/>
      <c r="I49" s="94"/>
      <c r="J49" s="352">
        <f>J46/D46</f>
        <v>3.1233881583428755</v>
      </c>
      <c r="K49" s="98"/>
      <c r="L49" s="113"/>
      <c r="M49" s="117"/>
      <c r="N49" s="114"/>
    </row>
    <row r="50" spans="4:14" x14ac:dyDescent="0.2">
      <c r="D50" s="134">
        <f>G43/D43</f>
        <v>6.5</v>
      </c>
      <c r="E50" s="258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58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58"/>
      <c r="F52" s="134"/>
    </row>
    <row r="53" spans="4:14" x14ac:dyDescent="0.2">
      <c r="E53" s="259"/>
    </row>
    <row r="54" spans="4:14" x14ac:dyDescent="0.2">
      <c r="E54" s="259"/>
    </row>
    <row r="55" spans="4:14" x14ac:dyDescent="0.2">
      <c r="E55" s="259"/>
    </row>
    <row r="56" spans="4:14" x14ac:dyDescent="0.2">
      <c r="E56" s="259"/>
    </row>
    <row r="57" spans="4:14" x14ac:dyDescent="0.2">
      <c r="E57" s="259"/>
    </row>
  </sheetData>
  <mergeCells count="20"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  <mergeCell ref="A34:A35"/>
    <mergeCell ref="B34:B35"/>
    <mergeCell ref="A32:A33"/>
    <mergeCell ref="A15:A16"/>
    <mergeCell ref="B15:B16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21" workbookViewId="0">
      <selection activeCell="G29" sqref="G2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9" t="s">
        <v>106</v>
      </c>
      <c r="C4" s="419"/>
      <c r="D4" s="419"/>
      <c r="E4" s="419"/>
      <c r="F4" s="420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7" t="s">
        <v>8</v>
      </c>
      <c r="B7" s="422" t="s">
        <v>9</v>
      </c>
      <c r="C7" s="423"/>
      <c r="D7" s="424" t="s">
        <v>12</v>
      </c>
      <c r="E7" s="425"/>
      <c r="F7" s="426"/>
      <c r="G7" s="422" t="s">
        <v>124</v>
      </c>
      <c r="H7" s="422"/>
      <c r="I7" s="427"/>
      <c r="J7" s="98" t="s">
        <v>125</v>
      </c>
    </row>
    <row r="8" spans="1:18" ht="28.35" customHeight="1" x14ac:dyDescent="0.2">
      <c r="A8" s="42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18"/>
      <c r="B9" s="95">
        <f>VAC_Optim_Scenario!G17</f>
        <v>794297</v>
      </c>
      <c r="C9" s="95">
        <f>VAC_Optim_Scenario!H17</f>
        <v>1475123</v>
      </c>
      <c r="D9" s="68">
        <f>VAC_Optim_Scenario!I17</f>
        <v>938043.04598603304</v>
      </c>
      <c r="E9" s="84">
        <f>((($R$12/(1+EXP($P$12+$Q$12*D9)))-1) - ($F$12-$C$12))*$I$12</f>
        <v>6436.3852616762742</v>
      </c>
      <c r="F9" s="89">
        <f>E9*$G$12</f>
        <v>6436.3852616762742</v>
      </c>
      <c r="G9" s="95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167</v>
      </c>
    </row>
    <row r="10" spans="1:18" ht="13.5" thickBot="1" x14ac:dyDescent="0.25"/>
    <row r="11" spans="1:18" ht="51.6" customHeight="1" x14ac:dyDescent="0.2">
      <c r="A11" s="417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0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18"/>
      <c r="B12" s="319">
        <f>'[1]HCC Inoffice Curve'!$B$12</f>
        <v>1100000</v>
      </c>
      <c r="C12" s="319">
        <f>'[1]HCC Inoffice Curve'!$C$12</f>
        <v>7211.735697901333</v>
      </c>
      <c r="D12" s="319">
        <f>'[1]HCC Inoffice Curve'!$D$12</f>
        <v>0</v>
      </c>
      <c r="E12" s="319">
        <f>'[1]HCC Inoffice Curve'!$E$12</f>
        <v>14423.471395802664</v>
      </c>
      <c r="F12" s="319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320">
        <f>VAC_Optim_Scenario!D17</f>
        <v>1</v>
      </c>
      <c r="K12" s="410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11" t="s">
        <v>169</v>
      </c>
      <c r="B13" s="412"/>
      <c r="C13" s="412"/>
      <c r="D13" s="412"/>
      <c r="E13" s="412"/>
      <c r="F13" s="413"/>
      <c r="G13" s="119" t="s">
        <v>150</v>
      </c>
      <c r="H13" s="119" t="s">
        <v>151</v>
      </c>
      <c r="K13" s="411" t="s">
        <v>115</v>
      </c>
      <c r="L13" s="412"/>
      <c r="M13" s="412"/>
      <c r="N13" s="412"/>
      <c r="O13" s="412"/>
      <c r="P13" s="412"/>
      <c r="Q13" s="412"/>
      <c r="R13" s="413"/>
    </row>
    <row r="14" spans="1:18" ht="33.6" customHeight="1" thickBot="1" x14ac:dyDescent="0.25">
      <c r="A14" s="414"/>
      <c r="B14" s="415"/>
      <c r="C14" s="415"/>
      <c r="D14" s="415"/>
      <c r="E14" s="415"/>
      <c r="F14" s="416"/>
      <c r="G14" s="95">
        <f>VAC_Optim_Scenario!$I$33</f>
        <v>225.94</v>
      </c>
      <c r="H14" s="95">
        <f>VAC_Optim_Scenario!$F$33</f>
        <v>225.94</v>
      </c>
      <c r="K14" s="414"/>
      <c r="L14" s="415"/>
      <c r="M14" s="415"/>
      <c r="N14" s="415"/>
      <c r="O14" s="415"/>
      <c r="P14" s="415"/>
      <c r="Q14" s="415"/>
      <c r="R14" s="416"/>
    </row>
    <row r="16" spans="1:18" ht="13.5" thickBot="1" x14ac:dyDescent="0.25"/>
    <row r="17" spans="1:8" ht="42.6" customHeight="1" x14ac:dyDescent="0.2">
      <c r="A17" s="40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10"/>
      <c r="B18" s="75">
        <v>0</v>
      </c>
      <c r="C18" s="76">
        <v>4000000</v>
      </c>
      <c r="D18" s="26">
        <v>20</v>
      </c>
    </row>
    <row r="20" spans="1:8" x14ac:dyDescent="0.2">
      <c r="A20" s="390" t="s">
        <v>37</v>
      </c>
      <c r="B20" s="390"/>
      <c r="C20" s="390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365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topLeftCell="A16" workbookViewId="0">
      <selection activeCell="I17" sqref="I17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9" t="s">
        <v>106</v>
      </c>
      <c r="C4" s="419"/>
      <c r="D4" s="419"/>
      <c r="E4" s="419"/>
      <c r="F4" s="420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7" t="s">
        <v>8</v>
      </c>
      <c r="B7" s="422" t="s">
        <v>9</v>
      </c>
      <c r="C7" s="423"/>
      <c r="D7" s="424" t="s">
        <v>12</v>
      </c>
      <c r="E7" s="425"/>
      <c r="F7" s="426"/>
      <c r="G7" s="422" t="s">
        <v>124</v>
      </c>
      <c r="H7" s="422"/>
      <c r="I7" s="427"/>
      <c r="J7" s="98" t="s">
        <v>125</v>
      </c>
    </row>
    <row r="8" spans="1:18" ht="28.35" customHeight="1" x14ac:dyDescent="0.2">
      <c r="A8" s="42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18"/>
      <c r="B9" s="95">
        <f>VAC_Optim_Scenario!G18</f>
        <v>7352610.1039999984</v>
      </c>
      <c r="C9" s="95">
        <f>VAC_Optim_Scenario!H18</f>
        <v>13654847.335999999</v>
      </c>
      <c r="D9" s="68">
        <f>VAC_Optim_Scenario!I18</f>
        <v>13654847.335999999</v>
      </c>
      <c r="E9" s="84">
        <f>((($R$12/(1+EXP($P$12+$Q$12*D9)))-1) - ($F$12-$C$12))*$I$12</f>
        <v>351876.44985588826</v>
      </c>
      <c r="F9" s="89">
        <f>E9*$G$12</f>
        <v>351876.44985588826</v>
      </c>
      <c r="G9" s="95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167</v>
      </c>
    </row>
    <row r="10" spans="1:18" ht="13.5" thickBot="1" x14ac:dyDescent="0.25"/>
    <row r="11" spans="1:18" ht="51.6" customHeight="1" x14ac:dyDescent="0.2">
      <c r="A11" s="417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0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18"/>
      <c r="B12" s="319">
        <f>'[2]HCP MCM SCurve'!$B$12</f>
        <v>10503728.719999999</v>
      </c>
      <c r="C12" s="319">
        <f>'[2]HCP MCM SCurve'!$C$12</f>
        <v>288339.09761974245</v>
      </c>
      <c r="D12" s="319">
        <f>'[2]HCP MCM SCurve'!$D$12</f>
        <v>0</v>
      </c>
      <c r="E12" s="319">
        <f>'[2]HCP MCM SCurve'!$E$12</f>
        <v>720847.7440493562</v>
      </c>
      <c r="F12" s="319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320">
        <f>VAC_Optim_Scenario!D18</f>
        <v>1</v>
      </c>
      <c r="K12" s="410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11" t="s">
        <v>174</v>
      </c>
      <c r="B13" s="412"/>
      <c r="C13" s="412"/>
      <c r="D13" s="412"/>
      <c r="E13" s="412"/>
      <c r="F13" s="413"/>
      <c r="G13" s="119" t="s">
        <v>150</v>
      </c>
      <c r="H13" s="119" t="s">
        <v>151</v>
      </c>
      <c r="K13" s="411" t="s">
        <v>115</v>
      </c>
      <c r="L13" s="412"/>
      <c r="M13" s="412"/>
      <c r="N13" s="412"/>
      <c r="O13" s="412"/>
      <c r="P13" s="412"/>
      <c r="Q13" s="412"/>
      <c r="R13" s="413"/>
    </row>
    <row r="14" spans="1:18" ht="33.6" customHeight="1" thickBot="1" x14ac:dyDescent="0.25">
      <c r="A14" s="414"/>
      <c r="B14" s="415"/>
      <c r="C14" s="415"/>
      <c r="D14" s="415"/>
      <c r="E14" s="415"/>
      <c r="F14" s="416"/>
      <c r="G14" s="95">
        <f>VAC_Optim_Scenario!$I$33</f>
        <v>225.94</v>
      </c>
      <c r="H14" s="95">
        <f>VAC_Optim_Scenario!$F$33</f>
        <v>225.94</v>
      </c>
      <c r="K14" s="414"/>
      <c r="L14" s="415"/>
      <c r="M14" s="415"/>
      <c r="N14" s="415"/>
      <c r="O14" s="415"/>
      <c r="P14" s="415"/>
      <c r="Q14" s="415"/>
      <c r="R14" s="416"/>
    </row>
    <row r="16" spans="1:18" ht="13.5" thickBot="1" x14ac:dyDescent="0.25"/>
    <row r="17" spans="1:8" ht="42.6" customHeight="1" x14ac:dyDescent="0.2">
      <c r="A17" s="40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10"/>
      <c r="B18" s="75">
        <v>0</v>
      </c>
      <c r="C18" s="76">
        <v>12500000</v>
      </c>
      <c r="D18" s="26">
        <v>20</v>
      </c>
    </row>
    <row r="20" spans="1:8" x14ac:dyDescent="0.2">
      <c r="A20" s="390" t="s">
        <v>37</v>
      </c>
      <c r="B20" s="390"/>
      <c r="C20" s="390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topLeftCell="A16" workbookViewId="0">
      <selection activeCell="D7" sqref="D7:F7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254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28"/>
      <c r="C4" s="429"/>
      <c r="D4" s="429"/>
      <c r="E4" s="429"/>
      <c r="F4" s="4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7" t="s">
        <v>8</v>
      </c>
      <c r="B7" s="422" t="s">
        <v>9</v>
      </c>
      <c r="C7" s="422"/>
      <c r="D7" s="422" t="s">
        <v>12</v>
      </c>
      <c r="E7" s="422"/>
      <c r="F7" s="422"/>
      <c r="G7" s="422" t="s">
        <v>124</v>
      </c>
      <c r="H7" s="422"/>
      <c r="I7" s="427"/>
    </row>
    <row r="8" spans="1:9" x14ac:dyDescent="0.25">
      <c r="A8" s="421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8"/>
      <c r="B9" s="337">
        <f>VAC_Optim_Scenario!G19</f>
        <v>1225700</v>
      </c>
      <c r="C9" s="337">
        <f>VAC_Optim_Scenario!H19</f>
        <v>2276300</v>
      </c>
      <c r="D9" s="338">
        <f>VAC_Optim_Scenario!I19</f>
        <v>2276300</v>
      </c>
      <c r="E9" s="84">
        <f>((GSOCIAL!D9/$B$12)^$D$12)*$C$12*$F$12</f>
        <v>27881.435275465017</v>
      </c>
      <c r="F9" s="84">
        <f>E9*F11</f>
        <v>27881.435275465017</v>
      </c>
      <c r="G9" s="76">
        <f>VAC_Optim_Scenario!E19</f>
        <v>1751000</v>
      </c>
      <c r="H9" s="339">
        <f>((GSOCIAL!G9/$B$12)^$D$12)*$C$12*$F$12</f>
        <v>23820.403572058858</v>
      </c>
      <c r="I9" s="340">
        <f>H9*F11</f>
        <v>23820.403572058858</v>
      </c>
    </row>
    <row r="10" spans="1:9" ht="15.75" thickBot="1" x14ac:dyDescent="0.3"/>
    <row r="11" spans="1:9" ht="48.95" customHeight="1" x14ac:dyDescent="0.25">
      <c r="A11" s="39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390"/>
      <c r="B12" s="342">
        <f>'[3]HCC Social - Power'!$B$12</f>
        <v>1751000</v>
      </c>
      <c r="C12" s="342">
        <f>'[3]HCC Social - Power'!$C$12</f>
        <v>23820.403572058858</v>
      </c>
      <c r="D12" s="347">
        <f>'[3]HCC Social - Power'!$D$12</f>
        <v>0.6</v>
      </c>
      <c r="E12" s="334" t="s">
        <v>122</v>
      </c>
      <c r="F12" s="343">
        <f>VAC_Optim_Scenario!D19</f>
        <v>1</v>
      </c>
      <c r="G12" s="344">
        <f>B12*2</f>
        <v>3502000</v>
      </c>
    </row>
    <row r="13" spans="1:9" ht="18.75" customHeight="1" x14ac:dyDescent="0.25">
      <c r="A13" s="411" t="s">
        <v>250</v>
      </c>
      <c r="B13" s="412"/>
      <c r="C13" s="412"/>
      <c r="D13" s="412"/>
      <c r="E13" s="334" t="s">
        <v>251</v>
      </c>
      <c r="F13" s="334" t="s">
        <v>252</v>
      </c>
    </row>
    <row r="14" spans="1:9" ht="15.75" thickBot="1" x14ac:dyDescent="0.3">
      <c r="A14" s="414"/>
      <c r="B14" s="415"/>
      <c r="C14" s="415"/>
      <c r="D14" s="41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09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1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390" t="s">
        <v>37</v>
      </c>
      <c r="B19" s="390"/>
      <c r="C19" s="39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7408.6901640745618</v>
      </c>
      <c r="C22" s="346">
        <f t="shared" ref="C22:C41" si="1">B22*$F$14</f>
        <v>1673919.4556710066</v>
      </c>
    </row>
    <row r="23" spans="1:4" x14ac:dyDescent="0.25">
      <c r="A23" s="345">
        <f t="shared" ref="A23:A41" si="2">A22+(($C$17-$B$17)/$D$17)</f>
        <v>500000</v>
      </c>
      <c r="B23" s="339">
        <f t="shared" si="0"/>
        <v>11229.474417830452</v>
      </c>
      <c r="C23" s="346">
        <f t="shared" si="1"/>
        <v>2537187.4499646123</v>
      </c>
    </row>
    <row r="24" spans="1:4" x14ac:dyDescent="0.25">
      <c r="A24" s="345">
        <f t="shared" si="2"/>
        <v>750000</v>
      </c>
      <c r="B24" s="339">
        <f t="shared" si="0"/>
        <v>14322.346801651498</v>
      </c>
      <c r="C24" s="346">
        <f t="shared" si="1"/>
        <v>3235991.0363651393</v>
      </c>
    </row>
    <row r="25" spans="1:4" x14ac:dyDescent="0.25">
      <c r="A25" s="345">
        <f t="shared" si="2"/>
        <v>1000000</v>
      </c>
      <c r="B25" s="339">
        <f t="shared" si="0"/>
        <v>17020.700408310324</v>
      </c>
      <c r="C25" s="346">
        <f t="shared" si="1"/>
        <v>3845657.0502536343</v>
      </c>
    </row>
    <row r="26" spans="1:4" x14ac:dyDescent="0.25">
      <c r="A26" s="345">
        <f t="shared" si="2"/>
        <v>1250000</v>
      </c>
      <c r="B26" s="339">
        <f t="shared" si="0"/>
        <v>19459.130710154546</v>
      </c>
      <c r="C26" s="346">
        <f t="shared" si="1"/>
        <v>4396595.9926523184</v>
      </c>
    </row>
    <row r="27" spans="1:4" x14ac:dyDescent="0.25">
      <c r="A27" s="345">
        <f t="shared" si="2"/>
        <v>1500000</v>
      </c>
      <c r="B27" s="339">
        <f t="shared" si="0"/>
        <v>21708.618318570392</v>
      </c>
      <c r="C27" s="346">
        <f t="shared" si="1"/>
        <v>4904845.2228977941</v>
      </c>
    </row>
    <row r="28" spans="1:4" x14ac:dyDescent="0.25">
      <c r="A28" s="345">
        <f t="shared" si="2"/>
        <v>1750000</v>
      </c>
      <c r="B28" s="339">
        <f t="shared" si="0"/>
        <v>23812.240308184086</v>
      </c>
      <c r="C28" s="346">
        <f t="shared" si="1"/>
        <v>5380137.5752311125</v>
      </c>
    </row>
    <row r="29" spans="1:4" x14ac:dyDescent="0.25">
      <c r="A29" s="345">
        <f t="shared" si="2"/>
        <v>2000000</v>
      </c>
      <c r="B29" s="339">
        <f t="shared" si="0"/>
        <v>25798.557582486257</v>
      </c>
      <c r="C29" s="346">
        <f t="shared" si="1"/>
        <v>5828926.1001869449</v>
      </c>
    </row>
    <row r="30" spans="1:4" x14ac:dyDescent="0.25">
      <c r="A30" s="345">
        <f t="shared" si="2"/>
        <v>2250000</v>
      </c>
      <c r="B30" s="339">
        <f t="shared" si="0"/>
        <v>27687.703678238533</v>
      </c>
      <c r="C30" s="346">
        <f t="shared" si="1"/>
        <v>6255759.7690612143</v>
      </c>
    </row>
    <row r="31" spans="1:4" x14ac:dyDescent="0.25">
      <c r="A31" s="345">
        <f t="shared" si="2"/>
        <v>2500000</v>
      </c>
      <c r="B31" s="339">
        <f t="shared" si="0"/>
        <v>29494.526787272491</v>
      </c>
      <c r="C31" s="346">
        <f t="shared" si="1"/>
        <v>6663993.3823163463</v>
      </c>
    </row>
    <row r="32" spans="1:4" x14ac:dyDescent="0.25">
      <c r="A32" s="345">
        <f t="shared" si="2"/>
        <v>2750000</v>
      </c>
      <c r="B32" s="339">
        <f t="shared" si="0"/>
        <v>31230.363834281474</v>
      </c>
      <c r="C32" s="346">
        <f t="shared" si="1"/>
        <v>7056188.4047175562</v>
      </c>
    </row>
    <row r="33" spans="1:3" x14ac:dyDescent="0.25">
      <c r="A33" s="345">
        <f t="shared" si="2"/>
        <v>3000000</v>
      </c>
      <c r="B33" s="339">
        <f t="shared" si="0"/>
        <v>32904.112421508238</v>
      </c>
      <c r="C33" s="346">
        <f t="shared" si="1"/>
        <v>7434355.160515571</v>
      </c>
    </row>
    <row r="34" spans="1:3" x14ac:dyDescent="0.25">
      <c r="A34" s="345">
        <f t="shared" si="2"/>
        <v>3250000</v>
      </c>
      <c r="B34" s="339">
        <f t="shared" si="0"/>
        <v>34522.913816809414</v>
      </c>
      <c r="C34" s="346">
        <f t="shared" si="1"/>
        <v>7800107.1477699187</v>
      </c>
    </row>
    <row r="35" spans="1:3" x14ac:dyDescent="0.25">
      <c r="A35" s="345">
        <f t="shared" si="2"/>
        <v>3500000</v>
      </c>
      <c r="B35" s="339">
        <f t="shared" si="0"/>
        <v>36092.607120841283</v>
      </c>
      <c r="C35" s="346">
        <f t="shared" si="1"/>
        <v>8154763.6528828796</v>
      </c>
    </row>
    <row r="36" spans="1:3" x14ac:dyDescent="0.25">
      <c r="A36" s="345">
        <f t="shared" si="2"/>
        <v>3750000</v>
      </c>
      <c r="B36" s="339">
        <f t="shared" si="0"/>
        <v>37618.042098851023</v>
      </c>
      <c r="C36" s="346">
        <f t="shared" si="1"/>
        <v>8499420.4318144005</v>
      </c>
    </row>
    <row r="37" spans="1:3" x14ac:dyDescent="0.25">
      <c r="A37" s="345">
        <f t="shared" si="2"/>
        <v>4000000</v>
      </c>
      <c r="B37" s="339">
        <f t="shared" si="0"/>
        <v>39103.301119846867</v>
      </c>
      <c r="C37" s="346">
        <f t="shared" si="1"/>
        <v>8834999.8550182004</v>
      </c>
    </row>
    <row r="38" spans="1:3" x14ac:dyDescent="0.25">
      <c r="A38" s="345">
        <f t="shared" si="2"/>
        <v>4250000</v>
      </c>
      <c r="B38" s="339">
        <f t="shared" si="0"/>
        <v>40551.860621591703</v>
      </c>
      <c r="C38" s="346">
        <f t="shared" si="1"/>
        <v>9162287.38884243</v>
      </c>
    </row>
    <row r="39" spans="1:3" x14ac:dyDescent="0.25">
      <c r="A39" s="345">
        <f t="shared" si="2"/>
        <v>4500000</v>
      </c>
      <c r="B39" s="339">
        <f t="shared" si="0"/>
        <v>41966.711153737037</v>
      </c>
      <c r="C39" s="346">
        <f t="shared" si="1"/>
        <v>9481958.7180753462</v>
      </c>
    </row>
    <row r="40" spans="1:3" x14ac:dyDescent="0.25">
      <c r="A40" s="345">
        <f t="shared" si="2"/>
        <v>4750000</v>
      </c>
      <c r="B40" s="339">
        <f t="shared" si="0"/>
        <v>43350.448326913778</v>
      </c>
      <c r="C40" s="346">
        <f t="shared" si="1"/>
        <v>9794600.294982899</v>
      </c>
    </row>
    <row r="41" spans="1:3" x14ac:dyDescent="0.25">
      <c r="A41" s="345">
        <f t="shared" si="2"/>
        <v>5000000</v>
      </c>
      <c r="B41" s="339">
        <f t="shared" si="0"/>
        <v>44705.342872853616</v>
      </c>
      <c r="C41" s="346">
        <f t="shared" si="1"/>
        <v>10100725.168692546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topLeftCell="A16" workbookViewId="0">
      <selection activeCell="F11" sqref="F11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233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277" t="s">
        <v>102</v>
      </c>
      <c r="I2" s="278"/>
      <c r="J2" s="278"/>
      <c r="K2" s="278"/>
      <c r="L2" s="279"/>
    </row>
    <row r="3" spans="1:18" ht="13.5" thickBot="1" x14ac:dyDescent="0.25">
      <c r="A3" s="11" t="s">
        <v>3</v>
      </c>
      <c r="B3" s="12" t="s">
        <v>227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9" t="s">
        <v>106</v>
      </c>
      <c r="C4" s="419"/>
      <c r="D4" s="419"/>
      <c r="E4" s="419"/>
      <c r="F4" s="420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7" t="s">
        <v>8</v>
      </c>
      <c r="B7" s="422" t="s">
        <v>9</v>
      </c>
      <c r="C7" s="423"/>
      <c r="D7" s="424" t="s">
        <v>12</v>
      </c>
      <c r="E7" s="425"/>
      <c r="F7" s="426"/>
      <c r="G7" s="422" t="s">
        <v>124</v>
      </c>
      <c r="H7" s="422"/>
      <c r="I7" s="427"/>
      <c r="J7" s="98" t="s">
        <v>125</v>
      </c>
    </row>
    <row r="8" spans="1:18" ht="28.35" customHeight="1" x14ac:dyDescent="0.2">
      <c r="A8" s="421"/>
      <c r="B8" s="276" t="s">
        <v>10</v>
      </c>
      <c r="C8" s="17" t="s">
        <v>11</v>
      </c>
      <c r="D8" s="19" t="s">
        <v>20</v>
      </c>
      <c r="E8" s="276" t="s">
        <v>21</v>
      </c>
      <c r="F8" s="81" t="s">
        <v>117</v>
      </c>
      <c r="G8" s="280" t="s">
        <v>22</v>
      </c>
      <c r="H8" s="276" t="s">
        <v>23</v>
      </c>
      <c r="I8" s="88" t="s">
        <v>123</v>
      </c>
    </row>
    <row r="9" spans="1:18" ht="14.45" customHeight="1" thickBot="1" x14ac:dyDescent="0.25">
      <c r="A9" s="418"/>
      <c r="B9" s="95">
        <f>VAC_Optim_Scenario!G20</f>
        <v>778245.32799999998</v>
      </c>
      <c r="C9" s="95">
        <f>VAC_Optim_Scenario!H20</f>
        <v>1445312.7520000001</v>
      </c>
      <c r="D9" s="68">
        <f>VAC_Optim_Scenario!I20</f>
        <v>1445312.7520000001</v>
      </c>
      <c r="E9" s="84">
        <f>((($R$12/(1+EXP($P$12+$Q$12*D9)))-1) - ($F$12-$C$12))*$I$12</f>
        <v>25719.483123207465</v>
      </c>
      <c r="F9" s="89">
        <f>E9*$G$12</f>
        <v>25719.483123207465</v>
      </c>
      <c r="G9" s="95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167</v>
      </c>
    </row>
    <row r="10" spans="1:18" ht="13.5" thickBot="1" x14ac:dyDescent="0.25"/>
    <row r="11" spans="1:18" ht="51.6" customHeight="1" x14ac:dyDescent="0.2">
      <c r="A11" s="417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09" t="s">
        <v>25</v>
      </c>
      <c r="L11" s="282" t="s">
        <v>110</v>
      </c>
      <c r="M11" s="282" t="s">
        <v>111</v>
      </c>
      <c r="N11" s="282" t="s">
        <v>112</v>
      </c>
      <c r="O11" s="282" t="s">
        <v>113</v>
      </c>
      <c r="P11" s="282" t="s">
        <v>26</v>
      </c>
      <c r="Q11" s="282" t="s">
        <v>27</v>
      </c>
      <c r="R11" s="283" t="s">
        <v>28</v>
      </c>
    </row>
    <row r="12" spans="1:18" ht="15" customHeight="1" thickBot="1" x14ac:dyDescent="0.25">
      <c r="A12" s="418"/>
      <c r="B12" s="319">
        <f>'[4]HCC Online Video Curve'!$B$12</f>
        <v>1111779.04</v>
      </c>
      <c r="C12" s="319">
        <f>'[4]HCC Online Video Curve'!$C$12</f>
        <v>21646.235649615326</v>
      </c>
      <c r="D12" s="319">
        <f>'[4]HCC Online Video Curve'!$D$12</f>
        <v>0</v>
      </c>
      <c r="E12" s="319">
        <f>'[4]HCC Online Video Curve'!$E$12</f>
        <v>43292.471299230652</v>
      </c>
      <c r="F12" s="319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320">
        <f>VAC_Optim_Scenario!D20</f>
        <v>1</v>
      </c>
      <c r="K12" s="410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11" t="s">
        <v>169</v>
      </c>
      <c r="B13" s="412"/>
      <c r="C13" s="412"/>
      <c r="D13" s="412"/>
      <c r="E13" s="412"/>
      <c r="F13" s="413"/>
      <c r="G13" s="276" t="s">
        <v>150</v>
      </c>
      <c r="H13" s="276" t="s">
        <v>151</v>
      </c>
      <c r="K13" s="411" t="s">
        <v>115</v>
      </c>
      <c r="L13" s="412"/>
      <c r="M13" s="412"/>
      <c r="N13" s="412"/>
      <c r="O13" s="412"/>
      <c r="P13" s="412"/>
      <c r="Q13" s="412"/>
      <c r="R13" s="413"/>
    </row>
    <row r="14" spans="1:18" ht="33.6" customHeight="1" thickBot="1" x14ac:dyDescent="0.25">
      <c r="A14" s="414"/>
      <c r="B14" s="415"/>
      <c r="C14" s="415"/>
      <c r="D14" s="415"/>
      <c r="E14" s="415"/>
      <c r="F14" s="416"/>
      <c r="G14" s="95">
        <f>VAC_Optim_Scenario!$I$33</f>
        <v>225.94</v>
      </c>
      <c r="H14" s="95">
        <f>VAC_Optim_Scenario!$F$33</f>
        <v>225.94</v>
      </c>
      <c r="K14" s="414"/>
      <c r="L14" s="415"/>
      <c r="M14" s="415"/>
      <c r="N14" s="415"/>
      <c r="O14" s="415"/>
      <c r="P14" s="415"/>
      <c r="Q14" s="415"/>
      <c r="R14" s="416"/>
    </row>
    <row r="16" spans="1:18" ht="13.5" thickBot="1" x14ac:dyDescent="0.25"/>
    <row r="17" spans="1:8" ht="42.6" customHeight="1" x14ac:dyDescent="0.2">
      <c r="A17" s="409" t="s">
        <v>34</v>
      </c>
      <c r="B17" s="282" t="s">
        <v>32</v>
      </c>
      <c r="C17" s="282" t="s">
        <v>31</v>
      </c>
      <c r="D17" s="283" t="s">
        <v>33</v>
      </c>
      <c r="F17" s="82"/>
      <c r="G17" s="82"/>
      <c r="H17" s="83"/>
    </row>
    <row r="18" spans="1:8" ht="23.45" customHeight="1" thickBot="1" x14ac:dyDescent="0.25">
      <c r="A18" s="410"/>
      <c r="B18" s="75">
        <v>0</v>
      </c>
      <c r="C18" s="76">
        <v>4000000</v>
      </c>
      <c r="D18" s="26">
        <v>20</v>
      </c>
    </row>
    <row r="20" spans="1:8" x14ac:dyDescent="0.2">
      <c r="A20" s="390" t="s">
        <v>37</v>
      </c>
      <c r="B20" s="390"/>
      <c r="C20" s="390"/>
    </row>
    <row r="21" spans="1:8" ht="25.5" x14ac:dyDescent="0.2">
      <c r="A21" s="276" t="s">
        <v>35</v>
      </c>
      <c r="B21" s="276" t="s">
        <v>170</v>
      </c>
      <c r="C21" s="276" t="s">
        <v>171</v>
      </c>
      <c r="D21" s="98" t="s">
        <v>172</v>
      </c>
      <c r="E21" s="27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topLeftCell="A19" workbookViewId="0">
      <selection activeCell="E42" sqref="E4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255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28"/>
      <c r="C4" s="429"/>
      <c r="D4" s="429"/>
      <c r="E4" s="429"/>
      <c r="F4" s="4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7" t="s">
        <v>8</v>
      </c>
      <c r="B7" s="422" t="s">
        <v>9</v>
      </c>
      <c r="C7" s="422"/>
      <c r="D7" s="422" t="s">
        <v>12</v>
      </c>
      <c r="E7" s="422"/>
      <c r="F7" s="422"/>
      <c r="G7" s="422" t="s">
        <v>124</v>
      </c>
      <c r="H7" s="422"/>
      <c r="I7" s="427"/>
    </row>
    <row r="8" spans="1:9" x14ac:dyDescent="0.25">
      <c r="A8" s="421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8"/>
      <c r="B9" s="337">
        <f>VAC_Optim_Scenario!G21</f>
        <v>9393003.1999999993</v>
      </c>
      <c r="C9" s="337">
        <f>VAC_Optim_Scenario!H21</f>
        <v>17444148.800000001</v>
      </c>
      <c r="D9" s="338">
        <f>VAC_Optim_Scenario!I21</f>
        <v>15506326.222568678</v>
      </c>
      <c r="E9" s="84">
        <f>((GSTRTV!D9/$B$12)^$D$12)*$C$12*$F$12</f>
        <v>111547.06345810396</v>
      </c>
      <c r="F9" s="84">
        <f>E9*F11</f>
        <v>111547.06345810396</v>
      </c>
      <c r="G9" s="76">
        <f>VAC_Optim_Scenario!E21</f>
        <v>13418576</v>
      </c>
      <c r="H9" s="339">
        <f>((GSTRTV!G9/$B$12)^$D$12)*$C$12*$F$12</f>
        <v>100808.3256282994</v>
      </c>
      <c r="I9" s="340">
        <f>H9*F11</f>
        <v>100808.3256282994</v>
      </c>
    </row>
    <row r="10" spans="1:9" ht="15.75" thickBot="1" x14ac:dyDescent="0.3"/>
    <row r="11" spans="1:9" ht="48.95" customHeight="1" x14ac:dyDescent="0.25">
      <c r="A11" s="39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390"/>
      <c r="B12" s="342">
        <f>'[5]Streaming Video - Power'!$B$12</f>
        <v>13418576</v>
      </c>
      <c r="C12" s="342">
        <f>'[5]Streaming Video - Power'!$C$12</f>
        <v>100808.3256282994</v>
      </c>
      <c r="D12" s="347">
        <f>'[5]Streaming Video - Power'!$D$12</f>
        <v>0.7</v>
      </c>
      <c r="E12" s="334" t="s">
        <v>122</v>
      </c>
      <c r="F12" s="343">
        <f>VAC_Optim_Scenario!D21</f>
        <v>1</v>
      </c>
      <c r="G12" s="344">
        <f>B12*2</f>
        <v>26837152</v>
      </c>
    </row>
    <row r="13" spans="1:9" ht="18.75" customHeight="1" x14ac:dyDescent="0.25">
      <c r="A13" s="411" t="s">
        <v>250</v>
      </c>
      <c r="B13" s="412"/>
      <c r="C13" s="412"/>
      <c r="D13" s="412"/>
      <c r="E13" s="334" t="s">
        <v>251</v>
      </c>
      <c r="F13" s="334" t="s">
        <v>252</v>
      </c>
    </row>
    <row r="14" spans="1:9" ht="15.75" thickBot="1" x14ac:dyDescent="0.3">
      <c r="A14" s="414"/>
      <c r="B14" s="415"/>
      <c r="C14" s="415"/>
      <c r="D14" s="41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09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10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390" t="s">
        <v>37</v>
      </c>
      <c r="B19" s="390"/>
      <c r="C19" s="39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750000</v>
      </c>
      <c r="B22" s="339">
        <f t="shared" ref="B22:B41" si="0">((A22/$B$12)^$D$12)*$C$12</f>
        <v>13385.813954759049</v>
      </c>
      <c r="C22" s="346">
        <f t="shared" ref="C22:C41" si="1">B22*$F$14</f>
        <v>3024390.8049382595</v>
      </c>
    </row>
    <row r="23" spans="1:4" x14ac:dyDescent="0.25">
      <c r="A23" s="345">
        <f t="shared" ref="A23:A45" si="2">A22+(($C$17-$B$17)/$D$17)</f>
        <v>1500000</v>
      </c>
      <c r="B23" s="339">
        <f t="shared" si="0"/>
        <v>21745.318923863546</v>
      </c>
      <c r="C23" s="346">
        <f t="shared" si="1"/>
        <v>4913137.3576577296</v>
      </c>
    </row>
    <row r="24" spans="1:4" x14ac:dyDescent="0.25">
      <c r="A24" s="345">
        <f t="shared" si="2"/>
        <v>2250000</v>
      </c>
      <c r="B24" s="339">
        <f t="shared" si="0"/>
        <v>28882.159557638814</v>
      </c>
      <c r="C24" s="346">
        <f t="shared" si="1"/>
        <v>6525635.1304529132</v>
      </c>
    </row>
    <row r="25" spans="1:4" x14ac:dyDescent="0.25">
      <c r="A25" s="345">
        <f t="shared" si="2"/>
        <v>3000000</v>
      </c>
      <c r="B25" s="339">
        <f t="shared" si="0"/>
        <v>35325.374810877525</v>
      </c>
      <c r="C25" s="346">
        <f t="shared" si="1"/>
        <v>7981415.1847696677</v>
      </c>
    </row>
    <row r="26" spans="1:4" x14ac:dyDescent="0.25">
      <c r="A26" s="345">
        <f t="shared" si="2"/>
        <v>3750000</v>
      </c>
      <c r="B26" s="339">
        <f t="shared" si="0"/>
        <v>41297.502450781918</v>
      </c>
      <c r="C26" s="346">
        <f t="shared" si="1"/>
        <v>9330757.7037296668</v>
      </c>
    </row>
    <row r="27" spans="1:4" x14ac:dyDescent="0.25">
      <c r="A27" s="345">
        <f t="shared" si="2"/>
        <v>4500000</v>
      </c>
      <c r="B27" s="339">
        <f t="shared" si="0"/>
        <v>46919.206625270555</v>
      </c>
      <c r="C27" s="346">
        <f t="shared" si="1"/>
        <v>10600925.544913629</v>
      </c>
    </row>
    <row r="28" spans="1:4" x14ac:dyDescent="0.25">
      <c r="A28" s="345">
        <f t="shared" si="2"/>
        <v>5250000</v>
      </c>
      <c r="B28" s="339">
        <f t="shared" si="0"/>
        <v>52265.295791567616</v>
      </c>
      <c r="C28" s="346">
        <f t="shared" si="1"/>
        <v>11808820.931146787</v>
      </c>
    </row>
    <row r="29" spans="1:4" x14ac:dyDescent="0.25">
      <c r="A29" s="345">
        <f t="shared" si="2"/>
        <v>6000000</v>
      </c>
      <c r="B29" s="339">
        <f t="shared" si="0"/>
        <v>57386.24068463494</v>
      </c>
      <c r="C29" s="346">
        <f t="shared" si="1"/>
        <v>12965847.220286418</v>
      </c>
    </row>
    <row r="30" spans="1:4" x14ac:dyDescent="0.25">
      <c r="A30" s="345">
        <f t="shared" si="2"/>
        <v>6750000</v>
      </c>
      <c r="B30" s="339">
        <f t="shared" si="0"/>
        <v>62318.148416841854</v>
      </c>
      <c r="C30" s="346">
        <f t="shared" si="1"/>
        <v>14080162.453301249</v>
      </c>
    </row>
    <row r="31" spans="1:4" x14ac:dyDescent="0.25">
      <c r="A31" s="345">
        <f t="shared" si="2"/>
        <v>7500000</v>
      </c>
      <c r="B31" s="339">
        <f t="shared" si="0"/>
        <v>67087.990658350245</v>
      </c>
      <c r="C31" s="346">
        <f t="shared" si="1"/>
        <v>15157860.609347655</v>
      </c>
    </row>
    <row r="32" spans="1:4" x14ac:dyDescent="0.25">
      <c r="A32" s="345">
        <f t="shared" si="2"/>
        <v>8250000</v>
      </c>
      <c r="B32" s="339">
        <f t="shared" si="0"/>
        <v>71716.595411188333</v>
      </c>
      <c r="C32" s="346">
        <f t="shared" si="1"/>
        <v>16203647.567203892</v>
      </c>
    </row>
    <row r="33" spans="1:3" x14ac:dyDescent="0.25">
      <c r="A33" s="345">
        <f t="shared" si="2"/>
        <v>9000000</v>
      </c>
      <c r="B33" s="339">
        <f t="shared" si="0"/>
        <v>76220.476033018742</v>
      </c>
      <c r="C33" s="346">
        <f t="shared" si="1"/>
        <v>17221254.354900256</v>
      </c>
    </row>
    <row r="34" spans="1:3" x14ac:dyDescent="0.25">
      <c r="A34" s="345">
        <f t="shared" si="2"/>
        <v>9750000</v>
      </c>
      <c r="B34" s="339">
        <f t="shared" si="0"/>
        <v>80613.00882564421</v>
      </c>
      <c r="C34" s="346">
        <f t="shared" si="1"/>
        <v>18213703.214066051</v>
      </c>
    </row>
    <row r="35" spans="1:3" x14ac:dyDescent="0.25">
      <c r="A35" s="345">
        <f t="shared" si="2"/>
        <v>10500000</v>
      </c>
      <c r="B35" s="339">
        <f t="shared" si="0"/>
        <v>84905.223505936534</v>
      </c>
      <c r="C35" s="346">
        <f t="shared" si="1"/>
        <v>19183486.198931299</v>
      </c>
    </row>
    <row r="36" spans="1:3" x14ac:dyDescent="0.25">
      <c r="A36" s="345">
        <f t="shared" si="2"/>
        <v>11250000</v>
      </c>
      <c r="B36" s="339">
        <f t="shared" si="0"/>
        <v>89106.352377727613</v>
      </c>
      <c r="C36" s="346">
        <f t="shared" si="1"/>
        <v>20132689.256223775</v>
      </c>
    </row>
    <row r="37" spans="1:3" x14ac:dyDescent="0.25">
      <c r="A37" s="345">
        <f t="shared" si="2"/>
        <v>12000000</v>
      </c>
      <c r="B37" s="339">
        <f t="shared" si="0"/>
        <v>93224.223027940854</v>
      </c>
      <c r="C37" s="346">
        <f t="shared" si="1"/>
        <v>21063080.950932957</v>
      </c>
    </row>
    <row r="38" spans="1:3" x14ac:dyDescent="0.25">
      <c r="A38" s="345">
        <f t="shared" si="2"/>
        <v>12750000</v>
      </c>
      <c r="B38" s="339">
        <f t="shared" si="0"/>
        <v>97265.546113132033</v>
      </c>
      <c r="C38" s="346">
        <f t="shared" si="1"/>
        <v>21976177.488801051</v>
      </c>
    </row>
    <row r="39" spans="1:3" x14ac:dyDescent="0.25">
      <c r="A39" s="345">
        <f t="shared" si="2"/>
        <v>13500000</v>
      </c>
      <c r="B39" s="339">
        <f t="shared" si="0"/>
        <v>101236.13077612668</v>
      </c>
      <c r="C39" s="346">
        <f t="shared" si="1"/>
        <v>22873291.387558062</v>
      </c>
    </row>
    <row r="40" spans="1:3" x14ac:dyDescent="0.25">
      <c r="A40" s="345">
        <f t="shared" si="2"/>
        <v>14250000</v>
      </c>
      <c r="B40" s="339">
        <f t="shared" si="0"/>
        <v>105141.04889375818</v>
      </c>
      <c r="C40" s="346">
        <f t="shared" si="1"/>
        <v>23755568.587055724</v>
      </c>
    </row>
    <row r="41" spans="1:3" x14ac:dyDescent="0.25">
      <c r="A41" s="345">
        <f t="shared" si="2"/>
        <v>15000000</v>
      </c>
      <c r="B41" s="339">
        <f t="shared" si="0"/>
        <v>108984.76235793946</v>
      </c>
      <c r="C41" s="346">
        <f t="shared" si="1"/>
        <v>24624017.20715284</v>
      </c>
    </row>
    <row r="42" spans="1:3" x14ac:dyDescent="0.25">
      <c r="A42" s="345">
        <f t="shared" si="2"/>
        <v>15750000</v>
      </c>
      <c r="B42" s="339">
        <f t="shared" ref="B42:B45" si="3">((A42/$B$12)^$D$12)*$C$12</f>
        <v>112771.22313825082</v>
      </c>
      <c r="C42" s="346">
        <f t="shared" ref="C42:C45" si="4">B42*$F$14</f>
        <v>25479530.15585639</v>
      </c>
    </row>
    <row r="43" spans="1:3" x14ac:dyDescent="0.25">
      <c r="A43" s="345">
        <f t="shared" si="2"/>
        <v>16500000</v>
      </c>
      <c r="B43" s="339">
        <f t="shared" si="3"/>
        <v>116503.95296249664</v>
      </c>
      <c r="C43" s="346">
        <f t="shared" si="4"/>
        <v>26322903.132346489</v>
      </c>
    </row>
    <row r="44" spans="1:3" x14ac:dyDescent="0.25">
      <c r="A44" s="345">
        <f t="shared" si="2"/>
        <v>17250000</v>
      </c>
      <c r="B44" s="339">
        <f t="shared" si="3"/>
        <v>120186.10750238127</v>
      </c>
      <c r="C44" s="346">
        <f t="shared" si="4"/>
        <v>27154849.129088026</v>
      </c>
    </row>
    <row r="45" spans="1:3" x14ac:dyDescent="0.25">
      <c r="A45" s="345">
        <f t="shared" si="2"/>
        <v>18000000</v>
      </c>
      <c r="B45" s="339">
        <f t="shared" si="3"/>
        <v>123820.52861846496</v>
      </c>
      <c r="C45" s="346">
        <f t="shared" si="4"/>
        <v>27976010.236055974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topLeftCell="A21" workbookViewId="0">
      <selection activeCell="G12" sqref="G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256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258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28"/>
      <c r="C4" s="429"/>
      <c r="D4" s="429"/>
      <c r="E4" s="429"/>
      <c r="F4" s="4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7" t="s">
        <v>8</v>
      </c>
      <c r="B7" s="422" t="s">
        <v>9</v>
      </c>
      <c r="C7" s="422"/>
      <c r="D7" s="422" t="s">
        <v>12</v>
      </c>
      <c r="E7" s="422"/>
      <c r="F7" s="422"/>
      <c r="G7" s="422" t="s">
        <v>124</v>
      </c>
      <c r="H7" s="422"/>
      <c r="I7" s="427"/>
    </row>
    <row r="8" spans="1:9" x14ac:dyDescent="0.25">
      <c r="A8" s="421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8"/>
      <c r="B9" s="337">
        <f>VAC_Optim_Scenario!G22</f>
        <v>2001598.7739999997</v>
      </c>
      <c r="C9" s="337">
        <f>VAC_Optim_Scenario!H22</f>
        <v>3717254.8659999999</v>
      </c>
      <c r="D9" s="338">
        <f>VAC_Optim_Scenario!I22</f>
        <v>3717254.8659999999</v>
      </c>
      <c r="E9" s="84">
        <f>((GDISP!D9/$B$12)^$D$12)*$C$12*$F$12</f>
        <v>89032.988619922922</v>
      </c>
      <c r="F9" s="84">
        <f>E9*F11</f>
        <v>89032.988619922922</v>
      </c>
      <c r="G9" s="76">
        <f>VAC_Optim_Scenario!E22</f>
        <v>2859426.82</v>
      </c>
      <c r="H9" s="339">
        <f>((GDISP!G9/$B$12)^$D$12)*$C$12*$F$12</f>
        <v>76065.012406995462</v>
      </c>
      <c r="I9" s="340">
        <f>H9*F11</f>
        <v>76065.012406995462</v>
      </c>
    </row>
    <row r="10" spans="1:9" ht="15.75" thickBot="1" x14ac:dyDescent="0.3"/>
    <row r="11" spans="1:9" ht="48.95" customHeight="1" x14ac:dyDescent="0.25">
      <c r="A11" s="39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390"/>
      <c r="B12" s="342">
        <f>'[6]HCC Display - Power'!$B$12</f>
        <v>2859426.82</v>
      </c>
      <c r="C12" s="342">
        <f>'[6]HCC Display - Power'!$C$12</f>
        <v>76065.012406995462</v>
      </c>
      <c r="D12" s="347">
        <f>'[6]HCC Display - Power'!$D$12</f>
        <v>0.6</v>
      </c>
      <c r="E12" s="334" t="s">
        <v>122</v>
      </c>
      <c r="F12" s="343">
        <f>VAC_Optim_Scenario!D22</f>
        <v>1</v>
      </c>
      <c r="G12" s="344">
        <f>B12*2</f>
        <v>5718853.6399999997</v>
      </c>
    </row>
    <row r="13" spans="1:9" ht="18.75" customHeight="1" x14ac:dyDescent="0.25">
      <c r="A13" s="411" t="s">
        <v>250</v>
      </c>
      <c r="B13" s="412"/>
      <c r="C13" s="412"/>
      <c r="D13" s="412"/>
      <c r="E13" s="334" t="s">
        <v>251</v>
      </c>
      <c r="F13" s="334" t="s">
        <v>252</v>
      </c>
    </row>
    <row r="14" spans="1:9" ht="15.75" thickBot="1" x14ac:dyDescent="0.3">
      <c r="A14" s="414"/>
      <c r="B14" s="415"/>
      <c r="C14" s="415"/>
      <c r="D14" s="41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09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1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390" t="s">
        <v>37</v>
      </c>
      <c r="B19" s="390"/>
      <c r="C19" s="39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17627.127824775001</v>
      </c>
      <c r="C22" s="346">
        <f t="shared" ref="C22:C41" si="1">B22*$F$14</f>
        <v>3982673.260729664</v>
      </c>
    </row>
    <row r="23" spans="1:4" x14ac:dyDescent="0.25">
      <c r="A23" s="345">
        <f t="shared" ref="A23:A41" si="2">A22+(($C$17-$B$17)/$D$17)</f>
        <v>500000</v>
      </c>
      <c r="B23" s="339">
        <f t="shared" si="0"/>
        <v>26717.729664007864</v>
      </c>
      <c r="C23" s="346">
        <f t="shared" si="1"/>
        <v>6036603.8402859364</v>
      </c>
    </row>
    <row r="24" spans="1:4" x14ac:dyDescent="0.25">
      <c r="A24" s="345">
        <f t="shared" si="2"/>
        <v>750000</v>
      </c>
      <c r="B24" s="339">
        <f t="shared" si="0"/>
        <v>34076.447014572113</v>
      </c>
      <c r="C24" s="346">
        <f t="shared" si="1"/>
        <v>7699232.4384724228</v>
      </c>
    </row>
    <row r="25" spans="1:4" x14ac:dyDescent="0.25">
      <c r="A25" s="345">
        <f t="shared" si="2"/>
        <v>1000000</v>
      </c>
      <c r="B25" s="339">
        <f t="shared" si="0"/>
        <v>40496.50547128301</v>
      </c>
      <c r="C25" s="346">
        <f t="shared" si="1"/>
        <v>9149780.4461816829</v>
      </c>
    </row>
    <row r="26" spans="1:4" x14ac:dyDescent="0.25">
      <c r="A26" s="345">
        <f t="shared" si="2"/>
        <v>1250000</v>
      </c>
      <c r="B26" s="339">
        <f t="shared" si="0"/>
        <v>46298.141343550837</v>
      </c>
      <c r="C26" s="346">
        <f t="shared" si="1"/>
        <v>10460602.055161877</v>
      </c>
    </row>
    <row r="27" spans="1:4" x14ac:dyDescent="0.25">
      <c r="A27" s="345">
        <f t="shared" si="2"/>
        <v>1500000</v>
      </c>
      <c r="B27" s="339">
        <f t="shared" si="0"/>
        <v>51650.235267800737</v>
      </c>
      <c r="C27" s="346">
        <f t="shared" si="1"/>
        <v>11669854.156406898</v>
      </c>
    </row>
    <row r="28" spans="1:4" x14ac:dyDescent="0.25">
      <c r="A28" s="345">
        <f t="shared" si="2"/>
        <v>1750000</v>
      </c>
      <c r="B28" s="339">
        <f t="shared" si="0"/>
        <v>56655.278384023426</v>
      </c>
      <c r="C28" s="346">
        <f t="shared" si="1"/>
        <v>12800693.598086253</v>
      </c>
    </row>
    <row r="29" spans="1:4" x14ac:dyDescent="0.25">
      <c r="A29" s="345">
        <f t="shared" si="2"/>
        <v>2000000</v>
      </c>
      <c r="B29" s="339">
        <f t="shared" si="0"/>
        <v>61381.22422860263</v>
      </c>
      <c r="C29" s="346">
        <f t="shared" si="1"/>
        <v>13868473.802210478</v>
      </c>
    </row>
    <row r="30" spans="1:4" x14ac:dyDescent="0.25">
      <c r="A30" s="345">
        <f t="shared" si="2"/>
        <v>2250000</v>
      </c>
      <c r="B30" s="339">
        <f t="shared" si="0"/>
        <v>65875.975523639368</v>
      </c>
      <c r="C30" s="346">
        <f t="shared" si="1"/>
        <v>14884017.90981108</v>
      </c>
    </row>
    <row r="31" spans="1:4" x14ac:dyDescent="0.25">
      <c r="A31" s="345">
        <f t="shared" si="2"/>
        <v>2500000</v>
      </c>
      <c r="B31" s="339">
        <f t="shared" si="0"/>
        <v>70174.859833059978</v>
      </c>
      <c r="C31" s="346">
        <f t="shared" si="1"/>
        <v>15855307.830681572</v>
      </c>
    </row>
    <row r="32" spans="1:4" x14ac:dyDescent="0.25">
      <c r="A32" s="345">
        <f t="shared" si="2"/>
        <v>2750000</v>
      </c>
      <c r="B32" s="339">
        <f t="shared" si="0"/>
        <v>74304.850537621896</v>
      </c>
      <c r="C32" s="346">
        <f t="shared" si="1"/>
        <v>16788437.930470292</v>
      </c>
    </row>
    <row r="33" spans="1:3" x14ac:dyDescent="0.25">
      <c r="A33" s="345">
        <f t="shared" si="2"/>
        <v>3000000</v>
      </c>
      <c r="B33" s="339">
        <f t="shared" si="0"/>
        <v>78287.117259565202</v>
      </c>
      <c r="C33" s="346">
        <f t="shared" si="1"/>
        <v>17688191.27362616</v>
      </c>
    </row>
    <row r="34" spans="1:3" x14ac:dyDescent="0.25">
      <c r="A34" s="345">
        <f t="shared" si="2"/>
        <v>3250000</v>
      </c>
      <c r="B34" s="339">
        <f t="shared" si="0"/>
        <v>82138.650862126422</v>
      </c>
      <c r="C34" s="346">
        <f t="shared" si="1"/>
        <v>18558406.775788844</v>
      </c>
    </row>
    <row r="35" spans="1:3" x14ac:dyDescent="0.25">
      <c r="A35" s="345">
        <f t="shared" si="2"/>
        <v>3500000</v>
      </c>
      <c r="B35" s="339">
        <f t="shared" si="0"/>
        <v>85873.344026922772</v>
      </c>
      <c r="C35" s="346">
        <f t="shared" si="1"/>
        <v>19402223.349442933</v>
      </c>
    </row>
    <row r="36" spans="1:3" x14ac:dyDescent="0.25">
      <c r="A36" s="345">
        <f t="shared" si="2"/>
        <v>3750000</v>
      </c>
      <c r="B36" s="339">
        <f t="shared" si="0"/>
        <v>89502.735559065375</v>
      </c>
      <c r="C36" s="346">
        <f t="shared" si="1"/>
        <v>20222248.072215229</v>
      </c>
    </row>
    <row r="37" spans="1:3" x14ac:dyDescent="0.25">
      <c r="A37" s="345">
        <f t="shared" si="2"/>
        <v>4000000</v>
      </c>
      <c r="B37" s="339">
        <f t="shared" si="0"/>
        <v>93036.538435982438</v>
      </c>
      <c r="C37" s="346">
        <f t="shared" si="1"/>
        <v>21020675.494225871</v>
      </c>
    </row>
    <row r="38" spans="1:3" x14ac:dyDescent="0.25">
      <c r="A38" s="345">
        <f t="shared" si="2"/>
        <v>4250000</v>
      </c>
      <c r="B38" s="339">
        <f t="shared" si="0"/>
        <v>96483.023973043382</v>
      </c>
      <c r="C38" s="346">
        <f t="shared" si="1"/>
        <v>21799374.436469421</v>
      </c>
    </row>
    <row r="39" spans="1:3" x14ac:dyDescent="0.25">
      <c r="A39" s="345">
        <f t="shared" si="2"/>
        <v>4500000</v>
      </c>
      <c r="B39" s="339">
        <f t="shared" si="0"/>
        <v>99849.307436213683</v>
      </c>
      <c r="C39" s="346">
        <f t="shared" si="1"/>
        <v>22559952.522138119</v>
      </c>
    </row>
    <row r="40" spans="1:3" x14ac:dyDescent="0.25">
      <c r="A40" s="345">
        <f t="shared" si="2"/>
        <v>4750000</v>
      </c>
      <c r="B40" s="339">
        <f t="shared" si="0"/>
        <v>103141.56443270072</v>
      </c>
      <c r="C40" s="346">
        <f t="shared" si="1"/>
        <v>23303805.067924399</v>
      </c>
    </row>
    <row r="41" spans="1:3" x14ac:dyDescent="0.25">
      <c r="A41" s="345">
        <f t="shared" si="2"/>
        <v>5000000</v>
      </c>
      <c r="B41" s="339">
        <f t="shared" si="0"/>
        <v>106365.19760151411</v>
      </c>
      <c r="C41" s="346">
        <f t="shared" si="1"/>
        <v>24032152.746086098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topLeftCell="A15" workbookViewId="0">
      <selection activeCell="J11" sqref="J1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259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28"/>
      <c r="C4" s="429"/>
      <c r="D4" s="429"/>
      <c r="E4" s="429"/>
      <c r="F4" s="4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7" t="s">
        <v>8</v>
      </c>
      <c r="B7" s="422" t="s">
        <v>9</v>
      </c>
      <c r="C7" s="422"/>
      <c r="D7" s="422" t="s">
        <v>12</v>
      </c>
      <c r="E7" s="422"/>
      <c r="F7" s="422"/>
      <c r="G7" s="422" t="s">
        <v>124</v>
      </c>
      <c r="H7" s="422"/>
      <c r="I7" s="427"/>
    </row>
    <row r="8" spans="1:9" x14ac:dyDescent="0.25">
      <c r="A8" s="421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8"/>
      <c r="B9" s="337">
        <f>VAC_Optim_Scenario!G23</f>
        <v>35000</v>
      </c>
      <c r="C9" s="337">
        <f>VAC_Optim_Scenario!H23</f>
        <v>65000</v>
      </c>
      <c r="D9" s="338">
        <f>VAC_Optim_Scenario!I23</f>
        <v>64999.99999999853</v>
      </c>
      <c r="E9" s="84">
        <f>((GPDSRCH!D9/$B$12)^$D$12)*$C$12*$F$12</f>
        <v>36212.405995131099</v>
      </c>
      <c r="F9" s="84">
        <f>E9*F11</f>
        <v>36212.405995131099</v>
      </c>
      <c r="G9" s="76">
        <f>VAC_Optim_Scenario!E23</f>
        <v>50000</v>
      </c>
      <c r="H9" s="339">
        <f>((GPDSRCH!G9/$B$12)^$D$12)*$C$12*$F$12</f>
        <v>30136.792938374307</v>
      </c>
      <c r="I9" s="340">
        <f>H9*F11</f>
        <v>30136.792938374307</v>
      </c>
    </row>
    <row r="10" spans="1:9" ht="15.75" thickBot="1" x14ac:dyDescent="0.3"/>
    <row r="11" spans="1:9" ht="48.95" customHeight="1" x14ac:dyDescent="0.25">
      <c r="A11" s="39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390"/>
      <c r="B12" s="342">
        <f>'[7]HCC Paid Search - Power'!$B$12</f>
        <v>50000</v>
      </c>
      <c r="C12" s="342">
        <f>'[7]HCC Paid Search - Power'!$C$12</f>
        <v>30136.792938374307</v>
      </c>
      <c r="D12" s="347">
        <f>'[7]HCC Paid Search - Power'!$D$12</f>
        <v>0.7</v>
      </c>
      <c r="E12" s="334" t="s">
        <v>122</v>
      </c>
      <c r="F12" s="343">
        <f>VAC_Optim_Scenario!D23</f>
        <v>1</v>
      </c>
      <c r="G12" s="344">
        <f>B12*2</f>
        <v>100000</v>
      </c>
    </row>
    <row r="13" spans="1:9" ht="18.75" customHeight="1" x14ac:dyDescent="0.25">
      <c r="A13" s="411" t="s">
        <v>250</v>
      </c>
      <c r="B13" s="412"/>
      <c r="C13" s="412"/>
      <c r="D13" s="412"/>
      <c r="E13" s="334" t="s">
        <v>251</v>
      </c>
      <c r="F13" s="334" t="s">
        <v>252</v>
      </c>
    </row>
    <row r="14" spans="1:9" ht="15.75" thickBot="1" x14ac:dyDescent="0.3">
      <c r="A14" s="414"/>
      <c r="B14" s="415"/>
      <c r="C14" s="415"/>
      <c r="D14" s="41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09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1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390" t="s">
        <v>37</v>
      </c>
      <c r="B19" s="390"/>
      <c r="C19" s="39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92977.108783791031</v>
      </c>
      <c r="C22" s="346">
        <f t="shared" ref="C22:C41" si="1">B22*$F$14</f>
        <v>21007247.958609745</v>
      </c>
    </row>
    <row r="23" spans="1:4" x14ac:dyDescent="0.25">
      <c r="A23" s="345">
        <f t="shared" ref="A23:A41" si="2">A22+(($C$17-$B$17)/$D$17)</f>
        <v>500000</v>
      </c>
      <c r="B23" s="339">
        <f t="shared" si="0"/>
        <v>151041.75883181734</v>
      </c>
      <c r="C23" s="346">
        <f t="shared" si="1"/>
        <v>34126374.990460806</v>
      </c>
    </row>
    <row r="24" spans="1:4" x14ac:dyDescent="0.25">
      <c r="A24" s="345">
        <f t="shared" si="2"/>
        <v>750000</v>
      </c>
      <c r="B24" s="339">
        <f t="shared" si="0"/>
        <v>200613.85136364179</v>
      </c>
      <c r="C24" s="346">
        <f t="shared" si="1"/>
        <v>45326693.577101223</v>
      </c>
    </row>
    <row r="25" spans="1:4" x14ac:dyDescent="0.25">
      <c r="A25" s="345">
        <f t="shared" si="2"/>
        <v>1000000</v>
      </c>
      <c r="B25" s="339">
        <f t="shared" si="0"/>
        <v>245368.06112200834</v>
      </c>
      <c r="C25" s="346">
        <f t="shared" si="1"/>
        <v>55438459.729906566</v>
      </c>
    </row>
    <row r="26" spans="1:4" x14ac:dyDescent="0.25">
      <c r="A26" s="345">
        <f t="shared" si="2"/>
        <v>1250000</v>
      </c>
      <c r="B26" s="339">
        <f t="shared" si="0"/>
        <v>286850.12288700556</v>
      </c>
      <c r="C26" s="346">
        <f t="shared" si="1"/>
        <v>64810916.765090033</v>
      </c>
    </row>
    <row r="27" spans="1:4" x14ac:dyDescent="0.25">
      <c r="A27" s="345">
        <f t="shared" si="2"/>
        <v>1500000</v>
      </c>
      <c r="B27" s="339">
        <f t="shared" si="0"/>
        <v>325898.16302474338</v>
      </c>
      <c r="C27" s="346">
        <f t="shared" si="1"/>
        <v>73633430.953810513</v>
      </c>
    </row>
    <row r="28" spans="1:4" x14ac:dyDescent="0.25">
      <c r="A28" s="345">
        <f t="shared" si="2"/>
        <v>1750000</v>
      </c>
      <c r="B28" s="339">
        <f t="shared" si="0"/>
        <v>363031.79685998178</v>
      </c>
      <c r="C28" s="346">
        <f t="shared" si="1"/>
        <v>82023404.182544276</v>
      </c>
    </row>
    <row r="29" spans="1:4" x14ac:dyDescent="0.25">
      <c r="A29" s="345">
        <f t="shared" si="2"/>
        <v>2000000</v>
      </c>
      <c r="B29" s="339">
        <f t="shared" si="0"/>
        <v>398601.59127126914</v>
      </c>
      <c r="C29" s="346">
        <f t="shared" si="1"/>
        <v>90060043.531830549</v>
      </c>
    </row>
    <row r="30" spans="1:4" x14ac:dyDescent="0.25">
      <c r="A30" s="345">
        <f t="shared" si="2"/>
        <v>2250000</v>
      </c>
      <c r="B30" s="339">
        <f t="shared" si="0"/>
        <v>432858.34422471898</v>
      </c>
      <c r="C30" s="346">
        <f t="shared" si="1"/>
        <v>97800014.294133008</v>
      </c>
    </row>
    <row r="31" spans="1:4" x14ac:dyDescent="0.25">
      <c r="A31" s="345">
        <f t="shared" si="2"/>
        <v>2500000</v>
      </c>
      <c r="B31" s="339">
        <f t="shared" si="0"/>
        <v>465989.39942010184</v>
      </c>
      <c r="C31" s="346">
        <f t="shared" si="1"/>
        <v>105285644.90497781</v>
      </c>
    </row>
    <row r="32" spans="1:4" x14ac:dyDescent="0.25">
      <c r="A32" s="345">
        <f t="shared" si="2"/>
        <v>2750000</v>
      </c>
      <c r="B32" s="339">
        <f t="shared" si="0"/>
        <v>498139.42698482808</v>
      </c>
      <c r="C32" s="346">
        <f t="shared" si="1"/>
        <v>112549622.13295205</v>
      </c>
    </row>
    <row r="33" spans="1:3" x14ac:dyDescent="0.25">
      <c r="A33" s="345">
        <f t="shared" si="2"/>
        <v>3000000</v>
      </c>
      <c r="B33" s="339">
        <f t="shared" si="0"/>
        <v>529423.1277698857</v>
      </c>
      <c r="C33" s="346">
        <f t="shared" si="1"/>
        <v>119617861.48832798</v>
      </c>
    </row>
    <row r="34" spans="1:3" x14ac:dyDescent="0.25">
      <c r="A34" s="345">
        <f t="shared" si="2"/>
        <v>3250000</v>
      </c>
      <c r="B34" s="339">
        <f t="shared" si="0"/>
        <v>559933.41281318781</v>
      </c>
      <c r="C34" s="346">
        <f t="shared" si="1"/>
        <v>126511355.29101165</v>
      </c>
    </row>
    <row r="35" spans="1:3" x14ac:dyDescent="0.25">
      <c r="A35" s="345">
        <f t="shared" si="2"/>
        <v>3500000</v>
      </c>
      <c r="B35" s="339">
        <f t="shared" si="0"/>
        <v>589746.89390606096</v>
      </c>
      <c r="C35" s="346">
        <f t="shared" si="1"/>
        <v>133247413.20913541</v>
      </c>
    </row>
    <row r="36" spans="1:3" x14ac:dyDescent="0.25">
      <c r="A36" s="345">
        <f t="shared" si="2"/>
        <v>3750000</v>
      </c>
      <c r="B36" s="339">
        <f t="shared" si="0"/>
        <v>618927.69811022875</v>
      </c>
      <c r="C36" s="346">
        <f t="shared" si="1"/>
        <v>139840524.11102509</v>
      </c>
    </row>
    <row r="37" spans="1:3" x14ac:dyDescent="0.25">
      <c r="A37" s="345">
        <f t="shared" si="2"/>
        <v>4000000</v>
      </c>
      <c r="B37" s="339">
        <f t="shared" si="0"/>
        <v>647530.19540299417</v>
      </c>
      <c r="C37" s="346">
        <f t="shared" si="1"/>
        <v>146302972.34935251</v>
      </c>
    </row>
    <row r="38" spans="1:3" x14ac:dyDescent="0.25">
      <c r="A38" s="345">
        <f t="shared" si="2"/>
        <v>4250000</v>
      </c>
      <c r="B38" s="339">
        <f t="shared" si="0"/>
        <v>675600.99762631929</v>
      </c>
      <c r="C38" s="346">
        <f t="shared" si="1"/>
        <v>152645289.40369058</v>
      </c>
    </row>
    <row r="39" spans="1:3" x14ac:dyDescent="0.25">
      <c r="A39" s="345">
        <f t="shared" si="2"/>
        <v>4500000</v>
      </c>
      <c r="B39" s="339">
        <f t="shared" si="0"/>
        <v>703180.45475864061</v>
      </c>
      <c r="C39" s="346">
        <f t="shared" si="1"/>
        <v>158876591.94816726</v>
      </c>
    </row>
    <row r="40" spans="1:3" x14ac:dyDescent="0.25">
      <c r="A40" s="345">
        <f t="shared" si="2"/>
        <v>4750000</v>
      </c>
      <c r="B40" s="339">
        <f t="shared" si="0"/>
        <v>730303.79577039415</v>
      </c>
      <c r="C40" s="346">
        <f t="shared" si="1"/>
        <v>165004839.61636284</v>
      </c>
    </row>
    <row r="41" spans="1:3" x14ac:dyDescent="0.25">
      <c r="A41" s="345">
        <f t="shared" si="2"/>
        <v>5000000</v>
      </c>
      <c r="B41" s="339">
        <f t="shared" si="0"/>
        <v>757002.0127111614</v>
      </c>
      <c r="C41" s="346">
        <f t="shared" si="1"/>
        <v>171037034.7519598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workbookViewId="0">
      <selection activeCell="H13" sqref="H13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261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261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28"/>
      <c r="C4" s="429"/>
      <c r="D4" s="429"/>
      <c r="E4" s="429"/>
      <c r="F4" s="4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7" t="s">
        <v>8</v>
      </c>
      <c r="B7" s="422" t="s">
        <v>9</v>
      </c>
      <c r="C7" s="422"/>
      <c r="D7" s="422" t="s">
        <v>12</v>
      </c>
      <c r="E7" s="422"/>
      <c r="F7" s="422"/>
      <c r="G7" s="422" t="s">
        <v>124</v>
      </c>
      <c r="H7" s="422"/>
      <c r="I7" s="427"/>
    </row>
    <row r="8" spans="1:9" x14ac:dyDescent="0.25">
      <c r="A8" s="421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8"/>
      <c r="B9" s="337">
        <f>VAC_Optim_Scenario!G24</f>
        <v>646782.5</v>
      </c>
      <c r="C9" s="337">
        <f>VAC_Optim_Scenario!H24</f>
        <v>1201167.5</v>
      </c>
      <c r="D9" s="338">
        <f>VAC_Optim_Scenario!I24</f>
        <v>1201167.5</v>
      </c>
      <c r="E9" s="84">
        <f>((GAUDIO!D9/$B$12)^$D$12)*$C$12*$F$12</f>
        <v>29522.816952164638</v>
      </c>
      <c r="F9" s="84">
        <f>E9*F11</f>
        <v>29522.816952164638</v>
      </c>
      <c r="G9" s="76">
        <f>VAC_Optim_Scenario!E24</f>
        <v>923975</v>
      </c>
      <c r="H9" s="339">
        <f>((GAUDIO!G9/$B$12)^$D$12)*$C$12*$F$12</f>
        <v>26581.559263521289</v>
      </c>
      <c r="I9" s="340">
        <f>H9*F11</f>
        <v>26581.559263521289</v>
      </c>
    </row>
    <row r="10" spans="1:9" ht="15.75" thickBot="1" x14ac:dyDescent="0.3"/>
    <row r="11" spans="1:9" ht="48.95" customHeight="1" x14ac:dyDescent="0.25">
      <c r="A11" s="39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390"/>
      <c r="B12" s="342">
        <f>'[8]Radio - Power'!$B$12</f>
        <v>923975</v>
      </c>
      <c r="C12" s="342">
        <f>'[8]Radio - Power'!$C$12</f>
        <v>26581.559263521289</v>
      </c>
      <c r="D12" s="347">
        <f>'[8]Radio - Power'!$D$12</f>
        <v>0.4</v>
      </c>
      <c r="E12" s="334" t="s">
        <v>122</v>
      </c>
      <c r="F12" s="343">
        <f>VAC_Optim_Scenario!D24</f>
        <v>1</v>
      </c>
      <c r="G12" s="344">
        <f>B12*2</f>
        <v>1847950</v>
      </c>
    </row>
    <row r="13" spans="1:9" ht="18.75" customHeight="1" x14ac:dyDescent="0.25">
      <c r="A13" s="411" t="s">
        <v>250</v>
      </c>
      <c r="B13" s="412"/>
      <c r="C13" s="412"/>
      <c r="D13" s="412"/>
      <c r="E13" s="334" t="s">
        <v>251</v>
      </c>
      <c r="F13" s="334" t="s">
        <v>252</v>
      </c>
    </row>
    <row r="14" spans="1:9" ht="15.75" thickBot="1" x14ac:dyDescent="0.3">
      <c r="A14" s="414"/>
      <c r="B14" s="415"/>
      <c r="C14" s="415"/>
      <c r="D14" s="41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09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1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390" t="s">
        <v>37</v>
      </c>
      <c r="B19" s="390"/>
      <c r="C19" s="39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15757.683313448728</v>
      </c>
      <c r="C22" s="346">
        <f t="shared" ref="C22:C41" si="1">B22*$F$14</f>
        <v>3560290.9678406054</v>
      </c>
    </row>
    <row r="23" spans="1:4" x14ac:dyDescent="0.25">
      <c r="A23" s="345">
        <f t="shared" ref="A23:A41" si="2">A22+(($C$17-$B$17)/$D$17)</f>
        <v>500000</v>
      </c>
      <c r="B23" s="339">
        <f t="shared" si="0"/>
        <v>20792.387787549629</v>
      </c>
      <c r="C23" s="346">
        <f t="shared" si="1"/>
        <v>4697832.0967189632</v>
      </c>
    </row>
    <row r="24" spans="1:4" x14ac:dyDescent="0.25">
      <c r="A24" s="345">
        <f t="shared" si="2"/>
        <v>750000</v>
      </c>
      <c r="B24" s="339">
        <f t="shared" si="0"/>
        <v>24453.49110513533</v>
      </c>
      <c r="C24" s="346">
        <f t="shared" si="1"/>
        <v>5525021.7802942768</v>
      </c>
    </row>
    <row r="25" spans="1:4" x14ac:dyDescent="0.25">
      <c r="A25" s="345">
        <f t="shared" si="2"/>
        <v>1000000</v>
      </c>
      <c r="B25" s="339">
        <f t="shared" si="0"/>
        <v>27435.720169529453</v>
      </c>
      <c r="C25" s="346">
        <f t="shared" si="1"/>
        <v>6198826.6151034851</v>
      </c>
    </row>
    <row r="26" spans="1:4" x14ac:dyDescent="0.25">
      <c r="A26" s="345">
        <f t="shared" si="2"/>
        <v>1250000</v>
      </c>
      <c r="B26" s="339">
        <f t="shared" si="0"/>
        <v>29997.175904684151</v>
      </c>
      <c r="C26" s="346">
        <f t="shared" si="1"/>
        <v>6777561.923904337</v>
      </c>
    </row>
    <row r="27" spans="1:4" x14ac:dyDescent="0.25">
      <c r="A27" s="345">
        <f t="shared" si="2"/>
        <v>1500000</v>
      </c>
      <c r="B27" s="339">
        <f t="shared" si="0"/>
        <v>32266.574959240672</v>
      </c>
      <c r="C27" s="346">
        <f t="shared" si="1"/>
        <v>7290309.9462908376</v>
      </c>
    </row>
    <row r="28" spans="1:4" x14ac:dyDescent="0.25">
      <c r="A28" s="345">
        <f t="shared" si="2"/>
        <v>1750000</v>
      </c>
      <c r="B28" s="339">
        <f t="shared" si="0"/>
        <v>34318.759723325085</v>
      </c>
      <c r="C28" s="346">
        <f t="shared" si="1"/>
        <v>7753980.5718880696</v>
      </c>
    </row>
    <row r="29" spans="1:4" x14ac:dyDescent="0.25">
      <c r="A29" s="345">
        <f t="shared" si="2"/>
        <v>2000000</v>
      </c>
      <c r="B29" s="339">
        <f t="shared" si="0"/>
        <v>36201.649801445565</v>
      </c>
      <c r="C29" s="346">
        <f t="shared" si="1"/>
        <v>8179400.7561386107</v>
      </c>
    </row>
    <row r="30" spans="1:4" x14ac:dyDescent="0.25">
      <c r="A30" s="345">
        <f t="shared" si="2"/>
        <v>2250000</v>
      </c>
      <c r="B30" s="339">
        <f t="shared" si="0"/>
        <v>37948.041938282877</v>
      </c>
      <c r="C30" s="346">
        <f t="shared" si="1"/>
        <v>8573980.5955356322</v>
      </c>
    </row>
    <row r="31" spans="1:4" x14ac:dyDescent="0.25">
      <c r="A31" s="345">
        <f t="shared" si="2"/>
        <v>2500000</v>
      </c>
      <c r="B31" s="339">
        <f t="shared" si="0"/>
        <v>39581.510907076787</v>
      </c>
      <c r="C31" s="346">
        <f t="shared" si="1"/>
        <v>8943046.5743449293</v>
      </c>
    </row>
    <row r="32" spans="1:4" x14ac:dyDescent="0.25">
      <c r="A32" s="345">
        <f t="shared" si="2"/>
        <v>2750000</v>
      </c>
      <c r="B32" s="339">
        <f t="shared" si="0"/>
        <v>41119.653101601129</v>
      </c>
      <c r="C32" s="346">
        <f t="shared" si="1"/>
        <v>9290574.4217757583</v>
      </c>
    </row>
    <row r="33" spans="1:3" x14ac:dyDescent="0.25">
      <c r="A33" s="345">
        <f t="shared" si="2"/>
        <v>3000000</v>
      </c>
      <c r="B33" s="339">
        <f t="shared" si="0"/>
        <v>42576.000912264644</v>
      </c>
      <c r="C33" s="346">
        <f t="shared" si="1"/>
        <v>9619621.6461170744</v>
      </c>
    </row>
    <row r="34" spans="1:3" x14ac:dyDescent="0.25">
      <c r="A34" s="345">
        <f t="shared" si="2"/>
        <v>3250000</v>
      </c>
      <c r="B34" s="339">
        <f t="shared" si="0"/>
        <v>43961.217233910902</v>
      </c>
      <c r="C34" s="346">
        <f t="shared" si="1"/>
        <v>9932597.421829829</v>
      </c>
    </row>
    <row r="35" spans="1:3" x14ac:dyDescent="0.25">
      <c r="A35" s="345">
        <f t="shared" si="2"/>
        <v>3500000</v>
      </c>
      <c r="B35" s="339">
        <f t="shared" si="0"/>
        <v>45283.874942841634</v>
      </c>
      <c r="C35" s="346">
        <f t="shared" si="1"/>
        <v>10231438.704585638</v>
      </c>
    </row>
    <row r="36" spans="1:3" x14ac:dyDescent="0.25">
      <c r="A36" s="345">
        <f t="shared" si="2"/>
        <v>3750000</v>
      </c>
      <c r="B36" s="339">
        <f t="shared" si="0"/>
        <v>46550.984657644571</v>
      </c>
      <c r="C36" s="346">
        <f t="shared" si="1"/>
        <v>10517729.473548215</v>
      </c>
    </row>
    <row r="37" spans="1:3" x14ac:dyDescent="0.25">
      <c r="A37" s="345">
        <f t="shared" si="2"/>
        <v>4000000</v>
      </c>
      <c r="B37" s="339">
        <f t="shared" si="0"/>
        <v>47768.363296037402</v>
      </c>
      <c r="C37" s="346">
        <f t="shared" si="1"/>
        <v>10792784.003106691</v>
      </c>
    </row>
    <row r="38" spans="1:3" x14ac:dyDescent="0.25">
      <c r="A38" s="345">
        <f t="shared" si="2"/>
        <v>4250000</v>
      </c>
      <c r="B38" s="339">
        <f t="shared" si="0"/>
        <v>48940.898319309759</v>
      </c>
      <c r="C38" s="346">
        <f t="shared" si="1"/>
        <v>11057706.566264847</v>
      </c>
    </row>
    <row r="39" spans="1:3" x14ac:dyDescent="0.25">
      <c r="A39" s="345">
        <f t="shared" si="2"/>
        <v>4500000</v>
      </c>
      <c r="B39" s="339">
        <f t="shared" si="0"/>
        <v>50072.741535905814</v>
      </c>
      <c r="C39" s="346">
        <f t="shared" si="1"/>
        <v>11313435.22262256</v>
      </c>
    </row>
    <row r="40" spans="1:3" x14ac:dyDescent="0.25">
      <c r="A40" s="345">
        <f t="shared" si="2"/>
        <v>4750000</v>
      </c>
      <c r="B40" s="339">
        <f t="shared" si="0"/>
        <v>51167.454079337178</v>
      </c>
      <c r="C40" s="346">
        <f t="shared" si="1"/>
        <v>11560774.574685441</v>
      </c>
    </row>
    <row r="41" spans="1:3" x14ac:dyDescent="0.25">
      <c r="A41" s="345">
        <f t="shared" si="2"/>
        <v>5000000</v>
      </c>
      <c r="B41" s="339">
        <f t="shared" si="0"/>
        <v>52228.116762231417</v>
      </c>
      <c r="C41" s="346">
        <f t="shared" si="1"/>
        <v>11800420.701258566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workbookViewId="0">
      <selection activeCell="B1" sqref="B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263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263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28"/>
      <c r="C4" s="429"/>
      <c r="D4" s="429"/>
      <c r="E4" s="429"/>
      <c r="F4" s="4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7" t="s">
        <v>8</v>
      </c>
      <c r="B7" s="422" t="s">
        <v>9</v>
      </c>
      <c r="C7" s="422"/>
      <c r="D7" s="422" t="s">
        <v>12</v>
      </c>
      <c r="E7" s="422"/>
      <c r="F7" s="422"/>
      <c r="G7" s="422" t="s">
        <v>124</v>
      </c>
      <c r="H7" s="422"/>
      <c r="I7" s="427"/>
    </row>
    <row r="8" spans="1:9" x14ac:dyDescent="0.25">
      <c r="A8" s="421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8"/>
      <c r="B9" s="337">
        <f>VAC_Optim_Scenario!G25</f>
        <v>18067650.02</v>
      </c>
      <c r="C9" s="337">
        <f>VAC_Optim_Scenario!H25</f>
        <v>33554207.180000003</v>
      </c>
      <c r="D9" s="338">
        <f>VAC_Optim_Scenario!I25</f>
        <v>18679386.206453495</v>
      </c>
      <c r="E9" s="84">
        <f>((GLINEARTV!D9/$B$12)^$D$12)*$C$12*$F$12</f>
        <v>134372.93700308583</v>
      </c>
      <c r="F9" s="84">
        <f>E9*F11</f>
        <v>134372.93700308583</v>
      </c>
      <c r="G9" s="76">
        <f>VAC_Optim_Scenario!E25</f>
        <v>25810928.600000001</v>
      </c>
      <c r="H9" s="339">
        <f>((GLINEARTV!G9/$B$12)^$D$12)*$C$12*$F$12</f>
        <v>168508.00202805389</v>
      </c>
      <c r="I9" s="340">
        <f>H9*F11</f>
        <v>168508.00202805389</v>
      </c>
    </row>
    <row r="10" spans="1:9" ht="15.75" thickBot="1" x14ac:dyDescent="0.3"/>
    <row r="11" spans="1:9" ht="48.95" customHeight="1" x14ac:dyDescent="0.25">
      <c r="A11" s="39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390"/>
      <c r="B12" s="342">
        <f>'[9]TV - Power'!$B$12</f>
        <v>25810928.600000001</v>
      </c>
      <c r="C12" s="342">
        <f>'[9]TV - Power'!$C$12</f>
        <v>168508.00202805389</v>
      </c>
      <c r="D12" s="347">
        <f>'[9]TV - Power'!$D$12</f>
        <v>0.7</v>
      </c>
      <c r="E12" s="334" t="s">
        <v>122</v>
      </c>
      <c r="F12" s="343">
        <f>VAC_Optim_Scenario!D25</f>
        <v>1</v>
      </c>
      <c r="G12" s="344">
        <f>B12*2</f>
        <v>51621857.200000003</v>
      </c>
    </row>
    <row r="13" spans="1:9" ht="18.75" customHeight="1" x14ac:dyDescent="0.25">
      <c r="A13" s="411" t="s">
        <v>250</v>
      </c>
      <c r="B13" s="412"/>
      <c r="C13" s="412"/>
      <c r="D13" s="412"/>
      <c r="E13" s="334" t="s">
        <v>251</v>
      </c>
      <c r="F13" s="334" t="s">
        <v>252</v>
      </c>
    </row>
    <row r="14" spans="1:9" ht="15.75" thickBot="1" x14ac:dyDescent="0.3">
      <c r="A14" s="414"/>
      <c r="B14" s="415"/>
      <c r="C14" s="415"/>
      <c r="D14" s="415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09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10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390" t="s">
        <v>37</v>
      </c>
      <c r="B19" s="390"/>
      <c r="C19" s="39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((A21/$B$12)^$D$12)*$C$12*F$12</f>
        <v>0</v>
      </c>
      <c r="C21" s="346">
        <f>B21*$F$14</f>
        <v>0</v>
      </c>
    </row>
    <row r="22" spans="1:4" x14ac:dyDescent="0.25">
      <c r="A22" s="345">
        <f>A21+(($C$17-$B$17)/$D$17)</f>
        <v>1500000</v>
      </c>
      <c r="B22" s="339">
        <f t="shared" ref="B22:B50" si="0">((A22/$B$12)^$D$12)*$C$12*F$12</f>
        <v>22994.388781683774</v>
      </c>
      <c r="C22" s="346">
        <f t="shared" ref="C22:C41" si="1">B22*$F$14</f>
        <v>5195352.2013336318</v>
      </c>
    </row>
    <row r="23" spans="1:4" x14ac:dyDescent="0.25">
      <c r="A23" s="345">
        <f t="shared" ref="A23:A50" si="2">A22+(($C$17-$B$17)/$D$17)</f>
        <v>3000000</v>
      </c>
      <c r="B23" s="339">
        <f t="shared" si="0"/>
        <v>37354.494781339148</v>
      </c>
      <c r="C23" s="346">
        <f t="shared" si="1"/>
        <v>8439874.5508957673</v>
      </c>
    </row>
    <row r="24" spans="1:4" x14ac:dyDescent="0.25">
      <c r="A24" s="345">
        <f t="shared" si="2"/>
        <v>4500000</v>
      </c>
      <c r="B24" s="339">
        <f t="shared" si="0"/>
        <v>49614.286286031464</v>
      </c>
      <c r="C24" s="346">
        <f t="shared" si="1"/>
        <v>11209851.843465948</v>
      </c>
    </row>
    <row r="25" spans="1:4" x14ac:dyDescent="0.25">
      <c r="A25" s="345">
        <f t="shared" si="2"/>
        <v>6000000</v>
      </c>
      <c r="B25" s="339">
        <f t="shared" si="0"/>
        <v>60682.555801638446</v>
      </c>
      <c r="C25" s="346">
        <f t="shared" si="1"/>
        <v>13710616.65782219</v>
      </c>
    </row>
    <row r="26" spans="1:4" x14ac:dyDescent="0.25">
      <c r="A26" s="345">
        <f t="shared" si="2"/>
        <v>7500000</v>
      </c>
      <c r="B26" s="339">
        <f t="shared" si="0"/>
        <v>70941.582654239959</v>
      </c>
      <c r="C26" s="346">
        <f t="shared" si="1"/>
        <v>16028541.184898976</v>
      </c>
    </row>
    <row r="27" spans="1:4" x14ac:dyDescent="0.25">
      <c r="A27" s="345">
        <f t="shared" si="2"/>
        <v>9000000</v>
      </c>
      <c r="B27" s="339">
        <f t="shared" si="0"/>
        <v>80598.645858666729</v>
      </c>
      <c r="C27" s="346">
        <f t="shared" si="1"/>
        <v>18210458.045307159</v>
      </c>
    </row>
    <row r="28" spans="1:4" x14ac:dyDescent="0.25">
      <c r="A28" s="345">
        <f t="shared" si="2"/>
        <v>10500000</v>
      </c>
      <c r="B28" s="339">
        <f t="shared" si="0"/>
        <v>89782.252710432149</v>
      </c>
      <c r="C28" s="346">
        <f t="shared" si="1"/>
        <v>20285402.177395038</v>
      </c>
    </row>
    <row r="29" spans="1:4" x14ac:dyDescent="0.25">
      <c r="A29" s="345">
        <f t="shared" si="2"/>
        <v>12000000</v>
      </c>
      <c r="B29" s="339">
        <f t="shared" si="0"/>
        <v>98579.102733803622</v>
      </c>
      <c r="C29" s="346">
        <f t="shared" si="1"/>
        <v>22272962.47167559</v>
      </c>
    </row>
    <row r="30" spans="1:4" x14ac:dyDescent="0.25">
      <c r="A30" s="345">
        <f t="shared" si="2"/>
        <v>13500000</v>
      </c>
      <c r="B30" s="339">
        <f t="shared" si="0"/>
        <v>107051.22136723484</v>
      </c>
      <c r="C30" s="346">
        <f t="shared" si="1"/>
        <v>24187152.955713041</v>
      </c>
    </row>
    <row r="31" spans="1:4" x14ac:dyDescent="0.25">
      <c r="A31" s="345">
        <f t="shared" si="2"/>
        <v>15000000</v>
      </c>
      <c r="B31" s="339">
        <f t="shared" si="0"/>
        <v>115244.9410244207</v>
      </c>
      <c r="C31" s="346">
        <f t="shared" si="1"/>
        <v>26038441.975057613</v>
      </c>
    </row>
    <row r="32" spans="1:4" x14ac:dyDescent="0.25">
      <c r="A32" s="345">
        <f t="shared" si="2"/>
        <v>16500000</v>
      </c>
      <c r="B32" s="339">
        <f t="shared" si="0"/>
        <v>123196.0404168987</v>
      </c>
      <c r="C32" s="346">
        <f t="shared" si="1"/>
        <v>27834913.371794093</v>
      </c>
    </row>
    <row r="33" spans="1:3" x14ac:dyDescent="0.25">
      <c r="A33" s="345">
        <f t="shared" si="2"/>
        <v>18000000</v>
      </c>
      <c r="B33" s="339">
        <f t="shared" si="0"/>
        <v>130932.88648353927</v>
      </c>
      <c r="C33" s="346">
        <f t="shared" si="1"/>
        <v>29582976.372090865</v>
      </c>
    </row>
    <row r="34" spans="1:3" x14ac:dyDescent="0.25">
      <c r="A34" s="345">
        <f t="shared" si="2"/>
        <v>19500000</v>
      </c>
      <c r="B34" s="339">
        <f t="shared" si="0"/>
        <v>138478.45727298054</v>
      </c>
      <c r="C34" s="346">
        <f t="shared" si="1"/>
        <v>31287822.636257224</v>
      </c>
    </row>
    <row r="35" spans="1:3" x14ac:dyDescent="0.25">
      <c r="A35" s="345">
        <f t="shared" si="2"/>
        <v>21000000</v>
      </c>
      <c r="B35" s="339">
        <f t="shared" si="0"/>
        <v>145851.69982861925</v>
      </c>
      <c r="C35" s="346">
        <f t="shared" si="1"/>
        <v>32953733.059278235</v>
      </c>
    </row>
    <row r="36" spans="1:3" x14ac:dyDescent="0.25">
      <c r="A36" s="345">
        <f t="shared" si="2"/>
        <v>22500000</v>
      </c>
      <c r="B36" s="339">
        <f t="shared" si="0"/>
        <v>153068.47356583198</v>
      </c>
      <c r="C36" s="346">
        <f t="shared" si="1"/>
        <v>34584290.917464077</v>
      </c>
    </row>
    <row r="37" spans="1:3" x14ac:dyDescent="0.25">
      <c r="A37" s="345">
        <f t="shared" si="2"/>
        <v>24000000</v>
      </c>
      <c r="B37" s="339">
        <f t="shared" si="0"/>
        <v>160142.22485235901</v>
      </c>
      <c r="C37" s="346">
        <f t="shared" si="1"/>
        <v>36182534.283141993</v>
      </c>
    </row>
    <row r="38" spans="1:3" x14ac:dyDescent="0.25">
      <c r="A38" s="345">
        <f t="shared" si="2"/>
        <v>25500000</v>
      </c>
      <c r="B38" s="339">
        <f t="shared" si="0"/>
        <v>167084.48137313194</v>
      </c>
      <c r="C38" s="346">
        <f t="shared" si="1"/>
        <v>37751067.721445434</v>
      </c>
    </row>
    <row r="39" spans="1:3" x14ac:dyDescent="0.25">
      <c r="A39" s="345">
        <f t="shared" si="2"/>
        <v>27000000</v>
      </c>
      <c r="B39" s="339">
        <f t="shared" si="0"/>
        <v>173905.2221767967</v>
      </c>
      <c r="C39" s="346">
        <f t="shared" si="1"/>
        <v>39292145.898625448</v>
      </c>
    </row>
    <row r="40" spans="1:3" x14ac:dyDescent="0.25">
      <c r="A40" s="345">
        <f t="shared" si="2"/>
        <v>28500000</v>
      </c>
      <c r="B40" s="339">
        <f t="shared" si="0"/>
        <v>180613.15982339281</v>
      </c>
      <c r="C40" s="346">
        <f t="shared" si="1"/>
        <v>40807737.330497369</v>
      </c>
    </row>
    <row r="41" spans="1:3" x14ac:dyDescent="0.25">
      <c r="A41" s="345">
        <f t="shared" si="2"/>
        <v>30000000</v>
      </c>
      <c r="B41" s="339">
        <f t="shared" si="0"/>
        <v>187215.95903003748</v>
      </c>
      <c r="C41" s="346">
        <f t="shared" si="1"/>
        <v>42299573.783246666</v>
      </c>
    </row>
    <row r="42" spans="1:3" x14ac:dyDescent="0.25">
      <c r="A42" s="345">
        <f t="shared" si="2"/>
        <v>31500000</v>
      </c>
      <c r="B42" s="339">
        <f t="shared" si="0"/>
        <v>193720.40856021506</v>
      </c>
    </row>
    <row r="43" spans="1:3" x14ac:dyDescent="0.25">
      <c r="A43" s="345">
        <f t="shared" si="2"/>
        <v>33000000</v>
      </c>
      <c r="B43" s="339">
        <f t="shared" si="0"/>
        <v>200132.55810045125</v>
      </c>
    </row>
    <row r="44" spans="1:3" x14ac:dyDescent="0.25">
      <c r="A44" s="345">
        <f t="shared" si="2"/>
        <v>34500000</v>
      </c>
      <c r="B44" s="339">
        <f t="shared" si="0"/>
        <v>206457.82851960618</v>
      </c>
    </row>
    <row r="45" spans="1:3" x14ac:dyDescent="0.25">
      <c r="A45" s="345">
        <f t="shared" si="2"/>
        <v>36000000</v>
      </c>
      <c r="B45" s="339">
        <f t="shared" si="0"/>
        <v>212701.10161618746</v>
      </c>
    </row>
    <row r="46" spans="1:3" x14ac:dyDescent="0.25">
      <c r="A46" s="345">
        <f t="shared" si="2"/>
        <v>37500000</v>
      </c>
      <c r="B46" s="339">
        <f t="shared" si="0"/>
        <v>218866.79386308251</v>
      </c>
    </row>
    <row r="47" spans="1:3" x14ac:dyDescent="0.25">
      <c r="A47" s="345">
        <f t="shared" si="2"/>
        <v>39000000</v>
      </c>
      <c r="B47" s="339">
        <f t="shared" si="0"/>
        <v>224958.91752738602</v>
      </c>
    </row>
    <row r="48" spans="1:3" x14ac:dyDescent="0.25">
      <c r="A48" s="345">
        <f t="shared" si="2"/>
        <v>40500000</v>
      </c>
      <c r="B48" s="339">
        <f t="shared" si="0"/>
        <v>230981.13172784238</v>
      </c>
    </row>
    <row r="49" spans="1:2" x14ac:dyDescent="0.25">
      <c r="A49" s="345">
        <f t="shared" si="2"/>
        <v>42000000</v>
      </c>
      <c r="B49" s="339">
        <f t="shared" si="0"/>
        <v>236936.78539685268</v>
      </c>
    </row>
    <row r="50" spans="1:2" x14ac:dyDescent="0.25">
      <c r="A50" s="345">
        <f t="shared" si="2"/>
        <v>43500000</v>
      </c>
      <c r="B50" s="339">
        <f t="shared" si="0"/>
        <v>242828.95367313846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19" t="s">
        <v>106</v>
      </c>
      <c r="C4" s="419"/>
      <c r="D4" s="419"/>
      <c r="E4" s="419"/>
      <c r="F4" s="42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7" t="s">
        <v>8</v>
      </c>
      <c r="B7" s="422" t="s">
        <v>9</v>
      </c>
      <c r="C7" s="423"/>
      <c r="D7" s="424" t="s">
        <v>12</v>
      </c>
      <c r="E7" s="425"/>
      <c r="F7" s="426"/>
      <c r="G7" s="422" t="s">
        <v>124</v>
      </c>
      <c r="H7" s="422"/>
      <c r="I7" s="427"/>
      <c r="J7" s="98" t="s">
        <v>125</v>
      </c>
    </row>
    <row r="8" spans="1:18" ht="28.35" customHeight="1" x14ac:dyDescent="0.2">
      <c r="A8" s="42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18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17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0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18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10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11" t="s">
        <v>114</v>
      </c>
      <c r="B13" s="412"/>
      <c r="C13" s="412"/>
      <c r="D13" s="412"/>
      <c r="E13" s="412"/>
      <c r="F13" s="413"/>
      <c r="G13" s="119" t="s">
        <v>150</v>
      </c>
      <c r="H13" s="119" t="s">
        <v>151</v>
      </c>
      <c r="K13" s="411" t="s">
        <v>115</v>
      </c>
      <c r="L13" s="412"/>
      <c r="M13" s="412"/>
      <c r="N13" s="412"/>
      <c r="O13" s="412"/>
      <c r="P13" s="412"/>
      <c r="Q13" s="412"/>
      <c r="R13" s="413"/>
    </row>
    <row r="14" spans="1:18" ht="33.6" customHeight="1" thickBot="1" x14ac:dyDescent="0.25">
      <c r="A14" s="414"/>
      <c r="B14" s="415"/>
      <c r="C14" s="415"/>
      <c r="D14" s="415"/>
      <c r="E14" s="415"/>
      <c r="F14" s="416"/>
      <c r="G14" s="95">
        <f>VAC_Optim_Scenario!I33</f>
        <v>225.94</v>
      </c>
      <c r="H14" s="95">
        <f>VAC_Optim_Scenario!G33</f>
        <v>225.94</v>
      </c>
      <c r="K14" s="414"/>
      <c r="L14" s="415"/>
      <c r="M14" s="415"/>
      <c r="N14" s="415"/>
      <c r="O14" s="415"/>
      <c r="P14" s="415"/>
      <c r="Q14" s="415"/>
      <c r="R14" s="416"/>
    </row>
    <row r="16" spans="1:18" ht="13.5" thickBot="1" x14ac:dyDescent="0.25"/>
    <row r="17" spans="1:8" ht="42.6" customHeight="1" x14ac:dyDescent="0.2">
      <c r="A17" s="40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10"/>
      <c r="B18" s="75">
        <v>0</v>
      </c>
      <c r="C18" s="76">
        <v>4000000</v>
      </c>
      <c r="D18" s="26">
        <v>20</v>
      </c>
    </row>
    <row r="20" spans="1:8" x14ac:dyDescent="0.2">
      <c r="A20" s="390" t="s">
        <v>37</v>
      </c>
      <c r="B20" s="390"/>
      <c r="C20" s="390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workbookViewId="0">
      <selection activeCell="C5" sqref="C5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300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277" t="s">
        <v>102</v>
      </c>
      <c r="I2" s="278"/>
      <c r="J2" s="278"/>
      <c r="K2" s="278"/>
      <c r="L2" s="279"/>
    </row>
    <row r="3" spans="1:18" ht="13.5" thickBot="1" x14ac:dyDescent="0.25">
      <c r="A3" s="11" t="s">
        <v>3</v>
      </c>
      <c r="B3" s="12" t="s">
        <v>240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9" t="s">
        <v>106</v>
      </c>
      <c r="C4" s="419"/>
      <c r="D4" s="419"/>
      <c r="E4" s="419"/>
      <c r="F4" s="420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7" t="s">
        <v>8</v>
      </c>
      <c r="B7" s="422" t="s">
        <v>9</v>
      </c>
      <c r="C7" s="423"/>
      <c r="D7" s="424" t="s">
        <v>12</v>
      </c>
      <c r="E7" s="425"/>
      <c r="F7" s="426"/>
      <c r="G7" s="422" t="s">
        <v>124</v>
      </c>
      <c r="H7" s="422"/>
      <c r="I7" s="427"/>
      <c r="J7" s="98" t="s">
        <v>125</v>
      </c>
    </row>
    <row r="8" spans="1:18" ht="28.35" customHeight="1" x14ac:dyDescent="0.2">
      <c r="A8" s="421"/>
      <c r="B8" s="276" t="s">
        <v>10</v>
      </c>
      <c r="C8" s="17" t="s">
        <v>11</v>
      </c>
      <c r="D8" s="19" t="s">
        <v>20</v>
      </c>
      <c r="E8" s="276" t="s">
        <v>21</v>
      </c>
      <c r="F8" s="81" t="s">
        <v>117</v>
      </c>
      <c r="G8" s="280" t="s">
        <v>22</v>
      </c>
      <c r="H8" s="276" t="s">
        <v>23</v>
      </c>
      <c r="I8" s="88" t="s">
        <v>123</v>
      </c>
    </row>
    <row r="9" spans="1:18" ht="14.45" customHeight="1" thickBot="1" x14ac:dyDescent="0.25">
      <c r="A9" s="418"/>
      <c r="B9" s="95">
        <f>VAC_Optim_Scenario!G26</f>
        <v>1688377.5999999999</v>
      </c>
      <c r="C9" s="95">
        <f>VAC_Optim_Scenario!H26</f>
        <v>3135558.4</v>
      </c>
      <c r="D9" s="68">
        <f>VAC_Optim_Scenario!I26</f>
        <v>2492454.2167876307</v>
      </c>
      <c r="E9" s="84">
        <f>((($R$12/(1+EXP($P$12+$Q$12*D9)))-1) - ($F$12-$C$12))*$I$12</f>
        <v>16505.833422747441</v>
      </c>
      <c r="F9" s="89">
        <f>E9*$G$12</f>
        <v>16505.833422747441</v>
      </c>
      <c r="G9" s="95">
        <f>VAC_Optim_Scenario!E26</f>
        <v>2411968</v>
      </c>
      <c r="H9" s="85">
        <f>((($R$12/(1+EXP($P$12+$Q$12*G9)))-1) - ($F$12-$C$12))*$I$12</f>
        <v>16097.078764905222</v>
      </c>
      <c r="I9" s="90">
        <f>H9*$G$12</f>
        <v>16097.078764905222</v>
      </c>
      <c r="J9" s="87">
        <f>G9/I9</f>
        <v>149.8388642576914</v>
      </c>
      <c r="K9" s="98" t="s">
        <v>167</v>
      </c>
    </row>
    <row r="10" spans="1:18" ht="13.5" thickBot="1" x14ac:dyDescent="0.25"/>
    <row r="11" spans="1:18" ht="51.6" customHeight="1" x14ac:dyDescent="0.2">
      <c r="A11" s="417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09" t="s">
        <v>25</v>
      </c>
      <c r="L11" s="282" t="s">
        <v>110</v>
      </c>
      <c r="M11" s="282" t="s">
        <v>111</v>
      </c>
      <c r="N11" s="282" t="s">
        <v>112</v>
      </c>
      <c r="O11" s="282" t="s">
        <v>113</v>
      </c>
      <c r="P11" s="282" t="s">
        <v>26</v>
      </c>
      <c r="Q11" s="282" t="s">
        <v>27</v>
      </c>
      <c r="R11" s="283" t="s">
        <v>28</v>
      </c>
    </row>
    <row r="12" spans="1:18" ht="15" customHeight="1" thickBot="1" x14ac:dyDescent="0.25">
      <c r="A12" s="418"/>
      <c r="B12" s="319">
        <f>'[10]HCC PHARMACY SCurve'!$B$12</f>
        <v>2411882</v>
      </c>
      <c r="C12" s="154">
        <f>'[10]HCC PHARMACY SCurve'!$C$12</f>
        <v>16096.638284255781</v>
      </c>
      <c r="D12" s="154">
        <f>'[10]HCC PHARMACY SCurve'!$D$12</f>
        <v>0</v>
      </c>
      <c r="E12" s="154">
        <f>'[10]HCC PHARMACY SCurve'!$E$12</f>
        <v>40241.595710639456</v>
      </c>
      <c r="F12" s="154">
        <f>'[10]HCC PHARMACY SCurve'!$F$12</f>
        <v>4647854</v>
      </c>
      <c r="G12" s="156">
        <f>VAC_Optim_Scenario!$D$33</f>
        <v>1</v>
      </c>
      <c r="H12" s="71">
        <f>C12*G12</f>
        <v>16096.638284255781</v>
      </c>
      <c r="I12" s="320">
        <f>VAC_Optim_Scenario!D26</f>
        <v>1</v>
      </c>
      <c r="K12" s="410"/>
      <c r="L12" s="71">
        <f>F12-C12</f>
        <v>4631757.3617157442</v>
      </c>
      <c r="M12" s="71">
        <f>L12+E12</f>
        <v>4671998.9574263841</v>
      </c>
      <c r="N12" s="72">
        <f>B12</f>
        <v>2411882</v>
      </c>
      <c r="O12" s="71">
        <f>F12</f>
        <v>4647854</v>
      </c>
      <c r="P12" s="24">
        <f>LN((($M$12+1)/($L$12+1))-1)</f>
        <v>-4.7457906708900452</v>
      </c>
      <c r="Q12" s="73">
        <f>(LN((($M$12+1)/($O$12+1))-1)-$P$12)/$N$12</f>
        <v>-2.1323384596153696E-7</v>
      </c>
      <c r="R12" s="74">
        <f>M12+1</f>
        <v>4671999.9574263841</v>
      </c>
    </row>
    <row r="13" spans="1:18" ht="34.35" customHeight="1" x14ac:dyDescent="0.2">
      <c r="A13" s="411" t="s">
        <v>169</v>
      </c>
      <c r="B13" s="412"/>
      <c r="C13" s="412"/>
      <c r="D13" s="412"/>
      <c r="E13" s="412"/>
      <c r="F13" s="413"/>
      <c r="G13" s="276" t="s">
        <v>150</v>
      </c>
      <c r="H13" s="276" t="s">
        <v>151</v>
      </c>
      <c r="K13" s="411" t="s">
        <v>115</v>
      </c>
      <c r="L13" s="412"/>
      <c r="M13" s="412"/>
      <c r="N13" s="412"/>
      <c r="O13" s="412"/>
      <c r="P13" s="412"/>
      <c r="Q13" s="412"/>
      <c r="R13" s="413"/>
    </row>
    <row r="14" spans="1:18" ht="33.6" customHeight="1" thickBot="1" x14ac:dyDescent="0.25">
      <c r="A14" s="414"/>
      <c r="B14" s="415"/>
      <c r="C14" s="415"/>
      <c r="D14" s="415"/>
      <c r="E14" s="415"/>
      <c r="F14" s="416"/>
      <c r="G14" s="95">
        <f>VAC_Optim_Scenario!$I$33</f>
        <v>225.94</v>
      </c>
      <c r="H14" s="95">
        <f>VAC_Optim_Scenario!$F$33</f>
        <v>225.94</v>
      </c>
      <c r="K14" s="414"/>
      <c r="L14" s="415"/>
      <c r="M14" s="415"/>
      <c r="N14" s="415"/>
      <c r="O14" s="415"/>
      <c r="P14" s="415"/>
      <c r="Q14" s="415"/>
      <c r="R14" s="416"/>
    </row>
    <row r="16" spans="1:18" ht="13.5" thickBot="1" x14ac:dyDescent="0.25"/>
    <row r="17" spans="1:8" ht="42.6" customHeight="1" x14ac:dyDescent="0.2">
      <c r="A17" s="409" t="s">
        <v>34</v>
      </c>
      <c r="B17" s="282" t="s">
        <v>32</v>
      </c>
      <c r="C17" s="282" t="s">
        <v>31</v>
      </c>
      <c r="D17" s="283" t="s">
        <v>33</v>
      </c>
      <c r="F17" s="82"/>
      <c r="G17" s="82"/>
      <c r="H17" s="83"/>
    </row>
    <row r="18" spans="1:8" ht="23.45" customHeight="1" thickBot="1" x14ac:dyDescent="0.25">
      <c r="A18" s="410"/>
      <c r="B18" s="75">
        <v>0</v>
      </c>
      <c r="C18" s="76">
        <v>4000000</v>
      </c>
      <c r="D18" s="26">
        <v>20</v>
      </c>
    </row>
    <row r="20" spans="1:8" x14ac:dyDescent="0.2">
      <c r="A20" s="390" t="s">
        <v>37</v>
      </c>
      <c r="B20" s="390"/>
      <c r="C20" s="390"/>
    </row>
    <row r="21" spans="1:8" ht="25.5" x14ac:dyDescent="0.2">
      <c r="A21" s="276" t="s">
        <v>35</v>
      </c>
      <c r="B21" s="276" t="s">
        <v>170</v>
      </c>
      <c r="C21" s="276" t="s">
        <v>171</v>
      </c>
      <c r="D21" s="98" t="s">
        <v>172</v>
      </c>
      <c r="E21" s="27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1666.2220611386001</v>
      </c>
      <c r="C23" s="79">
        <f t="shared" ref="C23:C42" si="1">B23*$G$12</f>
        <v>1666.2220611386001</v>
      </c>
      <c r="D23" s="98">
        <f>(B23-B22)/A23</f>
        <v>8.3311103056930014E-3</v>
      </c>
      <c r="E23" s="116">
        <f t="shared" ref="E23:E42" si="2">B23*$H$14</f>
        <v>376466.21249365533</v>
      </c>
    </row>
    <row r="24" spans="1:8" x14ac:dyDescent="0.2">
      <c r="A24" s="86">
        <f t="shared" ref="A24:A42" si="3">A23+(($C$18-$B$18)/$D$18)</f>
        <v>400000</v>
      </c>
      <c r="B24" s="79">
        <f t="shared" si="0"/>
        <v>3264.0042063035071</v>
      </c>
      <c r="C24" s="79">
        <f t="shared" si="1"/>
        <v>3264.0042063035071</v>
      </c>
      <c r="D24" s="98">
        <f t="shared" ref="D24:D42" si="4">(B24-B23)/A24</f>
        <v>3.9944553629122671E-3</v>
      </c>
      <c r="E24" s="116">
        <f t="shared" si="2"/>
        <v>737469.11037221435</v>
      </c>
    </row>
    <row r="25" spans="1:8" x14ac:dyDescent="0.2">
      <c r="A25" s="86">
        <f t="shared" si="3"/>
        <v>600000</v>
      </c>
      <c r="B25" s="79">
        <f t="shared" si="0"/>
        <v>4796.1128940852359</v>
      </c>
      <c r="C25" s="79">
        <f t="shared" si="1"/>
        <v>4796.1128940852359</v>
      </c>
      <c r="D25" s="98">
        <f t="shared" si="4"/>
        <v>2.5535144796362146E-3</v>
      </c>
      <c r="E25" s="116">
        <f t="shared" si="2"/>
        <v>1083633.7472896182</v>
      </c>
    </row>
    <row r="26" spans="1:8" x14ac:dyDescent="0.2">
      <c r="A26" s="86">
        <f t="shared" si="3"/>
        <v>800000</v>
      </c>
      <c r="B26" s="79">
        <f t="shared" si="0"/>
        <v>6265.2063891272992</v>
      </c>
      <c r="C26" s="79">
        <f t="shared" si="1"/>
        <v>6265.2063891272992</v>
      </c>
      <c r="D26" s="98">
        <f t="shared" si="4"/>
        <v>1.8363668688025792E-3</v>
      </c>
      <c r="E26" s="116">
        <f t="shared" si="2"/>
        <v>1415560.7315594219</v>
      </c>
    </row>
    <row r="27" spans="1:8" x14ac:dyDescent="0.2">
      <c r="A27" s="86">
        <f t="shared" si="3"/>
        <v>1000000</v>
      </c>
      <c r="B27" s="79">
        <f t="shared" si="0"/>
        <v>7673.8386969938874</v>
      </c>
      <c r="C27" s="79">
        <f t="shared" si="1"/>
        <v>7673.8386969938874</v>
      </c>
      <c r="D27" s="98">
        <f t="shared" si="4"/>
        <v>1.4086323078665883E-3</v>
      </c>
      <c r="E27" s="116">
        <f t="shared" si="2"/>
        <v>1733827.1151987989</v>
      </c>
    </row>
    <row r="28" spans="1:8" x14ac:dyDescent="0.2">
      <c r="A28" s="86">
        <f t="shared" si="3"/>
        <v>1200000</v>
      </c>
      <c r="B28" s="79">
        <f t="shared" si="0"/>
        <v>9024.4633805677295</v>
      </c>
      <c r="C28" s="79">
        <f t="shared" si="1"/>
        <v>9024.4633805677295</v>
      </c>
      <c r="D28" s="98">
        <f t="shared" si="4"/>
        <v>1.1255205696448685E-3</v>
      </c>
      <c r="E28" s="116">
        <f t="shared" si="2"/>
        <v>2038987.2562054729</v>
      </c>
    </row>
    <row r="29" spans="1:8" x14ac:dyDescent="0.2">
      <c r="A29" s="86">
        <f t="shared" si="3"/>
        <v>1400000</v>
      </c>
      <c r="B29" s="79">
        <f t="shared" si="0"/>
        <v>10319.437259402126</v>
      </c>
      <c r="C29" s="79">
        <f t="shared" si="1"/>
        <v>10319.437259402126</v>
      </c>
      <c r="D29" s="98">
        <f t="shared" si="4"/>
        <v>9.24981342024569E-4</v>
      </c>
      <c r="E29" s="116">
        <f t="shared" si="2"/>
        <v>2331573.6543893162</v>
      </c>
    </row>
    <row r="30" spans="1:8" x14ac:dyDescent="0.2">
      <c r="A30" s="86">
        <f t="shared" si="3"/>
        <v>1600000</v>
      </c>
      <c r="B30" s="79">
        <f t="shared" si="0"/>
        <v>11561.023993640207</v>
      </c>
      <c r="C30" s="79">
        <f t="shared" si="1"/>
        <v>11561.023993640207</v>
      </c>
      <c r="D30" s="98">
        <f t="shared" si="4"/>
        <v>7.7599170889880041E-4</v>
      </c>
      <c r="E30" s="116">
        <f t="shared" si="2"/>
        <v>2612097.7611230682</v>
      </c>
    </row>
    <row r="31" spans="1:8" x14ac:dyDescent="0.2">
      <c r="A31" s="86">
        <f t="shared" si="3"/>
        <v>1800000</v>
      </c>
      <c r="B31" s="79">
        <f t="shared" si="0"/>
        <v>12751.397554295138</v>
      </c>
      <c r="C31" s="79">
        <f t="shared" si="1"/>
        <v>12751.397554295138</v>
      </c>
      <c r="D31" s="98">
        <f t="shared" si="4"/>
        <v>6.6131864480829491E-4</v>
      </c>
      <c r="E31" s="116">
        <f t="shared" si="2"/>
        <v>2881050.7634174433</v>
      </c>
    </row>
    <row r="32" spans="1:8" x14ac:dyDescent="0.2">
      <c r="A32" s="86">
        <f t="shared" si="3"/>
        <v>2000000</v>
      </c>
      <c r="B32" s="79">
        <f t="shared" si="0"/>
        <v>13892.645581817254</v>
      </c>
      <c r="C32" s="79">
        <f t="shared" si="1"/>
        <v>13892.645581817254</v>
      </c>
      <c r="D32" s="98">
        <f t="shared" si="4"/>
        <v>5.7062401376105842E-4</v>
      </c>
      <c r="E32" s="116">
        <f t="shared" si="2"/>
        <v>3138904.3427557903</v>
      </c>
    </row>
    <row r="33" spans="1:5" x14ac:dyDescent="0.2">
      <c r="A33" s="86">
        <f t="shared" si="3"/>
        <v>2200000</v>
      </c>
      <c r="B33" s="79">
        <f t="shared" si="0"/>
        <v>14986.77263507247</v>
      </c>
      <c r="C33" s="79">
        <f t="shared" si="1"/>
        <v>14986.77263507247</v>
      </c>
      <c r="D33" s="98">
        <f t="shared" si="4"/>
        <v>4.9733047875237058E-4</v>
      </c>
      <c r="E33" s="116">
        <f t="shared" si="2"/>
        <v>3386111.4091682737</v>
      </c>
    </row>
    <row r="34" spans="1:5" x14ac:dyDescent="0.2">
      <c r="A34" s="86">
        <f>A33+(($C$18-$B$18)/$D$18)</f>
        <v>2400000</v>
      </c>
      <c r="B34" s="79">
        <f t="shared" si="0"/>
        <v>16035.703332859091</v>
      </c>
      <c r="C34" s="79">
        <f t="shared" si="1"/>
        <v>16035.703332859091</v>
      </c>
      <c r="D34" s="98">
        <f t="shared" si="4"/>
        <v>4.3705445741109238E-4</v>
      </c>
      <c r="E34" s="116">
        <f t="shared" si="2"/>
        <v>3623106.811026183</v>
      </c>
    </row>
    <row r="35" spans="1:5" x14ac:dyDescent="0.2">
      <c r="A35" s="86">
        <f t="shared" si="3"/>
        <v>2600000</v>
      </c>
      <c r="B35" s="79">
        <f t="shared" si="0"/>
        <v>17041.285390286706</v>
      </c>
      <c r="C35" s="79">
        <f t="shared" si="1"/>
        <v>17041.285390286706</v>
      </c>
      <c r="D35" s="98">
        <f t="shared" si="4"/>
        <v>3.8676232977985189E-4</v>
      </c>
      <c r="E35" s="116">
        <f t="shared" si="2"/>
        <v>3850308.0210813782</v>
      </c>
    </row>
    <row r="36" spans="1:5" x14ac:dyDescent="0.2">
      <c r="A36" s="86">
        <f t="shared" si="3"/>
        <v>2800000</v>
      </c>
      <c r="B36" s="79">
        <f t="shared" si="0"/>
        <v>18005.292552355677</v>
      </c>
      <c r="C36" s="79">
        <f t="shared" si="1"/>
        <v>18005.292552355677</v>
      </c>
      <c r="D36" s="98">
        <f t="shared" si="4"/>
        <v>3.4428827216748944E-4</v>
      </c>
      <c r="E36" s="116">
        <f t="shared" si="2"/>
        <v>4068115.7992792418</v>
      </c>
    </row>
    <row r="37" spans="1:5" x14ac:dyDescent="0.2">
      <c r="A37" s="86">
        <f t="shared" si="3"/>
        <v>3000000</v>
      </c>
      <c r="B37" s="79">
        <f t="shared" si="0"/>
        <v>18929.42742712982</v>
      </c>
      <c r="C37" s="79">
        <f t="shared" si="1"/>
        <v>18929.42742712982</v>
      </c>
      <c r="D37" s="98">
        <f t="shared" si="4"/>
        <v>3.0804495825804772E-4</v>
      </c>
      <c r="E37" s="116">
        <f t="shared" si="2"/>
        <v>4276914.8328857115</v>
      </c>
    </row>
    <row r="38" spans="1:5" x14ac:dyDescent="0.2">
      <c r="A38" s="86">
        <f t="shared" si="3"/>
        <v>3200000</v>
      </c>
      <c r="B38" s="79">
        <f t="shared" si="0"/>
        <v>19815.324220983312</v>
      </c>
      <c r="C38" s="79">
        <f t="shared" si="1"/>
        <v>19815.324220983312</v>
      </c>
      <c r="D38" s="98">
        <f t="shared" si="4"/>
        <v>2.768427480792161E-4</v>
      </c>
      <c r="E38" s="116">
        <f t="shared" si="2"/>
        <v>4477074.3544889698</v>
      </c>
    </row>
    <row r="39" spans="1:5" x14ac:dyDescent="0.2">
      <c r="A39" s="86">
        <f t="shared" si="3"/>
        <v>3400000</v>
      </c>
      <c r="B39" s="79">
        <f t="shared" si="0"/>
        <v>20664.551378388889</v>
      </c>
      <c r="C39" s="79">
        <f t="shared" si="1"/>
        <v>20664.551378388889</v>
      </c>
      <c r="D39" s="98">
        <f t="shared" si="4"/>
        <v>2.4977269335458164E-4</v>
      </c>
      <c r="E39" s="116">
        <f t="shared" si="2"/>
        <v>4668948.738433186</v>
      </c>
    </row>
    <row r="40" spans="1:5" x14ac:dyDescent="0.2">
      <c r="A40" s="86">
        <f t="shared" si="3"/>
        <v>3600000</v>
      </c>
      <c r="B40" s="79">
        <f t="shared" si="0"/>
        <v>21478.614128760993</v>
      </c>
      <c r="C40" s="79">
        <f t="shared" si="1"/>
        <v>21478.614128760993</v>
      </c>
      <c r="D40" s="98">
        <f t="shared" si="4"/>
        <v>2.2612854177002899E-4</v>
      </c>
      <c r="E40" s="116">
        <f t="shared" si="2"/>
        <v>4852878.0762522584</v>
      </c>
    </row>
    <row r="41" spans="1:5" x14ac:dyDescent="0.2">
      <c r="A41" s="86">
        <f>A40+(($C$18-$B$18)/$D$18)</f>
        <v>3800000</v>
      </c>
      <c r="B41" s="79">
        <f t="shared" si="0"/>
        <v>22258.9569428619</v>
      </c>
      <c r="C41" s="79">
        <f t="shared" si="1"/>
        <v>22258.9569428619</v>
      </c>
      <c r="D41" s="98">
        <f t="shared" si="4"/>
        <v>2.0535337213181744E-4</v>
      </c>
      <c r="E41" s="116">
        <f t="shared" si="2"/>
        <v>5029188.7316702176</v>
      </c>
    </row>
    <row r="42" spans="1:5" x14ac:dyDescent="0.2">
      <c r="A42" s="86">
        <f t="shared" si="3"/>
        <v>4000000</v>
      </c>
      <c r="B42" s="79">
        <f t="shared" si="0"/>
        <v>23006.965901301242</v>
      </c>
      <c r="C42" s="79">
        <f t="shared" si="1"/>
        <v>23006.965901301242</v>
      </c>
      <c r="D42" s="98">
        <f t="shared" si="4"/>
        <v>1.8700223960983566E-4</v>
      </c>
      <c r="E42" s="116">
        <f t="shared" si="2"/>
        <v>5198193.8757400028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95" t="s">
        <v>100</v>
      </c>
      <c r="G2" s="396"/>
      <c r="H2" s="396"/>
      <c r="I2" s="396"/>
      <c r="J2" s="396"/>
      <c r="K2" s="396"/>
      <c r="L2" s="397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398" t="s">
        <v>72</v>
      </c>
      <c r="G3" s="399"/>
      <c r="H3" s="399"/>
      <c r="I3" s="399"/>
      <c r="J3" s="399"/>
      <c r="K3" s="399"/>
      <c r="L3" s="400"/>
    </row>
    <row r="4" spans="1:12" ht="13.5" thickBot="1" x14ac:dyDescent="0.25">
      <c r="A4" s="29" t="s">
        <v>38</v>
      </c>
      <c r="B4" s="431" t="s">
        <v>39</v>
      </c>
      <c r="C4" s="431"/>
      <c r="D4" s="432"/>
    </row>
    <row r="6" spans="1:12" ht="13.5" thickBot="1" x14ac:dyDescent="0.25"/>
    <row r="7" spans="1:12" ht="27.75" customHeight="1" x14ac:dyDescent="0.2">
      <c r="A7" s="417" t="s">
        <v>8</v>
      </c>
      <c r="B7" s="422" t="s">
        <v>9</v>
      </c>
      <c r="C7" s="423"/>
      <c r="D7" s="424" t="s">
        <v>12</v>
      </c>
      <c r="E7" s="426"/>
      <c r="F7" s="425" t="s">
        <v>24</v>
      </c>
      <c r="G7" s="439"/>
    </row>
    <row r="8" spans="1:12" ht="25.5" x14ac:dyDescent="0.2">
      <c r="A8" s="42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18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17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17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18"/>
      <c r="B12" s="12">
        <v>20</v>
      </c>
      <c r="C12" s="12">
        <v>30</v>
      </c>
      <c r="D12" s="12">
        <v>0</v>
      </c>
      <c r="E12" s="14">
        <v>70</v>
      </c>
      <c r="G12" s="418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11" t="s">
        <v>30</v>
      </c>
      <c r="B13" s="412"/>
      <c r="C13" s="412"/>
      <c r="D13" s="412"/>
      <c r="E13" s="413"/>
      <c r="G13" s="433" t="s">
        <v>29</v>
      </c>
      <c r="H13" s="434"/>
      <c r="I13" s="434"/>
      <c r="J13" s="435"/>
    </row>
    <row r="14" spans="1:12" ht="33.6" customHeight="1" x14ac:dyDescent="0.2">
      <c r="A14" s="414"/>
      <c r="B14" s="415"/>
      <c r="C14" s="415"/>
      <c r="D14" s="415"/>
      <c r="E14" s="416"/>
      <c r="G14" s="436"/>
      <c r="H14" s="437"/>
      <c r="I14" s="437"/>
      <c r="J14" s="438"/>
    </row>
    <row r="16" spans="1:12" ht="13.5" thickBot="1" x14ac:dyDescent="0.25"/>
    <row r="17" spans="1:4" ht="17.100000000000001" customHeight="1" x14ac:dyDescent="0.2">
      <c r="A17" s="409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10"/>
      <c r="B18" s="12">
        <v>0</v>
      </c>
      <c r="C18" s="12">
        <v>100</v>
      </c>
      <c r="D18" s="26">
        <v>20</v>
      </c>
    </row>
    <row r="20" spans="1:4" x14ac:dyDescent="0.2">
      <c r="A20" s="390" t="s">
        <v>37</v>
      </c>
      <c r="B20" s="390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95" t="s">
        <v>100</v>
      </c>
      <c r="G2" s="396"/>
      <c r="H2" s="396"/>
      <c r="I2" s="396"/>
      <c r="J2" s="396"/>
      <c r="K2" s="396"/>
      <c r="L2" s="397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398" t="s">
        <v>72</v>
      </c>
      <c r="G3" s="399"/>
      <c r="H3" s="399"/>
      <c r="I3" s="399"/>
      <c r="J3" s="399"/>
      <c r="K3" s="399"/>
      <c r="L3" s="400"/>
    </row>
    <row r="4" spans="1:12" ht="31.7" customHeight="1" thickBot="1" x14ac:dyDescent="0.25">
      <c r="A4" s="29" t="s">
        <v>38</v>
      </c>
      <c r="B4" s="440" t="s">
        <v>41</v>
      </c>
      <c r="C4" s="441"/>
      <c r="D4" s="442"/>
    </row>
    <row r="6" spans="1:12" ht="13.5" thickBot="1" x14ac:dyDescent="0.25"/>
    <row r="7" spans="1:12" ht="27.75" customHeight="1" x14ac:dyDescent="0.2">
      <c r="A7" s="417" t="s">
        <v>8</v>
      </c>
      <c r="B7" s="422" t="s">
        <v>9</v>
      </c>
      <c r="C7" s="423"/>
      <c r="D7" s="424" t="s">
        <v>12</v>
      </c>
      <c r="E7" s="426"/>
      <c r="F7" s="425" t="s">
        <v>24</v>
      </c>
      <c r="G7" s="439"/>
      <c r="H7" s="1" t="s">
        <v>54</v>
      </c>
    </row>
    <row r="8" spans="1:12" ht="25.5" x14ac:dyDescent="0.2">
      <c r="A8" s="42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18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17" t="s">
        <v>42</v>
      </c>
      <c r="B11" s="371" t="s">
        <v>47</v>
      </c>
      <c r="C11" s="444" t="s">
        <v>46</v>
      </c>
      <c r="D11" s="425"/>
      <c r="E11" s="425"/>
      <c r="F11" s="3" t="s">
        <v>48</v>
      </c>
      <c r="G11" s="33"/>
      <c r="H11" s="32"/>
      <c r="I11" s="32"/>
      <c r="J11" s="32"/>
    </row>
    <row r="12" spans="1:12" x14ac:dyDescent="0.2">
      <c r="A12" s="445"/>
      <c r="B12" s="372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46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43" t="s">
        <v>52</v>
      </c>
      <c r="B14" s="443"/>
      <c r="C14" s="443"/>
      <c r="D14" s="443"/>
      <c r="E14" s="443"/>
      <c r="F14" s="443"/>
      <c r="G14" s="38"/>
      <c r="H14" s="39"/>
      <c r="I14" s="39"/>
      <c r="J14" s="39"/>
    </row>
    <row r="15" spans="1:12" ht="30.6" customHeight="1" x14ac:dyDescent="0.2">
      <c r="A15" s="443"/>
      <c r="B15" s="443"/>
      <c r="C15" s="443"/>
      <c r="D15" s="443"/>
      <c r="E15" s="443"/>
      <c r="F15" s="443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09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10"/>
      <c r="B19" s="12">
        <v>0</v>
      </c>
      <c r="C19" s="12">
        <v>20000000</v>
      </c>
      <c r="D19" s="26">
        <v>20</v>
      </c>
    </row>
    <row r="21" spans="1:4" x14ac:dyDescent="0.2">
      <c r="A21" s="390" t="s">
        <v>37</v>
      </c>
      <c r="B21" s="390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395" t="s">
        <v>100</v>
      </c>
      <c r="G2" s="396"/>
      <c r="H2" s="396"/>
      <c r="I2" s="396"/>
      <c r="J2" s="396"/>
      <c r="K2" s="396"/>
      <c r="L2" s="397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398" t="s">
        <v>72</v>
      </c>
      <c r="G3" s="399"/>
      <c r="H3" s="399"/>
      <c r="I3" s="399"/>
      <c r="J3" s="399"/>
      <c r="K3" s="399"/>
      <c r="L3" s="400"/>
    </row>
    <row r="4" spans="1:14" ht="13.5" thickBot="1" x14ac:dyDescent="0.25">
      <c r="A4" s="29" t="s">
        <v>38</v>
      </c>
      <c r="B4" s="431" t="s">
        <v>57</v>
      </c>
      <c r="C4" s="431"/>
      <c r="D4" s="432"/>
    </row>
    <row r="6" spans="1:14" ht="13.5" thickBot="1" x14ac:dyDescent="0.25"/>
    <row r="7" spans="1:14" ht="27.75" customHeight="1" x14ac:dyDescent="0.2">
      <c r="A7" s="417" t="s">
        <v>8</v>
      </c>
      <c r="B7" s="422" t="s">
        <v>9</v>
      </c>
      <c r="C7" s="423"/>
      <c r="D7" s="424" t="s">
        <v>12</v>
      </c>
      <c r="E7" s="426"/>
      <c r="F7" s="425" t="s">
        <v>24</v>
      </c>
      <c r="G7" s="439"/>
      <c r="I7" s="449" t="s">
        <v>73</v>
      </c>
      <c r="J7" s="449"/>
      <c r="K7" s="449"/>
      <c r="L7" s="449"/>
      <c r="N7" s="47" t="s">
        <v>58</v>
      </c>
    </row>
    <row r="8" spans="1:14" ht="25.5" x14ac:dyDescent="0.2">
      <c r="A8" s="42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49"/>
      <c r="J8" s="449"/>
      <c r="K8" s="449"/>
      <c r="L8" s="449"/>
      <c r="N8" s="47" t="s">
        <v>59</v>
      </c>
    </row>
    <row r="9" spans="1:14" ht="13.5" thickBot="1" x14ac:dyDescent="0.25">
      <c r="A9" s="418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390" t="s">
        <v>60</v>
      </c>
      <c r="B11" s="3" t="s">
        <v>61</v>
      </c>
      <c r="C11" s="3" t="s">
        <v>62</v>
      </c>
      <c r="D11" s="32"/>
      <c r="E11" s="447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390"/>
      <c r="B12" s="41">
        <v>0</v>
      </c>
      <c r="C12" s="41">
        <v>0</v>
      </c>
      <c r="D12" s="32"/>
      <c r="E12" s="448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390"/>
      <c r="B13" s="41">
        <v>1</v>
      </c>
      <c r="C13" s="41">
        <v>0.75</v>
      </c>
      <c r="D13" s="32"/>
      <c r="E13" s="448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390"/>
      <c r="B14" s="41">
        <v>2</v>
      </c>
      <c r="C14" s="41">
        <v>0</v>
      </c>
      <c r="D14" s="32"/>
      <c r="E14" s="448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390"/>
      <c r="B15" s="41">
        <v>3</v>
      </c>
      <c r="C15" s="41">
        <v>-1</v>
      </c>
      <c r="D15" s="32"/>
      <c r="E15" s="448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390"/>
      <c r="B16" s="41">
        <v>4</v>
      </c>
      <c r="C16" s="41">
        <v>3</v>
      </c>
      <c r="D16" s="32"/>
      <c r="E16" s="448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390"/>
      <c r="B17" s="42">
        <v>5</v>
      </c>
      <c r="C17" s="42">
        <v>3</v>
      </c>
      <c r="D17" s="40"/>
      <c r="E17" s="448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50" t="s">
        <v>74</v>
      </c>
      <c r="B18" s="451"/>
      <c r="C18" s="452"/>
      <c r="D18" s="33"/>
      <c r="E18" s="443" t="s">
        <v>75</v>
      </c>
      <c r="F18" s="443"/>
      <c r="G18" s="443"/>
      <c r="H18" s="443"/>
      <c r="I18" s="443"/>
      <c r="J18" s="443"/>
      <c r="K18" s="443"/>
      <c r="L18" s="443"/>
      <c r="M18" s="443"/>
    </row>
    <row r="19" spans="1:13" ht="35.450000000000003" customHeight="1" x14ac:dyDescent="0.2">
      <c r="A19" s="414"/>
      <c r="B19" s="415"/>
      <c r="C19" s="416"/>
      <c r="D19" s="33"/>
      <c r="E19" s="443"/>
      <c r="F19" s="443"/>
      <c r="G19" s="443"/>
      <c r="H19" s="443"/>
      <c r="I19" s="443"/>
      <c r="J19" s="443"/>
      <c r="K19" s="443"/>
      <c r="L19" s="443"/>
      <c r="M19" s="443"/>
    </row>
    <row r="21" spans="1:13" ht="13.5" thickBot="1" x14ac:dyDescent="0.25"/>
    <row r="22" spans="1:13" ht="17.100000000000001" customHeight="1" x14ac:dyDescent="0.2">
      <c r="A22" s="409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10"/>
      <c r="B23" s="12">
        <v>0</v>
      </c>
      <c r="C23" s="12">
        <v>5</v>
      </c>
      <c r="D23" s="26">
        <v>20</v>
      </c>
    </row>
    <row r="25" spans="1:13" x14ac:dyDescent="0.2">
      <c r="A25" s="390" t="s">
        <v>37</v>
      </c>
      <c r="B25" s="390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53" t="s">
        <v>106</v>
      </c>
      <c r="C4" s="453"/>
      <c r="D4" s="453"/>
      <c r="E4" s="453"/>
      <c r="F4" s="454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17" t="s">
        <v>8</v>
      </c>
      <c r="B7" s="422" t="s">
        <v>9</v>
      </c>
      <c r="C7" s="423"/>
      <c r="D7" s="424" t="s">
        <v>12</v>
      </c>
      <c r="E7" s="426"/>
      <c r="F7" s="425" t="s">
        <v>24</v>
      </c>
      <c r="G7" s="439"/>
    </row>
    <row r="8" spans="1:15" ht="25.5" x14ac:dyDescent="0.2">
      <c r="A8" s="421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18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17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09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18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10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11" t="s">
        <v>114</v>
      </c>
      <c r="B13" s="412"/>
      <c r="C13" s="412"/>
      <c r="D13" s="412"/>
      <c r="E13" s="412"/>
      <c r="F13" s="413"/>
      <c r="H13" s="411" t="s">
        <v>115</v>
      </c>
      <c r="I13" s="412"/>
      <c r="J13" s="412"/>
      <c r="K13" s="412"/>
      <c r="L13" s="412"/>
      <c r="M13" s="412"/>
      <c r="N13" s="412"/>
      <c r="O13" s="413"/>
    </row>
    <row r="14" spans="1:15" ht="33.6" customHeight="1" x14ac:dyDescent="0.2">
      <c r="A14" s="414"/>
      <c r="B14" s="415"/>
      <c r="C14" s="415"/>
      <c r="D14" s="415"/>
      <c r="E14" s="415"/>
      <c r="F14" s="416"/>
      <c r="H14" s="414"/>
      <c r="I14" s="415"/>
      <c r="J14" s="415"/>
      <c r="K14" s="415"/>
      <c r="L14" s="415"/>
      <c r="M14" s="415"/>
      <c r="N14" s="415"/>
      <c r="O14" s="416"/>
    </row>
    <row r="16" spans="1:15" ht="13.5" thickBot="1" x14ac:dyDescent="0.25"/>
    <row r="17" spans="1:4" ht="17.100000000000001" customHeight="1" x14ac:dyDescent="0.2">
      <c r="A17" s="409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10"/>
      <c r="B18" s="75">
        <v>0</v>
      </c>
      <c r="C18" s="76">
        <v>200000000</v>
      </c>
      <c r="D18" s="26">
        <v>20</v>
      </c>
    </row>
    <row r="20" spans="1:4" x14ac:dyDescent="0.2">
      <c r="A20" s="390" t="s">
        <v>37</v>
      </c>
      <c r="B20" s="390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Sensitivity - Template</vt:lpstr>
      <vt:lpstr>Scenario summary</vt:lpstr>
      <vt:lpstr>Chart - Combined</vt:lpstr>
      <vt:lpstr>Sensitivity</vt:lpstr>
      <vt:lpstr>Contribution, promo eff, ROI</vt:lpstr>
      <vt:lpstr>Scenario deep dive</vt:lpstr>
      <vt:lpstr>VAC_Optim_Scenario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2023-07-24T11:45:12Z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